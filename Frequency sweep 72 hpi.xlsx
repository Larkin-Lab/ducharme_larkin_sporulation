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nalysis\Rheometry\Frequency\"/>
    </mc:Choice>
  </mc:AlternateContent>
  <xr:revisionPtr revIDLastSave="0" documentId="13_ncr:1_{493F6298-36DA-4957-A968-47AA5577B425}" xr6:coauthVersionLast="47" xr6:coauthVersionMax="47" xr10:uidLastSave="{00000000-0000-0000-0000-000000000000}"/>
  <bookViews>
    <workbookView xWindow="-110" yWindow="-110" windowWidth="38620" windowHeight="21100" firstSheet="2" activeTab="6" xr2:uid="{23A9AD00-BD58-4C85-88D2-6F62574CD7E4}"/>
  </bookViews>
  <sheets>
    <sheet name="1233 parafilm- 72 hpi" sheetId="1" r:id="rId1"/>
    <sheet name="1233 parafilm+ 72 hpi" sheetId="2" r:id="rId2"/>
    <sheet name="1234 parafilm- 72 hpi" sheetId="3" r:id="rId3"/>
    <sheet name="1234 parafilm+ 72 hpi" sheetId="4" r:id="rId4"/>
    <sheet name="1250 parafilm- 72 hpi" sheetId="5" r:id="rId5"/>
    <sheet name="1250 parafilm+ 72 hpi" sheetId="6" r:id="rId6"/>
    <sheet name="1480 parafilm- 72 hpi" sheetId="7" r:id="rId7"/>
    <sheet name="NAD003 parafilm- 72 hpi" sheetId="11" r:id="rId8"/>
    <sheet name="NAD003 parafilm+ 72 hpi" sheetId="8" r:id="rId9"/>
    <sheet name="Average comparison" sheetId="9" r:id="rId10"/>
    <sheet name="Standard deviations" sheetId="10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3" i="11" l="1"/>
  <c r="O13" i="11"/>
  <c r="M13" i="11"/>
  <c r="L13" i="11"/>
  <c r="P12" i="11"/>
  <c r="O12" i="11"/>
  <c r="M12" i="11"/>
  <c r="L12" i="11"/>
  <c r="P11" i="11"/>
  <c r="O11" i="11"/>
  <c r="M11" i="11"/>
  <c r="L11" i="11"/>
  <c r="P10" i="11"/>
  <c r="O10" i="11"/>
  <c r="M10" i="11"/>
  <c r="L10" i="11"/>
  <c r="P9" i="11"/>
  <c r="O9" i="11"/>
  <c r="M9" i="11"/>
  <c r="L9" i="11"/>
  <c r="P8" i="11"/>
  <c r="O8" i="11"/>
  <c r="M8" i="11"/>
  <c r="L8" i="11"/>
  <c r="P7" i="11"/>
  <c r="O7" i="11"/>
  <c r="M7" i="11"/>
  <c r="L7" i="11"/>
  <c r="P6" i="11"/>
  <c r="O6" i="11"/>
  <c r="M6" i="11"/>
  <c r="L6" i="11"/>
  <c r="P5" i="11"/>
  <c r="O5" i="11"/>
  <c r="M5" i="11"/>
  <c r="L5" i="11"/>
  <c r="P4" i="11"/>
  <c r="O4" i="11"/>
  <c r="M4" i="11"/>
  <c r="L4" i="11"/>
  <c r="P3" i="11"/>
  <c r="O3" i="11"/>
  <c r="M3" i="11"/>
  <c r="L3" i="11"/>
  <c r="X2" i="10"/>
  <c r="Y2" i="10"/>
  <c r="X3" i="10"/>
  <c r="Y3" i="10"/>
  <c r="X4" i="10"/>
  <c r="Y4" i="10"/>
  <c r="X5" i="10"/>
  <c r="Y5" i="10"/>
  <c r="X6" i="10"/>
  <c r="Y6" i="10"/>
  <c r="X7" i="10"/>
  <c r="Y7" i="10"/>
  <c r="X8" i="10"/>
  <c r="Y8" i="10"/>
  <c r="X9" i="10"/>
  <c r="Y9" i="10"/>
  <c r="X10" i="10"/>
  <c r="Y10" i="10"/>
  <c r="X11" i="10"/>
  <c r="Y11" i="10"/>
  <c r="X12" i="10"/>
  <c r="Y12" i="10"/>
  <c r="V9" i="10"/>
  <c r="R2" i="10"/>
  <c r="S2" i="10"/>
  <c r="R3" i="10"/>
  <c r="S3" i="10"/>
  <c r="R4" i="10"/>
  <c r="S4" i="10"/>
  <c r="R5" i="10"/>
  <c r="S5" i="10"/>
  <c r="R6" i="10"/>
  <c r="S6" i="10"/>
  <c r="R7" i="10"/>
  <c r="S7" i="10"/>
  <c r="R8" i="10"/>
  <c r="S8" i="10"/>
  <c r="R9" i="10"/>
  <c r="S9" i="10"/>
  <c r="R10" i="10"/>
  <c r="S10" i="10"/>
  <c r="R11" i="10"/>
  <c r="S11" i="10"/>
  <c r="R12" i="10"/>
  <c r="S12" i="10"/>
  <c r="O2" i="10"/>
  <c r="P2" i="10"/>
  <c r="O3" i="10"/>
  <c r="P3" i="10"/>
  <c r="O4" i="10"/>
  <c r="P4" i="10"/>
  <c r="O5" i="10"/>
  <c r="P5" i="10"/>
  <c r="O6" i="10"/>
  <c r="P6" i="10"/>
  <c r="O7" i="10"/>
  <c r="P7" i="10"/>
  <c r="O8" i="10"/>
  <c r="P8" i="10"/>
  <c r="O9" i="10"/>
  <c r="P9" i="10"/>
  <c r="O10" i="10"/>
  <c r="P10" i="10"/>
  <c r="O11" i="10"/>
  <c r="P11" i="10"/>
  <c r="O12" i="10"/>
  <c r="P12" i="10"/>
  <c r="L2" i="10"/>
  <c r="M2" i="10"/>
  <c r="L3" i="10"/>
  <c r="M3" i="10"/>
  <c r="L4" i="10"/>
  <c r="M4" i="10"/>
  <c r="L5" i="10"/>
  <c r="M5" i="10"/>
  <c r="L6" i="10"/>
  <c r="M6" i="10"/>
  <c r="L7" i="10"/>
  <c r="M7" i="10"/>
  <c r="L8" i="10"/>
  <c r="M8" i="10"/>
  <c r="L9" i="10"/>
  <c r="M9" i="10"/>
  <c r="L10" i="10"/>
  <c r="M10" i="10"/>
  <c r="L11" i="10"/>
  <c r="M11" i="10"/>
  <c r="L12" i="10"/>
  <c r="M12" i="10"/>
  <c r="I2" i="10"/>
  <c r="J2" i="10"/>
  <c r="I3" i="10"/>
  <c r="J3" i="10"/>
  <c r="I4" i="10"/>
  <c r="J4" i="10"/>
  <c r="I5" i="10"/>
  <c r="J5" i="10"/>
  <c r="I6" i="10"/>
  <c r="J6" i="10"/>
  <c r="I7" i="10"/>
  <c r="J7" i="10"/>
  <c r="I8" i="10"/>
  <c r="J8" i="10"/>
  <c r="I9" i="10"/>
  <c r="J9" i="10"/>
  <c r="I10" i="10"/>
  <c r="J10" i="10"/>
  <c r="I11" i="10"/>
  <c r="J11" i="10"/>
  <c r="I12" i="10"/>
  <c r="J12" i="10"/>
  <c r="F2" i="10"/>
  <c r="G2" i="10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C2" i="10"/>
  <c r="D2" i="10"/>
  <c r="C3" i="10"/>
  <c r="D3" i="10"/>
  <c r="C4" i="10"/>
  <c r="D4" i="10"/>
  <c r="C5" i="10"/>
  <c r="D5" i="10"/>
  <c r="C6" i="10"/>
  <c r="D6" i="10"/>
  <c r="C7" i="10"/>
  <c r="D7" i="10"/>
  <c r="C8" i="10"/>
  <c r="D8" i="10"/>
  <c r="C9" i="10"/>
  <c r="D9" i="10"/>
  <c r="C10" i="10"/>
  <c r="D10" i="10"/>
  <c r="C11" i="10"/>
  <c r="D11" i="10"/>
  <c r="C12" i="10"/>
  <c r="D12" i="10"/>
  <c r="X2" i="9"/>
  <c r="Y2" i="9"/>
  <c r="X3" i="9"/>
  <c r="Y3" i="9"/>
  <c r="X4" i="9"/>
  <c r="Y4" i="9"/>
  <c r="X5" i="9"/>
  <c r="Y5" i="9"/>
  <c r="X6" i="9"/>
  <c r="Y6" i="9"/>
  <c r="X7" i="9"/>
  <c r="Y7" i="9"/>
  <c r="X8" i="9"/>
  <c r="Y8" i="9"/>
  <c r="X9" i="9"/>
  <c r="Y9" i="9"/>
  <c r="X10" i="9"/>
  <c r="Y10" i="9"/>
  <c r="X11" i="9"/>
  <c r="Y11" i="9"/>
  <c r="X12" i="9"/>
  <c r="Y12" i="9"/>
  <c r="R2" i="9"/>
  <c r="S2" i="9"/>
  <c r="R3" i="9"/>
  <c r="S3" i="9"/>
  <c r="R4" i="9"/>
  <c r="S4" i="9"/>
  <c r="R5" i="9"/>
  <c r="S5" i="9"/>
  <c r="R6" i="9"/>
  <c r="S6" i="9"/>
  <c r="R7" i="9"/>
  <c r="S7" i="9"/>
  <c r="R8" i="9"/>
  <c r="S8" i="9"/>
  <c r="R9" i="9"/>
  <c r="S9" i="9"/>
  <c r="R10" i="9"/>
  <c r="S10" i="9"/>
  <c r="R11" i="9"/>
  <c r="S11" i="9"/>
  <c r="R12" i="9"/>
  <c r="S12" i="9"/>
  <c r="O2" i="9"/>
  <c r="P2" i="9"/>
  <c r="O3" i="9"/>
  <c r="P3" i="9"/>
  <c r="O4" i="9"/>
  <c r="P4" i="9"/>
  <c r="O5" i="9"/>
  <c r="P5" i="9"/>
  <c r="O6" i="9"/>
  <c r="P6" i="9"/>
  <c r="O7" i="9"/>
  <c r="P7" i="9"/>
  <c r="O8" i="9"/>
  <c r="P8" i="9"/>
  <c r="O9" i="9"/>
  <c r="P9" i="9"/>
  <c r="O10" i="9"/>
  <c r="P10" i="9"/>
  <c r="O11" i="9"/>
  <c r="P11" i="9"/>
  <c r="O12" i="9"/>
  <c r="P12" i="9"/>
  <c r="L2" i="9"/>
  <c r="M2" i="9"/>
  <c r="L3" i="9"/>
  <c r="M3" i="9"/>
  <c r="L4" i="9"/>
  <c r="M4" i="9"/>
  <c r="L5" i="9"/>
  <c r="M5" i="9"/>
  <c r="L6" i="9"/>
  <c r="M6" i="9"/>
  <c r="L7" i="9"/>
  <c r="M7" i="9"/>
  <c r="L8" i="9"/>
  <c r="M8" i="9"/>
  <c r="L9" i="9"/>
  <c r="M9" i="9"/>
  <c r="L10" i="9"/>
  <c r="M10" i="9"/>
  <c r="L11" i="9"/>
  <c r="M11" i="9"/>
  <c r="L12" i="9"/>
  <c r="M12" i="9"/>
  <c r="I2" i="9"/>
  <c r="J2" i="9"/>
  <c r="I3" i="9"/>
  <c r="J3" i="9"/>
  <c r="I4" i="9"/>
  <c r="J4" i="9"/>
  <c r="I5" i="9"/>
  <c r="J5" i="9"/>
  <c r="I6" i="9"/>
  <c r="J6" i="9"/>
  <c r="I7" i="9"/>
  <c r="J7" i="9"/>
  <c r="I8" i="9"/>
  <c r="J8" i="9"/>
  <c r="I9" i="9"/>
  <c r="J9" i="9"/>
  <c r="I10" i="9"/>
  <c r="J10" i="9"/>
  <c r="I11" i="9"/>
  <c r="J11" i="9"/>
  <c r="I12" i="9"/>
  <c r="J12" i="9"/>
  <c r="F2" i="9"/>
  <c r="G2" i="9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C2" i="9"/>
  <c r="D2" i="9"/>
  <c r="C3" i="9"/>
  <c r="D3" i="9"/>
  <c r="C4" i="9"/>
  <c r="D4" i="9"/>
  <c r="C5" i="9"/>
  <c r="D5" i="9"/>
  <c r="C6" i="9"/>
  <c r="D6" i="9"/>
  <c r="C7" i="9"/>
  <c r="D7" i="9"/>
  <c r="C8" i="9"/>
  <c r="D8" i="9"/>
  <c r="C9" i="9"/>
  <c r="D9" i="9"/>
  <c r="C10" i="9"/>
  <c r="D10" i="9"/>
  <c r="C11" i="9"/>
  <c r="D11" i="9"/>
  <c r="C12" i="9"/>
  <c r="D12" i="9"/>
  <c r="P13" i="8"/>
  <c r="O13" i="8"/>
  <c r="M13" i="8"/>
  <c r="L13" i="8"/>
  <c r="P12" i="8"/>
  <c r="O12" i="8"/>
  <c r="M12" i="8"/>
  <c r="L12" i="8"/>
  <c r="P11" i="8"/>
  <c r="O11" i="8"/>
  <c r="M11" i="8"/>
  <c r="L11" i="8"/>
  <c r="P10" i="8"/>
  <c r="O10" i="8"/>
  <c r="M10" i="8"/>
  <c r="L10" i="8"/>
  <c r="P9" i="8"/>
  <c r="O9" i="8"/>
  <c r="M9" i="8"/>
  <c r="L9" i="8"/>
  <c r="P8" i="8"/>
  <c r="O8" i="8"/>
  <c r="M8" i="8"/>
  <c r="L8" i="8"/>
  <c r="P7" i="8"/>
  <c r="O7" i="8"/>
  <c r="M7" i="8"/>
  <c r="L7" i="8"/>
  <c r="P6" i="8"/>
  <c r="O6" i="8"/>
  <c r="M6" i="8"/>
  <c r="L6" i="8"/>
  <c r="P5" i="8"/>
  <c r="O5" i="8"/>
  <c r="M5" i="8"/>
  <c r="L5" i="8"/>
  <c r="P4" i="8"/>
  <c r="O4" i="8"/>
  <c r="M4" i="8"/>
  <c r="L4" i="8"/>
  <c r="P3" i="8"/>
  <c r="O3" i="8"/>
  <c r="M3" i="8"/>
  <c r="L3" i="8"/>
  <c r="P13" i="7"/>
  <c r="V12" i="10" s="1"/>
  <c r="O13" i="7"/>
  <c r="U12" i="10" s="1"/>
  <c r="M13" i="7"/>
  <c r="V12" i="9" s="1"/>
  <c r="L13" i="7"/>
  <c r="U12" i="9" s="1"/>
  <c r="P12" i="7"/>
  <c r="V11" i="10" s="1"/>
  <c r="O12" i="7"/>
  <c r="U11" i="10" s="1"/>
  <c r="M12" i="7"/>
  <c r="V11" i="9" s="1"/>
  <c r="L12" i="7"/>
  <c r="U11" i="9" s="1"/>
  <c r="P11" i="7"/>
  <c r="V10" i="10" s="1"/>
  <c r="O11" i="7"/>
  <c r="U10" i="10" s="1"/>
  <c r="M11" i="7"/>
  <c r="V10" i="9" s="1"/>
  <c r="L11" i="7"/>
  <c r="U10" i="9" s="1"/>
  <c r="P10" i="7"/>
  <c r="O10" i="7"/>
  <c r="U9" i="10" s="1"/>
  <c r="M10" i="7"/>
  <c r="V9" i="9" s="1"/>
  <c r="L10" i="7"/>
  <c r="U9" i="9" s="1"/>
  <c r="P9" i="7"/>
  <c r="V8" i="10" s="1"/>
  <c r="O9" i="7"/>
  <c r="U8" i="10" s="1"/>
  <c r="M9" i="7"/>
  <c r="V8" i="9" s="1"/>
  <c r="L9" i="7"/>
  <c r="U8" i="9" s="1"/>
  <c r="P8" i="7"/>
  <c r="V7" i="10" s="1"/>
  <c r="O8" i="7"/>
  <c r="U7" i="10" s="1"/>
  <c r="M8" i="7"/>
  <c r="V7" i="9" s="1"/>
  <c r="L8" i="7"/>
  <c r="U7" i="9" s="1"/>
  <c r="P7" i="7"/>
  <c r="V6" i="10" s="1"/>
  <c r="O7" i="7"/>
  <c r="U6" i="10" s="1"/>
  <c r="M7" i="7"/>
  <c r="V6" i="9" s="1"/>
  <c r="L7" i="7"/>
  <c r="U6" i="9" s="1"/>
  <c r="P6" i="7"/>
  <c r="V5" i="10" s="1"/>
  <c r="O6" i="7"/>
  <c r="U5" i="10" s="1"/>
  <c r="M6" i="7"/>
  <c r="V5" i="9" s="1"/>
  <c r="L6" i="7"/>
  <c r="U5" i="9" s="1"/>
  <c r="P5" i="7"/>
  <c r="V4" i="10" s="1"/>
  <c r="O5" i="7"/>
  <c r="U4" i="10" s="1"/>
  <c r="M5" i="7"/>
  <c r="V4" i="9" s="1"/>
  <c r="L5" i="7"/>
  <c r="U4" i="9" s="1"/>
  <c r="P4" i="7"/>
  <c r="V3" i="10" s="1"/>
  <c r="O4" i="7"/>
  <c r="U3" i="10" s="1"/>
  <c r="M4" i="7"/>
  <c r="V3" i="9" s="1"/>
  <c r="L4" i="7"/>
  <c r="U3" i="9" s="1"/>
  <c r="P3" i="7"/>
  <c r="V2" i="10" s="1"/>
  <c r="O3" i="7"/>
  <c r="U2" i="10" s="1"/>
  <c r="M3" i="7"/>
  <c r="V2" i="9" s="1"/>
  <c r="L3" i="7"/>
  <c r="U2" i="9" s="1"/>
  <c r="P13" i="6"/>
  <c r="O13" i="6"/>
  <c r="M13" i="6"/>
  <c r="L13" i="6"/>
  <c r="P12" i="6"/>
  <c r="O12" i="6"/>
  <c r="M12" i="6"/>
  <c r="L12" i="6"/>
  <c r="P11" i="6"/>
  <c r="O11" i="6"/>
  <c r="M11" i="6"/>
  <c r="L11" i="6"/>
  <c r="P10" i="6"/>
  <c r="O10" i="6"/>
  <c r="M10" i="6"/>
  <c r="L10" i="6"/>
  <c r="P9" i="6"/>
  <c r="O9" i="6"/>
  <c r="M9" i="6"/>
  <c r="L9" i="6"/>
  <c r="P8" i="6"/>
  <c r="O8" i="6"/>
  <c r="M8" i="6"/>
  <c r="L8" i="6"/>
  <c r="P7" i="6"/>
  <c r="O7" i="6"/>
  <c r="M7" i="6"/>
  <c r="L7" i="6"/>
  <c r="P6" i="6"/>
  <c r="O6" i="6"/>
  <c r="M6" i="6"/>
  <c r="L6" i="6"/>
  <c r="P5" i="6"/>
  <c r="O5" i="6"/>
  <c r="M5" i="6"/>
  <c r="L5" i="6"/>
  <c r="P4" i="6"/>
  <c r="O4" i="6"/>
  <c r="M4" i="6"/>
  <c r="L4" i="6"/>
  <c r="P3" i="6"/>
  <c r="O3" i="6"/>
  <c r="M3" i="6"/>
  <c r="L3" i="6"/>
  <c r="P13" i="5"/>
  <c r="O13" i="5"/>
  <c r="M13" i="5"/>
  <c r="L13" i="5"/>
  <c r="P12" i="5"/>
  <c r="O12" i="5"/>
  <c r="M12" i="5"/>
  <c r="L12" i="5"/>
  <c r="P11" i="5"/>
  <c r="O11" i="5"/>
  <c r="M11" i="5"/>
  <c r="L11" i="5"/>
  <c r="P10" i="5"/>
  <c r="O10" i="5"/>
  <c r="M10" i="5"/>
  <c r="L10" i="5"/>
  <c r="P9" i="5"/>
  <c r="O9" i="5"/>
  <c r="M9" i="5"/>
  <c r="L9" i="5"/>
  <c r="P8" i="5"/>
  <c r="O8" i="5"/>
  <c r="M8" i="5"/>
  <c r="L8" i="5"/>
  <c r="P7" i="5"/>
  <c r="O7" i="5"/>
  <c r="M7" i="5"/>
  <c r="L7" i="5"/>
  <c r="P6" i="5"/>
  <c r="O6" i="5"/>
  <c r="M6" i="5"/>
  <c r="L6" i="5"/>
  <c r="P5" i="5"/>
  <c r="O5" i="5"/>
  <c r="M5" i="5"/>
  <c r="L5" i="5"/>
  <c r="P4" i="5"/>
  <c r="O4" i="5"/>
  <c r="M4" i="5"/>
  <c r="L4" i="5"/>
  <c r="P3" i="5"/>
  <c r="O3" i="5"/>
  <c r="M3" i="5"/>
  <c r="L3" i="5"/>
  <c r="P13" i="4"/>
  <c r="O13" i="4"/>
  <c r="M13" i="4"/>
  <c r="L13" i="4"/>
  <c r="P12" i="4"/>
  <c r="O12" i="4"/>
  <c r="M12" i="4"/>
  <c r="L12" i="4"/>
  <c r="P11" i="4"/>
  <c r="O11" i="4"/>
  <c r="M11" i="4"/>
  <c r="L11" i="4"/>
  <c r="P10" i="4"/>
  <c r="O10" i="4"/>
  <c r="M10" i="4"/>
  <c r="L10" i="4"/>
  <c r="P9" i="4"/>
  <c r="O9" i="4"/>
  <c r="M9" i="4"/>
  <c r="L9" i="4"/>
  <c r="P8" i="4"/>
  <c r="O8" i="4"/>
  <c r="M8" i="4"/>
  <c r="L8" i="4"/>
  <c r="P7" i="4"/>
  <c r="O7" i="4"/>
  <c r="M7" i="4"/>
  <c r="L7" i="4"/>
  <c r="P6" i="4"/>
  <c r="O6" i="4"/>
  <c r="M6" i="4"/>
  <c r="L6" i="4"/>
  <c r="P5" i="4"/>
  <c r="O5" i="4"/>
  <c r="M5" i="4"/>
  <c r="L5" i="4"/>
  <c r="P4" i="4"/>
  <c r="O4" i="4"/>
  <c r="M4" i="4"/>
  <c r="L4" i="4"/>
  <c r="P3" i="4"/>
  <c r="O3" i="4"/>
  <c r="M3" i="4"/>
  <c r="L3" i="4"/>
  <c r="P13" i="3"/>
  <c r="O13" i="3"/>
  <c r="M13" i="3"/>
  <c r="L13" i="3"/>
  <c r="P12" i="3"/>
  <c r="O12" i="3"/>
  <c r="M12" i="3"/>
  <c r="L12" i="3"/>
  <c r="P11" i="3"/>
  <c r="O11" i="3"/>
  <c r="M11" i="3"/>
  <c r="L11" i="3"/>
  <c r="P10" i="3"/>
  <c r="O10" i="3"/>
  <c r="M10" i="3"/>
  <c r="L10" i="3"/>
  <c r="P9" i="3"/>
  <c r="O9" i="3"/>
  <c r="M9" i="3"/>
  <c r="L9" i="3"/>
  <c r="P8" i="3"/>
  <c r="O8" i="3"/>
  <c r="M8" i="3"/>
  <c r="L8" i="3"/>
  <c r="P7" i="3"/>
  <c r="O7" i="3"/>
  <c r="M7" i="3"/>
  <c r="L7" i="3"/>
  <c r="P6" i="3"/>
  <c r="O6" i="3"/>
  <c r="M6" i="3"/>
  <c r="L6" i="3"/>
  <c r="P5" i="3"/>
  <c r="O5" i="3"/>
  <c r="M5" i="3"/>
  <c r="L5" i="3"/>
  <c r="P4" i="3"/>
  <c r="O4" i="3"/>
  <c r="M4" i="3"/>
  <c r="L4" i="3"/>
  <c r="P3" i="3"/>
  <c r="O3" i="3"/>
  <c r="M3" i="3"/>
  <c r="L3" i="3"/>
  <c r="P13" i="2"/>
  <c r="O13" i="2"/>
  <c r="M13" i="2"/>
  <c r="L13" i="2"/>
  <c r="P12" i="2"/>
  <c r="O12" i="2"/>
  <c r="M12" i="2"/>
  <c r="L12" i="2"/>
  <c r="P11" i="2"/>
  <c r="O11" i="2"/>
  <c r="M11" i="2"/>
  <c r="L11" i="2"/>
  <c r="P10" i="2"/>
  <c r="O10" i="2"/>
  <c r="M10" i="2"/>
  <c r="L10" i="2"/>
  <c r="P9" i="2"/>
  <c r="O9" i="2"/>
  <c r="M9" i="2"/>
  <c r="L9" i="2"/>
  <c r="P8" i="2"/>
  <c r="O8" i="2"/>
  <c r="M8" i="2"/>
  <c r="L8" i="2"/>
  <c r="P7" i="2"/>
  <c r="O7" i="2"/>
  <c r="M7" i="2"/>
  <c r="L7" i="2"/>
  <c r="P6" i="2"/>
  <c r="O6" i="2"/>
  <c r="M6" i="2"/>
  <c r="L6" i="2"/>
  <c r="P5" i="2"/>
  <c r="O5" i="2"/>
  <c r="M5" i="2"/>
  <c r="L5" i="2"/>
  <c r="P4" i="2"/>
  <c r="O4" i="2"/>
  <c r="M4" i="2"/>
  <c r="L4" i="2"/>
  <c r="P3" i="2"/>
  <c r="O3" i="2"/>
  <c r="M3" i="2"/>
  <c r="L3" i="2"/>
  <c r="P4" i="1"/>
  <c r="P5" i="1"/>
  <c r="P6" i="1"/>
  <c r="P7" i="1"/>
  <c r="P8" i="1"/>
  <c r="P9" i="1"/>
  <c r="P10" i="1"/>
  <c r="P11" i="1"/>
  <c r="P12" i="1"/>
  <c r="P13" i="1"/>
  <c r="O4" i="1"/>
  <c r="O5" i="1"/>
  <c r="O6" i="1"/>
  <c r="O7" i="1"/>
  <c r="O8" i="1"/>
  <c r="O9" i="1"/>
  <c r="O10" i="1"/>
  <c r="O11" i="1"/>
  <c r="O12" i="1"/>
  <c r="O13" i="1"/>
  <c r="M4" i="1"/>
  <c r="M5" i="1"/>
  <c r="M6" i="1"/>
  <c r="M7" i="1"/>
  <c r="M8" i="1"/>
  <c r="M9" i="1"/>
  <c r="M10" i="1"/>
  <c r="M11" i="1"/>
  <c r="M12" i="1"/>
  <c r="M13" i="1"/>
  <c r="L4" i="1"/>
  <c r="L5" i="1"/>
  <c r="L6" i="1"/>
  <c r="L7" i="1"/>
  <c r="L8" i="1"/>
  <c r="L9" i="1"/>
  <c r="L10" i="1"/>
  <c r="L11" i="1"/>
  <c r="L12" i="1"/>
  <c r="L13" i="1"/>
  <c r="P3" i="1"/>
  <c r="O3" i="1"/>
  <c r="L3" i="1"/>
  <c r="M3" i="1"/>
</calcChain>
</file>

<file path=xl/sharedStrings.xml><?xml version="1.0" encoding="utf-8"?>
<sst xmlns="http://schemas.openxmlformats.org/spreadsheetml/2006/main" count="232" uniqueCount="37">
  <si>
    <t>Angular frequency</t>
  </si>
  <si>
    <t>rad/s</t>
  </si>
  <si>
    <t>Storage modulus</t>
  </si>
  <si>
    <t>Loss modulus</t>
  </si>
  <si>
    <t>MPa</t>
  </si>
  <si>
    <t>WT Parafilm- average G'</t>
  </si>
  <si>
    <t>WT Parafilm- average G''</t>
  </si>
  <si>
    <t>WT Parafilm- SD G'</t>
  </si>
  <si>
    <t>WT Parafilm- SD G''</t>
  </si>
  <si>
    <t>WT Parafilm+ average G'</t>
  </si>
  <si>
    <t>WT Parafilm+ average G''</t>
  </si>
  <si>
    <t>WT Parafilm+ SD G'</t>
  </si>
  <si>
    <t>WT Parafilm+ SD G''</t>
  </si>
  <si>
    <t>Spore- Parafilm- average G'</t>
  </si>
  <si>
    <t>Spore- Parafilm- average G''</t>
  </si>
  <si>
    <t>Spore- Parafilm- SD G'</t>
  </si>
  <si>
    <t>Spore- Parafilm- SD G''</t>
  </si>
  <si>
    <t>Spore- Parafilm+ average G'</t>
  </si>
  <si>
    <t>Spore- Parafilm+ average G''</t>
  </si>
  <si>
    <t>Spore- Parafilm+ SD G'</t>
  </si>
  <si>
    <t>Spore- Parafilm+ SD G''</t>
  </si>
  <si>
    <t>PGA- Parafilm- average G'</t>
  </si>
  <si>
    <t>PGA- Parafilm- average G''</t>
  </si>
  <si>
    <t>PGA- Parafilm- SD G'</t>
  </si>
  <si>
    <t>PGA- Parafilm- SD G''</t>
  </si>
  <si>
    <t>PGA- Parafilm+ average G'</t>
  </si>
  <si>
    <t>PGA- Parafilm+ average G''</t>
  </si>
  <si>
    <t>PGA- Parafilm+ SD G'</t>
  </si>
  <si>
    <t>PGA- Parafilm+ SD G''</t>
  </si>
  <si>
    <t>EPS- Parafilm- average G'</t>
  </si>
  <si>
    <t>EPS- Parafilm- average G''</t>
  </si>
  <si>
    <t>EPS- Parafilm- SD G'</t>
  </si>
  <si>
    <t>EPS- Parafilm- SD G''</t>
  </si>
  <si>
    <t>EPS- Parafilm+ average G'</t>
  </si>
  <si>
    <t>EPS- Parafilm+ average G''</t>
  </si>
  <si>
    <t>EPS- Parafilm+ SD G'</t>
  </si>
  <si>
    <t>EPS- Parafilm+ SD G''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</si>
</sst>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/>
    <xf numFmtId="11" fontId="0" fillId="0" borderId="0" xfId="0" applyNumberFormat="1" applyAlignment="1">
      <alignment vertical="center" wrapText="1"/>
    </xf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'1233 parafilm- 72 hpi'!$C$1:$C$2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'1233 parafilm- 72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'1233 parafilm- 72 hpi'!$C$3:$C$13</c:f>
              <c:numCache>
                <c:formatCode>0.00E+00</c:formatCode>
                <c:ptCount val="11"/>
                <c:pt idx="0">
                  <c:v>5.4518500000000001E-4</c:v>
                </c:pt>
                <c:pt idx="1">
                  <c:v>5.8967399999999999E-4</c:v>
                </c:pt>
                <c:pt idx="2">
                  <c:v>6.3202699999999996E-4</c:v>
                </c:pt>
                <c:pt idx="3">
                  <c:v>6.7476099999999996E-4</c:v>
                </c:pt>
                <c:pt idx="4">
                  <c:v>7.1595100000000004E-4</c:v>
                </c:pt>
                <c:pt idx="5">
                  <c:v>7.5572900000000001E-4</c:v>
                </c:pt>
                <c:pt idx="6">
                  <c:v>7.9732299999999996E-4</c:v>
                </c:pt>
                <c:pt idx="7">
                  <c:v>8.4079700000000001E-4</c:v>
                </c:pt>
                <c:pt idx="8">
                  <c:v>8.9048000000000003E-4</c:v>
                </c:pt>
                <c:pt idx="9">
                  <c:v>9.5527399999999999E-4</c:v>
                </c:pt>
                <c:pt idx="10">
                  <c:v>1.0439900000000001E-3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93-413E-87DC-C2FECA732D53}"/>
            </c:ext>
          </c:extLst>
        </c:ser>
        <c:ser>
          <c:idx val="1"/>
          <c:order val="1"/>
          <c:tx>
            <c:strRef>
              <c:f>'1233 parafilm- 72 hpi'!$D$1:$D$2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'1233 parafilm- 72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'1233 parafilm- 72 hpi'!$D$3:$D$13</c:f>
              <c:numCache>
                <c:formatCode>0.00E+00</c:formatCode>
                <c:ptCount val="11"/>
                <c:pt idx="0">
                  <c:v>1.45317E-4</c:v>
                </c:pt>
                <c:pt idx="1">
                  <c:v>1.4339999999999999E-4</c:v>
                </c:pt>
                <c:pt idx="2">
                  <c:v>1.43886E-4</c:v>
                </c:pt>
                <c:pt idx="3">
                  <c:v>1.43604E-4</c:v>
                </c:pt>
                <c:pt idx="4">
                  <c:v>1.4553799999999999E-4</c:v>
                </c:pt>
                <c:pt idx="5">
                  <c:v>1.4944599999999999E-4</c:v>
                </c:pt>
                <c:pt idx="6">
                  <c:v>1.5793799999999999E-4</c:v>
                </c:pt>
                <c:pt idx="7">
                  <c:v>1.7012799999999999E-4</c:v>
                </c:pt>
                <c:pt idx="8">
                  <c:v>1.8423100000000001E-4</c:v>
                </c:pt>
                <c:pt idx="9">
                  <c:v>2.04312E-4</c:v>
                </c:pt>
                <c:pt idx="10">
                  <c:v>2.31268E-4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93-413E-87DC-C2FECA732D53}"/>
            </c:ext>
          </c:extLst>
        </c:ser>
        <c:ser>
          <c:idx val="2"/>
          <c:order val="2"/>
          <c:tx>
            <c:strRef>
              <c:f>'1233 parafilm- 72 hpi'!$F$1:$F$2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'1233 parafilm- 72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'1233 parafilm- 72 hpi'!$F$3:$F$13</c:f>
              <c:numCache>
                <c:formatCode>0.00E+00</c:formatCode>
                <c:ptCount val="11"/>
                <c:pt idx="0">
                  <c:v>6.5222399999999997E-4</c:v>
                </c:pt>
                <c:pt idx="1">
                  <c:v>6.9799200000000004E-4</c:v>
                </c:pt>
                <c:pt idx="2">
                  <c:v>7.4686700000000002E-4</c:v>
                </c:pt>
                <c:pt idx="3">
                  <c:v>7.9069199999999996E-4</c:v>
                </c:pt>
                <c:pt idx="4">
                  <c:v>8.35756E-4</c:v>
                </c:pt>
                <c:pt idx="5">
                  <c:v>8.8013200000000005E-4</c:v>
                </c:pt>
                <c:pt idx="6">
                  <c:v>9.2325600000000001E-4</c:v>
                </c:pt>
                <c:pt idx="7">
                  <c:v>9.6875399999999995E-4</c:v>
                </c:pt>
                <c:pt idx="8">
                  <c:v>1.0144500000000001E-3</c:v>
                </c:pt>
                <c:pt idx="9">
                  <c:v>1.0638100000000001E-3</c:v>
                </c:pt>
                <c:pt idx="10">
                  <c:v>1.1073599999999999E-3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93-413E-87DC-C2FECA732D53}"/>
            </c:ext>
          </c:extLst>
        </c:ser>
        <c:ser>
          <c:idx val="3"/>
          <c:order val="3"/>
          <c:tx>
            <c:strRef>
              <c:f>'1233 parafilm- 72 hpi'!$G$1:$G$2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'1233 parafilm- 72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'1233 parafilm- 72 hpi'!$G$3:$G$13</c:f>
              <c:numCache>
                <c:formatCode>0.00E+00</c:formatCode>
                <c:ptCount val="11"/>
                <c:pt idx="0">
                  <c:v>1.5833500000000001E-4</c:v>
                </c:pt>
                <c:pt idx="1">
                  <c:v>1.57081E-4</c:v>
                </c:pt>
                <c:pt idx="2">
                  <c:v>1.5827199999999999E-4</c:v>
                </c:pt>
                <c:pt idx="3">
                  <c:v>1.60889E-4</c:v>
                </c:pt>
                <c:pt idx="4">
                  <c:v>1.6688299999999999E-4</c:v>
                </c:pt>
                <c:pt idx="5">
                  <c:v>1.6988499999999999E-4</c:v>
                </c:pt>
                <c:pt idx="6">
                  <c:v>1.7888499999999999E-4</c:v>
                </c:pt>
                <c:pt idx="7">
                  <c:v>1.9004199999999999E-4</c:v>
                </c:pt>
                <c:pt idx="8">
                  <c:v>2.05346E-4</c:v>
                </c:pt>
                <c:pt idx="9">
                  <c:v>2.2575399999999999E-4</c:v>
                </c:pt>
                <c:pt idx="10">
                  <c:v>2.6090899999999998E-4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93-413E-87DC-C2FECA732D53}"/>
            </c:ext>
          </c:extLst>
        </c:ser>
        <c:ser>
          <c:idx val="4"/>
          <c:order val="4"/>
          <c:tx>
            <c:strRef>
              <c:f>'1233 parafilm- 72 hpi'!$I$1:$I$2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'1233 parafilm- 72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'1233 parafilm- 72 hpi'!$I$3:$I$13</c:f>
              <c:numCache>
                <c:formatCode>0.00E+00</c:formatCode>
                <c:ptCount val="11"/>
                <c:pt idx="0">
                  <c:v>6.0644300000000002E-4</c:v>
                </c:pt>
                <c:pt idx="1">
                  <c:v>6.4138900000000002E-4</c:v>
                </c:pt>
                <c:pt idx="2">
                  <c:v>6.8922899999999997E-4</c:v>
                </c:pt>
                <c:pt idx="3">
                  <c:v>7.2896799999999998E-4</c:v>
                </c:pt>
                <c:pt idx="4">
                  <c:v>7.7134000000000002E-4</c:v>
                </c:pt>
                <c:pt idx="5">
                  <c:v>8.14403E-4</c:v>
                </c:pt>
                <c:pt idx="6">
                  <c:v>8.57323E-4</c:v>
                </c:pt>
                <c:pt idx="7">
                  <c:v>9.0155499999999996E-4</c:v>
                </c:pt>
                <c:pt idx="8">
                  <c:v>9.4886000000000005E-4</c:v>
                </c:pt>
                <c:pt idx="9">
                  <c:v>1.0068900000000001E-3</c:v>
                </c:pt>
                <c:pt idx="10">
                  <c:v>1.06138E-3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93-413E-87DC-C2FECA732D53}"/>
            </c:ext>
          </c:extLst>
        </c:ser>
        <c:ser>
          <c:idx val="5"/>
          <c:order val="5"/>
          <c:tx>
            <c:strRef>
              <c:f>'1233 parafilm- 72 hpi'!$J$1:$J$2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'1233 parafilm- 72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'1233 parafilm- 72 hpi'!$J$3:$J$13</c:f>
              <c:numCache>
                <c:formatCode>0.00E+00</c:formatCode>
                <c:ptCount val="11"/>
                <c:pt idx="0">
                  <c:v>1.83203E-4</c:v>
                </c:pt>
                <c:pt idx="1">
                  <c:v>1.6706100000000001E-4</c:v>
                </c:pt>
                <c:pt idx="2">
                  <c:v>1.7337200000000001E-4</c:v>
                </c:pt>
                <c:pt idx="3">
                  <c:v>1.72036E-4</c:v>
                </c:pt>
                <c:pt idx="4">
                  <c:v>1.7147500000000001E-4</c:v>
                </c:pt>
                <c:pt idx="5">
                  <c:v>1.8277199999999999E-4</c:v>
                </c:pt>
                <c:pt idx="6">
                  <c:v>1.87061E-4</c:v>
                </c:pt>
                <c:pt idx="7">
                  <c:v>2.00946E-4</c:v>
                </c:pt>
                <c:pt idx="8">
                  <c:v>2.20433E-4</c:v>
                </c:pt>
                <c:pt idx="9">
                  <c:v>2.40838E-4</c:v>
                </c:pt>
                <c:pt idx="10">
                  <c:v>2.6867500000000001E-4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393-413E-87DC-C2FECA732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690096"/>
        <c:axId val="887683856"/>
      </c:scatterChart>
      <c:valAx>
        <c:axId val="88769009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683856"/>
        <c:crosses val="autoZero"/>
        <c:crossBetween val="midCat"/>
      </c:valAx>
      <c:valAx>
        <c:axId val="88768385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690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'1233 parafilm+ 72 hpi'!$C$1:$C$2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'1233 parafilm+ 72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'1233 parafilm+ 72 hpi'!$C$3:$C$13</c:f>
              <c:numCache>
                <c:formatCode>0.00E+00</c:formatCode>
                <c:ptCount val="11"/>
                <c:pt idx="0">
                  <c:v>5.0290899999999995E-4</c:v>
                </c:pt>
                <c:pt idx="1">
                  <c:v>5.4040200000000005E-4</c:v>
                </c:pt>
                <c:pt idx="2">
                  <c:v>5.8024800000000001E-4</c:v>
                </c:pt>
                <c:pt idx="3">
                  <c:v>6.18981E-4</c:v>
                </c:pt>
                <c:pt idx="4">
                  <c:v>6.5845300000000003E-4</c:v>
                </c:pt>
                <c:pt idx="5">
                  <c:v>6.9641899999999999E-4</c:v>
                </c:pt>
                <c:pt idx="6">
                  <c:v>7.3433799999999996E-4</c:v>
                </c:pt>
                <c:pt idx="7">
                  <c:v>7.7193400000000005E-4</c:v>
                </c:pt>
                <c:pt idx="8">
                  <c:v>8.1250699999999996E-4</c:v>
                </c:pt>
                <c:pt idx="9">
                  <c:v>8.5713100000000002E-4</c:v>
                </c:pt>
                <c:pt idx="10">
                  <c:v>8.8914199999999999E-4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40-4D13-8CC6-B449F821C7FF}"/>
            </c:ext>
          </c:extLst>
        </c:ser>
        <c:ser>
          <c:idx val="1"/>
          <c:order val="1"/>
          <c:tx>
            <c:strRef>
              <c:f>'1233 parafilm+ 72 hpi'!$D$1:$D$2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'1233 parafilm+ 72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'1233 parafilm+ 72 hpi'!$D$3:$D$13</c:f>
              <c:numCache>
                <c:formatCode>0.00E+00</c:formatCode>
                <c:ptCount val="11"/>
                <c:pt idx="0">
                  <c:v>1.38842E-4</c:v>
                </c:pt>
                <c:pt idx="1">
                  <c:v>1.38782E-4</c:v>
                </c:pt>
                <c:pt idx="2">
                  <c:v>1.3863699999999999E-4</c:v>
                </c:pt>
                <c:pt idx="3">
                  <c:v>1.4055200000000001E-4</c:v>
                </c:pt>
                <c:pt idx="4">
                  <c:v>1.47324E-4</c:v>
                </c:pt>
                <c:pt idx="5">
                  <c:v>1.4959700000000001E-4</c:v>
                </c:pt>
                <c:pt idx="6">
                  <c:v>1.5920600000000001E-4</c:v>
                </c:pt>
                <c:pt idx="7">
                  <c:v>1.6301400000000001E-4</c:v>
                </c:pt>
                <c:pt idx="8">
                  <c:v>1.77002E-4</c:v>
                </c:pt>
                <c:pt idx="9">
                  <c:v>1.9581399999999999E-4</c:v>
                </c:pt>
                <c:pt idx="10">
                  <c:v>2.1484400000000001E-4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40-4D13-8CC6-B449F821C7FF}"/>
            </c:ext>
          </c:extLst>
        </c:ser>
        <c:ser>
          <c:idx val="2"/>
          <c:order val="2"/>
          <c:tx>
            <c:strRef>
              <c:f>'1233 parafilm+ 72 hpi'!$F$1:$F$2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'1233 parafilm+ 72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'1233 parafilm+ 72 hpi'!$F$3:$F$13</c:f>
              <c:numCache>
                <c:formatCode>0.00E+00</c:formatCode>
                <c:ptCount val="11"/>
                <c:pt idx="0">
                  <c:v>3.48337E-4</c:v>
                </c:pt>
                <c:pt idx="1">
                  <c:v>3.8292799999999999E-4</c:v>
                </c:pt>
                <c:pt idx="2">
                  <c:v>4.1706000000000002E-4</c:v>
                </c:pt>
                <c:pt idx="3">
                  <c:v>4.5192499999999999E-4</c:v>
                </c:pt>
                <c:pt idx="4">
                  <c:v>4.8656900000000001E-4</c:v>
                </c:pt>
                <c:pt idx="5">
                  <c:v>5.2136299999999995E-4</c:v>
                </c:pt>
                <c:pt idx="6">
                  <c:v>5.57951E-4</c:v>
                </c:pt>
                <c:pt idx="7">
                  <c:v>5.9734299999999996E-4</c:v>
                </c:pt>
                <c:pt idx="8">
                  <c:v>6.3974099999999999E-4</c:v>
                </c:pt>
                <c:pt idx="9">
                  <c:v>6.9465300000000005E-4</c:v>
                </c:pt>
                <c:pt idx="10">
                  <c:v>7.6496799999999998E-4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40-4D13-8CC6-B449F821C7FF}"/>
            </c:ext>
          </c:extLst>
        </c:ser>
        <c:ser>
          <c:idx val="3"/>
          <c:order val="3"/>
          <c:tx>
            <c:strRef>
              <c:f>'1233 parafilm+ 72 hpi'!$G$1:$G$2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'1233 parafilm+ 72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'1233 parafilm+ 72 hpi'!$G$3:$G$13</c:f>
              <c:numCache>
                <c:formatCode>0.00E+00</c:formatCode>
                <c:ptCount val="11"/>
                <c:pt idx="0">
                  <c:v>1.2238E-4</c:v>
                </c:pt>
                <c:pt idx="1">
                  <c:v>1.2379000000000001E-4</c:v>
                </c:pt>
                <c:pt idx="2">
                  <c:v>1.3002900000000001E-4</c:v>
                </c:pt>
                <c:pt idx="3">
                  <c:v>1.33998E-4</c:v>
                </c:pt>
                <c:pt idx="4">
                  <c:v>1.3618500000000001E-4</c:v>
                </c:pt>
                <c:pt idx="5">
                  <c:v>1.3888999999999999E-4</c:v>
                </c:pt>
                <c:pt idx="6">
                  <c:v>1.4466500000000001E-4</c:v>
                </c:pt>
                <c:pt idx="7">
                  <c:v>1.53771E-4</c:v>
                </c:pt>
                <c:pt idx="8">
                  <c:v>1.58598E-4</c:v>
                </c:pt>
                <c:pt idx="9">
                  <c:v>1.6949099999999999E-4</c:v>
                </c:pt>
                <c:pt idx="10">
                  <c:v>1.8445000000000001E-4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40-4D13-8CC6-B449F821C7FF}"/>
            </c:ext>
          </c:extLst>
        </c:ser>
        <c:ser>
          <c:idx val="4"/>
          <c:order val="4"/>
          <c:tx>
            <c:strRef>
              <c:f>'1233 parafilm+ 72 hpi'!$I$1:$I$2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'1233 parafilm+ 72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'1233 parafilm+ 72 hpi'!$I$3:$I$13</c:f>
              <c:numCache>
                <c:formatCode>0.00E+00</c:formatCode>
                <c:ptCount val="11"/>
                <c:pt idx="0">
                  <c:v>7.7786100000000003E-4</c:v>
                </c:pt>
                <c:pt idx="1">
                  <c:v>8.2908000000000005E-4</c:v>
                </c:pt>
                <c:pt idx="2">
                  <c:v>8.7865600000000001E-4</c:v>
                </c:pt>
                <c:pt idx="3">
                  <c:v>9.2687599999999998E-4</c:v>
                </c:pt>
                <c:pt idx="4">
                  <c:v>9.7566199999999997E-4</c:v>
                </c:pt>
                <c:pt idx="5">
                  <c:v>1.0227299999999999E-3</c:v>
                </c:pt>
                <c:pt idx="6">
                  <c:v>1.0708200000000001E-3</c:v>
                </c:pt>
                <c:pt idx="7">
                  <c:v>1.1207999999999999E-3</c:v>
                </c:pt>
                <c:pt idx="8">
                  <c:v>1.1756399999999999E-3</c:v>
                </c:pt>
                <c:pt idx="9">
                  <c:v>1.2470599999999999E-3</c:v>
                </c:pt>
                <c:pt idx="10">
                  <c:v>1.3391099999999999E-3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40-4D13-8CC6-B449F821C7FF}"/>
            </c:ext>
          </c:extLst>
        </c:ser>
        <c:ser>
          <c:idx val="5"/>
          <c:order val="5"/>
          <c:tx>
            <c:strRef>
              <c:f>'1233 parafilm+ 72 hpi'!$J$1:$J$2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'1233 parafilm+ 72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'1233 parafilm+ 72 hpi'!$J$3:$J$13</c:f>
              <c:numCache>
                <c:formatCode>0.00E+00</c:formatCode>
                <c:ptCount val="11"/>
                <c:pt idx="0">
                  <c:v>1.68276E-4</c:v>
                </c:pt>
                <c:pt idx="1">
                  <c:v>1.6956100000000001E-4</c:v>
                </c:pt>
                <c:pt idx="2">
                  <c:v>1.6718700000000001E-4</c:v>
                </c:pt>
                <c:pt idx="3">
                  <c:v>1.6640200000000001E-4</c:v>
                </c:pt>
                <c:pt idx="4">
                  <c:v>1.70796E-4</c:v>
                </c:pt>
                <c:pt idx="5">
                  <c:v>1.7401600000000001E-4</c:v>
                </c:pt>
                <c:pt idx="6">
                  <c:v>1.81662E-4</c:v>
                </c:pt>
                <c:pt idx="7">
                  <c:v>1.9228499999999999E-4</c:v>
                </c:pt>
                <c:pt idx="8">
                  <c:v>2.0580800000000001E-4</c:v>
                </c:pt>
                <c:pt idx="9">
                  <c:v>2.2559699999999999E-4</c:v>
                </c:pt>
                <c:pt idx="10">
                  <c:v>2.5355199999999999E-4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E40-4D13-8CC6-B449F821C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342336"/>
        <c:axId val="1012340416"/>
      </c:scatterChart>
      <c:valAx>
        <c:axId val="10123423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340416"/>
        <c:crosses val="autoZero"/>
        <c:crossBetween val="midCat"/>
      </c:valAx>
      <c:valAx>
        <c:axId val="101234041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342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'1234 parafilm- 72 hpi'!$C$1:$C$2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'1234 parafilm- 72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'1234 parafilm- 72 hpi'!$C$3:$C$13</c:f>
              <c:numCache>
                <c:formatCode>0.00E+00</c:formatCode>
                <c:ptCount val="11"/>
                <c:pt idx="0">
                  <c:v>6.6664000000000003E-4</c:v>
                </c:pt>
                <c:pt idx="1">
                  <c:v>6.9133499999999995E-4</c:v>
                </c:pt>
                <c:pt idx="2">
                  <c:v>7.13304E-4</c:v>
                </c:pt>
                <c:pt idx="3">
                  <c:v>7.3934200000000004E-4</c:v>
                </c:pt>
                <c:pt idx="4">
                  <c:v>7.6710700000000005E-4</c:v>
                </c:pt>
                <c:pt idx="5">
                  <c:v>7.9238799999999999E-4</c:v>
                </c:pt>
                <c:pt idx="6">
                  <c:v>8.2117500000000005E-4</c:v>
                </c:pt>
                <c:pt idx="7">
                  <c:v>8.5508199999999996E-4</c:v>
                </c:pt>
                <c:pt idx="8">
                  <c:v>8.8961200000000002E-4</c:v>
                </c:pt>
                <c:pt idx="9">
                  <c:v>9.4129000000000001E-4</c:v>
                </c:pt>
                <c:pt idx="10">
                  <c:v>1.00511E-3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29-437E-8AD6-D33513270652}"/>
            </c:ext>
          </c:extLst>
        </c:ser>
        <c:ser>
          <c:idx val="1"/>
          <c:order val="1"/>
          <c:tx>
            <c:strRef>
              <c:f>'1234 parafilm- 72 hpi'!$D$1:$D$2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'1234 parafilm- 72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'1234 parafilm- 72 hpi'!$D$3:$D$13</c:f>
              <c:numCache>
                <c:formatCode>0.00E+00</c:formatCode>
                <c:ptCount val="11"/>
                <c:pt idx="0">
                  <c:v>1.04685E-4</c:v>
                </c:pt>
                <c:pt idx="1">
                  <c:v>1.0618700000000001E-4</c:v>
                </c:pt>
                <c:pt idx="2">
                  <c:v>1.0281300000000001E-4</c:v>
                </c:pt>
                <c:pt idx="3">
                  <c:v>1.04542E-4</c:v>
                </c:pt>
                <c:pt idx="4">
                  <c:v>1.06173E-4</c:v>
                </c:pt>
                <c:pt idx="5">
                  <c:v>1.18775E-4</c:v>
                </c:pt>
                <c:pt idx="6">
                  <c:v>1.26642E-4</c:v>
                </c:pt>
                <c:pt idx="7">
                  <c:v>1.4391499999999999E-4</c:v>
                </c:pt>
                <c:pt idx="8">
                  <c:v>1.51213E-4</c:v>
                </c:pt>
                <c:pt idx="9">
                  <c:v>1.6431099999999999E-4</c:v>
                </c:pt>
                <c:pt idx="10">
                  <c:v>1.76558E-4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29-437E-8AD6-D33513270652}"/>
            </c:ext>
          </c:extLst>
        </c:ser>
        <c:ser>
          <c:idx val="2"/>
          <c:order val="2"/>
          <c:tx>
            <c:strRef>
              <c:f>'1234 parafilm- 72 hpi'!$F$1:$F$2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'1234 parafilm- 72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'1234 parafilm- 72 hpi'!$F$3:$F$13</c:f>
              <c:numCache>
                <c:formatCode>0.00E+00</c:formatCode>
                <c:ptCount val="11"/>
                <c:pt idx="0">
                  <c:v>6.0757900000000002E-4</c:v>
                </c:pt>
                <c:pt idx="1">
                  <c:v>6.4144099999999997E-4</c:v>
                </c:pt>
                <c:pt idx="2">
                  <c:v>6.6795400000000001E-4</c:v>
                </c:pt>
                <c:pt idx="3">
                  <c:v>6.9148899999999999E-4</c:v>
                </c:pt>
                <c:pt idx="4">
                  <c:v>7.1550699999999999E-4</c:v>
                </c:pt>
                <c:pt idx="5">
                  <c:v>7.3834300000000003E-4</c:v>
                </c:pt>
                <c:pt idx="6">
                  <c:v>7.6564500000000002E-4</c:v>
                </c:pt>
                <c:pt idx="7">
                  <c:v>7.9206299999999997E-4</c:v>
                </c:pt>
                <c:pt idx="8">
                  <c:v>8.2110400000000002E-4</c:v>
                </c:pt>
                <c:pt idx="9">
                  <c:v>8.55553E-4</c:v>
                </c:pt>
                <c:pt idx="10">
                  <c:v>8.8628899999999996E-4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29-437E-8AD6-D33513270652}"/>
            </c:ext>
          </c:extLst>
        </c:ser>
        <c:ser>
          <c:idx val="3"/>
          <c:order val="3"/>
          <c:tx>
            <c:strRef>
              <c:f>'1234 parafilm- 72 hpi'!$G$1:$G$2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'1234 parafilm- 72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'1234 parafilm- 72 hpi'!$G$3:$G$13</c:f>
              <c:numCache>
                <c:formatCode>0.00E+00</c:formatCode>
                <c:ptCount val="11"/>
                <c:pt idx="0">
                  <c:v>9.9909199999999995E-5</c:v>
                </c:pt>
                <c:pt idx="1">
                  <c:v>9.8986099999999997E-5</c:v>
                </c:pt>
                <c:pt idx="2">
                  <c:v>9.7977499999999995E-5</c:v>
                </c:pt>
                <c:pt idx="3">
                  <c:v>1.04626E-4</c:v>
                </c:pt>
                <c:pt idx="4">
                  <c:v>1.07637E-4</c:v>
                </c:pt>
                <c:pt idx="5">
                  <c:v>1.0761599999999999E-4</c:v>
                </c:pt>
                <c:pt idx="6">
                  <c:v>1.2211399999999999E-4</c:v>
                </c:pt>
                <c:pt idx="7">
                  <c:v>1.2732299999999999E-4</c:v>
                </c:pt>
                <c:pt idx="8">
                  <c:v>1.3389700000000001E-4</c:v>
                </c:pt>
                <c:pt idx="9">
                  <c:v>1.44E-4</c:v>
                </c:pt>
                <c:pt idx="10">
                  <c:v>1.5909400000000001E-4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29-437E-8AD6-D33513270652}"/>
            </c:ext>
          </c:extLst>
        </c:ser>
        <c:ser>
          <c:idx val="4"/>
          <c:order val="4"/>
          <c:tx>
            <c:strRef>
              <c:f>'1234 parafilm- 72 hpi'!$I$1:$I$2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'1234 parafilm- 72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'1234 parafilm- 72 hpi'!$I$3:$I$13</c:f>
              <c:numCache>
                <c:formatCode>0.00E+00</c:formatCode>
                <c:ptCount val="11"/>
                <c:pt idx="0">
                  <c:v>7.6661299999999997E-4</c:v>
                </c:pt>
                <c:pt idx="1">
                  <c:v>7.9860300000000005E-4</c:v>
                </c:pt>
                <c:pt idx="2">
                  <c:v>8.26164E-4</c:v>
                </c:pt>
                <c:pt idx="3">
                  <c:v>8.4986800000000004E-4</c:v>
                </c:pt>
                <c:pt idx="4">
                  <c:v>8.7952099999999997E-4</c:v>
                </c:pt>
                <c:pt idx="5">
                  <c:v>9.0967700000000001E-4</c:v>
                </c:pt>
                <c:pt idx="6">
                  <c:v>9.3749000000000002E-4</c:v>
                </c:pt>
                <c:pt idx="7">
                  <c:v>9.7176200000000004E-4</c:v>
                </c:pt>
                <c:pt idx="8">
                  <c:v>1.00844E-3</c:v>
                </c:pt>
                <c:pt idx="9">
                  <c:v>1.0559899999999999E-3</c:v>
                </c:pt>
                <c:pt idx="10">
                  <c:v>1.1165700000000001E-3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29-437E-8AD6-D33513270652}"/>
            </c:ext>
          </c:extLst>
        </c:ser>
        <c:ser>
          <c:idx val="5"/>
          <c:order val="5"/>
          <c:tx>
            <c:strRef>
              <c:f>'1234 parafilm- 72 hpi'!$J$1:$J$2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'1234 parafilm- 72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'1234 parafilm- 72 hpi'!$J$3:$J$13</c:f>
              <c:numCache>
                <c:formatCode>0.00E+00</c:formatCode>
                <c:ptCount val="11"/>
                <c:pt idx="0">
                  <c:v>1.40598E-4</c:v>
                </c:pt>
                <c:pt idx="1">
                  <c:v>1.4214499999999999E-4</c:v>
                </c:pt>
                <c:pt idx="2">
                  <c:v>1.41049E-4</c:v>
                </c:pt>
                <c:pt idx="3">
                  <c:v>1.3635700000000001E-4</c:v>
                </c:pt>
                <c:pt idx="4">
                  <c:v>1.44184E-4</c:v>
                </c:pt>
                <c:pt idx="5">
                  <c:v>1.5155600000000001E-4</c:v>
                </c:pt>
                <c:pt idx="6">
                  <c:v>1.5330699999999999E-4</c:v>
                </c:pt>
                <c:pt idx="7">
                  <c:v>1.64792E-4</c:v>
                </c:pt>
                <c:pt idx="8">
                  <c:v>1.7732499999999999E-4</c:v>
                </c:pt>
                <c:pt idx="9">
                  <c:v>1.8325899999999999E-4</c:v>
                </c:pt>
                <c:pt idx="10">
                  <c:v>2.0433300000000001E-4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29-437E-8AD6-D33513270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677616"/>
        <c:axId val="887679536"/>
      </c:scatterChart>
      <c:valAx>
        <c:axId val="88767761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679536"/>
        <c:crosses val="autoZero"/>
        <c:crossBetween val="midCat"/>
      </c:valAx>
      <c:valAx>
        <c:axId val="88767953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677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'1234 parafilm+ 72 hpi'!$C$1:$C$2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'1234 parafilm+ 72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'1234 parafilm+ 72 hpi'!$C$3:$C$13</c:f>
              <c:numCache>
                <c:formatCode>0.00E+00</c:formatCode>
                <c:ptCount val="11"/>
                <c:pt idx="0">
                  <c:v>1.8086000000000001E-3</c:v>
                </c:pt>
                <c:pt idx="1">
                  <c:v>1.8792800000000001E-3</c:v>
                </c:pt>
                <c:pt idx="2">
                  <c:v>1.9461000000000001E-3</c:v>
                </c:pt>
                <c:pt idx="3">
                  <c:v>2.0103899999999999E-3</c:v>
                </c:pt>
                <c:pt idx="4">
                  <c:v>2.0796199999999999E-3</c:v>
                </c:pt>
                <c:pt idx="5">
                  <c:v>2.1511999999999998E-3</c:v>
                </c:pt>
                <c:pt idx="6">
                  <c:v>2.2287100000000001E-3</c:v>
                </c:pt>
                <c:pt idx="7">
                  <c:v>2.3042700000000002E-3</c:v>
                </c:pt>
                <c:pt idx="8">
                  <c:v>2.3844600000000001E-3</c:v>
                </c:pt>
                <c:pt idx="9">
                  <c:v>2.4735600000000001E-3</c:v>
                </c:pt>
                <c:pt idx="10">
                  <c:v>2.5932400000000001E-3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58-4C96-A7CD-70895DEC50AB}"/>
            </c:ext>
          </c:extLst>
        </c:ser>
        <c:ser>
          <c:idx val="1"/>
          <c:order val="1"/>
          <c:tx>
            <c:strRef>
              <c:f>'1234 parafilm+ 72 hpi'!$D$1:$D$2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'1234 parafilm+ 72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'1234 parafilm+ 72 hpi'!$D$3:$D$13</c:f>
              <c:numCache>
                <c:formatCode>0.00E+00</c:formatCode>
                <c:ptCount val="11"/>
                <c:pt idx="0">
                  <c:v>2.60284E-4</c:v>
                </c:pt>
                <c:pt idx="1">
                  <c:v>2.5317599999999998E-4</c:v>
                </c:pt>
                <c:pt idx="2">
                  <c:v>2.5794199999999999E-4</c:v>
                </c:pt>
                <c:pt idx="3">
                  <c:v>2.6340000000000001E-4</c:v>
                </c:pt>
                <c:pt idx="4">
                  <c:v>2.6995300000000002E-4</c:v>
                </c:pt>
                <c:pt idx="5">
                  <c:v>2.80067E-4</c:v>
                </c:pt>
                <c:pt idx="6">
                  <c:v>2.9455799999999999E-4</c:v>
                </c:pt>
                <c:pt idx="7">
                  <c:v>2.9895900000000001E-4</c:v>
                </c:pt>
                <c:pt idx="8">
                  <c:v>3.0757899999999999E-4</c:v>
                </c:pt>
                <c:pt idx="9">
                  <c:v>3.1891599999999998E-4</c:v>
                </c:pt>
                <c:pt idx="10">
                  <c:v>3.3616899999999999E-4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58-4C96-A7CD-70895DEC50AB}"/>
            </c:ext>
          </c:extLst>
        </c:ser>
        <c:ser>
          <c:idx val="2"/>
          <c:order val="2"/>
          <c:tx>
            <c:strRef>
              <c:f>'1234 parafilm+ 72 hpi'!$F$1:$F$2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'1234 parafilm+ 72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'1234 parafilm+ 72 hpi'!$F$3:$F$13</c:f>
              <c:numCache>
                <c:formatCode>0.00E+00</c:formatCode>
                <c:ptCount val="11"/>
                <c:pt idx="0">
                  <c:v>1.16643E-3</c:v>
                </c:pt>
                <c:pt idx="1">
                  <c:v>1.21981E-3</c:v>
                </c:pt>
                <c:pt idx="2">
                  <c:v>1.2622899999999999E-3</c:v>
                </c:pt>
                <c:pt idx="3">
                  <c:v>1.30401E-3</c:v>
                </c:pt>
                <c:pt idx="4">
                  <c:v>1.3478100000000001E-3</c:v>
                </c:pt>
                <c:pt idx="5">
                  <c:v>1.39208E-3</c:v>
                </c:pt>
                <c:pt idx="6">
                  <c:v>1.43589E-3</c:v>
                </c:pt>
                <c:pt idx="7">
                  <c:v>1.4752999999999999E-3</c:v>
                </c:pt>
                <c:pt idx="8">
                  <c:v>1.51392E-3</c:v>
                </c:pt>
                <c:pt idx="9">
                  <c:v>1.5567999999999999E-3</c:v>
                </c:pt>
                <c:pt idx="10">
                  <c:v>1.5955699999999999E-3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58-4C96-A7CD-70895DEC50AB}"/>
            </c:ext>
          </c:extLst>
        </c:ser>
        <c:ser>
          <c:idx val="3"/>
          <c:order val="3"/>
          <c:tx>
            <c:strRef>
              <c:f>'1234 parafilm+ 72 hpi'!$G$1:$G$2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'1234 parafilm+ 72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'1234 parafilm+ 72 hpi'!$G$3:$G$13</c:f>
              <c:numCache>
                <c:formatCode>0.00E+00</c:formatCode>
                <c:ptCount val="11"/>
                <c:pt idx="0">
                  <c:v>1.7782599999999999E-4</c:v>
                </c:pt>
                <c:pt idx="1">
                  <c:v>1.7188199999999999E-4</c:v>
                </c:pt>
                <c:pt idx="2">
                  <c:v>1.60202E-4</c:v>
                </c:pt>
                <c:pt idx="3">
                  <c:v>1.65995E-4</c:v>
                </c:pt>
                <c:pt idx="4">
                  <c:v>1.7475499999999999E-4</c:v>
                </c:pt>
                <c:pt idx="5">
                  <c:v>1.75539E-4</c:v>
                </c:pt>
                <c:pt idx="6">
                  <c:v>1.8858699999999999E-4</c:v>
                </c:pt>
                <c:pt idx="7">
                  <c:v>1.9427499999999999E-4</c:v>
                </c:pt>
                <c:pt idx="8">
                  <c:v>1.94942E-4</c:v>
                </c:pt>
                <c:pt idx="9">
                  <c:v>2.02232E-4</c:v>
                </c:pt>
                <c:pt idx="10">
                  <c:v>2.20526E-4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58-4C96-A7CD-70895DEC50AB}"/>
            </c:ext>
          </c:extLst>
        </c:ser>
        <c:ser>
          <c:idx val="4"/>
          <c:order val="4"/>
          <c:tx>
            <c:strRef>
              <c:f>'1234 parafilm+ 72 hpi'!$I$1:$I$2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'1234 parafilm+ 72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'1234 parafilm+ 72 hpi'!$I$3:$I$13</c:f>
              <c:numCache>
                <c:formatCode>0.00E+00</c:formatCode>
                <c:ptCount val="11"/>
                <c:pt idx="0">
                  <c:v>1.67169E-3</c:v>
                </c:pt>
                <c:pt idx="1">
                  <c:v>1.73077E-3</c:v>
                </c:pt>
                <c:pt idx="2">
                  <c:v>1.786E-3</c:v>
                </c:pt>
                <c:pt idx="3">
                  <c:v>1.84541E-3</c:v>
                </c:pt>
                <c:pt idx="4">
                  <c:v>1.90244E-3</c:v>
                </c:pt>
                <c:pt idx="5">
                  <c:v>1.9632400000000002E-3</c:v>
                </c:pt>
                <c:pt idx="6">
                  <c:v>2.0255300000000002E-3</c:v>
                </c:pt>
                <c:pt idx="7">
                  <c:v>2.0875799999999999E-3</c:v>
                </c:pt>
                <c:pt idx="8">
                  <c:v>2.1474300000000001E-3</c:v>
                </c:pt>
                <c:pt idx="9">
                  <c:v>2.2100000000000002E-3</c:v>
                </c:pt>
                <c:pt idx="10">
                  <c:v>2.2713299999999998E-3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58-4C96-A7CD-70895DEC50AB}"/>
            </c:ext>
          </c:extLst>
        </c:ser>
        <c:ser>
          <c:idx val="5"/>
          <c:order val="5"/>
          <c:tx>
            <c:strRef>
              <c:f>'1234 parafilm+ 72 hpi'!$J$1:$J$2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'1234 parafilm+ 72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'1234 parafilm+ 72 hpi'!$J$3:$J$13</c:f>
              <c:numCache>
                <c:formatCode>0.00E+00</c:formatCode>
                <c:ptCount val="11"/>
                <c:pt idx="0">
                  <c:v>2.1775700000000001E-4</c:v>
                </c:pt>
                <c:pt idx="1">
                  <c:v>2.13024E-4</c:v>
                </c:pt>
                <c:pt idx="2">
                  <c:v>2.1976E-4</c:v>
                </c:pt>
                <c:pt idx="3">
                  <c:v>2.2611899999999999E-4</c:v>
                </c:pt>
                <c:pt idx="4">
                  <c:v>2.2795700000000001E-4</c:v>
                </c:pt>
                <c:pt idx="5">
                  <c:v>2.3268599999999999E-4</c:v>
                </c:pt>
                <c:pt idx="6">
                  <c:v>2.3250199999999999E-4</c:v>
                </c:pt>
                <c:pt idx="7">
                  <c:v>2.42768E-4</c:v>
                </c:pt>
                <c:pt idx="8">
                  <c:v>2.5201999999999999E-4</c:v>
                </c:pt>
                <c:pt idx="9">
                  <c:v>2.6240500000000001E-4</c:v>
                </c:pt>
                <c:pt idx="10">
                  <c:v>2.7628499999999997E-4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D58-4C96-A7CD-70895DEC5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686256"/>
        <c:axId val="887678576"/>
      </c:scatterChart>
      <c:valAx>
        <c:axId val="88768625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678576"/>
        <c:crosses val="autoZero"/>
        <c:crossBetween val="midCat"/>
      </c:valAx>
      <c:valAx>
        <c:axId val="88767857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686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'1250 parafilm- 72 hpi'!$C$1:$C$2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'1250 parafilm- 72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'1250 parafilm- 72 hpi'!$C$3:$C$13</c:f>
              <c:numCache>
                <c:formatCode>0.00E+00</c:formatCode>
                <c:ptCount val="11"/>
                <c:pt idx="0">
                  <c:v>6.18726E-4</c:v>
                </c:pt>
                <c:pt idx="1">
                  <c:v>6.6174799999999998E-4</c:v>
                </c:pt>
                <c:pt idx="2">
                  <c:v>7.0672699999999998E-4</c:v>
                </c:pt>
                <c:pt idx="3">
                  <c:v>7.4834299999999995E-4</c:v>
                </c:pt>
                <c:pt idx="4">
                  <c:v>7.9254200000000003E-4</c:v>
                </c:pt>
                <c:pt idx="5">
                  <c:v>8.3531700000000003E-4</c:v>
                </c:pt>
                <c:pt idx="6">
                  <c:v>8.7551100000000004E-4</c:v>
                </c:pt>
                <c:pt idx="7">
                  <c:v>9.1944300000000004E-4</c:v>
                </c:pt>
                <c:pt idx="8">
                  <c:v>9.6311900000000002E-4</c:v>
                </c:pt>
                <c:pt idx="9">
                  <c:v>1.0146000000000001E-3</c:v>
                </c:pt>
                <c:pt idx="10">
                  <c:v>1.06003E-3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4B-4B9D-A0CB-3A22BAA3D8E1}"/>
            </c:ext>
          </c:extLst>
        </c:ser>
        <c:ser>
          <c:idx val="1"/>
          <c:order val="1"/>
          <c:tx>
            <c:strRef>
              <c:f>'1250 parafilm- 72 hpi'!$D$1:$D$2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'1250 parafilm- 72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'1250 parafilm- 72 hpi'!$D$3:$D$13</c:f>
              <c:numCache>
                <c:formatCode>0.00E+00</c:formatCode>
                <c:ptCount val="11"/>
                <c:pt idx="0">
                  <c:v>1.5607800000000001E-4</c:v>
                </c:pt>
                <c:pt idx="1">
                  <c:v>1.5428100000000001E-4</c:v>
                </c:pt>
                <c:pt idx="2">
                  <c:v>1.55241E-4</c:v>
                </c:pt>
                <c:pt idx="3">
                  <c:v>1.5609599999999999E-4</c:v>
                </c:pt>
                <c:pt idx="4">
                  <c:v>1.55401E-4</c:v>
                </c:pt>
                <c:pt idx="5">
                  <c:v>1.6101599999999999E-4</c:v>
                </c:pt>
                <c:pt idx="6">
                  <c:v>1.6537E-4</c:v>
                </c:pt>
                <c:pt idx="7">
                  <c:v>1.7880399999999999E-4</c:v>
                </c:pt>
                <c:pt idx="8">
                  <c:v>1.9882E-4</c:v>
                </c:pt>
                <c:pt idx="9">
                  <c:v>2.2086499999999999E-4</c:v>
                </c:pt>
                <c:pt idx="10">
                  <c:v>2.4488299999999999E-4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4B-4B9D-A0CB-3A22BAA3D8E1}"/>
            </c:ext>
          </c:extLst>
        </c:ser>
        <c:ser>
          <c:idx val="2"/>
          <c:order val="2"/>
          <c:tx>
            <c:strRef>
              <c:f>'1250 parafilm- 72 hpi'!$F$1:$F$2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'1250 parafilm- 72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'1250 parafilm- 72 hpi'!$F$3:$F$13</c:f>
              <c:numCache>
                <c:formatCode>0.00E+00</c:formatCode>
                <c:ptCount val="11"/>
                <c:pt idx="0">
                  <c:v>5.9186600000000003E-4</c:v>
                </c:pt>
                <c:pt idx="1">
                  <c:v>6.3780399999999995E-4</c:v>
                </c:pt>
                <c:pt idx="2">
                  <c:v>6.8279300000000001E-4</c:v>
                </c:pt>
                <c:pt idx="3">
                  <c:v>7.26215E-4</c:v>
                </c:pt>
                <c:pt idx="4">
                  <c:v>7.6914300000000002E-4</c:v>
                </c:pt>
                <c:pt idx="5">
                  <c:v>8.1119799999999995E-4</c:v>
                </c:pt>
                <c:pt idx="6">
                  <c:v>8.5343599999999995E-4</c:v>
                </c:pt>
                <c:pt idx="7">
                  <c:v>8.9517399999999999E-4</c:v>
                </c:pt>
                <c:pt idx="8">
                  <c:v>9.3869899999999998E-4</c:v>
                </c:pt>
                <c:pt idx="9">
                  <c:v>9.8779100000000002E-4</c:v>
                </c:pt>
                <c:pt idx="10">
                  <c:v>1.03174E-3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4B-4B9D-A0CB-3A22BAA3D8E1}"/>
            </c:ext>
          </c:extLst>
        </c:ser>
        <c:ser>
          <c:idx val="3"/>
          <c:order val="3"/>
          <c:tx>
            <c:strRef>
              <c:f>'1250 parafilm- 72 hpi'!$G$1:$G$2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'1250 parafilm- 72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'1250 parafilm- 72 hpi'!$G$3:$G$13</c:f>
              <c:numCache>
                <c:formatCode>0.00E+00</c:formatCode>
                <c:ptCount val="11"/>
                <c:pt idx="0">
                  <c:v>1.45296E-4</c:v>
                </c:pt>
                <c:pt idx="1">
                  <c:v>1.42204E-4</c:v>
                </c:pt>
                <c:pt idx="2">
                  <c:v>1.42428E-4</c:v>
                </c:pt>
                <c:pt idx="3">
                  <c:v>1.4242200000000001E-4</c:v>
                </c:pt>
                <c:pt idx="4">
                  <c:v>1.4385400000000001E-4</c:v>
                </c:pt>
                <c:pt idx="5">
                  <c:v>1.4553499999999999E-4</c:v>
                </c:pt>
                <c:pt idx="6">
                  <c:v>1.4930799999999999E-4</c:v>
                </c:pt>
                <c:pt idx="7">
                  <c:v>1.5636299999999999E-4</c:v>
                </c:pt>
                <c:pt idx="8">
                  <c:v>1.6791399999999999E-4</c:v>
                </c:pt>
                <c:pt idx="9">
                  <c:v>1.8568400000000001E-4</c:v>
                </c:pt>
                <c:pt idx="10">
                  <c:v>2.10977E-4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4B-4B9D-A0CB-3A22BAA3D8E1}"/>
            </c:ext>
          </c:extLst>
        </c:ser>
        <c:ser>
          <c:idx val="4"/>
          <c:order val="4"/>
          <c:tx>
            <c:strRef>
              <c:f>'1250 parafilm- 72 hpi'!$I$1:$I$2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'1250 parafilm- 72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'1250 parafilm- 72 hpi'!$I$3:$I$13</c:f>
              <c:numCache>
                <c:formatCode>0.00E+00</c:formatCode>
                <c:ptCount val="11"/>
                <c:pt idx="0">
                  <c:v>6.2280799999999998E-4</c:v>
                </c:pt>
                <c:pt idx="1">
                  <c:v>6.6930699999999995E-4</c:v>
                </c:pt>
                <c:pt idx="2">
                  <c:v>7.14158E-4</c:v>
                </c:pt>
                <c:pt idx="3">
                  <c:v>7.5724899999999999E-4</c:v>
                </c:pt>
                <c:pt idx="4">
                  <c:v>8.0073299999999998E-4</c:v>
                </c:pt>
                <c:pt idx="5">
                  <c:v>8.4314100000000005E-4</c:v>
                </c:pt>
                <c:pt idx="6">
                  <c:v>8.8569600000000005E-4</c:v>
                </c:pt>
                <c:pt idx="7">
                  <c:v>9.2874699999999995E-4</c:v>
                </c:pt>
                <c:pt idx="8">
                  <c:v>9.7515899999999997E-4</c:v>
                </c:pt>
                <c:pt idx="9">
                  <c:v>1.03107E-3</c:v>
                </c:pt>
                <c:pt idx="10">
                  <c:v>1.0922900000000001E-3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4B-4B9D-A0CB-3A22BAA3D8E1}"/>
            </c:ext>
          </c:extLst>
        </c:ser>
        <c:ser>
          <c:idx val="5"/>
          <c:order val="5"/>
          <c:tx>
            <c:strRef>
              <c:f>'1250 parafilm- 72 hpi'!$J$1:$J$2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'1250 parafilm- 72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'1250 parafilm- 72 hpi'!$J$3:$J$13</c:f>
              <c:numCache>
                <c:formatCode>0.00E+00</c:formatCode>
                <c:ptCount val="11"/>
                <c:pt idx="0">
                  <c:v>1.4660199999999999E-4</c:v>
                </c:pt>
                <c:pt idx="1">
                  <c:v>1.4673400000000001E-4</c:v>
                </c:pt>
                <c:pt idx="2">
                  <c:v>1.43769E-4</c:v>
                </c:pt>
                <c:pt idx="3">
                  <c:v>1.44962E-4</c:v>
                </c:pt>
                <c:pt idx="4">
                  <c:v>1.4565300000000001E-4</c:v>
                </c:pt>
                <c:pt idx="5">
                  <c:v>1.47412E-4</c:v>
                </c:pt>
                <c:pt idx="6">
                  <c:v>1.5177100000000001E-4</c:v>
                </c:pt>
                <c:pt idx="7">
                  <c:v>1.5960799999999999E-4</c:v>
                </c:pt>
                <c:pt idx="8">
                  <c:v>1.72053E-4</c:v>
                </c:pt>
                <c:pt idx="9">
                  <c:v>1.9108499999999999E-4</c:v>
                </c:pt>
                <c:pt idx="10">
                  <c:v>2.1804999999999999E-4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4B-4B9D-A0CB-3A22BAA3D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1815056"/>
        <c:axId val="1451815536"/>
      </c:scatterChart>
      <c:valAx>
        <c:axId val="145181505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815536"/>
        <c:crosses val="autoZero"/>
        <c:crossBetween val="midCat"/>
      </c:valAx>
      <c:valAx>
        <c:axId val="145181553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815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'1250 parafilm+ 72 hpi'!$C$1:$C$2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'1250 parafilm+ 72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'1250 parafilm+ 72 hpi'!$C$3:$C$13</c:f>
              <c:numCache>
                <c:formatCode>0.00E+00</c:formatCode>
                <c:ptCount val="11"/>
                <c:pt idx="0">
                  <c:v>1.4046600000000001E-3</c:v>
                </c:pt>
                <c:pt idx="1">
                  <c:v>1.48727E-3</c:v>
                </c:pt>
                <c:pt idx="2">
                  <c:v>1.56525E-3</c:v>
                </c:pt>
                <c:pt idx="3">
                  <c:v>1.64236E-3</c:v>
                </c:pt>
                <c:pt idx="4">
                  <c:v>1.7180800000000001E-3</c:v>
                </c:pt>
                <c:pt idx="5">
                  <c:v>1.79374E-3</c:v>
                </c:pt>
                <c:pt idx="6">
                  <c:v>1.8677699999999999E-3</c:v>
                </c:pt>
                <c:pt idx="7">
                  <c:v>1.9430599999999999E-3</c:v>
                </c:pt>
                <c:pt idx="8">
                  <c:v>2.0197599999999998E-3</c:v>
                </c:pt>
                <c:pt idx="9">
                  <c:v>2.10341E-3</c:v>
                </c:pt>
                <c:pt idx="10">
                  <c:v>2.2016700000000002E-3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B4-4CDC-80F1-B20E4C670381}"/>
            </c:ext>
          </c:extLst>
        </c:ser>
        <c:ser>
          <c:idx val="1"/>
          <c:order val="1"/>
          <c:tx>
            <c:strRef>
              <c:f>'1250 parafilm+ 72 hpi'!$D$1:$D$2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'1250 parafilm+ 72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'1250 parafilm+ 72 hpi'!$D$3:$D$13</c:f>
              <c:numCache>
                <c:formatCode>0.00E+00</c:formatCode>
                <c:ptCount val="11"/>
                <c:pt idx="0">
                  <c:v>2.7174300000000002E-4</c:v>
                </c:pt>
                <c:pt idx="1">
                  <c:v>2.6164100000000001E-4</c:v>
                </c:pt>
                <c:pt idx="2">
                  <c:v>2.5801699999999998E-4</c:v>
                </c:pt>
                <c:pt idx="3">
                  <c:v>2.5480199999999999E-4</c:v>
                </c:pt>
                <c:pt idx="4">
                  <c:v>2.5608299999999999E-4</c:v>
                </c:pt>
                <c:pt idx="5">
                  <c:v>2.5891E-4</c:v>
                </c:pt>
                <c:pt idx="6">
                  <c:v>2.6637500000000001E-4</c:v>
                </c:pt>
                <c:pt idx="7">
                  <c:v>2.7854600000000001E-4</c:v>
                </c:pt>
                <c:pt idx="8">
                  <c:v>2.9828800000000001E-4</c:v>
                </c:pt>
                <c:pt idx="9">
                  <c:v>3.2694000000000001E-4</c:v>
                </c:pt>
                <c:pt idx="10">
                  <c:v>3.6645699999999999E-4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B4-4CDC-80F1-B20E4C670381}"/>
            </c:ext>
          </c:extLst>
        </c:ser>
        <c:ser>
          <c:idx val="2"/>
          <c:order val="2"/>
          <c:tx>
            <c:strRef>
              <c:f>'1250 parafilm+ 72 hpi'!$F$1:$F$2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'1250 parafilm+ 72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'1250 parafilm+ 72 hpi'!$F$3:$F$13</c:f>
              <c:numCache>
                <c:formatCode>0.00E+00</c:formatCode>
                <c:ptCount val="11"/>
                <c:pt idx="0">
                  <c:v>1.29722E-3</c:v>
                </c:pt>
                <c:pt idx="1">
                  <c:v>1.3716799999999999E-3</c:v>
                </c:pt>
                <c:pt idx="2">
                  <c:v>1.4523699999999999E-3</c:v>
                </c:pt>
                <c:pt idx="3">
                  <c:v>1.5239100000000001E-3</c:v>
                </c:pt>
                <c:pt idx="4">
                  <c:v>1.5959699999999999E-3</c:v>
                </c:pt>
                <c:pt idx="5">
                  <c:v>1.6666999999999999E-3</c:v>
                </c:pt>
                <c:pt idx="6">
                  <c:v>1.73934E-3</c:v>
                </c:pt>
                <c:pt idx="7">
                  <c:v>1.81291E-3</c:v>
                </c:pt>
                <c:pt idx="8">
                  <c:v>1.8896099999999999E-3</c:v>
                </c:pt>
                <c:pt idx="9">
                  <c:v>1.9774300000000001E-3</c:v>
                </c:pt>
                <c:pt idx="10">
                  <c:v>2.0850299999999999E-3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B4-4CDC-80F1-B20E4C670381}"/>
            </c:ext>
          </c:extLst>
        </c:ser>
        <c:ser>
          <c:idx val="3"/>
          <c:order val="3"/>
          <c:tx>
            <c:strRef>
              <c:f>'1250 parafilm+ 72 hpi'!$G$1:$G$2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'1250 parafilm+ 72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'1250 parafilm+ 72 hpi'!$G$3:$G$13</c:f>
              <c:numCache>
                <c:formatCode>0.00E+00</c:formatCode>
                <c:ptCount val="11"/>
                <c:pt idx="0">
                  <c:v>2.5499700000000003E-4</c:v>
                </c:pt>
                <c:pt idx="1">
                  <c:v>2.4424599999999999E-4</c:v>
                </c:pt>
                <c:pt idx="2">
                  <c:v>2.3882499999999999E-4</c:v>
                </c:pt>
                <c:pt idx="3">
                  <c:v>2.42081E-4</c:v>
                </c:pt>
                <c:pt idx="4">
                  <c:v>2.4298700000000001E-4</c:v>
                </c:pt>
                <c:pt idx="5">
                  <c:v>2.45021E-4</c:v>
                </c:pt>
                <c:pt idx="6">
                  <c:v>2.53718E-4</c:v>
                </c:pt>
                <c:pt idx="7">
                  <c:v>2.6747899999999999E-4</c:v>
                </c:pt>
                <c:pt idx="8">
                  <c:v>2.8822299999999999E-4</c:v>
                </c:pt>
                <c:pt idx="9">
                  <c:v>3.1743500000000003E-4</c:v>
                </c:pt>
                <c:pt idx="10">
                  <c:v>3.57268E-4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B4-4CDC-80F1-B20E4C670381}"/>
            </c:ext>
          </c:extLst>
        </c:ser>
        <c:ser>
          <c:idx val="4"/>
          <c:order val="4"/>
          <c:tx>
            <c:strRef>
              <c:f>'1250 parafilm+ 72 hpi'!$I$1:$I$2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'1250 parafilm+ 72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'1250 parafilm+ 72 hpi'!$I$3:$I$13</c:f>
              <c:numCache>
                <c:formatCode>0.00E+00</c:formatCode>
                <c:ptCount val="11"/>
                <c:pt idx="0">
                  <c:v>5.5210700000000003E-4</c:v>
                </c:pt>
                <c:pt idx="1">
                  <c:v>5.9727700000000001E-4</c:v>
                </c:pt>
                <c:pt idx="2">
                  <c:v>6.2971399999999997E-4</c:v>
                </c:pt>
                <c:pt idx="3">
                  <c:v>6.7484000000000001E-4</c:v>
                </c:pt>
                <c:pt idx="4">
                  <c:v>7.1392600000000004E-4</c:v>
                </c:pt>
                <c:pt idx="5">
                  <c:v>7.5574500000000005E-4</c:v>
                </c:pt>
                <c:pt idx="6">
                  <c:v>8.0053000000000003E-4</c:v>
                </c:pt>
                <c:pt idx="7">
                  <c:v>8.4358100000000004E-4</c:v>
                </c:pt>
                <c:pt idx="8">
                  <c:v>8.8942800000000005E-4</c:v>
                </c:pt>
                <c:pt idx="9">
                  <c:v>9.4960499999999996E-4</c:v>
                </c:pt>
                <c:pt idx="10">
                  <c:v>1.02351E-3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FB4-4CDC-80F1-B20E4C670381}"/>
            </c:ext>
          </c:extLst>
        </c:ser>
        <c:ser>
          <c:idx val="5"/>
          <c:order val="5"/>
          <c:tx>
            <c:strRef>
              <c:f>'1250 parafilm+ 72 hpi'!$J$1:$J$2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'1250 parafilm+ 72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'1250 parafilm+ 72 hpi'!$J$3:$J$13</c:f>
              <c:numCache>
                <c:formatCode>0.00E+00</c:formatCode>
                <c:ptCount val="11"/>
                <c:pt idx="0">
                  <c:v>1.5492300000000001E-4</c:v>
                </c:pt>
                <c:pt idx="1">
                  <c:v>1.55654E-4</c:v>
                </c:pt>
                <c:pt idx="2">
                  <c:v>1.54976E-4</c:v>
                </c:pt>
                <c:pt idx="3">
                  <c:v>1.5417799999999999E-4</c:v>
                </c:pt>
                <c:pt idx="4">
                  <c:v>1.53535E-4</c:v>
                </c:pt>
                <c:pt idx="5">
                  <c:v>1.56572E-4</c:v>
                </c:pt>
                <c:pt idx="6">
                  <c:v>1.7076E-4</c:v>
                </c:pt>
                <c:pt idx="7">
                  <c:v>1.8148200000000001E-4</c:v>
                </c:pt>
                <c:pt idx="8">
                  <c:v>1.9214300000000001E-4</c:v>
                </c:pt>
                <c:pt idx="9">
                  <c:v>2.1044100000000001E-4</c:v>
                </c:pt>
                <c:pt idx="10">
                  <c:v>2.3730499999999999E-4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FB4-4CDC-80F1-B20E4C670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603136"/>
        <c:axId val="870601696"/>
      </c:scatterChart>
      <c:valAx>
        <c:axId val="8706031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601696"/>
        <c:crosses val="autoZero"/>
        <c:crossBetween val="midCat"/>
      </c:valAx>
      <c:valAx>
        <c:axId val="8706016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603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'1480 parafilm- 72 hpi'!$C$1:$C$2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'1480 parafilm- 72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'1480 parafilm- 72 hpi'!$C$3:$C$13</c:f>
              <c:numCache>
                <c:formatCode>0.00E+00</c:formatCode>
                <c:ptCount val="11"/>
                <c:pt idx="0">
                  <c:v>5.5858100000000005E-4</c:v>
                </c:pt>
                <c:pt idx="1">
                  <c:v>5.98137E-4</c:v>
                </c:pt>
                <c:pt idx="2">
                  <c:v>6.4263600000000003E-4</c:v>
                </c:pt>
                <c:pt idx="3">
                  <c:v>6.8260499999999997E-4</c:v>
                </c:pt>
                <c:pt idx="4">
                  <c:v>7.26766E-4</c:v>
                </c:pt>
                <c:pt idx="5">
                  <c:v>7.66312E-4</c:v>
                </c:pt>
                <c:pt idx="6">
                  <c:v>8.1139199999999997E-4</c:v>
                </c:pt>
                <c:pt idx="7">
                  <c:v>8.54513E-4</c:v>
                </c:pt>
                <c:pt idx="8">
                  <c:v>9.0491699999999998E-4</c:v>
                </c:pt>
                <c:pt idx="9">
                  <c:v>9.6684099999999997E-4</c:v>
                </c:pt>
                <c:pt idx="10">
                  <c:v>1.03764E-3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F8-4BFF-9AF0-86EC2F58F2C1}"/>
            </c:ext>
          </c:extLst>
        </c:ser>
        <c:ser>
          <c:idx val="1"/>
          <c:order val="1"/>
          <c:tx>
            <c:strRef>
              <c:f>'1480 parafilm- 72 hpi'!$D$1:$D$2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'1480 parafilm- 72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'1480 parafilm- 72 hpi'!$D$3:$D$13</c:f>
              <c:numCache>
                <c:formatCode>0.00E+00</c:formatCode>
                <c:ptCount val="11"/>
                <c:pt idx="0">
                  <c:v>1.7972999999999999E-4</c:v>
                </c:pt>
                <c:pt idx="1">
                  <c:v>1.8114499999999999E-4</c:v>
                </c:pt>
                <c:pt idx="2">
                  <c:v>1.80259E-4</c:v>
                </c:pt>
                <c:pt idx="3">
                  <c:v>1.86999E-4</c:v>
                </c:pt>
                <c:pt idx="4">
                  <c:v>1.9101400000000001E-4</c:v>
                </c:pt>
                <c:pt idx="5">
                  <c:v>1.98292E-4</c:v>
                </c:pt>
                <c:pt idx="6">
                  <c:v>2.06763E-4</c:v>
                </c:pt>
                <c:pt idx="7">
                  <c:v>2.20948E-4</c:v>
                </c:pt>
                <c:pt idx="8">
                  <c:v>2.4131000000000001E-4</c:v>
                </c:pt>
                <c:pt idx="9">
                  <c:v>2.6730299999999999E-4</c:v>
                </c:pt>
                <c:pt idx="10">
                  <c:v>3.0019399999999999E-4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F8-4BFF-9AF0-86EC2F58F2C1}"/>
            </c:ext>
          </c:extLst>
        </c:ser>
        <c:ser>
          <c:idx val="2"/>
          <c:order val="2"/>
          <c:tx>
            <c:strRef>
              <c:f>'1480 parafilm- 72 hpi'!$F$1:$F$2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'1480 parafilm- 72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'1480 parafilm- 72 hpi'!$F$3:$F$13</c:f>
              <c:numCache>
                <c:formatCode>0.00E+00</c:formatCode>
                <c:ptCount val="11"/>
                <c:pt idx="0">
                  <c:v>5.6745799999999996E-4</c:v>
                </c:pt>
                <c:pt idx="1">
                  <c:v>6.0939800000000004E-4</c:v>
                </c:pt>
                <c:pt idx="2">
                  <c:v>6.61508E-4</c:v>
                </c:pt>
                <c:pt idx="3">
                  <c:v>6.9540300000000004E-4</c:v>
                </c:pt>
                <c:pt idx="4">
                  <c:v>7.3883100000000001E-4</c:v>
                </c:pt>
                <c:pt idx="5">
                  <c:v>7.8169899999999996E-4</c:v>
                </c:pt>
                <c:pt idx="6">
                  <c:v>8.2521899999999997E-4</c:v>
                </c:pt>
                <c:pt idx="7">
                  <c:v>8.7184399999999998E-4</c:v>
                </c:pt>
                <c:pt idx="8">
                  <c:v>9.2419699999999997E-4</c:v>
                </c:pt>
                <c:pt idx="9">
                  <c:v>9.8934499999999998E-4</c:v>
                </c:pt>
                <c:pt idx="10">
                  <c:v>1.0734900000000001E-3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F8-4BFF-9AF0-86EC2F58F2C1}"/>
            </c:ext>
          </c:extLst>
        </c:ser>
        <c:ser>
          <c:idx val="3"/>
          <c:order val="3"/>
          <c:tx>
            <c:strRef>
              <c:f>'1480 parafilm- 72 hpi'!$G$1:$G$2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'1480 parafilm- 72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'1480 parafilm- 72 hpi'!$G$3:$G$13</c:f>
              <c:numCache>
                <c:formatCode>0.00E+00</c:formatCode>
                <c:ptCount val="11"/>
                <c:pt idx="0">
                  <c:v>1.9078899999999999E-4</c:v>
                </c:pt>
                <c:pt idx="1">
                  <c:v>1.9068000000000001E-4</c:v>
                </c:pt>
                <c:pt idx="2">
                  <c:v>1.8930999999999999E-4</c:v>
                </c:pt>
                <c:pt idx="3">
                  <c:v>1.9296499999999999E-4</c:v>
                </c:pt>
                <c:pt idx="4">
                  <c:v>1.9979700000000001E-4</c:v>
                </c:pt>
                <c:pt idx="5">
                  <c:v>2.06641E-4</c:v>
                </c:pt>
                <c:pt idx="6">
                  <c:v>2.1802799999999999E-4</c:v>
                </c:pt>
                <c:pt idx="7">
                  <c:v>2.32339E-4</c:v>
                </c:pt>
                <c:pt idx="8">
                  <c:v>2.5403300000000003E-4</c:v>
                </c:pt>
                <c:pt idx="9">
                  <c:v>2.79182E-4</c:v>
                </c:pt>
                <c:pt idx="10">
                  <c:v>3.17289E-4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FF8-4BFF-9AF0-86EC2F58F2C1}"/>
            </c:ext>
          </c:extLst>
        </c:ser>
        <c:ser>
          <c:idx val="4"/>
          <c:order val="4"/>
          <c:tx>
            <c:strRef>
              <c:f>'1480 parafilm- 72 hpi'!$I$1:$I$2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'1480 parafilm- 72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'1480 parafilm- 72 hpi'!$I$3:$I$13</c:f>
              <c:numCache>
                <c:formatCode>0.00E+00</c:formatCode>
                <c:ptCount val="11"/>
                <c:pt idx="0">
                  <c:v>5.5790799999999997E-4</c:v>
                </c:pt>
                <c:pt idx="1">
                  <c:v>5.9969899999999998E-4</c:v>
                </c:pt>
                <c:pt idx="2">
                  <c:v>6.4398500000000002E-4</c:v>
                </c:pt>
                <c:pt idx="3">
                  <c:v>6.8364900000000004E-4</c:v>
                </c:pt>
                <c:pt idx="4">
                  <c:v>7.2725800000000005E-4</c:v>
                </c:pt>
                <c:pt idx="5">
                  <c:v>7.6794799999999996E-4</c:v>
                </c:pt>
                <c:pt idx="6">
                  <c:v>8.08894E-4</c:v>
                </c:pt>
                <c:pt idx="7">
                  <c:v>8.5385400000000003E-4</c:v>
                </c:pt>
                <c:pt idx="8">
                  <c:v>9.0449699999999998E-4</c:v>
                </c:pt>
                <c:pt idx="9">
                  <c:v>9.6762900000000002E-4</c:v>
                </c:pt>
                <c:pt idx="10">
                  <c:v>1.0453699999999999E-3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FF8-4BFF-9AF0-86EC2F58F2C1}"/>
            </c:ext>
          </c:extLst>
        </c:ser>
        <c:ser>
          <c:idx val="5"/>
          <c:order val="5"/>
          <c:tx>
            <c:strRef>
              <c:f>'1480 parafilm- 72 hpi'!$J$1:$J$2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'1480 parafilm- 72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'1480 parafilm- 72 hpi'!$J$3:$J$13</c:f>
              <c:numCache>
                <c:formatCode>0.00E+00</c:formatCode>
                <c:ptCount val="11"/>
                <c:pt idx="0">
                  <c:v>1.51519E-4</c:v>
                </c:pt>
                <c:pt idx="1">
                  <c:v>1.5384E-4</c:v>
                </c:pt>
                <c:pt idx="2">
                  <c:v>1.54301E-4</c:v>
                </c:pt>
                <c:pt idx="3">
                  <c:v>1.5726100000000001E-4</c:v>
                </c:pt>
                <c:pt idx="4">
                  <c:v>1.62447E-4</c:v>
                </c:pt>
                <c:pt idx="5">
                  <c:v>1.71373E-4</c:v>
                </c:pt>
                <c:pt idx="6">
                  <c:v>1.8111000000000001E-4</c:v>
                </c:pt>
                <c:pt idx="7">
                  <c:v>1.94413E-4</c:v>
                </c:pt>
                <c:pt idx="8">
                  <c:v>2.15453E-4</c:v>
                </c:pt>
                <c:pt idx="9">
                  <c:v>2.38395E-4</c:v>
                </c:pt>
                <c:pt idx="10">
                  <c:v>2.7415000000000002E-4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FF8-4BFF-9AF0-86EC2F58F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5863216"/>
        <c:axId val="1455865136"/>
      </c:scatterChart>
      <c:valAx>
        <c:axId val="145586321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865136"/>
        <c:crosses val="autoZero"/>
        <c:crossBetween val="midCat"/>
      </c:valAx>
      <c:valAx>
        <c:axId val="145586513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863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'NAD003 parafilm- 72 hpi'!$C$1:$C$2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'NAD003 parafilm- 72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'NAD003 parafilm- 72 hpi'!$C$3:$C$13</c:f>
              <c:numCache>
                <c:formatCode>0.00E+00</c:formatCode>
                <c:ptCount val="11"/>
                <c:pt idx="0">
                  <c:v>5.4618500000000003E-4</c:v>
                </c:pt>
                <c:pt idx="1">
                  <c:v>5.88442E-4</c:v>
                </c:pt>
                <c:pt idx="2">
                  <c:v>6.3031700000000003E-4</c:v>
                </c:pt>
                <c:pt idx="3">
                  <c:v>6.7068499999999997E-4</c:v>
                </c:pt>
                <c:pt idx="4">
                  <c:v>7.1006699999999999E-4</c:v>
                </c:pt>
                <c:pt idx="5">
                  <c:v>7.5023799999999997E-4</c:v>
                </c:pt>
                <c:pt idx="6">
                  <c:v>7.8962300000000004E-4</c:v>
                </c:pt>
                <c:pt idx="7">
                  <c:v>8.2918900000000003E-4</c:v>
                </c:pt>
                <c:pt idx="8">
                  <c:v>8.7174300000000002E-4</c:v>
                </c:pt>
                <c:pt idx="9">
                  <c:v>9.2142400000000001E-4</c:v>
                </c:pt>
                <c:pt idx="10">
                  <c:v>9.7074399999999995E-4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3C-401D-9137-1FA9DF7E8A6B}"/>
            </c:ext>
          </c:extLst>
        </c:ser>
        <c:ser>
          <c:idx val="1"/>
          <c:order val="1"/>
          <c:tx>
            <c:strRef>
              <c:f>'NAD003 parafilm- 72 hpi'!$D$1:$D$2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'NAD003 parafilm- 72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'NAD003 parafilm- 72 hpi'!$D$3:$D$13</c:f>
              <c:numCache>
                <c:formatCode>0.00E+00</c:formatCode>
                <c:ptCount val="11"/>
                <c:pt idx="0">
                  <c:v>1.3281299999999999E-4</c:v>
                </c:pt>
                <c:pt idx="1">
                  <c:v>1.3121899999999999E-4</c:v>
                </c:pt>
                <c:pt idx="2">
                  <c:v>1.31462E-4</c:v>
                </c:pt>
                <c:pt idx="3">
                  <c:v>1.3235499999999999E-4</c:v>
                </c:pt>
                <c:pt idx="4">
                  <c:v>1.3228099999999999E-4</c:v>
                </c:pt>
                <c:pt idx="5">
                  <c:v>1.3432200000000001E-4</c:v>
                </c:pt>
                <c:pt idx="6">
                  <c:v>1.3891500000000001E-4</c:v>
                </c:pt>
                <c:pt idx="7">
                  <c:v>1.45499E-4</c:v>
                </c:pt>
                <c:pt idx="8">
                  <c:v>1.5681399999999999E-4</c:v>
                </c:pt>
                <c:pt idx="9">
                  <c:v>1.7373099999999999E-4</c:v>
                </c:pt>
                <c:pt idx="10">
                  <c:v>1.9846600000000001E-4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3C-401D-9137-1FA9DF7E8A6B}"/>
            </c:ext>
          </c:extLst>
        </c:ser>
        <c:ser>
          <c:idx val="2"/>
          <c:order val="2"/>
          <c:tx>
            <c:strRef>
              <c:f>'NAD003 parafilm- 72 hpi'!$F$1:$F$2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'NAD003 parafilm- 72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'NAD003 parafilm- 72 hpi'!$F$3:$F$13</c:f>
              <c:numCache>
                <c:formatCode>0.00E+00</c:formatCode>
                <c:ptCount val="11"/>
                <c:pt idx="0">
                  <c:v>5.9055700000000002E-4</c:v>
                </c:pt>
                <c:pt idx="1">
                  <c:v>6.3621200000000004E-4</c:v>
                </c:pt>
                <c:pt idx="2">
                  <c:v>6.78496E-4</c:v>
                </c:pt>
                <c:pt idx="3">
                  <c:v>7.2035899999999995E-4</c:v>
                </c:pt>
                <c:pt idx="4">
                  <c:v>7.6105599999999997E-4</c:v>
                </c:pt>
                <c:pt idx="5">
                  <c:v>8.0163900000000004E-4</c:v>
                </c:pt>
                <c:pt idx="6">
                  <c:v>8.4165399999999995E-4</c:v>
                </c:pt>
                <c:pt idx="7">
                  <c:v>8.8196699999999999E-4</c:v>
                </c:pt>
                <c:pt idx="8">
                  <c:v>9.2358000000000002E-4</c:v>
                </c:pt>
                <c:pt idx="9">
                  <c:v>9.7114100000000002E-4</c:v>
                </c:pt>
                <c:pt idx="10">
                  <c:v>1.01311E-3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3C-401D-9137-1FA9DF7E8A6B}"/>
            </c:ext>
          </c:extLst>
        </c:ser>
        <c:ser>
          <c:idx val="3"/>
          <c:order val="3"/>
          <c:tx>
            <c:strRef>
              <c:f>'NAD003 parafilm- 72 hpi'!$G$1:$G$2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'NAD003 parafilm- 72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'NAD003 parafilm- 72 hpi'!$G$3:$G$13</c:f>
              <c:numCache>
                <c:formatCode>0.00E+00</c:formatCode>
                <c:ptCount val="11"/>
                <c:pt idx="0">
                  <c:v>1.3840599999999999E-4</c:v>
                </c:pt>
                <c:pt idx="1">
                  <c:v>1.3807000000000001E-4</c:v>
                </c:pt>
                <c:pt idx="2">
                  <c:v>1.3822500000000001E-4</c:v>
                </c:pt>
                <c:pt idx="3">
                  <c:v>1.37675E-4</c:v>
                </c:pt>
                <c:pt idx="4">
                  <c:v>1.3905699999999999E-4</c:v>
                </c:pt>
                <c:pt idx="5">
                  <c:v>1.4037300000000001E-4</c:v>
                </c:pt>
                <c:pt idx="6">
                  <c:v>1.4464799999999999E-4</c:v>
                </c:pt>
                <c:pt idx="7">
                  <c:v>1.5200000000000001E-4</c:v>
                </c:pt>
                <c:pt idx="8">
                  <c:v>1.6386999999999999E-4</c:v>
                </c:pt>
                <c:pt idx="9">
                  <c:v>1.8235699999999999E-4</c:v>
                </c:pt>
                <c:pt idx="10">
                  <c:v>2.0860200000000001E-4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3C-401D-9137-1FA9DF7E8A6B}"/>
            </c:ext>
          </c:extLst>
        </c:ser>
        <c:ser>
          <c:idx val="4"/>
          <c:order val="4"/>
          <c:tx>
            <c:strRef>
              <c:f>'NAD003 parafilm- 72 hpi'!$I$1:$I$2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'NAD003 parafilm- 72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'NAD003 parafilm- 72 hpi'!$I$3:$I$13</c:f>
              <c:numCache>
                <c:formatCode>0.00E+00</c:formatCode>
                <c:ptCount val="11"/>
                <c:pt idx="0">
                  <c:v>5.3749199999999998E-4</c:v>
                </c:pt>
                <c:pt idx="1">
                  <c:v>5.7697499999999997E-4</c:v>
                </c:pt>
                <c:pt idx="2">
                  <c:v>6.1745799999999998E-4</c:v>
                </c:pt>
                <c:pt idx="3">
                  <c:v>6.5618399999999998E-4</c:v>
                </c:pt>
                <c:pt idx="4">
                  <c:v>6.95332E-4</c:v>
                </c:pt>
                <c:pt idx="5">
                  <c:v>7.3391400000000001E-4</c:v>
                </c:pt>
                <c:pt idx="6">
                  <c:v>7.7116399999999996E-4</c:v>
                </c:pt>
                <c:pt idx="7">
                  <c:v>8.0994900000000002E-4</c:v>
                </c:pt>
                <c:pt idx="8">
                  <c:v>8.4943099999999999E-4</c:v>
                </c:pt>
                <c:pt idx="9">
                  <c:v>8.9118300000000004E-4</c:v>
                </c:pt>
                <c:pt idx="10">
                  <c:v>9.2371900000000004E-4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93C-401D-9137-1FA9DF7E8A6B}"/>
            </c:ext>
          </c:extLst>
        </c:ser>
        <c:ser>
          <c:idx val="5"/>
          <c:order val="5"/>
          <c:tx>
            <c:strRef>
              <c:f>'NAD003 parafilm- 72 hpi'!$J$1:$J$2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'NAD003 parafilm- 72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'NAD003 parafilm- 72 hpi'!$J$3:$J$13</c:f>
              <c:numCache>
                <c:formatCode>0.00E+00</c:formatCode>
                <c:ptCount val="11"/>
                <c:pt idx="0">
                  <c:v>1.32137E-4</c:v>
                </c:pt>
                <c:pt idx="1">
                  <c:v>1.31593E-4</c:v>
                </c:pt>
                <c:pt idx="2">
                  <c:v>1.29422E-4</c:v>
                </c:pt>
                <c:pt idx="3">
                  <c:v>1.3164399999999999E-4</c:v>
                </c:pt>
                <c:pt idx="4">
                  <c:v>1.31061E-4</c:v>
                </c:pt>
                <c:pt idx="5">
                  <c:v>1.32946E-4</c:v>
                </c:pt>
                <c:pt idx="6">
                  <c:v>1.3650500000000001E-4</c:v>
                </c:pt>
                <c:pt idx="7">
                  <c:v>1.43103E-4</c:v>
                </c:pt>
                <c:pt idx="8">
                  <c:v>1.5308499999999999E-4</c:v>
                </c:pt>
                <c:pt idx="9">
                  <c:v>1.6961100000000001E-4</c:v>
                </c:pt>
                <c:pt idx="10">
                  <c:v>1.9265800000000001E-4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93C-401D-9137-1FA9DF7E8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5863216"/>
        <c:axId val="1455865136"/>
      </c:scatterChart>
      <c:valAx>
        <c:axId val="145586321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865136"/>
        <c:crosses val="autoZero"/>
        <c:crossBetween val="midCat"/>
      </c:valAx>
      <c:valAx>
        <c:axId val="145586513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863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'NAD003 parafilm+ 72 hpi'!$C$1:$C$2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'NAD003 parafilm+ 72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'NAD003 parafilm+ 72 hpi'!$C$3:$C$13</c:f>
              <c:numCache>
                <c:formatCode>0.00E+00</c:formatCode>
                <c:ptCount val="11"/>
                <c:pt idx="0">
                  <c:v>4.53802E-4</c:v>
                </c:pt>
                <c:pt idx="1">
                  <c:v>4.9055300000000002E-4</c:v>
                </c:pt>
                <c:pt idx="2">
                  <c:v>5.2674600000000003E-4</c:v>
                </c:pt>
                <c:pt idx="3">
                  <c:v>5.6146199999999999E-4</c:v>
                </c:pt>
                <c:pt idx="4">
                  <c:v>5.9704699999999996E-4</c:v>
                </c:pt>
                <c:pt idx="5">
                  <c:v>6.3212499999999998E-4</c:v>
                </c:pt>
                <c:pt idx="6">
                  <c:v>6.6586100000000001E-4</c:v>
                </c:pt>
                <c:pt idx="7">
                  <c:v>7.0247400000000002E-4</c:v>
                </c:pt>
                <c:pt idx="8">
                  <c:v>7.3926799999999996E-4</c:v>
                </c:pt>
                <c:pt idx="9">
                  <c:v>7.80765E-4</c:v>
                </c:pt>
                <c:pt idx="10">
                  <c:v>8.16641E-4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8A-46C0-98EF-ED6CB98C0377}"/>
            </c:ext>
          </c:extLst>
        </c:ser>
        <c:ser>
          <c:idx val="1"/>
          <c:order val="1"/>
          <c:tx>
            <c:strRef>
              <c:f>'NAD003 parafilm+ 72 hpi'!$D$1:$D$2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'NAD003 parafilm+ 72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'NAD003 parafilm+ 72 hpi'!$D$3:$D$13</c:f>
              <c:numCache>
                <c:formatCode>0.00E+00</c:formatCode>
                <c:ptCount val="11"/>
                <c:pt idx="0">
                  <c:v>1.33423E-4</c:v>
                </c:pt>
                <c:pt idx="1">
                  <c:v>1.3734700000000001E-4</c:v>
                </c:pt>
                <c:pt idx="2">
                  <c:v>1.33583E-4</c:v>
                </c:pt>
                <c:pt idx="3">
                  <c:v>1.34485E-4</c:v>
                </c:pt>
                <c:pt idx="4">
                  <c:v>1.3826600000000001E-4</c:v>
                </c:pt>
                <c:pt idx="5">
                  <c:v>1.3875500000000001E-4</c:v>
                </c:pt>
                <c:pt idx="6">
                  <c:v>1.4525000000000001E-4</c:v>
                </c:pt>
                <c:pt idx="7">
                  <c:v>1.58882E-4</c:v>
                </c:pt>
                <c:pt idx="8">
                  <c:v>1.7406100000000001E-4</c:v>
                </c:pt>
                <c:pt idx="9">
                  <c:v>1.9266300000000001E-4</c:v>
                </c:pt>
                <c:pt idx="10">
                  <c:v>2.1515600000000001E-4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8A-46C0-98EF-ED6CB98C0377}"/>
            </c:ext>
          </c:extLst>
        </c:ser>
        <c:ser>
          <c:idx val="2"/>
          <c:order val="2"/>
          <c:tx>
            <c:strRef>
              <c:f>'NAD003 parafilm+ 72 hpi'!$F$1:$F$2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'NAD003 parafilm+ 72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'NAD003 parafilm+ 72 hpi'!$F$3:$F$13</c:f>
              <c:numCache>
                <c:formatCode>0.00E+00</c:formatCode>
                <c:ptCount val="11"/>
                <c:pt idx="0">
                  <c:v>4.6192299999999999E-4</c:v>
                </c:pt>
                <c:pt idx="1">
                  <c:v>5.0023099999999996E-4</c:v>
                </c:pt>
                <c:pt idx="2">
                  <c:v>5.37445E-4</c:v>
                </c:pt>
                <c:pt idx="3">
                  <c:v>5.7445200000000004E-4</c:v>
                </c:pt>
                <c:pt idx="4">
                  <c:v>6.1129299999999995E-4</c:v>
                </c:pt>
                <c:pt idx="5">
                  <c:v>6.4849099999999995E-4</c:v>
                </c:pt>
                <c:pt idx="6">
                  <c:v>6.8533999999999999E-4</c:v>
                </c:pt>
                <c:pt idx="7">
                  <c:v>7.2334899999999998E-4</c:v>
                </c:pt>
                <c:pt idx="8">
                  <c:v>7.6549099999999998E-4</c:v>
                </c:pt>
                <c:pt idx="9">
                  <c:v>8.1677799999999999E-4</c:v>
                </c:pt>
                <c:pt idx="10">
                  <c:v>8.7857099999999997E-4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8A-46C0-98EF-ED6CB98C0377}"/>
            </c:ext>
          </c:extLst>
        </c:ser>
        <c:ser>
          <c:idx val="3"/>
          <c:order val="3"/>
          <c:tx>
            <c:strRef>
              <c:f>'NAD003 parafilm+ 72 hpi'!$G$1:$G$2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'NAD003 parafilm+ 72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'NAD003 parafilm+ 72 hpi'!$G$3:$G$13</c:f>
              <c:numCache>
                <c:formatCode>0.00E+00</c:formatCode>
                <c:ptCount val="11"/>
                <c:pt idx="0">
                  <c:v>1.18201E-4</c:v>
                </c:pt>
                <c:pt idx="1">
                  <c:v>1.18684E-4</c:v>
                </c:pt>
                <c:pt idx="2">
                  <c:v>1.19592E-4</c:v>
                </c:pt>
                <c:pt idx="3">
                  <c:v>1.18264E-4</c:v>
                </c:pt>
                <c:pt idx="4">
                  <c:v>1.20525E-4</c:v>
                </c:pt>
                <c:pt idx="5">
                  <c:v>1.2239400000000001E-4</c:v>
                </c:pt>
                <c:pt idx="6">
                  <c:v>1.2561199999999999E-4</c:v>
                </c:pt>
                <c:pt idx="7">
                  <c:v>1.31128E-4</c:v>
                </c:pt>
                <c:pt idx="8">
                  <c:v>1.40116E-4</c:v>
                </c:pt>
                <c:pt idx="9">
                  <c:v>1.5436900000000001E-4</c:v>
                </c:pt>
                <c:pt idx="10">
                  <c:v>1.74988E-4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88A-46C0-98EF-ED6CB98C0377}"/>
            </c:ext>
          </c:extLst>
        </c:ser>
        <c:ser>
          <c:idx val="4"/>
          <c:order val="4"/>
          <c:tx>
            <c:strRef>
              <c:f>'NAD003 parafilm+ 72 hpi'!$I$1:$I$2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'NAD003 parafilm+ 72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'NAD003 parafilm+ 72 hpi'!$I$3:$I$13</c:f>
              <c:numCache>
                <c:formatCode>0.00E+00</c:formatCode>
                <c:ptCount val="11"/>
                <c:pt idx="0">
                  <c:v>4.4789599999999998E-4</c:v>
                </c:pt>
                <c:pt idx="1">
                  <c:v>4.8464200000000003E-4</c:v>
                </c:pt>
                <c:pt idx="2">
                  <c:v>5.22599E-4</c:v>
                </c:pt>
                <c:pt idx="3">
                  <c:v>5.5497700000000001E-4</c:v>
                </c:pt>
                <c:pt idx="4">
                  <c:v>5.8912299999999999E-4</c:v>
                </c:pt>
                <c:pt idx="5">
                  <c:v>6.2313400000000001E-4</c:v>
                </c:pt>
                <c:pt idx="6">
                  <c:v>6.56688E-4</c:v>
                </c:pt>
                <c:pt idx="7">
                  <c:v>6.9172899999999998E-4</c:v>
                </c:pt>
                <c:pt idx="8">
                  <c:v>7.2998300000000002E-4</c:v>
                </c:pt>
                <c:pt idx="9">
                  <c:v>7.7562200000000001E-4</c:v>
                </c:pt>
                <c:pt idx="10">
                  <c:v>8.2708200000000003E-4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88A-46C0-98EF-ED6CB98C0377}"/>
            </c:ext>
          </c:extLst>
        </c:ser>
        <c:ser>
          <c:idx val="5"/>
          <c:order val="5"/>
          <c:tx>
            <c:strRef>
              <c:f>'NAD003 parafilm+ 72 hpi'!$J$1:$J$2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'NAD003 parafilm+ 72 hpi'!$A$3:$A$13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'NAD003 parafilm+ 72 hpi'!$J$3:$J$13</c:f>
              <c:numCache>
                <c:formatCode>0.00E+00</c:formatCode>
                <c:ptCount val="11"/>
                <c:pt idx="0">
                  <c:v>1.14648E-4</c:v>
                </c:pt>
                <c:pt idx="1">
                  <c:v>1.12815E-4</c:v>
                </c:pt>
                <c:pt idx="2">
                  <c:v>1.09553E-4</c:v>
                </c:pt>
                <c:pt idx="3">
                  <c:v>1.13979E-4</c:v>
                </c:pt>
                <c:pt idx="4">
                  <c:v>1.1403700000000001E-4</c:v>
                </c:pt>
                <c:pt idx="5">
                  <c:v>1.15733E-4</c:v>
                </c:pt>
                <c:pt idx="6">
                  <c:v>1.1847E-4</c:v>
                </c:pt>
                <c:pt idx="7">
                  <c:v>1.2367500000000001E-4</c:v>
                </c:pt>
                <c:pt idx="8">
                  <c:v>1.3195700000000001E-4</c:v>
                </c:pt>
                <c:pt idx="9">
                  <c:v>1.4577700000000001E-4</c:v>
                </c:pt>
                <c:pt idx="10">
                  <c:v>1.64704E-4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88A-46C0-98EF-ED6CB98C0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208608"/>
        <c:axId val="1250209568"/>
      </c:scatterChart>
      <c:valAx>
        <c:axId val="125020860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209568"/>
        <c:crosses val="autoZero"/>
        <c:crossBetween val="midCat"/>
      </c:valAx>
      <c:valAx>
        <c:axId val="12502095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208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'Average comparison'!$C$1:$C$1</c:f>
              <c:strCache>
                <c:ptCount val="1"/>
                <c:pt idx="0">
                  <c:v>WT Parafilm-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comparison'!$C$2:$C$12</c:f>
              <c:numCache>
                <c:formatCode>0.00E+00</c:formatCode>
                <c:ptCount val="11"/>
                <c:pt idx="0">
                  <c:v>6.01284E-4</c:v>
                </c:pt>
                <c:pt idx="1">
                  <c:v>6.4301833333333335E-4</c:v>
                </c:pt>
                <c:pt idx="2">
                  <c:v>6.8937433333333324E-4</c:v>
                </c:pt>
                <c:pt idx="3">
                  <c:v>7.3147366666666659E-4</c:v>
                </c:pt>
                <c:pt idx="4">
                  <c:v>7.7434900000000002E-4</c:v>
                </c:pt>
                <c:pt idx="5">
                  <c:v>8.1675466666666669E-4</c:v>
                </c:pt>
                <c:pt idx="6">
                  <c:v>8.5930066666666666E-4</c:v>
                </c:pt>
                <c:pt idx="7">
                  <c:v>9.0370200000000004E-4</c:v>
                </c:pt>
                <c:pt idx="8">
                  <c:v>9.5126333333333342E-4</c:v>
                </c:pt>
                <c:pt idx="9">
                  <c:v>1.008658E-3</c:v>
                </c:pt>
                <c:pt idx="10">
                  <c:v>1.0709099999999998E-3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C2-40F9-B517-ACB173EF5640}"/>
            </c:ext>
          </c:extLst>
        </c:ser>
        <c:ser>
          <c:idx val="1"/>
          <c:order val="1"/>
          <c:tx>
            <c:strRef>
              <c:f>'Average comparison'!$F$1:$F$1</c:f>
              <c:strCache>
                <c:ptCount val="1"/>
                <c:pt idx="0">
                  <c:v>WT Parafilm+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comparison'!$F$2:$F$12</c:f>
              <c:numCache>
                <c:formatCode>0.00E+00</c:formatCode>
                <c:ptCount val="11"/>
                <c:pt idx="0">
                  <c:v>5.4303566666666662E-4</c:v>
                </c:pt>
                <c:pt idx="1">
                  <c:v>5.8413666666666671E-4</c:v>
                </c:pt>
                <c:pt idx="2">
                  <c:v>6.2532133333333335E-4</c:v>
                </c:pt>
                <c:pt idx="3">
                  <c:v>6.6592733333333334E-4</c:v>
                </c:pt>
                <c:pt idx="4">
                  <c:v>7.0689466666666676E-4</c:v>
                </c:pt>
                <c:pt idx="5">
                  <c:v>7.4683733333333335E-4</c:v>
                </c:pt>
                <c:pt idx="6">
                  <c:v>7.8770299999999995E-4</c:v>
                </c:pt>
                <c:pt idx="7">
                  <c:v>8.3002566666666661E-4</c:v>
                </c:pt>
                <c:pt idx="8">
                  <c:v>8.7596266666666674E-4</c:v>
                </c:pt>
                <c:pt idx="9">
                  <c:v>9.3294799999999996E-4</c:v>
                </c:pt>
                <c:pt idx="10">
                  <c:v>9.9773999999999978E-4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C2-40F9-B517-ACB173EF5640}"/>
            </c:ext>
          </c:extLst>
        </c:ser>
        <c:ser>
          <c:idx val="2"/>
          <c:order val="2"/>
          <c:tx>
            <c:strRef>
              <c:f>'Average comparison'!$I$1:$I$1</c:f>
              <c:strCache>
                <c:ptCount val="1"/>
                <c:pt idx="0">
                  <c:v>Spore- Parafilm-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comparison'!$I$2:$I$12</c:f>
              <c:numCache>
                <c:formatCode>0.00E+00</c:formatCode>
                <c:ptCount val="11"/>
                <c:pt idx="0">
                  <c:v>6.8027733333333345E-4</c:v>
                </c:pt>
                <c:pt idx="1">
                  <c:v>7.1045966666666673E-4</c:v>
                </c:pt>
                <c:pt idx="2">
                  <c:v>7.3580733333333337E-4</c:v>
                </c:pt>
                <c:pt idx="3">
                  <c:v>7.6023300000000002E-4</c:v>
                </c:pt>
                <c:pt idx="4">
                  <c:v>7.873783333333333E-4</c:v>
                </c:pt>
                <c:pt idx="5">
                  <c:v>8.1346933333333331E-4</c:v>
                </c:pt>
                <c:pt idx="6">
                  <c:v>8.4143666666666673E-4</c:v>
                </c:pt>
                <c:pt idx="7">
                  <c:v>8.7296900000000002E-4</c:v>
                </c:pt>
                <c:pt idx="8">
                  <c:v>9.0638533333333349E-4</c:v>
                </c:pt>
                <c:pt idx="9">
                  <c:v>9.5094433333333327E-4</c:v>
                </c:pt>
                <c:pt idx="10">
                  <c:v>1.0026563333333334E-3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C2-40F9-B517-ACB173EF5640}"/>
            </c:ext>
          </c:extLst>
        </c:ser>
        <c:ser>
          <c:idx val="3"/>
          <c:order val="3"/>
          <c:tx>
            <c:strRef>
              <c:f>'Average comparison'!$L$1:$L$1</c:f>
              <c:strCache>
                <c:ptCount val="1"/>
                <c:pt idx="0">
                  <c:v>Spore- Parafilm+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comparison'!$L$2:$L$12</c:f>
              <c:numCache>
                <c:formatCode>0.00E+00</c:formatCode>
                <c:ptCount val="11"/>
                <c:pt idx="0">
                  <c:v>1.5489066666666666E-3</c:v>
                </c:pt>
                <c:pt idx="1">
                  <c:v>1.6099533333333333E-3</c:v>
                </c:pt>
                <c:pt idx="2">
                  <c:v>1.6647966666666668E-3</c:v>
                </c:pt>
                <c:pt idx="3">
                  <c:v>1.7199366666666666E-3</c:v>
                </c:pt>
                <c:pt idx="4">
                  <c:v>1.7766233333333336E-3</c:v>
                </c:pt>
                <c:pt idx="5">
                  <c:v>1.8355066666666667E-3</c:v>
                </c:pt>
                <c:pt idx="6">
                  <c:v>1.89671E-3</c:v>
                </c:pt>
                <c:pt idx="7">
                  <c:v>1.9557166666666665E-3</c:v>
                </c:pt>
                <c:pt idx="8">
                  <c:v>2.01527E-3</c:v>
                </c:pt>
                <c:pt idx="9">
                  <c:v>2.08012E-3</c:v>
                </c:pt>
                <c:pt idx="10">
                  <c:v>2.1533799999999999E-3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CC2-40F9-B517-ACB173EF5640}"/>
            </c:ext>
          </c:extLst>
        </c:ser>
        <c:ser>
          <c:idx val="4"/>
          <c:order val="4"/>
          <c:tx>
            <c:strRef>
              <c:f>'Average comparison'!$O$1:$O$1</c:f>
              <c:strCache>
                <c:ptCount val="1"/>
                <c:pt idx="0">
                  <c:v>PGA- Parafilm-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comparison'!$O$2:$O$12</c:f>
              <c:numCache>
                <c:formatCode>0.00E+00</c:formatCode>
                <c:ptCount val="11"/>
                <c:pt idx="0">
                  <c:v>6.111333333333333E-4</c:v>
                </c:pt>
                <c:pt idx="1">
                  <c:v>6.5628633333333333E-4</c:v>
                </c:pt>
                <c:pt idx="2">
                  <c:v>7.01226E-4</c:v>
                </c:pt>
                <c:pt idx="3">
                  <c:v>7.4393566666666657E-4</c:v>
                </c:pt>
                <c:pt idx="4">
                  <c:v>7.8747266666666675E-4</c:v>
                </c:pt>
                <c:pt idx="5">
                  <c:v>8.2988533333333331E-4</c:v>
                </c:pt>
                <c:pt idx="6">
                  <c:v>8.7154766666666661E-4</c:v>
                </c:pt>
                <c:pt idx="7">
                  <c:v>9.1445466666666662E-4</c:v>
                </c:pt>
                <c:pt idx="8">
                  <c:v>9.5899233333333336E-4</c:v>
                </c:pt>
                <c:pt idx="9">
                  <c:v>1.0111536666666668E-3</c:v>
                </c:pt>
                <c:pt idx="10">
                  <c:v>1.0613533333333333E-3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CC2-40F9-B517-ACB173EF5640}"/>
            </c:ext>
          </c:extLst>
        </c:ser>
        <c:ser>
          <c:idx val="5"/>
          <c:order val="5"/>
          <c:tx>
            <c:strRef>
              <c:f>'Average comparison'!$R$1:$R$1</c:f>
              <c:strCache>
                <c:ptCount val="1"/>
                <c:pt idx="0">
                  <c:v>PGA- Parafilm+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comparison'!$R$2:$R$12</c:f>
              <c:numCache>
                <c:formatCode>0.00E+00</c:formatCode>
                <c:ptCount val="11"/>
                <c:pt idx="0">
                  <c:v>1.0846623333333335E-3</c:v>
                </c:pt>
                <c:pt idx="1">
                  <c:v>1.1520756666666668E-3</c:v>
                </c:pt>
                <c:pt idx="2">
                  <c:v>1.215778E-3</c:v>
                </c:pt>
                <c:pt idx="3">
                  <c:v>1.2803700000000001E-3</c:v>
                </c:pt>
                <c:pt idx="4">
                  <c:v>1.3426586666666666E-3</c:v>
                </c:pt>
                <c:pt idx="5">
                  <c:v>1.405395E-3</c:v>
                </c:pt>
                <c:pt idx="6">
                  <c:v>1.4692133333333334E-3</c:v>
                </c:pt>
                <c:pt idx="7">
                  <c:v>1.5331836666666668E-3</c:v>
                </c:pt>
                <c:pt idx="8">
                  <c:v>1.5995993333333333E-3</c:v>
                </c:pt>
                <c:pt idx="9">
                  <c:v>1.6768150000000001E-3</c:v>
                </c:pt>
                <c:pt idx="10">
                  <c:v>1.7700700000000001E-3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CC2-40F9-B517-ACB173EF5640}"/>
            </c:ext>
          </c:extLst>
        </c:ser>
        <c:ser>
          <c:idx val="6"/>
          <c:order val="6"/>
          <c:tx>
            <c:strRef>
              <c:f>'Average comparison'!$U$1:$U$1</c:f>
              <c:strCache>
                <c:ptCount val="1"/>
                <c:pt idx="0">
                  <c:v>EPS- Parafilm-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comparison'!$U$2:$U$12</c:f>
              <c:numCache>
                <c:formatCode>0.00E+00</c:formatCode>
                <c:ptCount val="11"/>
                <c:pt idx="0">
                  <c:v>5.613156666666667E-4</c:v>
                </c:pt>
                <c:pt idx="1">
                  <c:v>6.0241133333333334E-4</c:v>
                </c:pt>
                <c:pt idx="2">
                  <c:v>6.4937633333333339E-4</c:v>
                </c:pt>
                <c:pt idx="3">
                  <c:v>6.8721900000000009E-4</c:v>
                </c:pt>
                <c:pt idx="4">
                  <c:v>7.3095166666666672E-4</c:v>
                </c:pt>
                <c:pt idx="5">
                  <c:v>7.7198633333333327E-4</c:v>
                </c:pt>
                <c:pt idx="6">
                  <c:v>8.1516833333333339E-4</c:v>
                </c:pt>
                <c:pt idx="7">
                  <c:v>8.6007033333333326E-4</c:v>
                </c:pt>
                <c:pt idx="8">
                  <c:v>9.1120366666666661E-4</c:v>
                </c:pt>
                <c:pt idx="9">
                  <c:v>9.7460499999999992E-4</c:v>
                </c:pt>
                <c:pt idx="10">
                  <c:v>1.0521666666666667E-3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CC2-40F9-B517-ACB173EF5640}"/>
            </c:ext>
          </c:extLst>
        </c:ser>
        <c:ser>
          <c:idx val="7"/>
          <c:order val="7"/>
          <c:tx>
            <c:strRef>
              <c:f>'Average comparison'!$X$1:$X$1</c:f>
              <c:strCache>
                <c:ptCount val="1"/>
                <c:pt idx="0">
                  <c:v>EPS- Parafilm+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comparison'!$X$2:$X$12</c:f>
              <c:numCache>
                <c:formatCode>0.00E+00</c:formatCode>
                <c:ptCount val="11"/>
                <c:pt idx="0">
                  <c:v>4.5454033333333334E-4</c:v>
                </c:pt>
                <c:pt idx="1">
                  <c:v>4.9180866666666669E-4</c:v>
                </c:pt>
                <c:pt idx="2">
                  <c:v>5.2892999999999994E-4</c:v>
                </c:pt>
                <c:pt idx="3">
                  <c:v>5.6363033333333334E-4</c:v>
                </c:pt>
                <c:pt idx="4">
                  <c:v>5.9915433333333334E-4</c:v>
                </c:pt>
                <c:pt idx="5">
                  <c:v>6.3458333333333335E-4</c:v>
                </c:pt>
                <c:pt idx="6">
                  <c:v>6.6929633333333337E-4</c:v>
                </c:pt>
                <c:pt idx="7">
                  <c:v>7.0585066666666669E-4</c:v>
                </c:pt>
                <c:pt idx="8">
                  <c:v>7.4491400000000006E-4</c:v>
                </c:pt>
                <c:pt idx="9">
                  <c:v>7.9105500000000004E-4</c:v>
                </c:pt>
                <c:pt idx="10">
                  <c:v>8.4076466666666667E-4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CC2-40F9-B517-ACB173EF5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336096"/>
        <c:axId val="1250333216"/>
      </c:scatterChart>
      <c:valAx>
        <c:axId val="125033609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Angular frequency (rad/s)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333216"/>
        <c:crosses val="autoZero"/>
        <c:crossBetween val="midCat"/>
      </c:valAx>
      <c:valAx>
        <c:axId val="1250333216"/>
        <c:scaling>
          <c:logBase val="10"/>
          <c:orientation val="minMax"/>
          <c:max val="0.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Storage modulus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336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'Average comparison'!$D$1:$D$1</c:f>
              <c:strCache>
                <c:ptCount val="1"/>
                <c:pt idx="0">
                  <c:v>WT Parafilm-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comparison'!$D$2:$D$12</c:f>
              <c:numCache>
                <c:formatCode>0.00E+00</c:formatCode>
                <c:ptCount val="11"/>
                <c:pt idx="0">
                  <c:v>1.62285E-4</c:v>
                </c:pt>
                <c:pt idx="1">
                  <c:v>1.5584733333333335E-4</c:v>
                </c:pt>
                <c:pt idx="2">
                  <c:v>1.5850999999999997E-4</c:v>
                </c:pt>
                <c:pt idx="3">
                  <c:v>1.5884299999999998E-4</c:v>
                </c:pt>
                <c:pt idx="4">
                  <c:v>1.6129866666666668E-4</c:v>
                </c:pt>
                <c:pt idx="5">
                  <c:v>1.6736766666666664E-4</c:v>
                </c:pt>
                <c:pt idx="6">
                  <c:v>1.74628E-4</c:v>
                </c:pt>
                <c:pt idx="7">
                  <c:v>1.8703866666666666E-4</c:v>
                </c:pt>
                <c:pt idx="8">
                  <c:v>2.0333666666666667E-4</c:v>
                </c:pt>
                <c:pt idx="9">
                  <c:v>2.2363466666666665E-4</c:v>
                </c:pt>
                <c:pt idx="10">
                  <c:v>2.5361733333333336E-4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DB-414C-ABBD-91264A2FB519}"/>
            </c:ext>
          </c:extLst>
        </c:ser>
        <c:ser>
          <c:idx val="1"/>
          <c:order val="1"/>
          <c:tx>
            <c:strRef>
              <c:f>'Average comparison'!$G$1:$G$1</c:f>
              <c:strCache>
                <c:ptCount val="1"/>
                <c:pt idx="0">
                  <c:v>WT Parafilm+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comparison'!$G$2:$G$12</c:f>
              <c:numCache>
                <c:formatCode>0.00E+00</c:formatCode>
                <c:ptCount val="11"/>
                <c:pt idx="0">
                  <c:v>1.4316599999999999E-4</c:v>
                </c:pt>
                <c:pt idx="1">
                  <c:v>1.4404433333333334E-4</c:v>
                </c:pt>
                <c:pt idx="2">
                  <c:v>1.4528433333333332E-4</c:v>
                </c:pt>
                <c:pt idx="3">
                  <c:v>1.4698400000000001E-4</c:v>
                </c:pt>
                <c:pt idx="4">
                  <c:v>1.51435E-4</c:v>
                </c:pt>
                <c:pt idx="5">
                  <c:v>1.541676666666667E-4</c:v>
                </c:pt>
                <c:pt idx="6">
                  <c:v>1.6184433333333334E-4</c:v>
                </c:pt>
                <c:pt idx="7">
                  <c:v>1.6968999999999998E-4</c:v>
                </c:pt>
                <c:pt idx="8">
                  <c:v>1.8046933333333334E-4</c:v>
                </c:pt>
                <c:pt idx="9">
                  <c:v>1.9696733333333333E-4</c:v>
                </c:pt>
                <c:pt idx="10">
                  <c:v>2.1761533333333334E-4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DB-414C-ABBD-91264A2FB519}"/>
            </c:ext>
          </c:extLst>
        </c:ser>
        <c:ser>
          <c:idx val="2"/>
          <c:order val="2"/>
          <c:tx>
            <c:strRef>
              <c:f>'Average comparison'!$J$1:$J$1</c:f>
              <c:strCache>
                <c:ptCount val="1"/>
                <c:pt idx="0">
                  <c:v>Spore- Parafilm-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comparison'!$J$2:$J$12</c:f>
              <c:numCache>
                <c:formatCode>0.00E+00</c:formatCode>
                <c:ptCount val="11"/>
                <c:pt idx="0">
                  <c:v>1.1506406666666666E-4</c:v>
                </c:pt>
                <c:pt idx="1">
                  <c:v>1.157727E-4</c:v>
                </c:pt>
                <c:pt idx="2">
                  <c:v>1.1394649999999999E-4</c:v>
                </c:pt>
                <c:pt idx="3">
                  <c:v>1.1517500000000001E-4</c:v>
                </c:pt>
                <c:pt idx="4">
                  <c:v>1.1933133333333333E-4</c:v>
                </c:pt>
                <c:pt idx="5">
                  <c:v>1.2598233333333334E-4</c:v>
                </c:pt>
                <c:pt idx="6">
                  <c:v>1.3402099999999998E-4</c:v>
                </c:pt>
                <c:pt idx="7">
                  <c:v>1.4534333333333333E-4</c:v>
                </c:pt>
                <c:pt idx="8">
                  <c:v>1.5414499999999998E-4</c:v>
                </c:pt>
                <c:pt idx="9">
                  <c:v>1.6385666666666665E-4</c:v>
                </c:pt>
                <c:pt idx="10">
                  <c:v>1.7999499999999999E-4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DB-414C-ABBD-91264A2FB519}"/>
            </c:ext>
          </c:extLst>
        </c:ser>
        <c:ser>
          <c:idx val="3"/>
          <c:order val="3"/>
          <c:tx>
            <c:strRef>
              <c:f>'Average comparison'!$M$1:$M$1</c:f>
              <c:strCache>
                <c:ptCount val="1"/>
                <c:pt idx="0">
                  <c:v>Spore- Parafilm+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comparison'!$M$2:$M$12</c:f>
              <c:numCache>
                <c:formatCode>0.00E+00</c:formatCode>
                <c:ptCount val="11"/>
                <c:pt idx="0">
                  <c:v>2.1862233333333337E-4</c:v>
                </c:pt>
                <c:pt idx="1">
                  <c:v>2.1269400000000001E-4</c:v>
                </c:pt>
                <c:pt idx="2">
                  <c:v>2.1263466666666662E-4</c:v>
                </c:pt>
                <c:pt idx="3">
                  <c:v>2.1850466666666668E-4</c:v>
                </c:pt>
                <c:pt idx="4">
                  <c:v>2.2422166666666668E-4</c:v>
                </c:pt>
                <c:pt idx="5">
                  <c:v>2.2943066666666664E-4</c:v>
                </c:pt>
                <c:pt idx="6">
                  <c:v>2.3854900000000001E-4</c:v>
                </c:pt>
                <c:pt idx="7">
                  <c:v>2.4533399999999999E-4</c:v>
                </c:pt>
                <c:pt idx="8">
                  <c:v>2.5151366666666667E-4</c:v>
                </c:pt>
                <c:pt idx="9">
                  <c:v>2.6118433333333335E-4</c:v>
                </c:pt>
                <c:pt idx="10">
                  <c:v>2.7765999999999994E-4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DB-414C-ABBD-91264A2FB519}"/>
            </c:ext>
          </c:extLst>
        </c:ser>
        <c:ser>
          <c:idx val="4"/>
          <c:order val="4"/>
          <c:tx>
            <c:strRef>
              <c:f>'Average comparison'!$P$1:$P$1</c:f>
              <c:strCache>
                <c:ptCount val="1"/>
                <c:pt idx="0">
                  <c:v>PGA- Parafilm-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comparison'!$P$2:$P$12</c:f>
              <c:numCache>
                <c:formatCode>0.00E+00</c:formatCode>
                <c:ptCount val="11"/>
                <c:pt idx="0">
                  <c:v>1.4932533333333333E-4</c:v>
                </c:pt>
                <c:pt idx="1">
                  <c:v>1.4773966666666667E-4</c:v>
                </c:pt>
                <c:pt idx="2">
                  <c:v>1.4714599999999999E-4</c:v>
                </c:pt>
                <c:pt idx="3">
                  <c:v>1.4782666666666666E-4</c:v>
                </c:pt>
                <c:pt idx="4">
                  <c:v>1.4830266666666667E-4</c:v>
                </c:pt>
                <c:pt idx="5">
                  <c:v>1.5132099999999997E-4</c:v>
                </c:pt>
                <c:pt idx="6">
                  <c:v>1.5548299999999999E-4</c:v>
                </c:pt>
                <c:pt idx="7">
                  <c:v>1.6492500000000001E-4</c:v>
                </c:pt>
                <c:pt idx="8">
                  <c:v>1.7959566666666667E-4</c:v>
                </c:pt>
                <c:pt idx="9">
                  <c:v>1.9921133333333332E-4</c:v>
                </c:pt>
                <c:pt idx="10">
                  <c:v>2.2463666666666668E-4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DB-414C-ABBD-91264A2FB519}"/>
            </c:ext>
          </c:extLst>
        </c:ser>
        <c:ser>
          <c:idx val="5"/>
          <c:order val="5"/>
          <c:tx>
            <c:strRef>
              <c:f>'Average comparison'!$S$1:$S$1</c:f>
              <c:strCache>
                <c:ptCount val="1"/>
                <c:pt idx="0">
                  <c:v>PGA- Parafilm+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comparison'!$S$2:$S$12</c:f>
              <c:numCache>
                <c:formatCode>0.00E+00</c:formatCode>
                <c:ptCount val="11"/>
                <c:pt idx="0">
                  <c:v>2.2722100000000003E-4</c:v>
                </c:pt>
                <c:pt idx="1">
                  <c:v>2.2051366666666665E-4</c:v>
                </c:pt>
                <c:pt idx="2">
                  <c:v>2.1727266666666666E-4</c:v>
                </c:pt>
                <c:pt idx="3">
                  <c:v>2.1702033333333335E-4</c:v>
                </c:pt>
                <c:pt idx="4">
                  <c:v>2.1753500000000001E-4</c:v>
                </c:pt>
                <c:pt idx="5">
                  <c:v>2.2016766666666668E-4</c:v>
                </c:pt>
                <c:pt idx="6">
                  <c:v>2.3028433333333333E-4</c:v>
                </c:pt>
                <c:pt idx="7">
                  <c:v>2.4250233333333336E-4</c:v>
                </c:pt>
                <c:pt idx="8">
                  <c:v>2.5955133333333333E-4</c:v>
                </c:pt>
                <c:pt idx="9">
                  <c:v>2.8493866666666668E-4</c:v>
                </c:pt>
                <c:pt idx="10">
                  <c:v>3.2034333333333327E-4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8DB-414C-ABBD-91264A2FB519}"/>
            </c:ext>
          </c:extLst>
        </c:ser>
        <c:ser>
          <c:idx val="6"/>
          <c:order val="6"/>
          <c:tx>
            <c:strRef>
              <c:f>'Average comparison'!$V$1:$V$1</c:f>
              <c:strCache>
                <c:ptCount val="1"/>
                <c:pt idx="0">
                  <c:v>EPS- Parafilm-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comparison'!$V$2:$V$12</c:f>
              <c:numCache>
                <c:formatCode>0.00E+00</c:formatCode>
                <c:ptCount val="11"/>
                <c:pt idx="0">
                  <c:v>1.7401266666666664E-4</c:v>
                </c:pt>
                <c:pt idx="1">
                  <c:v>1.7522166666666668E-4</c:v>
                </c:pt>
                <c:pt idx="2">
                  <c:v>1.7462333333333332E-4</c:v>
                </c:pt>
                <c:pt idx="3">
                  <c:v>1.79075E-4</c:v>
                </c:pt>
                <c:pt idx="4">
                  <c:v>1.8441933333333336E-4</c:v>
                </c:pt>
                <c:pt idx="5">
                  <c:v>1.9210199999999998E-4</c:v>
                </c:pt>
                <c:pt idx="6">
                  <c:v>2.0196700000000003E-4</c:v>
                </c:pt>
                <c:pt idx="7">
                  <c:v>2.1589999999999999E-4</c:v>
                </c:pt>
                <c:pt idx="8">
                  <c:v>2.3693200000000003E-4</c:v>
                </c:pt>
                <c:pt idx="9">
                  <c:v>2.6162666666666663E-4</c:v>
                </c:pt>
                <c:pt idx="10">
                  <c:v>2.9721100000000002E-4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8DB-414C-ABBD-91264A2FB519}"/>
            </c:ext>
          </c:extLst>
        </c:ser>
        <c:ser>
          <c:idx val="7"/>
          <c:order val="7"/>
          <c:tx>
            <c:strRef>
              <c:f>'Average comparison'!$Y$1:$Y$1</c:f>
              <c:strCache>
                <c:ptCount val="1"/>
                <c:pt idx="0">
                  <c:v>EPS- Parafilm+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'Average comparison'!$A$2:$A$12</c:f>
              <c:numCache>
                <c:formatCode>General</c:formatCode>
                <c:ptCount val="11"/>
                <c:pt idx="0">
                  <c:v>1</c:v>
                </c:pt>
                <c:pt idx="1">
                  <c:v>1.5849</c:v>
                </c:pt>
                <c:pt idx="2">
                  <c:v>2.5118900000000002</c:v>
                </c:pt>
                <c:pt idx="3">
                  <c:v>3.9810500000000002</c:v>
                </c:pt>
                <c:pt idx="4">
                  <c:v>6.3095699999999999</c:v>
                </c:pt>
                <c:pt idx="5">
                  <c:v>10.0001</c:v>
                </c:pt>
                <c:pt idx="6">
                  <c:v>15.849</c:v>
                </c:pt>
                <c:pt idx="7">
                  <c:v>25.1188</c:v>
                </c:pt>
                <c:pt idx="8">
                  <c:v>39.810499999999998</c:v>
                </c:pt>
                <c:pt idx="9">
                  <c:v>63.095700000000001</c:v>
                </c:pt>
                <c:pt idx="10">
                  <c:v>100</c:v>
                </c:pt>
              </c:numCache>
            </c:numRef>
          </c:xVal>
          <c:yVal>
            <c:numRef>
              <c:f>'Average comparison'!$Y$2:$Y$12</c:f>
              <c:numCache>
                <c:formatCode>0.00E+00</c:formatCode>
                <c:ptCount val="11"/>
                <c:pt idx="0">
                  <c:v>1.2209066666666666E-4</c:v>
                </c:pt>
                <c:pt idx="1">
                  <c:v>1.2294866666666667E-4</c:v>
                </c:pt>
                <c:pt idx="2">
                  <c:v>1.2090933333333332E-4</c:v>
                </c:pt>
                <c:pt idx="3">
                  <c:v>1.2224266666666667E-4</c:v>
                </c:pt>
                <c:pt idx="4">
                  <c:v>1.2427600000000001E-4</c:v>
                </c:pt>
                <c:pt idx="5">
                  <c:v>1.2562733333333336E-4</c:v>
                </c:pt>
                <c:pt idx="6">
                  <c:v>1.2977733333333332E-4</c:v>
                </c:pt>
                <c:pt idx="7">
                  <c:v>1.3789499999999999E-4</c:v>
                </c:pt>
                <c:pt idx="8">
                  <c:v>1.4871133333333334E-4</c:v>
                </c:pt>
                <c:pt idx="9">
                  <c:v>1.642696666666667E-4</c:v>
                </c:pt>
                <c:pt idx="10">
                  <c:v>1.8494933333333336E-4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8DB-414C-ABBD-91264A2FB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599760"/>
        <c:axId val="403598320"/>
      </c:scatterChart>
      <c:valAx>
        <c:axId val="40359976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Angular frequency (rad/s)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598320"/>
        <c:crosses val="autoZero"/>
        <c:crossBetween val="midCat"/>
      </c:valAx>
      <c:valAx>
        <c:axId val="403598320"/>
        <c:scaling>
          <c:logBase val="10"/>
          <c:orientation val="minMax"/>
          <c:max val="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 modulus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599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320674</xdr:colOff>
      <xdr:row>15</xdr:row>
      <xdr:rowOff>158750</xdr:rowOff>
    </xdr:from>
    <xdr:to>
      <xdr:col>12</xdr:col>
      <xdr:colOff>165099</xdr:colOff>
      <xdr:row>39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99E92F-CDC7-C779-C88C-050907DAAF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422274</xdr:colOff>
      <xdr:row>15</xdr:row>
      <xdr:rowOff>171450</xdr:rowOff>
    </xdr:from>
    <xdr:to>
      <xdr:col>12</xdr:col>
      <xdr:colOff>165099</xdr:colOff>
      <xdr:row>38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0E4EAF-DBAF-ADC8-B27D-EEF1FA15DF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269874</xdr:colOff>
      <xdr:row>15</xdr:row>
      <xdr:rowOff>76200</xdr:rowOff>
    </xdr:from>
    <xdr:to>
      <xdr:col>11</xdr:col>
      <xdr:colOff>387349</xdr:colOff>
      <xdr:row>39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E7DE32-6A1D-CE0E-1274-E4272CE89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14</xdr:row>
      <xdr:rowOff>152400</xdr:rowOff>
    </xdr:from>
    <xdr:to>
      <xdr:col>11</xdr:col>
      <xdr:colOff>469899</xdr:colOff>
      <xdr:row>40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E5A904-00B0-5700-EA92-2F1C03B90A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14</xdr:row>
      <xdr:rowOff>114300</xdr:rowOff>
    </xdr:from>
    <xdr:to>
      <xdr:col>12</xdr:col>
      <xdr:colOff>279399</xdr:colOff>
      <xdr:row>39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0FA309-4401-32BC-A214-B1FE7F3F42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276224</xdr:colOff>
      <xdr:row>15</xdr:row>
      <xdr:rowOff>31750</xdr:rowOff>
    </xdr:from>
    <xdr:to>
      <xdr:col>13</xdr:col>
      <xdr:colOff>552449</xdr:colOff>
      <xdr:row>40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35A6C3-0AFA-1046-F6D7-614F08FCF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155574</xdr:colOff>
      <xdr:row>14</xdr:row>
      <xdr:rowOff>107950</xdr:rowOff>
    </xdr:from>
    <xdr:to>
      <xdr:col>12</xdr:col>
      <xdr:colOff>107949</xdr:colOff>
      <xdr:row>38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2137A5-B17A-D372-532D-9FACFA192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155574</xdr:colOff>
      <xdr:row>14</xdr:row>
      <xdr:rowOff>107950</xdr:rowOff>
    </xdr:from>
    <xdr:to>
      <xdr:col>12</xdr:col>
      <xdr:colOff>107949</xdr:colOff>
      <xdr:row>38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C6941C-1A04-49D8-8F88-82F2ABD8E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15</xdr:row>
      <xdr:rowOff>82550</xdr:rowOff>
    </xdr:from>
    <xdr:to>
      <xdr:col>13</xdr:col>
      <xdr:colOff>126999</xdr:colOff>
      <xdr:row>39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3BFA00-E9E9-81BF-D898-5405CBCC35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130174</xdr:colOff>
      <xdr:row>13</xdr:row>
      <xdr:rowOff>158750</xdr:rowOff>
    </xdr:from>
    <xdr:to>
      <xdr:col>12</xdr:col>
      <xdr:colOff>380999</xdr:colOff>
      <xdr:row>39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F39ECC-074E-DAD3-B3EA-8DA1384EA5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498474</xdr:colOff>
      <xdr:row>13</xdr:row>
      <xdr:rowOff>158750</xdr:rowOff>
    </xdr:from>
    <xdr:to>
      <xdr:col>24</xdr:col>
      <xdr:colOff>431799</xdr:colOff>
      <xdr:row>39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E52D38-8D5A-3B9B-C92C-7A729174BD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51D8B-3767-48FB-88BC-8FC7FD7AFA9A}">
  <dimension ref="A1:P13"/>
  <sheetViews>
    <sheetView workbookViewId="0">
      <selection activeCell="O3" sqref="O3:P13"/>
    </sheetView>
  </sheetViews>
  <sheetFormatPr defaultColWidth="8.81640625" defaultRowHeight="14.5" x14ac:dyDescent="0.35"/>
  <cols>
    <col min="11" max="11" width="8.6328125" style="5"/>
    <col min="15" max="16" width="11.81640625" bestFit="1" customWidth="1"/>
  </cols>
  <sheetData>
    <row r="1" spans="1:16" ht="58" x14ac:dyDescent="0.35">
      <c r="A1" s="1" t="s">
        <v>0</v>
      </c>
      <c r="B1" s="1"/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5</v>
      </c>
      <c r="M1" s="1" t="s">
        <v>6</v>
      </c>
      <c r="O1" s="1" t="s">
        <v>7</v>
      </c>
      <c r="P1" s="1" t="s">
        <v>8</v>
      </c>
    </row>
    <row r="2" spans="1:16" x14ac:dyDescent="0.35">
      <c r="A2" s="1" t="s">
        <v>1</v>
      </c>
      <c r="B2" s="1"/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O2" s="1" t="s">
        <v>4</v>
      </c>
      <c r="P2" s="1" t="s">
        <v>4</v>
      </c>
    </row>
    <row r="3" spans="1:16" x14ac:dyDescent="0.35">
      <c r="A3" s="2">
        <v>1</v>
      </c>
      <c r="B3" s="2"/>
      <c r="C3" s="4">
        <v>5.4518500000000001E-4</v>
      </c>
      <c r="D3" s="4">
        <v>1.45317E-4</v>
      </c>
      <c r="F3" s="4">
        <v>6.5222399999999997E-4</v>
      </c>
      <c r="G3" s="4">
        <v>1.5833500000000001E-4</v>
      </c>
      <c r="I3" s="4">
        <v>6.0644300000000002E-4</v>
      </c>
      <c r="J3" s="4">
        <v>1.83203E-4</v>
      </c>
      <c r="L3" s="3">
        <f>AVERAGE(C3,F3,I3)</f>
        <v>6.01284E-4</v>
      </c>
      <c r="M3" s="3">
        <f>AVERAGE(D3,G3,J3)</f>
        <v>1.62285E-4</v>
      </c>
      <c r="O3">
        <f>_xlfn.STDEV.P(C3,F3,I3)</f>
        <v>4.3850490996871011E-5</v>
      </c>
      <c r="P3">
        <f>_xlfn.STDEV.P(D3,G3,J3)</f>
        <v>1.5717063423765479E-5</v>
      </c>
    </row>
    <row r="4" spans="1:16" x14ac:dyDescent="0.35">
      <c r="A4" s="2">
        <v>1.5849</v>
      </c>
      <c r="B4" s="2"/>
      <c r="C4" s="4">
        <v>5.8967399999999999E-4</v>
      </c>
      <c r="D4" s="4">
        <v>1.4339999999999999E-4</v>
      </c>
      <c r="F4" s="4">
        <v>6.9799200000000004E-4</v>
      </c>
      <c r="G4" s="4">
        <v>1.57081E-4</v>
      </c>
      <c r="I4" s="4">
        <v>6.4138900000000002E-4</v>
      </c>
      <c r="J4" s="4">
        <v>1.6706100000000001E-4</v>
      </c>
      <c r="L4" s="3">
        <f t="shared" ref="L4:L13" si="0">AVERAGE(C4,F4,I4)</f>
        <v>6.4301833333333335E-4</v>
      </c>
      <c r="M4" s="3">
        <f t="shared" ref="M4:M13" si="1">AVERAGE(D4,G4,J4)</f>
        <v>1.5584733333333335E-4</v>
      </c>
      <c r="O4">
        <f t="shared" ref="O4:O13" si="2">_xlfn.STDEV.P(C4,F4,I4)</f>
        <v>4.4235644197361442E-5</v>
      </c>
      <c r="P4">
        <f t="shared" ref="P4:P13" si="3">_xlfn.STDEV.P(D4,G4,J4)</f>
        <v>9.6988721108292972E-6</v>
      </c>
    </row>
    <row r="5" spans="1:16" x14ac:dyDescent="0.35">
      <c r="A5" s="2">
        <v>2.5118900000000002</v>
      </c>
      <c r="B5" s="2"/>
      <c r="C5" s="4">
        <v>6.3202699999999996E-4</v>
      </c>
      <c r="D5" s="4">
        <v>1.43886E-4</v>
      </c>
      <c r="F5" s="4">
        <v>7.4686700000000002E-4</v>
      </c>
      <c r="G5" s="4">
        <v>1.5827199999999999E-4</v>
      </c>
      <c r="I5" s="4">
        <v>6.8922899999999997E-4</v>
      </c>
      <c r="J5" s="4">
        <v>1.7337200000000001E-4</v>
      </c>
      <c r="L5" s="3">
        <f t="shared" si="0"/>
        <v>6.8937433333333324E-4</v>
      </c>
      <c r="M5" s="3">
        <f t="shared" si="1"/>
        <v>1.5850999999999997E-4</v>
      </c>
      <c r="O5">
        <f t="shared" si="2"/>
        <v>4.6883346306432646E-5</v>
      </c>
      <c r="P5">
        <f t="shared" si="3"/>
        <v>1.2038785431540291E-5</v>
      </c>
    </row>
    <row r="6" spans="1:16" x14ac:dyDescent="0.35">
      <c r="A6" s="2">
        <v>3.9810500000000002</v>
      </c>
      <c r="B6" s="2"/>
      <c r="C6" s="4">
        <v>6.7476099999999996E-4</v>
      </c>
      <c r="D6" s="4">
        <v>1.43604E-4</v>
      </c>
      <c r="F6" s="4">
        <v>7.9069199999999996E-4</v>
      </c>
      <c r="G6" s="4">
        <v>1.60889E-4</v>
      </c>
      <c r="I6" s="4">
        <v>7.2896799999999998E-4</v>
      </c>
      <c r="J6" s="4">
        <v>1.72036E-4</v>
      </c>
      <c r="L6" s="3">
        <f t="shared" si="0"/>
        <v>7.3147366666666659E-4</v>
      </c>
      <c r="M6" s="3">
        <f t="shared" si="1"/>
        <v>1.5884299999999998E-4</v>
      </c>
      <c r="O6">
        <f t="shared" si="2"/>
        <v>4.7361784625253397E-5</v>
      </c>
      <c r="P6">
        <f t="shared" si="3"/>
        <v>1.1697129077968947E-5</v>
      </c>
    </row>
    <row r="7" spans="1:16" x14ac:dyDescent="0.35">
      <c r="A7" s="2">
        <v>6.3095699999999999</v>
      </c>
      <c r="B7" s="2"/>
      <c r="C7" s="4">
        <v>7.1595100000000004E-4</v>
      </c>
      <c r="D7" s="4">
        <v>1.4553799999999999E-4</v>
      </c>
      <c r="F7" s="4">
        <v>8.35756E-4</v>
      </c>
      <c r="G7" s="4">
        <v>1.6688299999999999E-4</v>
      </c>
      <c r="I7" s="4">
        <v>7.7134000000000002E-4</v>
      </c>
      <c r="J7" s="4">
        <v>1.7147500000000001E-4</v>
      </c>
      <c r="L7" s="3">
        <f t="shared" si="0"/>
        <v>7.7434900000000002E-4</v>
      </c>
      <c r="M7" s="3">
        <f t="shared" si="1"/>
        <v>1.6129866666666668E-4</v>
      </c>
      <c r="O7">
        <f t="shared" si="2"/>
        <v>4.8956443682113981E-5</v>
      </c>
      <c r="P7">
        <f t="shared" si="3"/>
        <v>1.1301049400633365E-5</v>
      </c>
    </row>
    <row r="8" spans="1:16" x14ac:dyDescent="0.35">
      <c r="A8" s="2">
        <v>10.0001</v>
      </c>
      <c r="B8" s="2"/>
      <c r="C8" s="4">
        <v>7.5572900000000001E-4</v>
      </c>
      <c r="D8" s="4">
        <v>1.4944599999999999E-4</v>
      </c>
      <c r="F8" s="4">
        <v>8.8013200000000005E-4</v>
      </c>
      <c r="G8" s="4">
        <v>1.6988499999999999E-4</v>
      </c>
      <c r="I8" s="4">
        <v>8.14403E-4</v>
      </c>
      <c r="J8" s="4">
        <v>1.8277199999999999E-4</v>
      </c>
      <c r="L8" s="3">
        <f t="shared" si="0"/>
        <v>8.1675466666666669E-4</v>
      </c>
      <c r="M8" s="3">
        <f t="shared" si="1"/>
        <v>1.6736766666666664E-4</v>
      </c>
      <c r="O8">
        <f t="shared" si="2"/>
        <v>5.0814527806742666E-5</v>
      </c>
      <c r="P8">
        <f t="shared" si="3"/>
        <v>1.3721231585474469E-5</v>
      </c>
    </row>
    <row r="9" spans="1:16" x14ac:dyDescent="0.35">
      <c r="A9" s="2">
        <v>15.849</v>
      </c>
      <c r="B9" s="2"/>
      <c r="C9" s="4">
        <v>7.9732299999999996E-4</v>
      </c>
      <c r="D9" s="4">
        <v>1.5793799999999999E-4</v>
      </c>
      <c r="F9" s="4">
        <v>9.2325600000000001E-4</v>
      </c>
      <c r="G9" s="4">
        <v>1.7888499999999999E-4</v>
      </c>
      <c r="I9" s="4">
        <v>8.57323E-4</v>
      </c>
      <c r="J9" s="4">
        <v>1.87061E-4</v>
      </c>
      <c r="L9" s="3">
        <f t="shared" si="0"/>
        <v>8.5930066666666666E-4</v>
      </c>
      <c r="M9" s="3">
        <f t="shared" si="1"/>
        <v>1.74628E-4</v>
      </c>
      <c r="O9">
        <f t="shared" si="2"/>
        <v>5.1430947209718891E-5</v>
      </c>
      <c r="P9">
        <f t="shared" si="3"/>
        <v>1.2264551058504619E-5</v>
      </c>
    </row>
    <row r="10" spans="1:16" x14ac:dyDescent="0.35">
      <c r="A10" s="2">
        <v>25.1188</v>
      </c>
      <c r="B10" s="2"/>
      <c r="C10" s="4">
        <v>8.4079700000000001E-4</v>
      </c>
      <c r="D10" s="4">
        <v>1.7012799999999999E-4</v>
      </c>
      <c r="F10" s="4">
        <v>9.6875399999999995E-4</v>
      </c>
      <c r="G10" s="4">
        <v>1.9004199999999999E-4</v>
      </c>
      <c r="I10" s="4">
        <v>9.0155499999999996E-4</v>
      </c>
      <c r="J10" s="4">
        <v>2.00946E-4</v>
      </c>
      <c r="L10" s="3">
        <f t="shared" si="0"/>
        <v>9.0370200000000004E-4</v>
      </c>
      <c r="M10" s="3">
        <f t="shared" si="1"/>
        <v>1.8703866666666666E-4</v>
      </c>
      <c r="O10">
        <f t="shared" si="2"/>
        <v>5.2260282363059079E-5</v>
      </c>
      <c r="P10">
        <f t="shared" si="3"/>
        <v>1.2759370134227719E-5</v>
      </c>
    </row>
    <row r="11" spans="1:16" x14ac:dyDescent="0.35">
      <c r="A11" s="2">
        <v>39.810499999999998</v>
      </c>
      <c r="B11" s="2"/>
      <c r="C11" s="4">
        <v>8.9048000000000003E-4</v>
      </c>
      <c r="D11" s="4">
        <v>1.8423100000000001E-4</v>
      </c>
      <c r="F11" s="4">
        <v>1.0144500000000001E-3</v>
      </c>
      <c r="G11" s="4">
        <v>2.05346E-4</v>
      </c>
      <c r="I11" s="4">
        <v>9.4886000000000005E-4</v>
      </c>
      <c r="J11" s="4">
        <v>2.20433E-4</v>
      </c>
      <c r="L11" s="3">
        <f t="shared" si="0"/>
        <v>9.5126333333333342E-4</v>
      </c>
      <c r="M11" s="3">
        <f t="shared" si="1"/>
        <v>2.0333666666666667E-4</v>
      </c>
      <c r="O11">
        <f t="shared" si="2"/>
        <v>5.0639064191809706E-5</v>
      </c>
      <c r="P11">
        <f t="shared" si="3"/>
        <v>1.4847542250786452E-5</v>
      </c>
    </row>
    <row r="12" spans="1:16" x14ac:dyDescent="0.35">
      <c r="A12" s="2">
        <v>63.095700000000001</v>
      </c>
      <c r="B12" s="2"/>
      <c r="C12" s="4">
        <v>9.5527399999999999E-4</v>
      </c>
      <c r="D12" s="4">
        <v>2.04312E-4</v>
      </c>
      <c r="F12" s="4">
        <v>1.0638100000000001E-3</v>
      </c>
      <c r="G12" s="4">
        <v>2.2575399999999999E-4</v>
      </c>
      <c r="I12" s="4">
        <v>1.0068900000000001E-3</v>
      </c>
      <c r="J12" s="4">
        <v>2.40838E-4</v>
      </c>
      <c r="L12" s="3">
        <f t="shared" si="0"/>
        <v>1.008658E-3</v>
      </c>
      <c r="M12" s="3">
        <f t="shared" si="1"/>
        <v>2.2363466666666665E-4</v>
      </c>
      <c r="O12">
        <f t="shared" si="2"/>
        <v>4.4327269199293917E-5</v>
      </c>
      <c r="P12">
        <f t="shared" si="3"/>
        <v>1.4986790835784541E-5</v>
      </c>
    </row>
    <row r="13" spans="1:16" x14ac:dyDescent="0.35">
      <c r="A13" s="2">
        <v>100</v>
      </c>
      <c r="B13" s="2"/>
      <c r="C13" s="4">
        <v>1.0439900000000001E-3</v>
      </c>
      <c r="D13" s="4">
        <v>2.31268E-4</v>
      </c>
      <c r="F13" s="4">
        <v>1.1073599999999999E-3</v>
      </c>
      <c r="G13" s="4">
        <v>2.6090899999999998E-4</v>
      </c>
      <c r="I13" s="4">
        <v>1.06138E-3</v>
      </c>
      <c r="J13" s="4">
        <v>2.6867500000000001E-4</v>
      </c>
      <c r="L13" s="3">
        <f t="shared" si="0"/>
        <v>1.0709099999999998E-3</v>
      </c>
      <c r="M13" s="3">
        <f t="shared" si="1"/>
        <v>2.5361733333333336E-4</v>
      </c>
      <c r="O13">
        <f t="shared" si="2"/>
        <v>2.6733934739702348E-5</v>
      </c>
      <c r="P13">
        <f t="shared" si="3"/>
        <v>1.6118254957931673E-5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67095-9A52-4501-8EDF-D0F44E10F38E}">
  <dimension ref="A1:P13"/>
  <sheetViews>
    <sheetView workbookViewId="0">
      <selection activeCell="O3" sqref="O3:P13"/>
    </sheetView>
  </sheetViews>
  <sheetFormatPr defaultColWidth="8.81640625" defaultRowHeight="14.5" x14ac:dyDescent="0.35"/>
  <cols>
    <col min="11" max="11" width="8.6328125" style="5"/>
  </cols>
  <sheetData>
    <row r="1" spans="1:16" ht="58" x14ac:dyDescent="0.35">
      <c r="A1" s="1" t="s">
        <v>0</v>
      </c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9</v>
      </c>
      <c r="M1" s="1" t="s">
        <v>10</v>
      </c>
      <c r="N1" s="1"/>
      <c r="O1" s="1" t="s">
        <v>11</v>
      </c>
      <c r="P1" s="1" t="s">
        <v>12</v>
      </c>
    </row>
    <row r="2" spans="1:16" x14ac:dyDescent="0.35">
      <c r="A2" s="1" t="s">
        <v>1</v>
      </c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N2" s="1"/>
      <c r="O2" s="1" t="s">
        <v>4</v>
      </c>
      <c r="P2" s="1" t="s">
        <v>4</v>
      </c>
    </row>
    <row r="3" spans="1:16" x14ac:dyDescent="0.35">
      <c r="A3" s="2">
        <v>1</v>
      </c>
      <c r="C3" s="4">
        <v>5.0290899999999995E-4</v>
      </c>
      <c r="D3" s="4">
        <v>1.38842E-4</v>
      </c>
      <c r="F3" s="4">
        <v>3.48337E-4</v>
      </c>
      <c r="G3" s="4">
        <v>1.2238E-4</v>
      </c>
      <c r="I3" s="4">
        <v>7.7786100000000003E-4</v>
      </c>
      <c r="J3" s="4">
        <v>1.68276E-4</v>
      </c>
      <c r="L3" s="3">
        <f>AVERAGE(C3,F3,I3)</f>
        <v>5.4303566666666662E-4</v>
      </c>
      <c r="M3" s="3">
        <f>AVERAGE(D3,G3,J3)</f>
        <v>1.4316599999999999E-4</v>
      </c>
      <c r="O3">
        <f>_xlfn.STDEV.P(C3,F3,I3)</f>
        <v>1.7763319636699543E-4</v>
      </c>
      <c r="P3">
        <f>_xlfn.STDEV.P(D3,G3,J3)</f>
        <v>1.8984791035633406E-5</v>
      </c>
    </row>
    <row r="4" spans="1:16" x14ac:dyDescent="0.35">
      <c r="A4" s="2">
        <v>1.5849</v>
      </c>
      <c r="C4" s="4">
        <v>5.4040200000000005E-4</v>
      </c>
      <c r="D4" s="4">
        <v>1.38782E-4</v>
      </c>
      <c r="F4" s="4">
        <v>3.8292799999999999E-4</v>
      </c>
      <c r="G4" s="4">
        <v>1.2379000000000001E-4</v>
      </c>
      <c r="I4" s="4">
        <v>8.2908000000000005E-4</v>
      </c>
      <c r="J4" s="4">
        <v>1.6956100000000001E-4</v>
      </c>
      <c r="L4" s="3">
        <f t="shared" ref="L4:M13" si="0">AVERAGE(C4,F4,I4)</f>
        <v>5.8413666666666671E-4</v>
      </c>
      <c r="M4" s="3">
        <f t="shared" si="0"/>
        <v>1.4404433333333334E-4</v>
      </c>
      <c r="O4">
        <f t="shared" ref="O4:P13" si="1">_xlfn.STDEV.P(C4,F4,I4)</f>
        <v>1.8474747193098176E-4</v>
      </c>
      <c r="P4">
        <f t="shared" si="1"/>
        <v>1.9052825238151838E-5</v>
      </c>
    </row>
    <row r="5" spans="1:16" x14ac:dyDescent="0.35">
      <c r="A5" s="2">
        <v>2.5118900000000002</v>
      </c>
      <c r="C5" s="4">
        <v>5.8024800000000001E-4</v>
      </c>
      <c r="D5" s="4">
        <v>1.3863699999999999E-4</v>
      </c>
      <c r="F5" s="4">
        <v>4.1706000000000002E-4</v>
      </c>
      <c r="G5" s="4">
        <v>1.3002900000000001E-4</v>
      </c>
      <c r="I5" s="4">
        <v>8.7865600000000001E-4</v>
      </c>
      <c r="J5" s="4">
        <v>1.6718700000000001E-4</v>
      </c>
      <c r="L5" s="3">
        <f t="shared" si="0"/>
        <v>6.2532133333333335E-4</v>
      </c>
      <c r="M5" s="3">
        <f t="shared" si="0"/>
        <v>1.4528433333333332E-4</v>
      </c>
      <c r="O5">
        <f t="shared" si="1"/>
        <v>1.9112198693911582E-4</v>
      </c>
      <c r="P5">
        <f t="shared" si="1"/>
        <v>1.5881215766502961E-5</v>
      </c>
    </row>
    <row r="6" spans="1:16" x14ac:dyDescent="0.35">
      <c r="A6" s="2">
        <v>3.9810500000000002</v>
      </c>
      <c r="C6" s="4">
        <v>6.18981E-4</v>
      </c>
      <c r="D6" s="4">
        <v>1.4055200000000001E-4</v>
      </c>
      <c r="F6" s="4">
        <v>4.5192499999999999E-4</v>
      </c>
      <c r="G6" s="4">
        <v>1.33998E-4</v>
      </c>
      <c r="I6" s="4">
        <v>9.2687599999999998E-4</v>
      </c>
      <c r="J6" s="4">
        <v>1.6640200000000001E-4</v>
      </c>
      <c r="L6" s="3">
        <f t="shared" si="0"/>
        <v>6.6592733333333334E-4</v>
      </c>
      <c r="M6" s="3">
        <f t="shared" si="0"/>
        <v>1.4698400000000001E-4</v>
      </c>
      <c r="O6">
        <f t="shared" si="1"/>
        <v>1.9671905815203116E-4</v>
      </c>
      <c r="P6">
        <f t="shared" si="1"/>
        <v>1.3988871100509388E-5</v>
      </c>
    </row>
    <row r="7" spans="1:16" x14ac:dyDescent="0.35">
      <c r="A7" s="2">
        <v>6.3095699999999999</v>
      </c>
      <c r="C7" s="4">
        <v>6.5845300000000003E-4</v>
      </c>
      <c r="D7" s="4">
        <v>1.47324E-4</v>
      </c>
      <c r="F7" s="4">
        <v>4.8656900000000001E-4</v>
      </c>
      <c r="G7" s="4">
        <v>1.3618500000000001E-4</v>
      </c>
      <c r="I7" s="4">
        <v>9.7566199999999997E-4</v>
      </c>
      <c r="J7" s="4">
        <v>1.70796E-4</v>
      </c>
      <c r="L7" s="3">
        <f t="shared" si="0"/>
        <v>7.0689466666666676E-4</v>
      </c>
      <c r="M7" s="3">
        <f t="shared" si="0"/>
        <v>1.51435E-4</v>
      </c>
      <c r="O7">
        <f t="shared" si="1"/>
        <v>2.0258814865688025E-4</v>
      </c>
      <c r="P7">
        <f t="shared" si="1"/>
        <v>1.4425800289758618E-5</v>
      </c>
    </row>
    <row r="8" spans="1:16" x14ac:dyDescent="0.35">
      <c r="A8" s="2">
        <v>10.0001</v>
      </c>
      <c r="C8" s="4">
        <v>6.9641899999999999E-4</v>
      </c>
      <c r="D8" s="4">
        <v>1.4959700000000001E-4</v>
      </c>
      <c r="F8" s="4">
        <v>5.2136299999999995E-4</v>
      </c>
      <c r="G8" s="4">
        <v>1.3888999999999999E-4</v>
      </c>
      <c r="I8" s="4">
        <v>1.0227299999999999E-3</v>
      </c>
      <c r="J8" s="4">
        <v>1.7401600000000001E-4</v>
      </c>
      <c r="L8" s="3">
        <f t="shared" si="0"/>
        <v>7.4683733333333335E-4</v>
      </c>
      <c r="M8" s="3">
        <f t="shared" si="0"/>
        <v>1.541676666666667E-4</v>
      </c>
      <c r="O8">
        <f t="shared" si="1"/>
        <v>2.0776384578704307E-4</v>
      </c>
      <c r="P8">
        <f t="shared" si="1"/>
        <v>1.4699823453210441E-5</v>
      </c>
    </row>
    <row r="9" spans="1:16" x14ac:dyDescent="0.35">
      <c r="A9" s="2">
        <v>15.849</v>
      </c>
      <c r="C9" s="4">
        <v>7.3433799999999996E-4</v>
      </c>
      <c r="D9" s="4">
        <v>1.5920600000000001E-4</v>
      </c>
      <c r="F9" s="4">
        <v>5.57951E-4</v>
      </c>
      <c r="G9" s="4">
        <v>1.4466500000000001E-4</v>
      </c>
      <c r="I9" s="4">
        <v>1.0708200000000001E-3</v>
      </c>
      <c r="J9" s="4">
        <v>1.81662E-4</v>
      </c>
      <c r="L9" s="3">
        <f t="shared" si="0"/>
        <v>7.8770299999999995E-4</v>
      </c>
      <c r="M9" s="3">
        <f t="shared" si="0"/>
        <v>1.6184433333333334E-4</v>
      </c>
      <c r="O9">
        <f t="shared" si="1"/>
        <v>2.1275105986261664E-4</v>
      </c>
      <c r="P9">
        <f t="shared" si="1"/>
        <v>1.5218740734881955E-5</v>
      </c>
    </row>
    <row r="10" spans="1:16" x14ac:dyDescent="0.35">
      <c r="A10" s="2">
        <v>25.1188</v>
      </c>
      <c r="C10" s="4">
        <v>7.7193400000000005E-4</v>
      </c>
      <c r="D10" s="4">
        <v>1.6301400000000001E-4</v>
      </c>
      <c r="F10" s="4">
        <v>5.9734299999999996E-4</v>
      </c>
      <c r="G10" s="4">
        <v>1.53771E-4</v>
      </c>
      <c r="I10" s="4">
        <v>1.1207999999999999E-3</v>
      </c>
      <c r="J10" s="4">
        <v>1.9228499999999999E-4</v>
      </c>
      <c r="L10" s="3">
        <f t="shared" si="0"/>
        <v>8.3002566666666661E-4</v>
      </c>
      <c r="M10" s="3">
        <f t="shared" si="0"/>
        <v>1.6968999999999998E-4</v>
      </c>
      <c r="O10">
        <f t="shared" si="1"/>
        <v>2.1761248281342276E-4</v>
      </c>
      <c r="P10">
        <f t="shared" si="1"/>
        <v>1.6416633455127145E-5</v>
      </c>
    </row>
    <row r="11" spans="1:16" x14ac:dyDescent="0.35">
      <c r="A11" s="2">
        <v>39.810499999999998</v>
      </c>
      <c r="C11" s="4">
        <v>8.1250699999999996E-4</v>
      </c>
      <c r="D11" s="4">
        <v>1.77002E-4</v>
      </c>
      <c r="F11" s="4">
        <v>6.3974099999999999E-4</v>
      </c>
      <c r="G11" s="4">
        <v>1.58598E-4</v>
      </c>
      <c r="I11" s="4">
        <v>1.1756399999999999E-3</v>
      </c>
      <c r="J11" s="4">
        <v>2.0580800000000001E-4</v>
      </c>
      <c r="L11" s="3">
        <f t="shared" si="0"/>
        <v>8.7596266666666674E-4</v>
      </c>
      <c r="M11" s="3">
        <f t="shared" si="0"/>
        <v>1.8046933333333334E-4</v>
      </c>
      <c r="O11">
        <f t="shared" si="1"/>
        <v>2.2333368274748782E-4</v>
      </c>
      <c r="P11">
        <f t="shared" si="1"/>
        <v>1.9428721442464736E-5</v>
      </c>
    </row>
    <row r="12" spans="1:16" x14ac:dyDescent="0.35">
      <c r="A12" s="2">
        <v>63.095700000000001</v>
      </c>
      <c r="C12" s="4">
        <v>8.5713100000000002E-4</v>
      </c>
      <c r="D12" s="4">
        <v>1.9581399999999999E-4</v>
      </c>
      <c r="F12" s="4">
        <v>6.9465300000000005E-4</v>
      </c>
      <c r="G12" s="4">
        <v>1.6949099999999999E-4</v>
      </c>
      <c r="I12" s="4">
        <v>1.2470599999999999E-3</v>
      </c>
      <c r="J12" s="4">
        <v>2.2559699999999999E-4</v>
      </c>
      <c r="L12" s="3">
        <f t="shared" si="0"/>
        <v>9.3294799999999996E-4</v>
      </c>
      <c r="M12" s="3">
        <f t="shared" si="0"/>
        <v>1.9696733333333333E-4</v>
      </c>
      <c r="O12">
        <f t="shared" si="1"/>
        <v>2.3180384887371185E-4</v>
      </c>
      <c r="P12">
        <f t="shared" si="1"/>
        <v>2.2919692294812529E-5</v>
      </c>
    </row>
    <row r="13" spans="1:16" x14ac:dyDescent="0.35">
      <c r="A13" s="2">
        <v>100</v>
      </c>
      <c r="C13" s="4">
        <v>8.8914199999999999E-4</v>
      </c>
      <c r="D13" s="4">
        <v>2.1484400000000001E-4</v>
      </c>
      <c r="F13" s="4">
        <v>7.6496799999999998E-4</v>
      </c>
      <c r="G13" s="4">
        <v>1.8445000000000001E-4</v>
      </c>
      <c r="I13" s="4">
        <v>1.3391099999999999E-3</v>
      </c>
      <c r="J13" s="4">
        <v>2.5355199999999999E-4</v>
      </c>
      <c r="L13" s="3">
        <f t="shared" si="0"/>
        <v>9.9773999999999978E-4</v>
      </c>
      <c r="M13" s="3">
        <f t="shared" si="0"/>
        <v>2.1761533333333334E-4</v>
      </c>
      <c r="O13">
        <f t="shared" si="1"/>
        <v>2.4665076963728826E-4</v>
      </c>
      <c r="P13">
        <f t="shared" si="1"/>
        <v>2.8278753123541737E-5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80D05-844C-4BDF-9799-621DC28F9BD3}">
  <dimension ref="A1:P13"/>
  <sheetViews>
    <sheetView workbookViewId="0">
      <selection activeCell="O3" sqref="O3:P13"/>
    </sheetView>
  </sheetViews>
  <sheetFormatPr defaultColWidth="8.81640625" defaultRowHeight="14.5" x14ac:dyDescent="0.35"/>
  <cols>
    <col min="11" max="11" width="8.6328125" style="5"/>
  </cols>
  <sheetData>
    <row r="1" spans="1:16" ht="58" x14ac:dyDescent="0.35">
      <c r="A1" s="1" t="s">
        <v>0</v>
      </c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13</v>
      </c>
      <c r="M1" s="1" t="s">
        <v>14</v>
      </c>
      <c r="O1" s="1" t="s">
        <v>15</v>
      </c>
      <c r="P1" s="1" t="s">
        <v>16</v>
      </c>
    </row>
    <row r="2" spans="1:16" x14ac:dyDescent="0.35">
      <c r="A2" s="1" t="s">
        <v>1</v>
      </c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O2" s="1" t="s">
        <v>4</v>
      </c>
      <c r="P2" s="1" t="s">
        <v>4</v>
      </c>
    </row>
    <row r="3" spans="1:16" x14ac:dyDescent="0.35">
      <c r="A3" s="2">
        <v>1</v>
      </c>
      <c r="C3" s="4">
        <v>6.6664000000000003E-4</v>
      </c>
      <c r="D3" s="4">
        <v>1.04685E-4</v>
      </c>
      <c r="F3" s="4">
        <v>6.0757900000000002E-4</v>
      </c>
      <c r="G3" s="4">
        <v>9.9909199999999995E-5</v>
      </c>
      <c r="I3" s="4">
        <v>7.6661299999999997E-4</v>
      </c>
      <c r="J3" s="4">
        <v>1.40598E-4</v>
      </c>
      <c r="L3" s="3">
        <f>AVERAGE(C3,F3,I3)</f>
        <v>6.8027733333333345E-4</v>
      </c>
      <c r="M3" s="3">
        <f>AVERAGE(D3,G3,J3)</f>
        <v>1.1506406666666666E-4</v>
      </c>
      <c r="O3">
        <f>_xlfn.STDEV.P(C3,F3,I3)</f>
        <v>6.5637570208599937E-5</v>
      </c>
      <c r="P3">
        <f>_xlfn.STDEV.P(D3,G3,J3)</f>
        <v>1.8160183185811266E-5</v>
      </c>
    </row>
    <row r="4" spans="1:16" x14ac:dyDescent="0.35">
      <c r="A4" s="2">
        <v>1.5849</v>
      </c>
      <c r="C4" s="4">
        <v>6.9133499999999995E-4</v>
      </c>
      <c r="D4" s="4">
        <v>1.0618700000000001E-4</v>
      </c>
      <c r="F4" s="4">
        <v>6.4144099999999997E-4</v>
      </c>
      <c r="G4" s="4">
        <v>9.8986099999999997E-5</v>
      </c>
      <c r="I4" s="4">
        <v>7.9860300000000005E-4</v>
      </c>
      <c r="J4" s="4">
        <v>1.4214499999999999E-4</v>
      </c>
      <c r="L4" s="3">
        <f t="shared" ref="L4:M13" si="0">AVERAGE(C4,F4,I4)</f>
        <v>7.1045966666666673E-4</v>
      </c>
      <c r="M4" s="3">
        <f t="shared" si="0"/>
        <v>1.157727E-4</v>
      </c>
      <c r="O4">
        <f t="shared" ref="O4:P13" si="1">_xlfn.STDEV.P(C4,F4,I4)</f>
        <v>6.5570766948558926E-5</v>
      </c>
      <c r="P4">
        <f t="shared" si="1"/>
        <v>1.8878327886229748E-5</v>
      </c>
    </row>
    <row r="5" spans="1:16" x14ac:dyDescent="0.35">
      <c r="A5" s="2">
        <v>2.5118900000000002</v>
      </c>
      <c r="C5" s="4">
        <v>7.13304E-4</v>
      </c>
      <c r="D5" s="4">
        <v>1.0281300000000001E-4</v>
      </c>
      <c r="F5" s="4">
        <v>6.6795400000000001E-4</v>
      </c>
      <c r="G5" s="4">
        <v>9.7977499999999995E-5</v>
      </c>
      <c r="I5" s="4">
        <v>8.26164E-4</v>
      </c>
      <c r="J5" s="4">
        <v>1.41049E-4</v>
      </c>
      <c r="L5" s="3">
        <f t="shared" si="0"/>
        <v>7.3580733333333337E-4</v>
      </c>
      <c r="M5" s="3">
        <f t="shared" si="0"/>
        <v>1.1394649999999999E-4</v>
      </c>
      <c r="O5">
        <f t="shared" si="1"/>
        <v>6.6520177557055735E-5</v>
      </c>
      <c r="P5">
        <f t="shared" si="1"/>
        <v>1.9265766612483051E-5</v>
      </c>
    </row>
    <row r="6" spans="1:16" x14ac:dyDescent="0.35">
      <c r="A6" s="2">
        <v>3.9810500000000002</v>
      </c>
      <c r="C6" s="4">
        <v>7.3934200000000004E-4</v>
      </c>
      <c r="D6" s="4">
        <v>1.04542E-4</v>
      </c>
      <c r="F6" s="4">
        <v>6.9148899999999999E-4</v>
      </c>
      <c r="G6" s="4">
        <v>1.04626E-4</v>
      </c>
      <c r="I6" s="4">
        <v>8.4986800000000004E-4</v>
      </c>
      <c r="J6" s="4">
        <v>1.3635700000000001E-4</v>
      </c>
      <c r="L6" s="3">
        <f t="shared" si="0"/>
        <v>7.6023300000000002E-4</v>
      </c>
      <c r="M6" s="3">
        <f t="shared" si="0"/>
        <v>1.1517500000000001E-4</v>
      </c>
      <c r="O6">
        <f t="shared" si="1"/>
        <v>6.6323964100466746E-5</v>
      </c>
      <c r="P6">
        <f t="shared" si="1"/>
        <v>1.4977975096787954E-5</v>
      </c>
    </row>
    <row r="7" spans="1:16" x14ac:dyDescent="0.35">
      <c r="A7" s="2">
        <v>6.3095699999999999</v>
      </c>
      <c r="C7" s="4">
        <v>7.6710700000000005E-4</v>
      </c>
      <c r="D7" s="4">
        <v>1.06173E-4</v>
      </c>
      <c r="F7" s="4">
        <v>7.1550699999999999E-4</v>
      </c>
      <c r="G7" s="4">
        <v>1.07637E-4</v>
      </c>
      <c r="I7" s="4">
        <v>8.7952099999999997E-4</v>
      </c>
      <c r="J7" s="4">
        <v>1.44184E-4</v>
      </c>
      <c r="L7" s="3">
        <f t="shared" si="0"/>
        <v>7.873783333333333E-4</v>
      </c>
      <c r="M7" s="3">
        <f t="shared" si="0"/>
        <v>1.1933133333333333E-4</v>
      </c>
      <c r="O7">
        <f t="shared" si="1"/>
        <v>6.847551029544957E-5</v>
      </c>
      <c r="P7">
        <f t="shared" si="1"/>
        <v>1.7583649684357972E-5</v>
      </c>
    </row>
    <row r="8" spans="1:16" x14ac:dyDescent="0.35">
      <c r="A8" s="2">
        <v>10.0001</v>
      </c>
      <c r="C8" s="4">
        <v>7.9238799999999999E-4</v>
      </c>
      <c r="D8" s="4">
        <v>1.18775E-4</v>
      </c>
      <c r="F8" s="4">
        <v>7.3834300000000003E-4</v>
      </c>
      <c r="G8" s="4">
        <v>1.0761599999999999E-4</v>
      </c>
      <c r="I8" s="4">
        <v>9.0967700000000001E-4</v>
      </c>
      <c r="J8" s="4">
        <v>1.5155600000000001E-4</v>
      </c>
      <c r="L8" s="3">
        <f t="shared" si="0"/>
        <v>8.1346933333333331E-4</v>
      </c>
      <c r="M8" s="3">
        <f t="shared" si="0"/>
        <v>1.2598233333333334E-4</v>
      </c>
      <c r="O8">
        <f t="shared" si="1"/>
        <v>7.1517605526347298E-5</v>
      </c>
      <c r="P8">
        <f t="shared" si="1"/>
        <v>1.864832682992112E-5</v>
      </c>
    </row>
    <row r="9" spans="1:16" x14ac:dyDescent="0.35">
      <c r="A9" s="2">
        <v>15.849</v>
      </c>
      <c r="C9" s="4">
        <v>8.2117500000000005E-4</v>
      </c>
      <c r="D9" s="4">
        <v>1.26642E-4</v>
      </c>
      <c r="F9" s="4">
        <v>7.6564500000000002E-4</v>
      </c>
      <c r="G9" s="4">
        <v>1.2211399999999999E-4</v>
      </c>
      <c r="I9" s="4">
        <v>9.3749000000000002E-4</v>
      </c>
      <c r="J9" s="4">
        <v>1.5330699999999999E-4</v>
      </c>
      <c r="L9" s="3">
        <f t="shared" si="0"/>
        <v>8.4143666666666673E-4</v>
      </c>
      <c r="M9" s="3">
        <f t="shared" si="0"/>
        <v>1.3402099999999998E-4</v>
      </c>
      <c r="O9">
        <f t="shared" si="1"/>
        <v>7.1603432684629173E-5</v>
      </c>
      <c r="P9">
        <f t="shared" si="1"/>
        <v>1.3761977643735169E-5</v>
      </c>
    </row>
    <row r="10" spans="1:16" x14ac:dyDescent="0.35">
      <c r="A10" s="2">
        <v>25.1188</v>
      </c>
      <c r="C10" s="4">
        <v>8.5508199999999996E-4</v>
      </c>
      <c r="D10" s="4">
        <v>1.4391499999999999E-4</v>
      </c>
      <c r="F10" s="4">
        <v>7.9206299999999997E-4</v>
      </c>
      <c r="G10" s="4">
        <v>1.2732299999999999E-4</v>
      </c>
      <c r="I10" s="4">
        <v>9.7176200000000004E-4</v>
      </c>
      <c r="J10" s="4">
        <v>1.64792E-4</v>
      </c>
      <c r="L10" s="3">
        <f t="shared" si="0"/>
        <v>8.7296900000000002E-4</v>
      </c>
      <c r="M10" s="3">
        <f t="shared" si="0"/>
        <v>1.4534333333333333E-4</v>
      </c>
      <c r="O10">
        <f t="shared" si="1"/>
        <v>7.4444123237947212E-5</v>
      </c>
      <c r="P10">
        <f t="shared" si="1"/>
        <v>1.5329961781499079E-5</v>
      </c>
    </row>
    <row r="11" spans="1:16" x14ac:dyDescent="0.35">
      <c r="A11" s="2">
        <v>39.810499999999998</v>
      </c>
      <c r="C11" s="4">
        <v>8.8961200000000002E-4</v>
      </c>
      <c r="D11" s="4">
        <v>1.51213E-4</v>
      </c>
      <c r="F11" s="4">
        <v>8.2110400000000002E-4</v>
      </c>
      <c r="G11" s="4">
        <v>1.3389700000000001E-4</v>
      </c>
      <c r="I11" s="4">
        <v>1.00844E-3</v>
      </c>
      <c r="J11" s="4">
        <v>1.7732499999999999E-4</v>
      </c>
      <c r="L11" s="3">
        <f t="shared" si="0"/>
        <v>9.0638533333333349E-4</v>
      </c>
      <c r="M11" s="3">
        <f t="shared" si="0"/>
        <v>1.5414499999999998E-4</v>
      </c>
      <c r="O11">
        <f t="shared" si="1"/>
        <v>7.7393810076919074E-5</v>
      </c>
      <c r="P11">
        <f t="shared" si="1"/>
        <v>1.7850215012710622E-5</v>
      </c>
    </row>
    <row r="12" spans="1:16" x14ac:dyDescent="0.35">
      <c r="A12" s="2">
        <v>63.095700000000001</v>
      </c>
      <c r="C12" s="4">
        <v>9.4129000000000001E-4</v>
      </c>
      <c r="D12" s="4">
        <v>1.6431099999999999E-4</v>
      </c>
      <c r="F12" s="4">
        <v>8.55553E-4</v>
      </c>
      <c r="G12" s="4">
        <v>1.44E-4</v>
      </c>
      <c r="I12" s="4">
        <v>1.0559899999999999E-3</v>
      </c>
      <c r="J12" s="4">
        <v>1.8325899999999999E-4</v>
      </c>
      <c r="L12" s="3">
        <f t="shared" si="0"/>
        <v>9.5094433333333327E-4</v>
      </c>
      <c r="M12" s="3">
        <f t="shared" si="0"/>
        <v>1.6385666666666665E-4</v>
      </c>
      <c r="O12">
        <f t="shared" si="1"/>
        <v>8.2112331011987584E-5</v>
      </c>
      <c r="P12">
        <f t="shared" si="1"/>
        <v>1.6030639087558404E-5</v>
      </c>
    </row>
    <row r="13" spans="1:16" x14ac:dyDescent="0.35">
      <c r="A13" s="2">
        <v>100</v>
      </c>
      <c r="C13" s="4">
        <v>1.00511E-3</v>
      </c>
      <c r="D13" s="4">
        <v>1.76558E-4</v>
      </c>
      <c r="F13" s="4">
        <v>8.8628899999999996E-4</v>
      </c>
      <c r="G13" s="4">
        <v>1.5909400000000001E-4</v>
      </c>
      <c r="I13" s="4">
        <v>1.1165700000000001E-3</v>
      </c>
      <c r="J13" s="4">
        <v>2.0433300000000001E-4</v>
      </c>
      <c r="L13" s="3">
        <f t="shared" si="0"/>
        <v>1.0026563333333334E-3</v>
      </c>
      <c r="M13" s="3">
        <f t="shared" si="0"/>
        <v>1.7999499999999999E-4</v>
      </c>
      <c r="O13">
        <f t="shared" si="1"/>
        <v>9.4027833114574289E-5</v>
      </c>
      <c r="P13">
        <f t="shared" si="1"/>
        <v>1.8627962976843892E-5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448F8-34A2-4EEE-A82C-A9C0E085BBD9}">
  <dimension ref="A1:P13"/>
  <sheetViews>
    <sheetView workbookViewId="0">
      <selection activeCell="O3" sqref="O3:P13"/>
    </sheetView>
  </sheetViews>
  <sheetFormatPr defaultColWidth="8.81640625" defaultRowHeight="14.5" x14ac:dyDescent="0.35"/>
  <cols>
    <col min="11" max="11" width="8.6328125" style="5"/>
  </cols>
  <sheetData>
    <row r="1" spans="1:16" ht="58" x14ac:dyDescent="0.35">
      <c r="A1" s="1" t="s">
        <v>0</v>
      </c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17</v>
      </c>
      <c r="M1" s="1" t="s">
        <v>18</v>
      </c>
      <c r="O1" s="1" t="s">
        <v>19</v>
      </c>
      <c r="P1" s="1" t="s">
        <v>20</v>
      </c>
    </row>
    <row r="2" spans="1:16" x14ac:dyDescent="0.35">
      <c r="A2" s="1" t="s">
        <v>1</v>
      </c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O2" s="1" t="s">
        <v>4</v>
      </c>
      <c r="P2" s="1" t="s">
        <v>4</v>
      </c>
    </row>
    <row r="3" spans="1:16" x14ac:dyDescent="0.35">
      <c r="A3" s="2">
        <v>1</v>
      </c>
      <c r="C3" s="4">
        <v>1.8086000000000001E-3</v>
      </c>
      <c r="D3" s="4">
        <v>2.60284E-4</v>
      </c>
      <c r="F3" s="4">
        <v>1.16643E-3</v>
      </c>
      <c r="G3" s="4">
        <v>1.7782599999999999E-4</v>
      </c>
      <c r="I3" s="4">
        <v>1.67169E-3</v>
      </c>
      <c r="J3" s="4">
        <v>2.1775700000000001E-4</v>
      </c>
      <c r="L3" s="3">
        <f>AVERAGE(C3,F3,I3)</f>
        <v>1.5489066666666666E-3</v>
      </c>
      <c r="M3" s="3">
        <f>AVERAGE(D3,G3,J3)</f>
        <v>2.1862233333333337E-4</v>
      </c>
      <c r="O3">
        <f>_xlfn.STDEV.P(C3,F3,I3)</f>
        <v>2.761670840069267E-4</v>
      </c>
      <c r="P3">
        <f>_xlfn.STDEV.P(D3,G3,J3)</f>
        <v>3.3668898034965283E-5</v>
      </c>
    </row>
    <row r="4" spans="1:16" x14ac:dyDescent="0.35">
      <c r="A4" s="2">
        <v>1.5849</v>
      </c>
      <c r="C4" s="4">
        <v>1.8792800000000001E-3</v>
      </c>
      <c r="D4" s="4">
        <v>2.5317599999999998E-4</v>
      </c>
      <c r="F4" s="4">
        <v>1.21981E-3</v>
      </c>
      <c r="G4" s="4">
        <v>1.7188199999999999E-4</v>
      </c>
      <c r="I4" s="4">
        <v>1.73077E-3</v>
      </c>
      <c r="J4" s="4">
        <v>2.13024E-4</v>
      </c>
      <c r="L4" s="3">
        <f t="shared" ref="L4:M13" si="0">AVERAGE(C4,F4,I4)</f>
        <v>1.6099533333333333E-3</v>
      </c>
      <c r="M4" s="3">
        <f t="shared" si="0"/>
        <v>2.1269400000000001E-4</v>
      </c>
      <c r="O4">
        <f t="shared" ref="O4:P13" si="1">_xlfn.STDEV.P(C4,F4,I4)</f>
        <v>2.8245668745648225E-4</v>
      </c>
      <c r="P4">
        <f t="shared" si="1"/>
        <v>3.3188956838080937E-5</v>
      </c>
    </row>
    <row r="5" spans="1:16" x14ac:dyDescent="0.35">
      <c r="A5" s="2">
        <v>2.5118900000000002</v>
      </c>
      <c r="C5" s="4">
        <v>1.9461000000000001E-3</v>
      </c>
      <c r="D5" s="4">
        <v>2.5794199999999999E-4</v>
      </c>
      <c r="F5" s="4">
        <v>1.2622899999999999E-3</v>
      </c>
      <c r="G5" s="4">
        <v>1.60202E-4</v>
      </c>
      <c r="I5" s="4">
        <v>1.786E-3</v>
      </c>
      <c r="J5" s="4">
        <v>2.1976E-4</v>
      </c>
      <c r="L5" s="3">
        <f t="shared" si="0"/>
        <v>1.6647966666666668E-3</v>
      </c>
      <c r="M5" s="3">
        <f t="shared" si="0"/>
        <v>2.1263466666666662E-4</v>
      </c>
      <c r="O5">
        <f t="shared" si="1"/>
        <v>2.9202364634087815E-4</v>
      </c>
      <c r="P5">
        <f t="shared" si="1"/>
        <v>4.0219022707613814E-5</v>
      </c>
    </row>
    <row r="6" spans="1:16" x14ac:dyDescent="0.35">
      <c r="A6" s="2">
        <v>3.9810500000000002</v>
      </c>
      <c r="C6" s="4">
        <v>2.0103899999999999E-3</v>
      </c>
      <c r="D6" s="4">
        <v>2.6340000000000001E-4</v>
      </c>
      <c r="F6" s="4">
        <v>1.30401E-3</v>
      </c>
      <c r="G6" s="4">
        <v>1.65995E-4</v>
      </c>
      <c r="I6" s="4">
        <v>1.84541E-3</v>
      </c>
      <c r="J6" s="4">
        <v>2.2611899999999999E-4</v>
      </c>
      <c r="L6" s="3">
        <f t="shared" si="0"/>
        <v>1.7199366666666666E-3</v>
      </c>
      <c r="M6" s="3">
        <f t="shared" si="0"/>
        <v>2.1850466666666668E-4</v>
      </c>
      <c r="O6">
        <f t="shared" si="1"/>
        <v>3.0171823956945144E-4</v>
      </c>
      <c r="P6">
        <f t="shared" si="1"/>
        <v>4.012826983838479E-5</v>
      </c>
    </row>
    <row r="7" spans="1:16" x14ac:dyDescent="0.35">
      <c r="A7" s="2">
        <v>6.3095699999999999</v>
      </c>
      <c r="C7" s="4">
        <v>2.0796199999999999E-3</v>
      </c>
      <c r="D7" s="4">
        <v>2.6995300000000002E-4</v>
      </c>
      <c r="F7" s="4">
        <v>1.3478100000000001E-3</v>
      </c>
      <c r="G7" s="4">
        <v>1.7475499999999999E-4</v>
      </c>
      <c r="I7" s="4">
        <v>1.90244E-3</v>
      </c>
      <c r="J7" s="4">
        <v>2.2795700000000001E-4</v>
      </c>
      <c r="L7" s="3">
        <f t="shared" si="0"/>
        <v>1.7766233333333336E-3</v>
      </c>
      <c r="M7" s="3">
        <f t="shared" si="0"/>
        <v>2.2422166666666668E-4</v>
      </c>
      <c r="O7">
        <f t="shared" si="1"/>
        <v>3.1172513986238291E-4</v>
      </c>
      <c r="P7">
        <f t="shared" si="1"/>
        <v>3.8954069854409604E-5</v>
      </c>
    </row>
    <row r="8" spans="1:16" x14ac:dyDescent="0.35">
      <c r="A8" s="2">
        <v>10.0001</v>
      </c>
      <c r="C8" s="4">
        <v>2.1511999999999998E-3</v>
      </c>
      <c r="D8" s="4">
        <v>2.80067E-4</v>
      </c>
      <c r="F8" s="4">
        <v>1.39208E-3</v>
      </c>
      <c r="G8" s="4">
        <v>1.75539E-4</v>
      </c>
      <c r="I8" s="4">
        <v>1.9632400000000002E-3</v>
      </c>
      <c r="J8" s="4">
        <v>2.3268599999999999E-4</v>
      </c>
      <c r="L8" s="3">
        <f t="shared" si="0"/>
        <v>1.8355066666666667E-3</v>
      </c>
      <c r="M8" s="3">
        <f t="shared" si="0"/>
        <v>2.2943066666666664E-4</v>
      </c>
      <c r="O8">
        <f t="shared" si="1"/>
        <v>3.2280298112350548E-4</v>
      </c>
      <c r="P8">
        <f t="shared" si="1"/>
        <v>4.2735415386096596E-5</v>
      </c>
    </row>
    <row r="9" spans="1:16" x14ac:dyDescent="0.35">
      <c r="A9" s="2">
        <v>15.849</v>
      </c>
      <c r="C9" s="4">
        <v>2.2287100000000001E-3</v>
      </c>
      <c r="D9" s="4">
        <v>2.9455799999999999E-4</v>
      </c>
      <c r="F9" s="4">
        <v>1.43589E-3</v>
      </c>
      <c r="G9" s="4">
        <v>1.8858699999999999E-4</v>
      </c>
      <c r="I9" s="4">
        <v>2.0255300000000002E-3</v>
      </c>
      <c r="J9" s="4">
        <v>2.3250199999999999E-4</v>
      </c>
      <c r="L9" s="3">
        <f t="shared" si="0"/>
        <v>1.89671E-3</v>
      </c>
      <c r="M9" s="3">
        <f t="shared" si="0"/>
        <v>2.3854900000000001E-4</v>
      </c>
      <c r="O9">
        <f t="shared" si="1"/>
        <v>3.3624081885854772E-4</v>
      </c>
      <c r="P9">
        <f t="shared" si="1"/>
        <v>4.3473270462051357E-5</v>
      </c>
    </row>
    <row r="10" spans="1:16" x14ac:dyDescent="0.35">
      <c r="A10" s="2">
        <v>25.1188</v>
      </c>
      <c r="C10" s="4">
        <v>2.3042700000000002E-3</v>
      </c>
      <c r="D10" s="4">
        <v>2.9895900000000001E-4</v>
      </c>
      <c r="F10" s="4">
        <v>1.4752999999999999E-3</v>
      </c>
      <c r="G10" s="4">
        <v>1.9427499999999999E-4</v>
      </c>
      <c r="I10" s="4">
        <v>2.0875799999999999E-3</v>
      </c>
      <c r="J10" s="4">
        <v>2.42768E-4</v>
      </c>
      <c r="L10" s="3">
        <f t="shared" si="0"/>
        <v>1.9557166666666665E-3</v>
      </c>
      <c r="M10" s="3">
        <f t="shared" si="0"/>
        <v>2.4533399999999999E-4</v>
      </c>
      <c r="O10">
        <f t="shared" si="1"/>
        <v>3.5103539159970126E-4</v>
      </c>
      <c r="P10">
        <f t="shared" si="1"/>
        <v>4.2775563358846216E-5</v>
      </c>
    </row>
    <row r="11" spans="1:16" x14ac:dyDescent="0.35">
      <c r="A11" s="2">
        <v>39.810499999999998</v>
      </c>
      <c r="C11" s="4">
        <v>2.3844600000000001E-3</v>
      </c>
      <c r="D11" s="4">
        <v>3.0757899999999999E-4</v>
      </c>
      <c r="F11" s="4">
        <v>1.51392E-3</v>
      </c>
      <c r="G11" s="4">
        <v>1.94942E-4</v>
      </c>
      <c r="I11" s="4">
        <v>2.1474300000000001E-3</v>
      </c>
      <c r="J11" s="4">
        <v>2.5201999999999999E-4</v>
      </c>
      <c r="L11" s="3">
        <f t="shared" si="0"/>
        <v>2.01527E-3</v>
      </c>
      <c r="M11" s="3">
        <f t="shared" si="0"/>
        <v>2.5151366666666667E-4</v>
      </c>
      <c r="O11">
        <f t="shared" si="1"/>
        <v>3.6747759305840686E-4</v>
      </c>
      <c r="P11">
        <f t="shared" si="1"/>
        <v>4.5985256494760233E-5</v>
      </c>
    </row>
    <row r="12" spans="1:16" x14ac:dyDescent="0.35">
      <c r="A12" s="2">
        <v>63.095700000000001</v>
      </c>
      <c r="C12" s="4">
        <v>2.4735600000000001E-3</v>
      </c>
      <c r="D12" s="4">
        <v>3.1891599999999998E-4</v>
      </c>
      <c r="F12" s="4">
        <v>1.5567999999999999E-3</v>
      </c>
      <c r="G12" s="4">
        <v>2.02232E-4</v>
      </c>
      <c r="I12" s="4">
        <v>2.2100000000000002E-3</v>
      </c>
      <c r="J12" s="4">
        <v>2.6240500000000001E-4</v>
      </c>
      <c r="L12" s="3">
        <f t="shared" si="0"/>
        <v>2.08012E-3</v>
      </c>
      <c r="M12" s="3">
        <f t="shared" si="0"/>
        <v>2.6118433333333335E-4</v>
      </c>
      <c r="O12">
        <f t="shared" si="1"/>
        <v>3.8536894460590194E-4</v>
      </c>
      <c r="P12">
        <f t="shared" si="1"/>
        <v>4.7643862734062837E-5</v>
      </c>
    </row>
    <row r="13" spans="1:16" x14ac:dyDescent="0.35">
      <c r="A13" s="2">
        <v>100</v>
      </c>
      <c r="C13" s="4">
        <v>2.5932400000000001E-3</v>
      </c>
      <c r="D13" s="4">
        <v>3.3616899999999999E-4</v>
      </c>
      <c r="F13" s="4">
        <v>1.5955699999999999E-3</v>
      </c>
      <c r="G13" s="4">
        <v>2.20526E-4</v>
      </c>
      <c r="I13" s="4">
        <v>2.2713299999999998E-3</v>
      </c>
      <c r="J13" s="4">
        <v>2.7628499999999997E-4</v>
      </c>
      <c r="L13" s="3">
        <f t="shared" si="0"/>
        <v>2.1533799999999999E-3</v>
      </c>
      <c r="M13" s="3">
        <f t="shared" si="0"/>
        <v>2.7765999999999994E-4</v>
      </c>
      <c r="O13">
        <f t="shared" si="1"/>
        <v>4.1574872948292542E-4</v>
      </c>
      <c r="P13">
        <f t="shared" si="1"/>
        <v>4.7221067551111827E-5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AF35F-C205-4070-8AA1-DEAC262CC0D6}">
  <dimension ref="A1:P13"/>
  <sheetViews>
    <sheetView workbookViewId="0">
      <selection activeCell="O3" sqref="O3:P13"/>
    </sheetView>
  </sheetViews>
  <sheetFormatPr defaultColWidth="8.81640625" defaultRowHeight="14.5" x14ac:dyDescent="0.35"/>
  <cols>
    <col min="11" max="11" width="8.6328125" style="5"/>
  </cols>
  <sheetData>
    <row r="1" spans="1:16" ht="58" x14ac:dyDescent="0.35">
      <c r="A1" s="1" t="s">
        <v>0</v>
      </c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21</v>
      </c>
      <c r="M1" s="1" t="s">
        <v>22</v>
      </c>
      <c r="O1" s="1" t="s">
        <v>23</v>
      </c>
      <c r="P1" s="1" t="s">
        <v>24</v>
      </c>
    </row>
    <row r="2" spans="1:16" x14ac:dyDescent="0.35">
      <c r="A2" s="1" t="s">
        <v>1</v>
      </c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O2" s="1" t="s">
        <v>4</v>
      </c>
      <c r="P2" s="1" t="s">
        <v>4</v>
      </c>
    </row>
    <row r="3" spans="1:16" x14ac:dyDescent="0.35">
      <c r="A3" s="2">
        <v>1</v>
      </c>
      <c r="C3" s="4">
        <v>6.18726E-4</v>
      </c>
      <c r="D3" s="4">
        <v>1.5607800000000001E-4</v>
      </c>
      <c r="F3" s="4">
        <v>5.9186600000000003E-4</v>
      </c>
      <c r="G3" s="4">
        <v>1.45296E-4</v>
      </c>
      <c r="I3" s="4">
        <v>6.2280799999999998E-4</v>
      </c>
      <c r="J3" s="4">
        <v>1.4660199999999999E-4</v>
      </c>
      <c r="L3" s="3">
        <f>AVERAGE(C3,F3,I3)</f>
        <v>6.111333333333333E-4</v>
      </c>
      <c r="M3" s="3">
        <f>AVERAGE(D3,G3,J3)</f>
        <v>1.4932533333333333E-4</v>
      </c>
      <c r="O3">
        <f>_xlfn.STDEV.P(C3,F3,I3)</f>
        <v>1.3725603358525082E-5</v>
      </c>
      <c r="P3">
        <f>_xlfn.STDEV.P(D3,G3,J3)</f>
        <v>4.8045318421488546E-6</v>
      </c>
    </row>
    <row r="4" spans="1:16" x14ac:dyDescent="0.35">
      <c r="A4" s="2">
        <v>1.5849</v>
      </c>
      <c r="C4" s="4">
        <v>6.6174799999999998E-4</v>
      </c>
      <c r="D4" s="4">
        <v>1.5428100000000001E-4</v>
      </c>
      <c r="F4" s="4">
        <v>6.3780399999999995E-4</v>
      </c>
      <c r="G4" s="4">
        <v>1.42204E-4</v>
      </c>
      <c r="I4" s="4">
        <v>6.6930699999999995E-4</v>
      </c>
      <c r="J4" s="4">
        <v>1.4673400000000001E-4</v>
      </c>
      <c r="L4" s="3">
        <f t="shared" ref="L4:M13" si="0">AVERAGE(C4,F4,I4)</f>
        <v>6.5628633333333333E-4</v>
      </c>
      <c r="M4" s="3">
        <f t="shared" si="0"/>
        <v>1.4773966666666667E-4</v>
      </c>
      <c r="O4">
        <f t="shared" ref="O4:P13" si="1">_xlfn.STDEV.P(C4,F4,I4)</f>
        <v>1.3428380501344494E-5</v>
      </c>
      <c r="P4">
        <f t="shared" si="1"/>
        <v>4.9814326141070042E-6</v>
      </c>
    </row>
    <row r="5" spans="1:16" x14ac:dyDescent="0.35">
      <c r="A5" s="2">
        <v>2.5118900000000002</v>
      </c>
      <c r="C5" s="4">
        <v>7.0672699999999998E-4</v>
      </c>
      <c r="D5" s="4">
        <v>1.55241E-4</v>
      </c>
      <c r="F5" s="4">
        <v>6.8279300000000001E-4</v>
      </c>
      <c r="G5" s="4">
        <v>1.42428E-4</v>
      </c>
      <c r="I5" s="4">
        <v>7.14158E-4</v>
      </c>
      <c r="J5" s="4">
        <v>1.43769E-4</v>
      </c>
      <c r="L5" s="3">
        <f t="shared" si="0"/>
        <v>7.01226E-4</v>
      </c>
      <c r="M5" s="3">
        <f t="shared" si="0"/>
        <v>1.4714599999999999E-4</v>
      </c>
      <c r="O5">
        <f t="shared" si="1"/>
        <v>1.3382489977578906E-5</v>
      </c>
      <c r="P5">
        <f t="shared" si="1"/>
        <v>5.7501500849977822E-6</v>
      </c>
    </row>
    <row r="6" spans="1:16" x14ac:dyDescent="0.35">
      <c r="A6" s="2">
        <v>3.9810500000000002</v>
      </c>
      <c r="C6" s="4">
        <v>7.4834299999999995E-4</v>
      </c>
      <c r="D6" s="4">
        <v>1.5609599999999999E-4</v>
      </c>
      <c r="F6" s="4">
        <v>7.26215E-4</v>
      </c>
      <c r="G6" s="4">
        <v>1.4242200000000001E-4</v>
      </c>
      <c r="I6" s="4">
        <v>7.5724899999999999E-4</v>
      </c>
      <c r="J6" s="4">
        <v>1.44962E-4</v>
      </c>
      <c r="L6" s="3">
        <f t="shared" si="0"/>
        <v>7.4393566666666657E-4</v>
      </c>
      <c r="M6" s="3">
        <f t="shared" si="0"/>
        <v>1.4782666666666666E-4</v>
      </c>
      <c r="O6">
        <f t="shared" si="1"/>
        <v>1.3047240559682416E-5</v>
      </c>
      <c r="P6">
        <f t="shared" si="1"/>
        <v>5.9385354722823253E-6</v>
      </c>
    </row>
    <row r="7" spans="1:16" x14ac:dyDescent="0.35">
      <c r="A7" s="2">
        <v>6.3095699999999999</v>
      </c>
      <c r="C7" s="4">
        <v>7.9254200000000003E-4</v>
      </c>
      <c r="D7" s="4">
        <v>1.55401E-4</v>
      </c>
      <c r="F7" s="4">
        <v>7.6914300000000002E-4</v>
      </c>
      <c r="G7" s="4">
        <v>1.4385400000000001E-4</v>
      </c>
      <c r="I7" s="4">
        <v>8.0073299999999998E-4</v>
      </c>
      <c r="J7" s="4">
        <v>1.4565300000000001E-4</v>
      </c>
      <c r="L7" s="3">
        <f t="shared" si="0"/>
        <v>7.8747266666666675E-4</v>
      </c>
      <c r="M7" s="3">
        <f t="shared" si="0"/>
        <v>1.4830266666666667E-4</v>
      </c>
      <c r="O7">
        <f t="shared" si="1"/>
        <v>1.338545554780344E-5</v>
      </c>
      <c r="P7">
        <f t="shared" si="1"/>
        <v>5.0727278876578996E-6</v>
      </c>
    </row>
    <row r="8" spans="1:16" x14ac:dyDescent="0.35">
      <c r="A8" s="2">
        <v>10.0001</v>
      </c>
      <c r="C8" s="4">
        <v>8.3531700000000003E-4</v>
      </c>
      <c r="D8" s="4">
        <v>1.6101599999999999E-4</v>
      </c>
      <c r="F8" s="4">
        <v>8.1119799999999995E-4</v>
      </c>
      <c r="G8" s="4">
        <v>1.4553499999999999E-4</v>
      </c>
      <c r="I8" s="4">
        <v>8.4314100000000005E-4</v>
      </c>
      <c r="J8" s="4">
        <v>1.47412E-4</v>
      </c>
      <c r="L8" s="3">
        <f t="shared" si="0"/>
        <v>8.2988533333333331E-4</v>
      </c>
      <c r="M8" s="3">
        <f t="shared" si="0"/>
        <v>1.5132099999999997E-4</v>
      </c>
      <c r="O8">
        <f t="shared" si="1"/>
        <v>1.3594510272737178E-5</v>
      </c>
      <c r="P8">
        <f t="shared" si="1"/>
        <v>6.8980939879554129E-6</v>
      </c>
    </row>
    <row r="9" spans="1:16" x14ac:dyDescent="0.35">
      <c r="A9" s="2">
        <v>15.849</v>
      </c>
      <c r="C9" s="4">
        <v>8.7551100000000004E-4</v>
      </c>
      <c r="D9" s="4">
        <v>1.6537E-4</v>
      </c>
      <c r="F9" s="4">
        <v>8.5343599999999995E-4</v>
      </c>
      <c r="G9" s="4">
        <v>1.4930799999999999E-4</v>
      </c>
      <c r="I9" s="4">
        <v>8.8569600000000005E-4</v>
      </c>
      <c r="J9" s="4">
        <v>1.5177100000000001E-4</v>
      </c>
      <c r="L9" s="3">
        <f t="shared" si="0"/>
        <v>8.7154766666666661E-4</v>
      </c>
      <c r="M9" s="3">
        <f t="shared" si="0"/>
        <v>1.5548299999999999E-4</v>
      </c>
      <c r="O9">
        <f t="shared" si="1"/>
        <v>1.3464964620162335E-5</v>
      </c>
      <c r="P9">
        <f t="shared" si="1"/>
        <v>7.0631045581953563E-6</v>
      </c>
    </row>
    <row r="10" spans="1:16" x14ac:dyDescent="0.35">
      <c r="A10" s="2">
        <v>25.1188</v>
      </c>
      <c r="C10" s="4">
        <v>9.1944300000000004E-4</v>
      </c>
      <c r="D10" s="4">
        <v>1.7880399999999999E-4</v>
      </c>
      <c r="F10" s="4">
        <v>8.9517399999999999E-4</v>
      </c>
      <c r="G10" s="4">
        <v>1.5636299999999999E-4</v>
      </c>
      <c r="I10" s="4">
        <v>9.2874699999999995E-4</v>
      </c>
      <c r="J10" s="4">
        <v>1.5960799999999999E-4</v>
      </c>
      <c r="L10" s="3">
        <f t="shared" si="0"/>
        <v>9.1445466666666662E-4</v>
      </c>
      <c r="M10" s="3">
        <f t="shared" si="0"/>
        <v>1.6492500000000001E-4</v>
      </c>
      <c r="O10">
        <f t="shared" si="1"/>
        <v>1.4152719039895549E-5</v>
      </c>
      <c r="P10">
        <f t="shared" si="1"/>
        <v>9.9029452521291174E-6</v>
      </c>
    </row>
    <row r="11" spans="1:16" x14ac:dyDescent="0.35">
      <c r="A11" s="2">
        <v>39.810499999999998</v>
      </c>
      <c r="C11" s="4">
        <v>9.6311900000000002E-4</v>
      </c>
      <c r="D11" s="4">
        <v>1.9882E-4</v>
      </c>
      <c r="F11" s="4">
        <v>9.3869899999999998E-4</v>
      </c>
      <c r="G11" s="4">
        <v>1.6791399999999999E-4</v>
      </c>
      <c r="I11" s="4">
        <v>9.7515899999999997E-4</v>
      </c>
      <c r="J11" s="4">
        <v>1.72053E-4</v>
      </c>
      <c r="L11" s="3">
        <f t="shared" si="0"/>
        <v>9.5899233333333336E-4</v>
      </c>
      <c r="M11" s="3">
        <f t="shared" si="0"/>
        <v>1.7959566666666667E-4</v>
      </c>
      <c r="O11">
        <f t="shared" si="1"/>
        <v>1.516805707912373E-5</v>
      </c>
      <c r="P11">
        <f t="shared" si="1"/>
        <v>1.3698274205980191E-5</v>
      </c>
    </row>
    <row r="12" spans="1:16" x14ac:dyDescent="0.35">
      <c r="A12" s="2">
        <v>63.095700000000001</v>
      </c>
      <c r="C12" s="4">
        <v>1.0146000000000001E-3</v>
      </c>
      <c r="D12" s="4">
        <v>2.2086499999999999E-4</v>
      </c>
      <c r="F12" s="4">
        <v>9.8779100000000002E-4</v>
      </c>
      <c r="G12" s="4">
        <v>1.8568400000000001E-4</v>
      </c>
      <c r="I12" s="4">
        <v>1.03107E-3</v>
      </c>
      <c r="J12" s="4">
        <v>1.9108499999999999E-4</v>
      </c>
      <c r="L12" s="3">
        <f t="shared" si="0"/>
        <v>1.0111536666666668E-3</v>
      </c>
      <c r="M12" s="3">
        <f t="shared" si="0"/>
        <v>1.9921133333333332E-4</v>
      </c>
      <c r="O12">
        <f t="shared" si="1"/>
        <v>1.7835841636684521E-5</v>
      </c>
      <c r="P12">
        <f t="shared" si="1"/>
        <v>1.5469403357021307E-5</v>
      </c>
    </row>
    <row r="13" spans="1:16" x14ac:dyDescent="0.35">
      <c r="A13" s="2">
        <v>100</v>
      </c>
      <c r="C13" s="4">
        <v>1.06003E-3</v>
      </c>
      <c r="D13" s="4">
        <v>2.4488299999999999E-4</v>
      </c>
      <c r="F13" s="4">
        <v>1.03174E-3</v>
      </c>
      <c r="G13" s="4">
        <v>2.10977E-4</v>
      </c>
      <c r="I13" s="4">
        <v>1.0922900000000001E-3</v>
      </c>
      <c r="J13" s="4">
        <v>2.1804999999999999E-4</v>
      </c>
      <c r="L13" s="3">
        <f t="shared" si="0"/>
        <v>1.0613533333333333E-3</v>
      </c>
      <c r="M13" s="3">
        <f t="shared" si="0"/>
        <v>2.2463666666666668E-4</v>
      </c>
      <c r="O13">
        <f t="shared" si="1"/>
        <v>2.4737138521304867E-5</v>
      </c>
      <c r="P13">
        <f t="shared" si="1"/>
        <v>1.4604618957332946E-5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D43DC-E011-453F-AB82-FA93BDFE5D5B}">
  <dimension ref="A1:P13"/>
  <sheetViews>
    <sheetView workbookViewId="0">
      <selection activeCell="O3" sqref="O3:P13"/>
    </sheetView>
  </sheetViews>
  <sheetFormatPr defaultColWidth="8.81640625" defaultRowHeight="14.5" x14ac:dyDescent="0.35"/>
  <cols>
    <col min="11" max="11" width="8.6328125" style="5"/>
  </cols>
  <sheetData>
    <row r="1" spans="1:16" ht="58" x14ac:dyDescent="0.35">
      <c r="A1" s="1" t="s">
        <v>0</v>
      </c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25</v>
      </c>
      <c r="M1" s="1" t="s">
        <v>26</v>
      </c>
      <c r="O1" s="1" t="s">
        <v>27</v>
      </c>
      <c r="P1" s="1" t="s">
        <v>28</v>
      </c>
    </row>
    <row r="2" spans="1:16" x14ac:dyDescent="0.35">
      <c r="A2" s="1" t="s">
        <v>1</v>
      </c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O2" s="1" t="s">
        <v>4</v>
      </c>
      <c r="P2" s="1" t="s">
        <v>4</v>
      </c>
    </row>
    <row r="3" spans="1:16" x14ac:dyDescent="0.35">
      <c r="A3" s="2">
        <v>1</v>
      </c>
      <c r="C3" s="4">
        <v>1.4046600000000001E-3</v>
      </c>
      <c r="D3" s="4">
        <v>2.7174300000000002E-4</v>
      </c>
      <c r="F3" s="4">
        <v>1.29722E-3</v>
      </c>
      <c r="G3" s="4">
        <v>2.5499700000000003E-4</v>
      </c>
      <c r="I3" s="4">
        <v>5.5210700000000003E-4</v>
      </c>
      <c r="J3" s="4">
        <v>1.5492300000000001E-4</v>
      </c>
      <c r="L3" s="3">
        <f>AVERAGE(C3,F3,I3)</f>
        <v>1.0846623333333335E-3</v>
      </c>
      <c r="M3" s="3">
        <f>AVERAGE(D3,G3,J3)</f>
        <v>2.2722100000000003E-4</v>
      </c>
      <c r="O3">
        <f>_xlfn.STDEV.P(C3,F3,I3)</f>
        <v>3.7911935297153527E-4</v>
      </c>
      <c r="P3">
        <f>_xlfn.STDEV.P(D3,G3,J3)</f>
        <v>5.1577499823081772E-5</v>
      </c>
    </row>
    <row r="4" spans="1:16" x14ac:dyDescent="0.35">
      <c r="A4" s="2">
        <v>1.5849</v>
      </c>
      <c r="C4" s="4">
        <v>1.48727E-3</v>
      </c>
      <c r="D4" s="4">
        <v>2.6164100000000001E-4</v>
      </c>
      <c r="F4" s="4">
        <v>1.3716799999999999E-3</v>
      </c>
      <c r="G4" s="4">
        <v>2.4424599999999999E-4</v>
      </c>
      <c r="I4" s="4">
        <v>5.9727700000000001E-4</v>
      </c>
      <c r="J4" s="4">
        <v>1.55654E-4</v>
      </c>
      <c r="L4" s="3">
        <f t="shared" ref="L4:M13" si="0">AVERAGE(C4,F4,I4)</f>
        <v>1.1520756666666668E-3</v>
      </c>
      <c r="M4" s="3">
        <f t="shared" si="0"/>
        <v>2.2051366666666665E-4</v>
      </c>
      <c r="O4">
        <f t="shared" ref="O4:P13" si="1">_xlfn.STDEV.P(C4,F4,I4)</f>
        <v>3.9512987942897401E-4</v>
      </c>
      <c r="P4">
        <f t="shared" si="1"/>
        <v>4.6409257527159627E-5</v>
      </c>
    </row>
    <row r="5" spans="1:16" x14ac:dyDescent="0.35">
      <c r="A5" s="2">
        <v>2.5118900000000002</v>
      </c>
      <c r="C5" s="4">
        <v>1.56525E-3</v>
      </c>
      <c r="D5" s="4">
        <v>2.5801699999999998E-4</v>
      </c>
      <c r="F5" s="4">
        <v>1.4523699999999999E-3</v>
      </c>
      <c r="G5" s="4">
        <v>2.3882499999999999E-4</v>
      </c>
      <c r="I5" s="4">
        <v>6.2971399999999997E-4</v>
      </c>
      <c r="J5" s="4">
        <v>1.54976E-4</v>
      </c>
      <c r="L5" s="3">
        <f t="shared" si="0"/>
        <v>1.215778E-3</v>
      </c>
      <c r="M5" s="3">
        <f t="shared" si="0"/>
        <v>2.1727266666666666E-4</v>
      </c>
      <c r="O5">
        <f t="shared" si="1"/>
        <v>4.1696421323018435E-4</v>
      </c>
      <c r="P5">
        <f t="shared" si="1"/>
        <v>4.4741771864283098E-5</v>
      </c>
    </row>
    <row r="6" spans="1:16" x14ac:dyDescent="0.35">
      <c r="A6" s="2">
        <v>3.9810500000000002</v>
      </c>
      <c r="C6" s="4">
        <v>1.64236E-3</v>
      </c>
      <c r="D6" s="4">
        <v>2.5480199999999999E-4</v>
      </c>
      <c r="F6" s="4">
        <v>1.5239100000000001E-3</v>
      </c>
      <c r="G6" s="4">
        <v>2.42081E-4</v>
      </c>
      <c r="I6" s="4">
        <v>6.7484000000000001E-4</v>
      </c>
      <c r="J6" s="4">
        <v>1.5417799999999999E-4</v>
      </c>
      <c r="L6" s="3">
        <f t="shared" si="0"/>
        <v>1.2803700000000001E-3</v>
      </c>
      <c r="M6" s="3">
        <f t="shared" si="0"/>
        <v>2.1702033333333335E-4</v>
      </c>
      <c r="O6">
        <f t="shared" si="1"/>
        <v>4.3089638066090395E-4</v>
      </c>
      <c r="P6">
        <f t="shared" si="1"/>
        <v>4.4738686497879618E-5</v>
      </c>
    </row>
    <row r="7" spans="1:16" x14ac:dyDescent="0.35">
      <c r="A7" s="2">
        <v>6.3095699999999999</v>
      </c>
      <c r="C7" s="4">
        <v>1.7180800000000001E-3</v>
      </c>
      <c r="D7" s="4">
        <v>2.5608299999999999E-4</v>
      </c>
      <c r="F7" s="4">
        <v>1.5959699999999999E-3</v>
      </c>
      <c r="G7" s="4">
        <v>2.4298700000000001E-4</v>
      </c>
      <c r="I7" s="4">
        <v>7.1392600000000004E-4</v>
      </c>
      <c r="J7" s="4">
        <v>1.53535E-4</v>
      </c>
      <c r="L7" s="3">
        <f t="shared" si="0"/>
        <v>1.3426586666666666E-3</v>
      </c>
      <c r="M7" s="3">
        <f t="shared" si="0"/>
        <v>2.1753500000000001E-4</v>
      </c>
      <c r="O7">
        <f t="shared" si="1"/>
        <v>4.4736732679483371E-4</v>
      </c>
      <c r="P7">
        <f t="shared" si="1"/>
        <v>4.5569553461348146E-5</v>
      </c>
    </row>
    <row r="8" spans="1:16" x14ac:dyDescent="0.35">
      <c r="A8" s="2">
        <v>10.0001</v>
      </c>
      <c r="C8" s="4">
        <v>1.79374E-3</v>
      </c>
      <c r="D8" s="4">
        <v>2.5891E-4</v>
      </c>
      <c r="F8" s="4">
        <v>1.6666999999999999E-3</v>
      </c>
      <c r="G8" s="4">
        <v>2.45021E-4</v>
      </c>
      <c r="I8" s="4">
        <v>7.5574500000000005E-4</v>
      </c>
      <c r="J8" s="4">
        <v>1.56572E-4</v>
      </c>
      <c r="L8" s="3">
        <f t="shared" si="0"/>
        <v>1.405395E-3</v>
      </c>
      <c r="M8" s="3">
        <f t="shared" si="0"/>
        <v>2.2016766666666668E-4</v>
      </c>
      <c r="O8">
        <f t="shared" si="1"/>
        <v>4.6229040820318417E-4</v>
      </c>
      <c r="P8">
        <f t="shared" si="1"/>
        <v>4.5324994534534203E-5</v>
      </c>
    </row>
    <row r="9" spans="1:16" x14ac:dyDescent="0.35">
      <c r="A9" s="2">
        <v>15.849</v>
      </c>
      <c r="C9" s="4">
        <v>1.8677699999999999E-3</v>
      </c>
      <c r="D9" s="4">
        <v>2.6637500000000001E-4</v>
      </c>
      <c r="F9" s="4">
        <v>1.73934E-3</v>
      </c>
      <c r="G9" s="4">
        <v>2.53718E-4</v>
      </c>
      <c r="I9" s="4">
        <v>8.0053000000000003E-4</v>
      </c>
      <c r="J9" s="4">
        <v>1.7076E-4</v>
      </c>
      <c r="L9" s="3">
        <f t="shared" si="0"/>
        <v>1.4692133333333334E-3</v>
      </c>
      <c r="M9" s="3">
        <f t="shared" si="0"/>
        <v>2.3028433333333333E-4</v>
      </c>
      <c r="O9">
        <f t="shared" si="1"/>
        <v>4.7572864564674773E-4</v>
      </c>
      <c r="P9">
        <f t="shared" si="1"/>
        <v>4.2406049932632126E-5</v>
      </c>
    </row>
    <row r="10" spans="1:16" x14ac:dyDescent="0.35">
      <c r="A10" s="2">
        <v>25.1188</v>
      </c>
      <c r="C10" s="4">
        <v>1.9430599999999999E-3</v>
      </c>
      <c r="D10" s="4">
        <v>2.7854600000000001E-4</v>
      </c>
      <c r="F10" s="4">
        <v>1.81291E-3</v>
      </c>
      <c r="G10" s="4">
        <v>2.6747899999999999E-4</v>
      </c>
      <c r="I10" s="4">
        <v>8.4358100000000004E-4</v>
      </c>
      <c r="J10" s="4">
        <v>1.8148200000000001E-4</v>
      </c>
      <c r="L10" s="3">
        <f t="shared" si="0"/>
        <v>1.5331836666666668E-3</v>
      </c>
      <c r="M10" s="3">
        <f t="shared" si="0"/>
        <v>2.4250233333333336E-4</v>
      </c>
      <c r="O10">
        <f t="shared" si="1"/>
        <v>4.9050901047132203E-4</v>
      </c>
      <c r="P10">
        <f t="shared" si="1"/>
        <v>4.3383794457787521E-5</v>
      </c>
    </row>
    <row r="11" spans="1:16" x14ac:dyDescent="0.35">
      <c r="A11" s="2">
        <v>39.810499999999998</v>
      </c>
      <c r="C11" s="4">
        <v>2.0197599999999998E-3</v>
      </c>
      <c r="D11" s="4">
        <v>2.9828800000000001E-4</v>
      </c>
      <c r="F11" s="4">
        <v>1.8896099999999999E-3</v>
      </c>
      <c r="G11" s="4">
        <v>2.8822299999999999E-4</v>
      </c>
      <c r="I11" s="4">
        <v>8.8942800000000005E-4</v>
      </c>
      <c r="J11" s="4">
        <v>1.9214300000000001E-4</v>
      </c>
      <c r="L11" s="3">
        <f t="shared" si="0"/>
        <v>1.5995993333333333E-3</v>
      </c>
      <c r="M11" s="3">
        <f t="shared" si="0"/>
        <v>2.5955133333333333E-4</v>
      </c>
      <c r="O11">
        <f t="shared" si="1"/>
        <v>5.0497012957291716E-4</v>
      </c>
      <c r="P11">
        <f t="shared" si="1"/>
        <v>4.784167366312438E-5</v>
      </c>
    </row>
    <row r="12" spans="1:16" x14ac:dyDescent="0.35">
      <c r="A12" s="2">
        <v>63.095700000000001</v>
      </c>
      <c r="C12" s="4">
        <v>2.10341E-3</v>
      </c>
      <c r="D12" s="4">
        <v>3.2694000000000001E-4</v>
      </c>
      <c r="F12" s="4">
        <v>1.9774300000000001E-3</v>
      </c>
      <c r="G12" s="4">
        <v>3.1743500000000003E-4</v>
      </c>
      <c r="I12" s="4">
        <v>9.4960499999999996E-4</v>
      </c>
      <c r="J12" s="4">
        <v>2.1044100000000001E-4</v>
      </c>
      <c r="L12" s="3">
        <f t="shared" si="0"/>
        <v>1.6768150000000001E-3</v>
      </c>
      <c r="M12" s="3">
        <f t="shared" si="0"/>
        <v>2.8493866666666668E-4</v>
      </c>
      <c r="O12">
        <f t="shared" si="1"/>
        <v>5.1678075826859754E-4</v>
      </c>
      <c r="P12">
        <f t="shared" si="1"/>
        <v>5.2820532689055266E-5</v>
      </c>
    </row>
    <row r="13" spans="1:16" x14ac:dyDescent="0.35">
      <c r="A13" s="2">
        <v>100</v>
      </c>
      <c r="C13" s="4">
        <v>2.2016700000000002E-3</v>
      </c>
      <c r="D13" s="4">
        <v>3.6645699999999999E-4</v>
      </c>
      <c r="F13" s="4">
        <v>2.0850299999999999E-3</v>
      </c>
      <c r="G13" s="4">
        <v>3.57268E-4</v>
      </c>
      <c r="I13" s="4">
        <v>1.02351E-3</v>
      </c>
      <c r="J13" s="4">
        <v>2.3730499999999999E-4</v>
      </c>
      <c r="L13" s="3">
        <f t="shared" si="0"/>
        <v>1.7700700000000001E-3</v>
      </c>
      <c r="M13" s="3">
        <f t="shared" si="0"/>
        <v>3.2034333333333327E-4</v>
      </c>
      <c r="O13">
        <f t="shared" si="1"/>
        <v>5.3004094030555788E-4</v>
      </c>
      <c r="P13">
        <f t="shared" si="1"/>
        <v>5.8836683751626319E-5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171C5-6986-4285-933C-4E12C213AC23}">
  <dimension ref="A1:P13"/>
  <sheetViews>
    <sheetView tabSelected="1" workbookViewId="0">
      <selection activeCell="O35" sqref="O35"/>
    </sheetView>
  </sheetViews>
  <sheetFormatPr defaultColWidth="8.81640625" defaultRowHeight="14.5" x14ac:dyDescent="0.35"/>
  <cols>
    <col min="11" max="11" width="8.6328125" style="5"/>
  </cols>
  <sheetData>
    <row r="1" spans="1:16" ht="58" x14ac:dyDescent="0.35">
      <c r="A1" s="1" t="s">
        <v>0</v>
      </c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29</v>
      </c>
      <c r="M1" s="1" t="s">
        <v>30</v>
      </c>
      <c r="O1" s="1" t="s">
        <v>31</v>
      </c>
      <c r="P1" s="1" t="s">
        <v>32</v>
      </c>
    </row>
    <row r="2" spans="1:16" x14ac:dyDescent="0.35">
      <c r="A2" s="1" t="s">
        <v>1</v>
      </c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O2" s="1" t="s">
        <v>4</v>
      </c>
      <c r="P2" s="1" t="s">
        <v>4</v>
      </c>
    </row>
    <row r="3" spans="1:16" x14ac:dyDescent="0.35">
      <c r="A3" s="2">
        <v>1</v>
      </c>
      <c r="C3" s="4">
        <v>5.5858100000000005E-4</v>
      </c>
      <c r="D3" s="4">
        <v>1.7972999999999999E-4</v>
      </c>
      <c r="F3" s="4">
        <v>5.6745799999999996E-4</v>
      </c>
      <c r="G3" s="4">
        <v>1.9078899999999999E-4</v>
      </c>
      <c r="I3" s="4">
        <v>5.5790799999999997E-4</v>
      </c>
      <c r="J3" s="4">
        <v>1.51519E-4</v>
      </c>
      <c r="L3" s="3">
        <f>AVERAGE(C3,F3,I3)</f>
        <v>5.613156666666667E-4</v>
      </c>
      <c r="M3" s="3">
        <f>AVERAGE(D3,G3,J3)</f>
        <v>1.7401266666666664E-4</v>
      </c>
      <c r="O3">
        <f>_xlfn.STDEV.P(C3,F3,I3)</f>
        <v>4.3519670903575731E-6</v>
      </c>
      <c r="P3">
        <f>_xlfn.STDEV.P(D3,G3,J3)</f>
        <v>1.653378662685055E-5</v>
      </c>
    </row>
    <row r="4" spans="1:16" x14ac:dyDescent="0.35">
      <c r="A4" s="2">
        <v>1.5849</v>
      </c>
      <c r="C4" s="4">
        <v>5.98137E-4</v>
      </c>
      <c r="D4" s="4">
        <v>1.8114499999999999E-4</v>
      </c>
      <c r="F4" s="4">
        <v>6.0939800000000004E-4</v>
      </c>
      <c r="G4" s="4">
        <v>1.9068000000000001E-4</v>
      </c>
      <c r="I4" s="4">
        <v>5.9969899999999998E-4</v>
      </c>
      <c r="J4" s="4">
        <v>1.5384E-4</v>
      </c>
      <c r="L4" s="3">
        <f t="shared" ref="L4:M13" si="0">AVERAGE(C4,F4,I4)</f>
        <v>6.0241133333333334E-4</v>
      </c>
      <c r="M4" s="3">
        <f t="shared" si="0"/>
        <v>1.7522166666666668E-4</v>
      </c>
      <c r="O4">
        <f t="shared" ref="O4:P13" si="1">_xlfn.STDEV.P(C4,F4,I4)</f>
        <v>4.9813046706884373E-6</v>
      </c>
      <c r="P4">
        <f t="shared" si="1"/>
        <v>1.5612191995004702E-5</v>
      </c>
    </row>
    <row r="5" spans="1:16" x14ac:dyDescent="0.35">
      <c r="A5" s="2">
        <v>2.5118900000000002</v>
      </c>
      <c r="C5" s="4">
        <v>6.4263600000000003E-4</v>
      </c>
      <c r="D5" s="4">
        <v>1.80259E-4</v>
      </c>
      <c r="F5" s="4">
        <v>6.61508E-4</v>
      </c>
      <c r="G5" s="4">
        <v>1.8930999999999999E-4</v>
      </c>
      <c r="I5" s="4">
        <v>6.4398500000000002E-4</v>
      </c>
      <c r="J5" s="4">
        <v>1.54301E-4</v>
      </c>
      <c r="L5" s="3">
        <f t="shared" si="0"/>
        <v>6.4937633333333339E-4</v>
      </c>
      <c r="M5" s="3">
        <f t="shared" si="0"/>
        <v>1.7462333333333332E-4</v>
      </c>
      <c r="O5">
        <f t="shared" si="1"/>
        <v>8.5960437540895496E-6</v>
      </c>
      <c r="P5">
        <f t="shared" si="1"/>
        <v>1.4837521678351659E-5</v>
      </c>
    </row>
    <row r="6" spans="1:16" x14ac:dyDescent="0.35">
      <c r="A6" s="2">
        <v>3.9810500000000002</v>
      </c>
      <c r="C6" s="4">
        <v>6.8260499999999997E-4</v>
      </c>
      <c r="D6" s="4">
        <v>1.86999E-4</v>
      </c>
      <c r="F6" s="4">
        <v>6.9540300000000004E-4</v>
      </c>
      <c r="G6" s="4">
        <v>1.9296499999999999E-4</v>
      </c>
      <c r="I6" s="4">
        <v>6.8364900000000004E-4</v>
      </c>
      <c r="J6" s="4">
        <v>1.5726100000000001E-4</v>
      </c>
      <c r="L6" s="3">
        <f t="shared" si="0"/>
        <v>6.8721900000000009E-4</v>
      </c>
      <c r="M6" s="3">
        <f t="shared" si="0"/>
        <v>1.79075E-4</v>
      </c>
      <c r="O6">
        <f t="shared" si="1"/>
        <v>5.8026359527373575E-6</v>
      </c>
      <c r="P6">
        <f t="shared" si="1"/>
        <v>1.5615937072960638E-5</v>
      </c>
    </row>
    <row r="7" spans="1:16" x14ac:dyDescent="0.35">
      <c r="A7" s="2">
        <v>6.3095699999999999</v>
      </c>
      <c r="C7" s="4">
        <v>7.26766E-4</v>
      </c>
      <c r="D7" s="4">
        <v>1.9101400000000001E-4</v>
      </c>
      <c r="F7" s="4">
        <v>7.3883100000000001E-4</v>
      </c>
      <c r="G7" s="4">
        <v>1.9979700000000001E-4</v>
      </c>
      <c r="I7" s="4">
        <v>7.2725800000000005E-4</v>
      </c>
      <c r="J7" s="4">
        <v>1.62447E-4</v>
      </c>
      <c r="L7" s="3">
        <f t="shared" si="0"/>
        <v>7.3095166666666672E-4</v>
      </c>
      <c r="M7" s="3">
        <f t="shared" si="0"/>
        <v>1.8441933333333336E-4</v>
      </c>
      <c r="O7">
        <f t="shared" si="1"/>
        <v>5.5751494050732698E-6</v>
      </c>
      <c r="P7">
        <f t="shared" si="1"/>
        <v>1.5945173696834487E-5</v>
      </c>
    </row>
    <row r="8" spans="1:16" x14ac:dyDescent="0.35">
      <c r="A8" s="2">
        <v>10.0001</v>
      </c>
      <c r="C8" s="4">
        <v>7.66312E-4</v>
      </c>
      <c r="D8" s="4">
        <v>1.98292E-4</v>
      </c>
      <c r="F8" s="4">
        <v>7.8169899999999996E-4</v>
      </c>
      <c r="G8" s="4">
        <v>2.06641E-4</v>
      </c>
      <c r="I8" s="4">
        <v>7.6794799999999996E-4</v>
      </c>
      <c r="J8" s="4">
        <v>1.71373E-4</v>
      </c>
      <c r="L8" s="3">
        <f t="shared" si="0"/>
        <v>7.7198633333333327E-4</v>
      </c>
      <c r="M8" s="3">
        <f t="shared" si="0"/>
        <v>1.9210199999999998E-4</v>
      </c>
      <c r="O8">
        <f t="shared" si="1"/>
        <v>6.9002919906012221E-6</v>
      </c>
      <c r="P8">
        <f t="shared" si="1"/>
        <v>1.5048699412241577E-5</v>
      </c>
    </row>
    <row r="9" spans="1:16" x14ac:dyDescent="0.35">
      <c r="A9" s="2">
        <v>15.849</v>
      </c>
      <c r="C9" s="4">
        <v>8.1139199999999997E-4</v>
      </c>
      <c r="D9" s="4">
        <v>2.06763E-4</v>
      </c>
      <c r="F9" s="4">
        <v>8.2521899999999997E-4</v>
      </c>
      <c r="G9" s="4">
        <v>2.1802799999999999E-4</v>
      </c>
      <c r="I9" s="4">
        <v>8.08894E-4</v>
      </c>
      <c r="J9" s="4">
        <v>1.8111000000000001E-4</v>
      </c>
      <c r="L9" s="3">
        <f t="shared" si="0"/>
        <v>8.1516833333333339E-4</v>
      </c>
      <c r="M9" s="3">
        <f t="shared" si="0"/>
        <v>2.0196700000000003E-4</v>
      </c>
      <c r="O9">
        <f t="shared" si="1"/>
        <v>7.179690166635939E-6</v>
      </c>
      <c r="P9">
        <f t="shared" si="1"/>
        <v>1.5448535917684879E-5</v>
      </c>
    </row>
    <row r="10" spans="1:16" x14ac:dyDescent="0.35">
      <c r="A10" s="2">
        <v>25.1188</v>
      </c>
      <c r="C10" s="4">
        <v>8.54513E-4</v>
      </c>
      <c r="D10" s="4">
        <v>2.20948E-4</v>
      </c>
      <c r="F10" s="4">
        <v>8.7184399999999998E-4</v>
      </c>
      <c r="G10" s="4">
        <v>2.32339E-4</v>
      </c>
      <c r="I10" s="4">
        <v>8.5385400000000003E-4</v>
      </c>
      <c r="J10" s="4">
        <v>1.94413E-4</v>
      </c>
      <c r="L10" s="3">
        <f t="shared" si="0"/>
        <v>8.6007033333333326E-4</v>
      </c>
      <c r="M10" s="3">
        <f t="shared" si="0"/>
        <v>2.1589999999999999E-4</v>
      </c>
      <c r="O10">
        <f t="shared" si="1"/>
        <v>8.3295854371964585E-6</v>
      </c>
      <c r="P10">
        <f t="shared" si="1"/>
        <v>1.5889348570662046E-5</v>
      </c>
    </row>
    <row r="11" spans="1:16" x14ac:dyDescent="0.35">
      <c r="A11" s="2">
        <v>39.810499999999998</v>
      </c>
      <c r="C11" s="4">
        <v>9.0491699999999998E-4</v>
      </c>
      <c r="D11" s="4">
        <v>2.4131000000000001E-4</v>
      </c>
      <c r="F11" s="4">
        <v>9.2419699999999997E-4</v>
      </c>
      <c r="G11" s="4">
        <v>2.5403300000000003E-4</v>
      </c>
      <c r="I11" s="4">
        <v>9.0449699999999998E-4</v>
      </c>
      <c r="J11" s="4">
        <v>2.15453E-4</v>
      </c>
      <c r="L11" s="3">
        <f t="shared" si="0"/>
        <v>9.1120366666666661E-4</v>
      </c>
      <c r="M11" s="3">
        <f t="shared" si="0"/>
        <v>2.3693200000000003E-4</v>
      </c>
      <c r="O11">
        <f t="shared" si="1"/>
        <v>9.1892739406089898E-6</v>
      </c>
      <c r="P11">
        <f t="shared" si="1"/>
        <v>1.6051568209991207E-5</v>
      </c>
    </row>
    <row r="12" spans="1:16" x14ac:dyDescent="0.35">
      <c r="A12" s="2">
        <v>63.095700000000001</v>
      </c>
      <c r="C12" s="4">
        <v>9.6684099999999997E-4</v>
      </c>
      <c r="D12" s="4">
        <v>2.6730299999999999E-4</v>
      </c>
      <c r="F12" s="4">
        <v>9.8934499999999998E-4</v>
      </c>
      <c r="G12" s="4">
        <v>2.79182E-4</v>
      </c>
      <c r="I12" s="4">
        <v>9.6762900000000002E-4</v>
      </c>
      <c r="J12" s="4">
        <v>2.38395E-4</v>
      </c>
      <c r="L12" s="3">
        <f t="shared" si="0"/>
        <v>9.7460499999999992E-4</v>
      </c>
      <c r="M12" s="3">
        <f t="shared" si="0"/>
        <v>2.6162666666666663E-4</v>
      </c>
      <c r="O12">
        <f t="shared" si="1"/>
        <v>1.0427717423610335E-5</v>
      </c>
      <c r="P12">
        <f t="shared" si="1"/>
        <v>1.7128152504640487E-5</v>
      </c>
    </row>
    <row r="13" spans="1:16" x14ac:dyDescent="0.35">
      <c r="A13" s="2">
        <v>100</v>
      </c>
      <c r="C13" s="4">
        <v>1.03764E-3</v>
      </c>
      <c r="D13" s="4">
        <v>3.0019399999999999E-4</v>
      </c>
      <c r="F13" s="4">
        <v>1.0734900000000001E-3</v>
      </c>
      <c r="G13" s="4">
        <v>3.17289E-4</v>
      </c>
      <c r="I13" s="4">
        <v>1.0453699999999999E-3</v>
      </c>
      <c r="J13" s="4">
        <v>2.7415000000000002E-4</v>
      </c>
      <c r="L13" s="3">
        <f t="shared" si="0"/>
        <v>1.0521666666666667E-3</v>
      </c>
      <c r="M13" s="3">
        <f t="shared" si="0"/>
        <v>2.9721100000000002E-4</v>
      </c>
      <c r="O13">
        <f t="shared" si="1"/>
        <v>1.5404580126991127E-5</v>
      </c>
      <c r="P13">
        <f t="shared" si="1"/>
        <v>1.7737287410048539E-5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A2162-F814-420A-B1C0-E9FD3A0A6CBC}">
  <dimension ref="A1:P13"/>
  <sheetViews>
    <sheetView workbookViewId="0">
      <selection activeCell="O3" sqref="O3:P13"/>
    </sheetView>
  </sheetViews>
  <sheetFormatPr defaultColWidth="8.81640625" defaultRowHeight="14.5" x14ac:dyDescent="0.35"/>
  <cols>
    <col min="11" max="11" width="8.81640625" style="5"/>
  </cols>
  <sheetData>
    <row r="1" spans="1:16" ht="58" x14ac:dyDescent="0.35">
      <c r="A1" s="1" t="s">
        <v>0</v>
      </c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29</v>
      </c>
      <c r="M1" s="1" t="s">
        <v>30</v>
      </c>
      <c r="O1" s="1" t="s">
        <v>31</v>
      </c>
      <c r="P1" s="1" t="s">
        <v>32</v>
      </c>
    </row>
    <row r="2" spans="1:16" x14ac:dyDescent="0.35">
      <c r="A2" s="1" t="s">
        <v>1</v>
      </c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O2" s="1" t="s">
        <v>4</v>
      </c>
      <c r="P2" s="1" t="s">
        <v>4</v>
      </c>
    </row>
    <row r="3" spans="1:16" x14ac:dyDescent="0.35">
      <c r="A3" s="2">
        <v>1</v>
      </c>
      <c r="C3" s="4">
        <v>5.4618500000000003E-4</v>
      </c>
      <c r="D3" s="4">
        <v>1.3281299999999999E-4</v>
      </c>
      <c r="F3" s="4">
        <v>5.9055700000000002E-4</v>
      </c>
      <c r="G3" s="4">
        <v>1.3840599999999999E-4</v>
      </c>
      <c r="I3" s="4">
        <v>5.3749199999999998E-4</v>
      </c>
      <c r="J3" s="4">
        <v>1.32137E-4</v>
      </c>
      <c r="L3" s="3">
        <f>AVERAGE(C3,F3,I3)</f>
        <v>5.5807800000000005E-4</v>
      </c>
      <c r="M3" s="3">
        <f>AVERAGE(D3,G3,J3)</f>
        <v>1.3445199999999999E-4</v>
      </c>
      <c r="O3">
        <f>_xlfn.STDEV.P(C3,F3,I3)</f>
        <v>2.3238705399971555E-5</v>
      </c>
      <c r="P3">
        <f>_xlfn.STDEV.P(D3,G3,J3)</f>
        <v>2.8094876163931833E-6</v>
      </c>
    </row>
    <row r="4" spans="1:16" x14ac:dyDescent="0.35">
      <c r="A4" s="2">
        <v>1.5849</v>
      </c>
      <c r="C4" s="4">
        <v>5.88442E-4</v>
      </c>
      <c r="D4" s="4">
        <v>1.3121899999999999E-4</v>
      </c>
      <c r="F4" s="4">
        <v>6.3621200000000004E-4</v>
      </c>
      <c r="G4" s="4">
        <v>1.3807000000000001E-4</v>
      </c>
      <c r="I4" s="4">
        <v>5.7697499999999997E-4</v>
      </c>
      <c r="J4" s="4">
        <v>1.31593E-4</v>
      </c>
      <c r="L4" s="3">
        <f t="shared" ref="L4:M13" si="0">AVERAGE(C4,F4,I4)</f>
        <v>6.0054299999999993E-4</v>
      </c>
      <c r="M4" s="3">
        <f t="shared" si="0"/>
        <v>1.3362733333333333E-4</v>
      </c>
      <c r="O4">
        <f t="shared" ref="O4:P13" si="1">_xlfn.STDEV.P(C4,F4,I4)</f>
        <v>2.5652565732625423E-5</v>
      </c>
      <c r="P4">
        <f t="shared" si="1"/>
        <v>3.1451480445636051E-6</v>
      </c>
    </row>
    <row r="5" spans="1:16" x14ac:dyDescent="0.35">
      <c r="A5" s="2">
        <v>2.5118900000000002</v>
      </c>
      <c r="C5" s="4">
        <v>6.3031700000000003E-4</v>
      </c>
      <c r="D5" s="4">
        <v>1.31462E-4</v>
      </c>
      <c r="F5" s="4">
        <v>6.78496E-4</v>
      </c>
      <c r="G5" s="4">
        <v>1.3822500000000001E-4</v>
      </c>
      <c r="I5" s="4">
        <v>6.1745799999999998E-4</v>
      </c>
      <c r="J5" s="4">
        <v>1.29422E-4</v>
      </c>
      <c r="L5" s="3">
        <f t="shared" si="0"/>
        <v>6.4209033333333337E-4</v>
      </c>
      <c r="M5" s="3">
        <f t="shared" si="0"/>
        <v>1.3303633333333335E-4</v>
      </c>
      <c r="O5">
        <f t="shared" si="1"/>
        <v>2.6272519157646247E-5</v>
      </c>
      <c r="P5">
        <f t="shared" si="1"/>
        <v>3.7622773540621576E-6</v>
      </c>
    </row>
    <row r="6" spans="1:16" x14ac:dyDescent="0.35">
      <c r="A6" s="2">
        <v>3.9810500000000002</v>
      </c>
      <c r="C6" s="4">
        <v>6.7068499999999997E-4</v>
      </c>
      <c r="D6" s="4">
        <v>1.3235499999999999E-4</v>
      </c>
      <c r="F6" s="4">
        <v>7.2035899999999995E-4</v>
      </c>
      <c r="G6" s="4">
        <v>1.37675E-4</v>
      </c>
      <c r="I6" s="4">
        <v>6.5618399999999998E-4</v>
      </c>
      <c r="J6" s="4">
        <v>1.3164399999999999E-4</v>
      </c>
      <c r="L6" s="3">
        <f t="shared" si="0"/>
        <v>6.824093333333333E-4</v>
      </c>
      <c r="M6" s="3">
        <f t="shared" si="0"/>
        <v>1.3389133333333332E-4</v>
      </c>
      <c r="O6">
        <f t="shared" si="1"/>
        <v>2.7479721618353809E-5</v>
      </c>
      <c r="P6">
        <f t="shared" si="1"/>
        <v>2.6911559267761221E-6</v>
      </c>
    </row>
    <row r="7" spans="1:16" x14ac:dyDescent="0.35">
      <c r="A7" s="2">
        <v>6.3095699999999999</v>
      </c>
      <c r="C7" s="4">
        <v>7.1006699999999999E-4</v>
      </c>
      <c r="D7" s="4">
        <v>1.3228099999999999E-4</v>
      </c>
      <c r="F7" s="4">
        <v>7.6105599999999997E-4</v>
      </c>
      <c r="G7" s="4">
        <v>1.3905699999999999E-4</v>
      </c>
      <c r="I7" s="4">
        <v>6.95332E-4</v>
      </c>
      <c r="J7" s="4">
        <v>1.31061E-4</v>
      </c>
      <c r="L7" s="3">
        <f t="shared" si="0"/>
        <v>7.2215166666666662E-4</v>
      </c>
      <c r="M7" s="3">
        <f t="shared" si="0"/>
        <v>1.3413300000000001E-4</v>
      </c>
      <c r="O7">
        <f t="shared" si="1"/>
        <v>2.8159550426493344E-5</v>
      </c>
      <c r="P7">
        <f t="shared" si="1"/>
        <v>3.5172367942273464E-6</v>
      </c>
    </row>
    <row r="8" spans="1:16" x14ac:dyDescent="0.35">
      <c r="A8" s="2">
        <v>10.0001</v>
      </c>
      <c r="C8" s="4">
        <v>7.5023799999999997E-4</v>
      </c>
      <c r="D8" s="4">
        <v>1.3432200000000001E-4</v>
      </c>
      <c r="F8" s="4">
        <v>8.0163900000000004E-4</v>
      </c>
      <c r="G8" s="4">
        <v>1.4037300000000001E-4</v>
      </c>
      <c r="I8" s="4">
        <v>7.3391400000000001E-4</v>
      </c>
      <c r="J8" s="4">
        <v>1.32946E-4</v>
      </c>
      <c r="L8" s="3">
        <f t="shared" si="0"/>
        <v>7.6193033333333334E-4</v>
      </c>
      <c r="M8" s="3">
        <f t="shared" si="0"/>
        <v>1.3588033333333335E-4</v>
      </c>
      <c r="O8">
        <f t="shared" si="1"/>
        <v>2.8858296326860497E-5</v>
      </c>
      <c r="P8">
        <f t="shared" si="1"/>
        <v>3.2260795953534026E-6</v>
      </c>
    </row>
    <row r="9" spans="1:16" x14ac:dyDescent="0.35">
      <c r="A9" s="2">
        <v>15.849</v>
      </c>
      <c r="C9" s="4">
        <v>7.8962300000000004E-4</v>
      </c>
      <c r="D9" s="4">
        <v>1.3891500000000001E-4</v>
      </c>
      <c r="F9" s="4">
        <v>8.4165399999999995E-4</v>
      </c>
      <c r="G9" s="4">
        <v>1.4464799999999999E-4</v>
      </c>
      <c r="I9" s="4">
        <v>7.7116399999999996E-4</v>
      </c>
      <c r="J9" s="4">
        <v>1.3650500000000001E-4</v>
      </c>
      <c r="L9" s="3">
        <f t="shared" si="0"/>
        <v>8.0081366666666669E-4</v>
      </c>
      <c r="M9" s="3">
        <f t="shared" si="0"/>
        <v>1.4002266666666668E-4</v>
      </c>
      <c r="O9">
        <f t="shared" si="1"/>
        <v>2.984552775356616E-5</v>
      </c>
      <c r="P9">
        <f t="shared" si="1"/>
        <v>3.41538737025375E-6</v>
      </c>
    </row>
    <row r="10" spans="1:16" x14ac:dyDescent="0.35">
      <c r="A10" s="2">
        <v>25.1188</v>
      </c>
      <c r="C10" s="4">
        <v>8.2918900000000003E-4</v>
      </c>
      <c r="D10" s="4">
        <v>1.45499E-4</v>
      </c>
      <c r="F10" s="4">
        <v>8.8196699999999999E-4</v>
      </c>
      <c r="G10" s="4">
        <v>1.5200000000000001E-4</v>
      </c>
      <c r="I10" s="4">
        <v>8.0994900000000002E-4</v>
      </c>
      <c r="J10" s="4">
        <v>1.43103E-4</v>
      </c>
      <c r="L10" s="3">
        <f t="shared" si="0"/>
        <v>8.4036833333333335E-4</v>
      </c>
      <c r="M10" s="3">
        <f t="shared" si="0"/>
        <v>1.4686733333333334E-4</v>
      </c>
      <c r="O10">
        <f t="shared" si="1"/>
        <v>3.0445374047445829E-5</v>
      </c>
      <c r="P10">
        <f t="shared" si="1"/>
        <v>3.7588477253304967E-6</v>
      </c>
    </row>
    <row r="11" spans="1:16" x14ac:dyDescent="0.35">
      <c r="A11" s="2">
        <v>39.810499999999998</v>
      </c>
      <c r="C11" s="4">
        <v>8.7174300000000002E-4</v>
      </c>
      <c r="D11" s="4">
        <v>1.5681399999999999E-4</v>
      </c>
      <c r="F11" s="4">
        <v>9.2358000000000002E-4</v>
      </c>
      <c r="G11" s="4">
        <v>1.6386999999999999E-4</v>
      </c>
      <c r="I11" s="4">
        <v>8.4943099999999999E-4</v>
      </c>
      <c r="J11" s="4">
        <v>1.5308499999999999E-4</v>
      </c>
      <c r="L11" s="3">
        <f t="shared" si="0"/>
        <v>8.8158466666666668E-4</v>
      </c>
      <c r="M11" s="3">
        <f t="shared" si="0"/>
        <v>1.57923E-4</v>
      </c>
      <c r="O11">
        <f t="shared" si="1"/>
        <v>3.1060825835053971E-5</v>
      </c>
      <c r="P11">
        <f t="shared" si="1"/>
        <v>4.4722452973869835E-6</v>
      </c>
    </row>
    <row r="12" spans="1:16" x14ac:dyDescent="0.35">
      <c r="A12" s="2">
        <v>63.095700000000001</v>
      </c>
      <c r="C12" s="4">
        <v>9.2142400000000001E-4</v>
      </c>
      <c r="D12" s="4">
        <v>1.7373099999999999E-4</v>
      </c>
      <c r="F12" s="4">
        <v>9.7114100000000002E-4</v>
      </c>
      <c r="G12" s="4">
        <v>1.8235699999999999E-4</v>
      </c>
      <c r="I12" s="4">
        <v>8.9118300000000004E-4</v>
      </c>
      <c r="J12" s="4">
        <v>1.6961100000000001E-4</v>
      </c>
      <c r="L12" s="3">
        <f t="shared" si="0"/>
        <v>9.2791599999999998E-4</v>
      </c>
      <c r="M12" s="3">
        <f t="shared" si="0"/>
        <v>1.7523299999999998E-4</v>
      </c>
      <c r="O12">
        <f t="shared" si="1"/>
        <v>3.2963919558612357E-5</v>
      </c>
      <c r="P12">
        <f t="shared" si="1"/>
        <v>5.3108148778381058E-6</v>
      </c>
    </row>
    <row r="13" spans="1:16" x14ac:dyDescent="0.35">
      <c r="A13" s="2">
        <v>100</v>
      </c>
      <c r="C13" s="4">
        <v>9.7074399999999995E-4</v>
      </c>
      <c r="D13" s="4">
        <v>1.9846600000000001E-4</v>
      </c>
      <c r="F13" s="4">
        <v>1.01311E-3</v>
      </c>
      <c r="G13" s="4">
        <v>2.0860200000000001E-4</v>
      </c>
      <c r="I13" s="4">
        <v>9.2371900000000004E-4</v>
      </c>
      <c r="J13" s="4">
        <v>1.9265800000000001E-4</v>
      </c>
      <c r="L13" s="3">
        <f t="shared" si="0"/>
        <v>9.69191E-4</v>
      </c>
      <c r="M13" s="3">
        <f t="shared" si="0"/>
        <v>1.9990866666666669E-4</v>
      </c>
      <c r="O13">
        <f t="shared" si="1"/>
        <v>3.6510241275565392E-5</v>
      </c>
      <c r="P13">
        <f t="shared" si="1"/>
        <v>6.5885632896878357E-6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61579-6CA2-4C26-B48C-BC369B3A1CED}">
  <dimension ref="A1:P13"/>
  <sheetViews>
    <sheetView workbookViewId="0">
      <selection activeCell="O3" sqref="O3:P13"/>
    </sheetView>
  </sheetViews>
  <sheetFormatPr defaultColWidth="8.81640625" defaultRowHeight="14.5" x14ac:dyDescent="0.35"/>
  <cols>
    <col min="11" max="11" width="8.6328125" style="5"/>
  </cols>
  <sheetData>
    <row r="1" spans="1:16" ht="58" x14ac:dyDescent="0.35">
      <c r="A1" s="1" t="s">
        <v>0</v>
      </c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33</v>
      </c>
      <c r="M1" s="1" t="s">
        <v>34</v>
      </c>
      <c r="O1" s="1" t="s">
        <v>35</v>
      </c>
      <c r="P1" s="1" t="s">
        <v>36</v>
      </c>
    </row>
    <row r="2" spans="1:16" x14ac:dyDescent="0.35">
      <c r="A2" s="1" t="s">
        <v>1</v>
      </c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O2" s="1" t="s">
        <v>4</v>
      </c>
      <c r="P2" s="1" t="s">
        <v>4</v>
      </c>
    </row>
    <row r="3" spans="1:16" x14ac:dyDescent="0.35">
      <c r="A3" s="2">
        <v>1</v>
      </c>
      <c r="C3" s="4">
        <v>4.53802E-4</v>
      </c>
      <c r="D3" s="4">
        <v>1.33423E-4</v>
      </c>
      <c r="F3" s="4">
        <v>4.6192299999999999E-4</v>
      </c>
      <c r="G3" s="4">
        <v>1.18201E-4</v>
      </c>
      <c r="I3" s="4">
        <v>4.4789599999999998E-4</v>
      </c>
      <c r="J3" s="4">
        <v>1.14648E-4</v>
      </c>
      <c r="L3" s="3">
        <f>AVERAGE(C3,F3,I3)</f>
        <v>4.5454033333333334E-4</v>
      </c>
      <c r="M3" s="3">
        <f>AVERAGE(D3,G3,J3)</f>
        <v>1.2209066666666666E-4</v>
      </c>
      <c r="O3">
        <f>_xlfn.STDEV.P(C3,F3,I3)</f>
        <v>5.7502483617859712E-6</v>
      </c>
      <c r="P3">
        <f>_xlfn.STDEV.P(D3,G3,J3)</f>
        <v>8.1433934913864707E-6</v>
      </c>
    </row>
    <row r="4" spans="1:16" x14ac:dyDescent="0.35">
      <c r="A4" s="2">
        <v>1.5849</v>
      </c>
      <c r="C4" s="4">
        <v>4.9055300000000002E-4</v>
      </c>
      <c r="D4" s="4">
        <v>1.3734700000000001E-4</v>
      </c>
      <c r="F4" s="4">
        <v>5.0023099999999996E-4</v>
      </c>
      <c r="G4" s="4">
        <v>1.18684E-4</v>
      </c>
      <c r="I4" s="4">
        <v>4.8464200000000003E-4</v>
      </c>
      <c r="J4" s="4">
        <v>1.12815E-4</v>
      </c>
      <c r="L4" s="3">
        <f t="shared" ref="L4:M13" si="0">AVERAGE(C4,F4,I4)</f>
        <v>4.9180866666666669E-4</v>
      </c>
      <c r="M4" s="3">
        <f t="shared" si="0"/>
        <v>1.2294866666666667E-4</v>
      </c>
      <c r="O4">
        <f t="shared" ref="O4:P13" si="1">_xlfn.STDEV.P(C4,F4,I4)</f>
        <v>6.4258205355857233E-6</v>
      </c>
      <c r="P4">
        <f t="shared" si="1"/>
        <v>1.0459295461719956E-5</v>
      </c>
    </row>
    <row r="5" spans="1:16" x14ac:dyDescent="0.35">
      <c r="A5" s="2">
        <v>2.5118900000000002</v>
      </c>
      <c r="C5" s="4">
        <v>5.2674600000000003E-4</v>
      </c>
      <c r="D5" s="4">
        <v>1.33583E-4</v>
      </c>
      <c r="F5" s="4">
        <v>5.37445E-4</v>
      </c>
      <c r="G5" s="4">
        <v>1.19592E-4</v>
      </c>
      <c r="I5" s="4">
        <v>5.22599E-4</v>
      </c>
      <c r="J5" s="4">
        <v>1.09553E-4</v>
      </c>
      <c r="L5" s="3">
        <f t="shared" si="0"/>
        <v>5.2892999999999994E-4</v>
      </c>
      <c r="M5" s="3">
        <f t="shared" si="0"/>
        <v>1.2090933333333332E-4</v>
      </c>
      <c r="O5">
        <f t="shared" si="1"/>
        <v>6.2545088269716769E-6</v>
      </c>
      <c r="P5">
        <f t="shared" si="1"/>
        <v>9.8543307005374812E-6</v>
      </c>
    </row>
    <row r="6" spans="1:16" x14ac:dyDescent="0.35">
      <c r="A6" s="2">
        <v>3.9810500000000002</v>
      </c>
      <c r="C6" s="4">
        <v>5.6146199999999999E-4</v>
      </c>
      <c r="D6" s="4">
        <v>1.34485E-4</v>
      </c>
      <c r="F6" s="4">
        <v>5.7445200000000004E-4</v>
      </c>
      <c r="G6" s="4">
        <v>1.18264E-4</v>
      </c>
      <c r="I6" s="4">
        <v>5.5497700000000001E-4</v>
      </c>
      <c r="J6" s="4">
        <v>1.13979E-4</v>
      </c>
      <c r="L6" s="3">
        <f t="shared" si="0"/>
        <v>5.6363033333333334E-4</v>
      </c>
      <c r="M6" s="3">
        <f t="shared" si="0"/>
        <v>1.2224266666666667E-4</v>
      </c>
      <c r="O6">
        <f t="shared" si="1"/>
        <v>8.0971253472383098E-6</v>
      </c>
      <c r="P6">
        <f t="shared" si="1"/>
        <v>8.8316231174619787E-6</v>
      </c>
    </row>
    <row r="7" spans="1:16" x14ac:dyDescent="0.35">
      <c r="A7" s="2">
        <v>6.3095699999999999</v>
      </c>
      <c r="C7" s="4">
        <v>5.9704699999999996E-4</v>
      </c>
      <c r="D7" s="4">
        <v>1.3826600000000001E-4</v>
      </c>
      <c r="F7" s="4">
        <v>6.1129299999999995E-4</v>
      </c>
      <c r="G7" s="4">
        <v>1.20525E-4</v>
      </c>
      <c r="I7" s="4">
        <v>5.8912299999999999E-4</v>
      </c>
      <c r="J7" s="4">
        <v>1.1403700000000001E-4</v>
      </c>
      <c r="L7" s="3">
        <f t="shared" si="0"/>
        <v>5.9915433333333334E-4</v>
      </c>
      <c r="M7" s="3">
        <f t="shared" si="0"/>
        <v>1.2427600000000001E-4</v>
      </c>
      <c r="O7">
        <f t="shared" si="1"/>
        <v>9.1727082635876184E-6</v>
      </c>
      <c r="P7">
        <f t="shared" si="1"/>
        <v>1.0240885736432502E-5</v>
      </c>
    </row>
    <row r="8" spans="1:16" x14ac:dyDescent="0.35">
      <c r="A8" s="2">
        <v>10.0001</v>
      </c>
      <c r="C8" s="4">
        <v>6.3212499999999998E-4</v>
      </c>
      <c r="D8" s="4">
        <v>1.3875500000000001E-4</v>
      </c>
      <c r="F8" s="4">
        <v>6.4849099999999995E-4</v>
      </c>
      <c r="G8" s="4">
        <v>1.2239400000000001E-4</v>
      </c>
      <c r="I8" s="4">
        <v>6.2313400000000001E-4</v>
      </c>
      <c r="J8" s="4">
        <v>1.15733E-4</v>
      </c>
      <c r="L8" s="3">
        <f t="shared" si="0"/>
        <v>6.3458333333333335E-4</v>
      </c>
      <c r="M8" s="3">
        <f t="shared" si="0"/>
        <v>1.2562733333333336E-4</v>
      </c>
      <c r="O8">
        <f t="shared" si="1"/>
        <v>1.0496885707463669E-5</v>
      </c>
      <c r="P8">
        <f t="shared" si="1"/>
        <v>9.672778102604355E-6</v>
      </c>
    </row>
    <row r="9" spans="1:16" x14ac:dyDescent="0.35">
      <c r="A9" s="2">
        <v>15.849</v>
      </c>
      <c r="C9" s="4">
        <v>6.6586100000000001E-4</v>
      </c>
      <c r="D9" s="4">
        <v>1.4525000000000001E-4</v>
      </c>
      <c r="F9" s="4">
        <v>6.8533999999999999E-4</v>
      </c>
      <c r="G9" s="4">
        <v>1.2561199999999999E-4</v>
      </c>
      <c r="I9" s="4">
        <v>6.56688E-4</v>
      </c>
      <c r="J9" s="4">
        <v>1.1847E-4</v>
      </c>
      <c r="L9" s="3">
        <f t="shared" si="0"/>
        <v>6.6929633333333337E-4</v>
      </c>
      <c r="M9" s="3">
        <f t="shared" si="0"/>
        <v>1.2977733333333332E-4</v>
      </c>
      <c r="O9">
        <f t="shared" si="1"/>
        <v>1.1946698632769731E-5</v>
      </c>
      <c r="P9">
        <f t="shared" si="1"/>
        <v>1.132267934525904E-5</v>
      </c>
    </row>
    <row r="10" spans="1:16" x14ac:dyDescent="0.35">
      <c r="A10" s="2">
        <v>25.1188</v>
      </c>
      <c r="C10" s="4">
        <v>7.0247400000000002E-4</v>
      </c>
      <c r="D10" s="4">
        <v>1.58882E-4</v>
      </c>
      <c r="F10" s="4">
        <v>7.2334899999999998E-4</v>
      </c>
      <c r="G10" s="4">
        <v>1.31128E-4</v>
      </c>
      <c r="I10" s="4">
        <v>6.9172899999999998E-4</v>
      </c>
      <c r="J10" s="4">
        <v>1.2367500000000001E-4</v>
      </c>
      <c r="L10" s="3">
        <f t="shared" si="0"/>
        <v>7.0585066666666669E-4</v>
      </c>
      <c r="M10" s="3">
        <f t="shared" si="0"/>
        <v>1.3789499999999999E-4</v>
      </c>
      <c r="O10">
        <f t="shared" si="1"/>
        <v>1.3127769760659607E-5</v>
      </c>
      <c r="P10">
        <f t="shared" si="1"/>
        <v>1.5148760763397997E-5</v>
      </c>
    </row>
    <row r="11" spans="1:16" x14ac:dyDescent="0.35">
      <c r="A11" s="2">
        <v>39.810499999999998</v>
      </c>
      <c r="C11" s="4">
        <v>7.3926799999999996E-4</v>
      </c>
      <c r="D11" s="4">
        <v>1.7406100000000001E-4</v>
      </c>
      <c r="F11" s="4">
        <v>7.6549099999999998E-4</v>
      </c>
      <c r="G11" s="4">
        <v>1.40116E-4</v>
      </c>
      <c r="I11" s="4">
        <v>7.2998300000000002E-4</v>
      </c>
      <c r="J11" s="4">
        <v>1.3195700000000001E-4</v>
      </c>
      <c r="L11" s="3">
        <f t="shared" si="0"/>
        <v>7.4491400000000006E-4</v>
      </c>
      <c r="M11" s="3">
        <f t="shared" si="0"/>
        <v>1.4871133333333334E-4</v>
      </c>
      <c r="O11">
        <f t="shared" si="1"/>
        <v>1.5035790700857726E-5</v>
      </c>
      <c r="P11">
        <f t="shared" si="1"/>
        <v>1.8231776661154621E-5</v>
      </c>
    </row>
    <row r="12" spans="1:16" x14ac:dyDescent="0.35">
      <c r="A12" s="2">
        <v>63.095700000000001</v>
      </c>
      <c r="C12" s="4">
        <v>7.80765E-4</v>
      </c>
      <c r="D12" s="4">
        <v>1.9266300000000001E-4</v>
      </c>
      <c r="F12" s="4">
        <v>8.1677799999999999E-4</v>
      </c>
      <c r="G12" s="4">
        <v>1.5436900000000001E-4</v>
      </c>
      <c r="I12" s="4">
        <v>7.7562200000000001E-4</v>
      </c>
      <c r="J12" s="4">
        <v>1.4577700000000001E-4</v>
      </c>
      <c r="L12" s="3">
        <f t="shared" si="0"/>
        <v>7.9105500000000004E-4</v>
      </c>
      <c r="M12" s="3">
        <f t="shared" si="0"/>
        <v>1.642696666666667E-4</v>
      </c>
      <c r="O12">
        <f t="shared" si="1"/>
        <v>1.8309690676433242E-5</v>
      </c>
      <c r="P12">
        <f t="shared" si="1"/>
        <v>2.0381227462763099E-5</v>
      </c>
    </row>
    <row r="13" spans="1:16" x14ac:dyDescent="0.35">
      <c r="A13" s="2">
        <v>100</v>
      </c>
      <c r="C13" s="4">
        <v>8.16641E-4</v>
      </c>
      <c r="D13" s="4">
        <v>2.1515600000000001E-4</v>
      </c>
      <c r="F13" s="4">
        <v>8.7857099999999997E-4</v>
      </c>
      <c r="G13" s="4">
        <v>1.74988E-4</v>
      </c>
      <c r="I13" s="4">
        <v>8.2708200000000003E-4</v>
      </c>
      <c r="J13" s="4">
        <v>1.64704E-4</v>
      </c>
      <c r="L13" s="3">
        <f t="shared" si="0"/>
        <v>8.4076466666666667E-4</v>
      </c>
      <c r="M13" s="3">
        <f t="shared" si="0"/>
        <v>1.8494933333333336E-4</v>
      </c>
      <c r="O13">
        <f t="shared" si="1"/>
        <v>2.7070805311667791E-5</v>
      </c>
      <c r="P13">
        <f t="shared" si="1"/>
        <v>2.1768053003324751E-5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56046-37AF-43EB-A70C-890155DEEF53}">
  <dimension ref="A1:Y12"/>
  <sheetViews>
    <sheetView workbookViewId="0">
      <selection activeCell="O45" sqref="O45"/>
    </sheetView>
  </sheetViews>
  <sheetFormatPr defaultColWidth="8.81640625" defaultRowHeight="14.5" x14ac:dyDescent="0.35"/>
  <sheetData>
    <row r="1" spans="1:25" ht="43.5" x14ac:dyDescent="0.35">
      <c r="A1" s="1" t="s">
        <v>0</v>
      </c>
      <c r="C1" t="s">
        <v>5</v>
      </c>
      <c r="D1" t="s">
        <v>6</v>
      </c>
      <c r="F1" t="s">
        <v>9</v>
      </c>
      <c r="G1" t="s">
        <v>10</v>
      </c>
      <c r="I1" t="s">
        <v>13</v>
      </c>
      <c r="J1" t="s">
        <v>14</v>
      </c>
      <c r="L1" t="s">
        <v>17</v>
      </c>
      <c r="M1" t="s">
        <v>18</v>
      </c>
      <c r="O1" t="s">
        <v>21</v>
      </c>
      <c r="P1" t="s">
        <v>22</v>
      </c>
      <c r="R1" t="s">
        <v>25</v>
      </c>
      <c r="S1" t="s">
        <v>26</v>
      </c>
      <c r="U1" t="s">
        <v>29</v>
      </c>
      <c r="V1" t="s">
        <v>30</v>
      </c>
      <c r="X1" t="s">
        <v>33</v>
      </c>
      <c r="Y1" t="s">
        <v>34</v>
      </c>
    </row>
    <row r="2" spans="1:25" x14ac:dyDescent="0.35">
      <c r="A2" s="2">
        <v>1</v>
      </c>
      <c r="C2" s="3">
        <f>'1233 parafilm- 72 hpi'!L3</f>
        <v>6.01284E-4</v>
      </c>
      <c r="D2" s="3">
        <f>'1233 parafilm- 72 hpi'!M3</f>
        <v>1.62285E-4</v>
      </c>
      <c r="F2" s="3">
        <f>'1233 parafilm+ 72 hpi'!L3</f>
        <v>5.4303566666666662E-4</v>
      </c>
      <c r="G2" s="3">
        <f>'1233 parafilm+ 72 hpi'!M3</f>
        <v>1.4316599999999999E-4</v>
      </c>
      <c r="I2" s="3">
        <f>'1234 parafilm- 72 hpi'!L3</f>
        <v>6.8027733333333345E-4</v>
      </c>
      <c r="J2" s="3">
        <f>'1234 parafilm- 72 hpi'!M3</f>
        <v>1.1506406666666666E-4</v>
      </c>
      <c r="L2" s="3">
        <f>'1234 parafilm+ 72 hpi'!L3</f>
        <v>1.5489066666666666E-3</v>
      </c>
      <c r="M2" s="3">
        <f>'1234 parafilm+ 72 hpi'!M3</f>
        <v>2.1862233333333337E-4</v>
      </c>
      <c r="O2" s="3">
        <f>'1250 parafilm- 72 hpi'!L3</f>
        <v>6.111333333333333E-4</v>
      </c>
      <c r="P2" s="3">
        <f>'1250 parafilm- 72 hpi'!M3</f>
        <v>1.4932533333333333E-4</v>
      </c>
      <c r="R2" s="3">
        <f>'1250 parafilm+ 72 hpi'!L3</f>
        <v>1.0846623333333335E-3</v>
      </c>
      <c r="S2" s="3">
        <f>'1250 parafilm+ 72 hpi'!M3</f>
        <v>2.2722100000000003E-4</v>
      </c>
      <c r="U2" s="3">
        <f>'1480 parafilm- 72 hpi'!L3</f>
        <v>5.613156666666667E-4</v>
      </c>
      <c r="V2" s="3">
        <f>'1480 parafilm- 72 hpi'!M3</f>
        <v>1.7401266666666664E-4</v>
      </c>
      <c r="X2" s="3">
        <f>'NAD003 parafilm+ 72 hpi'!L3</f>
        <v>4.5454033333333334E-4</v>
      </c>
      <c r="Y2" s="3">
        <f>'NAD003 parafilm+ 72 hpi'!M3</f>
        <v>1.2209066666666666E-4</v>
      </c>
    </row>
    <row r="3" spans="1:25" x14ac:dyDescent="0.35">
      <c r="A3" s="2">
        <v>1.5849</v>
      </c>
      <c r="C3" s="3">
        <f>'1233 parafilm- 72 hpi'!L4</f>
        <v>6.4301833333333335E-4</v>
      </c>
      <c r="D3" s="3">
        <f>'1233 parafilm- 72 hpi'!M4</f>
        <v>1.5584733333333335E-4</v>
      </c>
      <c r="F3" s="3">
        <f>'1233 parafilm+ 72 hpi'!L4</f>
        <v>5.8413666666666671E-4</v>
      </c>
      <c r="G3" s="3">
        <f>'1233 parafilm+ 72 hpi'!M4</f>
        <v>1.4404433333333334E-4</v>
      </c>
      <c r="I3" s="3">
        <f>'1234 parafilm- 72 hpi'!L4</f>
        <v>7.1045966666666673E-4</v>
      </c>
      <c r="J3" s="3">
        <f>'1234 parafilm- 72 hpi'!M4</f>
        <v>1.157727E-4</v>
      </c>
      <c r="L3" s="3">
        <f>'1234 parafilm+ 72 hpi'!L4</f>
        <v>1.6099533333333333E-3</v>
      </c>
      <c r="M3" s="3">
        <f>'1234 parafilm+ 72 hpi'!M4</f>
        <v>2.1269400000000001E-4</v>
      </c>
      <c r="O3" s="3">
        <f>'1250 parafilm- 72 hpi'!L4</f>
        <v>6.5628633333333333E-4</v>
      </c>
      <c r="P3" s="3">
        <f>'1250 parafilm- 72 hpi'!M4</f>
        <v>1.4773966666666667E-4</v>
      </c>
      <c r="R3" s="3">
        <f>'1250 parafilm+ 72 hpi'!L4</f>
        <v>1.1520756666666668E-3</v>
      </c>
      <c r="S3" s="3">
        <f>'1250 parafilm+ 72 hpi'!M4</f>
        <v>2.2051366666666665E-4</v>
      </c>
      <c r="U3" s="3">
        <f>'1480 parafilm- 72 hpi'!L4</f>
        <v>6.0241133333333334E-4</v>
      </c>
      <c r="V3" s="3">
        <f>'1480 parafilm- 72 hpi'!M4</f>
        <v>1.7522166666666668E-4</v>
      </c>
      <c r="X3" s="3">
        <f>'NAD003 parafilm+ 72 hpi'!L4</f>
        <v>4.9180866666666669E-4</v>
      </c>
      <c r="Y3" s="3">
        <f>'NAD003 parafilm+ 72 hpi'!M4</f>
        <v>1.2294866666666667E-4</v>
      </c>
    </row>
    <row r="4" spans="1:25" x14ac:dyDescent="0.35">
      <c r="A4" s="2">
        <v>2.5118900000000002</v>
      </c>
      <c r="C4" s="3">
        <f>'1233 parafilm- 72 hpi'!L5</f>
        <v>6.8937433333333324E-4</v>
      </c>
      <c r="D4" s="3">
        <f>'1233 parafilm- 72 hpi'!M5</f>
        <v>1.5850999999999997E-4</v>
      </c>
      <c r="F4" s="3">
        <f>'1233 parafilm+ 72 hpi'!L5</f>
        <v>6.2532133333333335E-4</v>
      </c>
      <c r="G4" s="3">
        <f>'1233 parafilm+ 72 hpi'!M5</f>
        <v>1.4528433333333332E-4</v>
      </c>
      <c r="I4" s="3">
        <f>'1234 parafilm- 72 hpi'!L5</f>
        <v>7.3580733333333337E-4</v>
      </c>
      <c r="J4" s="3">
        <f>'1234 parafilm- 72 hpi'!M5</f>
        <v>1.1394649999999999E-4</v>
      </c>
      <c r="L4" s="3">
        <f>'1234 parafilm+ 72 hpi'!L5</f>
        <v>1.6647966666666668E-3</v>
      </c>
      <c r="M4" s="3">
        <f>'1234 parafilm+ 72 hpi'!M5</f>
        <v>2.1263466666666662E-4</v>
      </c>
      <c r="O4" s="3">
        <f>'1250 parafilm- 72 hpi'!L5</f>
        <v>7.01226E-4</v>
      </c>
      <c r="P4" s="3">
        <f>'1250 parafilm- 72 hpi'!M5</f>
        <v>1.4714599999999999E-4</v>
      </c>
      <c r="R4" s="3">
        <f>'1250 parafilm+ 72 hpi'!L5</f>
        <v>1.215778E-3</v>
      </c>
      <c r="S4" s="3">
        <f>'1250 parafilm+ 72 hpi'!M5</f>
        <v>2.1727266666666666E-4</v>
      </c>
      <c r="U4" s="3">
        <f>'1480 parafilm- 72 hpi'!L5</f>
        <v>6.4937633333333339E-4</v>
      </c>
      <c r="V4" s="3">
        <f>'1480 parafilm- 72 hpi'!M5</f>
        <v>1.7462333333333332E-4</v>
      </c>
      <c r="X4" s="3">
        <f>'NAD003 parafilm+ 72 hpi'!L5</f>
        <v>5.2892999999999994E-4</v>
      </c>
      <c r="Y4" s="3">
        <f>'NAD003 parafilm+ 72 hpi'!M5</f>
        <v>1.2090933333333332E-4</v>
      </c>
    </row>
    <row r="5" spans="1:25" x14ac:dyDescent="0.35">
      <c r="A5" s="2">
        <v>3.9810500000000002</v>
      </c>
      <c r="C5" s="3">
        <f>'1233 parafilm- 72 hpi'!L6</f>
        <v>7.3147366666666659E-4</v>
      </c>
      <c r="D5" s="3">
        <f>'1233 parafilm- 72 hpi'!M6</f>
        <v>1.5884299999999998E-4</v>
      </c>
      <c r="F5" s="3">
        <f>'1233 parafilm+ 72 hpi'!L6</f>
        <v>6.6592733333333334E-4</v>
      </c>
      <c r="G5" s="3">
        <f>'1233 parafilm+ 72 hpi'!M6</f>
        <v>1.4698400000000001E-4</v>
      </c>
      <c r="I5" s="3">
        <f>'1234 parafilm- 72 hpi'!L6</f>
        <v>7.6023300000000002E-4</v>
      </c>
      <c r="J5" s="3">
        <f>'1234 parafilm- 72 hpi'!M6</f>
        <v>1.1517500000000001E-4</v>
      </c>
      <c r="L5" s="3">
        <f>'1234 parafilm+ 72 hpi'!L6</f>
        <v>1.7199366666666666E-3</v>
      </c>
      <c r="M5" s="3">
        <f>'1234 parafilm+ 72 hpi'!M6</f>
        <v>2.1850466666666668E-4</v>
      </c>
      <c r="O5" s="3">
        <f>'1250 parafilm- 72 hpi'!L6</f>
        <v>7.4393566666666657E-4</v>
      </c>
      <c r="P5" s="3">
        <f>'1250 parafilm- 72 hpi'!M6</f>
        <v>1.4782666666666666E-4</v>
      </c>
      <c r="R5" s="3">
        <f>'1250 parafilm+ 72 hpi'!L6</f>
        <v>1.2803700000000001E-3</v>
      </c>
      <c r="S5" s="3">
        <f>'1250 parafilm+ 72 hpi'!M6</f>
        <v>2.1702033333333335E-4</v>
      </c>
      <c r="U5" s="3">
        <f>'1480 parafilm- 72 hpi'!L6</f>
        <v>6.8721900000000009E-4</v>
      </c>
      <c r="V5" s="3">
        <f>'1480 parafilm- 72 hpi'!M6</f>
        <v>1.79075E-4</v>
      </c>
      <c r="X5" s="3">
        <f>'NAD003 parafilm+ 72 hpi'!L6</f>
        <v>5.6363033333333334E-4</v>
      </c>
      <c r="Y5" s="3">
        <f>'NAD003 parafilm+ 72 hpi'!M6</f>
        <v>1.2224266666666667E-4</v>
      </c>
    </row>
    <row r="6" spans="1:25" x14ac:dyDescent="0.35">
      <c r="A6" s="2">
        <v>6.3095699999999999</v>
      </c>
      <c r="C6" s="3">
        <f>'1233 parafilm- 72 hpi'!L7</f>
        <v>7.7434900000000002E-4</v>
      </c>
      <c r="D6" s="3">
        <f>'1233 parafilm- 72 hpi'!M7</f>
        <v>1.6129866666666668E-4</v>
      </c>
      <c r="F6" s="3">
        <f>'1233 parafilm+ 72 hpi'!L7</f>
        <v>7.0689466666666676E-4</v>
      </c>
      <c r="G6" s="3">
        <f>'1233 parafilm+ 72 hpi'!M7</f>
        <v>1.51435E-4</v>
      </c>
      <c r="I6" s="3">
        <f>'1234 parafilm- 72 hpi'!L7</f>
        <v>7.873783333333333E-4</v>
      </c>
      <c r="J6" s="3">
        <f>'1234 parafilm- 72 hpi'!M7</f>
        <v>1.1933133333333333E-4</v>
      </c>
      <c r="L6" s="3">
        <f>'1234 parafilm+ 72 hpi'!L7</f>
        <v>1.7766233333333336E-3</v>
      </c>
      <c r="M6" s="3">
        <f>'1234 parafilm+ 72 hpi'!M7</f>
        <v>2.2422166666666668E-4</v>
      </c>
      <c r="O6" s="3">
        <f>'1250 parafilm- 72 hpi'!L7</f>
        <v>7.8747266666666675E-4</v>
      </c>
      <c r="P6" s="3">
        <f>'1250 parafilm- 72 hpi'!M7</f>
        <v>1.4830266666666667E-4</v>
      </c>
      <c r="R6" s="3">
        <f>'1250 parafilm+ 72 hpi'!L7</f>
        <v>1.3426586666666666E-3</v>
      </c>
      <c r="S6" s="3">
        <f>'1250 parafilm+ 72 hpi'!M7</f>
        <v>2.1753500000000001E-4</v>
      </c>
      <c r="U6" s="3">
        <f>'1480 parafilm- 72 hpi'!L7</f>
        <v>7.3095166666666672E-4</v>
      </c>
      <c r="V6" s="3">
        <f>'1480 parafilm- 72 hpi'!M7</f>
        <v>1.8441933333333336E-4</v>
      </c>
      <c r="X6" s="3">
        <f>'NAD003 parafilm+ 72 hpi'!L7</f>
        <v>5.9915433333333334E-4</v>
      </c>
      <c r="Y6" s="3">
        <f>'NAD003 parafilm+ 72 hpi'!M7</f>
        <v>1.2427600000000001E-4</v>
      </c>
    </row>
    <row r="7" spans="1:25" x14ac:dyDescent="0.35">
      <c r="A7" s="2">
        <v>10.0001</v>
      </c>
      <c r="C7" s="3">
        <f>'1233 parafilm- 72 hpi'!L8</f>
        <v>8.1675466666666669E-4</v>
      </c>
      <c r="D7" s="3">
        <f>'1233 parafilm- 72 hpi'!M8</f>
        <v>1.6736766666666664E-4</v>
      </c>
      <c r="F7" s="3">
        <f>'1233 parafilm+ 72 hpi'!L8</f>
        <v>7.4683733333333335E-4</v>
      </c>
      <c r="G7" s="3">
        <f>'1233 parafilm+ 72 hpi'!M8</f>
        <v>1.541676666666667E-4</v>
      </c>
      <c r="I7" s="3">
        <f>'1234 parafilm- 72 hpi'!L8</f>
        <v>8.1346933333333331E-4</v>
      </c>
      <c r="J7" s="3">
        <f>'1234 parafilm- 72 hpi'!M8</f>
        <v>1.2598233333333334E-4</v>
      </c>
      <c r="L7" s="3">
        <f>'1234 parafilm+ 72 hpi'!L8</f>
        <v>1.8355066666666667E-3</v>
      </c>
      <c r="M7" s="3">
        <f>'1234 parafilm+ 72 hpi'!M8</f>
        <v>2.2943066666666664E-4</v>
      </c>
      <c r="O7" s="3">
        <f>'1250 parafilm- 72 hpi'!L8</f>
        <v>8.2988533333333331E-4</v>
      </c>
      <c r="P7" s="3">
        <f>'1250 parafilm- 72 hpi'!M8</f>
        <v>1.5132099999999997E-4</v>
      </c>
      <c r="R7" s="3">
        <f>'1250 parafilm+ 72 hpi'!L8</f>
        <v>1.405395E-3</v>
      </c>
      <c r="S7" s="3">
        <f>'1250 parafilm+ 72 hpi'!M8</f>
        <v>2.2016766666666668E-4</v>
      </c>
      <c r="U7" s="3">
        <f>'1480 parafilm- 72 hpi'!L8</f>
        <v>7.7198633333333327E-4</v>
      </c>
      <c r="V7" s="3">
        <f>'1480 parafilm- 72 hpi'!M8</f>
        <v>1.9210199999999998E-4</v>
      </c>
      <c r="X7" s="3">
        <f>'NAD003 parafilm+ 72 hpi'!L8</f>
        <v>6.3458333333333335E-4</v>
      </c>
      <c r="Y7" s="3">
        <f>'NAD003 parafilm+ 72 hpi'!M8</f>
        <v>1.2562733333333336E-4</v>
      </c>
    </row>
    <row r="8" spans="1:25" x14ac:dyDescent="0.35">
      <c r="A8" s="2">
        <v>15.849</v>
      </c>
      <c r="C8" s="3">
        <f>'1233 parafilm- 72 hpi'!L9</f>
        <v>8.5930066666666666E-4</v>
      </c>
      <c r="D8" s="3">
        <f>'1233 parafilm- 72 hpi'!M9</f>
        <v>1.74628E-4</v>
      </c>
      <c r="F8" s="3">
        <f>'1233 parafilm+ 72 hpi'!L9</f>
        <v>7.8770299999999995E-4</v>
      </c>
      <c r="G8" s="3">
        <f>'1233 parafilm+ 72 hpi'!M9</f>
        <v>1.6184433333333334E-4</v>
      </c>
      <c r="I8" s="3">
        <f>'1234 parafilm- 72 hpi'!L9</f>
        <v>8.4143666666666673E-4</v>
      </c>
      <c r="J8" s="3">
        <f>'1234 parafilm- 72 hpi'!M9</f>
        <v>1.3402099999999998E-4</v>
      </c>
      <c r="L8" s="3">
        <f>'1234 parafilm+ 72 hpi'!L9</f>
        <v>1.89671E-3</v>
      </c>
      <c r="M8" s="3">
        <f>'1234 parafilm+ 72 hpi'!M9</f>
        <v>2.3854900000000001E-4</v>
      </c>
      <c r="O8" s="3">
        <f>'1250 parafilm- 72 hpi'!L9</f>
        <v>8.7154766666666661E-4</v>
      </c>
      <c r="P8" s="3">
        <f>'1250 parafilm- 72 hpi'!M9</f>
        <v>1.5548299999999999E-4</v>
      </c>
      <c r="R8" s="3">
        <f>'1250 parafilm+ 72 hpi'!L9</f>
        <v>1.4692133333333334E-3</v>
      </c>
      <c r="S8" s="3">
        <f>'1250 parafilm+ 72 hpi'!M9</f>
        <v>2.3028433333333333E-4</v>
      </c>
      <c r="U8" s="3">
        <f>'1480 parafilm- 72 hpi'!L9</f>
        <v>8.1516833333333339E-4</v>
      </c>
      <c r="V8" s="3">
        <f>'1480 parafilm- 72 hpi'!M9</f>
        <v>2.0196700000000003E-4</v>
      </c>
      <c r="X8" s="3">
        <f>'NAD003 parafilm+ 72 hpi'!L9</f>
        <v>6.6929633333333337E-4</v>
      </c>
      <c r="Y8" s="3">
        <f>'NAD003 parafilm+ 72 hpi'!M9</f>
        <v>1.2977733333333332E-4</v>
      </c>
    </row>
    <row r="9" spans="1:25" x14ac:dyDescent="0.35">
      <c r="A9" s="2">
        <v>25.1188</v>
      </c>
      <c r="C9" s="3">
        <f>'1233 parafilm- 72 hpi'!L10</f>
        <v>9.0370200000000004E-4</v>
      </c>
      <c r="D9" s="3">
        <f>'1233 parafilm- 72 hpi'!M10</f>
        <v>1.8703866666666666E-4</v>
      </c>
      <c r="F9" s="3">
        <f>'1233 parafilm+ 72 hpi'!L10</f>
        <v>8.3002566666666661E-4</v>
      </c>
      <c r="G9" s="3">
        <f>'1233 parafilm+ 72 hpi'!M10</f>
        <v>1.6968999999999998E-4</v>
      </c>
      <c r="I9" s="3">
        <f>'1234 parafilm- 72 hpi'!L10</f>
        <v>8.7296900000000002E-4</v>
      </c>
      <c r="J9" s="3">
        <f>'1234 parafilm- 72 hpi'!M10</f>
        <v>1.4534333333333333E-4</v>
      </c>
      <c r="L9" s="3">
        <f>'1234 parafilm+ 72 hpi'!L10</f>
        <v>1.9557166666666665E-3</v>
      </c>
      <c r="M9" s="3">
        <f>'1234 parafilm+ 72 hpi'!M10</f>
        <v>2.4533399999999999E-4</v>
      </c>
      <c r="O9" s="3">
        <f>'1250 parafilm- 72 hpi'!L10</f>
        <v>9.1445466666666662E-4</v>
      </c>
      <c r="P9" s="3">
        <f>'1250 parafilm- 72 hpi'!M10</f>
        <v>1.6492500000000001E-4</v>
      </c>
      <c r="R9" s="3">
        <f>'1250 parafilm+ 72 hpi'!L10</f>
        <v>1.5331836666666668E-3</v>
      </c>
      <c r="S9" s="3">
        <f>'1250 parafilm+ 72 hpi'!M10</f>
        <v>2.4250233333333336E-4</v>
      </c>
      <c r="U9" s="3">
        <f>'1480 parafilm- 72 hpi'!L10</f>
        <v>8.6007033333333326E-4</v>
      </c>
      <c r="V9" s="3">
        <f>'1480 parafilm- 72 hpi'!M10</f>
        <v>2.1589999999999999E-4</v>
      </c>
      <c r="X9" s="3">
        <f>'NAD003 parafilm+ 72 hpi'!L10</f>
        <v>7.0585066666666669E-4</v>
      </c>
      <c r="Y9" s="3">
        <f>'NAD003 parafilm+ 72 hpi'!M10</f>
        <v>1.3789499999999999E-4</v>
      </c>
    </row>
    <row r="10" spans="1:25" x14ac:dyDescent="0.35">
      <c r="A10" s="2">
        <v>39.810499999999998</v>
      </c>
      <c r="C10" s="3">
        <f>'1233 parafilm- 72 hpi'!L11</f>
        <v>9.5126333333333342E-4</v>
      </c>
      <c r="D10" s="3">
        <f>'1233 parafilm- 72 hpi'!M11</f>
        <v>2.0333666666666667E-4</v>
      </c>
      <c r="F10" s="3">
        <f>'1233 parafilm+ 72 hpi'!L11</f>
        <v>8.7596266666666674E-4</v>
      </c>
      <c r="G10" s="3">
        <f>'1233 parafilm+ 72 hpi'!M11</f>
        <v>1.8046933333333334E-4</v>
      </c>
      <c r="I10" s="3">
        <f>'1234 parafilm- 72 hpi'!L11</f>
        <v>9.0638533333333349E-4</v>
      </c>
      <c r="J10" s="3">
        <f>'1234 parafilm- 72 hpi'!M11</f>
        <v>1.5414499999999998E-4</v>
      </c>
      <c r="L10" s="3">
        <f>'1234 parafilm+ 72 hpi'!L11</f>
        <v>2.01527E-3</v>
      </c>
      <c r="M10" s="3">
        <f>'1234 parafilm+ 72 hpi'!M11</f>
        <v>2.5151366666666667E-4</v>
      </c>
      <c r="O10" s="3">
        <f>'1250 parafilm- 72 hpi'!L11</f>
        <v>9.5899233333333336E-4</v>
      </c>
      <c r="P10" s="3">
        <f>'1250 parafilm- 72 hpi'!M11</f>
        <v>1.7959566666666667E-4</v>
      </c>
      <c r="R10" s="3">
        <f>'1250 parafilm+ 72 hpi'!L11</f>
        <v>1.5995993333333333E-3</v>
      </c>
      <c r="S10" s="3">
        <f>'1250 parafilm+ 72 hpi'!M11</f>
        <v>2.5955133333333333E-4</v>
      </c>
      <c r="U10" s="3">
        <f>'1480 parafilm- 72 hpi'!L11</f>
        <v>9.1120366666666661E-4</v>
      </c>
      <c r="V10" s="3">
        <f>'1480 parafilm- 72 hpi'!M11</f>
        <v>2.3693200000000003E-4</v>
      </c>
      <c r="X10" s="3">
        <f>'NAD003 parafilm+ 72 hpi'!L11</f>
        <v>7.4491400000000006E-4</v>
      </c>
      <c r="Y10" s="3">
        <f>'NAD003 parafilm+ 72 hpi'!M11</f>
        <v>1.4871133333333334E-4</v>
      </c>
    </row>
    <row r="11" spans="1:25" x14ac:dyDescent="0.35">
      <c r="A11" s="2">
        <v>63.095700000000001</v>
      </c>
      <c r="C11" s="3">
        <f>'1233 parafilm- 72 hpi'!L12</f>
        <v>1.008658E-3</v>
      </c>
      <c r="D11" s="3">
        <f>'1233 parafilm- 72 hpi'!M12</f>
        <v>2.2363466666666665E-4</v>
      </c>
      <c r="F11" s="3">
        <f>'1233 parafilm+ 72 hpi'!L12</f>
        <v>9.3294799999999996E-4</v>
      </c>
      <c r="G11" s="3">
        <f>'1233 parafilm+ 72 hpi'!M12</f>
        <v>1.9696733333333333E-4</v>
      </c>
      <c r="I11" s="3">
        <f>'1234 parafilm- 72 hpi'!L12</f>
        <v>9.5094433333333327E-4</v>
      </c>
      <c r="J11" s="3">
        <f>'1234 parafilm- 72 hpi'!M12</f>
        <v>1.6385666666666665E-4</v>
      </c>
      <c r="L11" s="3">
        <f>'1234 parafilm+ 72 hpi'!L12</f>
        <v>2.08012E-3</v>
      </c>
      <c r="M11" s="3">
        <f>'1234 parafilm+ 72 hpi'!M12</f>
        <v>2.6118433333333335E-4</v>
      </c>
      <c r="O11" s="3">
        <f>'1250 parafilm- 72 hpi'!L12</f>
        <v>1.0111536666666668E-3</v>
      </c>
      <c r="P11" s="3">
        <f>'1250 parafilm- 72 hpi'!M12</f>
        <v>1.9921133333333332E-4</v>
      </c>
      <c r="R11" s="3">
        <f>'1250 parafilm+ 72 hpi'!L12</f>
        <v>1.6768150000000001E-3</v>
      </c>
      <c r="S11" s="3">
        <f>'1250 parafilm+ 72 hpi'!M12</f>
        <v>2.8493866666666668E-4</v>
      </c>
      <c r="U11" s="3">
        <f>'1480 parafilm- 72 hpi'!L12</f>
        <v>9.7460499999999992E-4</v>
      </c>
      <c r="V11" s="3">
        <f>'1480 parafilm- 72 hpi'!M12</f>
        <v>2.6162666666666663E-4</v>
      </c>
      <c r="X11" s="3">
        <f>'NAD003 parafilm+ 72 hpi'!L12</f>
        <v>7.9105500000000004E-4</v>
      </c>
      <c r="Y11" s="3">
        <f>'NAD003 parafilm+ 72 hpi'!M12</f>
        <v>1.642696666666667E-4</v>
      </c>
    </row>
    <row r="12" spans="1:25" x14ac:dyDescent="0.35">
      <c r="A12" s="2">
        <v>100</v>
      </c>
      <c r="C12" s="3">
        <f>'1233 parafilm- 72 hpi'!L13</f>
        <v>1.0709099999999998E-3</v>
      </c>
      <c r="D12" s="3">
        <f>'1233 parafilm- 72 hpi'!M13</f>
        <v>2.5361733333333336E-4</v>
      </c>
      <c r="F12" s="3">
        <f>'1233 parafilm+ 72 hpi'!L13</f>
        <v>9.9773999999999978E-4</v>
      </c>
      <c r="G12" s="3">
        <f>'1233 parafilm+ 72 hpi'!M13</f>
        <v>2.1761533333333334E-4</v>
      </c>
      <c r="I12" s="3">
        <f>'1234 parafilm- 72 hpi'!L13</f>
        <v>1.0026563333333334E-3</v>
      </c>
      <c r="J12" s="3">
        <f>'1234 parafilm- 72 hpi'!M13</f>
        <v>1.7999499999999999E-4</v>
      </c>
      <c r="L12" s="3">
        <f>'1234 parafilm+ 72 hpi'!L13</f>
        <v>2.1533799999999999E-3</v>
      </c>
      <c r="M12" s="3">
        <f>'1234 parafilm+ 72 hpi'!M13</f>
        <v>2.7765999999999994E-4</v>
      </c>
      <c r="O12" s="3">
        <f>'1250 parafilm- 72 hpi'!L13</f>
        <v>1.0613533333333333E-3</v>
      </c>
      <c r="P12" s="3">
        <f>'1250 parafilm- 72 hpi'!M13</f>
        <v>2.2463666666666668E-4</v>
      </c>
      <c r="R12" s="3">
        <f>'1250 parafilm+ 72 hpi'!L13</f>
        <v>1.7700700000000001E-3</v>
      </c>
      <c r="S12" s="3">
        <f>'1250 parafilm+ 72 hpi'!M13</f>
        <v>3.2034333333333327E-4</v>
      </c>
      <c r="U12" s="3">
        <f>'1480 parafilm- 72 hpi'!L13</f>
        <v>1.0521666666666667E-3</v>
      </c>
      <c r="V12" s="3">
        <f>'1480 parafilm- 72 hpi'!M13</f>
        <v>2.9721100000000002E-4</v>
      </c>
      <c r="X12" s="3">
        <f>'NAD003 parafilm+ 72 hpi'!L13</f>
        <v>8.4076466666666667E-4</v>
      </c>
      <c r="Y12" s="3">
        <f>'NAD003 parafilm+ 72 hpi'!M13</f>
        <v>1.8494933333333336E-4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C7458-22BA-453F-991D-65CDB9945FC2}">
  <dimension ref="A1:Y12"/>
  <sheetViews>
    <sheetView workbookViewId="0">
      <selection activeCell="H22" sqref="H22"/>
    </sheetView>
  </sheetViews>
  <sheetFormatPr defaultColWidth="8.81640625" defaultRowHeight="14.5" x14ac:dyDescent="0.35"/>
  <sheetData>
    <row r="1" spans="1:25" ht="43.5" x14ac:dyDescent="0.35">
      <c r="A1" s="1" t="s">
        <v>0</v>
      </c>
      <c r="C1" t="s">
        <v>7</v>
      </c>
      <c r="D1" t="s">
        <v>8</v>
      </c>
      <c r="F1" t="s">
        <v>11</v>
      </c>
      <c r="G1" t="s">
        <v>12</v>
      </c>
      <c r="I1" t="s">
        <v>15</v>
      </c>
      <c r="J1" t="s">
        <v>16</v>
      </c>
      <c r="L1" t="s">
        <v>19</v>
      </c>
      <c r="M1" t="s">
        <v>20</v>
      </c>
      <c r="O1" t="s">
        <v>23</v>
      </c>
      <c r="P1" t="s">
        <v>24</v>
      </c>
      <c r="R1" t="s">
        <v>27</v>
      </c>
      <c r="S1" t="s">
        <v>28</v>
      </c>
      <c r="U1" t="s">
        <v>31</v>
      </c>
      <c r="V1" t="s">
        <v>32</v>
      </c>
      <c r="X1" t="s">
        <v>35</v>
      </c>
      <c r="Y1" t="s">
        <v>36</v>
      </c>
    </row>
    <row r="2" spans="1:25" x14ac:dyDescent="0.35">
      <c r="C2">
        <f>'1233 parafilm- 72 hpi'!O3</f>
        <v>4.3850490996871011E-5</v>
      </c>
      <c r="D2">
        <f>'1233 parafilm- 72 hpi'!P3</f>
        <v>1.5717063423765479E-5</v>
      </c>
      <c r="F2">
        <f>'1233 parafilm+ 72 hpi'!O3</f>
        <v>1.7763319636699543E-4</v>
      </c>
      <c r="G2">
        <f>'1233 parafilm+ 72 hpi'!P3</f>
        <v>1.8984791035633406E-5</v>
      </c>
      <c r="I2">
        <f>'1234 parafilm- 72 hpi'!O3</f>
        <v>6.5637570208599937E-5</v>
      </c>
      <c r="J2">
        <f>'1234 parafilm- 72 hpi'!P3</f>
        <v>1.8160183185811266E-5</v>
      </c>
      <c r="L2">
        <f>'1234 parafilm+ 72 hpi'!O3</f>
        <v>2.761670840069267E-4</v>
      </c>
      <c r="M2">
        <f>'1234 parafilm+ 72 hpi'!P3</f>
        <v>3.3668898034965283E-5</v>
      </c>
      <c r="O2">
        <f>'1250 parafilm- 72 hpi'!O3</f>
        <v>1.3725603358525082E-5</v>
      </c>
      <c r="P2">
        <f>'1250 parafilm- 72 hpi'!P3</f>
        <v>4.8045318421488546E-6</v>
      </c>
      <c r="R2">
        <f>'1250 parafilm+ 72 hpi'!O3</f>
        <v>3.7911935297153527E-4</v>
      </c>
      <c r="S2">
        <f>'1250 parafilm+ 72 hpi'!P3</f>
        <v>5.1577499823081772E-5</v>
      </c>
      <c r="U2">
        <f>'1480 parafilm- 72 hpi'!O3</f>
        <v>4.3519670903575731E-6</v>
      </c>
      <c r="V2">
        <f>'1480 parafilm- 72 hpi'!P3</f>
        <v>1.653378662685055E-5</v>
      </c>
      <c r="X2">
        <f>'NAD003 parafilm+ 72 hpi'!O3</f>
        <v>5.7502483617859712E-6</v>
      </c>
      <c r="Y2">
        <f>'NAD003 parafilm+ 72 hpi'!P3</f>
        <v>8.1433934913864707E-6</v>
      </c>
    </row>
    <row r="3" spans="1:25" x14ac:dyDescent="0.35">
      <c r="C3">
        <f>'1233 parafilm- 72 hpi'!O4</f>
        <v>4.4235644197361442E-5</v>
      </c>
      <c r="D3">
        <f>'1233 parafilm- 72 hpi'!P4</f>
        <v>9.6988721108292972E-6</v>
      </c>
      <c r="F3">
        <f>'1233 parafilm+ 72 hpi'!O4</f>
        <v>1.8474747193098176E-4</v>
      </c>
      <c r="G3">
        <f>'1233 parafilm+ 72 hpi'!P4</f>
        <v>1.9052825238151838E-5</v>
      </c>
      <c r="I3">
        <f>'1234 parafilm- 72 hpi'!O4</f>
        <v>6.5570766948558926E-5</v>
      </c>
      <c r="J3">
        <f>'1234 parafilm- 72 hpi'!P4</f>
        <v>1.8878327886229748E-5</v>
      </c>
      <c r="L3">
        <f>'1234 parafilm+ 72 hpi'!O4</f>
        <v>2.8245668745648225E-4</v>
      </c>
      <c r="M3">
        <f>'1234 parafilm+ 72 hpi'!P4</f>
        <v>3.3188956838080937E-5</v>
      </c>
      <c r="O3">
        <f>'1250 parafilm- 72 hpi'!O4</f>
        <v>1.3428380501344494E-5</v>
      </c>
      <c r="P3">
        <f>'1250 parafilm- 72 hpi'!P4</f>
        <v>4.9814326141070042E-6</v>
      </c>
      <c r="R3">
        <f>'1250 parafilm+ 72 hpi'!O4</f>
        <v>3.9512987942897401E-4</v>
      </c>
      <c r="S3">
        <f>'1250 parafilm+ 72 hpi'!P4</f>
        <v>4.6409257527159627E-5</v>
      </c>
      <c r="U3">
        <f>'1480 parafilm- 72 hpi'!O4</f>
        <v>4.9813046706884373E-6</v>
      </c>
      <c r="V3">
        <f>'1480 parafilm- 72 hpi'!P4</f>
        <v>1.5612191995004702E-5</v>
      </c>
      <c r="X3">
        <f>'NAD003 parafilm+ 72 hpi'!O4</f>
        <v>6.4258205355857233E-6</v>
      </c>
      <c r="Y3">
        <f>'NAD003 parafilm+ 72 hpi'!P4</f>
        <v>1.0459295461719956E-5</v>
      </c>
    </row>
    <row r="4" spans="1:25" x14ac:dyDescent="0.35">
      <c r="C4">
        <f>'1233 parafilm- 72 hpi'!O5</f>
        <v>4.6883346306432646E-5</v>
      </c>
      <c r="D4">
        <f>'1233 parafilm- 72 hpi'!P5</f>
        <v>1.2038785431540291E-5</v>
      </c>
      <c r="F4">
        <f>'1233 parafilm+ 72 hpi'!O5</f>
        <v>1.9112198693911582E-4</v>
      </c>
      <c r="G4">
        <f>'1233 parafilm+ 72 hpi'!P5</f>
        <v>1.5881215766502961E-5</v>
      </c>
      <c r="I4">
        <f>'1234 parafilm- 72 hpi'!O5</f>
        <v>6.6520177557055735E-5</v>
      </c>
      <c r="J4">
        <f>'1234 parafilm- 72 hpi'!P5</f>
        <v>1.9265766612483051E-5</v>
      </c>
      <c r="L4">
        <f>'1234 parafilm+ 72 hpi'!O5</f>
        <v>2.9202364634087815E-4</v>
      </c>
      <c r="M4">
        <f>'1234 parafilm+ 72 hpi'!P5</f>
        <v>4.0219022707613814E-5</v>
      </c>
      <c r="O4">
        <f>'1250 parafilm- 72 hpi'!O5</f>
        <v>1.3382489977578906E-5</v>
      </c>
      <c r="P4">
        <f>'1250 parafilm- 72 hpi'!P5</f>
        <v>5.7501500849977822E-6</v>
      </c>
      <c r="R4">
        <f>'1250 parafilm+ 72 hpi'!O5</f>
        <v>4.1696421323018435E-4</v>
      </c>
      <c r="S4">
        <f>'1250 parafilm+ 72 hpi'!P5</f>
        <v>4.4741771864283098E-5</v>
      </c>
      <c r="U4">
        <f>'1480 parafilm- 72 hpi'!O5</f>
        <v>8.5960437540895496E-6</v>
      </c>
      <c r="V4">
        <f>'1480 parafilm- 72 hpi'!P5</f>
        <v>1.4837521678351659E-5</v>
      </c>
      <c r="X4">
        <f>'NAD003 parafilm+ 72 hpi'!O5</f>
        <v>6.2545088269716769E-6</v>
      </c>
      <c r="Y4">
        <f>'NAD003 parafilm+ 72 hpi'!P5</f>
        <v>9.8543307005374812E-6</v>
      </c>
    </row>
    <row r="5" spans="1:25" x14ac:dyDescent="0.35">
      <c r="C5">
        <f>'1233 parafilm- 72 hpi'!O6</f>
        <v>4.7361784625253397E-5</v>
      </c>
      <c r="D5">
        <f>'1233 parafilm- 72 hpi'!P6</f>
        <v>1.1697129077968947E-5</v>
      </c>
      <c r="F5">
        <f>'1233 parafilm+ 72 hpi'!O6</f>
        <v>1.9671905815203116E-4</v>
      </c>
      <c r="G5">
        <f>'1233 parafilm+ 72 hpi'!P6</f>
        <v>1.3988871100509388E-5</v>
      </c>
      <c r="I5">
        <f>'1234 parafilm- 72 hpi'!O6</f>
        <v>6.6323964100466746E-5</v>
      </c>
      <c r="J5">
        <f>'1234 parafilm- 72 hpi'!P6</f>
        <v>1.4977975096787954E-5</v>
      </c>
      <c r="L5">
        <f>'1234 parafilm+ 72 hpi'!O6</f>
        <v>3.0171823956945144E-4</v>
      </c>
      <c r="M5">
        <f>'1234 parafilm+ 72 hpi'!P6</f>
        <v>4.012826983838479E-5</v>
      </c>
      <c r="O5">
        <f>'1250 parafilm- 72 hpi'!O6</f>
        <v>1.3047240559682416E-5</v>
      </c>
      <c r="P5">
        <f>'1250 parafilm- 72 hpi'!P6</f>
        <v>5.9385354722823253E-6</v>
      </c>
      <c r="R5">
        <f>'1250 parafilm+ 72 hpi'!O6</f>
        <v>4.3089638066090395E-4</v>
      </c>
      <c r="S5">
        <f>'1250 parafilm+ 72 hpi'!P6</f>
        <v>4.4738686497879618E-5</v>
      </c>
      <c r="U5">
        <f>'1480 parafilm- 72 hpi'!O6</f>
        <v>5.8026359527373575E-6</v>
      </c>
      <c r="V5">
        <f>'1480 parafilm- 72 hpi'!P6</f>
        <v>1.5615937072960638E-5</v>
      </c>
      <c r="X5">
        <f>'NAD003 parafilm+ 72 hpi'!O6</f>
        <v>8.0971253472383098E-6</v>
      </c>
      <c r="Y5">
        <f>'NAD003 parafilm+ 72 hpi'!P6</f>
        <v>8.8316231174619787E-6</v>
      </c>
    </row>
    <row r="6" spans="1:25" x14ac:dyDescent="0.35">
      <c r="C6">
        <f>'1233 parafilm- 72 hpi'!O7</f>
        <v>4.8956443682113981E-5</v>
      </c>
      <c r="D6">
        <f>'1233 parafilm- 72 hpi'!P7</f>
        <v>1.1301049400633365E-5</v>
      </c>
      <c r="F6">
        <f>'1233 parafilm+ 72 hpi'!O7</f>
        <v>2.0258814865688025E-4</v>
      </c>
      <c r="G6">
        <f>'1233 parafilm+ 72 hpi'!P7</f>
        <v>1.4425800289758618E-5</v>
      </c>
      <c r="I6">
        <f>'1234 parafilm- 72 hpi'!O7</f>
        <v>6.847551029544957E-5</v>
      </c>
      <c r="J6">
        <f>'1234 parafilm- 72 hpi'!P7</f>
        <v>1.7583649684357972E-5</v>
      </c>
      <c r="L6">
        <f>'1234 parafilm+ 72 hpi'!O7</f>
        <v>3.1172513986238291E-4</v>
      </c>
      <c r="M6">
        <f>'1234 parafilm+ 72 hpi'!P7</f>
        <v>3.8954069854409604E-5</v>
      </c>
      <c r="O6">
        <f>'1250 parafilm- 72 hpi'!O7</f>
        <v>1.338545554780344E-5</v>
      </c>
      <c r="P6">
        <f>'1250 parafilm- 72 hpi'!P7</f>
        <v>5.0727278876578996E-6</v>
      </c>
      <c r="R6">
        <f>'1250 parafilm+ 72 hpi'!O7</f>
        <v>4.4736732679483371E-4</v>
      </c>
      <c r="S6">
        <f>'1250 parafilm+ 72 hpi'!P7</f>
        <v>4.5569553461348146E-5</v>
      </c>
      <c r="U6">
        <f>'1480 parafilm- 72 hpi'!O7</f>
        <v>5.5751494050732698E-6</v>
      </c>
      <c r="V6">
        <f>'1480 parafilm- 72 hpi'!P7</f>
        <v>1.5945173696834487E-5</v>
      </c>
      <c r="X6">
        <f>'NAD003 parafilm+ 72 hpi'!O7</f>
        <v>9.1727082635876184E-6</v>
      </c>
      <c r="Y6">
        <f>'NAD003 parafilm+ 72 hpi'!P7</f>
        <v>1.0240885736432502E-5</v>
      </c>
    </row>
    <row r="7" spans="1:25" x14ac:dyDescent="0.35">
      <c r="C7">
        <f>'1233 parafilm- 72 hpi'!O8</f>
        <v>5.0814527806742666E-5</v>
      </c>
      <c r="D7">
        <f>'1233 parafilm- 72 hpi'!P8</f>
        <v>1.3721231585474469E-5</v>
      </c>
      <c r="F7">
        <f>'1233 parafilm+ 72 hpi'!O8</f>
        <v>2.0776384578704307E-4</v>
      </c>
      <c r="G7">
        <f>'1233 parafilm+ 72 hpi'!P8</f>
        <v>1.4699823453210441E-5</v>
      </c>
      <c r="I7">
        <f>'1234 parafilm- 72 hpi'!O8</f>
        <v>7.1517605526347298E-5</v>
      </c>
      <c r="J7">
        <f>'1234 parafilm- 72 hpi'!P8</f>
        <v>1.864832682992112E-5</v>
      </c>
      <c r="L7">
        <f>'1234 parafilm+ 72 hpi'!O8</f>
        <v>3.2280298112350548E-4</v>
      </c>
      <c r="M7">
        <f>'1234 parafilm+ 72 hpi'!P8</f>
        <v>4.2735415386096596E-5</v>
      </c>
      <c r="O7">
        <f>'1250 parafilm- 72 hpi'!O8</f>
        <v>1.3594510272737178E-5</v>
      </c>
      <c r="P7">
        <f>'1250 parafilm- 72 hpi'!P8</f>
        <v>6.8980939879554129E-6</v>
      </c>
      <c r="R7">
        <f>'1250 parafilm+ 72 hpi'!O8</f>
        <v>4.6229040820318417E-4</v>
      </c>
      <c r="S7">
        <f>'1250 parafilm+ 72 hpi'!P8</f>
        <v>4.5324994534534203E-5</v>
      </c>
      <c r="U7">
        <f>'1480 parafilm- 72 hpi'!O8</f>
        <v>6.9002919906012221E-6</v>
      </c>
      <c r="V7">
        <f>'1480 parafilm- 72 hpi'!P8</f>
        <v>1.5048699412241577E-5</v>
      </c>
      <c r="X7">
        <f>'NAD003 parafilm+ 72 hpi'!O8</f>
        <v>1.0496885707463669E-5</v>
      </c>
      <c r="Y7">
        <f>'NAD003 parafilm+ 72 hpi'!P8</f>
        <v>9.672778102604355E-6</v>
      </c>
    </row>
    <row r="8" spans="1:25" x14ac:dyDescent="0.35">
      <c r="C8">
        <f>'1233 parafilm- 72 hpi'!O9</f>
        <v>5.1430947209718891E-5</v>
      </c>
      <c r="D8">
        <f>'1233 parafilm- 72 hpi'!P9</f>
        <v>1.2264551058504619E-5</v>
      </c>
      <c r="F8">
        <f>'1233 parafilm+ 72 hpi'!O9</f>
        <v>2.1275105986261664E-4</v>
      </c>
      <c r="G8">
        <f>'1233 parafilm+ 72 hpi'!P9</f>
        <v>1.5218740734881955E-5</v>
      </c>
      <c r="I8">
        <f>'1234 parafilm- 72 hpi'!O9</f>
        <v>7.1603432684629173E-5</v>
      </c>
      <c r="J8">
        <f>'1234 parafilm- 72 hpi'!P9</f>
        <v>1.3761977643735169E-5</v>
      </c>
      <c r="L8">
        <f>'1234 parafilm+ 72 hpi'!O9</f>
        <v>3.3624081885854772E-4</v>
      </c>
      <c r="M8">
        <f>'1234 parafilm+ 72 hpi'!P9</f>
        <v>4.3473270462051357E-5</v>
      </c>
      <c r="O8">
        <f>'1250 parafilm- 72 hpi'!O9</f>
        <v>1.3464964620162335E-5</v>
      </c>
      <c r="P8">
        <f>'1250 parafilm- 72 hpi'!P9</f>
        <v>7.0631045581953563E-6</v>
      </c>
      <c r="R8">
        <f>'1250 parafilm+ 72 hpi'!O9</f>
        <v>4.7572864564674773E-4</v>
      </c>
      <c r="S8">
        <f>'1250 parafilm+ 72 hpi'!P9</f>
        <v>4.2406049932632126E-5</v>
      </c>
      <c r="U8">
        <f>'1480 parafilm- 72 hpi'!O9</f>
        <v>7.179690166635939E-6</v>
      </c>
      <c r="V8">
        <f>'1480 parafilm- 72 hpi'!P9</f>
        <v>1.5448535917684879E-5</v>
      </c>
      <c r="X8">
        <f>'NAD003 parafilm+ 72 hpi'!O9</f>
        <v>1.1946698632769731E-5</v>
      </c>
      <c r="Y8">
        <f>'NAD003 parafilm+ 72 hpi'!P9</f>
        <v>1.132267934525904E-5</v>
      </c>
    </row>
    <row r="9" spans="1:25" x14ac:dyDescent="0.35">
      <c r="C9">
        <f>'1233 parafilm- 72 hpi'!O10</f>
        <v>5.2260282363059079E-5</v>
      </c>
      <c r="D9">
        <f>'1233 parafilm- 72 hpi'!P10</f>
        <v>1.2759370134227719E-5</v>
      </c>
      <c r="F9">
        <f>'1233 parafilm+ 72 hpi'!O10</f>
        <v>2.1761248281342276E-4</v>
      </c>
      <c r="G9">
        <f>'1233 parafilm+ 72 hpi'!P10</f>
        <v>1.6416633455127145E-5</v>
      </c>
      <c r="I9">
        <f>'1234 parafilm- 72 hpi'!O10</f>
        <v>7.4444123237947212E-5</v>
      </c>
      <c r="J9">
        <f>'1234 parafilm- 72 hpi'!P10</f>
        <v>1.5329961781499079E-5</v>
      </c>
      <c r="L9">
        <f>'1234 parafilm+ 72 hpi'!O10</f>
        <v>3.5103539159970126E-4</v>
      </c>
      <c r="M9">
        <f>'1234 parafilm+ 72 hpi'!P10</f>
        <v>4.2775563358846216E-5</v>
      </c>
      <c r="O9">
        <f>'1250 parafilm- 72 hpi'!O10</f>
        <v>1.4152719039895549E-5</v>
      </c>
      <c r="P9">
        <f>'1250 parafilm- 72 hpi'!P10</f>
        <v>9.9029452521291174E-6</v>
      </c>
      <c r="R9">
        <f>'1250 parafilm+ 72 hpi'!O10</f>
        <v>4.9050901047132203E-4</v>
      </c>
      <c r="S9">
        <f>'1250 parafilm+ 72 hpi'!P10</f>
        <v>4.3383794457787521E-5</v>
      </c>
      <c r="U9">
        <f>'1480 parafilm- 72 hpi'!O10</f>
        <v>8.3295854371964585E-6</v>
      </c>
      <c r="V9">
        <f>'1480 parafilm- 72 hpi'!P10</f>
        <v>1.5889348570662046E-5</v>
      </c>
      <c r="X9">
        <f>'NAD003 parafilm+ 72 hpi'!O10</f>
        <v>1.3127769760659607E-5</v>
      </c>
      <c r="Y9">
        <f>'NAD003 parafilm+ 72 hpi'!P10</f>
        <v>1.5148760763397997E-5</v>
      </c>
    </row>
    <row r="10" spans="1:25" x14ac:dyDescent="0.35">
      <c r="C10">
        <f>'1233 parafilm- 72 hpi'!O11</f>
        <v>5.0639064191809706E-5</v>
      </c>
      <c r="D10">
        <f>'1233 parafilm- 72 hpi'!P11</f>
        <v>1.4847542250786452E-5</v>
      </c>
      <c r="F10">
        <f>'1233 parafilm+ 72 hpi'!O11</f>
        <v>2.2333368274748782E-4</v>
      </c>
      <c r="G10">
        <f>'1233 parafilm+ 72 hpi'!P11</f>
        <v>1.9428721442464736E-5</v>
      </c>
      <c r="I10">
        <f>'1234 parafilm- 72 hpi'!O11</f>
        <v>7.7393810076919074E-5</v>
      </c>
      <c r="J10">
        <f>'1234 parafilm- 72 hpi'!P11</f>
        <v>1.7850215012710622E-5</v>
      </c>
      <c r="L10">
        <f>'1234 parafilm+ 72 hpi'!O11</f>
        <v>3.6747759305840686E-4</v>
      </c>
      <c r="M10">
        <f>'1234 parafilm+ 72 hpi'!P11</f>
        <v>4.5985256494760233E-5</v>
      </c>
      <c r="O10">
        <f>'1250 parafilm- 72 hpi'!O11</f>
        <v>1.516805707912373E-5</v>
      </c>
      <c r="P10">
        <f>'1250 parafilm- 72 hpi'!P11</f>
        <v>1.3698274205980191E-5</v>
      </c>
      <c r="R10">
        <f>'1250 parafilm+ 72 hpi'!O11</f>
        <v>5.0497012957291716E-4</v>
      </c>
      <c r="S10">
        <f>'1250 parafilm+ 72 hpi'!P11</f>
        <v>4.784167366312438E-5</v>
      </c>
      <c r="U10">
        <f>'1480 parafilm- 72 hpi'!O11</f>
        <v>9.1892739406089898E-6</v>
      </c>
      <c r="V10">
        <f>'1480 parafilm- 72 hpi'!P11</f>
        <v>1.6051568209991207E-5</v>
      </c>
      <c r="X10">
        <f>'NAD003 parafilm+ 72 hpi'!O11</f>
        <v>1.5035790700857726E-5</v>
      </c>
      <c r="Y10">
        <f>'NAD003 parafilm+ 72 hpi'!P11</f>
        <v>1.8231776661154621E-5</v>
      </c>
    </row>
    <row r="11" spans="1:25" x14ac:dyDescent="0.35">
      <c r="C11">
        <f>'1233 parafilm- 72 hpi'!O12</f>
        <v>4.4327269199293917E-5</v>
      </c>
      <c r="D11">
        <f>'1233 parafilm- 72 hpi'!P12</f>
        <v>1.4986790835784541E-5</v>
      </c>
      <c r="F11">
        <f>'1233 parafilm+ 72 hpi'!O12</f>
        <v>2.3180384887371185E-4</v>
      </c>
      <c r="G11">
        <f>'1233 parafilm+ 72 hpi'!P12</f>
        <v>2.2919692294812529E-5</v>
      </c>
      <c r="I11">
        <f>'1234 parafilm- 72 hpi'!O12</f>
        <v>8.2112331011987584E-5</v>
      </c>
      <c r="J11">
        <f>'1234 parafilm- 72 hpi'!P12</f>
        <v>1.6030639087558404E-5</v>
      </c>
      <c r="L11">
        <f>'1234 parafilm+ 72 hpi'!O12</f>
        <v>3.8536894460590194E-4</v>
      </c>
      <c r="M11">
        <f>'1234 parafilm+ 72 hpi'!P12</f>
        <v>4.7643862734062837E-5</v>
      </c>
      <c r="O11">
        <f>'1250 parafilm- 72 hpi'!O12</f>
        <v>1.7835841636684521E-5</v>
      </c>
      <c r="P11">
        <f>'1250 parafilm- 72 hpi'!P12</f>
        <v>1.5469403357021307E-5</v>
      </c>
      <c r="R11">
        <f>'1250 parafilm+ 72 hpi'!O12</f>
        <v>5.1678075826859754E-4</v>
      </c>
      <c r="S11">
        <f>'1250 parafilm+ 72 hpi'!P12</f>
        <v>5.2820532689055266E-5</v>
      </c>
      <c r="U11">
        <f>'1480 parafilm- 72 hpi'!O12</f>
        <v>1.0427717423610335E-5</v>
      </c>
      <c r="V11">
        <f>'1480 parafilm- 72 hpi'!P12</f>
        <v>1.7128152504640487E-5</v>
      </c>
      <c r="X11">
        <f>'NAD003 parafilm+ 72 hpi'!O12</f>
        <v>1.8309690676433242E-5</v>
      </c>
      <c r="Y11">
        <f>'NAD003 parafilm+ 72 hpi'!P12</f>
        <v>2.0381227462763099E-5</v>
      </c>
    </row>
    <row r="12" spans="1:25" x14ac:dyDescent="0.35">
      <c r="C12">
        <f>'1233 parafilm- 72 hpi'!O13</f>
        <v>2.6733934739702348E-5</v>
      </c>
      <c r="D12">
        <f>'1233 parafilm- 72 hpi'!P13</f>
        <v>1.6118254957931673E-5</v>
      </c>
      <c r="F12">
        <f>'1233 parafilm+ 72 hpi'!O13</f>
        <v>2.4665076963728826E-4</v>
      </c>
      <c r="G12">
        <f>'1233 parafilm+ 72 hpi'!P13</f>
        <v>2.8278753123541737E-5</v>
      </c>
      <c r="I12">
        <f>'1234 parafilm- 72 hpi'!O13</f>
        <v>9.4027833114574289E-5</v>
      </c>
      <c r="J12">
        <f>'1234 parafilm- 72 hpi'!P13</f>
        <v>1.8627962976843892E-5</v>
      </c>
      <c r="L12">
        <f>'1234 parafilm+ 72 hpi'!O13</f>
        <v>4.1574872948292542E-4</v>
      </c>
      <c r="M12">
        <f>'1234 parafilm+ 72 hpi'!P13</f>
        <v>4.7221067551111827E-5</v>
      </c>
      <c r="O12">
        <f>'1250 parafilm- 72 hpi'!O13</f>
        <v>2.4737138521304867E-5</v>
      </c>
      <c r="P12">
        <f>'1250 parafilm- 72 hpi'!P13</f>
        <v>1.4604618957332946E-5</v>
      </c>
      <c r="R12">
        <f>'1250 parafilm+ 72 hpi'!O13</f>
        <v>5.3004094030555788E-4</v>
      </c>
      <c r="S12">
        <f>'1250 parafilm+ 72 hpi'!P13</f>
        <v>5.8836683751626319E-5</v>
      </c>
      <c r="U12">
        <f>'1480 parafilm- 72 hpi'!O13</f>
        <v>1.5404580126991127E-5</v>
      </c>
      <c r="V12">
        <f>'1480 parafilm- 72 hpi'!P13</f>
        <v>1.7737287410048539E-5</v>
      </c>
      <c r="X12">
        <f>'NAD003 parafilm+ 72 hpi'!O13</f>
        <v>2.7070805311667791E-5</v>
      </c>
      <c r="Y12">
        <f>'NAD003 parafilm+ 72 hpi'!P13</f>
        <v>2.1768053003324751E-5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1233 parafilm- 72 hpi</vt:lpstr>
      <vt:lpstr>1233 parafilm+ 72 hpi</vt:lpstr>
      <vt:lpstr>1234 parafilm- 72 hpi</vt:lpstr>
      <vt:lpstr>1234 parafilm+ 72 hpi</vt:lpstr>
      <vt:lpstr>1250 parafilm- 72 hpi</vt:lpstr>
      <vt:lpstr>1250 parafilm+ 72 hpi</vt:lpstr>
      <vt:lpstr>1480 parafilm- 72 hpi</vt:lpstr>
      <vt:lpstr>NAD003 parafilm- 72 hpi</vt:lpstr>
      <vt:lpstr>NAD003 parafilm+ 72 hpi</vt:lpstr>
      <vt:lpstr>Average comparison</vt:lpstr>
      <vt:lpstr>Standard deviations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Larkin Lab</dc:creator>
  <cp:lastModifiedBy>Larkin Lab</cp:lastModifiedBy>
  <dcterms:created xsi:type="dcterms:W3CDTF">2025-07-22T15:19:18Z</dcterms:created>
  <dcterms:modified xsi:type="dcterms:W3CDTF">2025-12-08T19:48:49Z</dcterms:modified>
</cp:coreProperties>
</file>
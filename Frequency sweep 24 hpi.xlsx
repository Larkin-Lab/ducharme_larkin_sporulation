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nalysis\Rheometry\Frequency\"/>
    </mc:Choice>
  </mc:AlternateContent>
  <xr:revisionPtr revIDLastSave="0" documentId="13_ncr:1_{69B8F221-81FE-4E75-8458-4208135310E9}" xr6:coauthVersionLast="47" xr6:coauthVersionMax="47" xr10:uidLastSave="{00000000-0000-0000-0000-000000000000}"/>
  <bookViews>
    <workbookView xWindow="1520" yWindow="10" windowWidth="29640" windowHeight="20870" firstSheet="5" activeTab="10" xr2:uid="{23A9AD00-BD58-4C85-88D2-6F62574CD7E4}"/>
  </bookViews>
  <sheets>
    <sheet name="1233 parafilm- 24 hpi" sheetId="1" r:id="rId1"/>
    <sheet name="1233 parafilm+ 24 hpi" sheetId="2" r:id="rId2"/>
    <sheet name="1234 parafilm- 24 hpi" sheetId="3" r:id="rId3"/>
    <sheet name="1234 parafilm+ 24 hpi" sheetId="4" r:id="rId4"/>
    <sheet name="1250 parafilm- 24 hpi" sheetId="5" r:id="rId5"/>
    <sheet name="1250 parafilm+ 24 hpi" sheetId="6" r:id="rId6"/>
    <sheet name="1480 parafilm- 24 hpi" sheetId="12" r:id="rId7"/>
    <sheet name="NAD003 parafilm- 24 hpi" sheetId="7" r:id="rId8"/>
    <sheet name="NAD003 parafilm+ 24 hpi" sheetId="8" r:id="rId9"/>
    <sheet name="Average comparison" sheetId="9" r:id="rId10"/>
    <sheet name="Standard deviation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0" l="1"/>
  <c r="V2" i="10"/>
  <c r="U3" i="10"/>
  <c r="V3" i="10"/>
  <c r="U4" i="10"/>
  <c r="V4" i="10"/>
  <c r="U5" i="10"/>
  <c r="V5" i="10"/>
  <c r="U6" i="10"/>
  <c r="V6" i="10"/>
  <c r="U7" i="10"/>
  <c r="V7" i="10"/>
  <c r="U8" i="10"/>
  <c r="V8" i="10"/>
  <c r="U9" i="10"/>
  <c r="V9" i="10"/>
  <c r="U10" i="10"/>
  <c r="V10" i="10"/>
  <c r="U11" i="10"/>
  <c r="V11" i="10"/>
  <c r="U12" i="10"/>
  <c r="V12" i="10"/>
  <c r="U2" i="9"/>
  <c r="V2" i="9"/>
  <c r="U3" i="9"/>
  <c r="V3" i="9"/>
  <c r="U4" i="9"/>
  <c r="V4" i="9"/>
  <c r="U5" i="9"/>
  <c r="V5" i="9"/>
  <c r="U6" i="9"/>
  <c r="V6" i="9"/>
  <c r="U7" i="9"/>
  <c r="V7" i="9"/>
  <c r="U8" i="9"/>
  <c r="V8" i="9"/>
  <c r="U9" i="9"/>
  <c r="V9" i="9"/>
  <c r="U10" i="9"/>
  <c r="V10" i="9"/>
  <c r="U11" i="9"/>
  <c r="V11" i="9"/>
  <c r="U12" i="9"/>
  <c r="V12" i="9"/>
  <c r="P13" i="12"/>
  <c r="O13" i="12"/>
  <c r="M13" i="12"/>
  <c r="L13" i="12"/>
  <c r="P12" i="12"/>
  <c r="O12" i="12"/>
  <c r="M12" i="12"/>
  <c r="L12" i="12"/>
  <c r="P11" i="12"/>
  <c r="O11" i="12"/>
  <c r="M11" i="12"/>
  <c r="L11" i="12"/>
  <c r="P10" i="12"/>
  <c r="O10" i="12"/>
  <c r="M10" i="12"/>
  <c r="L10" i="12"/>
  <c r="P9" i="12"/>
  <c r="O9" i="12"/>
  <c r="M9" i="12"/>
  <c r="L9" i="12"/>
  <c r="P8" i="12"/>
  <c r="O8" i="12"/>
  <c r="M8" i="12"/>
  <c r="L8" i="12"/>
  <c r="P7" i="12"/>
  <c r="O7" i="12"/>
  <c r="M7" i="12"/>
  <c r="L7" i="12"/>
  <c r="P6" i="12"/>
  <c r="O6" i="12"/>
  <c r="M6" i="12"/>
  <c r="L6" i="12"/>
  <c r="P5" i="12"/>
  <c r="O5" i="12"/>
  <c r="M5" i="12"/>
  <c r="L5" i="12"/>
  <c r="P4" i="12"/>
  <c r="O4" i="12"/>
  <c r="M4" i="12"/>
  <c r="L4" i="12"/>
  <c r="P3" i="12"/>
  <c r="O3" i="12"/>
  <c r="M3" i="12"/>
  <c r="L3" i="12"/>
  <c r="Y4" i="10"/>
  <c r="Y7" i="10"/>
  <c r="X9" i="10"/>
  <c r="R2" i="10"/>
  <c r="R7" i="10"/>
  <c r="S7" i="10"/>
  <c r="S12" i="10"/>
  <c r="O7" i="10"/>
  <c r="O8" i="10"/>
  <c r="L5" i="10"/>
  <c r="M10" i="10"/>
  <c r="J4" i="10"/>
  <c r="I6" i="10"/>
  <c r="J6" i="10"/>
  <c r="J7" i="10"/>
  <c r="I9" i="10"/>
  <c r="G2" i="10"/>
  <c r="G11" i="10"/>
  <c r="G12" i="10"/>
  <c r="C2" i="10"/>
  <c r="D2" i="10"/>
  <c r="C3" i="10"/>
  <c r="D3" i="10"/>
  <c r="P13" i="8"/>
  <c r="Y12" i="10" s="1"/>
  <c r="O13" i="8"/>
  <c r="X12" i="10" s="1"/>
  <c r="M13" i="8"/>
  <c r="Y12" i="9" s="1"/>
  <c r="L13" i="8"/>
  <c r="X12" i="9" s="1"/>
  <c r="P12" i="8"/>
  <c r="Y11" i="10" s="1"/>
  <c r="O12" i="8"/>
  <c r="X11" i="10" s="1"/>
  <c r="M12" i="8"/>
  <c r="Y11" i="9" s="1"/>
  <c r="L12" i="8"/>
  <c r="X11" i="9" s="1"/>
  <c r="P11" i="8"/>
  <c r="Y10" i="10" s="1"/>
  <c r="O11" i="8"/>
  <c r="X10" i="10" s="1"/>
  <c r="M11" i="8"/>
  <c r="Y10" i="9" s="1"/>
  <c r="L11" i="8"/>
  <c r="P10" i="8"/>
  <c r="Y9" i="10" s="1"/>
  <c r="O10" i="8"/>
  <c r="M10" i="8"/>
  <c r="Y9" i="9" s="1"/>
  <c r="L10" i="8"/>
  <c r="X9" i="9" s="1"/>
  <c r="P9" i="8"/>
  <c r="Y8" i="10" s="1"/>
  <c r="O9" i="8"/>
  <c r="X8" i="10" s="1"/>
  <c r="M9" i="8"/>
  <c r="Y8" i="9" s="1"/>
  <c r="L9" i="8"/>
  <c r="X8" i="9" s="1"/>
  <c r="P8" i="8"/>
  <c r="O8" i="8"/>
  <c r="X7" i="10" s="1"/>
  <c r="M8" i="8"/>
  <c r="Y7" i="9" s="1"/>
  <c r="L8" i="8"/>
  <c r="X7" i="9" s="1"/>
  <c r="P7" i="8"/>
  <c r="Y6" i="10" s="1"/>
  <c r="O7" i="8"/>
  <c r="X6" i="10" s="1"/>
  <c r="M7" i="8"/>
  <c r="Y6" i="9" s="1"/>
  <c r="L7" i="8"/>
  <c r="X6" i="9" s="1"/>
  <c r="P6" i="8"/>
  <c r="Y5" i="10" s="1"/>
  <c r="O6" i="8"/>
  <c r="X5" i="10" s="1"/>
  <c r="M6" i="8"/>
  <c r="Y5" i="9" s="1"/>
  <c r="L6" i="8"/>
  <c r="X5" i="9" s="1"/>
  <c r="P5" i="8"/>
  <c r="O5" i="8"/>
  <c r="X4" i="10" s="1"/>
  <c r="M5" i="8"/>
  <c r="Y4" i="9" s="1"/>
  <c r="L5" i="8"/>
  <c r="X4" i="9" s="1"/>
  <c r="P4" i="8"/>
  <c r="Y3" i="10" s="1"/>
  <c r="O4" i="8"/>
  <c r="X3" i="10" s="1"/>
  <c r="M4" i="8"/>
  <c r="Y3" i="9" s="1"/>
  <c r="L4" i="8"/>
  <c r="X3" i="9" s="1"/>
  <c r="P3" i="8"/>
  <c r="Y2" i="10" s="1"/>
  <c r="O3" i="8"/>
  <c r="X2" i="10" s="1"/>
  <c r="M3" i="8"/>
  <c r="Y2" i="9" s="1"/>
  <c r="L3" i="8"/>
  <c r="P13" i="7"/>
  <c r="O13" i="7"/>
  <c r="M13" i="7"/>
  <c r="L13" i="7"/>
  <c r="P12" i="7"/>
  <c r="O12" i="7"/>
  <c r="M12" i="7"/>
  <c r="L12" i="7"/>
  <c r="P11" i="7"/>
  <c r="O11" i="7"/>
  <c r="M11" i="7"/>
  <c r="L11" i="7"/>
  <c r="P10" i="7"/>
  <c r="O10" i="7"/>
  <c r="M10" i="7"/>
  <c r="L10" i="7"/>
  <c r="P9" i="7"/>
  <c r="O9" i="7"/>
  <c r="M9" i="7"/>
  <c r="L9" i="7"/>
  <c r="P8" i="7"/>
  <c r="O8" i="7"/>
  <c r="M8" i="7"/>
  <c r="L8" i="7"/>
  <c r="P7" i="7"/>
  <c r="O7" i="7"/>
  <c r="M7" i="7"/>
  <c r="L7" i="7"/>
  <c r="P6" i="7"/>
  <c r="O6" i="7"/>
  <c r="M6" i="7"/>
  <c r="L6" i="7"/>
  <c r="P5" i="7"/>
  <c r="O5" i="7"/>
  <c r="M5" i="7"/>
  <c r="L5" i="7"/>
  <c r="P4" i="7"/>
  <c r="O4" i="7"/>
  <c r="M4" i="7"/>
  <c r="L4" i="7"/>
  <c r="P3" i="7"/>
  <c r="O3" i="7"/>
  <c r="M3" i="7"/>
  <c r="L3" i="7"/>
  <c r="P13" i="6"/>
  <c r="O13" i="6"/>
  <c r="R12" i="10" s="1"/>
  <c r="M13" i="6"/>
  <c r="S12" i="9" s="1"/>
  <c r="L13" i="6"/>
  <c r="R12" i="9" s="1"/>
  <c r="P12" i="6"/>
  <c r="S11" i="10" s="1"/>
  <c r="O12" i="6"/>
  <c r="R11" i="10" s="1"/>
  <c r="M12" i="6"/>
  <c r="S11" i="9" s="1"/>
  <c r="L12" i="6"/>
  <c r="R11" i="9" s="1"/>
  <c r="P11" i="6"/>
  <c r="S10" i="10" s="1"/>
  <c r="O11" i="6"/>
  <c r="R10" i="10" s="1"/>
  <c r="M11" i="6"/>
  <c r="L11" i="6"/>
  <c r="P10" i="6"/>
  <c r="S9" i="10" s="1"/>
  <c r="O10" i="6"/>
  <c r="R9" i="10" s="1"/>
  <c r="M10" i="6"/>
  <c r="S9" i="9" s="1"/>
  <c r="L10" i="6"/>
  <c r="R9" i="9" s="1"/>
  <c r="P9" i="6"/>
  <c r="S8" i="10" s="1"/>
  <c r="O9" i="6"/>
  <c r="R8" i="10" s="1"/>
  <c r="M9" i="6"/>
  <c r="S8" i="9" s="1"/>
  <c r="L9" i="6"/>
  <c r="R8" i="9" s="1"/>
  <c r="P8" i="6"/>
  <c r="O8" i="6"/>
  <c r="M8" i="6"/>
  <c r="L8" i="6"/>
  <c r="R7" i="9" s="1"/>
  <c r="P7" i="6"/>
  <c r="S6" i="10" s="1"/>
  <c r="O7" i="6"/>
  <c r="R6" i="10" s="1"/>
  <c r="M7" i="6"/>
  <c r="S6" i="9" s="1"/>
  <c r="L7" i="6"/>
  <c r="R6" i="9" s="1"/>
  <c r="P6" i="6"/>
  <c r="S5" i="10" s="1"/>
  <c r="O6" i="6"/>
  <c r="R5" i="10" s="1"/>
  <c r="M6" i="6"/>
  <c r="S5" i="9" s="1"/>
  <c r="L6" i="6"/>
  <c r="R5" i="9" s="1"/>
  <c r="P5" i="6"/>
  <c r="S4" i="10" s="1"/>
  <c r="O5" i="6"/>
  <c r="R4" i="10" s="1"/>
  <c r="M5" i="6"/>
  <c r="S4" i="9" s="1"/>
  <c r="L5" i="6"/>
  <c r="R4" i="9" s="1"/>
  <c r="P4" i="6"/>
  <c r="S3" i="10" s="1"/>
  <c r="O4" i="6"/>
  <c r="R3" i="10" s="1"/>
  <c r="M4" i="6"/>
  <c r="S3" i="9" s="1"/>
  <c r="L4" i="6"/>
  <c r="R3" i="9" s="1"/>
  <c r="P3" i="6"/>
  <c r="S2" i="10" s="1"/>
  <c r="O3" i="6"/>
  <c r="M3" i="6"/>
  <c r="S2" i="9" s="1"/>
  <c r="L3" i="6"/>
  <c r="R2" i="9" s="1"/>
  <c r="P13" i="5"/>
  <c r="P12" i="10" s="1"/>
  <c r="O13" i="5"/>
  <c r="O12" i="10" s="1"/>
  <c r="M13" i="5"/>
  <c r="P12" i="9" s="1"/>
  <c r="L13" i="5"/>
  <c r="O12" i="9" s="1"/>
  <c r="P12" i="5"/>
  <c r="P11" i="10" s="1"/>
  <c r="O12" i="5"/>
  <c r="O11" i="10" s="1"/>
  <c r="M12" i="5"/>
  <c r="P11" i="9" s="1"/>
  <c r="L12" i="5"/>
  <c r="O11" i="9" s="1"/>
  <c r="P11" i="5"/>
  <c r="P10" i="10" s="1"/>
  <c r="O11" i="5"/>
  <c r="O10" i="10" s="1"/>
  <c r="M11" i="5"/>
  <c r="L11" i="5"/>
  <c r="O10" i="9" s="1"/>
  <c r="P10" i="5"/>
  <c r="P9" i="10" s="1"/>
  <c r="O10" i="5"/>
  <c r="O9" i="10" s="1"/>
  <c r="M10" i="5"/>
  <c r="P9" i="9" s="1"/>
  <c r="L10" i="5"/>
  <c r="O9" i="9" s="1"/>
  <c r="P9" i="5"/>
  <c r="P8" i="10" s="1"/>
  <c r="O9" i="5"/>
  <c r="M9" i="5"/>
  <c r="P8" i="9" s="1"/>
  <c r="L9" i="5"/>
  <c r="O8" i="9" s="1"/>
  <c r="P8" i="5"/>
  <c r="P7" i="10" s="1"/>
  <c r="O8" i="5"/>
  <c r="M8" i="5"/>
  <c r="P7" i="9" s="1"/>
  <c r="L8" i="5"/>
  <c r="O7" i="9" s="1"/>
  <c r="P7" i="5"/>
  <c r="P6" i="10" s="1"/>
  <c r="O7" i="5"/>
  <c r="O6" i="10" s="1"/>
  <c r="M7" i="5"/>
  <c r="L7" i="5"/>
  <c r="P6" i="5"/>
  <c r="P5" i="10" s="1"/>
  <c r="O6" i="5"/>
  <c r="O5" i="10" s="1"/>
  <c r="M6" i="5"/>
  <c r="P5" i="9" s="1"/>
  <c r="L6" i="5"/>
  <c r="O5" i="9" s="1"/>
  <c r="P5" i="5"/>
  <c r="P4" i="10" s="1"/>
  <c r="O5" i="5"/>
  <c r="O4" i="10" s="1"/>
  <c r="M5" i="5"/>
  <c r="P4" i="9" s="1"/>
  <c r="L5" i="5"/>
  <c r="O4" i="9" s="1"/>
  <c r="P4" i="5"/>
  <c r="P3" i="10" s="1"/>
  <c r="O4" i="5"/>
  <c r="O3" i="10" s="1"/>
  <c r="M4" i="5"/>
  <c r="P3" i="9" s="1"/>
  <c r="L4" i="5"/>
  <c r="O3" i="9" s="1"/>
  <c r="P3" i="5"/>
  <c r="P2" i="10" s="1"/>
  <c r="O3" i="5"/>
  <c r="O2" i="10" s="1"/>
  <c r="M3" i="5"/>
  <c r="P2" i="9" s="1"/>
  <c r="L3" i="5"/>
  <c r="O2" i="9" s="1"/>
  <c r="P13" i="4"/>
  <c r="M12" i="10" s="1"/>
  <c r="O13" i="4"/>
  <c r="L12" i="10" s="1"/>
  <c r="M13" i="4"/>
  <c r="L13" i="4"/>
  <c r="P12" i="4"/>
  <c r="M11" i="10" s="1"/>
  <c r="O12" i="4"/>
  <c r="L11" i="10" s="1"/>
  <c r="M12" i="4"/>
  <c r="M11" i="9" s="1"/>
  <c r="L12" i="4"/>
  <c r="L11" i="9" s="1"/>
  <c r="P11" i="4"/>
  <c r="O11" i="4"/>
  <c r="L10" i="10" s="1"/>
  <c r="M11" i="4"/>
  <c r="M10" i="9" s="1"/>
  <c r="L11" i="4"/>
  <c r="L10" i="9" s="1"/>
  <c r="P10" i="4"/>
  <c r="M9" i="10" s="1"/>
  <c r="O10" i="4"/>
  <c r="L9" i="10" s="1"/>
  <c r="M10" i="4"/>
  <c r="L10" i="4"/>
  <c r="P9" i="4"/>
  <c r="M8" i="10" s="1"/>
  <c r="O9" i="4"/>
  <c r="L8" i="10" s="1"/>
  <c r="M9" i="4"/>
  <c r="M8" i="9" s="1"/>
  <c r="L9" i="4"/>
  <c r="L8" i="9" s="1"/>
  <c r="P8" i="4"/>
  <c r="M7" i="10" s="1"/>
  <c r="O8" i="4"/>
  <c r="L7" i="10" s="1"/>
  <c r="M8" i="4"/>
  <c r="M7" i="9" s="1"/>
  <c r="L8" i="4"/>
  <c r="L7" i="9" s="1"/>
  <c r="P7" i="4"/>
  <c r="M6" i="10" s="1"/>
  <c r="O7" i="4"/>
  <c r="L6" i="10" s="1"/>
  <c r="M7" i="4"/>
  <c r="M6" i="9" s="1"/>
  <c r="L7" i="4"/>
  <c r="L6" i="9" s="1"/>
  <c r="P6" i="4"/>
  <c r="M5" i="10" s="1"/>
  <c r="O6" i="4"/>
  <c r="M6" i="4"/>
  <c r="M5" i="9" s="1"/>
  <c r="L6" i="4"/>
  <c r="L5" i="9" s="1"/>
  <c r="P5" i="4"/>
  <c r="M4" i="10" s="1"/>
  <c r="O5" i="4"/>
  <c r="L4" i="10" s="1"/>
  <c r="M5" i="4"/>
  <c r="M4" i="9" s="1"/>
  <c r="L5" i="4"/>
  <c r="L4" i="9" s="1"/>
  <c r="P4" i="4"/>
  <c r="M3" i="10" s="1"/>
  <c r="O4" i="4"/>
  <c r="L3" i="10" s="1"/>
  <c r="M4" i="4"/>
  <c r="M3" i="9" s="1"/>
  <c r="L4" i="4"/>
  <c r="L3" i="9" s="1"/>
  <c r="P3" i="4"/>
  <c r="M2" i="10" s="1"/>
  <c r="O3" i="4"/>
  <c r="L2" i="10" s="1"/>
  <c r="M3" i="4"/>
  <c r="L3" i="4"/>
  <c r="P13" i="3"/>
  <c r="J12" i="10" s="1"/>
  <c r="O13" i="3"/>
  <c r="I12" i="10" s="1"/>
  <c r="M13" i="3"/>
  <c r="J12" i="9" s="1"/>
  <c r="L13" i="3"/>
  <c r="I12" i="9" s="1"/>
  <c r="P12" i="3"/>
  <c r="J11" i="10" s="1"/>
  <c r="O12" i="3"/>
  <c r="I11" i="10" s="1"/>
  <c r="M12" i="3"/>
  <c r="J11" i="9" s="1"/>
  <c r="L12" i="3"/>
  <c r="I11" i="9" s="1"/>
  <c r="P11" i="3"/>
  <c r="J10" i="10" s="1"/>
  <c r="O11" i="3"/>
  <c r="I10" i="10" s="1"/>
  <c r="M11" i="3"/>
  <c r="J10" i="9" s="1"/>
  <c r="L11" i="3"/>
  <c r="I10" i="9" s="1"/>
  <c r="P10" i="3"/>
  <c r="J9" i="10" s="1"/>
  <c r="O10" i="3"/>
  <c r="M10" i="3"/>
  <c r="J9" i="9" s="1"/>
  <c r="L10" i="3"/>
  <c r="I9" i="9" s="1"/>
  <c r="P9" i="3"/>
  <c r="J8" i="10" s="1"/>
  <c r="O9" i="3"/>
  <c r="I8" i="10" s="1"/>
  <c r="M9" i="3"/>
  <c r="L9" i="3"/>
  <c r="I8" i="9" s="1"/>
  <c r="P8" i="3"/>
  <c r="O8" i="3"/>
  <c r="I7" i="10" s="1"/>
  <c r="M8" i="3"/>
  <c r="J7" i="9" s="1"/>
  <c r="L8" i="3"/>
  <c r="I7" i="9" s="1"/>
  <c r="P7" i="3"/>
  <c r="O7" i="3"/>
  <c r="M7" i="3"/>
  <c r="J6" i="9" s="1"/>
  <c r="L7" i="3"/>
  <c r="I6" i="9" s="1"/>
  <c r="P6" i="3"/>
  <c r="J5" i="10" s="1"/>
  <c r="O6" i="3"/>
  <c r="I5" i="10" s="1"/>
  <c r="M6" i="3"/>
  <c r="L6" i="3"/>
  <c r="P5" i="3"/>
  <c r="O5" i="3"/>
  <c r="I4" i="10" s="1"/>
  <c r="M5" i="3"/>
  <c r="J4" i="9" s="1"/>
  <c r="L5" i="3"/>
  <c r="I4" i="9" s="1"/>
  <c r="P4" i="3"/>
  <c r="J3" i="10" s="1"/>
  <c r="O4" i="3"/>
  <c r="I3" i="10" s="1"/>
  <c r="M4" i="3"/>
  <c r="J3" i="9" s="1"/>
  <c r="L4" i="3"/>
  <c r="I3" i="9" s="1"/>
  <c r="P3" i="3"/>
  <c r="J2" i="10" s="1"/>
  <c r="O3" i="3"/>
  <c r="I2" i="10" s="1"/>
  <c r="M3" i="3"/>
  <c r="J2" i="9" s="1"/>
  <c r="L3" i="3"/>
  <c r="I2" i="9" s="1"/>
  <c r="P13" i="2"/>
  <c r="O13" i="2"/>
  <c r="F12" i="10" s="1"/>
  <c r="M13" i="2"/>
  <c r="G12" i="9" s="1"/>
  <c r="L13" i="2"/>
  <c r="F12" i="9" s="1"/>
  <c r="P12" i="2"/>
  <c r="O12" i="2"/>
  <c r="F11" i="10" s="1"/>
  <c r="M12" i="2"/>
  <c r="L12" i="2"/>
  <c r="F11" i="9" s="1"/>
  <c r="P11" i="2"/>
  <c r="G10" i="10" s="1"/>
  <c r="O11" i="2"/>
  <c r="F10" i="10" s="1"/>
  <c r="M11" i="2"/>
  <c r="G10" i="9" s="1"/>
  <c r="L11" i="2"/>
  <c r="F10" i="9" s="1"/>
  <c r="P10" i="2"/>
  <c r="G9" i="10" s="1"/>
  <c r="O10" i="2"/>
  <c r="F9" i="10" s="1"/>
  <c r="M10" i="2"/>
  <c r="G9" i="9" s="1"/>
  <c r="L10" i="2"/>
  <c r="F9" i="9" s="1"/>
  <c r="P9" i="2"/>
  <c r="G8" i="10" s="1"/>
  <c r="O9" i="2"/>
  <c r="F8" i="10" s="1"/>
  <c r="M9" i="2"/>
  <c r="G8" i="9" s="1"/>
  <c r="L9" i="2"/>
  <c r="F8" i="9" s="1"/>
  <c r="P8" i="2"/>
  <c r="G7" i="10" s="1"/>
  <c r="O8" i="2"/>
  <c r="F7" i="10" s="1"/>
  <c r="M8" i="2"/>
  <c r="G7" i="9" s="1"/>
  <c r="L8" i="2"/>
  <c r="F7" i="9" s="1"/>
  <c r="P7" i="2"/>
  <c r="G6" i="10" s="1"/>
  <c r="O7" i="2"/>
  <c r="F6" i="10" s="1"/>
  <c r="M7" i="2"/>
  <c r="L7" i="2"/>
  <c r="F6" i="9" s="1"/>
  <c r="P6" i="2"/>
  <c r="G5" i="10" s="1"/>
  <c r="O6" i="2"/>
  <c r="F5" i="10" s="1"/>
  <c r="M6" i="2"/>
  <c r="G5" i="9" s="1"/>
  <c r="L6" i="2"/>
  <c r="F5" i="9" s="1"/>
  <c r="P5" i="2"/>
  <c r="G4" i="10" s="1"/>
  <c r="O5" i="2"/>
  <c r="F4" i="10" s="1"/>
  <c r="M5" i="2"/>
  <c r="G4" i="9" s="1"/>
  <c r="L5" i="2"/>
  <c r="F4" i="9" s="1"/>
  <c r="P4" i="2"/>
  <c r="G3" i="10" s="1"/>
  <c r="O4" i="2"/>
  <c r="F3" i="10" s="1"/>
  <c r="M4" i="2"/>
  <c r="G3" i="9" s="1"/>
  <c r="L4" i="2"/>
  <c r="F3" i="9" s="1"/>
  <c r="P3" i="2"/>
  <c r="O3" i="2"/>
  <c r="F2" i="10" s="1"/>
  <c r="M3" i="2"/>
  <c r="L3" i="2"/>
  <c r="F2" i="9" s="1"/>
  <c r="P4" i="1"/>
  <c r="P5" i="1"/>
  <c r="D4" i="10" s="1"/>
  <c r="P6" i="1"/>
  <c r="D5" i="10" s="1"/>
  <c r="P7" i="1"/>
  <c r="D6" i="10" s="1"/>
  <c r="P8" i="1"/>
  <c r="D7" i="10" s="1"/>
  <c r="P9" i="1"/>
  <c r="D8" i="10" s="1"/>
  <c r="P10" i="1"/>
  <c r="D9" i="10" s="1"/>
  <c r="P11" i="1"/>
  <c r="D10" i="10" s="1"/>
  <c r="P12" i="1"/>
  <c r="D11" i="10" s="1"/>
  <c r="P13" i="1"/>
  <c r="D12" i="10" s="1"/>
  <c r="O4" i="1"/>
  <c r="O5" i="1"/>
  <c r="C4" i="10" s="1"/>
  <c r="O6" i="1"/>
  <c r="C5" i="10" s="1"/>
  <c r="O7" i="1"/>
  <c r="C6" i="10" s="1"/>
  <c r="O8" i="1"/>
  <c r="C7" i="10" s="1"/>
  <c r="O9" i="1"/>
  <c r="C8" i="10" s="1"/>
  <c r="O10" i="1"/>
  <c r="C9" i="10" s="1"/>
  <c r="O11" i="1"/>
  <c r="C10" i="10" s="1"/>
  <c r="O12" i="1"/>
  <c r="C11" i="10" s="1"/>
  <c r="O13" i="1"/>
  <c r="C12" i="10" s="1"/>
  <c r="M4" i="1"/>
  <c r="D3" i="9" s="1"/>
  <c r="M5" i="1"/>
  <c r="D4" i="9" s="1"/>
  <c r="M6" i="1"/>
  <c r="D5" i="9" s="1"/>
  <c r="M7" i="1"/>
  <c r="D6" i="9" s="1"/>
  <c r="M8" i="1"/>
  <c r="D7" i="9" s="1"/>
  <c r="M9" i="1"/>
  <c r="D8" i="9" s="1"/>
  <c r="M10" i="1"/>
  <c r="D9" i="9" s="1"/>
  <c r="M11" i="1"/>
  <c r="D10" i="9" s="1"/>
  <c r="M12" i="1"/>
  <c r="D11" i="9" s="1"/>
  <c r="M13" i="1"/>
  <c r="D12" i="9" s="1"/>
  <c r="L4" i="1"/>
  <c r="L5" i="1"/>
  <c r="L6" i="1"/>
  <c r="C5" i="9" s="1"/>
  <c r="L7" i="1"/>
  <c r="C6" i="9" s="1"/>
  <c r="L8" i="1"/>
  <c r="C7" i="9" s="1"/>
  <c r="L9" i="1"/>
  <c r="C8" i="9" s="1"/>
  <c r="L10" i="1"/>
  <c r="C9" i="9" s="1"/>
  <c r="L11" i="1"/>
  <c r="C10" i="9" s="1"/>
  <c r="L12" i="1"/>
  <c r="C11" i="9" s="1"/>
  <c r="L13" i="1"/>
  <c r="C12" i="9" s="1"/>
  <c r="X1" i="9"/>
  <c r="Y1" i="9"/>
  <c r="X2" i="9"/>
  <c r="X10" i="9"/>
  <c r="U1" i="9"/>
  <c r="V1" i="9"/>
  <c r="R1" i="9"/>
  <c r="S1" i="9"/>
  <c r="S7" i="9"/>
  <c r="R10" i="9"/>
  <c r="S10" i="9"/>
  <c r="O1" i="9"/>
  <c r="P1" i="9"/>
  <c r="O6" i="9"/>
  <c r="P6" i="9"/>
  <c r="P10" i="9"/>
  <c r="L1" i="9"/>
  <c r="M1" i="9"/>
  <c r="L2" i="9"/>
  <c r="M2" i="9"/>
  <c r="L9" i="9"/>
  <c r="M9" i="9"/>
  <c r="L12" i="9"/>
  <c r="M12" i="9"/>
  <c r="I1" i="9"/>
  <c r="J1" i="9"/>
  <c r="I5" i="9"/>
  <c r="J5" i="9"/>
  <c r="J8" i="9"/>
  <c r="F1" i="9"/>
  <c r="G1" i="9"/>
  <c r="G2" i="9"/>
  <c r="G6" i="9"/>
  <c r="G11" i="9"/>
  <c r="C1" i="9"/>
  <c r="D1" i="9"/>
  <c r="C3" i="9"/>
  <c r="C4" i="9"/>
  <c r="P3" i="1"/>
  <c r="O3" i="1"/>
  <c r="L3" i="1"/>
  <c r="C2" i="9" s="1"/>
  <c r="M3" i="1"/>
  <c r="D2" i="9" s="1"/>
</calcChain>
</file>

<file path=xl/sharedStrings.xml><?xml version="1.0" encoding="utf-8"?>
<sst xmlns="http://schemas.openxmlformats.org/spreadsheetml/2006/main" count="216" uniqueCount="37">
  <si>
    <t>Angular frequency</t>
  </si>
  <si>
    <t>rad/s</t>
  </si>
  <si>
    <t>Storage modulus</t>
  </si>
  <si>
    <t>Loss modulus</t>
  </si>
  <si>
    <t>MPa</t>
  </si>
  <si>
    <t>WT Parafilm- average G'</t>
  </si>
  <si>
    <t>WT Parafilm- average G''</t>
  </si>
  <si>
    <t>WT Parafilm- SD G'</t>
  </si>
  <si>
    <t>WT Parafilm- SD G''</t>
  </si>
  <si>
    <t>WT Parafilm+ average G'</t>
  </si>
  <si>
    <t>WT Parafilm+ average G''</t>
  </si>
  <si>
    <t>WT Parafilm+ SD G'</t>
  </si>
  <si>
    <t>WT Parafilm+ SD G''</t>
  </si>
  <si>
    <t>Spore- Parafilm- average G'</t>
  </si>
  <si>
    <t>Spore- Parafilm- average G''</t>
  </si>
  <si>
    <t>Spore- Parafilm- SD G'</t>
  </si>
  <si>
    <t>Spore- Parafilm- SD G''</t>
  </si>
  <si>
    <t>Spore- Parafilm+ average G'</t>
  </si>
  <si>
    <t>Spore- Parafilm+ average G''</t>
  </si>
  <si>
    <t>Spore- Parafilm+ SD G'</t>
  </si>
  <si>
    <t>Spore- Parafilm+ SD G''</t>
  </si>
  <si>
    <t>PGA- Parafilm- average G'</t>
  </si>
  <si>
    <t>PGA- Parafilm- average G''</t>
  </si>
  <si>
    <t>PGA- Parafilm- SD G'</t>
  </si>
  <si>
    <t>PGA- Parafilm- SD G''</t>
  </si>
  <si>
    <t>PGA- Parafilm+ average G'</t>
  </si>
  <si>
    <t>PGA- Parafilm+ average G''</t>
  </si>
  <si>
    <t>PGA- Parafilm+ SD G'</t>
  </si>
  <si>
    <t>PGA- Parafilm+ SD G''</t>
  </si>
  <si>
    <t>EPS- Parafilm- average G'</t>
  </si>
  <si>
    <t>EPS- Parafilm- average G''</t>
  </si>
  <si>
    <t>EPS- Parafilm- SD G'</t>
  </si>
  <si>
    <t>EPS- Parafilm- SD G''</t>
  </si>
  <si>
    <t>EPS- Parafilm+ average G'</t>
  </si>
  <si>
    <t>EPS- Parafilm+ average G''</t>
  </si>
  <si>
    <t>EPS- Parafilm+ SD G'</t>
  </si>
  <si>
    <t>EPS- Parafilm+ SD G''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</si>
</sst>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parafilm- 24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parafilm- 24 hpi'!$C$3:$C$13</c:f>
              <c:numCache>
                <c:formatCode>0.00E+00</c:formatCode>
                <c:ptCount val="11"/>
                <c:pt idx="0">
                  <c:v>3.6002899999999999E-4</c:v>
                </c:pt>
                <c:pt idx="1">
                  <c:v>3.8757800000000002E-4</c:v>
                </c:pt>
                <c:pt idx="2">
                  <c:v>4.1304900000000002E-4</c:v>
                </c:pt>
                <c:pt idx="3">
                  <c:v>4.3902500000000001E-4</c:v>
                </c:pt>
                <c:pt idx="4">
                  <c:v>4.65394E-4</c:v>
                </c:pt>
                <c:pt idx="5">
                  <c:v>4.9285099999999999E-4</c:v>
                </c:pt>
                <c:pt idx="6">
                  <c:v>5.2167100000000003E-4</c:v>
                </c:pt>
                <c:pt idx="7">
                  <c:v>5.5175700000000005E-4</c:v>
                </c:pt>
                <c:pt idx="8">
                  <c:v>5.8609899999999997E-4</c:v>
                </c:pt>
                <c:pt idx="9">
                  <c:v>6.2602600000000001E-4</c:v>
                </c:pt>
                <c:pt idx="10">
                  <c:v>6.6939799999999998E-4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3-413E-87DC-C2FECA732D53}"/>
            </c:ext>
          </c:extLst>
        </c:ser>
        <c:ser>
          <c:idx val="1"/>
          <c:order val="1"/>
          <c:tx>
            <c:strRef>
              <c:f>'1233 parafilm- 24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parafilm- 24 hpi'!$D$3:$D$13</c:f>
              <c:numCache>
                <c:formatCode>0.00E+00</c:formatCode>
                <c:ptCount val="11"/>
                <c:pt idx="0">
                  <c:v>9.2107299999999998E-5</c:v>
                </c:pt>
                <c:pt idx="1">
                  <c:v>9.1649499999999997E-5</c:v>
                </c:pt>
                <c:pt idx="2">
                  <c:v>9.3071600000000005E-5</c:v>
                </c:pt>
                <c:pt idx="3">
                  <c:v>9.4837699999999995E-5</c:v>
                </c:pt>
                <c:pt idx="4">
                  <c:v>9.7055199999999999E-5</c:v>
                </c:pt>
                <c:pt idx="5">
                  <c:v>1.00758E-4</c:v>
                </c:pt>
                <c:pt idx="6">
                  <c:v>1.05537E-4</c:v>
                </c:pt>
                <c:pt idx="7">
                  <c:v>1.1149099999999999E-4</c:v>
                </c:pt>
                <c:pt idx="8">
                  <c:v>1.19399E-4</c:v>
                </c:pt>
                <c:pt idx="9">
                  <c:v>1.30402E-4</c:v>
                </c:pt>
                <c:pt idx="10">
                  <c:v>1.4578099999999999E-4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3-413E-87DC-C2FECA732D53}"/>
            </c:ext>
          </c:extLst>
        </c:ser>
        <c:ser>
          <c:idx val="2"/>
          <c:order val="2"/>
          <c:tx>
            <c:strRef>
              <c:f>'1233 parafilm- 24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parafilm- 24 hpi'!$F$3:$F$13</c:f>
              <c:numCache>
                <c:formatCode>0.00E+00</c:formatCode>
                <c:ptCount val="11"/>
                <c:pt idx="0">
                  <c:v>8.8483799999999999E-4</c:v>
                </c:pt>
                <c:pt idx="1">
                  <c:v>9.3427899999999999E-4</c:v>
                </c:pt>
                <c:pt idx="2">
                  <c:v>9.8272799999999999E-4</c:v>
                </c:pt>
                <c:pt idx="3">
                  <c:v>1.0297699999999999E-3</c:v>
                </c:pt>
                <c:pt idx="4">
                  <c:v>1.0793199999999999E-3</c:v>
                </c:pt>
                <c:pt idx="5">
                  <c:v>1.1244899999999999E-3</c:v>
                </c:pt>
                <c:pt idx="6">
                  <c:v>1.1706399999999999E-3</c:v>
                </c:pt>
                <c:pt idx="7">
                  <c:v>1.21729E-3</c:v>
                </c:pt>
                <c:pt idx="8">
                  <c:v>1.2645899999999999E-3</c:v>
                </c:pt>
                <c:pt idx="9">
                  <c:v>1.31515E-3</c:v>
                </c:pt>
                <c:pt idx="10">
                  <c:v>1.34877E-3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93-413E-87DC-C2FECA732D53}"/>
            </c:ext>
          </c:extLst>
        </c:ser>
        <c:ser>
          <c:idx val="3"/>
          <c:order val="3"/>
          <c:tx>
            <c:strRef>
              <c:f>'1233 parafilm- 24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parafilm- 24 hpi'!$G$3:$G$13</c:f>
              <c:numCache>
                <c:formatCode>0.00E+00</c:formatCode>
                <c:ptCount val="11"/>
                <c:pt idx="0">
                  <c:v>1.76737E-4</c:v>
                </c:pt>
                <c:pt idx="1">
                  <c:v>1.70144E-4</c:v>
                </c:pt>
                <c:pt idx="2">
                  <c:v>1.68722E-4</c:v>
                </c:pt>
                <c:pt idx="3">
                  <c:v>1.6750900000000001E-4</c:v>
                </c:pt>
                <c:pt idx="4">
                  <c:v>1.6908400000000001E-4</c:v>
                </c:pt>
                <c:pt idx="5">
                  <c:v>1.7430500000000001E-4</c:v>
                </c:pt>
                <c:pt idx="6">
                  <c:v>1.8070900000000001E-4</c:v>
                </c:pt>
                <c:pt idx="7">
                  <c:v>1.9062500000000001E-4</c:v>
                </c:pt>
                <c:pt idx="8">
                  <c:v>2.0445899999999999E-4</c:v>
                </c:pt>
                <c:pt idx="9">
                  <c:v>2.2299E-4</c:v>
                </c:pt>
                <c:pt idx="10">
                  <c:v>2.5246200000000001E-4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93-413E-87DC-C2FECA732D53}"/>
            </c:ext>
          </c:extLst>
        </c:ser>
        <c:ser>
          <c:idx val="4"/>
          <c:order val="4"/>
          <c:tx>
            <c:strRef>
              <c:f>'1233 parafilm- 24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parafilm- 24 hpi'!$I$3:$I$13</c:f>
              <c:numCache>
                <c:formatCode>0.00E+00</c:formatCode>
                <c:ptCount val="11"/>
                <c:pt idx="0">
                  <c:v>1.0457999999999999E-3</c:v>
                </c:pt>
                <c:pt idx="1">
                  <c:v>1.11396E-3</c:v>
                </c:pt>
                <c:pt idx="2">
                  <c:v>1.17998E-3</c:v>
                </c:pt>
                <c:pt idx="3">
                  <c:v>1.24642E-3</c:v>
                </c:pt>
                <c:pt idx="4">
                  <c:v>1.3089600000000001E-3</c:v>
                </c:pt>
                <c:pt idx="5">
                  <c:v>1.3711699999999999E-3</c:v>
                </c:pt>
                <c:pt idx="6">
                  <c:v>1.43296E-3</c:v>
                </c:pt>
                <c:pt idx="7">
                  <c:v>1.4943999999999999E-3</c:v>
                </c:pt>
                <c:pt idx="8">
                  <c:v>1.5556400000000001E-3</c:v>
                </c:pt>
                <c:pt idx="9">
                  <c:v>1.61962E-3</c:v>
                </c:pt>
                <c:pt idx="10">
                  <c:v>1.6757600000000001E-3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3-413E-87DC-C2FECA732D53}"/>
            </c:ext>
          </c:extLst>
        </c:ser>
        <c:ser>
          <c:idx val="5"/>
          <c:order val="5"/>
          <c:tx>
            <c:strRef>
              <c:f>'1233 parafilm- 24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parafilm- 24 hpi'!$J$3:$J$13</c:f>
              <c:numCache>
                <c:formatCode>0.00E+00</c:formatCode>
                <c:ptCount val="11"/>
                <c:pt idx="0">
                  <c:v>2.23067E-4</c:v>
                </c:pt>
                <c:pt idx="1">
                  <c:v>2.18719E-4</c:v>
                </c:pt>
                <c:pt idx="2">
                  <c:v>2.1655200000000001E-4</c:v>
                </c:pt>
                <c:pt idx="3">
                  <c:v>2.1635099999999999E-4</c:v>
                </c:pt>
                <c:pt idx="4">
                  <c:v>2.1349499999999999E-4</c:v>
                </c:pt>
                <c:pt idx="5">
                  <c:v>2.18447E-4</c:v>
                </c:pt>
                <c:pt idx="6">
                  <c:v>2.2417499999999999E-4</c:v>
                </c:pt>
                <c:pt idx="7">
                  <c:v>2.342E-4</c:v>
                </c:pt>
                <c:pt idx="8">
                  <c:v>2.49597E-4</c:v>
                </c:pt>
                <c:pt idx="9">
                  <c:v>2.7129900000000002E-4</c:v>
                </c:pt>
                <c:pt idx="10">
                  <c:v>3.0544799999999999E-4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93-413E-87DC-C2FECA732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90096"/>
        <c:axId val="887683856"/>
      </c:scatterChart>
      <c:valAx>
        <c:axId val="887690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83856"/>
        <c:crosses val="autoZero"/>
        <c:crossBetween val="midCat"/>
      </c:valAx>
      <c:valAx>
        <c:axId val="887683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9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parafilm+ 24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parafilm+ 24 hpi'!$C$3:$C$13</c:f>
              <c:numCache>
                <c:formatCode>0.00E+00</c:formatCode>
                <c:ptCount val="11"/>
                <c:pt idx="0">
                  <c:v>4.3668599999999999E-4</c:v>
                </c:pt>
                <c:pt idx="1">
                  <c:v>4.7414199999999999E-4</c:v>
                </c:pt>
                <c:pt idx="2">
                  <c:v>5.0880100000000002E-4</c:v>
                </c:pt>
                <c:pt idx="3">
                  <c:v>5.4160299999999998E-4</c:v>
                </c:pt>
                <c:pt idx="4">
                  <c:v>5.7478399999999995E-4</c:v>
                </c:pt>
                <c:pt idx="5">
                  <c:v>6.0977600000000002E-4</c:v>
                </c:pt>
                <c:pt idx="6">
                  <c:v>6.4531099999999997E-4</c:v>
                </c:pt>
                <c:pt idx="7">
                  <c:v>6.8434400000000003E-4</c:v>
                </c:pt>
                <c:pt idx="8">
                  <c:v>7.3036200000000003E-4</c:v>
                </c:pt>
                <c:pt idx="9">
                  <c:v>7.9029299999999996E-4</c:v>
                </c:pt>
                <c:pt idx="10">
                  <c:v>8.7056000000000004E-4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0-4D13-8CC6-B449F821C7FF}"/>
            </c:ext>
          </c:extLst>
        </c:ser>
        <c:ser>
          <c:idx val="1"/>
          <c:order val="1"/>
          <c:tx>
            <c:strRef>
              <c:f>'1233 parafilm+ 24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parafilm+ 24 hpi'!$D$3:$D$13</c:f>
              <c:numCache>
                <c:formatCode>0.00E+00</c:formatCode>
                <c:ptCount val="11"/>
                <c:pt idx="0">
                  <c:v>1.12265E-4</c:v>
                </c:pt>
                <c:pt idx="1">
                  <c:v>1.1293700000000001E-4</c:v>
                </c:pt>
                <c:pt idx="2">
                  <c:v>1.1078699999999999E-4</c:v>
                </c:pt>
                <c:pt idx="3">
                  <c:v>1.1319699999999999E-4</c:v>
                </c:pt>
                <c:pt idx="4">
                  <c:v>1.15809E-4</c:v>
                </c:pt>
                <c:pt idx="5">
                  <c:v>1.18427E-4</c:v>
                </c:pt>
                <c:pt idx="6">
                  <c:v>1.23559E-4</c:v>
                </c:pt>
                <c:pt idx="7">
                  <c:v>1.2998600000000001E-4</c:v>
                </c:pt>
                <c:pt idx="8">
                  <c:v>1.3853300000000001E-4</c:v>
                </c:pt>
                <c:pt idx="9">
                  <c:v>1.50762E-4</c:v>
                </c:pt>
                <c:pt idx="10">
                  <c:v>1.67897E-4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40-4D13-8CC6-B449F821C7FF}"/>
            </c:ext>
          </c:extLst>
        </c:ser>
        <c:ser>
          <c:idx val="2"/>
          <c:order val="2"/>
          <c:tx>
            <c:strRef>
              <c:f>'1233 parafilm+ 24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parafilm+ 24 hpi'!$F$3:$F$13</c:f>
              <c:numCache>
                <c:formatCode>0.00E+00</c:formatCode>
                <c:ptCount val="11"/>
                <c:pt idx="0">
                  <c:v>1.4317799999999999E-3</c:v>
                </c:pt>
                <c:pt idx="1">
                  <c:v>1.51549E-3</c:v>
                </c:pt>
                <c:pt idx="2">
                  <c:v>1.58767E-3</c:v>
                </c:pt>
                <c:pt idx="3">
                  <c:v>1.6618500000000001E-3</c:v>
                </c:pt>
                <c:pt idx="4">
                  <c:v>1.7362199999999999E-3</c:v>
                </c:pt>
                <c:pt idx="5">
                  <c:v>1.80985E-3</c:v>
                </c:pt>
                <c:pt idx="6">
                  <c:v>1.88568E-3</c:v>
                </c:pt>
                <c:pt idx="7">
                  <c:v>1.96605E-3</c:v>
                </c:pt>
                <c:pt idx="8">
                  <c:v>2.0530399999999999E-3</c:v>
                </c:pt>
                <c:pt idx="9">
                  <c:v>2.15839E-3</c:v>
                </c:pt>
                <c:pt idx="10">
                  <c:v>2.3040399999999998E-3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40-4D13-8CC6-B449F821C7FF}"/>
            </c:ext>
          </c:extLst>
        </c:ser>
        <c:ser>
          <c:idx val="3"/>
          <c:order val="3"/>
          <c:tx>
            <c:strRef>
              <c:f>'1233 parafilm+ 24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parafilm+ 24 hpi'!$G$3:$G$13</c:f>
              <c:numCache>
                <c:formatCode>0.00E+00</c:formatCode>
                <c:ptCount val="11"/>
                <c:pt idx="0">
                  <c:v>2.56359E-4</c:v>
                </c:pt>
                <c:pt idx="1">
                  <c:v>2.4825699999999999E-4</c:v>
                </c:pt>
                <c:pt idx="2">
                  <c:v>2.39609E-4</c:v>
                </c:pt>
                <c:pt idx="3">
                  <c:v>2.3651100000000001E-4</c:v>
                </c:pt>
                <c:pt idx="4">
                  <c:v>2.3704100000000001E-4</c:v>
                </c:pt>
                <c:pt idx="5">
                  <c:v>2.4300100000000001E-4</c:v>
                </c:pt>
                <c:pt idx="6">
                  <c:v>2.5263800000000002E-4</c:v>
                </c:pt>
                <c:pt idx="7">
                  <c:v>2.6672300000000001E-4</c:v>
                </c:pt>
                <c:pt idx="8">
                  <c:v>2.87459E-4</c:v>
                </c:pt>
                <c:pt idx="9">
                  <c:v>3.1754100000000001E-4</c:v>
                </c:pt>
                <c:pt idx="10">
                  <c:v>3.5917700000000002E-4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40-4D13-8CC6-B449F821C7FF}"/>
            </c:ext>
          </c:extLst>
        </c:ser>
        <c:ser>
          <c:idx val="4"/>
          <c:order val="4"/>
          <c:tx>
            <c:strRef>
              <c:f>'1233 parafilm+ 24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parafilm+ 24 hpi'!$I$3:$I$13</c:f>
              <c:numCache>
                <c:formatCode>0.00E+00</c:formatCode>
                <c:ptCount val="11"/>
                <c:pt idx="0">
                  <c:v>4.25642E-4</c:v>
                </c:pt>
                <c:pt idx="1">
                  <c:v>4.6285800000000002E-4</c:v>
                </c:pt>
                <c:pt idx="2">
                  <c:v>4.9949599999999999E-4</c:v>
                </c:pt>
                <c:pt idx="3">
                  <c:v>5.3169399999999998E-4</c:v>
                </c:pt>
                <c:pt idx="4">
                  <c:v>5.69616E-4</c:v>
                </c:pt>
                <c:pt idx="5">
                  <c:v>6.0745199999999997E-4</c:v>
                </c:pt>
                <c:pt idx="6">
                  <c:v>6.46814E-4</c:v>
                </c:pt>
                <c:pt idx="7">
                  <c:v>6.89341E-4</c:v>
                </c:pt>
                <c:pt idx="8">
                  <c:v>7.3926799999999996E-4</c:v>
                </c:pt>
                <c:pt idx="9">
                  <c:v>8.0469899999999997E-4</c:v>
                </c:pt>
                <c:pt idx="10">
                  <c:v>8.9570199999999996E-4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40-4D13-8CC6-B449F821C7FF}"/>
            </c:ext>
          </c:extLst>
        </c:ser>
        <c:ser>
          <c:idx val="5"/>
          <c:order val="5"/>
          <c:tx>
            <c:strRef>
              <c:f>'1233 parafilm+ 24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parafilm+ 24 hpi'!$J$3:$J$13</c:f>
              <c:numCache>
                <c:formatCode>0.00E+00</c:formatCode>
                <c:ptCount val="11"/>
                <c:pt idx="0">
                  <c:v>1.2741200000000001E-4</c:v>
                </c:pt>
                <c:pt idx="1">
                  <c:v>1.2761200000000001E-4</c:v>
                </c:pt>
                <c:pt idx="2">
                  <c:v>1.2608000000000001E-4</c:v>
                </c:pt>
                <c:pt idx="3">
                  <c:v>1.31669E-4</c:v>
                </c:pt>
                <c:pt idx="4">
                  <c:v>1.33141E-4</c:v>
                </c:pt>
                <c:pt idx="5">
                  <c:v>1.35943E-4</c:v>
                </c:pt>
                <c:pt idx="6">
                  <c:v>1.3967800000000001E-4</c:v>
                </c:pt>
                <c:pt idx="7">
                  <c:v>1.45838E-4</c:v>
                </c:pt>
                <c:pt idx="8">
                  <c:v>1.5345499999999999E-4</c:v>
                </c:pt>
                <c:pt idx="9">
                  <c:v>1.6321599999999999E-4</c:v>
                </c:pt>
                <c:pt idx="10">
                  <c:v>1.7720299999999999E-4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40-4D13-8CC6-B449F821C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42336"/>
        <c:axId val="1012340416"/>
      </c:scatterChart>
      <c:valAx>
        <c:axId val="1012342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40416"/>
        <c:crosses val="autoZero"/>
        <c:crossBetween val="midCat"/>
      </c:valAx>
      <c:valAx>
        <c:axId val="10123404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4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parafilm- 24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parafilm- 24 hpi'!$C$3:$C$13</c:f>
              <c:numCache>
                <c:formatCode>0.00E+00</c:formatCode>
                <c:ptCount val="11"/>
                <c:pt idx="0">
                  <c:v>4.2608799999999999E-3</c:v>
                </c:pt>
                <c:pt idx="1">
                  <c:v>4.4149200000000001E-3</c:v>
                </c:pt>
                <c:pt idx="2">
                  <c:v>4.5288699999999999E-3</c:v>
                </c:pt>
                <c:pt idx="3">
                  <c:v>4.6335899999999999E-3</c:v>
                </c:pt>
                <c:pt idx="4">
                  <c:v>4.7336000000000001E-3</c:v>
                </c:pt>
                <c:pt idx="5">
                  <c:v>4.82884E-3</c:v>
                </c:pt>
                <c:pt idx="6">
                  <c:v>4.9261599999999997E-3</c:v>
                </c:pt>
                <c:pt idx="7">
                  <c:v>5.0250299999999998E-3</c:v>
                </c:pt>
                <c:pt idx="8">
                  <c:v>5.1235200000000003E-3</c:v>
                </c:pt>
                <c:pt idx="9">
                  <c:v>5.2247500000000002E-3</c:v>
                </c:pt>
                <c:pt idx="10">
                  <c:v>5.3280699999999999E-3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9-437E-8AD6-D33513270652}"/>
            </c:ext>
          </c:extLst>
        </c:ser>
        <c:ser>
          <c:idx val="1"/>
          <c:order val="1"/>
          <c:tx>
            <c:strRef>
              <c:f>'1234 parafilm- 24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parafilm- 24 hpi'!$D$3:$D$13</c:f>
              <c:numCache>
                <c:formatCode>0.00E+00</c:formatCode>
                <c:ptCount val="11"/>
                <c:pt idx="0">
                  <c:v>6.3863099999999996E-4</c:v>
                </c:pt>
                <c:pt idx="1">
                  <c:v>5.3254699999999997E-4</c:v>
                </c:pt>
                <c:pt idx="2">
                  <c:v>4.8150200000000003E-4</c:v>
                </c:pt>
                <c:pt idx="3">
                  <c:v>4.4282700000000002E-4</c:v>
                </c:pt>
                <c:pt idx="4">
                  <c:v>4.2219399999999998E-4</c:v>
                </c:pt>
                <c:pt idx="5">
                  <c:v>4.1232299999999998E-4</c:v>
                </c:pt>
                <c:pt idx="6">
                  <c:v>4.1098600000000001E-4</c:v>
                </c:pt>
                <c:pt idx="7">
                  <c:v>4.2371200000000003E-4</c:v>
                </c:pt>
                <c:pt idx="8">
                  <c:v>4.4549599999999998E-4</c:v>
                </c:pt>
                <c:pt idx="9">
                  <c:v>4.8152399999999999E-4</c:v>
                </c:pt>
                <c:pt idx="10">
                  <c:v>5.3628400000000004E-4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9-437E-8AD6-D33513270652}"/>
            </c:ext>
          </c:extLst>
        </c:ser>
        <c:ser>
          <c:idx val="2"/>
          <c:order val="2"/>
          <c:tx>
            <c:strRef>
              <c:f>'1234 parafilm- 24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parafilm- 24 hpi'!$F$3:$F$13</c:f>
              <c:numCache>
                <c:formatCode>0.00E+00</c:formatCode>
                <c:ptCount val="11"/>
                <c:pt idx="0">
                  <c:v>5.3265200000000004E-3</c:v>
                </c:pt>
                <c:pt idx="1">
                  <c:v>5.5211799999999997E-3</c:v>
                </c:pt>
                <c:pt idx="2">
                  <c:v>5.6608700000000001E-3</c:v>
                </c:pt>
                <c:pt idx="3">
                  <c:v>5.8124400000000003E-3</c:v>
                </c:pt>
                <c:pt idx="4">
                  <c:v>5.9383300000000003E-3</c:v>
                </c:pt>
                <c:pt idx="5">
                  <c:v>6.0698699999999998E-3</c:v>
                </c:pt>
                <c:pt idx="6">
                  <c:v>6.20654E-3</c:v>
                </c:pt>
                <c:pt idx="7">
                  <c:v>6.34119E-3</c:v>
                </c:pt>
                <c:pt idx="8">
                  <c:v>6.4792499999999998E-3</c:v>
                </c:pt>
                <c:pt idx="9">
                  <c:v>6.6179400000000001E-3</c:v>
                </c:pt>
                <c:pt idx="10">
                  <c:v>6.7655099999999998E-3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29-437E-8AD6-D33513270652}"/>
            </c:ext>
          </c:extLst>
        </c:ser>
        <c:ser>
          <c:idx val="3"/>
          <c:order val="3"/>
          <c:tx>
            <c:strRef>
              <c:f>'1234 parafilm- 24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parafilm- 24 hpi'!$G$3:$G$13</c:f>
              <c:numCache>
                <c:formatCode>0.00E+00</c:formatCode>
                <c:ptCount val="11"/>
                <c:pt idx="0">
                  <c:v>7.3971200000000001E-4</c:v>
                </c:pt>
                <c:pt idx="1">
                  <c:v>6.4703000000000004E-4</c:v>
                </c:pt>
                <c:pt idx="2">
                  <c:v>5.9077499999999998E-4</c:v>
                </c:pt>
                <c:pt idx="3">
                  <c:v>5.4249599999999995E-4</c:v>
                </c:pt>
                <c:pt idx="4">
                  <c:v>5.1214800000000003E-4</c:v>
                </c:pt>
                <c:pt idx="5">
                  <c:v>5.0613999999999998E-4</c:v>
                </c:pt>
                <c:pt idx="6">
                  <c:v>5.0350999999999998E-4</c:v>
                </c:pt>
                <c:pt idx="7">
                  <c:v>5.17407E-4</c:v>
                </c:pt>
                <c:pt idx="8">
                  <c:v>5.4415500000000005E-4</c:v>
                </c:pt>
                <c:pt idx="9">
                  <c:v>5.8942499999999997E-4</c:v>
                </c:pt>
                <c:pt idx="10">
                  <c:v>6.5515699999999996E-4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9-437E-8AD6-D33513270652}"/>
            </c:ext>
          </c:extLst>
        </c:ser>
        <c:ser>
          <c:idx val="4"/>
          <c:order val="4"/>
          <c:tx>
            <c:strRef>
              <c:f>'1234 parafilm- 24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'1234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parafilm- 24 hpi'!$I$3:$I$13</c:f>
              <c:numCache>
                <c:formatCode>0.00E+00</c:formatCode>
                <c:ptCount val="11"/>
                <c:pt idx="0">
                  <c:v>4.3195300000000002E-3</c:v>
                </c:pt>
                <c:pt idx="1">
                  <c:v>4.46504E-3</c:v>
                </c:pt>
                <c:pt idx="2">
                  <c:v>4.5867099999999999E-3</c:v>
                </c:pt>
                <c:pt idx="3">
                  <c:v>4.6876499999999998E-3</c:v>
                </c:pt>
                <c:pt idx="4">
                  <c:v>4.7893399999999996E-3</c:v>
                </c:pt>
                <c:pt idx="5">
                  <c:v>4.8971800000000001E-3</c:v>
                </c:pt>
                <c:pt idx="6">
                  <c:v>5.0007300000000001E-3</c:v>
                </c:pt>
                <c:pt idx="7">
                  <c:v>5.1037399999999998E-3</c:v>
                </c:pt>
                <c:pt idx="8">
                  <c:v>5.2173200000000001E-3</c:v>
                </c:pt>
                <c:pt idx="9">
                  <c:v>5.3410899999999997E-3</c:v>
                </c:pt>
                <c:pt idx="10">
                  <c:v>5.4952100000000004E-3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29-437E-8AD6-D33513270652}"/>
            </c:ext>
          </c:extLst>
        </c:ser>
        <c:ser>
          <c:idx val="5"/>
          <c:order val="5"/>
          <c:tx>
            <c:strRef>
              <c:f>'1234 parafilm- 24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'1234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parafilm- 24 hpi'!$J$3:$J$13</c:f>
              <c:numCache>
                <c:formatCode>0.00E+00</c:formatCode>
                <c:ptCount val="11"/>
                <c:pt idx="0">
                  <c:v>5.7676699999999995E-4</c:v>
                </c:pt>
                <c:pt idx="1">
                  <c:v>4.6838400000000002E-4</c:v>
                </c:pt>
                <c:pt idx="2">
                  <c:v>4.5622099999999998E-4</c:v>
                </c:pt>
                <c:pt idx="3">
                  <c:v>4.3729499999999998E-4</c:v>
                </c:pt>
                <c:pt idx="4">
                  <c:v>4.1931E-4</c:v>
                </c:pt>
                <c:pt idx="5">
                  <c:v>4.0686299999999998E-4</c:v>
                </c:pt>
                <c:pt idx="6">
                  <c:v>4.0910300000000002E-4</c:v>
                </c:pt>
                <c:pt idx="7">
                  <c:v>4.2349E-4</c:v>
                </c:pt>
                <c:pt idx="8">
                  <c:v>4.4926299999999998E-4</c:v>
                </c:pt>
                <c:pt idx="9">
                  <c:v>4.88913E-4</c:v>
                </c:pt>
                <c:pt idx="10">
                  <c:v>5.4489100000000004E-4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29-437E-8AD6-D3351327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77616"/>
        <c:axId val="887679536"/>
      </c:scatterChart>
      <c:valAx>
        <c:axId val="8876776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9536"/>
        <c:crosses val="autoZero"/>
        <c:crossBetween val="midCat"/>
      </c:valAx>
      <c:valAx>
        <c:axId val="887679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parafilm+ 24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parafilm+ 24 hpi'!$C$3:$C$13</c:f>
              <c:numCache>
                <c:formatCode>0.00E+00</c:formatCode>
                <c:ptCount val="11"/>
                <c:pt idx="0">
                  <c:v>4.2219600000000003E-3</c:v>
                </c:pt>
                <c:pt idx="1">
                  <c:v>4.40662E-3</c:v>
                </c:pt>
                <c:pt idx="2">
                  <c:v>4.5350499999999997E-3</c:v>
                </c:pt>
                <c:pt idx="3">
                  <c:v>4.6734899999999998E-3</c:v>
                </c:pt>
                <c:pt idx="4">
                  <c:v>4.7995700000000004E-3</c:v>
                </c:pt>
                <c:pt idx="5">
                  <c:v>4.9294200000000003E-3</c:v>
                </c:pt>
                <c:pt idx="6">
                  <c:v>5.0674600000000002E-3</c:v>
                </c:pt>
                <c:pt idx="7">
                  <c:v>5.2109399999999998E-3</c:v>
                </c:pt>
                <c:pt idx="8">
                  <c:v>5.3663699999999996E-3</c:v>
                </c:pt>
                <c:pt idx="9">
                  <c:v>5.5405999999999997E-3</c:v>
                </c:pt>
                <c:pt idx="10">
                  <c:v>5.7518700000000001E-3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8-4C96-A7CD-70895DEC50AB}"/>
            </c:ext>
          </c:extLst>
        </c:ser>
        <c:ser>
          <c:idx val="1"/>
          <c:order val="1"/>
          <c:tx>
            <c:strRef>
              <c:f>'1234 parafilm+ 24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parafilm+ 24 hpi'!$D$3:$D$13</c:f>
              <c:numCache>
                <c:formatCode>0.00E+00</c:formatCode>
                <c:ptCount val="11"/>
                <c:pt idx="0">
                  <c:v>6.1516999999999995E-4</c:v>
                </c:pt>
                <c:pt idx="1">
                  <c:v>5.67908E-4</c:v>
                </c:pt>
                <c:pt idx="2">
                  <c:v>5.3926899999999999E-4</c:v>
                </c:pt>
                <c:pt idx="3">
                  <c:v>5.0905899999999997E-4</c:v>
                </c:pt>
                <c:pt idx="4">
                  <c:v>5.0250000000000002E-4</c:v>
                </c:pt>
                <c:pt idx="5">
                  <c:v>5.0994500000000004E-4</c:v>
                </c:pt>
                <c:pt idx="6">
                  <c:v>5.2658999999999996E-4</c:v>
                </c:pt>
                <c:pt idx="7">
                  <c:v>5.5541499999999997E-4</c:v>
                </c:pt>
                <c:pt idx="8">
                  <c:v>5.9224600000000005E-4</c:v>
                </c:pt>
                <c:pt idx="9">
                  <c:v>6.4172899999999995E-4</c:v>
                </c:pt>
                <c:pt idx="10">
                  <c:v>7.0105899999999997E-4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8-4C96-A7CD-70895DEC50AB}"/>
            </c:ext>
          </c:extLst>
        </c:ser>
        <c:ser>
          <c:idx val="2"/>
          <c:order val="2"/>
          <c:tx>
            <c:strRef>
              <c:f>'1234 parafilm+ 24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parafilm+ 24 hpi'!$F$3:$F$13</c:f>
              <c:numCache>
                <c:formatCode>General</c:formatCode>
                <c:ptCount val="11"/>
                <c:pt idx="0">
                  <c:v>1.1915200000000001E-2</c:v>
                </c:pt>
                <c:pt idx="1">
                  <c:v>1.22924E-2</c:v>
                </c:pt>
                <c:pt idx="2">
                  <c:v>1.26047E-2</c:v>
                </c:pt>
                <c:pt idx="3">
                  <c:v>1.2909199999999999E-2</c:v>
                </c:pt>
                <c:pt idx="4">
                  <c:v>1.31994E-2</c:v>
                </c:pt>
                <c:pt idx="5">
                  <c:v>1.35073E-2</c:v>
                </c:pt>
                <c:pt idx="6">
                  <c:v>1.3817599999999999E-2</c:v>
                </c:pt>
                <c:pt idx="7">
                  <c:v>1.4144500000000001E-2</c:v>
                </c:pt>
                <c:pt idx="8">
                  <c:v>1.4423200000000001E-2</c:v>
                </c:pt>
                <c:pt idx="9">
                  <c:v>1.4822999999999999E-2</c:v>
                </c:pt>
                <c:pt idx="10">
                  <c:v>1.52394E-2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8-4C96-A7CD-70895DEC50AB}"/>
            </c:ext>
          </c:extLst>
        </c:ser>
        <c:ser>
          <c:idx val="3"/>
          <c:order val="3"/>
          <c:tx>
            <c:strRef>
              <c:f>'1234 parafilm+ 24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parafilm+ 24 hpi'!$G$3:$G$13</c:f>
              <c:numCache>
                <c:formatCode>0.00E+00</c:formatCode>
                <c:ptCount val="11"/>
                <c:pt idx="0">
                  <c:v>1.7926299999999999E-3</c:v>
                </c:pt>
                <c:pt idx="1">
                  <c:v>1.5227999999999999E-3</c:v>
                </c:pt>
                <c:pt idx="2">
                  <c:v>1.4259800000000001E-3</c:v>
                </c:pt>
                <c:pt idx="3">
                  <c:v>1.3753400000000001E-3</c:v>
                </c:pt>
                <c:pt idx="4">
                  <c:v>1.34658E-3</c:v>
                </c:pt>
                <c:pt idx="5">
                  <c:v>1.35976E-3</c:v>
                </c:pt>
                <c:pt idx="6">
                  <c:v>1.38843E-3</c:v>
                </c:pt>
                <c:pt idx="7">
                  <c:v>1.4371099999999999E-3</c:v>
                </c:pt>
                <c:pt idx="8">
                  <c:v>1.53867E-3</c:v>
                </c:pt>
                <c:pt idx="9">
                  <c:v>1.61466E-3</c:v>
                </c:pt>
                <c:pt idx="10">
                  <c:v>1.73413E-3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58-4C96-A7CD-70895DEC50AB}"/>
            </c:ext>
          </c:extLst>
        </c:ser>
        <c:ser>
          <c:idx val="4"/>
          <c:order val="4"/>
          <c:tx>
            <c:strRef>
              <c:f>'1234 parafilm+ 24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'1234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parafilm+ 24 hpi'!$I$3:$I$13</c:f>
              <c:numCache>
                <c:formatCode>0.00E+00</c:formatCode>
                <c:ptCount val="11"/>
                <c:pt idx="0">
                  <c:v>4.4540400000000003E-3</c:v>
                </c:pt>
                <c:pt idx="1">
                  <c:v>4.62773E-3</c:v>
                </c:pt>
                <c:pt idx="2">
                  <c:v>4.74618E-3</c:v>
                </c:pt>
                <c:pt idx="3">
                  <c:v>4.8630499999999998E-3</c:v>
                </c:pt>
                <c:pt idx="4">
                  <c:v>4.9712300000000001E-3</c:v>
                </c:pt>
                <c:pt idx="5">
                  <c:v>5.0734500000000002E-3</c:v>
                </c:pt>
                <c:pt idx="6">
                  <c:v>5.1706699999999996E-3</c:v>
                </c:pt>
                <c:pt idx="7">
                  <c:v>5.25677E-3</c:v>
                </c:pt>
                <c:pt idx="8">
                  <c:v>5.3574199999999999E-3</c:v>
                </c:pt>
                <c:pt idx="9">
                  <c:v>5.4806000000000004E-3</c:v>
                </c:pt>
                <c:pt idx="10">
                  <c:v>5.6301399999999996E-3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58-4C96-A7CD-70895DEC50AB}"/>
            </c:ext>
          </c:extLst>
        </c:ser>
        <c:ser>
          <c:idx val="5"/>
          <c:order val="5"/>
          <c:tx>
            <c:strRef>
              <c:f>'1234 parafilm+ 24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'1234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parafilm+ 24 hpi'!$J$3:$J$13</c:f>
              <c:numCache>
                <c:formatCode>0.00E+00</c:formatCode>
                <c:ptCount val="11"/>
                <c:pt idx="0">
                  <c:v>6.2763300000000005E-4</c:v>
                </c:pt>
                <c:pt idx="1">
                  <c:v>5.1910699999999999E-4</c:v>
                </c:pt>
                <c:pt idx="2">
                  <c:v>4.6462400000000002E-4</c:v>
                </c:pt>
                <c:pt idx="3">
                  <c:v>4.1387200000000002E-4</c:v>
                </c:pt>
                <c:pt idx="4">
                  <c:v>3.9186800000000002E-4</c:v>
                </c:pt>
                <c:pt idx="5">
                  <c:v>3.80188E-4</c:v>
                </c:pt>
                <c:pt idx="6">
                  <c:v>3.82915E-4</c:v>
                </c:pt>
                <c:pt idx="7">
                  <c:v>3.98219E-4</c:v>
                </c:pt>
                <c:pt idx="8">
                  <c:v>4.1926700000000002E-4</c:v>
                </c:pt>
                <c:pt idx="9">
                  <c:v>4.52084E-4</c:v>
                </c:pt>
                <c:pt idx="10">
                  <c:v>5.03814E-4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58-4C96-A7CD-70895DEC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86256"/>
        <c:axId val="887678576"/>
      </c:scatterChart>
      <c:valAx>
        <c:axId val="887686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8576"/>
        <c:crosses val="autoZero"/>
        <c:crossBetween val="midCat"/>
      </c:valAx>
      <c:valAx>
        <c:axId val="8876785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8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parafilm- 24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parafilm- 24 hpi'!$C$3:$C$13</c:f>
              <c:numCache>
                <c:formatCode>0.00E+00</c:formatCode>
                <c:ptCount val="11"/>
                <c:pt idx="0">
                  <c:v>4.9041099999999995E-4</c:v>
                </c:pt>
                <c:pt idx="1">
                  <c:v>5.27109E-4</c:v>
                </c:pt>
                <c:pt idx="2">
                  <c:v>5.5787600000000001E-4</c:v>
                </c:pt>
                <c:pt idx="3">
                  <c:v>5.9478000000000005E-4</c:v>
                </c:pt>
                <c:pt idx="4">
                  <c:v>6.2938999999999996E-4</c:v>
                </c:pt>
                <c:pt idx="5">
                  <c:v>6.6426500000000004E-4</c:v>
                </c:pt>
                <c:pt idx="6">
                  <c:v>6.9974299999999996E-4</c:v>
                </c:pt>
                <c:pt idx="7">
                  <c:v>7.35759E-4</c:v>
                </c:pt>
                <c:pt idx="8">
                  <c:v>7.7393600000000002E-4</c:v>
                </c:pt>
                <c:pt idx="9">
                  <c:v>8.1543100000000003E-4</c:v>
                </c:pt>
                <c:pt idx="10">
                  <c:v>8.5099600000000002E-4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B-4B9D-A0CB-3A22BAA3D8E1}"/>
            </c:ext>
          </c:extLst>
        </c:ser>
        <c:ser>
          <c:idx val="1"/>
          <c:order val="1"/>
          <c:tx>
            <c:strRef>
              <c:f>'1250 parafilm- 24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parafilm- 24 hpi'!$D$3:$D$13</c:f>
              <c:numCache>
                <c:formatCode>0.00E+00</c:formatCode>
                <c:ptCount val="11"/>
                <c:pt idx="0">
                  <c:v>1.18205E-4</c:v>
                </c:pt>
                <c:pt idx="1">
                  <c:v>1.19308E-4</c:v>
                </c:pt>
                <c:pt idx="2">
                  <c:v>1.1935299999999999E-4</c:v>
                </c:pt>
                <c:pt idx="3">
                  <c:v>1.1812899999999999E-4</c:v>
                </c:pt>
                <c:pt idx="4">
                  <c:v>1.2095900000000001E-4</c:v>
                </c:pt>
                <c:pt idx="5">
                  <c:v>1.2463900000000001E-4</c:v>
                </c:pt>
                <c:pt idx="6">
                  <c:v>1.2912399999999999E-4</c:v>
                </c:pt>
                <c:pt idx="7">
                  <c:v>1.3562599999999999E-4</c:v>
                </c:pt>
                <c:pt idx="8">
                  <c:v>1.4522800000000001E-4</c:v>
                </c:pt>
                <c:pt idx="9">
                  <c:v>1.5892900000000001E-4</c:v>
                </c:pt>
                <c:pt idx="10">
                  <c:v>1.78295E-4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B9D-A0CB-3A22BAA3D8E1}"/>
            </c:ext>
          </c:extLst>
        </c:ser>
        <c:ser>
          <c:idx val="2"/>
          <c:order val="2"/>
          <c:tx>
            <c:strRef>
              <c:f>'1250 parafilm- 24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parafilm- 24 hpi'!$F$3:$F$13</c:f>
              <c:numCache>
                <c:formatCode>0.00E+00</c:formatCode>
                <c:ptCount val="11"/>
                <c:pt idx="0">
                  <c:v>1.0937099999999999E-3</c:v>
                </c:pt>
                <c:pt idx="1">
                  <c:v>1.16044E-3</c:v>
                </c:pt>
                <c:pt idx="2">
                  <c:v>1.2233400000000001E-3</c:v>
                </c:pt>
                <c:pt idx="3">
                  <c:v>1.2866100000000001E-3</c:v>
                </c:pt>
                <c:pt idx="4">
                  <c:v>1.34738E-3</c:v>
                </c:pt>
                <c:pt idx="5">
                  <c:v>1.4084200000000001E-3</c:v>
                </c:pt>
                <c:pt idx="6">
                  <c:v>1.4712799999999999E-3</c:v>
                </c:pt>
                <c:pt idx="7">
                  <c:v>1.5363900000000001E-3</c:v>
                </c:pt>
                <c:pt idx="8">
                  <c:v>1.6061599999999999E-3</c:v>
                </c:pt>
                <c:pt idx="9">
                  <c:v>1.69283E-3</c:v>
                </c:pt>
                <c:pt idx="10">
                  <c:v>1.80809E-3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B-4B9D-A0CB-3A22BAA3D8E1}"/>
            </c:ext>
          </c:extLst>
        </c:ser>
        <c:ser>
          <c:idx val="3"/>
          <c:order val="3"/>
          <c:tx>
            <c:strRef>
              <c:f>'1250 parafilm- 24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parafilm- 24 hpi'!$G$3:$G$13</c:f>
              <c:numCache>
                <c:formatCode>0.00E+00</c:formatCode>
                <c:ptCount val="11"/>
                <c:pt idx="0">
                  <c:v>2.2143600000000001E-4</c:v>
                </c:pt>
                <c:pt idx="1">
                  <c:v>2.1414399999999999E-4</c:v>
                </c:pt>
                <c:pt idx="2">
                  <c:v>2.0824999999999999E-4</c:v>
                </c:pt>
                <c:pt idx="3">
                  <c:v>2.0676399999999999E-4</c:v>
                </c:pt>
                <c:pt idx="4">
                  <c:v>2.0692900000000001E-4</c:v>
                </c:pt>
                <c:pt idx="5">
                  <c:v>2.09113E-4</c:v>
                </c:pt>
                <c:pt idx="6">
                  <c:v>2.1632800000000001E-4</c:v>
                </c:pt>
                <c:pt idx="7">
                  <c:v>2.2706399999999999E-4</c:v>
                </c:pt>
                <c:pt idx="8">
                  <c:v>2.44007E-4</c:v>
                </c:pt>
                <c:pt idx="9">
                  <c:v>2.6646599999999998E-4</c:v>
                </c:pt>
                <c:pt idx="10">
                  <c:v>3.0222000000000002E-4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B-4B9D-A0CB-3A22BAA3D8E1}"/>
            </c:ext>
          </c:extLst>
        </c:ser>
        <c:ser>
          <c:idx val="4"/>
          <c:order val="4"/>
          <c:tx>
            <c:strRef>
              <c:f>'1250 parafilm- 24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'1250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parafilm- 24 hpi'!$I$3:$I$13</c:f>
              <c:numCache>
                <c:formatCode>0.00E+00</c:formatCode>
                <c:ptCount val="11"/>
                <c:pt idx="0">
                  <c:v>1.0689899999999999E-3</c:v>
                </c:pt>
                <c:pt idx="1">
                  <c:v>1.13507E-3</c:v>
                </c:pt>
                <c:pt idx="2">
                  <c:v>1.21324E-3</c:v>
                </c:pt>
                <c:pt idx="3">
                  <c:v>1.2780199999999999E-3</c:v>
                </c:pt>
                <c:pt idx="4">
                  <c:v>1.3432699999999999E-3</c:v>
                </c:pt>
                <c:pt idx="5">
                  <c:v>1.4082599999999999E-3</c:v>
                </c:pt>
                <c:pt idx="6">
                  <c:v>1.4737400000000001E-3</c:v>
                </c:pt>
                <c:pt idx="7">
                  <c:v>1.5405099999999999E-3</c:v>
                </c:pt>
                <c:pt idx="8">
                  <c:v>1.61136E-3</c:v>
                </c:pt>
                <c:pt idx="9">
                  <c:v>1.69451E-3</c:v>
                </c:pt>
                <c:pt idx="10">
                  <c:v>1.7974600000000001E-3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4B-4B9D-A0CB-3A22BAA3D8E1}"/>
            </c:ext>
          </c:extLst>
        </c:ser>
        <c:ser>
          <c:idx val="5"/>
          <c:order val="5"/>
          <c:tx>
            <c:strRef>
              <c:f>'1250 parafilm- 24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'1250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parafilm- 24 hpi'!$J$3:$J$13</c:f>
              <c:numCache>
                <c:formatCode>0.00E+00</c:formatCode>
                <c:ptCount val="11"/>
                <c:pt idx="0">
                  <c:v>2.28106E-4</c:v>
                </c:pt>
                <c:pt idx="1">
                  <c:v>2.0636600000000001E-4</c:v>
                </c:pt>
                <c:pt idx="2">
                  <c:v>2.15906E-4</c:v>
                </c:pt>
                <c:pt idx="3">
                  <c:v>2.1680199999999999E-4</c:v>
                </c:pt>
                <c:pt idx="4">
                  <c:v>2.1726499999999999E-4</c:v>
                </c:pt>
                <c:pt idx="5">
                  <c:v>2.2085400000000001E-4</c:v>
                </c:pt>
                <c:pt idx="6">
                  <c:v>2.2530299999999999E-4</c:v>
                </c:pt>
                <c:pt idx="7">
                  <c:v>2.35775E-4</c:v>
                </c:pt>
                <c:pt idx="8">
                  <c:v>2.5145099999999997E-4</c:v>
                </c:pt>
                <c:pt idx="9">
                  <c:v>2.7416799999999998E-4</c:v>
                </c:pt>
                <c:pt idx="10">
                  <c:v>3.0836200000000001E-4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4B-4B9D-A0CB-3A22BAA3D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815056"/>
        <c:axId val="1451815536"/>
      </c:scatterChart>
      <c:valAx>
        <c:axId val="1451815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15536"/>
        <c:crosses val="autoZero"/>
        <c:crossBetween val="midCat"/>
      </c:valAx>
      <c:valAx>
        <c:axId val="1451815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1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parafilm+ 24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parafilm+ 24 hpi'!$C$3:$C$13</c:f>
              <c:numCache>
                <c:formatCode>0.00E+00</c:formatCode>
                <c:ptCount val="11"/>
                <c:pt idx="0">
                  <c:v>2.5219100000000003E-4</c:v>
                </c:pt>
                <c:pt idx="1">
                  <c:v>2.7307999999999998E-4</c:v>
                </c:pt>
                <c:pt idx="2">
                  <c:v>2.9726500000000001E-4</c:v>
                </c:pt>
                <c:pt idx="3">
                  <c:v>3.1455099999999999E-4</c:v>
                </c:pt>
                <c:pt idx="4">
                  <c:v>3.3791000000000002E-4</c:v>
                </c:pt>
                <c:pt idx="5">
                  <c:v>3.6513300000000002E-4</c:v>
                </c:pt>
                <c:pt idx="6">
                  <c:v>3.89546E-4</c:v>
                </c:pt>
                <c:pt idx="7">
                  <c:v>4.1825100000000002E-4</c:v>
                </c:pt>
                <c:pt idx="8">
                  <c:v>4.48644E-4</c:v>
                </c:pt>
                <c:pt idx="9">
                  <c:v>4.7982800000000001E-4</c:v>
                </c:pt>
                <c:pt idx="10">
                  <c:v>5.0742799999999998E-4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4-4CDC-80F1-B20E4C670381}"/>
            </c:ext>
          </c:extLst>
        </c:ser>
        <c:ser>
          <c:idx val="1"/>
          <c:order val="1"/>
          <c:tx>
            <c:strRef>
              <c:f>'1250 parafilm+ 24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parafilm+ 24 hpi'!$D$3:$D$13</c:f>
              <c:numCache>
                <c:formatCode>0.00E+00</c:formatCode>
                <c:ptCount val="11"/>
                <c:pt idx="0">
                  <c:v>8.8320199999999995E-5</c:v>
                </c:pt>
                <c:pt idx="1">
                  <c:v>8.8679100000000003E-5</c:v>
                </c:pt>
                <c:pt idx="2">
                  <c:v>8.9634800000000004E-5</c:v>
                </c:pt>
                <c:pt idx="3">
                  <c:v>9.09246E-5</c:v>
                </c:pt>
                <c:pt idx="4">
                  <c:v>9.5108199999999999E-5</c:v>
                </c:pt>
                <c:pt idx="5">
                  <c:v>1.02719E-4</c:v>
                </c:pt>
                <c:pt idx="6">
                  <c:v>1.08303E-4</c:v>
                </c:pt>
                <c:pt idx="7">
                  <c:v>1.16773E-4</c:v>
                </c:pt>
                <c:pt idx="8">
                  <c:v>1.25031E-4</c:v>
                </c:pt>
                <c:pt idx="9">
                  <c:v>1.3548799999999999E-4</c:v>
                </c:pt>
                <c:pt idx="10">
                  <c:v>1.49469E-4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4-4CDC-80F1-B20E4C670381}"/>
            </c:ext>
          </c:extLst>
        </c:ser>
        <c:ser>
          <c:idx val="2"/>
          <c:order val="2"/>
          <c:tx>
            <c:strRef>
              <c:f>'1250 parafilm+ 24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parafilm+ 24 hpi'!$F$3:$F$13</c:f>
              <c:numCache>
                <c:formatCode>0.00E+00</c:formatCode>
                <c:ptCount val="11"/>
                <c:pt idx="0">
                  <c:v>4.5157499999999998E-3</c:v>
                </c:pt>
                <c:pt idx="1">
                  <c:v>4.5626900000000003E-3</c:v>
                </c:pt>
                <c:pt idx="2">
                  <c:v>4.6653500000000004E-3</c:v>
                </c:pt>
                <c:pt idx="3">
                  <c:v>4.7483500000000001E-3</c:v>
                </c:pt>
                <c:pt idx="4">
                  <c:v>4.8224499999999998E-3</c:v>
                </c:pt>
                <c:pt idx="5">
                  <c:v>4.8975399999999997E-3</c:v>
                </c:pt>
                <c:pt idx="6">
                  <c:v>4.9813699999999997E-3</c:v>
                </c:pt>
                <c:pt idx="7">
                  <c:v>5.0606499999999999E-3</c:v>
                </c:pt>
                <c:pt idx="8">
                  <c:v>5.14373E-3</c:v>
                </c:pt>
                <c:pt idx="9">
                  <c:v>5.22903E-3</c:v>
                </c:pt>
                <c:pt idx="10">
                  <c:v>5.3474999999999998E-3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B4-4CDC-80F1-B20E4C670381}"/>
            </c:ext>
          </c:extLst>
        </c:ser>
        <c:ser>
          <c:idx val="3"/>
          <c:order val="3"/>
          <c:tx>
            <c:strRef>
              <c:f>'1250 parafilm+ 24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parafilm+ 24 hpi'!$G$3:$G$13</c:f>
              <c:numCache>
                <c:formatCode>0.00E+00</c:formatCode>
                <c:ptCount val="11"/>
                <c:pt idx="0">
                  <c:v>3.28754E-4</c:v>
                </c:pt>
                <c:pt idx="1">
                  <c:v>2.6069400000000001E-4</c:v>
                </c:pt>
                <c:pt idx="2">
                  <c:v>2.6792199999999997E-4</c:v>
                </c:pt>
                <c:pt idx="3">
                  <c:v>2.6143199999999997E-4</c:v>
                </c:pt>
                <c:pt idx="4">
                  <c:v>2.5722899999999999E-4</c:v>
                </c:pt>
                <c:pt idx="5">
                  <c:v>2.6363599999999998E-4</c:v>
                </c:pt>
                <c:pt idx="6">
                  <c:v>2.6655800000000002E-4</c:v>
                </c:pt>
                <c:pt idx="7">
                  <c:v>2.70578E-4</c:v>
                </c:pt>
                <c:pt idx="8">
                  <c:v>2.8579099999999997E-4</c:v>
                </c:pt>
                <c:pt idx="9">
                  <c:v>3.0746499999999998E-4</c:v>
                </c:pt>
                <c:pt idx="10">
                  <c:v>3.4671799999999998E-4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4-4CDC-80F1-B20E4C670381}"/>
            </c:ext>
          </c:extLst>
        </c:ser>
        <c:ser>
          <c:idx val="4"/>
          <c:order val="4"/>
          <c:tx>
            <c:strRef>
              <c:f>'1250 parafilm+ 24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'1250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parafilm+ 24 hpi'!$I$3:$I$13</c:f>
              <c:numCache>
                <c:formatCode>0.00E+00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B4-4CDC-80F1-B20E4C670381}"/>
            </c:ext>
          </c:extLst>
        </c:ser>
        <c:ser>
          <c:idx val="5"/>
          <c:order val="5"/>
          <c:tx>
            <c:strRef>
              <c:f>'1250 parafilm+ 24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'1250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parafilm+ 24 hpi'!$J$3:$J$13</c:f>
              <c:numCache>
                <c:formatCode>0.00E+00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B4-4CDC-80F1-B20E4C67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603136"/>
        <c:axId val="870601696"/>
      </c:scatterChart>
      <c:valAx>
        <c:axId val="870603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1696"/>
        <c:crosses val="autoZero"/>
        <c:crossBetween val="midCat"/>
      </c:valAx>
      <c:valAx>
        <c:axId val="870601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parafilm- 24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parafilm- 24 hpi'!$C$3:$C$13</c:f>
              <c:numCache>
                <c:formatCode>0.00E+00</c:formatCode>
                <c:ptCount val="11"/>
                <c:pt idx="0">
                  <c:v>7.5956299999999999E-4</c:v>
                </c:pt>
                <c:pt idx="1">
                  <c:v>8.3589999999999999E-4</c:v>
                </c:pt>
                <c:pt idx="2">
                  <c:v>9.0332599999999998E-4</c:v>
                </c:pt>
                <c:pt idx="3">
                  <c:v>9.7439499999999997E-4</c:v>
                </c:pt>
                <c:pt idx="4">
                  <c:v>1.0422000000000001E-3</c:v>
                </c:pt>
                <c:pt idx="5">
                  <c:v>1.1084700000000001E-3</c:v>
                </c:pt>
                <c:pt idx="6">
                  <c:v>1.1698100000000001E-3</c:v>
                </c:pt>
                <c:pt idx="7">
                  <c:v>1.2350200000000001E-3</c:v>
                </c:pt>
                <c:pt idx="8">
                  <c:v>1.32745E-3</c:v>
                </c:pt>
                <c:pt idx="9">
                  <c:v>1.4682E-3</c:v>
                </c:pt>
                <c:pt idx="10">
                  <c:v>1.7133599999999999E-3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7-437B-A451-C25DA55649B5}"/>
            </c:ext>
          </c:extLst>
        </c:ser>
        <c:ser>
          <c:idx val="1"/>
          <c:order val="1"/>
          <c:tx>
            <c:strRef>
              <c:f>'1480 parafilm- 24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parafilm- 24 hpi'!$D$3:$D$13</c:f>
              <c:numCache>
                <c:formatCode>0.00E+00</c:formatCode>
                <c:ptCount val="11"/>
                <c:pt idx="0">
                  <c:v>2.1090900000000001E-4</c:v>
                </c:pt>
                <c:pt idx="1">
                  <c:v>1.9971600000000001E-4</c:v>
                </c:pt>
                <c:pt idx="2">
                  <c:v>2.0032700000000001E-4</c:v>
                </c:pt>
                <c:pt idx="3">
                  <c:v>1.9729799999999999E-4</c:v>
                </c:pt>
                <c:pt idx="4">
                  <c:v>1.9706899999999999E-4</c:v>
                </c:pt>
                <c:pt idx="5">
                  <c:v>2.0477200000000001E-4</c:v>
                </c:pt>
                <c:pt idx="6">
                  <c:v>2.11036E-4</c:v>
                </c:pt>
                <c:pt idx="7">
                  <c:v>2.1782999999999999E-4</c:v>
                </c:pt>
                <c:pt idx="8">
                  <c:v>2.3565399999999999E-4</c:v>
                </c:pt>
                <c:pt idx="9">
                  <c:v>2.5828899999999998E-4</c:v>
                </c:pt>
                <c:pt idx="10">
                  <c:v>2.8946100000000003E-4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77-437B-A451-C25DA55649B5}"/>
            </c:ext>
          </c:extLst>
        </c:ser>
        <c:ser>
          <c:idx val="2"/>
          <c:order val="2"/>
          <c:tx>
            <c:strRef>
              <c:f>'1480 parafilm- 24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'1480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parafilm- 24 hpi'!$F$3:$F$13</c:f>
              <c:numCache>
                <c:formatCode>0.00E+00</c:formatCode>
                <c:ptCount val="11"/>
                <c:pt idx="0">
                  <c:v>1.1720400000000001E-3</c:v>
                </c:pt>
                <c:pt idx="1">
                  <c:v>1.29747E-3</c:v>
                </c:pt>
                <c:pt idx="2">
                  <c:v>1.40131E-3</c:v>
                </c:pt>
                <c:pt idx="3">
                  <c:v>1.49069E-3</c:v>
                </c:pt>
                <c:pt idx="4">
                  <c:v>1.5877E-3</c:v>
                </c:pt>
                <c:pt idx="5">
                  <c:v>1.67377E-3</c:v>
                </c:pt>
                <c:pt idx="6">
                  <c:v>1.76026E-3</c:v>
                </c:pt>
                <c:pt idx="7">
                  <c:v>1.85771E-3</c:v>
                </c:pt>
                <c:pt idx="8">
                  <c:v>1.9746199999999998E-3</c:v>
                </c:pt>
                <c:pt idx="9">
                  <c:v>2.1466800000000002E-3</c:v>
                </c:pt>
                <c:pt idx="10">
                  <c:v>2.4599299999999999E-3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77-437B-A451-C25DA55649B5}"/>
            </c:ext>
          </c:extLst>
        </c:ser>
        <c:ser>
          <c:idx val="3"/>
          <c:order val="3"/>
          <c:tx>
            <c:strRef>
              <c:f>'1480 parafilm- 24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'1480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parafilm- 24 hpi'!$G$3:$G$13</c:f>
              <c:numCache>
                <c:formatCode>0.00E+00</c:formatCode>
                <c:ptCount val="11"/>
                <c:pt idx="0">
                  <c:v>2.79296E-4</c:v>
                </c:pt>
                <c:pt idx="1">
                  <c:v>2.6596699999999998E-4</c:v>
                </c:pt>
                <c:pt idx="2">
                  <c:v>2.6176999999999998E-4</c:v>
                </c:pt>
                <c:pt idx="3">
                  <c:v>2.4880200000000001E-4</c:v>
                </c:pt>
                <c:pt idx="4">
                  <c:v>2.5550099999999999E-4</c:v>
                </c:pt>
                <c:pt idx="5">
                  <c:v>2.5945299999999998E-4</c:v>
                </c:pt>
                <c:pt idx="6">
                  <c:v>2.6380899999999999E-4</c:v>
                </c:pt>
                <c:pt idx="7">
                  <c:v>2.8009299999999998E-4</c:v>
                </c:pt>
                <c:pt idx="8">
                  <c:v>3.0178799999999999E-4</c:v>
                </c:pt>
                <c:pt idx="9">
                  <c:v>3.2961999999999998E-4</c:v>
                </c:pt>
                <c:pt idx="10">
                  <c:v>3.75805E-4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77-437B-A451-C25DA55649B5}"/>
            </c:ext>
          </c:extLst>
        </c:ser>
        <c:ser>
          <c:idx val="4"/>
          <c:order val="4"/>
          <c:tx>
            <c:strRef>
              <c:f>'1480 parafilm- 24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'1480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parafilm- 24 hpi'!$I$3:$I$13</c:f>
              <c:numCache>
                <c:formatCode>0.00E+00</c:formatCode>
                <c:ptCount val="11"/>
                <c:pt idx="0">
                  <c:v>1.0826900000000001E-3</c:v>
                </c:pt>
                <c:pt idx="1">
                  <c:v>1.1793800000000001E-3</c:v>
                </c:pt>
                <c:pt idx="2">
                  <c:v>1.2621399999999999E-3</c:v>
                </c:pt>
                <c:pt idx="3">
                  <c:v>1.3435000000000001E-3</c:v>
                </c:pt>
                <c:pt idx="4">
                  <c:v>1.4248500000000001E-3</c:v>
                </c:pt>
                <c:pt idx="5">
                  <c:v>1.5135599999999999E-3</c:v>
                </c:pt>
                <c:pt idx="6">
                  <c:v>1.6029499999999999E-3</c:v>
                </c:pt>
                <c:pt idx="7">
                  <c:v>1.69429E-3</c:v>
                </c:pt>
                <c:pt idx="8">
                  <c:v>1.80518E-3</c:v>
                </c:pt>
                <c:pt idx="9">
                  <c:v>1.9652699999999999E-3</c:v>
                </c:pt>
                <c:pt idx="10">
                  <c:v>2.2317600000000002E-3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77-437B-A451-C25DA55649B5}"/>
            </c:ext>
          </c:extLst>
        </c:ser>
        <c:ser>
          <c:idx val="5"/>
          <c:order val="5"/>
          <c:tx>
            <c:strRef>
              <c:f>'1480 parafilm- 24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'1480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parafilm- 24 hpi'!$J$3:$J$13</c:f>
              <c:numCache>
                <c:formatCode>0.00E+00</c:formatCode>
                <c:ptCount val="11"/>
                <c:pt idx="0">
                  <c:v>2.3461700000000001E-4</c:v>
                </c:pt>
                <c:pt idx="1">
                  <c:v>2.3458600000000001E-4</c:v>
                </c:pt>
                <c:pt idx="2">
                  <c:v>2.2052399999999999E-4</c:v>
                </c:pt>
                <c:pt idx="3">
                  <c:v>2.2642499999999999E-4</c:v>
                </c:pt>
                <c:pt idx="4">
                  <c:v>2.2766299999999999E-4</c:v>
                </c:pt>
                <c:pt idx="5">
                  <c:v>2.3650400000000001E-4</c:v>
                </c:pt>
                <c:pt idx="6">
                  <c:v>2.5024699999999999E-4</c:v>
                </c:pt>
                <c:pt idx="7">
                  <c:v>2.6917E-4</c:v>
                </c:pt>
                <c:pt idx="8">
                  <c:v>2.9035900000000002E-4</c:v>
                </c:pt>
                <c:pt idx="9">
                  <c:v>3.2128099999999998E-4</c:v>
                </c:pt>
                <c:pt idx="10">
                  <c:v>3.6363699999999999E-4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77-437B-A451-C25DA556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863216"/>
        <c:axId val="1455865136"/>
      </c:scatterChart>
      <c:valAx>
        <c:axId val="14558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5136"/>
        <c:crosses val="autoZero"/>
        <c:crossBetween val="midCat"/>
      </c:valAx>
      <c:valAx>
        <c:axId val="14558651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parafilm- 24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parafilm- 24 hpi'!$C$3:$C$13</c:f>
              <c:numCache>
                <c:formatCode>0.00E+00</c:formatCode>
                <c:ptCount val="11"/>
                <c:pt idx="0">
                  <c:v>7.1560899999999997E-4</c:v>
                </c:pt>
                <c:pt idx="1">
                  <c:v>7.7243199999999998E-4</c:v>
                </c:pt>
                <c:pt idx="2">
                  <c:v>8.2503899999999996E-4</c:v>
                </c:pt>
                <c:pt idx="3">
                  <c:v>8.7666600000000001E-4</c:v>
                </c:pt>
                <c:pt idx="4">
                  <c:v>9.27786E-4</c:v>
                </c:pt>
                <c:pt idx="5">
                  <c:v>9.7992099999999992E-4</c:v>
                </c:pt>
                <c:pt idx="6">
                  <c:v>1.0344900000000001E-3</c:v>
                </c:pt>
                <c:pt idx="7">
                  <c:v>1.09132E-3</c:v>
                </c:pt>
                <c:pt idx="8">
                  <c:v>1.1561500000000001E-3</c:v>
                </c:pt>
                <c:pt idx="9">
                  <c:v>1.2445900000000001E-3</c:v>
                </c:pt>
                <c:pt idx="10">
                  <c:v>1.36721E-3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F8-4BFF-9AF0-86EC2F58F2C1}"/>
            </c:ext>
          </c:extLst>
        </c:ser>
        <c:ser>
          <c:idx val="1"/>
          <c:order val="1"/>
          <c:tx>
            <c:strRef>
              <c:f>'NAD003 parafilm- 24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parafilm- 24 hpi'!$D$3:$D$13</c:f>
              <c:numCache>
                <c:formatCode>0.00E+00</c:formatCode>
                <c:ptCount val="11"/>
                <c:pt idx="0">
                  <c:v>1.69297E-4</c:v>
                </c:pt>
                <c:pt idx="1">
                  <c:v>1.66596E-4</c:v>
                </c:pt>
                <c:pt idx="2">
                  <c:v>1.6961999999999999E-4</c:v>
                </c:pt>
                <c:pt idx="3">
                  <c:v>1.7113400000000001E-4</c:v>
                </c:pt>
                <c:pt idx="4">
                  <c:v>1.7376699999999999E-4</c:v>
                </c:pt>
                <c:pt idx="5">
                  <c:v>1.7801500000000001E-4</c:v>
                </c:pt>
                <c:pt idx="6">
                  <c:v>1.83437E-4</c:v>
                </c:pt>
                <c:pt idx="7">
                  <c:v>1.9295299999999999E-4</c:v>
                </c:pt>
                <c:pt idx="8">
                  <c:v>2.0615999999999999E-4</c:v>
                </c:pt>
                <c:pt idx="9">
                  <c:v>2.2520299999999999E-4</c:v>
                </c:pt>
                <c:pt idx="10">
                  <c:v>2.5286500000000001E-4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F8-4BFF-9AF0-86EC2F58F2C1}"/>
            </c:ext>
          </c:extLst>
        </c:ser>
        <c:ser>
          <c:idx val="2"/>
          <c:order val="2"/>
          <c:tx>
            <c:strRef>
              <c:f>'NAD003 parafilm- 24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parafilm- 24 hpi'!$F$3:$F$13</c:f>
              <c:numCache>
                <c:formatCode>0.00E+00</c:formatCode>
                <c:ptCount val="11"/>
                <c:pt idx="0">
                  <c:v>5.7954999999999997E-4</c:v>
                </c:pt>
                <c:pt idx="1">
                  <c:v>6.2160899999999996E-4</c:v>
                </c:pt>
                <c:pt idx="2">
                  <c:v>6.5967900000000004E-4</c:v>
                </c:pt>
                <c:pt idx="3">
                  <c:v>6.9619699999999996E-4</c:v>
                </c:pt>
                <c:pt idx="4">
                  <c:v>7.3399200000000004E-4</c:v>
                </c:pt>
                <c:pt idx="5">
                  <c:v>7.7376300000000001E-4</c:v>
                </c:pt>
                <c:pt idx="6">
                  <c:v>8.1356500000000003E-4</c:v>
                </c:pt>
                <c:pt idx="7">
                  <c:v>8.5735300000000004E-4</c:v>
                </c:pt>
                <c:pt idx="8">
                  <c:v>9.0719499999999996E-4</c:v>
                </c:pt>
                <c:pt idx="9">
                  <c:v>9.7260000000000001E-4</c:v>
                </c:pt>
                <c:pt idx="10">
                  <c:v>1.0569399999999999E-3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F8-4BFF-9AF0-86EC2F58F2C1}"/>
            </c:ext>
          </c:extLst>
        </c:ser>
        <c:ser>
          <c:idx val="3"/>
          <c:order val="3"/>
          <c:tx>
            <c:strRef>
              <c:f>'NAD003 parafilm- 24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parafilm- 24 hpi'!$G$3:$G$13</c:f>
              <c:numCache>
                <c:formatCode>0.00E+00</c:formatCode>
                <c:ptCount val="11"/>
                <c:pt idx="0">
                  <c:v>1.31185E-4</c:v>
                </c:pt>
                <c:pt idx="1">
                  <c:v>1.2962E-4</c:v>
                </c:pt>
                <c:pt idx="2">
                  <c:v>1.2821999999999999E-4</c:v>
                </c:pt>
                <c:pt idx="3">
                  <c:v>1.30698E-4</c:v>
                </c:pt>
                <c:pt idx="4">
                  <c:v>1.3186299999999999E-4</c:v>
                </c:pt>
                <c:pt idx="5">
                  <c:v>1.3504899999999999E-4</c:v>
                </c:pt>
                <c:pt idx="6">
                  <c:v>1.3989100000000001E-4</c:v>
                </c:pt>
                <c:pt idx="7">
                  <c:v>1.4626E-4</c:v>
                </c:pt>
                <c:pt idx="8">
                  <c:v>1.5470499999999999E-4</c:v>
                </c:pt>
                <c:pt idx="9">
                  <c:v>1.67443E-4</c:v>
                </c:pt>
                <c:pt idx="10">
                  <c:v>1.8567200000000001E-4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F8-4BFF-9AF0-86EC2F58F2C1}"/>
            </c:ext>
          </c:extLst>
        </c:ser>
        <c:ser>
          <c:idx val="4"/>
          <c:order val="4"/>
          <c:tx>
            <c:strRef>
              <c:f>'NAD003 parafilm- 24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'NAD003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parafilm- 24 hpi'!$I$3:$I$13</c:f>
              <c:numCache>
                <c:formatCode>0.00E+00</c:formatCode>
                <c:ptCount val="11"/>
                <c:pt idx="0">
                  <c:v>7.0157300000000004E-4</c:v>
                </c:pt>
                <c:pt idx="1">
                  <c:v>7.5183300000000004E-4</c:v>
                </c:pt>
                <c:pt idx="2">
                  <c:v>8.0114100000000001E-4</c:v>
                </c:pt>
                <c:pt idx="3">
                  <c:v>8.4672299999999996E-4</c:v>
                </c:pt>
                <c:pt idx="4">
                  <c:v>8.9347500000000002E-4</c:v>
                </c:pt>
                <c:pt idx="5">
                  <c:v>9.4031500000000005E-4</c:v>
                </c:pt>
                <c:pt idx="6">
                  <c:v>9.8805000000000008E-4</c:v>
                </c:pt>
                <c:pt idx="7">
                  <c:v>1.0382E-3</c:v>
                </c:pt>
                <c:pt idx="8">
                  <c:v>1.08613E-3</c:v>
                </c:pt>
                <c:pt idx="9">
                  <c:v>1.14974E-3</c:v>
                </c:pt>
                <c:pt idx="10">
                  <c:v>1.2090600000000001E-3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F8-4BFF-9AF0-86EC2F58F2C1}"/>
            </c:ext>
          </c:extLst>
        </c:ser>
        <c:ser>
          <c:idx val="5"/>
          <c:order val="5"/>
          <c:tx>
            <c:strRef>
              <c:f>'NAD003 parafilm- 24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'NAD003 parafilm- 24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parafilm- 24 hpi'!$J$3:$J$13</c:f>
              <c:numCache>
                <c:formatCode>0.00E+00</c:formatCode>
                <c:ptCount val="11"/>
                <c:pt idx="0">
                  <c:v>1.61352E-4</c:v>
                </c:pt>
                <c:pt idx="1">
                  <c:v>1.5761799999999999E-4</c:v>
                </c:pt>
                <c:pt idx="2">
                  <c:v>1.5332599999999999E-4</c:v>
                </c:pt>
                <c:pt idx="3">
                  <c:v>1.5525599999999999E-4</c:v>
                </c:pt>
                <c:pt idx="4">
                  <c:v>1.5753300000000001E-4</c:v>
                </c:pt>
                <c:pt idx="5">
                  <c:v>1.6056100000000001E-4</c:v>
                </c:pt>
                <c:pt idx="6">
                  <c:v>1.6670199999999999E-4</c:v>
                </c:pt>
                <c:pt idx="7">
                  <c:v>1.7495299999999999E-4</c:v>
                </c:pt>
                <c:pt idx="8">
                  <c:v>1.87374E-4</c:v>
                </c:pt>
                <c:pt idx="9">
                  <c:v>2.0335899999999999E-4</c:v>
                </c:pt>
                <c:pt idx="10">
                  <c:v>2.2699999999999999E-4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F8-4BFF-9AF0-86EC2F58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863216"/>
        <c:axId val="1455865136"/>
      </c:scatterChart>
      <c:valAx>
        <c:axId val="14558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5136"/>
        <c:crosses val="autoZero"/>
        <c:crossBetween val="midCat"/>
      </c:valAx>
      <c:valAx>
        <c:axId val="14558651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parafilm+ 24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parafilm+ 24 hpi'!$C$3:$C$13</c:f>
              <c:numCache>
                <c:formatCode>0.00E+00</c:formatCode>
                <c:ptCount val="11"/>
                <c:pt idx="0">
                  <c:v>2.2320200000000001E-4</c:v>
                </c:pt>
                <c:pt idx="1">
                  <c:v>2.4331400000000001E-4</c:v>
                </c:pt>
                <c:pt idx="2">
                  <c:v>2.5929499999999999E-4</c:v>
                </c:pt>
                <c:pt idx="3">
                  <c:v>2.7378999999999999E-4</c:v>
                </c:pt>
                <c:pt idx="4">
                  <c:v>2.9170999999999998E-4</c:v>
                </c:pt>
                <c:pt idx="5">
                  <c:v>3.0916299999999999E-4</c:v>
                </c:pt>
                <c:pt idx="6">
                  <c:v>3.2965000000000002E-4</c:v>
                </c:pt>
                <c:pt idx="7">
                  <c:v>3.5194700000000002E-4</c:v>
                </c:pt>
                <c:pt idx="8">
                  <c:v>3.7903699999999998E-4</c:v>
                </c:pt>
                <c:pt idx="9">
                  <c:v>4.1377900000000002E-4</c:v>
                </c:pt>
                <c:pt idx="10">
                  <c:v>4.5977600000000001E-4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A-46C0-98EF-ED6CB98C0377}"/>
            </c:ext>
          </c:extLst>
        </c:ser>
        <c:ser>
          <c:idx val="1"/>
          <c:order val="1"/>
          <c:tx>
            <c:strRef>
              <c:f>'NAD003 parafilm+ 24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parafilm+ 24 hpi'!$D$3:$D$13</c:f>
              <c:numCache>
                <c:formatCode>0.00E+00</c:formatCode>
                <c:ptCount val="11"/>
                <c:pt idx="0">
                  <c:v>8.3609900000000001E-5</c:v>
                </c:pt>
                <c:pt idx="1">
                  <c:v>8.5711599999999994E-5</c:v>
                </c:pt>
                <c:pt idx="2">
                  <c:v>8.4118500000000004E-5</c:v>
                </c:pt>
                <c:pt idx="3">
                  <c:v>8.4252099999999999E-5</c:v>
                </c:pt>
                <c:pt idx="4">
                  <c:v>8.4277000000000006E-5</c:v>
                </c:pt>
                <c:pt idx="5">
                  <c:v>8.2706200000000004E-5</c:v>
                </c:pt>
                <c:pt idx="6">
                  <c:v>8.3901199999999996E-5</c:v>
                </c:pt>
                <c:pt idx="7">
                  <c:v>8.5620700000000005E-5</c:v>
                </c:pt>
                <c:pt idx="8">
                  <c:v>8.8218699999999996E-5</c:v>
                </c:pt>
                <c:pt idx="9">
                  <c:v>9.3240399999999996E-5</c:v>
                </c:pt>
                <c:pt idx="10">
                  <c:v>1.02138E-4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8A-46C0-98EF-ED6CB98C0377}"/>
            </c:ext>
          </c:extLst>
        </c:ser>
        <c:ser>
          <c:idx val="2"/>
          <c:order val="2"/>
          <c:tx>
            <c:strRef>
              <c:f>'NAD003 parafilm+ 24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parafilm+ 24 hpi'!$F$3:$F$13</c:f>
              <c:numCache>
                <c:formatCode>0.00E+00</c:formatCode>
                <c:ptCount val="11"/>
                <c:pt idx="0">
                  <c:v>7.6980099999999997E-4</c:v>
                </c:pt>
                <c:pt idx="1">
                  <c:v>8.2570699999999996E-4</c:v>
                </c:pt>
                <c:pt idx="2">
                  <c:v>8.7378800000000002E-4</c:v>
                </c:pt>
                <c:pt idx="3">
                  <c:v>9.2699600000000003E-4</c:v>
                </c:pt>
                <c:pt idx="4">
                  <c:v>9.797479999999999E-4</c:v>
                </c:pt>
                <c:pt idx="5">
                  <c:v>1.0328799999999999E-3</c:v>
                </c:pt>
                <c:pt idx="6">
                  <c:v>1.0861E-3</c:v>
                </c:pt>
                <c:pt idx="7">
                  <c:v>1.1406400000000001E-3</c:v>
                </c:pt>
                <c:pt idx="8">
                  <c:v>1.1951799999999999E-3</c:v>
                </c:pt>
                <c:pt idx="9">
                  <c:v>1.25508E-3</c:v>
                </c:pt>
                <c:pt idx="10">
                  <c:v>1.30481E-3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8A-46C0-98EF-ED6CB98C0377}"/>
            </c:ext>
          </c:extLst>
        </c:ser>
        <c:ser>
          <c:idx val="3"/>
          <c:order val="3"/>
          <c:tx>
            <c:strRef>
              <c:f>'NAD003 parafilm+ 24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parafilm+ 24 hpi'!$G$3:$G$13</c:f>
              <c:numCache>
                <c:formatCode>0.00E+00</c:formatCode>
                <c:ptCount val="11"/>
                <c:pt idx="0">
                  <c:v>1.8075400000000001E-4</c:v>
                </c:pt>
                <c:pt idx="1">
                  <c:v>1.8766900000000001E-4</c:v>
                </c:pt>
                <c:pt idx="2">
                  <c:v>1.7579600000000001E-4</c:v>
                </c:pt>
                <c:pt idx="3">
                  <c:v>1.7744399999999999E-4</c:v>
                </c:pt>
                <c:pt idx="4">
                  <c:v>1.7919600000000001E-4</c:v>
                </c:pt>
                <c:pt idx="5">
                  <c:v>1.8283500000000001E-4</c:v>
                </c:pt>
                <c:pt idx="6">
                  <c:v>1.8816699999999999E-4</c:v>
                </c:pt>
                <c:pt idx="7">
                  <c:v>1.9503200000000001E-4</c:v>
                </c:pt>
                <c:pt idx="8">
                  <c:v>2.06873E-4</c:v>
                </c:pt>
                <c:pt idx="9">
                  <c:v>2.2332299999999999E-4</c:v>
                </c:pt>
                <c:pt idx="10">
                  <c:v>2.4737000000000001E-4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8A-46C0-98EF-ED6CB98C0377}"/>
            </c:ext>
          </c:extLst>
        </c:ser>
        <c:ser>
          <c:idx val="4"/>
          <c:order val="4"/>
          <c:tx>
            <c:strRef>
              <c:f>'NAD003 parafilm+ 24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'NAD003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parafilm+ 24 hpi'!$I$3:$I$13</c:f>
              <c:numCache>
                <c:formatCode>0.00E+00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8A-46C0-98EF-ED6CB98C0377}"/>
            </c:ext>
          </c:extLst>
        </c:ser>
        <c:ser>
          <c:idx val="5"/>
          <c:order val="5"/>
          <c:tx>
            <c:strRef>
              <c:f>'NAD003 parafilm+ 24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'NAD003 parafilm+ 24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parafilm+ 24 hpi'!$J$3:$J$13</c:f>
              <c:numCache>
                <c:formatCode>0.00E+00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8A-46C0-98EF-ED6CB98C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208608"/>
        <c:axId val="1250209568"/>
      </c:scatterChart>
      <c:valAx>
        <c:axId val="12502086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09568"/>
        <c:crosses val="autoZero"/>
        <c:crossBetween val="midCat"/>
      </c:valAx>
      <c:valAx>
        <c:axId val="1250209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08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comparison'!$C$1:$C$1</c:f>
              <c:strCache>
                <c:ptCount val="1"/>
                <c:pt idx="0">
                  <c:v>WT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comparison'!$C$2:$C$12</c:f>
              <c:numCache>
                <c:formatCode>General</c:formatCode>
                <c:ptCount val="11"/>
                <c:pt idx="0">
                  <c:v>7.635556666666666E-4</c:v>
                </c:pt>
                <c:pt idx="1">
                  <c:v>8.1193899999999991E-4</c:v>
                </c:pt>
                <c:pt idx="2">
                  <c:v>8.5858566666666657E-4</c:v>
                </c:pt>
                <c:pt idx="3">
                  <c:v>9.0507166666666666E-4</c:v>
                </c:pt>
                <c:pt idx="4">
                  <c:v>9.5122466666666672E-4</c:v>
                </c:pt>
                <c:pt idx="5">
                  <c:v>9.9617033333333337E-4</c:v>
                </c:pt>
                <c:pt idx="6">
                  <c:v>1.0417569999999999E-3</c:v>
                </c:pt>
                <c:pt idx="7">
                  <c:v>1.0878156666666668E-3</c:v>
                </c:pt>
                <c:pt idx="8">
                  <c:v>1.1354430000000001E-3</c:v>
                </c:pt>
                <c:pt idx="9">
                  <c:v>1.1869319999999999E-3</c:v>
                </c:pt>
                <c:pt idx="10">
                  <c:v>1.2313093333333333E-3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2-40F9-B517-ACB173EF5640}"/>
            </c:ext>
          </c:extLst>
        </c:ser>
        <c:ser>
          <c:idx val="1"/>
          <c:order val="1"/>
          <c:tx>
            <c:strRef>
              <c:f>'Average comparison'!$F$1:$F$1</c:f>
              <c:strCache>
                <c:ptCount val="1"/>
                <c:pt idx="0">
                  <c:v>WT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comparison'!$F$2:$F$12</c:f>
              <c:numCache>
                <c:formatCode>General</c:formatCode>
                <c:ptCount val="11"/>
                <c:pt idx="0">
                  <c:v>7.6470266666666667E-4</c:v>
                </c:pt>
                <c:pt idx="1">
                  <c:v>8.1749666666666666E-4</c:v>
                </c:pt>
                <c:pt idx="2">
                  <c:v>8.6532233333333323E-4</c:v>
                </c:pt>
                <c:pt idx="3">
                  <c:v>9.1171566666666676E-4</c:v>
                </c:pt>
                <c:pt idx="4">
                  <c:v>9.6020666666666655E-4</c:v>
                </c:pt>
                <c:pt idx="5">
                  <c:v>1.0090260000000001E-3</c:v>
                </c:pt>
                <c:pt idx="6">
                  <c:v>1.0592683333333333E-3</c:v>
                </c:pt>
                <c:pt idx="7">
                  <c:v>1.1132449999999999E-3</c:v>
                </c:pt>
                <c:pt idx="8">
                  <c:v>1.1742233333333332E-3</c:v>
                </c:pt>
                <c:pt idx="9">
                  <c:v>1.2511273333333333E-3</c:v>
                </c:pt>
                <c:pt idx="10">
                  <c:v>1.3567673333333332E-3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2-40F9-B517-ACB173EF5640}"/>
            </c:ext>
          </c:extLst>
        </c:ser>
        <c:ser>
          <c:idx val="2"/>
          <c:order val="2"/>
          <c:tx>
            <c:strRef>
              <c:f>'Average comparison'!$I$1:$I$1</c:f>
              <c:strCache>
                <c:ptCount val="1"/>
                <c:pt idx="0">
                  <c:v>Spore-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comparison'!$I$2:$I$12</c:f>
              <c:numCache>
                <c:formatCode>General</c:formatCode>
                <c:ptCount val="11"/>
                <c:pt idx="0">
                  <c:v>4.6356433333333332E-3</c:v>
                </c:pt>
                <c:pt idx="1">
                  <c:v>4.8003799999999999E-3</c:v>
                </c:pt>
                <c:pt idx="2">
                  <c:v>4.9254833333333336E-3</c:v>
                </c:pt>
                <c:pt idx="3">
                  <c:v>5.04456E-3</c:v>
                </c:pt>
                <c:pt idx="4">
                  <c:v>5.1537566666666661E-3</c:v>
                </c:pt>
                <c:pt idx="5">
                  <c:v>5.2652966666666664E-3</c:v>
                </c:pt>
                <c:pt idx="6">
                  <c:v>5.3778099999999994E-3</c:v>
                </c:pt>
                <c:pt idx="7">
                  <c:v>5.489986666666666E-3</c:v>
                </c:pt>
                <c:pt idx="8">
                  <c:v>5.6066966666666667E-3</c:v>
                </c:pt>
                <c:pt idx="9">
                  <c:v>5.7279266666666667E-3</c:v>
                </c:pt>
                <c:pt idx="10">
                  <c:v>5.8629299999999997E-3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C2-40F9-B517-ACB173EF5640}"/>
            </c:ext>
          </c:extLst>
        </c:ser>
        <c:ser>
          <c:idx val="3"/>
          <c:order val="3"/>
          <c:tx>
            <c:strRef>
              <c:f>'Average comparison'!$L$1:$L$1</c:f>
              <c:strCache>
                <c:ptCount val="1"/>
                <c:pt idx="0">
                  <c:v>Spore-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comparison'!$L$2:$L$12</c:f>
              <c:numCache>
                <c:formatCode>General</c:formatCode>
                <c:ptCount val="11"/>
                <c:pt idx="0">
                  <c:v>6.8637333333333335E-3</c:v>
                </c:pt>
                <c:pt idx="1">
                  <c:v>7.108916666666667E-3</c:v>
                </c:pt>
                <c:pt idx="2">
                  <c:v>7.2953099999999993E-3</c:v>
                </c:pt>
                <c:pt idx="3">
                  <c:v>7.4819133333333329E-3</c:v>
                </c:pt>
                <c:pt idx="4">
                  <c:v>7.6567333333333329E-3</c:v>
                </c:pt>
                <c:pt idx="5">
                  <c:v>7.8367233333333335E-3</c:v>
                </c:pt>
                <c:pt idx="6">
                  <c:v>8.0185766666666658E-3</c:v>
                </c:pt>
                <c:pt idx="7">
                  <c:v>8.2040700000000008E-3</c:v>
                </c:pt>
                <c:pt idx="8">
                  <c:v>8.3823300000000003E-3</c:v>
                </c:pt>
                <c:pt idx="9">
                  <c:v>8.6147333333333326E-3</c:v>
                </c:pt>
                <c:pt idx="10">
                  <c:v>8.8738033333333327E-3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C2-40F9-B517-ACB173EF5640}"/>
            </c:ext>
          </c:extLst>
        </c:ser>
        <c:ser>
          <c:idx val="4"/>
          <c:order val="4"/>
          <c:tx>
            <c:strRef>
              <c:f>'Average comparison'!$O$1:$O$1</c:f>
              <c:strCache>
                <c:ptCount val="1"/>
                <c:pt idx="0">
                  <c:v>PGA-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comparison'!$O$2:$O$12</c:f>
              <c:numCache>
                <c:formatCode>General</c:formatCode>
                <c:ptCount val="11"/>
                <c:pt idx="0">
                  <c:v>8.8437033333333326E-4</c:v>
                </c:pt>
                <c:pt idx="1">
                  <c:v>9.4087300000000006E-4</c:v>
                </c:pt>
                <c:pt idx="2">
                  <c:v>9.9815199999999998E-4</c:v>
                </c:pt>
                <c:pt idx="3">
                  <c:v>1.0531366666666666E-3</c:v>
                </c:pt>
                <c:pt idx="4">
                  <c:v>1.1066799999999999E-3</c:v>
                </c:pt>
                <c:pt idx="5">
                  <c:v>1.1603150000000001E-3</c:v>
                </c:pt>
                <c:pt idx="6">
                  <c:v>1.2149209999999999E-3</c:v>
                </c:pt>
                <c:pt idx="7">
                  <c:v>1.2708863333333335E-3</c:v>
                </c:pt>
                <c:pt idx="8">
                  <c:v>1.3304853333333333E-3</c:v>
                </c:pt>
                <c:pt idx="9">
                  <c:v>1.4009236666666666E-3</c:v>
                </c:pt>
                <c:pt idx="10">
                  <c:v>1.4855153333333336E-3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C2-40F9-B517-ACB173EF5640}"/>
            </c:ext>
          </c:extLst>
        </c:ser>
        <c:ser>
          <c:idx val="5"/>
          <c:order val="5"/>
          <c:tx>
            <c:strRef>
              <c:f>'Average comparison'!$R$1:$R$1</c:f>
              <c:strCache>
                <c:ptCount val="1"/>
                <c:pt idx="0">
                  <c:v>PGA-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comparison'!$R$2:$R$12</c:f>
              <c:numCache>
                <c:formatCode>General</c:formatCode>
                <c:ptCount val="11"/>
                <c:pt idx="0">
                  <c:v>2.3839704999999997E-3</c:v>
                </c:pt>
                <c:pt idx="1">
                  <c:v>2.4178850000000003E-3</c:v>
                </c:pt>
                <c:pt idx="2">
                  <c:v>2.4813075E-3</c:v>
                </c:pt>
                <c:pt idx="3">
                  <c:v>2.5314504999999999E-3</c:v>
                </c:pt>
                <c:pt idx="4">
                  <c:v>2.5801800000000001E-3</c:v>
                </c:pt>
                <c:pt idx="5">
                  <c:v>2.6313364999999999E-3</c:v>
                </c:pt>
                <c:pt idx="6">
                  <c:v>2.6854579999999999E-3</c:v>
                </c:pt>
                <c:pt idx="7">
                  <c:v>2.7394504999999998E-3</c:v>
                </c:pt>
                <c:pt idx="8">
                  <c:v>2.7961869999999999E-3</c:v>
                </c:pt>
                <c:pt idx="9">
                  <c:v>2.8544289999999999E-3</c:v>
                </c:pt>
                <c:pt idx="10">
                  <c:v>2.9274639999999998E-3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C2-40F9-B517-ACB173EF5640}"/>
            </c:ext>
          </c:extLst>
        </c:ser>
        <c:ser>
          <c:idx val="6"/>
          <c:order val="6"/>
          <c:tx>
            <c:strRef>
              <c:f>'Average comparison'!$U$1:$U$1</c:f>
              <c:strCache>
                <c:ptCount val="1"/>
                <c:pt idx="0">
                  <c:v>EPS-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comparison'!$U$2:$U$12</c:f>
              <c:numCache>
                <c:formatCode>0.00E+00</c:formatCode>
                <c:ptCount val="11"/>
                <c:pt idx="0">
                  <c:v>1.0047643333333334E-3</c:v>
                </c:pt>
                <c:pt idx="1">
                  <c:v>1.10425E-3</c:v>
                </c:pt>
                <c:pt idx="2">
                  <c:v>1.1889253333333333E-3</c:v>
                </c:pt>
                <c:pt idx="3">
                  <c:v>1.2695283333333334E-3</c:v>
                </c:pt>
                <c:pt idx="4">
                  <c:v>1.3515833333333333E-3</c:v>
                </c:pt>
                <c:pt idx="5">
                  <c:v>1.4319333333333332E-3</c:v>
                </c:pt>
                <c:pt idx="6">
                  <c:v>1.5110066666666666E-3</c:v>
                </c:pt>
                <c:pt idx="7">
                  <c:v>1.5956733333333335E-3</c:v>
                </c:pt>
                <c:pt idx="8">
                  <c:v>1.7024166666666665E-3</c:v>
                </c:pt>
                <c:pt idx="9">
                  <c:v>1.86005E-3</c:v>
                </c:pt>
                <c:pt idx="10">
                  <c:v>2.1350166666666667E-3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C2-40F9-B517-ACB173EF5640}"/>
            </c:ext>
          </c:extLst>
        </c:ser>
        <c:ser>
          <c:idx val="7"/>
          <c:order val="7"/>
          <c:tx>
            <c:strRef>
              <c:f>'Average comparison'!$X$1:$X$1</c:f>
              <c:strCache>
                <c:ptCount val="1"/>
                <c:pt idx="0">
                  <c:v>EPS-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comparison'!$X$2:$X$12</c:f>
              <c:numCache>
                <c:formatCode>General</c:formatCode>
                <c:ptCount val="11"/>
                <c:pt idx="0">
                  <c:v>4.9650149999999995E-4</c:v>
                </c:pt>
                <c:pt idx="1">
                  <c:v>5.3451049999999993E-4</c:v>
                </c:pt>
                <c:pt idx="2">
                  <c:v>5.665415E-4</c:v>
                </c:pt>
                <c:pt idx="3">
                  <c:v>6.0039300000000006E-4</c:v>
                </c:pt>
                <c:pt idx="4">
                  <c:v>6.3572899999999992E-4</c:v>
                </c:pt>
                <c:pt idx="5">
                  <c:v>6.710214999999999E-4</c:v>
                </c:pt>
                <c:pt idx="6">
                  <c:v>7.0787499999999995E-4</c:v>
                </c:pt>
                <c:pt idx="7">
                  <c:v>7.4629350000000004E-4</c:v>
                </c:pt>
                <c:pt idx="8">
                  <c:v>7.8710849999999997E-4</c:v>
                </c:pt>
                <c:pt idx="9">
                  <c:v>8.3442949999999998E-4</c:v>
                </c:pt>
                <c:pt idx="10">
                  <c:v>8.8229300000000003E-4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C2-40F9-B517-ACB173EF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336096"/>
        <c:axId val="1250333216"/>
      </c:scatterChart>
      <c:valAx>
        <c:axId val="1250336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 frequency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33216"/>
        <c:crosses val="autoZero"/>
        <c:crossBetween val="midCat"/>
      </c:valAx>
      <c:valAx>
        <c:axId val="1250333216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Storage modulus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comparison'!$D$1:$D$1</c:f>
              <c:strCache>
                <c:ptCount val="1"/>
                <c:pt idx="0">
                  <c:v>WT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comparison'!$D$2:$D$12</c:f>
              <c:numCache>
                <c:formatCode>General</c:formatCode>
                <c:ptCount val="11"/>
                <c:pt idx="0">
                  <c:v>1.6397043333333334E-4</c:v>
                </c:pt>
                <c:pt idx="1">
                  <c:v>1.6017083333333336E-4</c:v>
                </c:pt>
                <c:pt idx="2">
                  <c:v>1.5944853333333333E-4</c:v>
                </c:pt>
                <c:pt idx="3">
                  <c:v>1.595659E-4</c:v>
                </c:pt>
                <c:pt idx="4">
                  <c:v>1.5987806666666667E-4</c:v>
                </c:pt>
                <c:pt idx="5">
                  <c:v>1.6450333333333333E-4</c:v>
                </c:pt>
                <c:pt idx="6">
                  <c:v>1.7014033333333331E-4</c:v>
                </c:pt>
                <c:pt idx="7">
                  <c:v>1.78772E-4</c:v>
                </c:pt>
                <c:pt idx="8">
                  <c:v>1.911516666666667E-4</c:v>
                </c:pt>
                <c:pt idx="9">
                  <c:v>2.0823033333333335E-4</c:v>
                </c:pt>
                <c:pt idx="10">
                  <c:v>2.3456366666666667E-4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B-414C-ABBD-91264A2FB519}"/>
            </c:ext>
          </c:extLst>
        </c:ser>
        <c:ser>
          <c:idx val="1"/>
          <c:order val="1"/>
          <c:tx>
            <c:strRef>
              <c:f>'Average comparison'!$G$1:$G$1</c:f>
              <c:strCache>
                <c:ptCount val="1"/>
                <c:pt idx="0">
                  <c:v>WT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comparison'!$G$2:$G$12</c:f>
              <c:numCache>
                <c:formatCode>General</c:formatCode>
                <c:ptCount val="11"/>
                <c:pt idx="0">
                  <c:v>1.6534533333333336E-4</c:v>
                </c:pt>
                <c:pt idx="1">
                  <c:v>1.6293533333333336E-4</c:v>
                </c:pt>
                <c:pt idx="2">
                  <c:v>1.5882533333333332E-4</c:v>
                </c:pt>
                <c:pt idx="3">
                  <c:v>1.60459E-4</c:v>
                </c:pt>
                <c:pt idx="4">
                  <c:v>1.6199700000000001E-4</c:v>
                </c:pt>
                <c:pt idx="5">
                  <c:v>1.6579033333333334E-4</c:v>
                </c:pt>
                <c:pt idx="6">
                  <c:v>1.7195833333333334E-4</c:v>
                </c:pt>
                <c:pt idx="7">
                  <c:v>1.8084899999999999E-4</c:v>
                </c:pt>
                <c:pt idx="8">
                  <c:v>1.9314900000000002E-4</c:v>
                </c:pt>
                <c:pt idx="9">
                  <c:v>2.1050633333333333E-4</c:v>
                </c:pt>
                <c:pt idx="10">
                  <c:v>2.3475899999999999E-4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DB-414C-ABBD-91264A2FB519}"/>
            </c:ext>
          </c:extLst>
        </c:ser>
        <c:ser>
          <c:idx val="2"/>
          <c:order val="2"/>
          <c:tx>
            <c:strRef>
              <c:f>'Average comparison'!$J$1:$J$1</c:f>
              <c:strCache>
                <c:ptCount val="1"/>
                <c:pt idx="0">
                  <c:v>Spore-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comparison'!$J$2:$J$12</c:f>
              <c:numCache>
                <c:formatCode>General</c:formatCode>
                <c:ptCount val="11"/>
                <c:pt idx="0">
                  <c:v>6.5170333333333327E-4</c:v>
                </c:pt>
                <c:pt idx="1">
                  <c:v>5.4932033333333333E-4</c:v>
                </c:pt>
                <c:pt idx="2">
                  <c:v>5.0949933333333333E-4</c:v>
                </c:pt>
                <c:pt idx="3">
                  <c:v>4.7420600000000002E-4</c:v>
                </c:pt>
                <c:pt idx="4">
                  <c:v>4.5121733333333328E-4</c:v>
                </c:pt>
                <c:pt idx="5">
                  <c:v>4.4177533333333331E-4</c:v>
                </c:pt>
                <c:pt idx="6">
                  <c:v>4.4119966666666667E-4</c:v>
                </c:pt>
                <c:pt idx="7">
                  <c:v>4.5486966666666669E-4</c:v>
                </c:pt>
                <c:pt idx="8">
                  <c:v>4.7963799999999995E-4</c:v>
                </c:pt>
                <c:pt idx="9">
                  <c:v>5.1995399999999999E-4</c:v>
                </c:pt>
                <c:pt idx="10">
                  <c:v>5.7877733333333342E-4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DB-414C-ABBD-91264A2FB519}"/>
            </c:ext>
          </c:extLst>
        </c:ser>
        <c:ser>
          <c:idx val="3"/>
          <c:order val="3"/>
          <c:tx>
            <c:strRef>
              <c:f>'Average comparison'!$M$1:$M$1</c:f>
              <c:strCache>
                <c:ptCount val="1"/>
                <c:pt idx="0">
                  <c:v>Spore-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comparison'!$M$2:$M$12</c:f>
              <c:numCache>
                <c:formatCode>General</c:formatCode>
                <c:ptCount val="11"/>
                <c:pt idx="0">
                  <c:v>1.0118109999999998E-3</c:v>
                </c:pt>
                <c:pt idx="1">
                  <c:v>8.6993833333333338E-4</c:v>
                </c:pt>
                <c:pt idx="2">
                  <c:v>8.0995766666666668E-4</c:v>
                </c:pt>
                <c:pt idx="3">
                  <c:v>7.6609033333333335E-4</c:v>
                </c:pt>
                <c:pt idx="4">
                  <c:v>7.4698266666666663E-4</c:v>
                </c:pt>
                <c:pt idx="5">
                  <c:v>7.4996433333333337E-4</c:v>
                </c:pt>
                <c:pt idx="6">
                  <c:v>7.6597833333333332E-4</c:v>
                </c:pt>
                <c:pt idx="7">
                  <c:v>7.9691466666666655E-4</c:v>
                </c:pt>
                <c:pt idx="8">
                  <c:v>8.5006100000000005E-4</c:v>
                </c:pt>
                <c:pt idx="9">
                  <c:v>9.0282433333333347E-4</c:v>
                </c:pt>
                <c:pt idx="10">
                  <c:v>9.7966766666666657E-4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DB-414C-ABBD-91264A2FB519}"/>
            </c:ext>
          </c:extLst>
        </c:ser>
        <c:ser>
          <c:idx val="4"/>
          <c:order val="4"/>
          <c:tx>
            <c:strRef>
              <c:f>'Average comparison'!$P$1:$P$1</c:f>
              <c:strCache>
                <c:ptCount val="1"/>
                <c:pt idx="0">
                  <c:v>PGA-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comparison'!$P$2:$P$12</c:f>
              <c:numCache>
                <c:formatCode>General</c:formatCode>
                <c:ptCount val="11"/>
                <c:pt idx="0">
                  <c:v>1.8924899999999998E-4</c:v>
                </c:pt>
                <c:pt idx="1">
                  <c:v>1.7993933333333332E-4</c:v>
                </c:pt>
                <c:pt idx="2">
                  <c:v>1.8116966666666665E-4</c:v>
                </c:pt>
                <c:pt idx="3">
                  <c:v>1.8056500000000002E-4</c:v>
                </c:pt>
                <c:pt idx="4">
                  <c:v>1.8171766666666669E-4</c:v>
                </c:pt>
                <c:pt idx="5">
                  <c:v>1.8486866666666667E-4</c:v>
                </c:pt>
                <c:pt idx="6">
                  <c:v>1.9025166666666667E-4</c:v>
                </c:pt>
                <c:pt idx="7">
                  <c:v>1.9948833333333332E-4</c:v>
                </c:pt>
                <c:pt idx="8">
                  <c:v>2.1356200000000001E-4</c:v>
                </c:pt>
                <c:pt idx="9">
                  <c:v>2.3318766666666666E-4</c:v>
                </c:pt>
                <c:pt idx="10">
                  <c:v>2.6295900000000006E-4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DB-414C-ABBD-91264A2FB519}"/>
            </c:ext>
          </c:extLst>
        </c:ser>
        <c:ser>
          <c:idx val="5"/>
          <c:order val="5"/>
          <c:tx>
            <c:strRef>
              <c:f>'Average comparison'!$S$1:$S$1</c:f>
              <c:strCache>
                <c:ptCount val="1"/>
                <c:pt idx="0">
                  <c:v>PGA-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comparison'!$S$2:$S$12</c:f>
              <c:numCache>
                <c:formatCode>General</c:formatCode>
                <c:ptCount val="11"/>
                <c:pt idx="0">
                  <c:v>2.0853709999999999E-4</c:v>
                </c:pt>
                <c:pt idx="1">
                  <c:v>1.7468655000000001E-4</c:v>
                </c:pt>
                <c:pt idx="2">
                  <c:v>1.7877839999999999E-4</c:v>
                </c:pt>
                <c:pt idx="3">
                  <c:v>1.7617829999999997E-4</c:v>
                </c:pt>
                <c:pt idx="4">
                  <c:v>1.761686E-4</c:v>
                </c:pt>
                <c:pt idx="5">
                  <c:v>1.8317749999999998E-4</c:v>
                </c:pt>
                <c:pt idx="6">
                  <c:v>1.8743049999999999E-4</c:v>
                </c:pt>
                <c:pt idx="7">
                  <c:v>1.9367549999999999E-4</c:v>
                </c:pt>
                <c:pt idx="8">
                  <c:v>2.0541099999999999E-4</c:v>
                </c:pt>
                <c:pt idx="9">
                  <c:v>2.2147649999999997E-4</c:v>
                </c:pt>
                <c:pt idx="10">
                  <c:v>2.4809349999999997E-4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DB-414C-ABBD-91264A2FB519}"/>
            </c:ext>
          </c:extLst>
        </c:ser>
        <c:ser>
          <c:idx val="6"/>
          <c:order val="6"/>
          <c:tx>
            <c:strRef>
              <c:f>'Average comparison'!$V$1:$V$1</c:f>
              <c:strCache>
                <c:ptCount val="1"/>
                <c:pt idx="0">
                  <c:v>EPS-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comparison'!$V$2:$V$12</c:f>
              <c:numCache>
                <c:formatCode>0.00E+00</c:formatCode>
                <c:ptCount val="11"/>
                <c:pt idx="0">
                  <c:v>2.4160733333333337E-4</c:v>
                </c:pt>
                <c:pt idx="1">
                  <c:v>2.3342299999999999E-4</c:v>
                </c:pt>
                <c:pt idx="2">
                  <c:v>2.2754033333333333E-4</c:v>
                </c:pt>
                <c:pt idx="3">
                  <c:v>2.2417499999999999E-4</c:v>
                </c:pt>
                <c:pt idx="4">
                  <c:v>2.2674433333333334E-4</c:v>
                </c:pt>
                <c:pt idx="5">
                  <c:v>2.3357633333333334E-4</c:v>
                </c:pt>
                <c:pt idx="6">
                  <c:v>2.4169733333333332E-4</c:v>
                </c:pt>
                <c:pt idx="7">
                  <c:v>2.5569766666666663E-4</c:v>
                </c:pt>
                <c:pt idx="8">
                  <c:v>2.7593366666666666E-4</c:v>
                </c:pt>
                <c:pt idx="9">
                  <c:v>3.0306333333333333E-4</c:v>
                </c:pt>
                <c:pt idx="10">
                  <c:v>3.4296766666666671E-4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DB-414C-ABBD-91264A2FB519}"/>
            </c:ext>
          </c:extLst>
        </c:ser>
        <c:ser>
          <c:idx val="7"/>
          <c:order val="7"/>
          <c:tx>
            <c:strRef>
              <c:f>'Average comparison'!$Y$1:$Y$1</c:f>
              <c:strCache>
                <c:ptCount val="1"/>
                <c:pt idx="0">
                  <c:v>EPS-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comparison'!$Y$2:$Y$12</c:f>
              <c:numCache>
                <c:formatCode>General</c:formatCode>
                <c:ptCount val="11"/>
                <c:pt idx="0">
                  <c:v>1.3218195000000001E-4</c:v>
                </c:pt>
                <c:pt idx="1">
                  <c:v>1.3669030000000002E-4</c:v>
                </c:pt>
                <c:pt idx="2">
                  <c:v>1.2995725000000002E-4</c:v>
                </c:pt>
                <c:pt idx="3">
                  <c:v>1.3084804999999999E-4</c:v>
                </c:pt>
                <c:pt idx="4">
                  <c:v>1.3173650000000001E-4</c:v>
                </c:pt>
                <c:pt idx="5">
                  <c:v>1.3277060000000001E-4</c:v>
                </c:pt>
                <c:pt idx="6">
                  <c:v>1.360341E-4</c:v>
                </c:pt>
                <c:pt idx="7">
                  <c:v>1.4032635000000001E-4</c:v>
                </c:pt>
                <c:pt idx="8">
                  <c:v>1.4754585E-4</c:v>
                </c:pt>
                <c:pt idx="9">
                  <c:v>1.5828169999999999E-4</c:v>
                </c:pt>
                <c:pt idx="10">
                  <c:v>1.74754E-4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DB-414C-ABBD-91264A2F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99760"/>
        <c:axId val="403598320"/>
      </c:scatterChart>
      <c:valAx>
        <c:axId val="4035997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Angular frequency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98320"/>
        <c:crosses val="autoZero"/>
        <c:crossBetween val="midCat"/>
      </c:valAx>
      <c:valAx>
        <c:axId val="403598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modulus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9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comparison'!$C$1</c:f>
              <c:strCache>
                <c:ptCount val="1"/>
                <c:pt idx="0">
                  <c:v>WT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comparison'!$C$2:$C$12</c:f>
              <c:numCache>
                <c:formatCode>General</c:formatCode>
                <c:ptCount val="11"/>
                <c:pt idx="0">
                  <c:v>7.635556666666666E-4</c:v>
                </c:pt>
                <c:pt idx="1">
                  <c:v>8.1193899999999991E-4</c:v>
                </c:pt>
                <c:pt idx="2">
                  <c:v>8.5858566666666657E-4</c:v>
                </c:pt>
                <c:pt idx="3">
                  <c:v>9.0507166666666666E-4</c:v>
                </c:pt>
                <c:pt idx="4">
                  <c:v>9.5122466666666672E-4</c:v>
                </c:pt>
                <c:pt idx="5">
                  <c:v>9.9617033333333337E-4</c:v>
                </c:pt>
                <c:pt idx="6">
                  <c:v>1.0417569999999999E-3</c:v>
                </c:pt>
                <c:pt idx="7">
                  <c:v>1.0878156666666668E-3</c:v>
                </c:pt>
                <c:pt idx="8">
                  <c:v>1.1354430000000001E-3</c:v>
                </c:pt>
                <c:pt idx="9">
                  <c:v>1.1869319999999999E-3</c:v>
                </c:pt>
                <c:pt idx="10">
                  <c:v>1.2313093333333333E-3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B-4C3E-8218-64748CCE689E}"/>
            </c:ext>
          </c:extLst>
        </c:ser>
        <c:ser>
          <c:idx val="1"/>
          <c:order val="1"/>
          <c:tx>
            <c:strRef>
              <c:f>'Average comparison'!$D$1</c:f>
              <c:strCache>
                <c:ptCount val="1"/>
                <c:pt idx="0">
                  <c:v>WT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comparison'!$D$2:$D$12</c:f>
              <c:numCache>
                <c:formatCode>General</c:formatCode>
                <c:ptCount val="11"/>
                <c:pt idx="0">
                  <c:v>1.6397043333333334E-4</c:v>
                </c:pt>
                <c:pt idx="1">
                  <c:v>1.6017083333333336E-4</c:v>
                </c:pt>
                <c:pt idx="2">
                  <c:v>1.5944853333333333E-4</c:v>
                </c:pt>
                <c:pt idx="3">
                  <c:v>1.595659E-4</c:v>
                </c:pt>
                <c:pt idx="4">
                  <c:v>1.5987806666666667E-4</c:v>
                </c:pt>
                <c:pt idx="5">
                  <c:v>1.6450333333333333E-4</c:v>
                </c:pt>
                <c:pt idx="6">
                  <c:v>1.7014033333333331E-4</c:v>
                </c:pt>
                <c:pt idx="7">
                  <c:v>1.78772E-4</c:v>
                </c:pt>
                <c:pt idx="8">
                  <c:v>1.911516666666667E-4</c:v>
                </c:pt>
                <c:pt idx="9">
                  <c:v>2.0823033333333335E-4</c:v>
                </c:pt>
                <c:pt idx="10">
                  <c:v>2.3456366666666667E-4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8B-4C3E-8218-64748CCE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78768"/>
        <c:axId val="687881168"/>
      </c:scatterChart>
      <c:valAx>
        <c:axId val="6878787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81168"/>
        <c:crosses val="autoZero"/>
        <c:crossBetween val="midCat"/>
      </c:valAx>
      <c:valAx>
        <c:axId val="6878811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7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comparison'!$I$1</c:f>
              <c:strCache>
                <c:ptCount val="1"/>
                <c:pt idx="0">
                  <c:v>Spore-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comparison'!$I$2:$I$12</c:f>
              <c:numCache>
                <c:formatCode>General</c:formatCode>
                <c:ptCount val="11"/>
                <c:pt idx="0">
                  <c:v>4.6356433333333332E-3</c:v>
                </c:pt>
                <c:pt idx="1">
                  <c:v>4.8003799999999999E-3</c:v>
                </c:pt>
                <c:pt idx="2">
                  <c:v>4.9254833333333336E-3</c:v>
                </c:pt>
                <c:pt idx="3">
                  <c:v>5.04456E-3</c:v>
                </c:pt>
                <c:pt idx="4">
                  <c:v>5.1537566666666661E-3</c:v>
                </c:pt>
                <c:pt idx="5">
                  <c:v>5.2652966666666664E-3</c:v>
                </c:pt>
                <c:pt idx="6">
                  <c:v>5.3778099999999994E-3</c:v>
                </c:pt>
                <c:pt idx="7">
                  <c:v>5.489986666666666E-3</c:v>
                </c:pt>
                <c:pt idx="8">
                  <c:v>5.6066966666666667E-3</c:v>
                </c:pt>
                <c:pt idx="9">
                  <c:v>5.7279266666666667E-3</c:v>
                </c:pt>
                <c:pt idx="10">
                  <c:v>5.8629299999999997E-3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2-4E64-8F27-71A00D691FFB}"/>
            </c:ext>
          </c:extLst>
        </c:ser>
        <c:ser>
          <c:idx val="1"/>
          <c:order val="1"/>
          <c:tx>
            <c:strRef>
              <c:f>'Average comparison'!$J$1</c:f>
              <c:strCache>
                <c:ptCount val="1"/>
                <c:pt idx="0">
                  <c:v>Spore-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comparison'!$J$2:$J$12</c:f>
              <c:numCache>
                <c:formatCode>General</c:formatCode>
                <c:ptCount val="11"/>
                <c:pt idx="0">
                  <c:v>6.5170333333333327E-4</c:v>
                </c:pt>
                <c:pt idx="1">
                  <c:v>5.4932033333333333E-4</c:v>
                </c:pt>
                <c:pt idx="2">
                  <c:v>5.0949933333333333E-4</c:v>
                </c:pt>
                <c:pt idx="3">
                  <c:v>4.7420600000000002E-4</c:v>
                </c:pt>
                <c:pt idx="4">
                  <c:v>4.5121733333333328E-4</c:v>
                </c:pt>
                <c:pt idx="5">
                  <c:v>4.4177533333333331E-4</c:v>
                </c:pt>
                <c:pt idx="6">
                  <c:v>4.4119966666666667E-4</c:v>
                </c:pt>
                <c:pt idx="7">
                  <c:v>4.5486966666666669E-4</c:v>
                </c:pt>
                <c:pt idx="8">
                  <c:v>4.7963799999999995E-4</c:v>
                </c:pt>
                <c:pt idx="9">
                  <c:v>5.1995399999999999E-4</c:v>
                </c:pt>
                <c:pt idx="10">
                  <c:v>5.7877733333333342E-4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2-4E64-8F27-71A00D691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724752"/>
        <c:axId val="821722352"/>
      </c:scatterChart>
      <c:valAx>
        <c:axId val="821724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2352"/>
        <c:crosses val="autoZero"/>
        <c:crossBetween val="midCat"/>
      </c:valAx>
      <c:valAx>
        <c:axId val="821722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320674</xdr:colOff>
      <xdr:row>15</xdr:row>
      <xdr:rowOff>158750</xdr:rowOff>
    </xdr:from>
    <xdr:to>
      <xdr:col>12</xdr:col>
      <xdr:colOff>165099</xdr:colOff>
      <xdr:row>39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99E92F-CDC7-C779-C88C-050907DAA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422274</xdr:colOff>
      <xdr:row>15</xdr:row>
      <xdr:rowOff>171450</xdr:rowOff>
    </xdr:from>
    <xdr:to>
      <xdr:col>12</xdr:col>
      <xdr:colOff>165099</xdr:colOff>
      <xdr:row>38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0E4EAF-DBAF-ADC8-B27D-EEF1FA15D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269874</xdr:colOff>
      <xdr:row>15</xdr:row>
      <xdr:rowOff>76200</xdr:rowOff>
    </xdr:from>
    <xdr:to>
      <xdr:col>11</xdr:col>
      <xdr:colOff>387349</xdr:colOff>
      <xdr:row>39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7DE32-6A1D-CE0E-1274-E4272CE89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14</xdr:row>
      <xdr:rowOff>152400</xdr:rowOff>
    </xdr:from>
    <xdr:to>
      <xdr:col>11</xdr:col>
      <xdr:colOff>469899</xdr:colOff>
      <xdr:row>40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5A904-00B0-5700-EA92-2F1C03B90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14</xdr:row>
      <xdr:rowOff>114300</xdr:rowOff>
    </xdr:from>
    <xdr:to>
      <xdr:col>12</xdr:col>
      <xdr:colOff>279399</xdr:colOff>
      <xdr:row>39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FA309-4401-32BC-A214-B1FE7F3F4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15</xdr:row>
      <xdr:rowOff>31750</xdr:rowOff>
    </xdr:from>
    <xdr:to>
      <xdr:col>13</xdr:col>
      <xdr:colOff>552449</xdr:colOff>
      <xdr:row>40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5A6C3-0AFA-1046-F6D7-614F08FCF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155574</xdr:colOff>
      <xdr:row>14</xdr:row>
      <xdr:rowOff>107950</xdr:rowOff>
    </xdr:from>
    <xdr:to>
      <xdr:col>12</xdr:col>
      <xdr:colOff>107949</xdr:colOff>
      <xdr:row>38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687EB-C174-4905-B4C3-34524CE68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155574</xdr:colOff>
      <xdr:row>14</xdr:row>
      <xdr:rowOff>107950</xdr:rowOff>
    </xdr:from>
    <xdr:to>
      <xdr:col>12</xdr:col>
      <xdr:colOff>107949</xdr:colOff>
      <xdr:row>38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137A5-B17A-D372-532D-9FACFA192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15</xdr:row>
      <xdr:rowOff>82550</xdr:rowOff>
    </xdr:from>
    <xdr:to>
      <xdr:col>13</xdr:col>
      <xdr:colOff>126999</xdr:colOff>
      <xdr:row>39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BFA00-E9E9-81BF-D898-5405CBCC3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130174</xdr:colOff>
      <xdr:row>13</xdr:row>
      <xdr:rowOff>158750</xdr:rowOff>
    </xdr:from>
    <xdr:to>
      <xdr:col>12</xdr:col>
      <xdr:colOff>380999</xdr:colOff>
      <xdr:row>39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39ECC-074E-DAD3-B3EA-8DA1384EA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498474</xdr:colOff>
      <xdr:row>13</xdr:row>
      <xdr:rowOff>158750</xdr:rowOff>
    </xdr:from>
    <xdr:to>
      <xdr:col>24</xdr:col>
      <xdr:colOff>431799</xdr:colOff>
      <xdr:row>39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52D38-8D5A-3B9B-C92C-7A729174B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39</xdr:row>
      <xdr:rowOff>174624</xdr:rowOff>
    </xdr:from>
    <xdr:to>
      <xdr:col>12</xdr:col>
      <xdr:colOff>469900</xdr:colOff>
      <xdr:row>60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12FEB-2CF4-5FAE-803B-76EDA63A9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508000</xdr:colOff>
      <xdr:row>39</xdr:row>
      <xdr:rowOff>168274</xdr:rowOff>
    </xdr:from>
    <xdr:to>
      <xdr:col>24</xdr:col>
      <xdr:colOff>482600</xdr:colOff>
      <xdr:row>60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F5BDE8-3815-10B3-7904-B7C13AAA0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D8B-3767-48FB-88BC-8FC7FD7AFA9A}">
  <dimension ref="A1:P13"/>
  <sheetViews>
    <sheetView topLeftCell="A6" workbookViewId="0">
      <selection activeCell="I1" sqref="I1"/>
    </sheetView>
  </sheetViews>
  <sheetFormatPr defaultColWidth="8.81640625" defaultRowHeight="14.5" x14ac:dyDescent="0.35"/>
  <cols>
    <col min="11" max="11" width="8.6328125" style="5"/>
    <col min="15" max="16" width="11.81640625" bestFit="1" customWidth="1"/>
  </cols>
  <sheetData>
    <row r="1" spans="1:16" ht="58" x14ac:dyDescent="0.35">
      <c r="A1" s="1" t="s">
        <v>0</v>
      </c>
      <c r="B1" s="1"/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5</v>
      </c>
      <c r="M1" s="1" t="s">
        <v>6</v>
      </c>
      <c r="O1" s="1" t="s">
        <v>7</v>
      </c>
      <c r="P1" s="1" t="s">
        <v>8</v>
      </c>
    </row>
    <row r="2" spans="1:16" x14ac:dyDescent="0.35">
      <c r="A2" s="1" t="s">
        <v>1</v>
      </c>
      <c r="B2" s="1"/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B3" s="2"/>
      <c r="C3" s="4">
        <v>3.6002899999999999E-4</v>
      </c>
      <c r="D3" s="4">
        <v>9.2107299999999998E-5</v>
      </c>
      <c r="F3" s="4">
        <v>8.8483799999999999E-4</v>
      </c>
      <c r="G3" s="4">
        <v>1.76737E-4</v>
      </c>
      <c r="I3" s="4">
        <v>1.0457999999999999E-3</v>
      </c>
      <c r="J3" s="4">
        <v>2.23067E-4</v>
      </c>
      <c r="L3" s="3">
        <f>AVERAGE(C3,F3,I3)</f>
        <v>7.635556666666666E-4</v>
      </c>
      <c r="M3" s="3">
        <f>AVERAGE(D3,G3,J3)</f>
        <v>1.6397043333333334E-4</v>
      </c>
      <c r="O3">
        <f>_xlfn.STDEV.P(C3,F3,I3)</f>
        <v>2.928054182038911E-4</v>
      </c>
      <c r="P3">
        <f>_xlfn.STDEV.P(D3,G3,J3)</f>
        <v>5.4220842698254777E-5</v>
      </c>
    </row>
    <row r="4" spans="1:16" x14ac:dyDescent="0.35">
      <c r="A4" s="2">
        <v>1.5849</v>
      </c>
      <c r="B4" s="2"/>
      <c r="C4" s="4">
        <v>3.8757800000000002E-4</v>
      </c>
      <c r="D4" s="4">
        <v>9.1649499999999997E-5</v>
      </c>
      <c r="F4" s="4">
        <v>9.3427899999999999E-4</v>
      </c>
      <c r="G4" s="4">
        <v>1.70144E-4</v>
      </c>
      <c r="I4" s="4">
        <v>1.11396E-3</v>
      </c>
      <c r="J4" s="4">
        <v>2.18719E-4</v>
      </c>
      <c r="L4" s="3">
        <f t="shared" ref="L4:L13" si="0">AVERAGE(C4,F4,I4)</f>
        <v>8.1193899999999991E-4</v>
      </c>
      <c r="M4" s="3">
        <f t="shared" ref="M4:M13" si="1">AVERAGE(D4,G4,J4)</f>
        <v>1.6017083333333336E-4</v>
      </c>
      <c r="O4">
        <f t="shared" ref="O4:O13" si="2">_xlfn.STDEV.P(C4,F4,I4)</f>
        <v>3.0890452589864503E-4</v>
      </c>
      <c r="P4">
        <f t="shared" ref="P4:P13" si="3">_xlfn.STDEV.P(D4,G4,J4)</f>
        <v>5.2353048288094509E-5</v>
      </c>
    </row>
    <row r="5" spans="1:16" x14ac:dyDescent="0.35">
      <c r="A5" s="2">
        <v>2.5118900000000002</v>
      </c>
      <c r="B5" s="2"/>
      <c r="C5" s="4">
        <v>4.1304900000000002E-4</v>
      </c>
      <c r="D5" s="4">
        <v>9.3071600000000005E-5</v>
      </c>
      <c r="F5" s="4">
        <v>9.8272799999999999E-4</v>
      </c>
      <c r="G5" s="4">
        <v>1.68722E-4</v>
      </c>
      <c r="I5" s="4">
        <v>1.17998E-3</v>
      </c>
      <c r="J5" s="4">
        <v>2.1655200000000001E-4</v>
      </c>
      <c r="L5" s="3">
        <f t="shared" si="0"/>
        <v>8.5858566666666657E-4</v>
      </c>
      <c r="M5" s="3">
        <f t="shared" si="1"/>
        <v>1.5944853333333333E-4</v>
      </c>
      <c r="O5">
        <f t="shared" si="2"/>
        <v>3.2517101027442299E-4</v>
      </c>
      <c r="P5">
        <f t="shared" si="3"/>
        <v>5.0835356357908572E-5</v>
      </c>
    </row>
    <row r="6" spans="1:16" x14ac:dyDescent="0.35">
      <c r="A6" s="2">
        <v>3.9810500000000002</v>
      </c>
      <c r="B6" s="2"/>
      <c r="C6" s="4">
        <v>4.3902500000000001E-4</v>
      </c>
      <c r="D6" s="4">
        <v>9.4837699999999995E-5</v>
      </c>
      <c r="F6" s="4">
        <v>1.0297699999999999E-3</v>
      </c>
      <c r="G6" s="4">
        <v>1.6750900000000001E-4</v>
      </c>
      <c r="I6" s="4">
        <v>1.24642E-3</v>
      </c>
      <c r="J6" s="4">
        <v>2.1635099999999999E-4</v>
      </c>
      <c r="L6" s="3">
        <f t="shared" si="0"/>
        <v>9.0507166666666666E-4</v>
      </c>
      <c r="M6" s="3">
        <f t="shared" si="1"/>
        <v>1.595659E-4</v>
      </c>
      <c r="O6">
        <f t="shared" si="2"/>
        <v>3.4120758809297048E-4</v>
      </c>
      <c r="P6">
        <f t="shared" si="3"/>
        <v>4.9924544046858018E-5</v>
      </c>
    </row>
    <row r="7" spans="1:16" x14ac:dyDescent="0.35">
      <c r="A7" s="2">
        <v>6.3095699999999999</v>
      </c>
      <c r="B7" s="2"/>
      <c r="C7" s="4">
        <v>4.65394E-4</v>
      </c>
      <c r="D7" s="4">
        <v>9.7055199999999999E-5</v>
      </c>
      <c r="F7" s="4">
        <v>1.0793199999999999E-3</v>
      </c>
      <c r="G7" s="4">
        <v>1.6908400000000001E-4</v>
      </c>
      <c r="I7" s="4">
        <v>1.3089600000000001E-3</v>
      </c>
      <c r="J7" s="4">
        <v>2.1349499999999999E-4</v>
      </c>
      <c r="L7" s="3">
        <f t="shared" si="0"/>
        <v>9.5122466666666672E-4</v>
      </c>
      <c r="M7" s="3">
        <f t="shared" si="1"/>
        <v>1.5987806666666667E-4</v>
      </c>
      <c r="O7">
        <f t="shared" si="2"/>
        <v>3.5609662537512986E-4</v>
      </c>
      <c r="P7">
        <f t="shared" si="3"/>
        <v>4.7979986538926366E-5</v>
      </c>
    </row>
    <row r="8" spans="1:16" x14ac:dyDescent="0.35">
      <c r="A8" s="2">
        <v>10.0001</v>
      </c>
      <c r="B8" s="2"/>
      <c r="C8" s="4">
        <v>4.9285099999999999E-4</v>
      </c>
      <c r="D8" s="4">
        <v>1.00758E-4</v>
      </c>
      <c r="F8" s="4">
        <v>1.1244899999999999E-3</v>
      </c>
      <c r="G8" s="4">
        <v>1.7430500000000001E-4</v>
      </c>
      <c r="I8" s="4">
        <v>1.3711699999999999E-3</v>
      </c>
      <c r="J8" s="4">
        <v>2.18447E-4</v>
      </c>
      <c r="L8" s="3">
        <f t="shared" si="0"/>
        <v>9.9617033333333337E-4</v>
      </c>
      <c r="M8" s="3">
        <f t="shared" si="1"/>
        <v>1.6450333333333333E-4</v>
      </c>
      <c r="O8">
        <f t="shared" si="2"/>
        <v>3.6987432016865159E-4</v>
      </c>
      <c r="P8">
        <f t="shared" si="3"/>
        <v>4.85436551455377E-5</v>
      </c>
    </row>
    <row r="9" spans="1:16" x14ac:dyDescent="0.35">
      <c r="A9" s="2">
        <v>15.849</v>
      </c>
      <c r="B9" s="2"/>
      <c r="C9" s="4">
        <v>5.2167100000000003E-4</v>
      </c>
      <c r="D9" s="4">
        <v>1.05537E-4</v>
      </c>
      <c r="F9" s="4">
        <v>1.1706399999999999E-3</v>
      </c>
      <c r="G9" s="4">
        <v>1.8070900000000001E-4</v>
      </c>
      <c r="I9" s="4">
        <v>1.43296E-3</v>
      </c>
      <c r="J9" s="4">
        <v>2.2417499999999999E-4</v>
      </c>
      <c r="L9" s="3">
        <f t="shared" si="0"/>
        <v>1.0417569999999999E-3</v>
      </c>
      <c r="M9" s="3">
        <f t="shared" si="1"/>
        <v>1.7014033333333331E-4</v>
      </c>
      <c r="O9">
        <f t="shared" si="2"/>
        <v>3.8303179254208132E-4</v>
      </c>
      <c r="P9">
        <f t="shared" si="3"/>
        <v>4.900691309963886E-5</v>
      </c>
    </row>
    <row r="10" spans="1:16" x14ac:dyDescent="0.35">
      <c r="A10" s="2">
        <v>25.1188</v>
      </c>
      <c r="B10" s="2"/>
      <c r="C10" s="4">
        <v>5.5175700000000005E-4</v>
      </c>
      <c r="D10" s="4">
        <v>1.1149099999999999E-4</v>
      </c>
      <c r="F10" s="4">
        <v>1.21729E-3</v>
      </c>
      <c r="G10" s="4">
        <v>1.9062500000000001E-4</v>
      </c>
      <c r="I10" s="4">
        <v>1.4943999999999999E-3</v>
      </c>
      <c r="J10" s="4">
        <v>2.342E-4</v>
      </c>
      <c r="L10" s="3">
        <f t="shared" si="0"/>
        <v>1.0878156666666668E-3</v>
      </c>
      <c r="M10" s="3">
        <f t="shared" si="1"/>
        <v>1.78772E-4</v>
      </c>
      <c r="O10">
        <f t="shared" si="2"/>
        <v>3.9557271443341766E-4</v>
      </c>
      <c r="P10">
        <f t="shared" si="3"/>
        <v>5.0792026126154887E-5</v>
      </c>
    </row>
    <row r="11" spans="1:16" x14ac:dyDescent="0.35">
      <c r="A11" s="2">
        <v>39.810499999999998</v>
      </c>
      <c r="B11" s="2"/>
      <c r="C11" s="4">
        <v>5.8609899999999997E-4</v>
      </c>
      <c r="D11" s="4">
        <v>1.19399E-4</v>
      </c>
      <c r="F11" s="4">
        <v>1.2645899999999999E-3</v>
      </c>
      <c r="G11" s="4">
        <v>2.0445899999999999E-4</v>
      </c>
      <c r="I11" s="4">
        <v>1.5556400000000001E-3</v>
      </c>
      <c r="J11" s="4">
        <v>2.49597E-4</v>
      </c>
      <c r="L11" s="3">
        <f t="shared" si="0"/>
        <v>1.1354430000000001E-3</v>
      </c>
      <c r="M11" s="3">
        <f t="shared" si="1"/>
        <v>1.911516666666667E-4</v>
      </c>
      <c r="O11">
        <f t="shared" si="2"/>
        <v>4.0621147889328128E-4</v>
      </c>
      <c r="P11">
        <f t="shared" si="3"/>
        <v>5.3979586520173425E-5</v>
      </c>
    </row>
    <row r="12" spans="1:16" x14ac:dyDescent="0.35">
      <c r="A12" s="2">
        <v>63.095700000000001</v>
      </c>
      <c r="B12" s="2"/>
      <c r="C12" s="4">
        <v>6.2602600000000001E-4</v>
      </c>
      <c r="D12" s="4">
        <v>1.30402E-4</v>
      </c>
      <c r="F12" s="4">
        <v>1.31515E-3</v>
      </c>
      <c r="G12" s="4">
        <v>2.2299E-4</v>
      </c>
      <c r="I12" s="4">
        <v>1.61962E-3</v>
      </c>
      <c r="J12" s="4">
        <v>2.7129900000000002E-4</v>
      </c>
      <c r="L12" s="3">
        <f t="shared" si="0"/>
        <v>1.1869319999999999E-3</v>
      </c>
      <c r="M12" s="3">
        <f t="shared" si="1"/>
        <v>2.0823033333333335E-4</v>
      </c>
      <c r="O12">
        <f t="shared" si="2"/>
        <v>4.1564179357711365E-4</v>
      </c>
      <c r="P12">
        <f t="shared" si="3"/>
        <v>5.8460111599467744E-5</v>
      </c>
    </row>
    <row r="13" spans="1:16" x14ac:dyDescent="0.35">
      <c r="A13" s="2">
        <v>100</v>
      </c>
      <c r="B13" s="2"/>
      <c r="C13" s="4">
        <v>6.6939799999999998E-4</v>
      </c>
      <c r="D13" s="4">
        <v>1.4578099999999999E-4</v>
      </c>
      <c r="F13" s="4">
        <v>1.34877E-3</v>
      </c>
      <c r="G13" s="4">
        <v>2.5246200000000001E-4</v>
      </c>
      <c r="I13" s="4">
        <v>1.6757600000000001E-3</v>
      </c>
      <c r="J13" s="4">
        <v>3.0544799999999999E-4</v>
      </c>
      <c r="L13" s="3">
        <f t="shared" si="0"/>
        <v>1.2313093333333333E-3</v>
      </c>
      <c r="M13" s="3">
        <f t="shared" si="1"/>
        <v>2.3456366666666667E-4</v>
      </c>
      <c r="O13">
        <f t="shared" si="2"/>
        <v>4.1915699121079791E-4</v>
      </c>
      <c r="P13">
        <f t="shared" si="3"/>
        <v>6.6401056589652415E-5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7095-9A52-4501-8EDF-D0F44E10F38E}">
  <dimension ref="A1:P13"/>
  <sheetViews>
    <sheetView workbookViewId="0">
      <selection activeCell="I1" sqref="I1:J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9</v>
      </c>
      <c r="M1" s="1" t="s">
        <v>10</v>
      </c>
      <c r="N1" s="1"/>
      <c r="O1" s="1" t="s">
        <v>11</v>
      </c>
      <c r="P1" s="1" t="s">
        <v>12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N2" s="1"/>
      <c r="O2" s="1" t="s">
        <v>4</v>
      </c>
      <c r="P2" s="1" t="s">
        <v>4</v>
      </c>
    </row>
    <row r="3" spans="1:16" x14ac:dyDescent="0.35">
      <c r="A3" s="2">
        <v>1</v>
      </c>
      <c r="C3" s="4">
        <v>4.3668599999999999E-4</v>
      </c>
      <c r="D3" s="4">
        <v>1.12265E-4</v>
      </c>
      <c r="F3" s="4">
        <v>1.4317799999999999E-3</v>
      </c>
      <c r="G3" s="4">
        <v>2.56359E-4</v>
      </c>
      <c r="I3" s="4">
        <v>4.25642E-4</v>
      </c>
      <c r="J3" s="4">
        <v>1.2741200000000001E-4</v>
      </c>
      <c r="L3" s="3">
        <f>AVERAGE(C3,F3,I3)</f>
        <v>7.6470266666666667E-4</v>
      </c>
      <c r="M3" s="3">
        <f>AVERAGE(D3,G3,J3)</f>
        <v>1.6534533333333336E-4</v>
      </c>
      <c r="O3">
        <f>_xlfn.STDEV.P(C3,F3,I3)</f>
        <v>4.7171645365221492E-4</v>
      </c>
      <c r="P3">
        <f>_xlfn.STDEV.P(D3,G3,J3)</f>
        <v>6.4652783092111017E-5</v>
      </c>
    </row>
    <row r="4" spans="1:16" x14ac:dyDescent="0.35">
      <c r="A4" s="2">
        <v>1.5849</v>
      </c>
      <c r="C4" s="4">
        <v>4.7414199999999999E-4</v>
      </c>
      <c r="D4" s="4">
        <v>1.1293700000000001E-4</v>
      </c>
      <c r="F4" s="4">
        <v>1.51549E-3</v>
      </c>
      <c r="G4" s="4">
        <v>2.4825699999999999E-4</v>
      </c>
      <c r="I4" s="4">
        <v>4.6285800000000002E-4</v>
      </c>
      <c r="J4" s="4">
        <v>1.2761200000000001E-4</v>
      </c>
      <c r="L4" s="3">
        <f t="shared" ref="L4:M13" si="0">AVERAGE(C4,F4,I4)</f>
        <v>8.1749666666666666E-4</v>
      </c>
      <c r="M4" s="3">
        <f t="shared" si="0"/>
        <v>1.6293533333333336E-4</v>
      </c>
      <c r="O4">
        <f t="shared" ref="O4:P13" si="1">_xlfn.STDEV.P(C4,F4,I4)</f>
        <v>4.9357731727821068E-4</v>
      </c>
      <c r="P4">
        <f t="shared" si="1"/>
        <v>6.0628260782868867E-5</v>
      </c>
    </row>
    <row r="5" spans="1:16" x14ac:dyDescent="0.35">
      <c r="A5" s="2">
        <v>2.5118900000000002</v>
      </c>
      <c r="C5" s="4">
        <v>5.0880100000000002E-4</v>
      </c>
      <c r="D5" s="4">
        <v>1.1078699999999999E-4</v>
      </c>
      <c r="F5" s="4">
        <v>1.58767E-3</v>
      </c>
      <c r="G5" s="4">
        <v>2.39609E-4</v>
      </c>
      <c r="I5" s="4">
        <v>4.9949599999999999E-4</v>
      </c>
      <c r="J5" s="4">
        <v>1.2608000000000001E-4</v>
      </c>
      <c r="L5" s="3">
        <f t="shared" si="0"/>
        <v>8.6532233333333323E-4</v>
      </c>
      <c r="M5" s="3">
        <f t="shared" si="0"/>
        <v>1.5882533333333332E-4</v>
      </c>
      <c r="O5">
        <f t="shared" si="1"/>
        <v>5.1079105931247032E-4</v>
      </c>
      <c r="P5">
        <f t="shared" si="1"/>
        <v>5.7462855030203831E-5</v>
      </c>
    </row>
    <row r="6" spans="1:16" x14ac:dyDescent="0.35">
      <c r="A6" s="2">
        <v>3.9810500000000002</v>
      </c>
      <c r="C6" s="4">
        <v>5.4160299999999998E-4</v>
      </c>
      <c r="D6" s="4">
        <v>1.1319699999999999E-4</v>
      </c>
      <c r="F6" s="4">
        <v>1.6618500000000001E-3</v>
      </c>
      <c r="G6" s="4">
        <v>2.3651100000000001E-4</v>
      </c>
      <c r="I6" s="4">
        <v>5.3169399999999998E-4</v>
      </c>
      <c r="J6" s="4">
        <v>1.31669E-4</v>
      </c>
      <c r="L6" s="3">
        <f t="shared" si="0"/>
        <v>9.1171566666666676E-4</v>
      </c>
      <c r="M6" s="3">
        <f t="shared" si="0"/>
        <v>1.60459E-4</v>
      </c>
      <c r="O6">
        <f t="shared" si="1"/>
        <v>5.3044049971341959E-4</v>
      </c>
      <c r="P6">
        <f t="shared" si="1"/>
        <v>5.4303061448381226E-5</v>
      </c>
    </row>
    <row r="7" spans="1:16" x14ac:dyDescent="0.35">
      <c r="A7" s="2">
        <v>6.3095699999999999</v>
      </c>
      <c r="C7" s="4">
        <v>5.7478399999999995E-4</v>
      </c>
      <c r="D7" s="4">
        <v>1.15809E-4</v>
      </c>
      <c r="F7" s="4">
        <v>1.7362199999999999E-3</v>
      </c>
      <c r="G7" s="4">
        <v>2.3704100000000001E-4</v>
      </c>
      <c r="I7" s="4">
        <v>5.69616E-4</v>
      </c>
      <c r="J7" s="4">
        <v>1.33141E-4</v>
      </c>
      <c r="L7" s="3">
        <f t="shared" si="0"/>
        <v>9.6020666666666655E-4</v>
      </c>
      <c r="M7" s="3">
        <f t="shared" si="0"/>
        <v>1.6199700000000001E-4</v>
      </c>
      <c r="O7">
        <f t="shared" si="1"/>
        <v>5.4872834638482291E-4</v>
      </c>
      <c r="P7">
        <f t="shared" si="1"/>
        <v>5.353379622879987E-5</v>
      </c>
    </row>
    <row r="8" spans="1:16" x14ac:dyDescent="0.35">
      <c r="A8" s="2">
        <v>10.0001</v>
      </c>
      <c r="C8" s="4">
        <v>6.0977600000000002E-4</v>
      </c>
      <c r="D8" s="4">
        <v>1.18427E-4</v>
      </c>
      <c r="F8" s="4">
        <v>1.80985E-3</v>
      </c>
      <c r="G8" s="4">
        <v>2.4300100000000001E-4</v>
      </c>
      <c r="I8" s="4">
        <v>6.0745199999999997E-4</v>
      </c>
      <c r="J8" s="4">
        <v>1.35943E-4</v>
      </c>
      <c r="L8" s="3">
        <f t="shared" si="0"/>
        <v>1.0090260000000001E-3</v>
      </c>
      <c r="M8" s="3">
        <f t="shared" si="0"/>
        <v>1.6579033333333334E-4</v>
      </c>
      <c r="O8">
        <f t="shared" si="1"/>
        <v>5.6626887575662031E-4</v>
      </c>
      <c r="P8">
        <f t="shared" si="1"/>
        <v>5.5062496912347006E-5</v>
      </c>
    </row>
    <row r="9" spans="1:16" x14ac:dyDescent="0.35">
      <c r="A9" s="2">
        <v>15.849</v>
      </c>
      <c r="C9" s="4">
        <v>6.4531099999999997E-4</v>
      </c>
      <c r="D9" s="4">
        <v>1.23559E-4</v>
      </c>
      <c r="F9" s="4">
        <v>1.88568E-3</v>
      </c>
      <c r="G9" s="4">
        <v>2.5263800000000002E-4</v>
      </c>
      <c r="I9" s="4">
        <v>6.46814E-4</v>
      </c>
      <c r="J9" s="4">
        <v>1.3967800000000001E-4</v>
      </c>
      <c r="L9" s="3">
        <f t="shared" si="0"/>
        <v>1.0592683333333333E-3</v>
      </c>
      <c r="M9" s="3">
        <f t="shared" si="0"/>
        <v>1.7195833333333334E-4</v>
      </c>
      <c r="O9">
        <f t="shared" si="1"/>
        <v>5.8436161569946476E-4</v>
      </c>
      <c r="P9">
        <f t="shared" si="1"/>
        <v>5.7427415057812092E-5</v>
      </c>
    </row>
    <row r="10" spans="1:16" x14ac:dyDescent="0.35">
      <c r="A10" s="2">
        <v>25.1188</v>
      </c>
      <c r="C10" s="4">
        <v>6.8434400000000003E-4</v>
      </c>
      <c r="D10" s="4">
        <v>1.2998600000000001E-4</v>
      </c>
      <c r="F10" s="4">
        <v>1.96605E-3</v>
      </c>
      <c r="G10" s="4">
        <v>2.6672300000000001E-4</v>
      </c>
      <c r="I10" s="4">
        <v>6.89341E-4</v>
      </c>
      <c r="J10" s="4">
        <v>1.45838E-4</v>
      </c>
      <c r="L10" s="3">
        <f t="shared" si="0"/>
        <v>1.1132449999999999E-3</v>
      </c>
      <c r="M10" s="3">
        <f t="shared" si="0"/>
        <v>1.8084899999999999E-4</v>
      </c>
      <c r="O10">
        <f t="shared" si="1"/>
        <v>6.0302764918423654E-4</v>
      </c>
      <c r="P10">
        <f t="shared" si="1"/>
        <v>6.1065971882874349E-5</v>
      </c>
    </row>
    <row r="11" spans="1:16" x14ac:dyDescent="0.35">
      <c r="A11" s="2">
        <v>39.810499999999998</v>
      </c>
      <c r="C11" s="4">
        <v>7.3036200000000003E-4</v>
      </c>
      <c r="D11" s="4">
        <v>1.3853300000000001E-4</v>
      </c>
      <c r="F11" s="4">
        <v>2.0530399999999999E-3</v>
      </c>
      <c r="G11" s="4">
        <v>2.87459E-4</v>
      </c>
      <c r="I11" s="4">
        <v>7.3926799999999996E-4</v>
      </c>
      <c r="J11" s="4">
        <v>1.5345499999999999E-4</v>
      </c>
      <c r="L11" s="3">
        <f t="shared" si="0"/>
        <v>1.1742233333333332E-3</v>
      </c>
      <c r="M11" s="3">
        <f t="shared" si="0"/>
        <v>1.9314900000000002E-4</v>
      </c>
      <c r="O11">
        <f t="shared" si="1"/>
        <v>6.2142786088026521E-4</v>
      </c>
      <c r="P11">
        <f t="shared" si="1"/>
        <v>6.696490919877366E-5</v>
      </c>
    </row>
    <row r="12" spans="1:16" x14ac:dyDescent="0.35">
      <c r="A12" s="2">
        <v>63.095700000000001</v>
      </c>
      <c r="C12" s="4">
        <v>7.9029299999999996E-4</v>
      </c>
      <c r="D12" s="4">
        <v>1.50762E-4</v>
      </c>
      <c r="F12" s="4">
        <v>2.15839E-3</v>
      </c>
      <c r="G12" s="4">
        <v>3.1754100000000001E-4</v>
      </c>
      <c r="I12" s="4">
        <v>8.0469899999999997E-4</v>
      </c>
      <c r="J12" s="4">
        <v>1.6321599999999999E-4</v>
      </c>
      <c r="L12" s="3">
        <f t="shared" si="0"/>
        <v>1.2511273333333333E-3</v>
      </c>
      <c r="M12" s="3">
        <f t="shared" si="0"/>
        <v>2.1050633333333333E-4</v>
      </c>
      <c r="O12">
        <f t="shared" si="1"/>
        <v>6.4155854134253067E-4</v>
      </c>
      <c r="P12">
        <f t="shared" si="1"/>
        <v>7.5855522454788279E-5</v>
      </c>
    </row>
    <row r="13" spans="1:16" x14ac:dyDescent="0.35">
      <c r="A13" s="2">
        <v>100</v>
      </c>
      <c r="C13" s="4">
        <v>8.7056000000000004E-4</v>
      </c>
      <c r="D13" s="4">
        <v>1.67897E-4</v>
      </c>
      <c r="F13" s="4">
        <v>2.3040399999999998E-3</v>
      </c>
      <c r="G13" s="4">
        <v>3.5917700000000002E-4</v>
      </c>
      <c r="I13" s="4">
        <v>8.9570199999999996E-4</v>
      </c>
      <c r="J13" s="4">
        <v>1.7720299999999999E-4</v>
      </c>
      <c r="L13" s="3">
        <f t="shared" si="0"/>
        <v>1.3567673333333332E-3</v>
      </c>
      <c r="M13" s="3">
        <f t="shared" si="0"/>
        <v>2.3475899999999999E-4</v>
      </c>
      <c r="O13">
        <f t="shared" si="1"/>
        <v>6.6990156431191846E-4</v>
      </c>
      <c r="P13">
        <f t="shared" si="1"/>
        <v>8.8058804034576809E-5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0D05-844C-4BDF-9799-621DC28F9BD3}">
  <dimension ref="A1:P13"/>
  <sheetViews>
    <sheetView workbookViewId="0">
      <selection activeCell="I1" sqref="I1:J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13</v>
      </c>
      <c r="M1" s="1" t="s">
        <v>14</v>
      </c>
      <c r="O1" s="1" t="s">
        <v>15</v>
      </c>
      <c r="P1" s="1" t="s">
        <v>16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4.2608799999999999E-3</v>
      </c>
      <c r="D3" s="4">
        <v>6.3863099999999996E-4</v>
      </c>
      <c r="F3" s="4">
        <v>5.3265200000000004E-3</v>
      </c>
      <c r="G3" s="4">
        <v>7.3971200000000001E-4</v>
      </c>
      <c r="I3" s="4">
        <v>4.3195300000000002E-3</v>
      </c>
      <c r="J3" s="4">
        <v>5.7676699999999995E-4</v>
      </c>
      <c r="L3" s="3">
        <f>AVERAGE(C3,F3,I3)</f>
        <v>4.6356433333333332E-3</v>
      </c>
      <c r="M3" s="3">
        <f>AVERAGE(D3,G3,J3)</f>
        <v>6.5170333333333327E-4</v>
      </c>
      <c r="O3">
        <f>_xlfn.STDEV.P(C3,F3,I3)</f>
        <v>4.8910999583143093E-4</v>
      </c>
      <c r="P3">
        <f>_xlfn.STDEV.P(D3,G3,J3)</f>
        <v>6.716116278690306E-5</v>
      </c>
    </row>
    <row r="4" spans="1:16" x14ac:dyDescent="0.35">
      <c r="A4" s="2">
        <v>1.5849</v>
      </c>
      <c r="C4" s="4">
        <v>4.4149200000000001E-3</v>
      </c>
      <c r="D4" s="4">
        <v>5.3254699999999997E-4</v>
      </c>
      <c r="F4" s="4">
        <v>5.5211799999999997E-3</v>
      </c>
      <c r="G4" s="4">
        <v>6.4703000000000004E-4</v>
      </c>
      <c r="I4" s="4">
        <v>4.46504E-3</v>
      </c>
      <c r="J4" s="4">
        <v>4.6838400000000002E-4</v>
      </c>
      <c r="L4" s="3">
        <f t="shared" ref="L4:M13" si="0">AVERAGE(C4,F4,I4)</f>
        <v>4.8003799999999999E-3</v>
      </c>
      <c r="M4" s="3">
        <f t="shared" si="0"/>
        <v>5.4932033333333333E-4</v>
      </c>
      <c r="O4">
        <f t="shared" ref="O4:P13" si="1">_xlfn.STDEV.P(C4,F4,I4)</f>
        <v>5.100931180349981E-4</v>
      </c>
      <c r="P4">
        <f t="shared" si="1"/>
        <v>7.3890039303157936E-5</v>
      </c>
    </row>
    <row r="5" spans="1:16" x14ac:dyDescent="0.35">
      <c r="A5" s="2">
        <v>2.5118900000000002</v>
      </c>
      <c r="C5" s="4">
        <v>4.5288699999999999E-3</v>
      </c>
      <c r="D5" s="4">
        <v>4.8150200000000003E-4</v>
      </c>
      <c r="F5" s="4">
        <v>5.6608700000000001E-3</v>
      </c>
      <c r="G5" s="4">
        <v>5.9077499999999998E-4</v>
      </c>
      <c r="I5" s="4">
        <v>4.5867099999999999E-3</v>
      </c>
      <c r="J5" s="4">
        <v>4.5622099999999998E-4</v>
      </c>
      <c r="L5" s="3">
        <f t="shared" si="0"/>
        <v>4.9254833333333336E-3</v>
      </c>
      <c r="M5" s="3">
        <f t="shared" si="0"/>
        <v>5.0949933333333333E-4</v>
      </c>
      <c r="O5">
        <f t="shared" si="1"/>
        <v>5.2053275819640365E-4</v>
      </c>
      <c r="P5">
        <f t="shared" si="1"/>
        <v>5.838996908335844E-5</v>
      </c>
    </row>
    <row r="6" spans="1:16" x14ac:dyDescent="0.35">
      <c r="A6" s="2">
        <v>3.9810500000000002</v>
      </c>
      <c r="C6" s="4">
        <v>4.6335899999999999E-3</v>
      </c>
      <c r="D6" s="4">
        <v>4.4282700000000002E-4</v>
      </c>
      <c r="F6" s="4">
        <v>5.8124400000000003E-3</v>
      </c>
      <c r="G6" s="4">
        <v>5.4249599999999995E-4</v>
      </c>
      <c r="I6" s="4">
        <v>4.6876499999999998E-3</v>
      </c>
      <c r="J6" s="4">
        <v>4.3729499999999998E-4</v>
      </c>
      <c r="L6" s="3">
        <f t="shared" si="0"/>
        <v>5.04456E-3</v>
      </c>
      <c r="M6" s="3">
        <f t="shared" si="0"/>
        <v>4.7420600000000002E-4</v>
      </c>
      <c r="O6">
        <f t="shared" si="1"/>
        <v>5.4342150104683953E-4</v>
      </c>
      <c r="P6">
        <f t="shared" si="1"/>
        <v>4.834110625544266E-5</v>
      </c>
    </row>
    <row r="7" spans="1:16" x14ac:dyDescent="0.35">
      <c r="A7" s="2">
        <v>6.3095699999999999</v>
      </c>
      <c r="C7" s="4">
        <v>4.7336000000000001E-3</v>
      </c>
      <c r="D7" s="4">
        <v>4.2219399999999998E-4</v>
      </c>
      <c r="F7" s="4">
        <v>5.9383300000000003E-3</v>
      </c>
      <c r="G7" s="4">
        <v>5.1214800000000003E-4</v>
      </c>
      <c r="I7" s="4">
        <v>4.7893399999999996E-3</v>
      </c>
      <c r="J7" s="4">
        <v>4.1931E-4</v>
      </c>
      <c r="L7" s="3">
        <f t="shared" si="0"/>
        <v>5.1537566666666661E-3</v>
      </c>
      <c r="M7" s="3">
        <f t="shared" si="0"/>
        <v>4.5121733333333328E-4</v>
      </c>
      <c r="O7">
        <f t="shared" si="1"/>
        <v>5.5524362426676195E-4</v>
      </c>
      <c r="P7">
        <f t="shared" si="1"/>
        <v>4.310057207148057E-5</v>
      </c>
    </row>
    <row r="8" spans="1:16" x14ac:dyDescent="0.35">
      <c r="A8" s="2">
        <v>10.0001</v>
      </c>
      <c r="C8" s="4">
        <v>4.82884E-3</v>
      </c>
      <c r="D8" s="4">
        <v>4.1232299999999998E-4</v>
      </c>
      <c r="F8" s="4">
        <v>6.0698699999999998E-3</v>
      </c>
      <c r="G8" s="4">
        <v>5.0613999999999998E-4</v>
      </c>
      <c r="I8" s="4">
        <v>4.8971800000000001E-3</v>
      </c>
      <c r="J8" s="4">
        <v>4.0686299999999998E-4</v>
      </c>
      <c r="L8" s="3">
        <f t="shared" si="0"/>
        <v>5.2652966666666664E-3</v>
      </c>
      <c r="M8" s="3">
        <f t="shared" si="0"/>
        <v>4.4177533333333331E-4</v>
      </c>
      <c r="O8">
        <f t="shared" si="1"/>
        <v>5.6960294675813912E-4</v>
      </c>
      <c r="P8">
        <f t="shared" si="1"/>
        <v>4.5567244348935074E-5</v>
      </c>
    </row>
    <row r="9" spans="1:16" x14ac:dyDescent="0.35">
      <c r="A9" s="2">
        <v>15.849</v>
      </c>
      <c r="C9" s="4">
        <v>4.9261599999999997E-3</v>
      </c>
      <c r="D9" s="4">
        <v>4.1098600000000001E-4</v>
      </c>
      <c r="F9" s="4">
        <v>6.20654E-3</v>
      </c>
      <c r="G9" s="4">
        <v>5.0350999999999998E-4</v>
      </c>
      <c r="I9" s="4">
        <v>5.0007300000000001E-3</v>
      </c>
      <c r="J9" s="4">
        <v>4.0910300000000002E-4</v>
      </c>
      <c r="L9" s="3">
        <f t="shared" si="0"/>
        <v>5.3778099999999994E-3</v>
      </c>
      <c r="M9" s="3">
        <f t="shared" si="0"/>
        <v>4.4119966666666667E-4</v>
      </c>
      <c r="O9">
        <f t="shared" si="1"/>
        <v>5.8679083774942052E-4</v>
      </c>
      <c r="P9">
        <f t="shared" si="1"/>
        <v>4.4066764893990351E-5</v>
      </c>
    </row>
    <row r="10" spans="1:16" x14ac:dyDescent="0.35">
      <c r="A10" s="2">
        <v>25.1188</v>
      </c>
      <c r="C10" s="4">
        <v>5.0250299999999998E-3</v>
      </c>
      <c r="D10" s="4">
        <v>4.2371200000000003E-4</v>
      </c>
      <c r="F10" s="4">
        <v>6.34119E-3</v>
      </c>
      <c r="G10" s="4">
        <v>5.17407E-4</v>
      </c>
      <c r="I10" s="4">
        <v>5.1037399999999998E-3</v>
      </c>
      <c r="J10" s="4">
        <v>4.2349E-4</v>
      </c>
      <c r="L10" s="3">
        <f t="shared" si="0"/>
        <v>5.489986666666666E-3</v>
      </c>
      <c r="M10" s="3">
        <f t="shared" si="0"/>
        <v>4.5486966666666669E-4</v>
      </c>
      <c r="O10">
        <f t="shared" si="1"/>
        <v>6.0274878793370923E-4</v>
      </c>
      <c r="P10">
        <f t="shared" si="1"/>
        <v>4.422066535255006E-5</v>
      </c>
    </row>
    <row r="11" spans="1:16" x14ac:dyDescent="0.35">
      <c r="A11" s="2">
        <v>39.810499999999998</v>
      </c>
      <c r="C11" s="4">
        <v>5.1235200000000003E-3</v>
      </c>
      <c r="D11" s="4">
        <v>4.4549599999999998E-4</v>
      </c>
      <c r="F11" s="4">
        <v>6.4792499999999998E-3</v>
      </c>
      <c r="G11" s="4">
        <v>5.4415500000000005E-4</v>
      </c>
      <c r="I11" s="4">
        <v>5.2173200000000001E-3</v>
      </c>
      <c r="J11" s="4">
        <v>4.4926299999999998E-4</v>
      </c>
      <c r="L11" s="3">
        <f t="shared" si="0"/>
        <v>5.6066966666666667E-3</v>
      </c>
      <c r="M11" s="3">
        <f t="shared" si="0"/>
        <v>4.7963799999999995E-4</v>
      </c>
      <c r="O11">
        <f t="shared" si="1"/>
        <v>6.1817559513638353E-4</v>
      </c>
      <c r="P11">
        <f t="shared" si="1"/>
        <v>4.5646321786828232E-5</v>
      </c>
    </row>
    <row r="12" spans="1:16" x14ac:dyDescent="0.35">
      <c r="A12" s="2">
        <v>63.095700000000001</v>
      </c>
      <c r="C12" s="4">
        <v>5.2247500000000002E-3</v>
      </c>
      <c r="D12" s="4">
        <v>4.8152399999999999E-4</v>
      </c>
      <c r="F12" s="4">
        <v>6.6179400000000001E-3</v>
      </c>
      <c r="G12" s="4">
        <v>5.8942499999999997E-4</v>
      </c>
      <c r="I12" s="4">
        <v>5.3410899999999997E-3</v>
      </c>
      <c r="J12" s="4">
        <v>4.88913E-4</v>
      </c>
      <c r="L12" s="3">
        <f t="shared" si="0"/>
        <v>5.7279266666666667E-3</v>
      </c>
      <c r="M12" s="3">
        <f t="shared" si="0"/>
        <v>5.1995399999999999E-4</v>
      </c>
      <c r="O12">
        <f t="shared" si="1"/>
        <v>6.3112415526230307E-4</v>
      </c>
      <c r="P12">
        <f t="shared" si="1"/>
        <v>4.9215947354490688E-5</v>
      </c>
    </row>
    <row r="13" spans="1:16" x14ac:dyDescent="0.35">
      <c r="A13" s="2">
        <v>100</v>
      </c>
      <c r="C13" s="4">
        <v>5.3280699999999999E-3</v>
      </c>
      <c r="D13" s="4">
        <v>5.3628400000000004E-4</v>
      </c>
      <c r="F13" s="4">
        <v>6.7655099999999998E-3</v>
      </c>
      <c r="G13" s="4">
        <v>6.5515699999999996E-4</v>
      </c>
      <c r="I13" s="4">
        <v>5.4952100000000004E-3</v>
      </c>
      <c r="J13" s="4">
        <v>5.4489100000000004E-4</v>
      </c>
      <c r="L13" s="3">
        <f t="shared" si="0"/>
        <v>5.8629299999999997E-3</v>
      </c>
      <c r="M13" s="3">
        <f t="shared" si="0"/>
        <v>5.7877733333333342E-4</v>
      </c>
      <c r="O13">
        <f t="shared" si="1"/>
        <v>6.418576878613097E-4</v>
      </c>
      <c r="P13">
        <f t="shared" si="1"/>
        <v>5.4122763062832926E-5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48F8-34A2-4EEE-A82C-A9C0E085BBD9}">
  <dimension ref="A1:P13"/>
  <sheetViews>
    <sheetView workbookViewId="0">
      <selection activeCell="I1" sqref="I1:J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4.2219600000000003E-3</v>
      </c>
      <c r="D3" s="4">
        <v>6.1516999999999995E-4</v>
      </c>
      <c r="F3" s="2">
        <v>1.1915200000000001E-2</v>
      </c>
      <c r="G3" s="4">
        <v>1.7926299999999999E-3</v>
      </c>
      <c r="I3" s="4">
        <v>4.4540400000000003E-3</v>
      </c>
      <c r="J3" s="4">
        <v>6.2763300000000005E-4</v>
      </c>
      <c r="L3" s="3">
        <f>AVERAGE(C3,F3,I3)</f>
        <v>6.8637333333333335E-3</v>
      </c>
      <c r="M3" s="3">
        <f>AVERAGE(D3,G3,J3)</f>
        <v>1.0118109999999998E-3</v>
      </c>
      <c r="O3">
        <f>_xlfn.STDEV.P(C3,F3,I3)</f>
        <v>3.5731826984667643E-3</v>
      </c>
      <c r="P3">
        <f>_xlfn.STDEV.P(D3,G3,J3)</f>
        <v>5.5214585311189892E-4</v>
      </c>
    </row>
    <row r="4" spans="1:16" x14ac:dyDescent="0.35">
      <c r="A4" s="2">
        <v>1.5849</v>
      </c>
      <c r="C4" s="4">
        <v>4.40662E-3</v>
      </c>
      <c r="D4" s="4">
        <v>5.67908E-4</v>
      </c>
      <c r="F4" s="2">
        <v>1.22924E-2</v>
      </c>
      <c r="G4" s="4">
        <v>1.5227999999999999E-3</v>
      </c>
      <c r="I4" s="4">
        <v>4.62773E-3</v>
      </c>
      <c r="J4" s="4">
        <v>5.1910699999999999E-4</v>
      </c>
      <c r="L4" s="3">
        <f t="shared" ref="L4:M13" si="0">AVERAGE(C4,F4,I4)</f>
        <v>7.108916666666667E-3</v>
      </c>
      <c r="M4" s="3">
        <f t="shared" si="0"/>
        <v>8.6993833333333338E-4</v>
      </c>
      <c r="O4">
        <f t="shared" ref="O4:P13" si="1">_xlfn.STDEV.P(C4,F4,I4)</f>
        <v>3.6663875961890449E-3</v>
      </c>
      <c r="P4">
        <f t="shared" si="1"/>
        <v>4.62072614244654E-4</v>
      </c>
    </row>
    <row r="5" spans="1:16" x14ac:dyDescent="0.35">
      <c r="A5" s="2">
        <v>2.5118900000000002</v>
      </c>
      <c r="C5" s="4">
        <v>4.5350499999999997E-3</v>
      </c>
      <c r="D5" s="4">
        <v>5.3926899999999999E-4</v>
      </c>
      <c r="F5" s="2">
        <v>1.26047E-2</v>
      </c>
      <c r="G5" s="4">
        <v>1.4259800000000001E-3</v>
      </c>
      <c r="I5" s="4">
        <v>4.74618E-3</v>
      </c>
      <c r="J5" s="4">
        <v>4.6462400000000002E-4</v>
      </c>
      <c r="L5" s="3">
        <f t="shared" si="0"/>
        <v>7.2953099999999993E-3</v>
      </c>
      <c r="M5" s="3">
        <f t="shared" si="0"/>
        <v>8.0995766666666668E-4</v>
      </c>
      <c r="O5">
        <f t="shared" si="1"/>
        <v>3.7552949816048631E-3</v>
      </c>
      <c r="P5">
        <f t="shared" si="1"/>
        <v>4.3665822285500239E-4</v>
      </c>
    </row>
    <row r="6" spans="1:16" x14ac:dyDescent="0.35">
      <c r="A6" s="2">
        <v>3.9810500000000002</v>
      </c>
      <c r="C6" s="4">
        <v>4.6734899999999998E-3</v>
      </c>
      <c r="D6" s="4">
        <v>5.0905899999999997E-4</v>
      </c>
      <c r="F6" s="2">
        <v>1.2909199999999999E-2</v>
      </c>
      <c r="G6" s="4">
        <v>1.3753400000000001E-3</v>
      </c>
      <c r="I6" s="4">
        <v>4.8630499999999998E-3</v>
      </c>
      <c r="J6" s="4">
        <v>4.1387200000000002E-4</v>
      </c>
      <c r="L6" s="3">
        <f t="shared" si="0"/>
        <v>7.4819133333333329E-3</v>
      </c>
      <c r="M6" s="3">
        <f t="shared" si="0"/>
        <v>7.6609033333333335E-4</v>
      </c>
      <c r="O6">
        <f t="shared" si="1"/>
        <v>3.8384513952055659E-3</v>
      </c>
      <c r="P6">
        <f t="shared" si="1"/>
        <v>4.3255366410218082E-4</v>
      </c>
    </row>
    <row r="7" spans="1:16" x14ac:dyDescent="0.35">
      <c r="A7" s="2">
        <v>6.3095699999999999</v>
      </c>
      <c r="C7" s="4">
        <v>4.7995700000000004E-3</v>
      </c>
      <c r="D7" s="4">
        <v>5.0250000000000002E-4</v>
      </c>
      <c r="F7" s="2">
        <v>1.31994E-2</v>
      </c>
      <c r="G7" s="4">
        <v>1.34658E-3</v>
      </c>
      <c r="I7" s="4">
        <v>4.9712300000000001E-3</v>
      </c>
      <c r="J7" s="4">
        <v>3.9186800000000002E-4</v>
      </c>
      <c r="L7" s="3">
        <f t="shared" si="0"/>
        <v>7.6567333333333329E-3</v>
      </c>
      <c r="M7" s="3">
        <f t="shared" si="0"/>
        <v>7.4698266666666663E-4</v>
      </c>
      <c r="O7">
        <f t="shared" si="1"/>
        <v>3.9198836821376353E-3</v>
      </c>
      <c r="P7">
        <f t="shared" si="1"/>
        <v>4.2637822134917829E-4</v>
      </c>
    </row>
    <row r="8" spans="1:16" x14ac:dyDescent="0.35">
      <c r="A8" s="2">
        <v>10.0001</v>
      </c>
      <c r="C8" s="4">
        <v>4.9294200000000003E-3</v>
      </c>
      <c r="D8" s="4">
        <v>5.0994500000000004E-4</v>
      </c>
      <c r="F8" s="2">
        <v>1.35073E-2</v>
      </c>
      <c r="G8" s="4">
        <v>1.35976E-3</v>
      </c>
      <c r="I8" s="4">
        <v>5.0734500000000002E-3</v>
      </c>
      <c r="J8" s="4">
        <v>3.80188E-4</v>
      </c>
      <c r="L8" s="3">
        <f t="shared" si="0"/>
        <v>7.8367233333333335E-3</v>
      </c>
      <c r="M8" s="3">
        <f t="shared" si="0"/>
        <v>7.4996433333333337E-4</v>
      </c>
      <c r="O8">
        <f t="shared" si="1"/>
        <v>4.0101343252342833E-3</v>
      </c>
      <c r="P8">
        <f t="shared" si="1"/>
        <v>4.3443241597616639E-4</v>
      </c>
    </row>
    <row r="9" spans="1:16" x14ac:dyDescent="0.35">
      <c r="A9" s="2">
        <v>15.849</v>
      </c>
      <c r="C9" s="4">
        <v>5.0674600000000002E-3</v>
      </c>
      <c r="D9" s="4">
        <v>5.2658999999999996E-4</v>
      </c>
      <c r="F9" s="2">
        <v>1.3817599999999999E-2</v>
      </c>
      <c r="G9" s="4">
        <v>1.38843E-3</v>
      </c>
      <c r="I9" s="4">
        <v>5.1706699999999996E-3</v>
      </c>
      <c r="J9" s="4">
        <v>3.82915E-4</v>
      </c>
      <c r="L9" s="3">
        <f t="shared" si="0"/>
        <v>8.0185766666666658E-3</v>
      </c>
      <c r="M9" s="3">
        <f t="shared" si="0"/>
        <v>7.6597833333333332E-4</v>
      </c>
      <c r="O9">
        <f t="shared" si="1"/>
        <v>4.1007451998739076E-3</v>
      </c>
      <c r="P9">
        <f t="shared" si="1"/>
        <v>4.4403091814897557E-4</v>
      </c>
    </row>
    <row r="10" spans="1:16" x14ac:dyDescent="0.35">
      <c r="A10" s="2">
        <v>25.1188</v>
      </c>
      <c r="C10" s="4">
        <v>5.2109399999999998E-3</v>
      </c>
      <c r="D10" s="4">
        <v>5.5541499999999997E-4</v>
      </c>
      <c r="F10" s="2">
        <v>1.4144500000000001E-2</v>
      </c>
      <c r="G10" s="4">
        <v>1.4371099999999999E-3</v>
      </c>
      <c r="I10" s="4">
        <v>5.25677E-3</v>
      </c>
      <c r="J10" s="4">
        <v>3.98219E-4</v>
      </c>
      <c r="L10" s="3">
        <f t="shared" si="0"/>
        <v>8.2040700000000008E-3</v>
      </c>
      <c r="M10" s="3">
        <f t="shared" si="0"/>
        <v>7.9691466666666655E-4</v>
      </c>
      <c r="O10">
        <f t="shared" si="1"/>
        <v>4.2005600051977197E-3</v>
      </c>
      <c r="P10">
        <f t="shared" si="1"/>
        <v>4.5721271068678256E-4</v>
      </c>
    </row>
    <row r="11" spans="1:16" x14ac:dyDescent="0.35">
      <c r="A11" s="2">
        <v>39.810499999999998</v>
      </c>
      <c r="C11" s="4">
        <v>5.3663699999999996E-3</v>
      </c>
      <c r="D11" s="4">
        <v>5.9224600000000005E-4</v>
      </c>
      <c r="F11" s="2">
        <v>1.4423200000000001E-2</v>
      </c>
      <c r="G11" s="4">
        <v>1.53867E-3</v>
      </c>
      <c r="I11" s="4">
        <v>5.3574199999999999E-3</v>
      </c>
      <c r="J11" s="4">
        <v>4.1926700000000002E-4</v>
      </c>
      <c r="L11" s="3">
        <f t="shared" si="0"/>
        <v>8.3823300000000003E-3</v>
      </c>
      <c r="M11" s="3">
        <f t="shared" si="0"/>
        <v>8.5006100000000005E-4</v>
      </c>
      <c r="O11">
        <f t="shared" si="1"/>
        <v>4.2715417039830804E-3</v>
      </c>
      <c r="P11">
        <f t="shared" si="1"/>
        <v>4.9201436277883858E-4</v>
      </c>
    </row>
    <row r="12" spans="1:16" x14ac:dyDescent="0.35">
      <c r="A12" s="2">
        <v>63.095700000000001</v>
      </c>
      <c r="C12" s="4">
        <v>5.5405999999999997E-3</v>
      </c>
      <c r="D12" s="4">
        <v>6.4172899999999995E-4</v>
      </c>
      <c r="F12" s="2">
        <v>1.4822999999999999E-2</v>
      </c>
      <c r="G12" s="4">
        <v>1.61466E-3</v>
      </c>
      <c r="I12" s="4">
        <v>5.4806000000000004E-3</v>
      </c>
      <c r="J12" s="4">
        <v>4.52084E-4</v>
      </c>
      <c r="L12" s="3">
        <f t="shared" si="0"/>
        <v>8.6147333333333326E-3</v>
      </c>
      <c r="M12" s="3">
        <f t="shared" si="0"/>
        <v>9.0282433333333347E-4</v>
      </c>
      <c r="O12">
        <f t="shared" si="1"/>
        <v>4.3899757974529005E-3</v>
      </c>
      <c r="P12">
        <f t="shared" si="1"/>
        <v>5.0926340189227112E-4</v>
      </c>
    </row>
    <row r="13" spans="1:16" x14ac:dyDescent="0.35">
      <c r="A13" s="2">
        <v>100</v>
      </c>
      <c r="C13" s="4">
        <v>5.7518700000000001E-3</v>
      </c>
      <c r="D13" s="4">
        <v>7.0105899999999997E-4</v>
      </c>
      <c r="F13" s="2">
        <v>1.52394E-2</v>
      </c>
      <c r="G13" s="4">
        <v>1.73413E-3</v>
      </c>
      <c r="I13" s="4">
        <v>5.6301399999999996E-3</v>
      </c>
      <c r="J13" s="4">
        <v>5.03814E-4</v>
      </c>
      <c r="L13" s="3">
        <f t="shared" si="0"/>
        <v>8.8738033333333327E-3</v>
      </c>
      <c r="M13" s="3">
        <f t="shared" si="0"/>
        <v>9.7966766666666657E-4</v>
      </c>
      <c r="O13">
        <f t="shared" si="1"/>
        <v>4.5014309014085241E-3</v>
      </c>
      <c r="P13">
        <f t="shared" si="1"/>
        <v>5.395284711797474E-4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F35F-C205-4070-8AA1-DEAC262CC0D6}">
  <dimension ref="A1:P13"/>
  <sheetViews>
    <sheetView workbookViewId="0">
      <selection sqref="A1:J1048576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21</v>
      </c>
      <c r="M1" s="1" t="s">
        <v>22</v>
      </c>
      <c r="O1" s="1" t="s">
        <v>23</v>
      </c>
      <c r="P1" s="1" t="s">
        <v>24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4.9041099999999995E-4</v>
      </c>
      <c r="D3" s="4">
        <v>1.18205E-4</v>
      </c>
      <c r="F3" s="4">
        <v>1.0937099999999999E-3</v>
      </c>
      <c r="G3" s="4">
        <v>2.2143600000000001E-4</v>
      </c>
      <c r="I3" s="4">
        <v>1.0689899999999999E-3</v>
      </c>
      <c r="J3" s="4">
        <v>2.28106E-4</v>
      </c>
      <c r="L3" s="3">
        <f>AVERAGE(C3,F3,I3)</f>
        <v>8.8437033333333326E-4</v>
      </c>
      <c r="M3" s="3">
        <f>AVERAGE(D3,G3,J3)</f>
        <v>1.8924899999999998E-4</v>
      </c>
      <c r="O3">
        <f>_xlfn.STDEV.P(C3,F3,I3)</f>
        <v>2.7875405747759477E-4</v>
      </c>
      <c r="P3">
        <f>_xlfn.STDEV.P(D3,G3,J3)</f>
        <v>5.0309440313589926E-5</v>
      </c>
    </row>
    <row r="4" spans="1:16" x14ac:dyDescent="0.35">
      <c r="A4" s="2">
        <v>1.5849</v>
      </c>
      <c r="C4" s="4">
        <v>5.27109E-4</v>
      </c>
      <c r="D4" s="4">
        <v>1.19308E-4</v>
      </c>
      <c r="F4" s="4">
        <v>1.16044E-3</v>
      </c>
      <c r="G4" s="4">
        <v>2.1414399999999999E-4</v>
      </c>
      <c r="I4" s="4">
        <v>1.13507E-3</v>
      </c>
      <c r="J4" s="4">
        <v>2.0636600000000001E-4</v>
      </c>
      <c r="L4" s="3">
        <f t="shared" ref="L4:M13" si="0">AVERAGE(C4,F4,I4)</f>
        <v>9.4087300000000006E-4</v>
      </c>
      <c r="M4" s="3">
        <f t="shared" si="0"/>
        <v>1.7993933333333332E-4</v>
      </c>
      <c r="O4">
        <f t="shared" ref="O4:P13" si="1">_xlfn.STDEV.P(C4,F4,I4)</f>
        <v>2.9275859793465785E-4</v>
      </c>
      <c r="P4">
        <f t="shared" si="1"/>
        <v>4.2990256704927402E-5</v>
      </c>
    </row>
    <row r="5" spans="1:16" x14ac:dyDescent="0.35">
      <c r="A5" s="2">
        <v>2.5118900000000002</v>
      </c>
      <c r="C5" s="4">
        <v>5.5787600000000001E-4</v>
      </c>
      <c r="D5" s="4">
        <v>1.1935299999999999E-4</v>
      </c>
      <c r="F5" s="4">
        <v>1.2233400000000001E-3</v>
      </c>
      <c r="G5" s="4">
        <v>2.0824999999999999E-4</v>
      </c>
      <c r="I5" s="4">
        <v>1.21324E-3</v>
      </c>
      <c r="J5" s="4">
        <v>2.15906E-4</v>
      </c>
      <c r="L5" s="3">
        <f t="shared" si="0"/>
        <v>9.9815199999999998E-4</v>
      </c>
      <c r="M5" s="3">
        <f t="shared" si="0"/>
        <v>1.8116966666666665E-4</v>
      </c>
      <c r="O5">
        <f t="shared" si="1"/>
        <v>3.1134944958144162E-4</v>
      </c>
      <c r="P5">
        <f t="shared" si="1"/>
        <v>4.3822587724698426E-5</v>
      </c>
    </row>
    <row r="6" spans="1:16" x14ac:dyDescent="0.35">
      <c r="A6" s="2">
        <v>3.9810500000000002</v>
      </c>
      <c r="C6" s="4">
        <v>5.9478000000000005E-4</v>
      </c>
      <c r="D6" s="4">
        <v>1.1812899999999999E-4</v>
      </c>
      <c r="F6" s="4">
        <v>1.2866100000000001E-3</v>
      </c>
      <c r="G6" s="4">
        <v>2.0676399999999999E-4</v>
      </c>
      <c r="I6" s="4">
        <v>1.2780199999999999E-3</v>
      </c>
      <c r="J6" s="4">
        <v>2.1680199999999999E-4</v>
      </c>
      <c r="L6" s="3">
        <f t="shared" si="0"/>
        <v>1.0531366666666666E-3</v>
      </c>
      <c r="M6" s="3">
        <f t="shared" si="0"/>
        <v>1.8056500000000002E-4</v>
      </c>
      <c r="O6">
        <f t="shared" si="1"/>
        <v>3.2412607879582218E-4</v>
      </c>
      <c r="P6">
        <f t="shared" si="1"/>
        <v>4.4338703431652128E-5</v>
      </c>
    </row>
    <row r="7" spans="1:16" x14ac:dyDescent="0.35">
      <c r="A7" s="2">
        <v>6.3095699999999999</v>
      </c>
      <c r="C7" s="4">
        <v>6.2938999999999996E-4</v>
      </c>
      <c r="D7" s="4">
        <v>1.2095900000000001E-4</v>
      </c>
      <c r="F7" s="4">
        <v>1.34738E-3</v>
      </c>
      <c r="G7" s="4">
        <v>2.0692900000000001E-4</v>
      </c>
      <c r="I7" s="4">
        <v>1.3432699999999999E-3</v>
      </c>
      <c r="J7" s="4">
        <v>2.1726499999999999E-4</v>
      </c>
      <c r="L7" s="3">
        <f t="shared" si="0"/>
        <v>1.1066799999999999E-3</v>
      </c>
      <c r="M7" s="3">
        <f t="shared" si="0"/>
        <v>1.8171766666666669E-4</v>
      </c>
      <c r="O7">
        <f t="shared" si="1"/>
        <v>3.3749916651748936E-4</v>
      </c>
      <c r="P7">
        <f t="shared" si="1"/>
        <v>4.3169587329765172E-5</v>
      </c>
    </row>
    <row r="8" spans="1:16" x14ac:dyDescent="0.35">
      <c r="A8" s="2">
        <v>10.0001</v>
      </c>
      <c r="C8" s="4">
        <v>6.6426500000000004E-4</v>
      </c>
      <c r="D8" s="4">
        <v>1.2463900000000001E-4</v>
      </c>
      <c r="F8" s="4">
        <v>1.4084200000000001E-3</v>
      </c>
      <c r="G8" s="4">
        <v>2.09113E-4</v>
      </c>
      <c r="I8" s="4">
        <v>1.4082599999999999E-3</v>
      </c>
      <c r="J8" s="4">
        <v>2.2085400000000001E-4</v>
      </c>
      <c r="L8" s="3">
        <f t="shared" si="0"/>
        <v>1.1603150000000001E-3</v>
      </c>
      <c r="M8" s="3">
        <f t="shared" si="0"/>
        <v>1.8486866666666667E-4</v>
      </c>
      <c r="O8">
        <f t="shared" si="1"/>
        <v>3.507603248896127E-4</v>
      </c>
      <c r="P8">
        <f t="shared" si="1"/>
        <v>4.2857689549899391E-5</v>
      </c>
    </row>
    <row r="9" spans="1:16" x14ac:dyDescent="0.35">
      <c r="A9" s="2">
        <v>15.849</v>
      </c>
      <c r="C9" s="4">
        <v>6.9974299999999996E-4</v>
      </c>
      <c r="D9" s="4">
        <v>1.2912399999999999E-4</v>
      </c>
      <c r="F9" s="4">
        <v>1.4712799999999999E-3</v>
      </c>
      <c r="G9" s="4">
        <v>2.1632800000000001E-4</v>
      </c>
      <c r="I9" s="4">
        <v>1.4737400000000001E-3</v>
      </c>
      <c r="J9" s="4">
        <v>2.2530299999999999E-4</v>
      </c>
      <c r="L9" s="3">
        <f t="shared" si="0"/>
        <v>1.2149209999999999E-3</v>
      </c>
      <c r="M9" s="3">
        <f t="shared" si="0"/>
        <v>1.9025166666666667E-4</v>
      </c>
      <c r="O9">
        <f t="shared" si="1"/>
        <v>3.6428724166789043E-4</v>
      </c>
      <c r="P9">
        <f t="shared" si="1"/>
        <v>4.3378807270627235E-5</v>
      </c>
    </row>
    <row r="10" spans="1:16" x14ac:dyDescent="0.35">
      <c r="A10" s="2">
        <v>25.1188</v>
      </c>
      <c r="C10" s="4">
        <v>7.35759E-4</v>
      </c>
      <c r="D10" s="4">
        <v>1.3562599999999999E-4</v>
      </c>
      <c r="F10" s="4">
        <v>1.5363900000000001E-3</v>
      </c>
      <c r="G10" s="4">
        <v>2.2706399999999999E-4</v>
      </c>
      <c r="I10" s="4">
        <v>1.5405099999999999E-3</v>
      </c>
      <c r="J10" s="4">
        <v>2.35775E-4</v>
      </c>
      <c r="L10" s="3">
        <f t="shared" si="0"/>
        <v>1.2708863333333335E-3</v>
      </c>
      <c r="M10" s="3">
        <f t="shared" si="0"/>
        <v>1.9948833333333332E-4</v>
      </c>
      <c r="O10">
        <f t="shared" si="1"/>
        <v>3.783959044531123E-4</v>
      </c>
      <c r="P10">
        <f t="shared" si="1"/>
        <v>4.5297303777990532E-5</v>
      </c>
    </row>
    <row r="11" spans="1:16" x14ac:dyDescent="0.35">
      <c r="A11" s="2">
        <v>39.810499999999998</v>
      </c>
      <c r="C11" s="4">
        <v>7.7393600000000002E-4</v>
      </c>
      <c r="D11" s="4">
        <v>1.4522800000000001E-4</v>
      </c>
      <c r="F11" s="4">
        <v>1.6061599999999999E-3</v>
      </c>
      <c r="G11" s="4">
        <v>2.44007E-4</v>
      </c>
      <c r="I11" s="4">
        <v>1.61136E-3</v>
      </c>
      <c r="J11" s="4">
        <v>2.5145099999999997E-4</v>
      </c>
      <c r="L11" s="3">
        <f t="shared" si="0"/>
        <v>1.3304853333333333E-3</v>
      </c>
      <c r="M11" s="3">
        <f t="shared" si="0"/>
        <v>2.1356200000000001E-4</v>
      </c>
      <c r="O11">
        <f t="shared" si="1"/>
        <v>3.9354553343108286E-4</v>
      </c>
      <c r="P11">
        <f t="shared" si="1"/>
        <v>4.8414907834949611E-5</v>
      </c>
    </row>
    <row r="12" spans="1:16" x14ac:dyDescent="0.35">
      <c r="A12" s="2">
        <v>63.095700000000001</v>
      </c>
      <c r="C12" s="4">
        <v>8.1543100000000003E-4</v>
      </c>
      <c r="D12" s="4">
        <v>1.5892900000000001E-4</v>
      </c>
      <c r="F12" s="4">
        <v>1.69283E-3</v>
      </c>
      <c r="G12" s="4">
        <v>2.6646599999999998E-4</v>
      </c>
      <c r="I12" s="4">
        <v>1.69451E-3</v>
      </c>
      <c r="J12" s="4">
        <v>2.7416799999999998E-4</v>
      </c>
      <c r="L12" s="3">
        <f t="shared" si="0"/>
        <v>1.4009236666666666E-3</v>
      </c>
      <c r="M12" s="3">
        <f t="shared" si="0"/>
        <v>2.3318766666666666E-4</v>
      </c>
      <c r="O12">
        <f t="shared" si="1"/>
        <v>4.1400640304254012E-4</v>
      </c>
      <c r="P12">
        <f t="shared" si="1"/>
        <v>5.2602866730076804E-5</v>
      </c>
    </row>
    <row r="13" spans="1:16" x14ac:dyDescent="0.35">
      <c r="A13" s="2">
        <v>100</v>
      </c>
      <c r="C13" s="4">
        <v>8.5099600000000002E-4</v>
      </c>
      <c r="D13" s="4">
        <v>1.78295E-4</v>
      </c>
      <c r="F13" s="4">
        <v>1.80809E-3</v>
      </c>
      <c r="G13" s="4">
        <v>3.0222000000000002E-4</v>
      </c>
      <c r="I13" s="4">
        <v>1.7974600000000001E-3</v>
      </c>
      <c r="J13" s="4">
        <v>3.0836200000000001E-4</v>
      </c>
      <c r="L13" s="3">
        <f t="shared" si="0"/>
        <v>1.4855153333333336E-3</v>
      </c>
      <c r="M13" s="3">
        <f t="shared" si="0"/>
        <v>2.6295900000000006E-4</v>
      </c>
      <c r="O13">
        <f t="shared" si="1"/>
        <v>4.4869391014761451E-4</v>
      </c>
      <c r="P13">
        <f t="shared" si="1"/>
        <v>5.9918977032878889E-5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43DC-E011-453F-AB82-FA93BDFE5D5B}">
  <dimension ref="A1:P13"/>
  <sheetViews>
    <sheetView workbookViewId="0">
      <selection activeCell="F1" sqref="F1:G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25</v>
      </c>
      <c r="M1" s="1" t="s">
        <v>26</v>
      </c>
      <c r="O1" s="1" t="s">
        <v>27</v>
      </c>
      <c r="P1" s="1" t="s">
        <v>28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2.5219100000000003E-4</v>
      </c>
      <c r="D3" s="4">
        <v>8.8320199999999995E-5</v>
      </c>
      <c r="F3" s="4">
        <v>4.5157499999999998E-3</v>
      </c>
      <c r="G3" s="4">
        <v>3.28754E-4</v>
      </c>
      <c r="I3" s="4"/>
      <c r="J3" s="4"/>
      <c r="L3" s="3">
        <f>AVERAGE(C3,F3,I3)</f>
        <v>2.3839704999999997E-3</v>
      </c>
      <c r="M3" s="3">
        <f>AVERAGE(D3,G3,J3)</f>
        <v>2.0853709999999999E-4</v>
      </c>
      <c r="O3">
        <f>_xlfn.STDEV.P(C3,F3,I3)</f>
        <v>2.1317795000000005E-3</v>
      </c>
      <c r="P3">
        <f>_xlfn.STDEV.P(D3,G3,J3)</f>
        <v>1.202169E-4</v>
      </c>
    </row>
    <row r="4" spans="1:16" x14ac:dyDescent="0.35">
      <c r="A4" s="2">
        <v>1.5849</v>
      </c>
      <c r="C4" s="4">
        <v>2.7307999999999998E-4</v>
      </c>
      <c r="D4" s="4">
        <v>8.8679100000000003E-5</v>
      </c>
      <c r="F4" s="4">
        <v>4.5626900000000003E-3</v>
      </c>
      <c r="G4" s="4">
        <v>2.6069400000000001E-4</v>
      </c>
      <c r="I4" s="4"/>
      <c r="J4" s="4"/>
      <c r="L4" s="3">
        <f t="shared" ref="L4:M13" si="0">AVERAGE(C4,F4,I4)</f>
        <v>2.4178850000000003E-3</v>
      </c>
      <c r="M4" s="3">
        <f t="shared" si="0"/>
        <v>1.7468655000000001E-4</v>
      </c>
      <c r="O4">
        <f t="shared" ref="O4:P13" si="1">_xlfn.STDEV.P(C4,F4,I4)</f>
        <v>2.1448050000000001E-3</v>
      </c>
      <c r="P4">
        <f t="shared" si="1"/>
        <v>8.6007450000000009E-5</v>
      </c>
    </row>
    <row r="5" spans="1:16" x14ac:dyDescent="0.35">
      <c r="A5" s="2">
        <v>2.5118900000000002</v>
      </c>
      <c r="C5" s="4">
        <v>2.9726500000000001E-4</v>
      </c>
      <c r="D5" s="4">
        <v>8.9634800000000004E-5</v>
      </c>
      <c r="F5" s="4">
        <v>4.6653500000000004E-3</v>
      </c>
      <c r="G5" s="4">
        <v>2.6792199999999997E-4</v>
      </c>
      <c r="I5" s="4"/>
      <c r="J5" s="4"/>
      <c r="L5" s="3">
        <f t="shared" si="0"/>
        <v>2.4813075E-3</v>
      </c>
      <c r="M5" s="3">
        <f t="shared" si="0"/>
        <v>1.7877839999999999E-4</v>
      </c>
      <c r="O5">
        <f t="shared" si="1"/>
        <v>2.1840425000000004E-3</v>
      </c>
      <c r="P5">
        <f t="shared" si="1"/>
        <v>8.9143599999999985E-5</v>
      </c>
    </row>
    <row r="6" spans="1:16" x14ac:dyDescent="0.35">
      <c r="A6" s="2">
        <v>3.9810500000000002</v>
      </c>
      <c r="C6" s="4">
        <v>3.1455099999999999E-4</v>
      </c>
      <c r="D6" s="4">
        <v>9.09246E-5</v>
      </c>
      <c r="F6" s="4">
        <v>4.7483500000000001E-3</v>
      </c>
      <c r="G6" s="4">
        <v>2.6143199999999997E-4</v>
      </c>
      <c r="I6" s="4"/>
      <c r="J6" s="4"/>
      <c r="L6" s="3">
        <f t="shared" si="0"/>
        <v>2.5314504999999999E-3</v>
      </c>
      <c r="M6" s="3">
        <f t="shared" si="0"/>
        <v>1.7617829999999997E-4</v>
      </c>
      <c r="O6">
        <f t="shared" si="1"/>
        <v>2.2168995000000002E-3</v>
      </c>
      <c r="P6">
        <f t="shared" si="1"/>
        <v>8.5253699999999986E-5</v>
      </c>
    </row>
    <row r="7" spans="1:16" x14ac:dyDescent="0.35">
      <c r="A7" s="2">
        <v>6.3095699999999999</v>
      </c>
      <c r="C7" s="4">
        <v>3.3791000000000002E-4</v>
      </c>
      <c r="D7" s="4">
        <v>9.5108199999999999E-5</v>
      </c>
      <c r="F7" s="4">
        <v>4.8224499999999998E-3</v>
      </c>
      <c r="G7" s="4">
        <v>2.5722899999999999E-4</v>
      </c>
      <c r="I7" s="4"/>
      <c r="J7" s="4"/>
      <c r="L7" s="3">
        <f t="shared" si="0"/>
        <v>2.5801800000000001E-3</v>
      </c>
      <c r="M7" s="3">
        <f t="shared" si="0"/>
        <v>1.761686E-4</v>
      </c>
      <c r="O7">
        <f t="shared" si="1"/>
        <v>2.2422699999999998E-3</v>
      </c>
      <c r="P7">
        <f t="shared" si="1"/>
        <v>8.1060399999999987E-5</v>
      </c>
    </row>
    <row r="8" spans="1:16" x14ac:dyDescent="0.35">
      <c r="A8" s="2">
        <v>10.0001</v>
      </c>
      <c r="C8" s="4">
        <v>3.6513300000000002E-4</v>
      </c>
      <c r="D8" s="4">
        <v>1.02719E-4</v>
      </c>
      <c r="F8" s="4">
        <v>4.8975399999999997E-3</v>
      </c>
      <c r="G8" s="4">
        <v>2.6363599999999998E-4</v>
      </c>
      <c r="I8" s="4"/>
      <c r="J8" s="4"/>
      <c r="L8" s="3">
        <f t="shared" si="0"/>
        <v>2.6313364999999999E-3</v>
      </c>
      <c r="M8" s="3">
        <f t="shared" si="0"/>
        <v>1.8317749999999998E-4</v>
      </c>
      <c r="O8">
        <f t="shared" si="1"/>
        <v>2.2662034999999998E-3</v>
      </c>
      <c r="P8">
        <f t="shared" si="1"/>
        <v>8.0458499999999989E-5</v>
      </c>
    </row>
    <row r="9" spans="1:16" x14ac:dyDescent="0.35">
      <c r="A9" s="2">
        <v>15.849</v>
      </c>
      <c r="C9" s="4">
        <v>3.89546E-4</v>
      </c>
      <c r="D9" s="4">
        <v>1.08303E-4</v>
      </c>
      <c r="F9" s="4">
        <v>4.9813699999999997E-3</v>
      </c>
      <c r="G9" s="4">
        <v>2.6655800000000002E-4</v>
      </c>
      <c r="I9" s="4"/>
      <c r="J9" s="4"/>
      <c r="L9" s="3">
        <f t="shared" si="0"/>
        <v>2.6854579999999999E-3</v>
      </c>
      <c r="M9" s="3">
        <f t="shared" si="0"/>
        <v>1.8743049999999999E-4</v>
      </c>
      <c r="O9">
        <f t="shared" si="1"/>
        <v>2.2959119999999998E-3</v>
      </c>
      <c r="P9">
        <f t="shared" si="1"/>
        <v>7.9127500000000011E-5</v>
      </c>
    </row>
    <row r="10" spans="1:16" x14ac:dyDescent="0.35">
      <c r="A10" s="2">
        <v>25.1188</v>
      </c>
      <c r="C10" s="4">
        <v>4.1825100000000002E-4</v>
      </c>
      <c r="D10" s="4">
        <v>1.16773E-4</v>
      </c>
      <c r="F10" s="4">
        <v>5.0606499999999999E-3</v>
      </c>
      <c r="G10" s="4">
        <v>2.70578E-4</v>
      </c>
      <c r="I10" s="4"/>
      <c r="J10" s="4"/>
      <c r="L10" s="3">
        <f t="shared" si="0"/>
        <v>2.7394504999999998E-3</v>
      </c>
      <c r="M10" s="3">
        <f t="shared" si="0"/>
        <v>1.9367549999999999E-4</v>
      </c>
      <c r="O10">
        <f t="shared" si="1"/>
        <v>2.3211995000000001E-3</v>
      </c>
      <c r="P10">
        <f t="shared" si="1"/>
        <v>7.6902499999999998E-5</v>
      </c>
    </row>
    <row r="11" spans="1:16" x14ac:dyDescent="0.35">
      <c r="A11" s="2">
        <v>39.810499999999998</v>
      </c>
      <c r="C11" s="4">
        <v>4.48644E-4</v>
      </c>
      <c r="D11" s="4">
        <v>1.25031E-4</v>
      </c>
      <c r="F11" s="4">
        <v>5.14373E-3</v>
      </c>
      <c r="G11" s="4">
        <v>2.8579099999999997E-4</v>
      </c>
      <c r="I11" s="4"/>
      <c r="J11" s="4"/>
      <c r="L11" s="3">
        <f t="shared" si="0"/>
        <v>2.7961869999999999E-3</v>
      </c>
      <c r="M11" s="3">
        <f t="shared" si="0"/>
        <v>2.0541099999999999E-4</v>
      </c>
      <c r="O11">
        <f t="shared" si="1"/>
        <v>2.3475430000000001E-3</v>
      </c>
      <c r="P11">
        <f t="shared" si="1"/>
        <v>8.0379999999999986E-5</v>
      </c>
    </row>
    <row r="12" spans="1:16" x14ac:dyDescent="0.35">
      <c r="A12" s="2">
        <v>63.095700000000001</v>
      </c>
      <c r="C12" s="4">
        <v>4.7982800000000001E-4</v>
      </c>
      <c r="D12" s="4">
        <v>1.3548799999999999E-4</v>
      </c>
      <c r="F12" s="4">
        <v>5.22903E-3</v>
      </c>
      <c r="G12" s="4">
        <v>3.0746499999999998E-4</v>
      </c>
      <c r="I12" s="4"/>
      <c r="J12" s="4"/>
      <c r="L12" s="3">
        <f t="shared" si="0"/>
        <v>2.8544289999999999E-3</v>
      </c>
      <c r="M12" s="3">
        <f t="shared" si="0"/>
        <v>2.2147649999999997E-4</v>
      </c>
      <c r="O12">
        <f t="shared" si="1"/>
        <v>2.3746010000000001E-3</v>
      </c>
      <c r="P12">
        <f t="shared" si="1"/>
        <v>8.5988499999999998E-5</v>
      </c>
    </row>
    <row r="13" spans="1:16" x14ac:dyDescent="0.35">
      <c r="A13" s="2">
        <v>100</v>
      </c>
      <c r="C13" s="4">
        <v>5.0742799999999998E-4</v>
      </c>
      <c r="D13" s="4">
        <v>1.49469E-4</v>
      </c>
      <c r="F13" s="4">
        <v>5.3474999999999998E-3</v>
      </c>
      <c r="G13" s="4">
        <v>3.4671799999999998E-4</v>
      </c>
      <c r="I13" s="4"/>
      <c r="J13" s="4"/>
      <c r="L13" s="3">
        <f t="shared" si="0"/>
        <v>2.9274639999999998E-3</v>
      </c>
      <c r="M13" s="3">
        <f t="shared" si="0"/>
        <v>2.4809349999999997E-4</v>
      </c>
      <c r="O13">
        <f t="shared" si="1"/>
        <v>2.420036E-3</v>
      </c>
      <c r="P13">
        <f t="shared" si="1"/>
        <v>9.8624499999999991E-5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F34B-7C64-4F77-98E1-232A96506A44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816406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29</v>
      </c>
      <c r="M1" s="1" t="s">
        <v>30</v>
      </c>
      <c r="O1" s="1" t="s">
        <v>31</v>
      </c>
      <c r="P1" s="1" t="s">
        <v>32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7.5956299999999999E-4</v>
      </c>
      <c r="D3" s="4">
        <v>2.1090900000000001E-4</v>
      </c>
      <c r="F3" s="4">
        <v>1.1720400000000001E-3</v>
      </c>
      <c r="G3" s="4">
        <v>2.79296E-4</v>
      </c>
      <c r="I3" s="4">
        <v>1.0826900000000001E-3</v>
      </c>
      <c r="J3" s="4">
        <v>2.3461700000000001E-4</v>
      </c>
      <c r="L3" s="3">
        <f>AVERAGE(C3,F3,I3)</f>
        <v>1.0047643333333334E-3</v>
      </c>
      <c r="M3" s="3">
        <f>AVERAGE(D3,G3,J3)</f>
        <v>2.4160733333333337E-4</v>
      </c>
      <c r="O3">
        <f>_xlfn.STDEV.P(C3,F3,I3)</f>
        <v>1.7717905449259204E-4</v>
      </c>
      <c r="P3">
        <f>_xlfn.STDEV.P(D3,G3,J3)</f>
        <v>2.8353059944602489E-5</v>
      </c>
    </row>
    <row r="4" spans="1:16" x14ac:dyDescent="0.35">
      <c r="A4" s="2">
        <v>1.5849</v>
      </c>
      <c r="C4" s="4">
        <v>8.3589999999999999E-4</v>
      </c>
      <c r="D4" s="4">
        <v>1.9971600000000001E-4</v>
      </c>
      <c r="F4" s="4">
        <v>1.29747E-3</v>
      </c>
      <c r="G4" s="4">
        <v>2.6596699999999998E-4</v>
      </c>
      <c r="I4" s="4">
        <v>1.1793800000000001E-3</v>
      </c>
      <c r="J4" s="4">
        <v>2.3458600000000001E-4</v>
      </c>
      <c r="L4" s="3">
        <f t="shared" ref="L4:M13" si="0">AVERAGE(C4,F4,I4)</f>
        <v>1.10425E-3</v>
      </c>
      <c r="M4" s="3">
        <f t="shared" si="0"/>
        <v>2.3342299999999999E-4</v>
      </c>
      <c r="O4">
        <f t="shared" ref="O4:P13" si="1">_xlfn.STDEV.P(C4,F4,I4)</f>
        <v>1.9578066622285938E-4</v>
      </c>
      <c r="P4">
        <f t="shared" si="1"/>
        <v>2.7059356693511139E-5</v>
      </c>
    </row>
    <row r="5" spans="1:16" x14ac:dyDescent="0.35">
      <c r="A5" s="2">
        <v>2.5118900000000002</v>
      </c>
      <c r="C5" s="4">
        <v>9.0332599999999998E-4</v>
      </c>
      <c r="D5" s="4">
        <v>2.0032700000000001E-4</v>
      </c>
      <c r="F5" s="4">
        <v>1.40131E-3</v>
      </c>
      <c r="G5" s="4">
        <v>2.6176999999999998E-4</v>
      </c>
      <c r="I5" s="4">
        <v>1.2621399999999999E-3</v>
      </c>
      <c r="J5" s="4">
        <v>2.2052399999999999E-4</v>
      </c>
      <c r="L5" s="3">
        <f t="shared" si="0"/>
        <v>1.1889253333333333E-3</v>
      </c>
      <c r="M5" s="3">
        <f t="shared" si="0"/>
        <v>2.2754033333333333E-4</v>
      </c>
      <c r="O5">
        <f t="shared" si="1"/>
        <v>2.0978926986436227E-4</v>
      </c>
      <c r="P5">
        <f t="shared" si="1"/>
        <v>2.5569933676531538E-5</v>
      </c>
    </row>
    <row r="6" spans="1:16" x14ac:dyDescent="0.35">
      <c r="A6" s="2">
        <v>3.9810500000000002</v>
      </c>
      <c r="C6" s="4">
        <v>9.7439499999999997E-4</v>
      </c>
      <c r="D6" s="4">
        <v>1.9729799999999999E-4</v>
      </c>
      <c r="F6" s="4">
        <v>1.49069E-3</v>
      </c>
      <c r="G6" s="4">
        <v>2.4880200000000001E-4</v>
      </c>
      <c r="I6" s="4">
        <v>1.3435000000000001E-3</v>
      </c>
      <c r="J6" s="4">
        <v>2.2642499999999999E-4</v>
      </c>
      <c r="L6" s="3">
        <f t="shared" si="0"/>
        <v>1.2695283333333334E-3</v>
      </c>
      <c r="M6" s="3">
        <f t="shared" si="0"/>
        <v>2.2417499999999999E-4</v>
      </c>
      <c r="O6">
        <f t="shared" si="1"/>
        <v>2.1716965312605006E-4</v>
      </c>
      <c r="P6">
        <f t="shared" si="1"/>
        <v>2.1086526171942125E-5</v>
      </c>
    </row>
    <row r="7" spans="1:16" x14ac:dyDescent="0.35">
      <c r="A7" s="2">
        <v>6.3095699999999999</v>
      </c>
      <c r="C7" s="4">
        <v>1.0422000000000001E-3</v>
      </c>
      <c r="D7" s="4">
        <v>1.9706899999999999E-4</v>
      </c>
      <c r="F7" s="4">
        <v>1.5877E-3</v>
      </c>
      <c r="G7" s="4">
        <v>2.5550099999999999E-4</v>
      </c>
      <c r="I7" s="4">
        <v>1.4248500000000001E-3</v>
      </c>
      <c r="J7" s="4">
        <v>2.2766299999999999E-4</v>
      </c>
      <c r="L7" s="3">
        <f t="shared" si="0"/>
        <v>1.3515833333333333E-3</v>
      </c>
      <c r="M7" s="3">
        <f t="shared" si="0"/>
        <v>2.2674433333333334E-4</v>
      </c>
      <c r="O7">
        <f t="shared" si="1"/>
        <v>2.2864611059208699E-4</v>
      </c>
      <c r="P7">
        <f t="shared" si="1"/>
        <v>2.3863607122329368E-5</v>
      </c>
    </row>
    <row r="8" spans="1:16" x14ac:dyDescent="0.35">
      <c r="A8" s="2">
        <v>10.0001</v>
      </c>
      <c r="C8" s="4">
        <v>1.1084700000000001E-3</v>
      </c>
      <c r="D8" s="4">
        <v>2.0477200000000001E-4</v>
      </c>
      <c r="F8" s="4">
        <v>1.67377E-3</v>
      </c>
      <c r="G8" s="4">
        <v>2.5945299999999998E-4</v>
      </c>
      <c r="I8" s="4">
        <v>1.5135599999999999E-3</v>
      </c>
      <c r="J8" s="4">
        <v>2.3650400000000001E-4</v>
      </c>
      <c r="L8" s="3">
        <f t="shared" si="0"/>
        <v>1.4319333333333332E-3</v>
      </c>
      <c r="M8" s="3">
        <f t="shared" si="0"/>
        <v>2.3357633333333334E-4</v>
      </c>
      <c r="O8">
        <f t="shared" si="1"/>
        <v>2.3789102131484955E-4</v>
      </c>
      <c r="P8">
        <f t="shared" si="1"/>
        <v>2.241920849529606E-5</v>
      </c>
    </row>
    <row r="9" spans="1:16" x14ac:dyDescent="0.35">
      <c r="A9" s="2">
        <v>15.849</v>
      </c>
      <c r="C9" s="4">
        <v>1.1698100000000001E-3</v>
      </c>
      <c r="D9" s="4">
        <v>2.11036E-4</v>
      </c>
      <c r="F9" s="4">
        <v>1.76026E-3</v>
      </c>
      <c r="G9" s="4">
        <v>2.6380899999999999E-4</v>
      </c>
      <c r="I9" s="4">
        <v>1.6029499999999999E-3</v>
      </c>
      <c r="J9" s="4">
        <v>2.5024699999999999E-4</v>
      </c>
      <c r="L9" s="3">
        <f t="shared" si="0"/>
        <v>1.5110066666666666E-3</v>
      </c>
      <c r="M9" s="3">
        <f t="shared" si="0"/>
        <v>2.4169733333333332E-4</v>
      </c>
      <c r="O9">
        <f t="shared" si="1"/>
        <v>2.4966375125133578E-4</v>
      </c>
      <c r="P9">
        <f t="shared" si="1"/>
        <v>2.2376624445066673E-5</v>
      </c>
    </row>
    <row r="10" spans="1:16" x14ac:dyDescent="0.35">
      <c r="A10" s="2">
        <v>25.1188</v>
      </c>
      <c r="C10" s="4">
        <v>1.2350200000000001E-3</v>
      </c>
      <c r="D10" s="4">
        <v>2.1782999999999999E-4</v>
      </c>
      <c r="F10" s="4">
        <v>1.85771E-3</v>
      </c>
      <c r="G10" s="4">
        <v>2.8009299999999998E-4</v>
      </c>
      <c r="I10" s="4">
        <v>1.69429E-3</v>
      </c>
      <c r="J10" s="4">
        <v>2.6917E-4</v>
      </c>
      <c r="L10" s="3">
        <f t="shared" si="0"/>
        <v>1.5956733333333335E-3</v>
      </c>
      <c r="M10" s="3">
        <f t="shared" si="0"/>
        <v>2.5569766666666663E-4</v>
      </c>
      <c r="O10">
        <f t="shared" si="1"/>
        <v>2.6360278733141061E-4</v>
      </c>
      <c r="P10">
        <f t="shared" si="1"/>
        <v>2.7145264981003382E-5</v>
      </c>
    </row>
    <row r="11" spans="1:16" x14ac:dyDescent="0.35">
      <c r="A11" s="2">
        <v>39.810499999999998</v>
      </c>
      <c r="C11" s="4">
        <v>1.32745E-3</v>
      </c>
      <c r="D11" s="4">
        <v>2.3565399999999999E-4</v>
      </c>
      <c r="F11" s="4">
        <v>1.9746199999999998E-3</v>
      </c>
      <c r="G11" s="4">
        <v>3.0178799999999999E-4</v>
      </c>
      <c r="I11" s="4">
        <v>1.80518E-3</v>
      </c>
      <c r="J11" s="4">
        <v>2.9035900000000002E-4</v>
      </c>
      <c r="L11" s="3">
        <f t="shared" si="0"/>
        <v>1.7024166666666665E-3</v>
      </c>
      <c r="M11" s="3">
        <f t="shared" si="0"/>
        <v>2.7593366666666666E-4</v>
      </c>
      <c r="O11">
        <f t="shared" si="1"/>
        <v>2.7401639760341994E-4</v>
      </c>
      <c r="P11">
        <f t="shared" si="1"/>
        <v>2.8861672050585629E-5</v>
      </c>
    </row>
    <row r="12" spans="1:16" x14ac:dyDescent="0.35">
      <c r="A12" s="2">
        <v>63.095700000000001</v>
      </c>
      <c r="C12" s="4">
        <v>1.4682E-3</v>
      </c>
      <c r="D12" s="4">
        <v>2.5828899999999998E-4</v>
      </c>
      <c r="F12" s="4">
        <v>2.1466800000000002E-3</v>
      </c>
      <c r="G12" s="4">
        <v>3.2961999999999998E-4</v>
      </c>
      <c r="I12" s="4">
        <v>1.9652699999999999E-3</v>
      </c>
      <c r="J12" s="4">
        <v>3.2128099999999998E-4</v>
      </c>
      <c r="L12" s="3">
        <f t="shared" si="0"/>
        <v>1.86005E-3</v>
      </c>
      <c r="M12" s="3">
        <f t="shared" si="0"/>
        <v>3.0306333333333333E-4</v>
      </c>
      <c r="O12">
        <f t="shared" si="1"/>
        <v>2.8680680361525601E-4</v>
      </c>
      <c r="P12">
        <f t="shared" si="1"/>
        <v>3.1842743017662423E-5</v>
      </c>
    </row>
    <row r="13" spans="1:16" x14ac:dyDescent="0.35">
      <c r="A13" s="2">
        <v>100</v>
      </c>
      <c r="C13" s="4">
        <v>1.7133599999999999E-3</v>
      </c>
      <c r="D13" s="4">
        <v>2.8946100000000003E-4</v>
      </c>
      <c r="F13" s="4">
        <v>2.4599299999999999E-3</v>
      </c>
      <c r="G13" s="4">
        <v>3.75805E-4</v>
      </c>
      <c r="I13" s="4">
        <v>2.2317600000000002E-3</v>
      </c>
      <c r="J13" s="4">
        <v>3.6363699999999999E-4</v>
      </c>
      <c r="L13" s="3">
        <f t="shared" si="0"/>
        <v>2.1350166666666667E-3</v>
      </c>
      <c r="M13" s="3">
        <f t="shared" si="0"/>
        <v>3.4296766666666671E-4</v>
      </c>
      <c r="O13">
        <f t="shared" si="1"/>
        <v>3.1236852768627135E-4</v>
      </c>
      <c r="P13">
        <f t="shared" si="1"/>
        <v>3.8159643511029923E-5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71C5-6986-4285-933C-4E12C213AC23}">
  <dimension ref="A1:P13"/>
  <sheetViews>
    <sheetView workbookViewId="0">
      <selection activeCell="P25" sqref="P25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29</v>
      </c>
      <c r="M1" s="1" t="s">
        <v>30</v>
      </c>
      <c r="O1" s="1" t="s">
        <v>31</v>
      </c>
      <c r="P1" s="1" t="s">
        <v>32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7.1560899999999997E-4</v>
      </c>
      <c r="D3" s="4">
        <v>1.69297E-4</v>
      </c>
      <c r="F3" s="4">
        <v>5.7954999999999997E-4</v>
      </c>
      <c r="G3" s="4">
        <v>1.31185E-4</v>
      </c>
      <c r="I3" s="4">
        <v>7.0157300000000004E-4</v>
      </c>
      <c r="J3" s="4">
        <v>1.61352E-4</v>
      </c>
      <c r="L3" s="3">
        <f>AVERAGE(C3,F3,I3)</f>
        <v>6.6557733333333336E-4</v>
      </c>
      <c r="M3" s="3">
        <f>AVERAGE(D3,G3,J3)</f>
        <v>1.5394466666666668E-4</v>
      </c>
      <c r="O3">
        <f>_xlfn.STDEV.P(C3,F3,I3)</f>
        <v>6.1099802969313171E-5</v>
      </c>
      <c r="P3">
        <f>_xlfn.STDEV.P(D3,G3,J3)</f>
        <v>1.6417116602971289E-5</v>
      </c>
    </row>
    <row r="4" spans="1:16" x14ac:dyDescent="0.35">
      <c r="A4" s="2">
        <v>1.5849</v>
      </c>
      <c r="C4" s="4">
        <v>7.7243199999999998E-4</v>
      </c>
      <c r="D4" s="4">
        <v>1.66596E-4</v>
      </c>
      <c r="F4" s="4">
        <v>6.2160899999999996E-4</v>
      </c>
      <c r="G4" s="4">
        <v>1.2962E-4</v>
      </c>
      <c r="I4" s="4">
        <v>7.5183300000000004E-4</v>
      </c>
      <c r="J4" s="4">
        <v>1.5761799999999999E-4</v>
      </c>
      <c r="L4" s="3">
        <f t="shared" ref="L4:M13" si="0">AVERAGE(C4,F4,I4)</f>
        <v>7.1529133333333333E-4</v>
      </c>
      <c r="M4" s="3">
        <f t="shared" si="0"/>
        <v>1.51278E-4</v>
      </c>
      <c r="O4">
        <f t="shared" ref="O4:P13" si="1">_xlfn.STDEV.P(C4,F4,I4)</f>
        <v>6.6775067125054684E-5</v>
      </c>
      <c r="P4">
        <f t="shared" si="1"/>
        <v>1.574701758005835E-5</v>
      </c>
    </row>
    <row r="5" spans="1:16" x14ac:dyDescent="0.35">
      <c r="A5" s="2">
        <v>2.5118900000000002</v>
      </c>
      <c r="C5" s="4">
        <v>8.2503899999999996E-4</v>
      </c>
      <c r="D5" s="4">
        <v>1.6961999999999999E-4</v>
      </c>
      <c r="F5" s="4">
        <v>6.5967900000000004E-4</v>
      </c>
      <c r="G5" s="4">
        <v>1.2821999999999999E-4</v>
      </c>
      <c r="I5" s="4">
        <v>8.0114100000000001E-4</v>
      </c>
      <c r="J5" s="4">
        <v>1.5332599999999999E-4</v>
      </c>
      <c r="L5" s="3">
        <f t="shared" si="0"/>
        <v>7.61953E-4</v>
      </c>
      <c r="M5" s="3">
        <f t="shared" si="0"/>
        <v>1.5038866666666664E-4</v>
      </c>
      <c r="O5">
        <f t="shared" si="1"/>
        <v>7.2973771123603008E-5</v>
      </c>
      <c r="P5">
        <f t="shared" si="1"/>
        <v>1.7028621892436148E-5</v>
      </c>
    </row>
    <row r="6" spans="1:16" x14ac:dyDescent="0.35">
      <c r="A6" s="2">
        <v>3.9810500000000002</v>
      </c>
      <c r="C6" s="4">
        <v>8.7666600000000001E-4</v>
      </c>
      <c r="D6" s="4">
        <v>1.7113400000000001E-4</v>
      </c>
      <c r="F6" s="4">
        <v>6.9619699999999996E-4</v>
      </c>
      <c r="G6" s="4">
        <v>1.30698E-4</v>
      </c>
      <c r="I6" s="4">
        <v>8.4672299999999996E-4</v>
      </c>
      <c r="J6" s="4">
        <v>1.5525599999999999E-4</v>
      </c>
      <c r="L6" s="3">
        <f t="shared" si="0"/>
        <v>8.0652866666666657E-4</v>
      </c>
      <c r="M6" s="3">
        <f t="shared" si="0"/>
        <v>1.5236266666666668E-4</v>
      </c>
      <c r="O6">
        <f t="shared" si="1"/>
        <v>7.8968151024461905E-5</v>
      </c>
      <c r="P6">
        <f t="shared" si="1"/>
        <v>1.6634222902064154E-5</v>
      </c>
    </row>
    <row r="7" spans="1:16" x14ac:dyDescent="0.35">
      <c r="A7" s="2">
        <v>6.3095699999999999</v>
      </c>
      <c r="C7" s="4">
        <v>9.27786E-4</v>
      </c>
      <c r="D7" s="4">
        <v>1.7376699999999999E-4</v>
      </c>
      <c r="F7" s="4">
        <v>7.3399200000000004E-4</v>
      </c>
      <c r="G7" s="4">
        <v>1.3186299999999999E-4</v>
      </c>
      <c r="I7" s="4">
        <v>8.9347500000000002E-4</v>
      </c>
      <c r="J7" s="4">
        <v>1.5753300000000001E-4</v>
      </c>
      <c r="L7" s="3">
        <f t="shared" si="0"/>
        <v>8.5175099999999998E-4</v>
      </c>
      <c r="M7" s="3">
        <f t="shared" si="0"/>
        <v>1.5438766666666667E-4</v>
      </c>
      <c r="O7">
        <f t="shared" si="1"/>
        <v>8.44381341219712E-5</v>
      </c>
      <c r="P7">
        <f t="shared" si="1"/>
        <v>1.7251205664790182E-5</v>
      </c>
    </row>
    <row r="8" spans="1:16" x14ac:dyDescent="0.35">
      <c r="A8" s="2">
        <v>10.0001</v>
      </c>
      <c r="C8" s="4">
        <v>9.7992099999999992E-4</v>
      </c>
      <c r="D8" s="4">
        <v>1.7801500000000001E-4</v>
      </c>
      <c r="F8" s="4">
        <v>7.7376300000000001E-4</v>
      </c>
      <c r="G8" s="4">
        <v>1.3504899999999999E-4</v>
      </c>
      <c r="I8" s="4">
        <v>9.4031500000000005E-4</v>
      </c>
      <c r="J8" s="4">
        <v>1.6056100000000001E-4</v>
      </c>
      <c r="L8" s="3">
        <f t="shared" si="0"/>
        <v>8.9799966666666666E-4</v>
      </c>
      <c r="M8" s="3">
        <f t="shared" si="0"/>
        <v>1.57875E-4</v>
      </c>
      <c r="O8">
        <f t="shared" si="1"/>
        <v>8.9324206563631001E-5</v>
      </c>
      <c r="P8">
        <f t="shared" si="1"/>
        <v>1.7643322362865799E-5</v>
      </c>
    </row>
    <row r="9" spans="1:16" x14ac:dyDescent="0.35">
      <c r="A9" s="2">
        <v>15.849</v>
      </c>
      <c r="C9" s="4">
        <v>1.0344900000000001E-3</v>
      </c>
      <c r="D9" s="4">
        <v>1.83437E-4</v>
      </c>
      <c r="F9" s="4">
        <v>8.1356500000000003E-4</v>
      </c>
      <c r="G9" s="4">
        <v>1.3989100000000001E-4</v>
      </c>
      <c r="I9" s="4">
        <v>9.8805000000000008E-4</v>
      </c>
      <c r="J9" s="4">
        <v>1.6670199999999999E-4</v>
      </c>
      <c r="L9" s="3">
        <f t="shared" si="0"/>
        <v>9.4536833333333341E-4</v>
      </c>
      <c r="M9" s="3">
        <f t="shared" si="0"/>
        <v>1.6334333333333333E-4</v>
      </c>
      <c r="O9">
        <f t="shared" si="1"/>
        <v>9.5107859501141628E-5</v>
      </c>
      <c r="P9">
        <f t="shared" si="1"/>
        <v>1.7935514309758597E-5</v>
      </c>
    </row>
    <row r="10" spans="1:16" x14ac:dyDescent="0.35">
      <c r="A10" s="2">
        <v>25.1188</v>
      </c>
      <c r="C10" s="4">
        <v>1.09132E-3</v>
      </c>
      <c r="D10" s="4">
        <v>1.9295299999999999E-4</v>
      </c>
      <c r="F10" s="4">
        <v>8.5735300000000004E-4</v>
      </c>
      <c r="G10" s="4">
        <v>1.4626E-4</v>
      </c>
      <c r="I10" s="4">
        <v>1.0382E-3</v>
      </c>
      <c r="J10" s="4">
        <v>1.7495299999999999E-4</v>
      </c>
      <c r="L10" s="3">
        <f t="shared" si="0"/>
        <v>9.9562433333333345E-4</v>
      </c>
      <c r="M10" s="3">
        <f t="shared" si="0"/>
        <v>1.7138866666666663E-4</v>
      </c>
      <c r="O10">
        <f t="shared" si="1"/>
        <v>1.0014873877166677E-4</v>
      </c>
      <c r="P10">
        <f t="shared" si="1"/>
        <v>1.9228232997917986E-5</v>
      </c>
    </row>
    <row r="11" spans="1:16" x14ac:dyDescent="0.35">
      <c r="A11" s="2">
        <v>39.810499999999998</v>
      </c>
      <c r="C11" s="4">
        <v>1.1561500000000001E-3</v>
      </c>
      <c r="D11" s="4">
        <v>2.0615999999999999E-4</v>
      </c>
      <c r="F11" s="4">
        <v>9.0719499999999996E-4</v>
      </c>
      <c r="G11" s="4">
        <v>1.5470499999999999E-4</v>
      </c>
      <c r="I11" s="4">
        <v>1.08613E-3</v>
      </c>
      <c r="J11" s="4">
        <v>1.87374E-4</v>
      </c>
      <c r="L11" s="3">
        <f t="shared" si="0"/>
        <v>1.0498250000000001E-3</v>
      </c>
      <c r="M11" s="3">
        <f t="shared" si="0"/>
        <v>1.8274633333333331E-4</v>
      </c>
      <c r="O11">
        <f t="shared" si="1"/>
        <v>1.0482743844051525E-4</v>
      </c>
      <c r="P11">
        <f t="shared" si="1"/>
        <v>2.1259754315503168E-5</v>
      </c>
    </row>
    <row r="12" spans="1:16" x14ac:dyDescent="0.35">
      <c r="A12" s="2">
        <v>63.095700000000001</v>
      </c>
      <c r="C12" s="4">
        <v>1.2445900000000001E-3</v>
      </c>
      <c r="D12" s="4">
        <v>2.2520299999999999E-4</v>
      </c>
      <c r="F12" s="4">
        <v>9.7260000000000001E-4</v>
      </c>
      <c r="G12" s="4">
        <v>1.67443E-4</v>
      </c>
      <c r="I12" s="4">
        <v>1.14974E-3</v>
      </c>
      <c r="J12" s="4">
        <v>2.0335899999999999E-4</v>
      </c>
      <c r="L12" s="3">
        <f t="shared" si="0"/>
        <v>1.1223099999999998E-3</v>
      </c>
      <c r="M12" s="3">
        <f t="shared" si="0"/>
        <v>1.9866833333333331E-4</v>
      </c>
      <c r="O12">
        <f t="shared" si="1"/>
        <v>1.1272072775965684E-4</v>
      </c>
      <c r="P12">
        <f t="shared" si="1"/>
        <v>2.3812548027364803E-5</v>
      </c>
    </row>
    <row r="13" spans="1:16" x14ac:dyDescent="0.35">
      <c r="A13" s="2">
        <v>100</v>
      </c>
      <c r="C13" s="4">
        <v>1.36721E-3</v>
      </c>
      <c r="D13" s="4">
        <v>2.5286500000000001E-4</v>
      </c>
      <c r="F13" s="4">
        <v>1.0569399999999999E-3</v>
      </c>
      <c r="G13" s="4">
        <v>1.8567200000000001E-4</v>
      </c>
      <c r="I13" s="4">
        <v>1.2090600000000001E-3</v>
      </c>
      <c r="J13" s="4">
        <v>2.2699999999999999E-4</v>
      </c>
      <c r="L13" s="3">
        <f t="shared" si="0"/>
        <v>1.2110700000000001E-3</v>
      </c>
      <c r="M13" s="3">
        <f t="shared" si="0"/>
        <v>2.2184566666666667E-4</v>
      </c>
      <c r="O13">
        <f t="shared" si="1"/>
        <v>1.266751706794456E-4</v>
      </c>
      <c r="P13">
        <f t="shared" si="1"/>
        <v>2.7672491471174442E-5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1579-6CA2-4C26-B48C-BC369B3A1CED}">
  <dimension ref="A1:P13"/>
  <sheetViews>
    <sheetView workbookViewId="0">
      <selection activeCell="R23" sqref="R22:R2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33</v>
      </c>
      <c r="M1" s="1" t="s">
        <v>34</v>
      </c>
      <c r="O1" s="1" t="s">
        <v>35</v>
      </c>
      <c r="P1" s="1" t="s">
        <v>36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2.2320200000000001E-4</v>
      </c>
      <c r="D3" s="4">
        <v>8.3609900000000001E-5</v>
      </c>
      <c r="F3" s="4">
        <v>7.6980099999999997E-4</v>
      </c>
      <c r="G3" s="4">
        <v>1.8075400000000001E-4</v>
      </c>
      <c r="I3" s="4"/>
      <c r="J3" s="4"/>
      <c r="L3" s="3">
        <f>AVERAGE(C3,F3,I3)</f>
        <v>4.9650149999999995E-4</v>
      </c>
      <c r="M3" s="3">
        <f>AVERAGE(D3,G3,J3)</f>
        <v>1.3218195000000001E-4</v>
      </c>
      <c r="O3">
        <f>_xlfn.STDEV.P(C3,F3,I3)</f>
        <v>2.7329949999999997E-4</v>
      </c>
      <c r="P3">
        <f>_xlfn.STDEV.P(D3,G3,J3)</f>
        <v>4.8572050000000005E-5</v>
      </c>
    </row>
    <row r="4" spans="1:16" x14ac:dyDescent="0.35">
      <c r="A4" s="2">
        <v>1.5849</v>
      </c>
      <c r="C4" s="4">
        <v>2.4331400000000001E-4</v>
      </c>
      <c r="D4" s="4">
        <v>8.5711599999999994E-5</v>
      </c>
      <c r="F4" s="4">
        <v>8.2570699999999996E-4</v>
      </c>
      <c r="G4" s="4">
        <v>1.8766900000000001E-4</v>
      </c>
      <c r="I4" s="4"/>
      <c r="J4" s="4"/>
      <c r="L4" s="3">
        <f t="shared" ref="L4:M13" si="0">AVERAGE(C4,F4,I4)</f>
        <v>5.3451049999999993E-4</v>
      </c>
      <c r="M4" s="3">
        <f t="shared" si="0"/>
        <v>1.3669030000000002E-4</v>
      </c>
      <c r="O4">
        <f t="shared" ref="O4:P13" si="1">_xlfn.STDEV.P(C4,F4,I4)</f>
        <v>2.9119649999999998E-4</v>
      </c>
      <c r="P4">
        <f t="shared" si="1"/>
        <v>5.0978700000000007E-5</v>
      </c>
    </row>
    <row r="5" spans="1:16" x14ac:dyDescent="0.35">
      <c r="A5" s="2">
        <v>2.5118900000000002</v>
      </c>
      <c r="C5" s="4">
        <v>2.5929499999999999E-4</v>
      </c>
      <c r="D5" s="4">
        <v>8.4118500000000004E-5</v>
      </c>
      <c r="F5" s="4">
        <v>8.7378800000000002E-4</v>
      </c>
      <c r="G5" s="4">
        <v>1.7579600000000001E-4</v>
      </c>
      <c r="I5" s="4"/>
      <c r="J5" s="4"/>
      <c r="L5" s="3">
        <f t="shared" si="0"/>
        <v>5.665415E-4</v>
      </c>
      <c r="M5" s="3">
        <f t="shared" si="0"/>
        <v>1.2995725000000002E-4</v>
      </c>
      <c r="O5">
        <f t="shared" si="1"/>
        <v>3.0724650000000001E-4</v>
      </c>
      <c r="P5">
        <f t="shared" si="1"/>
        <v>4.5838750000000002E-5</v>
      </c>
    </row>
    <row r="6" spans="1:16" x14ac:dyDescent="0.35">
      <c r="A6" s="2">
        <v>3.9810500000000002</v>
      </c>
      <c r="C6" s="4">
        <v>2.7378999999999999E-4</v>
      </c>
      <c r="D6" s="4">
        <v>8.4252099999999999E-5</v>
      </c>
      <c r="F6" s="4">
        <v>9.2699600000000003E-4</v>
      </c>
      <c r="G6" s="4">
        <v>1.7744399999999999E-4</v>
      </c>
      <c r="I6" s="4"/>
      <c r="J6" s="4"/>
      <c r="L6" s="3">
        <f t="shared" si="0"/>
        <v>6.0039300000000006E-4</v>
      </c>
      <c r="M6" s="3">
        <f t="shared" si="0"/>
        <v>1.3084804999999999E-4</v>
      </c>
      <c r="O6">
        <f t="shared" si="1"/>
        <v>3.2660300000000002E-4</v>
      </c>
      <c r="P6">
        <f t="shared" si="1"/>
        <v>4.6595949999999996E-5</v>
      </c>
    </row>
    <row r="7" spans="1:16" x14ac:dyDescent="0.35">
      <c r="A7" s="2">
        <v>6.3095699999999999</v>
      </c>
      <c r="C7" s="4">
        <v>2.9170999999999998E-4</v>
      </c>
      <c r="D7" s="4">
        <v>8.4277000000000006E-5</v>
      </c>
      <c r="F7" s="4">
        <v>9.797479999999999E-4</v>
      </c>
      <c r="G7" s="4">
        <v>1.7919600000000001E-4</v>
      </c>
      <c r="I7" s="4"/>
      <c r="J7" s="4"/>
      <c r="L7" s="3">
        <f t="shared" si="0"/>
        <v>6.3572899999999992E-4</v>
      </c>
      <c r="M7" s="3">
        <f t="shared" si="0"/>
        <v>1.3173650000000001E-4</v>
      </c>
      <c r="O7">
        <f t="shared" si="1"/>
        <v>3.4401899999999999E-4</v>
      </c>
      <c r="P7">
        <f t="shared" si="1"/>
        <v>4.7459500000000002E-5</v>
      </c>
    </row>
    <row r="8" spans="1:16" x14ac:dyDescent="0.35">
      <c r="A8" s="2">
        <v>10.0001</v>
      </c>
      <c r="C8" s="4">
        <v>3.0916299999999999E-4</v>
      </c>
      <c r="D8" s="4">
        <v>8.2706200000000004E-5</v>
      </c>
      <c r="F8" s="4">
        <v>1.0328799999999999E-3</v>
      </c>
      <c r="G8" s="4">
        <v>1.8283500000000001E-4</v>
      </c>
      <c r="I8" s="4"/>
      <c r="J8" s="4"/>
      <c r="L8" s="3">
        <f t="shared" si="0"/>
        <v>6.710214999999999E-4</v>
      </c>
      <c r="M8" s="3">
        <f t="shared" si="0"/>
        <v>1.3277060000000001E-4</v>
      </c>
      <c r="O8">
        <f t="shared" si="1"/>
        <v>3.6185850000000001E-4</v>
      </c>
      <c r="P8">
        <f t="shared" si="1"/>
        <v>5.0064400000000001E-5</v>
      </c>
    </row>
    <row r="9" spans="1:16" x14ac:dyDescent="0.35">
      <c r="A9" s="2">
        <v>15.849</v>
      </c>
      <c r="C9" s="4">
        <v>3.2965000000000002E-4</v>
      </c>
      <c r="D9" s="4">
        <v>8.3901199999999996E-5</v>
      </c>
      <c r="F9" s="4">
        <v>1.0861E-3</v>
      </c>
      <c r="G9" s="4">
        <v>1.8816699999999999E-4</v>
      </c>
      <c r="I9" s="4"/>
      <c r="J9" s="4"/>
      <c r="L9" s="3">
        <f t="shared" si="0"/>
        <v>7.0787499999999995E-4</v>
      </c>
      <c r="M9" s="3">
        <f t="shared" si="0"/>
        <v>1.360341E-4</v>
      </c>
      <c r="O9">
        <f t="shared" si="1"/>
        <v>3.7822499999999999E-4</v>
      </c>
      <c r="P9">
        <f t="shared" si="1"/>
        <v>5.2132899999999997E-5</v>
      </c>
    </row>
    <row r="10" spans="1:16" x14ac:dyDescent="0.35">
      <c r="A10" s="2">
        <v>25.1188</v>
      </c>
      <c r="C10" s="4">
        <v>3.5194700000000002E-4</v>
      </c>
      <c r="D10" s="4">
        <v>8.5620700000000005E-5</v>
      </c>
      <c r="F10" s="4">
        <v>1.1406400000000001E-3</v>
      </c>
      <c r="G10" s="4">
        <v>1.9503200000000001E-4</v>
      </c>
      <c r="I10" s="4"/>
      <c r="J10" s="4"/>
      <c r="L10" s="3">
        <f t="shared" si="0"/>
        <v>7.4629350000000004E-4</v>
      </c>
      <c r="M10" s="3">
        <f t="shared" si="0"/>
        <v>1.4032635000000001E-4</v>
      </c>
      <c r="O10">
        <f t="shared" si="1"/>
        <v>3.9434650000000002E-4</v>
      </c>
      <c r="P10">
        <f t="shared" si="1"/>
        <v>5.4705650000000004E-5</v>
      </c>
    </row>
    <row r="11" spans="1:16" x14ac:dyDescent="0.35">
      <c r="A11" s="2">
        <v>39.810499999999998</v>
      </c>
      <c r="C11" s="4">
        <v>3.7903699999999998E-4</v>
      </c>
      <c r="D11" s="4">
        <v>8.8218699999999996E-5</v>
      </c>
      <c r="F11" s="4">
        <v>1.1951799999999999E-3</v>
      </c>
      <c r="G11" s="4">
        <v>2.06873E-4</v>
      </c>
      <c r="I11" s="4"/>
      <c r="J11" s="4"/>
      <c r="L11" s="3">
        <f t="shared" si="0"/>
        <v>7.8710849999999997E-4</v>
      </c>
      <c r="M11" s="3">
        <f t="shared" si="0"/>
        <v>1.4754585E-4</v>
      </c>
      <c r="O11">
        <f t="shared" si="1"/>
        <v>4.0807149999999993E-4</v>
      </c>
      <c r="P11">
        <f t="shared" si="1"/>
        <v>5.932715E-5</v>
      </c>
    </row>
    <row r="12" spans="1:16" x14ac:dyDescent="0.35">
      <c r="A12" s="2">
        <v>63.095700000000001</v>
      </c>
      <c r="C12" s="4">
        <v>4.1377900000000002E-4</v>
      </c>
      <c r="D12" s="4">
        <v>9.3240399999999996E-5</v>
      </c>
      <c r="F12" s="4">
        <v>1.25508E-3</v>
      </c>
      <c r="G12" s="4">
        <v>2.2332299999999999E-4</v>
      </c>
      <c r="I12" s="4"/>
      <c r="J12" s="4"/>
      <c r="L12" s="3">
        <f t="shared" si="0"/>
        <v>8.3442949999999998E-4</v>
      </c>
      <c r="M12" s="3">
        <f t="shared" si="0"/>
        <v>1.5828169999999999E-4</v>
      </c>
      <c r="O12">
        <f t="shared" si="1"/>
        <v>4.2065049999999996E-4</v>
      </c>
      <c r="P12">
        <f t="shared" si="1"/>
        <v>6.5041299999999997E-5</v>
      </c>
    </row>
    <row r="13" spans="1:16" x14ac:dyDescent="0.35">
      <c r="A13" s="2">
        <v>100</v>
      </c>
      <c r="C13" s="4">
        <v>4.5977600000000001E-4</v>
      </c>
      <c r="D13" s="4">
        <v>1.02138E-4</v>
      </c>
      <c r="F13" s="4">
        <v>1.30481E-3</v>
      </c>
      <c r="G13" s="4">
        <v>2.4737000000000001E-4</v>
      </c>
      <c r="I13" s="4"/>
      <c r="J13" s="4"/>
      <c r="L13" s="3">
        <f t="shared" si="0"/>
        <v>8.8229300000000003E-4</v>
      </c>
      <c r="M13" s="3">
        <f t="shared" si="0"/>
        <v>1.74754E-4</v>
      </c>
      <c r="O13">
        <f t="shared" si="1"/>
        <v>4.2251699999999997E-4</v>
      </c>
      <c r="P13">
        <f t="shared" si="1"/>
        <v>7.2615999999999997E-5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6046-37AF-43EB-A70C-890155DEEF53}">
  <dimension ref="A1:Y12"/>
  <sheetViews>
    <sheetView workbookViewId="0">
      <selection activeCell="U2" sqref="U2"/>
    </sheetView>
  </sheetViews>
  <sheetFormatPr defaultColWidth="8.81640625" defaultRowHeight="14.5" x14ac:dyDescent="0.35"/>
  <sheetData>
    <row r="1" spans="1:25" ht="43.5" x14ac:dyDescent="0.35">
      <c r="A1" s="1" t="s">
        <v>0</v>
      </c>
      <c r="C1" t="str">
        <f>'1233 parafilm- 24 hpi'!L1</f>
        <v>WT Parafilm- average G'</v>
      </c>
      <c r="D1" t="str">
        <f>'1233 parafilm- 24 hpi'!M1</f>
        <v>WT Parafilm- average G''</v>
      </c>
      <c r="F1" t="str">
        <f>'1233 parafilm+ 24 hpi'!L1</f>
        <v>WT Parafilm+ average G'</v>
      </c>
      <c r="G1" t="str">
        <f>'1233 parafilm+ 24 hpi'!M1</f>
        <v>WT Parafilm+ average G''</v>
      </c>
      <c r="I1" t="str">
        <f>'1234 parafilm- 24 hpi'!L1</f>
        <v>Spore- Parafilm- average G'</v>
      </c>
      <c r="J1" t="str">
        <f>'1234 parafilm- 24 hpi'!M1</f>
        <v>Spore- Parafilm- average G''</v>
      </c>
      <c r="L1" t="str">
        <f>'1234 parafilm+ 24 hpi'!L1</f>
        <v>Spore- Parafilm+ average G'</v>
      </c>
      <c r="M1" t="str">
        <f>'1234 parafilm+ 24 hpi'!M1</f>
        <v>Spore- Parafilm+ average G''</v>
      </c>
      <c r="O1" t="str">
        <f>'1250 parafilm- 24 hpi'!L1</f>
        <v>PGA- Parafilm- average G'</v>
      </c>
      <c r="P1" t="str">
        <f>'1250 parafilm- 24 hpi'!M1</f>
        <v>PGA- Parafilm- average G''</v>
      </c>
      <c r="R1" t="str">
        <f>'1250 parafilm+ 24 hpi'!L1</f>
        <v>PGA- Parafilm+ average G'</v>
      </c>
      <c r="S1" t="str">
        <f>'1250 parafilm+ 24 hpi'!M1</f>
        <v>PGA- Parafilm+ average G''</v>
      </c>
      <c r="U1" t="str">
        <f>'NAD003 parafilm- 24 hpi'!L1</f>
        <v>EPS- Parafilm- average G'</v>
      </c>
      <c r="V1" t="str">
        <f>'NAD003 parafilm- 24 hpi'!M1</f>
        <v>EPS- Parafilm- average G''</v>
      </c>
      <c r="X1" t="str">
        <f>'NAD003 parafilm+ 24 hpi'!L1</f>
        <v>EPS- Parafilm+ average G'</v>
      </c>
      <c r="Y1" t="str">
        <f>'NAD003 parafilm+ 24 hpi'!M1</f>
        <v>EPS- Parafilm+ average G''</v>
      </c>
    </row>
    <row r="2" spans="1:25" x14ac:dyDescent="0.35">
      <c r="A2" s="2">
        <v>1</v>
      </c>
      <c r="C2">
        <f>'1233 parafilm- 24 hpi'!L3</f>
        <v>7.635556666666666E-4</v>
      </c>
      <c r="D2">
        <f>'1233 parafilm- 24 hpi'!M3</f>
        <v>1.6397043333333334E-4</v>
      </c>
      <c r="F2">
        <f>'1233 parafilm+ 24 hpi'!L3</f>
        <v>7.6470266666666667E-4</v>
      </c>
      <c r="G2">
        <f>'1233 parafilm+ 24 hpi'!M3</f>
        <v>1.6534533333333336E-4</v>
      </c>
      <c r="I2">
        <f>'1234 parafilm- 24 hpi'!L3</f>
        <v>4.6356433333333332E-3</v>
      </c>
      <c r="J2">
        <f>'1234 parafilm- 24 hpi'!M3</f>
        <v>6.5170333333333327E-4</v>
      </c>
      <c r="L2">
        <f>'1234 parafilm+ 24 hpi'!L3</f>
        <v>6.8637333333333335E-3</v>
      </c>
      <c r="M2">
        <f>'1234 parafilm+ 24 hpi'!M3</f>
        <v>1.0118109999999998E-3</v>
      </c>
      <c r="O2">
        <f>'1250 parafilm- 24 hpi'!L3</f>
        <v>8.8437033333333326E-4</v>
      </c>
      <c r="P2">
        <f>'1250 parafilm- 24 hpi'!M3</f>
        <v>1.8924899999999998E-4</v>
      </c>
      <c r="R2">
        <f>'1250 parafilm+ 24 hpi'!L3</f>
        <v>2.3839704999999997E-3</v>
      </c>
      <c r="S2">
        <f>'1250 parafilm+ 24 hpi'!M3</f>
        <v>2.0853709999999999E-4</v>
      </c>
      <c r="U2" s="3">
        <f>'1480 parafilm- 24 hpi'!L3</f>
        <v>1.0047643333333334E-3</v>
      </c>
      <c r="V2" s="3">
        <f>'1480 parafilm- 24 hpi'!M3</f>
        <v>2.4160733333333337E-4</v>
      </c>
      <c r="X2">
        <f>'NAD003 parafilm+ 24 hpi'!L3</f>
        <v>4.9650149999999995E-4</v>
      </c>
      <c r="Y2">
        <f>'NAD003 parafilm+ 24 hpi'!M3</f>
        <v>1.3218195000000001E-4</v>
      </c>
    </row>
    <row r="3" spans="1:25" x14ac:dyDescent="0.35">
      <c r="A3" s="2">
        <v>1.5849</v>
      </c>
      <c r="C3">
        <f>'1233 parafilm- 24 hpi'!L4</f>
        <v>8.1193899999999991E-4</v>
      </c>
      <c r="D3">
        <f>'1233 parafilm- 24 hpi'!M4</f>
        <v>1.6017083333333336E-4</v>
      </c>
      <c r="F3">
        <f>'1233 parafilm+ 24 hpi'!L4</f>
        <v>8.1749666666666666E-4</v>
      </c>
      <c r="G3">
        <f>'1233 parafilm+ 24 hpi'!M4</f>
        <v>1.6293533333333336E-4</v>
      </c>
      <c r="I3">
        <f>'1234 parafilm- 24 hpi'!L4</f>
        <v>4.8003799999999999E-3</v>
      </c>
      <c r="J3">
        <f>'1234 parafilm- 24 hpi'!M4</f>
        <v>5.4932033333333333E-4</v>
      </c>
      <c r="L3">
        <f>'1234 parafilm+ 24 hpi'!L4</f>
        <v>7.108916666666667E-3</v>
      </c>
      <c r="M3">
        <f>'1234 parafilm+ 24 hpi'!M4</f>
        <v>8.6993833333333338E-4</v>
      </c>
      <c r="O3">
        <f>'1250 parafilm- 24 hpi'!L4</f>
        <v>9.4087300000000006E-4</v>
      </c>
      <c r="P3">
        <f>'1250 parafilm- 24 hpi'!M4</f>
        <v>1.7993933333333332E-4</v>
      </c>
      <c r="R3">
        <f>'1250 parafilm+ 24 hpi'!L4</f>
        <v>2.4178850000000003E-3</v>
      </c>
      <c r="S3">
        <f>'1250 parafilm+ 24 hpi'!M4</f>
        <v>1.7468655000000001E-4</v>
      </c>
      <c r="U3" s="3">
        <f>'1480 parafilm- 24 hpi'!L4</f>
        <v>1.10425E-3</v>
      </c>
      <c r="V3" s="3">
        <f>'1480 parafilm- 24 hpi'!M4</f>
        <v>2.3342299999999999E-4</v>
      </c>
      <c r="X3">
        <f>'NAD003 parafilm+ 24 hpi'!L4</f>
        <v>5.3451049999999993E-4</v>
      </c>
      <c r="Y3">
        <f>'NAD003 parafilm+ 24 hpi'!M4</f>
        <v>1.3669030000000002E-4</v>
      </c>
    </row>
    <row r="4" spans="1:25" x14ac:dyDescent="0.35">
      <c r="A4" s="2">
        <v>2.5118900000000002</v>
      </c>
      <c r="C4">
        <f>'1233 parafilm- 24 hpi'!L5</f>
        <v>8.5858566666666657E-4</v>
      </c>
      <c r="D4">
        <f>'1233 parafilm- 24 hpi'!M5</f>
        <v>1.5944853333333333E-4</v>
      </c>
      <c r="F4">
        <f>'1233 parafilm+ 24 hpi'!L5</f>
        <v>8.6532233333333323E-4</v>
      </c>
      <c r="G4">
        <f>'1233 parafilm+ 24 hpi'!M5</f>
        <v>1.5882533333333332E-4</v>
      </c>
      <c r="I4">
        <f>'1234 parafilm- 24 hpi'!L5</f>
        <v>4.9254833333333336E-3</v>
      </c>
      <c r="J4">
        <f>'1234 parafilm- 24 hpi'!M5</f>
        <v>5.0949933333333333E-4</v>
      </c>
      <c r="L4">
        <f>'1234 parafilm+ 24 hpi'!L5</f>
        <v>7.2953099999999993E-3</v>
      </c>
      <c r="M4">
        <f>'1234 parafilm+ 24 hpi'!M5</f>
        <v>8.0995766666666668E-4</v>
      </c>
      <c r="O4">
        <f>'1250 parafilm- 24 hpi'!L5</f>
        <v>9.9815199999999998E-4</v>
      </c>
      <c r="P4">
        <f>'1250 parafilm- 24 hpi'!M5</f>
        <v>1.8116966666666665E-4</v>
      </c>
      <c r="R4">
        <f>'1250 parafilm+ 24 hpi'!L5</f>
        <v>2.4813075E-3</v>
      </c>
      <c r="S4">
        <f>'1250 parafilm+ 24 hpi'!M5</f>
        <v>1.7877839999999999E-4</v>
      </c>
      <c r="U4" s="3">
        <f>'1480 parafilm- 24 hpi'!L5</f>
        <v>1.1889253333333333E-3</v>
      </c>
      <c r="V4" s="3">
        <f>'1480 parafilm- 24 hpi'!M5</f>
        <v>2.2754033333333333E-4</v>
      </c>
      <c r="X4">
        <f>'NAD003 parafilm+ 24 hpi'!L5</f>
        <v>5.665415E-4</v>
      </c>
      <c r="Y4">
        <f>'NAD003 parafilm+ 24 hpi'!M5</f>
        <v>1.2995725000000002E-4</v>
      </c>
    </row>
    <row r="5" spans="1:25" x14ac:dyDescent="0.35">
      <c r="A5" s="2">
        <v>3.9810500000000002</v>
      </c>
      <c r="C5">
        <f>'1233 parafilm- 24 hpi'!L6</f>
        <v>9.0507166666666666E-4</v>
      </c>
      <c r="D5">
        <f>'1233 parafilm- 24 hpi'!M6</f>
        <v>1.595659E-4</v>
      </c>
      <c r="F5">
        <f>'1233 parafilm+ 24 hpi'!L6</f>
        <v>9.1171566666666676E-4</v>
      </c>
      <c r="G5">
        <f>'1233 parafilm+ 24 hpi'!M6</f>
        <v>1.60459E-4</v>
      </c>
      <c r="I5">
        <f>'1234 parafilm- 24 hpi'!L6</f>
        <v>5.04456E-3</v>
      </c>
      <c r="J5">
        <f>'1234 parafilm- 24 hpi'!M6</f>
        <v>4.7420600000000002E-4</v>
      </c>
      <c r="L5">
        <f>'1234 parafilm+ 24 hpi'!L6</f>
        <v>7.4819133333333329E-3</v>
      </c>
      <c r="M5">
        <f>'1234 parafilm+ 24 hpi'!M6</f>
        <v>7.6609033333333335E-4</v>
      </c>
      <c r="O5">
        <f>'1250 parafilm- 24 hpi'!L6</f>
        <v>1.0531366666666666E-3</v>
      </c>
      <c r="P5">
        <f>'1250 parafilm- 24 hpi'!M6</f>
        <v>1.8056500000000002E-4</v>
      </c>
      <c r="R5">
        <f>'1250 parafilm+ 24 hpi'!L6</f>
        <v>2.5314504999999999E-3</v>
      </c>
      <c r="S5">
        <f>'1250 parafilm+ 24 hpi'!M6</f>
        <v>1.7617829999999997E-4</v>
      </c>
      <c r="U5" s="3">
        <f>'1480 parafilm- 24 hpi'!L6</f>
        <v>1.2695283333333334E-3</v>
      </c>
      <c r="V5" s="3">
        <f>'1480 parafilm- 24 hpi'!M6</f>
        <v>2.2417499999999999E-4</v>
      </c>
      <c r="X5">
        <f>'NAD003 parafilm+ 24 hpi'!L6</f>
        <v>6.0039300000000006E-4</v>
      </c>
      <c r="Y5">
        <f>'NAD003 parafilm+ 24 hpi'!M6</f>
        <v>1.3084804999999999E-4</v>
      </c>
    </row>
    <row r="6" spans="1:25" x14ac:dyDescent="0.35">
      <c r="A6" s="2">
        <v>6.3095699999999999</v>
      </c>
      <c r="C6">
        <f>'1233 parafilm- 24 hpi'!L7</f>
        <v>9.5122466666666672E-4</v>
      </c>
      <c r="D6">
        <f>'1233 parafilm- 24 hpi'!M7</f>
        <v>1.5987806666666667E-4</v>
      </c>
      <c r="F6">
        <f>'1233 parafilm+ 24 hpi'!L7</f>
        <v>9.6020666666666655E-4</v>
      </c>
      <c r="G6">
        <f>'1233 parafilm+ 24 hpi'!M7</f>
        <v>1.6199700000000001E-4</v>
      </c>
      <c r="I6">
        <f>'1234 parafilm- 24 hpi'!L7</f>
        <v>5.1537566666666661E-3</v>
      </c>
      <c r="J6">
        <f>'1234 parafilm- 24 hpi'!M7</f>
        <v>4.5121733333333328E-4</v>
      </c>
      <c r="L6">
        <f>'1234 parafilm+ 24 hpi'!L7</f>
        <v>7.6567333333333329E-3</v>
      </c>
      <c r="M6">
        <f>'1234 parafilm+ 24 hpi'!M7</f>
        <v>7.4698266666666663E-4</v>
      </c>
      <c r="O6">
        <f>'1250 parafilm- 24 hpi'!L7</f>
        <v>1.1066799999999999E-3</v>
      </c>
      <c r="P6">
        <f>'1250 parafilm- 24 hpi'!M7</f>
        <v>1.8171766666666669E-4</v>
      </c>
      <c r="R6">
        <f>'1250 parafilm+ 24 hpi'!L7</f>
        <v>2.5801800000000001E-3</v>
      </c>
      <c r="S6">
        <f>'1250 parafilm+ 24 hpi'!M7</f>
        <v>1.761686E-4</v>
      </c>
      <c r="U6" s="3">
        <f>'1480 parafilm- 24 hpi'!L7</f>
        <v>1.3515833333333333E-3</v>
      </c>
      <c r="V6" s="3">
        <f>'1480 parafilm- 24 hpi'!M7</f>
        <v>2.2674433333333334E-4</v>
      </c>
      <c r="X6">
        <f>'NAD003 parafilm+ 24 hpi'!L7</f>
        <v>6.3572899999999992E-4</v>
      </c>
      <c r="Y6">
        <f>'NAD003 parafilm+ 24 hpi'!M7</f>
        <v>1.3173650000000001E-4</v>
      </c>
    </row>
    <row r="7" spans="1:25" x14ac:dyDescent="0.35">
      <c r="A7" s="2">
        <v>10.0001</v>
      </c>
      <c r="C7">
        <f>'1233 parafilm- 24 hpi'!L8</f>
        <v>9.9617033333333337E-4</v>
      </c>
      <c r="D7">
        <f>'1233 parafilm- 24 hpi'!M8</f>
        <v>1.6450333333333333E-4</v>
      </c>
      <c r="F7">
        <f>'1233 parafilm+ 24 hpi'!L8</f>
        <v>1.0090260000000001E-3</v>
      </c>
      <c r="G7">
        <f>'1233 parafilm+ 24 hpi'!M8</f>
        <v>1.6579033333333334E-4</v>
      </c>
      <c r="I7">
        <f>'1234 parafilm- 24 hpi'!L8</f>
        <v>5.2652966666666664E-3</v>
      </c>
      <c r="J7">
        <f>'1234 parafilm- 24 hpi'!M8</f>
        <v>4.4177533333333331E-4</v>
      </c>
      <c r="L7">
        <f>'1234 parafilm+ 24 hpi'!L8</f>
        <v>7.8367233333333335E-3</v>
      </c>
      <c r="M7">
        <f>'1234 parafilm+ 24 hpi'!M8</f>
        <v>7.4996433333333337E-4</v>
      </c>
      <c r="O7">
        <f>'1250 parafilm- 24 hpi'!L8</f>
        <v>1.1603150000000001E-3</v>
      </c>
      <c r="P7">
        <f>'1250 parafilm- 24 hpi'!M8</f>
        <v>1.8486866666666667E-4</v>
      </c>
      <c r="R7">
        <f>'1250 parafilm+ 24 hpi'!L8</f>
        <v>2.6313364999999999E-3</v>
      </c>
      <c r="S7">
        <f>'1250 parafilm+ 24 hpi'!M8</f>
        <v>1.8317749999999998E-4</v>
      </c>
      <c r="U7" s="3">
        <f>'1480 parafilm- 24 hpi'!L8</f>
        <v>1.4319333333333332E-3</v>
      </c>
      <c r="V7" s="3">
        <f>'1480 parafilm- 24 hpi'!M8</f>
        <v>2.3357633333333334E-4</v>
      </c>
      <c r="X7">
        <f>'NAD003 parafilm+ 24 hpi'!L8</f>
        <v>6.710214999999999E-4</v>
      </c>
      <c r="Y7">
        <f>'NAD003 parafilm+ 24 hpi'!M8</f>
        <v>1.3277060000000001E-4</v>
      </c>
    </row>
    <row r="8" spans="1:25" x14ac:dyDescent="0.35">
      <c r="A8" s="2">
        <v>15.849</v>
      </c>
      <c r="C8">
        <f>'1233 parafilm- 24 hpi'!L9</f>
        <v>1.0417569999999999E-3</v>
      </c>
      <c r="D8">
        <f>'1233 parafilm- 24 hpi'!M9</f>
        <v>1.7014033333333331E-4</v>
      </c>
      <c r="F8">
        <f>'1233 parafilm+ 24 hpi'!L9</f>
        <v>1.0592683333333333E-3</v>
      </c>
      <c r="G8">
        <f>'1233 parafilm+ 24 hpi'!M9</f>
        <v>1.7195833333333334E-4</v>
      </c>
      <c r="I8">
        <f>'1234 parafilm- 24 hpi'!L9</f>
        <v>5.3778099999999994E-3</v>
      </c>
      <c r="J8">
        <f>'1234 parafilm- 24 hpi'!M9</f>
        <v>4.4119966666666667E-4</v>
      </c>
      <c r="L8">
        <f>'1234 parafilm+ 24 hpi'!L9</f>
        <v>8.0185766666666658E-3</v>
      </c>
      <c r="M8">
        <f>'1234 parafilm+ 24 hpi'!M9</f>
        <v>7.6597833333333332E-4</v>
      </c>
      <c r="O8">
        <f>'1250 parafilm- 24 hpi'!L9</f>
        <v>1.2149209999999999E-3</v>
      </c>
      <c r="P8">
        <f>'1250 parafilm- 24 hpi'!M9</f>
        <v>1.9025166666666667E-4</v>
      </c>
      <c r="R8">
        <f>'1250 parafilm+ 24 hpi'!L9</f>
        <v>2.6854579999999999E-3</v>
      </c>
      <c r="S8">
        <f>'1250 parafilm+ 24 hpi'!M9</f>
        <v>1.8743049999999999E-4</v>
      </c>
      <c r="U8" s="3">
        <f>'1480 parafilm- 24 hpi'!L9</f>
        <v>1.5110066666666666E-3</v>
      </c>
      <c r="V8" s="3">
        <f>'1480 parafilm- 24 hpi'!M9</f>
        <v>2.4169733333333332E-4</v>
      </c>
      <c r="X8">
        <f>'NAD003 parafilm+ 24 hpi'!L9</f>
        <v>7.0787499999999995E-4</v>
      </c>
      <c r="Y8">
        <f>'NAD003 parafilm+ 24 hpi'!M9</f>
        <v>1.360341E-4</v>
      </c>
    </row>
    <row r="9" spans="1:25" x14ac:dyDescent="0.35">
      <c r="A9" s="2">
        <v>25.1188</v>
      </c>
      <c r="C9">
        <f>'1233 parafilm- 24 hpi'!L10</f>
        <v>1.0878156666666668E-3</v>
      </c>
      <c r="D9">
        <f>'1233 parafilm- 24 hpi'!M10</f>
        <v>1.78772E-4</v>
      </c>
      <c r="F9">
        <f>'1233 parafilm+ 24 hpi'!L10</f>
        <v>1.1132449999999999E-3</v>
      </c>
      <c r="G9">
        <f>'1233 parafilm+ 24 hpi'!M10</f>
        <v>1.8084899999999999E-4</v>
      </c>
      <c r="I9">
        <f>'1234 parafilm- 24 hpi'!L10</f>
        <v>5.489986666666666E-3</v>
      </c>
      <c r="J9">
        <f>'1234 parafilm- 24 hpi'!M10</f>
        <v>4.5486966666666669E-4</v>
      </c>
      <c r="L9">
        <f>'1234 parafilm+ 24 hpi'!L10</f>
        <v>8.2040700000000008E-3</v>
      </c>
      <c r="M9">
        <f>'1234 parafilm+ 24 hpi'!M10</f>
        <v>7.9691466666666655E-4</v>
      </c>
      <c r="O9">
        <f>'1250 parafilm- 24 hpi'!L10</f>
        <v>1.2708863333333335E-3</v>
      </c>
      <c r="P9">
        <f>'1250 parafilm- 24 hpi'!M10</f>
        <v>1.9948833333333332E-4</v>
      </c>
      <c r="R9">
        <f>'1250 parafilm+ 24 hpi'!L10</f>
        <v>2.7394504999999998E-3</v>
      </c>
      <c r="S9">
        <f>'1250 parafilm+ 24 hpi'!M10</f>
        <v>1.9367549999999999E-4</v>
      </c>
      <c r="U9" s="3">
        <f>'1480 parafilm- 24 hpi'!L10</f>
        <v>1.5956733333333335E-3</v>
      </c>
      <c r="V9" s="3">
        <f>'1480 parafilm- 24 hpi'!M10</f>
        <v>2.5569766666666663E-4</v>
      </c>
      <c r="X9">
        <f>'NAD003 parafilm+ 24 hpi'!L10</f>
        <v>7.4629350000000004E-4</v>
      </c>
      <c r="Y9">
        <f>'NAD003 parafilm+ 24 hpi'!M10</f>
        <v>1.4032635000000001E-4</v>
      </c>
    </row>
    <row r="10" spans="1:25" x14ac:dyDescent="0.35">
      <c r="A10" s="2">
        <v>39.810499999999998</v>
      </c>
      <c r="C10">
        <f>'1233 parafilm- 24 hpi'!L11</f>
        <v>1.1354430000000001E-3</v>
      </c>
      <c r="D10">
        <f>'1233 parafilm- 24 hpi'!M11</f>
        <v>1.911516666666667E-4</v>
      </c>
      <c r="F10">
        <f>'1233 parafilm+ 24 hpi'!L11</f>
        <v>1.1742233333333332E-3</v>
      </c>
      <c r="G10">
        <f>'1233 parafilm+ 24 hpi'!M11</f>
        <v>1.9314900000000002E-4</v>
      </c>
      <c r="I10">
        <f>'1234 parafilm- 24 hpi'!L11</f>
        <v>5.6066966666666667E-3</v>
      </c>
      <c r="J10">
        <f>'1234 parafilm- 24 hpi'!M11</f>
        <v>4.7963799999999995E-4</v>
      </c>
      <c r="L10">
        <f>'1234 parafilm+ 24 hpi'!L11</f>
        <v>8.3823300000000003E-3</v>
      </c>
      <c r="M10">
        <f>'1234 parafilm+ 24 hpi'!M11</f>
        <v>8.5006100000000005E-4</v>
      </c>
      <c r="O10">
        <f>'1250 parafilm- 24 hpi'!L11</f>
        <v>1.3304853333333333E-3</v>
      </c>
      <c r="P10">
        <f>'1250 parafilm- 24 hpi'!M11</f>
        <v>2.1356200000000001E-4</v>
      </c>
      <c r="R10">
        <f>'1250 parafilm+ 24 hpi'!L11</f>
        <v>2.7961869999999999E-3</v>
      </c>
      <c r="S10">
        <f>'1250 parafilm+ 24 hpi'!M11</f>
        <v>2.0541099999999999E-4</v>
      </c>
      <c r="U10" s="3">
        <f>'1480 parafilm- 24 hpi'!L11</f>
        <v>1.7024166666666665E-3</v>
      </c>
      <c r="V10" s="3">
        <f>'1480 parafilm- 24 hpi'!M11</f>
        <v>2.7593366666666666E-4</v>
      </c>
      <c r="X10">
        <f>'NAD003 parafilm+ 24 hpi'!L11</f>
        <v>7.8710849999999997E-4</v>
      </c>
      <c r="Y10">
        <f>'NAD003 parafilm+ 24 hpi'!M11</f>
        <v>1.4754585E-4</v>
      </c>
    </row>
    <row r="11" spans="1:25" x14ac:dyDescent="0.35">
      <c r="A11" s="2">
        <v>63.095700000000001</v>
      </c>
      <c r="C11">
        <f>'1233 parafilm- 24 hpi'!L12</f>
        <v>1.1869319999999999E-3</v>
      </c>
      <c r="D11">
        <f>'1233 parafilm- 24 hpi'!M12</f>
        <v>2.0823033333333335E-4</v>
      </c>
      <c r="F11">
        <f>'1233 parafilm+ 24 hpi'!L12</f>
        <v>1.2511273333333333E-3</v>
      </c>
      <c r="G11">
        <f>'1233 parafilm+ 24 hpi'!M12</f>
        <v>2.1050633333333333E-4</v>
      </c>
      <c r="I11">
        <f>'1234 parafilm- 24 hpi'!L12</f>
        <v>5.7279266666666667E-3</v>
      </c>
      <c r="J11">
        <f>'1234 parafilm- 24 hpi'!M12</f>
        <v>5.1995399999999999E-4</v>
      </c>
      <c r="L11">
        <f>'1234 parafilm+ 24 hpi'!L12</f>
        <v>8.6147333333333326E-3</v>
      </c>
      <c r="M11">
        <f>'1234 parafilm+ 24 hpi'!M12</f>
        <v>9.0282433333333347E-4</v>
      </c>
      <c r="O11">
        <f>'1250 parafilm- 24 hpi'!L12</f>
        <v>1.4009236666666666E-3</v>
      </c>
      <c r="P11">
        <f>'1250 parafilm- 24 hpi'!M12</f>
        <v>2.3318766666666666E-4</v>
      </c>
      <c r="R11">
        <f>'1250 parafilm+ 24 hpi'!L12</f>
        <v>2.8544289999999999E-3</v>
      </c>
      <c r="S11">
        <f>'1250 parafilm+ 24 hpi'!M12</f>
        <v>2.2147649999999997E-4</v>
      </c>
      <c r="U11" s="3">
        <f>'1480 parafilm- 24 hpi'!L12</f>
        <v>1.86005E-3</v>
      </c>
      <c r="V11" s="3">
        <f>'1480 parafilm- 24 hpi'!M12</f>
        <v>3.0306333333333333E-4</v>
      </c>
      <c r="X11">
        <f>'NAD003 parafilm+ 24 hpi'!L12</f>
        <v>8.3442949999999998E-4</v>
      </c>
      <c r="Y11">
        <f>'NAD003 parafilm+ 24 hpi'!M12</f>
        <v>1.5828169999999999E-4</v>
      </c>
    </row>
    <row r="12" spans="1:25" x14ac:dyDescent="0.35">
      <c r="A12" s="2">
        <v>100</v>
      </c>
      <c r="C12">
        <f>'1233 parafilm- 24 hpi'!L13</f>
        <v>1.2313093333333333E-3</v>
      </c>
      <c r="D12">
        <f>'1233 parafilm- 24 hpi'!M13</f>
        <v>2.3456366666666667E-4</v>
      </c>
      <c r="F12">
        <f>'1233 parafilm+ 24 hpi'!L13</f>
        <v>1.3567673333333332E-3</v>
      </c>
      <c r="G12">
        <f>'1233 parafilm+ 24 hpi'!M13</f>
        <v>2.3475899999999999E-4</v>
      </c>
      <c r="I12">
        <f>'1234 parafilm- 24 hpi'!L13</f>
        <v>5.8629299999999997E-3</v>
      </c>
      <c r="J12">
        <f>'1234 parafilm- 24 hpi'!M13</f>
        <v>5.7877733333333342E-4</v>
      </c>
      <c r="L12">
        <f>'1234 parafilm+ 24 hpi'!L13</f>
        <v>8.8738033333333327E-3</v>
      </c>
      <c r="M12">
        <f>'1234 parafilm+ 24 hpi'!M13</f>
        <v>9.7966766666666657E-4</v>
      </c>
      <c r="O12">
        <f>'1250 parafilm- 24 hpi'!L13</f>
        <v>1.4855153333333336E-3</v>
      </c>
      <c r="P12">
        <f>'1250 parafilm- 24 hpi'!M13</f>
        <v>2.6295900000000006E-4</v>
      </c>
      <c r="R12">
        <f>'1250 parafilm+ 24 hpi'!L13</f>
        <v>2.9274639999999998E-3</v>
      </c>
      <c r="S12">
        <f>'1250 parafilm+ 24 hpi'!M13</f>
        <v>2.4809349999999997E-4</v>
      </c>
      <c r="U12" s="3">
        <f>'1480 parafilm- 24 hpi'!L13</f>
        <v>2.1350166666666667E-3</v>
      </c>
      <c r="V12" s="3">
        <f>'1480 parafilm- 24 hpi'!M13</f>
        <v>3.4296766666666671E-4</v>
      </c>
      <c r="X12">
        <f>'NAD003 parafilm+ 24 hpi'!L13</f>
        <v>8.8229300000000003E-4</v>
      </c>
      <c r="Y12">
        <f>'NAD003 parafilm+ 24 hpi'!M13</f>
        <v>1.74754E-4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A3E1-6E02-46F8-AEEE-6B9A581B1DA0}">
  <dimension ref="A1:Y12"/>
  <sheetViews>
    <sheetView tabSelected="1" workbookViewId="0">
      <selection activeCell="U2" sqref="U2"/>
    </sheetView>
  </sheetViews>
  <sheetFormatPr defaultColWidth="8.81640625" defaultRowHeight="14.5" x14ac:dyDescent="0.35"/>
  <sheetData>
    <row r="1" spans="1:25" ht="43.5" x14ac:dyDescent="0.35">
      <c r="A1" s="1" t="s">
        <v>0</v>
      </c>
      <c r="C1" t="s">
        <v>7</v>
      </c>
      <c r="D1" t="s">
        <v>8</v>
      </c>
      <c r="F1" t="s">
        <v>11</v>
      </c>
      <c r="G1" t="s">
        <v>12</v>
      </c>
      <c r="I1" t="s">
        <v>15</v>
      </c>
      <c r="J1" t="s">
        <v>16</v>
      </c>
      <c r="L1" t="s">
        <v>19</v>
      </c>
      <c r="M1" t="s">
        <v>20</v>
      </c>
      <c r="O1" t="s">
        <v>23</v>
      </c>
      <c r="P1" t="s">
        <v>24</v>
      </c>
      <c r="R1" t="s">
        <v>27</v>
      </c>
      <c r="S1" t="s">
        <v>28</v>
      </c>
      <c r="U1" t="s">
        <v>31</v>
      </c>
      <c r="V1" t="s">
        <v>32</v>
      </c>
      <c r="X1" t="s">
        <v>35</v>
      </c>
      <c r="Y1" t="s">
        <v>36</v>
      </c>
    </row>
    <row r="2" spans="1:25" x14ac:dyDescent="0.35">
      <c r="C2">
        <f>'1233 parafilm- 24 hpi'!O3</f>
        <v>2.928054182038911E-4</v>
      </c>
      <c r="D2">
        <f>'1233 parafilm- 24 hpi'!P3</f>
        <v>5.4220842698254777E-5</v>
      </c>
      <c r="F2">
        <f>'1233 parafilm+ 24 hpi'!O3</f>
        <v>4.7171645365221492E-4</v>
      </c>
      <c r="G2">
        <f>'1233 parafilm+ 24 hpi'!P3</f>
        <v>6.4652783092111017E-5</v>
      </c>
      <c r="I2">
        <f>'1234 parafilm- 24 hpi'!O3</f>
        <v>4.8910999583143093E-4</v>
      </c>
      <c r="J2">
        <f>'1234 parafilm- 24 hpi'!P3</f>
        <v>6.716116278690306E-5</v>
      </c>
      <c r="L2">
        <f>'1234 parafilm+ 24 hpi'!O3</f>
        <v>3.5731826984667643E-3</v>
      </c>
      <c r="M2">
        <f>'1234 parafilm+ 24 hpi'!P3</f>
        <v>5.5214585311189892E-4</v>
      </c>
      <c r="O2">
        <f>'1250 parafilm- 24 hpi'!O3</f>
        <v>2.7875405747759477E-4</v>
      </c>
      <c r="P2">
        <f>'1250 parafilm- 24 hpi'!P3</f>
        <v>5.0309440313589926E-5</v>
      </c>
      <c r="R2">
        <f>'1250 parafilm+ 24 hpi'!O3</f>
        <v>2.1317795000000005E-3</v>
      </c>
      <c r="S2">
        <f>'1250 parafilm+ 24 hpi'!P3</f>
        <v>1.202169E-4</v>
      </c>
      <c r="U2">
        <f>'1480 parafilm- 24 hpi'!O3</f>
        <v>1.7717905449259204E-4</v>
      </c>
      <c r="V2">
        <f>'1480 parafilm- 24 hpi'!P3</f>
        <v>2.8353059944602489E-5</v>
      </c>
      <c r="X2">
        <f>'NAD003 parafilm+ 24 hpi'!O3</f>
        <v>2.7329949999999997E-4</v>
      </c>
      <c r="Y2">
        <f>'NAD003 parafilm+ 24 hpi'!P3</f>
        <v>4.8572050000000005E-5</v>
      </c>
    </row>
    <row r="3" spans="1:25" x14ac:dyDescent="0.35">
      <c r="C3">
        <f>'1233 parafilm- 24 hpi'!O4</f>
        <v>3.0890452589864503E-4</v>
      </c>
      <c r="D3">
        <f>'1233 parafilm- 24 hpi'!P4</f>
        <v>5.2353048288094509E-5</v>
      </c>
      <c r="F3">
        <f>'1233 parafilm+ 24 hpi'!O4</f>
        <v>4.9357731727821068E-4</v>
      </c>
      <c r="G3">
        <f>'1233 parafilm+ 24 hpi'!P4</f>
        <v>6.0628260782868867E-5</v>
      </c>
      <c r="I3">
        <f>'1234 parafilm- 24 hpi'!O4</f>
        <v>5.100931180349981E-4</v>
      </c>
      <c r="J3">
        <f>'1234 parafilm- 24 hpi'!P4</f>
        <v>7.3890039303157936E-5</v>
      </c>
      <c r="L3">
        <f>'1234 parafilm+ 24 hpi'!O4</f>
        <v>3.6663875961890449E-3</v>
      </c>
      <c r="M3">
        <f>'1234 parafilm+ 24 hpi'!P4</f>
        <v>4.62072614244654E-4</v>
      </c>
      <c r="O3">
        <f>'1250 parafilm- 24 hpi'!O4</f>
        <v>2.9275859793465785E-4</v>
      </c>
      <c r="P3">
        <f>'1250 parafilm- 24 hpi'!P4</f>
        <v>4.2990256704927402E-5</v>
      </c>
      <c r="R3">
        <f>'1250 parafilm+ 24 hpi'!O4</f>
        <v>2.1448050000000001E-3</v>
      </c>
      <c r="S3">
        <f>'1250 parafilm+ 24 hpi'!P4</f>
        <v>8.6007450000000009E-5</v>
      </c>
      <c r="U3">
        <f>'1480 parafilm- 24 hpi'!O4</f>
        <v>1.9578066622285938E-4</v>
      </c>
      <c r="V3">
        <f>'1480 parafilm- 24 hpi'!P4</f>
        <v>2.7059356693511139E-5</v>
      </c>
      <c r="X3">
        <f>'NAD003 parafilm+ 24 hpi'!O4</f>
        <v>2.9119649999999998E-4</v>
      </c>
      <c r="Y3">
        <f>'NAD003 parafilm+ 24 hpi'!P4</f>
        <v>5.0978700000000007E-5</v>
      </c>
    </row>
    <row r="4" spans="1:25" x14ac:dyDescent="0.35">
      <c r="C4">
        <f>'1233 parafilm- 24 hpi'!O5</f>
        <v>3.2517101027442299E-4</v>
      </c>
      <c r="D4">
        <f>'1233 parafilm- 24 hpi'!P5</f>
        <v>5.0835356357908572E-5</v>
      </c>
      <c r="F4">
        <f>'1233 parafilm+ 24 hpi'!O5</f>
        <v>5.1079105931247032E-4</v>
      </c>
      <c r="G4">
        <f>'1233 parafilm+ 24 hpi'!P5</f>
        <v>5.7462855030203831E-5</v>
      </c>
      <c r="I4">
        <f>'1234 parafilm- 24 hpi'!O5</f>
        <v>5.2053275819640365E-4</v>
      </c>
      <c r="J4">
        <f>'1234 parafilm- 24 hpi'!P5</f>
        <v>5.838996908335844E-5</v>
      </c>
      <c r="L4">
        <f>'1234 parafilm+ 24 hpi'!O5</f>
        <v>3.7552949816048631E-3</v>
      </c>
      <c r="M4">
        <f>'1234 parafilm+ 24 hpi'!P5</f>
        <v>4.3665822285500239E-4</v>
      </c>
      <c r="O4">
        <f>'1250 parafilm- 24 hpi'!O5</f>
        <v>3.1134944958144162E-4</v>
      </c>
      <c r="P4">
        <f>'1250 parafilm- 24 hpi'!P5</f>
        <v>4.3822587724698426E-5</v>
      </c>
      <c r="R4">
        <f>'1250 parafilm+ 24 hpi'!O5</f>
        <v>2.1840425000000004E-3</v>
      </c>
      <c r="S4">
        <f>'1250 parafilm+ 24 hpi'!P5</f>
        <v>8.9143599999999985E-5</v>
      </c>
      <c r="U4">
        <f>'1480 parafilm- 24 hpi'!O5</f>
        <v>2.0978926986436227E-4</v>
      </c>
      <c r="V4">
        <f>'1480 parafilm- 24 hpi'!P5</f>
        <v>2.5569933676531538E-5</v>
      </c>
      <c r="X4">
        <f>'NAD003 parafilm+ 24 hpi'!O5</f>
        <v>3.0724650000000001E-4</v>
      </c>
      <c r="Y4">
        <f>'NAD003 parafilm+ 24 hpi'!P5</f>
        <v>4.5838750000000002E-5</v>
      </c>
    </row>
    <row r="5" spans="1:25" x14ac:dyDescent="0.35">
      <c r="C5">
        <f>'1233 parafilm- 24 hpi'!O6</f>
        <v>3.4120758809297048E-4</v>
      </c>
      <c r="D5">
        <f>'1233 parafilm- 24 hpi'!P6</f>
        <v>4.9924544046858018E-5</v>
      </c>
      <c r="F5">
        <f>'1233 parafilm+ 24 hpi'!O6</f>
        <v>5.3044049971341959E-4</v>
      </c>
      <c r="G5">
        <f>'1233 parafilm+ 24 hpi'!P6</f>
        <v>5.4303061448381226E-5</v>
      </c>
      <c r="I5">
        <f>'1234 parafilm- 24 hpi'!O6</f>
        <v>5.4342150104683953E-4</v>
      </c>
      <c r="J5">
        <f>'1234 parafilm- 24 hpi'!P6</f>
        <v>4.834110625544266E-5</v>
      </c>
      <c r="L5">
        <f>'1234 parafilm+ 24 hpi'!O6</f>
        <v>3.8384513952055659E-3</v>
      </c>
      <c r="M5">
        <f>'1234 parafilm+ 24 hpi'!P6</f>
        <v>4.3255366410218082E-4</v>
      </c>
      <c r="O5">
        <f>'1250 parafilm- 24 hpi'!O6</f>
        <v>3.2412607879582218E-4</v>
      </c>
      <c r="P5">
        <f>'1250 parafilm- 24 hpi'!P6</f>
        <v>4.4338703431652128E-5</v>
      </c>
      <c r="R5">
        <f>'1250 parafilm+ 24 hpi'!O6</f>
        <v>2.2168995000000002E-3</v>
      </c>
      <c r="S5">
        <f>'1250 parafilm+ 24 hpi'!P6</f>
        <v>8.5253699999999986E-5</v>
      </c>
      <c r="U5">
        <f>'1480 parafilm- 24 hpi'!O6</f>
        <v>2.1716965312605006E-4</v>
      </c>
      <c r="V5">
        <f>'1480 parafilm- 24 hpi'!P6</f>
        <v>2.1086526171942125E-5</v>
      </c>
      <c r="X5">
        <f>'NAD003 parafilm+ 24 hpi'!O6</f>
        <v>3.2660300000000002E-4</v>
      </c>
      <c r="Y5">
        <f>'NAD003 parafilm+ 24 hpi'!P6</f>
        <v>4.6595949999999996E-5</v>
      </c>
    </row>
    <row r="6" spans="1:25" x14ac:dyDescent="0.35">
      <c r="C6">
        <f>'1233 parafilm- 24 hpi'!O7</f>
        <v>3.5609662537512986E-4</v>
      </c>
      <c r="D6">
        <f>'1233 parafilm- 24 hpi'!P7</f>
        <v>4.7979986538926366E-5</v>
      </c>
      <c r="F6">
        <f>'1233 parafilm+ 24 hpi'!O7</f>
        <v>5.4872834638482291E-4</v>
      </c>
      <c r="G6">
        <f>'1233 parafilm+ 24 hpi'!P7</f>
        <v>5.353379622879987E-5</v>
      </c>
      <c r="I6">
        <f>'1234 parafilm- 24 hpi'!O7</f>
        <v>5.5524362426676195E-4</v>
      </c>
      <c r="J6">
        <f>'1234 parafilm- 24 hpi'!P7</f>
        <v>4.310057207148057E-5</v>
      </c>
      <c r="L6">
        <f>'1234 parafilm+ 24 hpi'!O7</f>
        <v>3.9198836821376353E-3</v>
      </c>
      <c r="M6">
        <f>'1234 parafilm+ 24 hpi'!P7</f>
        <v>4.2637822134917829E-4</v>
      </c>
      <c r="O6">
        <f>'1250 parafilm- 24 hpi'!O7</f>
        <v>3.3749916651748936E-4</v>
      </c>
      <c r="P6">
        <f>'1250 parafilm- 24 hpi'!P7</f>
        <v>4.3169587329765172E-5</v>
      </c>
      <c r="R6">
        <f>'1250 parafilm+ 24 hpi'!O7</f>
        <v>2.2422699999999998E-3</v>
      </c>
      <c r="S6">
        <f>'1250 parafilm+ 24 hpi'!P7</f>
        <v>8.1060399999999987E-5</v>
      </c>
      <c r="U6">
        <f>'1480 parafilm- 24 hpi'!O7</f>
        <v>2.2864611059208699E-4</v>
      </c>
      <c r="V6">
        <f>'1480 parafilm- 24 hpi'!P7</f>
        <v>2.3863607122329368E-5</v>
      </c>
      <c r="X6">
        <f>'NAD003 parafilm+ 24 hpi'!O7</f>
        <v>3.4401899999999999E-4</v>
      </c>
      <c r="Y6">
        <f>'NAD003 parafilm+ 24 hpi'!P7</f>
        <v>4.7459500000000002E-5</v>
      </c>
    </row>
    <row r="7" spans="1:25" x14ac:dyDescent="0.35">
      <c r="C7">
        <f>'1233 parafilm- 24 hpi'!O8</f>
        <v>3.6987432016865159E-4</v>
      </c>
      <c r="D7">
        <f>'1233 parafilm- 24 hpi'!P8</f>
        <v>4.85436551455377E-5</v>
      </c>
      <c r="F7">
        <f>'1233 parafilm+ 24 hpi'!O8</f>
        <v>5.6626887575662031E-4</v>
      </c>
      <c r="G7">
        <f>'1233 parafilm+ 24 hpi'!P8</f>
        <v>5.5062496912347006E-5</v>
      </c>
      <c r="I7">
        <f>'1234 parafilm- 24 hpi'!O8</f>
        <v>5.6960294675813912E-4</v>
      </c>
      <c r="J7">
        <f>'1234 parafilm- 24 hpi'!P8</f>
        <v>4.5567244348935074E-5</v>
      </c>
      <c r="L7">
        <f>'1234 parafilm+ 24 hpi'!O8</f>
        <v>4.0101343252342833E-3</v>
      </c>
      <c r="M7">
        <f>'1234 parafilm+ 24 hpi'!P8</f>
        <v>4.3443241597616639E-4</v>
      </c>
      <c r="O7">
        <f>'1250 parafilm- 24 hpi'!O8</f>
        <v>3.507603248896127E-4</v>
      </c>
      <c r="P7">
        <f>'1250 parafilm- 24 hpi'!P8</f>
        <v>4.2857689549899391E-5</v>
      </c>
      <c r="R7">
        <f>'1250 parafilm+ 24 hpi'!O8</f>
        <v>2.2662034999999998E-3</v>
      </c>
      <c r="S7">
        <f>'1250 parafilm+ 24 hpi'!P8</f>
        <v>8.0458499999999989E-5</v>
      </c>
      <c r="U7">
        <f>'1480 parafilm- 24 hpi'!O8</f>
        <v>2.3789102131484955E-4</v>
      </c>
      <c r="V7">
        <f>'1480 parafilm- 24 hpi'!P8</f>
        <v>2.241920849529606E-5</v>
      </c>
      <c r="X7">
        <f>'NAD003 parafilm+ 24 hpi'!O8</f>
        <v>3.6185850000000001E-4</v>
      </c>
      <c r="Y7">
        <f>'NAD003 parafilm+ 24 hpi'!P8</f>
        <v>5.0064400000000001E-5</v>
      </c>
    </row>
    <row r="8" spans="1:25" x14ac:dyDescent="0.35">
      <c r="C8">
        <f>'1233 parafilm- 24 hpi'!O9</f>
        <v>3.8303179254208132E-4</v>
      </c>
      <c r="D8">
        <f>'1233 parafilm- 24 hpi'!P9</f>
        <v>4.900691309963886E-5</v>
      </c>
      <c r="F8">
        <f>'1233 parafilm+ 24 hpi'!O9</f>
        <v>5.8436161569946476E-4</v>
      </c>
      <c r="G8">
        <f>'1233 parafilm+ 24 hpi'!P9</f>
        <v>5.7427415057812092E-5</v>
      </c>
      <c r="I8">
        <f>'1234 parafilm- 24 hpi'!O9</f>
        <v>5.8679083774942052E-4</v>
      </c>
      <c r="J8">
        <f>'1234 parafilm- 24 hpi'!P9</f>
        <v>4.4066764893990351E-5</v>
      </c>
      <c r="L8">
        <f>'1234 parafilm+ 24 hpi'!O9</f>
        <v>4.1007451998739076E-3</v>
      </c>
      <c r="M8">
        <f>'1234 parafilm+ 24 hpi'!P9</f>
        <v>4.4403091814897557E-4</v>
      </c>
      <c r="O8">
        <f>'1250 parafilm- 24 hpi'!O9</f>
        <v>3.6428724166789043E-4</v>
      </c>
      <c r="P8">
        <f>'1250 parafilm- 24 hpi'!P9</f>
        <v>4.3378807270627235E-5</v>
      </c>
      <c r="R8">
        <f>'1250 parafilm+ 24 hpi'!O9</f>
        <v>2.2959119999999998E-3</v>
      </c>
      <c r="S8">
        <f>'1250 parafilm+ 24 hpi'!P9</f>
        <v>7.9127500000000011E-5</v>
      </c>
      <c r="U8">
        <f>'1480 parafilm- 24 hpi'!O9</f>
        <v>2.4966375125133578E-4</v>
      </c>
      <c r="V8">
        <f>'1480 parafilm- 24 hpi'!P9</f>
        <v>2.2376624445066673E-5</v>
      </c>
      <c r="X8">
        <f>'NAD003 parafilm+ 24 hpi'!O9</f>
        <v>3.7822499999999999E-4</v>
      </c>
      <c r="Y8">
        <f>'NAD003 parafilm+ 24 hpi'!P9</f>
        <v>5.2132899999999997E-5</v>
      </c>
    </row>
    <row r="9" spans="1:25" x14ac:dyDescent="0.35">
      <c r="C9">
        <f>'1233 parafilm- 24 hpi'!O10</f>
        <v>3.9557271443341766E-4</v>
      </c>
      <c r="D9">
        <f>'1233 parafilm- 24 hpi'!P10</f>
        <v>5.0792026126154887E-5</v>
      </c>
      <c r="F9">
        <f>'1233 parafilm+ 24 hpi'!O10</f>
        <v>6.0302764918423654E-4</v>
      </c>
      <c r="G9">
        <f>'1233 parafilm+ 24 hpi'!P10</f>
        <v>6.1065971882874349E-5</v>
      </c>
      <c r="I9">
        <f>'1234 parafilm- 24 hpi'!O10</f>
        <v>6.0274878793370923E-4</v>
      </c>
      <c r="J9">
        <f>'1234 parafilm- 24 hpi'!P10</f>
        <v>4.422066535255006E-5</v>
      </c>
      <c r="L9">
        <f>'1234 parafilm+ 24 hpi'!O10</f>
        <v>4.2005600051977197E-3</v>
      </c>
      <c r="M9">
        <f>'1234 parafilm+ 24 hpi'!P10</f>
        <v>4.5721271068678256E-4</v>
      </c>
      <c r="O9">
        <f>'1250 parafilm- 24 hpi'!O10</f>
        <v>3.783959044531123E-4</v>
      </c>
      <c r="P9">
        <f>'1250 parafilm- 24 hpi'!P10</f>
        <v>4.5297303777990532E-5</v>
      </c>
      <c r="R9">
        <f>'1250 parafilm+ 24 hpi'!O10</f>
        <v>2.3211995000000001E-3</v>
      </c>
      <c r="S9">
        <f>'1250 parafilm+ 24 hpi'!P10</f>
        <v>7.6902499999999998E-5</v>
      </c>
      <c r="U9">
        <f>'1480 parafilm- 24 hpi'!O10</f>
        <v>2.6360278733141061E-4</v>
      </c>
      <c r="V9">
        <f>'1480 parafilm- 24 hpi'!P10</f>
        <v>2.7145264981003382E-5</v>
      </c>
      <c r="X9">
        <f>'NAD003 parafilm+ 24 hpi'!O10</f>
        <v>3.9434650000000002E-4</v>
      </c>
      <c r="Y9">
        <f>'NAD003 parafilm+ 24 hpi'!P10</f>
        <v>5.4705650000000004E-5</v>
      </c>
    </row>
    <row r="10" spans="1:25" x14ac:dyDescent="0.35">
      <c r="C10">
        <f>'1233 parafilm- 24 hpi'!O11</f>
        <v>4.0621147889328128E-4</v>
      </c>
      <c r="D10">
        <f>'1233 parafilm- 24 hpi'!P11</f>
        <v>5.3979586520173425E-5</v>
      </c>
      <c r="F10">
        <f>'1233 parafilm+ 24 hpi'!O11</f>
        <v>6.2142786088026521E-4</v>
      </c>
      <c r="G10">
        <f>'1233 parafilm+ 24 hpi'!P11</f>
        <v>6.696490919877366E-5</v>
      </c>
      <c r="I10">
        <f>'1234 parafilm- 24 hpi'!O11</f>
        <v>6.1817559513638353E-4</v>
      </c>
      <c r="J10">
        <f>'1234 parafilm- 24 hpi'!P11</f>
        <v>4.5646321786828232E-5</v>
      </c>
      <c r="L10">
        <f>'1234 parafilm+ 24 hpi'!O11</f>
        <v>4.2715417039830804E-3</v>
      </c>
      <c r="M10">
        <f>'1234 parafilm+ 24 hpi'!P11</f>
        <v>4.9201436277883858E-4</v>
      </c>
      <c r="O10">
        <f>'1250 parafilm- 24 hpi'!O11</f>
        <v>3.9354553343108286E-4</v>
      </c>
      <c r="P10">
        <f>'1250 parafilm- 24 hpi'!P11</f>
        <v>4.8414907834949611E-5</v>
      </c>
      <c r="R10">
        <f>'1250 parafilm+ 24 hpi'!O11</f>
        <v>2.3475430000000001E-3</v>
      </c>
      <c r="S10">
        <f>'1250 parafilm+ 24 hpi'!P11</f>
        <v>8.0379999999999986E-5</v>
      </c>
      <c r="U10">
        <f>'1480 parafilm- 24 hpi'!O11</f>
        <v>2.7401639760341994E-4</v>
      </c>
      <c r="V10">
        <f>'1480 parafilm- 24 hpi'!P11</f>
        <v>2.8861672050585629E-5</v>
      </c>
      <c r="X10">
        <f>'NAD003 parafilm+ 24 hpi'!O11</f>
        <v>4.0807149999999993E-4</v>
      </c>
      <c r="Y10">
        <f>'NAD003 parafilm+ 24 hpi'!P11</f>
        <v>5.932715E-5</v>
      </c>
    </row>
    <row r="11" spans="1:25" x14ac:dyDescent="0.35">
      <c r="C11">
        <f>'1233 parafilm- 24 hpi'!O12</f>
        <v>4.1564179357711365E-4</v>
      </c>
      <c r="D11">
        <f>'1233 parafilm- 24 hpi'!P12</f>
        <v>5.8460111599467744E-5</v>
      </c>
      <c r="F11">
        <f>'1233 parafilm+ 24 hpi'!O12</f>
        <v>6.4155854134253067E-4</v>
      </c>
      <c r="G11">
        <f>'1233 parafilm+ 24 hpi'!P12</f>
        <v>7.5855522454788279E-5</v>
      </c>
      <c r="I11">
        <f>'1234 parafilm- 24 hpi'!O12</f>
        <v>6.3112415526230307E-4</v>
      </c>
      <c r="J11">
        <f>'1234 parafilm- 24 hpi'!P12</f>
        <v>4.9215947354490688E-5</v>
      </c>
      <c r="L11">
        <f>'1234 parafilm+ 24 hpi'!O12</f>
        <v>4.3899757974529005E-3</v>
      </c>
      <c r="M11">
        <f>'1234 parafilm+ 24 hpi'!P12</f>
        <v>5.0926340189227112E-4</v>
      </c>
      <c r="O11">
        <f>'1250 parafilm- 24 hpi'!O12</f>
        <v>4.1400640304254012E-4</v>
      </c>
      <c r="P11">
        <f>'1250 parafilm- 24 hpi'!P12</f>
        <v>5.2602866730076804E-5</v>
      </c>
      <c r="R11">
        <f>'1250 parafilm+ 24 hpi'!O12</f>
        <v>2.3746010000000001E-3</v>
      </c>
      <c r="S11">
        <f>'1250 parafilm+ 24 hpi'!P12</f>
        <v>8.5988499999999998E-5</v>
      </c>
      <c r="U11">
        <f>'1480 parafilm- 24 hpi'!O12</f>
        <v>2.8680680361525601E-4</v>
      </c>
      <c r="V11">
        <f>'1480 parafilm- 24 hpi'!P12</f>
        <v>3.1842743017662423E-5</v>
      </c>
      <c r="X11">
        <f>'NAD003 parafilm+ 24 hpi'!O12</f>
        <v>4.2065049999999996E-4</v>
      </c>
      <c r="Y11">
        <f>'NAD003 parafilm+ 24 hpi'!P12</f>
        <v>6.5041299999999997E-5</v>
      </c>
    </row>
    <row r="12" spans="1:25" x14ac:dyDescent="0.35">
      <c r="C12">
        <f>'1233 parafilm- 24 hpi'!O13</f>
        <v>4.1915699121079791E-4</v>
      </c>
      <c r="D12">
        <f>'1233 parafilm- 24 hpi'!P13</f>
        <v>6.6401056589652415E-5</v>
      </c>
      <c r="F12">
        <f>'1233 parafilm+ 24 hpi'!O13</f>
        <v>6.6990156431191846E-4</v>
      </c>
      <c r="G12">
        <f>'1233 parafilm+ 24 hpi'!P13</f>
        <v>8.8058804034576809E-5</v>
      </c>
      <c r="I12">
        <f>'1234 parafilm- 24 hpi'!O13</f>
        <v>6.418576878613097E-4</v>
      </c>
      <c r="J12">
        <f>'1234 parafilm- 24 hpi'!P13</f>
        <v>5.4122763062832926E-5</v>
      </c>
      <c r="L12">
        <f>'1234 parafilm+ 24 hpi'!O13</f>
        <v>4.5014309014085241E-3</v>
      </c>
      <c r="M12">
        <f>'1234 parafilm+ 24 hpi'!P13</f>
        <v>5.395284711797474E-4</v>
      </c>
      <c r="O12">
        <f>'1250 parafilm- 24 hpi'!O13</f>
        <v>4.4869391014761451E-4</v>
      </c>
      <c r="P12">
        <f>'1250 parafilm- 24 hpi'!P13</f>
        <v>5.9918977032878889E-5</v>
      </c>
      <c r="R12">
        <f>'1250 parafilm+ 24 hpi'!O13</f>
        <v>2.420036E-3</v>
      </c>
      <c r="S12">
        <f>'1250 parafilm+ 24 hpi'!P13</f>
        <v>9.8624499999999991E-5</v>
      </c>
      <c r="U12">
        <f>'1480 parafilm- 24 hpi'!O13</f>
        <v>3.1236852768627135E-4</v>
      </c>
      <c r="V12">
        <f>'1480 parafilm- 24 hpi'!P13</f>
        <v>3.8159643511029923E-5</v>
      </c>
      <c r="X12">
        <f>'NAD003 parafilm+ 24 hpi'!O13</f>
        <v>4.2251699999999997E-4</v>
      </c>
      <c r="Y12">
        <f>'NAD003 parafilm+ 24 hpi'!P13</f>
        <v>7.2615999999999997E-5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1233 parafilm- 24 hpi</vt:lpstr>
      <vt:lpstr>1233 parafilm+ 24 hpi</vt:lpstr>
      <vt:lpstr>1234 parafilm- 24 hpi</vt:lpstr>
      <vt:lpstr>1234 parafilm+ 24 hpi</vt:lpstr>
      <vt:lpstr>1250 parafilm- 24 hpi</vt:lpstr>
      <vt:lpstr>1250 parafilm+ 24 hpi</vt:lpstr>
      <vt:lpstr>1480 parafilm- 24 hpi</vt:lpstr>
      <vt:lpstr>NAD003 parafilm- 24 hpi</vt:lpstr>
      <vt:lpstr>NAD003 parafilm+ 24 hpi</vt:lpstr>
      <vt:lpstr>Average comparison</vt:lpstr>
      <vt:lpstr>Standard deviations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LarkinLab</cp:lastModifiedBy>
  <dcterms:created xsi:type="dcterms:W3CDTF">2025-07-22T15:19:18Z</dcterms:created>
  <dcterms:modified xsi:type="dcterms:W3CDTF">2026-04-01T19:10:49Z</dcterms:modified>
</cp:coreProperties>
</file>
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Rheometry\Recovery\"/>
    </mc:Choice>
  </mc:AlternateContent>
  <xr:revisionPtr revIDLastSave="0" documentId="13_ncr:1_{127A8664-C248-40B2-AFC4-E9048A4E693A}" xr6:coauthVersionLast="47" xr6:coauthVersionMax="47" xr10:uidLastSave="{00000000-0000-0000-0000-000000000000}"/>
  <bookViews>
    <workbookView xWindow="-110" yWindow="-110" windowWidth="38620" windowHeight="21100" firstSheet="3" activeTab="9" xr2:uid="{99ED6CDB-A5F5-4A7C-94E6-4FC76C7CFC82}"/>
  </bookViews>
  <sheets>
    <sheet name="1233 P- 72 hpi" sheetId="1" r:id="rId1"/>
    <sheet name="1233 P+ 72 hpi" sheetId="8" r:id="rId2"/>
    <sheet name="1234 P- 72 hpi" sheetId="2" r:id="rId3"/>
    <sheet name="1234 P+ 72 hpi" sheetId="9" r:id="rId4"/>
    <sheet name="1250 P- 72 hpi" sheetId="3" r:id="rId5"/>
    <sheet name="1250 P+ 72 hpi" sheetId="10" r:id="rId6"/>
    <sheet name="1480 P- 72 hpi" sheetId="7" r:id="rId7"/>
    <sheet name="NAD003 P- 72 hpi" sheetId="14" r:id="rId8"/>
    <sheet name="NAD003 P+ 72 hpi" sheetId="11" r:id="rId9"/>
    <sheet name="Average comparison" sheetId="5" r:id="rId10"/>
    <sheet name="Standard deviations" sheetId="12" r:id="rId11"/>
    <sheet name="Recovery" sheetId="13" r:id="rId12"/>
    <sheet name="Recovery Old" sheetId="6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7" l="1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W109" i="14"/>
  <c r="U109" i="14"/>
  <c r="R109" i="14"/>
  <c r="Q109" i="14"/>
  <c r="O109" i="14"/>
  <c r="X109" i="14" s="1"/>
  <c r="N109" i="14"/>
  <c r="J109" i="14"/>
  <c r="I109" i="14"/>
  <c r="E109" i="14"/>
  <c r="D109" i="14"/>
  <c r="T109" i="14" s="1"/>
  <c r="X108" i="14"/>
  <c r="T108" i="14"/>
  <c r="R108" i="14"/>
  <c r="Q108" i="14"/>
  <c r="O108" i="14"/>
  <c r="N108" i="14"/>
  <c r="W108" i="14" s="1"/>
  <c r="J108" i="14"/>
  <c r="I108" i="14"/>
  <c r="E108" i="14"/>
  <c r="U108" i="14" s="1"/>
  <c r="D108" i="14"/>
  <c r="R107" i="14"/>
  <c r="Q107" i="14"/>
  <c r="O107" i="14"/>
  <c r="N107" i="14"/>
  <c r="J107" i="14"/>
  <c r="I107" i="14"/>
  <c r="E107" i="14"/>
  <c r="X107" i="14" s="1"/>
  <c r="D107" i="14"/>
  <c r="W107" i="14" s="1"/>
  <c r="R106" i="14"/>
  <c r="Q106" i="14"/>
  <c r="O106" i="14"/>
  <c r="N106" i="14"/>
  <c r="J106" i="14"/>
  <c r="I106" i="14"/>
  <c r="E106" i="14"/>
  <c r="X106" i="14" s="1"/>
  <c r="D106" i="14"/>
  <c r="W106" i="14" s="1"/>
  <c r="X105" i="14"/>
  <c r="W105" i="14"/>
  <c r="T105" i="14"/>
  <c r="R105" i="14"/>
  <c r="Q105" i="14"/>
  <c r="O105" i="14"/>
  <c r="N105" i="14"/>
  <c r="J105" i="14"/>
  <c r="I105" i="14"/>
  <c r="E105" i="14"/>
  <c r="U105" i="14" s="1"/>
  <c r="D105" i="14"/>
  <c r="X104" i="14"/>
  <c r="U104" i="14"/>
  <c r="T104" i="14"/>
  <c r="R104" i="14"/>
  <c r="Q104" i="14"/>
  <c r="O104" i="14"/>
  <c r="N104" i="14"/>
  <c r="J104" i="14"/>
  <c r="I104" i="14"/>
  <c r="E104" i="14"/>
  <c r="D104" i="14"/>
  <c r="W104" i="14" s="1"/>
  <c r="R103" i="14"/>
  <c r="Q103" i="14"/>
  <c r="O103" i="14"/>
  <c r="N103" i="14"/>
  <c r="J103" i="14"/>
  <c r="X103" i="14" s="1"/>
  <c r="I103" i="14"/>
  <c r="E103" i="14"/>
  <c r="D103" i="14"/>
  <c r="W103" i="14" s="1"/>
  <c r="R102" i="14"/>
  <c r="Q102" i="14"/>
  <c r="O102" i="14"/>
  <c r="N102" i="14"/>
  <c r="J102" i="14"/>
  <c r="I102" i="14"/>
  <c r="E102" i="14"/>
  <c r="X102" i="14" s="1"/>
  <c r="D102" i="14"/>
  <c r="W102" i="14" s="1"/>
  <c r="X101" i="14"/>
  <c r="W101" i="14"/>
  <c r="T101" i="14"/>
  <c r="R101" i="14"/>
  <c r="Q101" i="14"/>
  <c r="O101" i="14"/>
  <c r="N101" i="14"/>
  <c r="J101" i="14"/>
  <c r="I101" i="14"/>
  <c r="E101" i="14"/>
  <c r="U101" i="14" s="1"/>
  <c r="D101" i="14"/>
  <c r="X100" i="14"/>
  <c r="U100" i="14"/>
  <c r="T100" i="14"/>
  <c r="R100" i="14"/>
  <c r="Q100" i="14"/>
  <c r="O100" i="14"/>
  <c r="N100" i="14"/>
  <c r="J100" i="14"/>
  <c r="I100" i="14"/>
  <c r="E100" i="14"/>
  <c r="D100" i="14"/>
  <c r="W100" i="14" s="1"/>
  <c r="R99" i="14"/>
  <c r="Q99" i="14"/>
  <c r="O99" i="14"/>
  <c r="N99" i="14"/>
  <c r="J99" i="14"/>
  <c r="X99" i="14" s="1"/>
  <c r="I99" i="14"/>
  <c r="E99" i="14"/>
  <c r="D99" i="14"/>
  <c r="W99" i="14" s="1"/>
  <c r="R98" i="14"/>
  <c r="Q98" i="14"/>
  <c r="O98" i="14"/>
  <c r="N98" i="14"/>
  <c r="J98" i="14"/>
  <c r="I98" i="14"/>
  <c r="E98" i="14"/>
  <c r="X98" i="14" s="1"/>
  <c r="D98" i="14"/>
  <c r="W98" i="14" s="1"/>
  <c r="X97" i="14"/>
  <c r="W97" i="14"/>
  <c r="T97" i="14"/>
  <c r="R97" i="14"/>
  <c r="Q97" i="14"/>
  <c r="O97" i="14"/>
  <c r="N97" i="14"/>
  <c r="J97" i="14"/>
  <c r="I97" i="14"/>
  <c r="E97" i="14"/>
  <c r="U97" i="14" s="1"/>
  <c r="D97" i="14"/>
  <c r="X96" i="14"/>
  <c r="U96" i="14"/>
  <c r="T96" i="14"/>
  <c r="R96" i="14"/>
  <c r="Q96" i="14"/>
  <c r="O96" i="14"/>
  <c r="N96" i="14"/>
  <c r="J96" i="14"/>
  <c r="I96" i="14"/>
  <c r="E96" i="14"/>
  <c r="D96" i="14"/>
  <c r="W96" i="14" s="1"/>
  <c r="R95" i="14"/>
  <c r="Q95" i="14"/>
  <c r="O95" i="14"/>
  <c r="N95" i="14"/>
  <c r="J95" i="14"/>
  <c r="X95" i="14" s="1"/>
  <c r="I95" i="14"/>
  <c r="E95" i="14"/>
  <c r="D95" i="14"/>
  <c r="W95" i="14" s="1"/>
  <c r="R94" i="14"/>
  <c r="Q94" i="14"/>
  <c r="O94" i="14"/>
  <c r="N94" i="14"/>
  <c r="J94" i="14"/>
  <c r="I94" i="14"/>
  <c r="E94" i="14"/>
  <c r="X94" i="14" s="1"/>
  <c r="D94" i="14"/>
  <c r="W94" i="14" s="1"/>
  <c r="X93" i="14"/>
  <c r="W93" i="14"/>
  <c r="T93" i="14"/>
  <c r="R93" i="14"/>
  <c r="Q93" i="14"/>
  <c r="O93" i="14"/>
  <c r="N93" i="14"/>
  <c r="J93" i="14"/>
  <c r="I93" i="14"/>
  <c r="E93" i="14"/>
  <c r="U93" i="14" s="1"/>
  <c r="D93" i="14"/>
  <c r="X92" i="14"/>
  <c r="U92" i="14"/>
  <c r="T92" i="14"/>
  <c r="R92" i="14"/>
  <c r="Q92" i="14"/>
  <c r="O92" i="14"/>
  <c r="N92" i="14"/>
  <c r="W92" i="14" s="1"/>
  <c r="J92" i="14"/>
  <c r="I92" i="14"/>
  <c r="E92" i="14"/>
  <c r="D92" i="14"/>
  <c r="R91" i="14"/>
  <c r="Q91" i="14"/>
  <c r="O91" i="14"/>
  <c r="N91" i="14"/>
  <c r="J91" i="14"/>
  <c r="X91" i="14" s="1"/>
  <c r="I91" i="14"/>
  <c r="E91" i="14"/>
  <c r="D91" i="14"/>
  <c r="W91" i="14" s="1"/>
  <c r="R90" i="14"/>
  <c r="Q90" i="14"/>
  <c r="O90" i="14"/>
  <c r="N90" i="14"/>
  <c r="J90" i="14"/>
  <c r="I90" i="14"/>
  <c r="E90" i="14"/>
  <c r="X90" i="14" s="1"/>
  <c r="D90" i="14"/>
  <c r="W90" i="14" s="1"/>
  <c r="X89" i="14"/>
  <c r="W89" i="14"/>
  <c r="R89" i="14"/>
  <c r="Q89" i="14"/>
  <c r="O89" i="14"/>
  <c r="N89" i="14"/>
  <c r="J89" i="14"/>
  <c r="I89" i="14"/>
  <c r="T89" i="14" s="1"/>
  <c r="E89" i="14"/>
  <c r="U89" i="14" s="1"/>
  <c r="D89" i="14"/>
  <c r="X88" i="14"/>
  <c r="U88" i="14"/>
  <c r="T88" i="14"/>
  <c r="R88" i="14"/>
  <c r="Q88" i="14"/>
  <c r="O88" i="14"/>
  <c r="N88" i="14"/>
  <c r="W88" i="14" s="1"/>
  <c r="J88" i="14"/>
  <c r="I88" i="14"/>
  <c r="E88" i="14"/>
  <c r="D88" i="14"/>
  <c r="R87" i="14"/>
  <c r="Q87" i="14"/>
  <c r="O87" i="14"/>
  <c r="N87" i="14"/>
  <c r="J87" i="14"/>
  <c r="X87" i="14" s="1"/>
  <c r="I87" i="14"/>
  <c r="E87" i="14"/>
  <c r="D87" i="14"/>
  <c r="W87" i="14" s="1"/>
  <c r="R86" i="14"/>
  <c r="Q86" i="14"/>
  <c r="O86" i="14"/>
  <c r="N86" i="14"/>
  <c r="J86" i="14"/>
  <c r="I86" i="14"/>
  <c r="E86" i="14"/>
  <c r="X86" i="14" s="1"/>
  <c r="D86" i="14"/>
  <c r="W86" i="14" s="1"/>
  <c r="X85" i="14"/>
  <c r="W85" i="14"/>
  <c r="R85" i="14"/>
  <c r="Q85" i="14"/>
  <c r="O85" i="14"/>
  <c r="N85" i="14"/>
  <c r="J85" i="14"/>
  <c r="I85" i="14"/>
  <c r="T85" i="14" s="1"/>
  <c r="E85" i="14"/>
  <c r="U85" i="14" s="1"/>
  <c r="D85" i="14"/>
  <c r="X84" i="14"/>
  <c r="U84" i="14"/>
  <c r="T84" i="14"/>
  <c r="R84" i="14"/>
  <c r="Q84" i="14"/>
  <c r="O84" i="14"/>
  <c r="N84" i="14"/>
  <c r="W84" i="14" s="1"/>
  <c r="J84" i="14"/>
  <c r="I84" i="14"/>
  <c r="E84" i="14"/>
  <c r="D84" i="14"/>
  <c r="R83" i="14"/>
  <c r="Q83" i="14"/>
  <c r="O83" i="14"/>
  <c r="N83" i="14"/>
  <c r="J83" i="14"/>
  <c r="X83" i="14" s="1"/>
  <c r="I83" i="14"/>
  <c r="W83" i="14" s="1"/>
  <c r="E83" i="14"/>
  <c r="U83" i="14" s="1"/>
  <c r="D83" i="14"/>
  <c r="T83" i="14" s="1"/>
  <c r="R82" i="14"/>
  <c r="Q82" i="14"/>
  <c r="O82" i="14"/>
  <c r="N82" i="14"/>
  <c r="J82" i="14"/>
  <c r="I82" i="14"/>
  <c r="E82" i="14"/>
  <c r="X82" i="14" s="1"/>
  <c r="D82" i="14"/>
  <c r="W82" i="14" s="1"/>
  <c r="X81" i="14"/>
  <c r="W81" i="14"/>
  <c r="R81" i="14"/>
  <c r="Q81" i="14"/>
  <c r="O81" i="14"/>
  <c r="N81" i="14"/>
  <c r="J81" i="14"/>
  <c r="I81" i="14"/>
  <c r="T81" i="14" s="1"/>
  <c r="E81" i="14"/>
  <c r="U81" i="14" s="1"/>
  <c r="D81" i="14"/>
  <c r="X80" i="14"/>
  <c r="T80" i="14"/>
  <c r="R80" i="14"/>
  <c r="Q80" i="14"/>
  <c r="O80" i="14"/>
  <c r="N80" i="14"/>
  <c r="W80" i="14" s="1"/>
  <c r="J80" i="14"/>
  <c r="U80" i="14" s="1"/>
  <c r="I80" i="14"/>
  <c r="E80" i="14"/>
  <c r="D80" i="14"/>
  <c r="R79" i="14"/>
  <c r="Q79" i="14"/>
  <c r="O79" i="14"/>
  <c r="N79" i="14"/>
  <c r="J79" i="14"/>
  <c r="X79" i="14" s="1"/>
  <c r="I79" i="14"/>
  <c r="W79" i="14" s="1"/>
  <c r="E79" i="14"/>
  <c r="U79" i="14" s="1"/>
  <c r="D79" i="14"/>
  <c r="T79" i="14" s="1"/>
  <c r="R78" i="14"/>
  <c r="Q78" i="14"/>
  <c r="O78" i="14"/>
  <c r="N78" i="14"/>
  <c r="J78" i="14"/>
  <c r="I78" i="14"/>
  <c r="E78" i="14"/>
  <c r="X78" i="14" s="1"/>
  <c r="D78" i="14"/>
  <c r="W78" i="14" s="1"/>
  <c r="X77" i="14"/>
  <c r="W77" i="14"/>
  <c r="R77" i="14"/>
  <c r="Q77" i="14"/>
  <c r="O77" i="14"/>
  <c r="N77" i="14"/>
  <c r="J77" i="14"/>
  <c r="I77" i="14"/>
  <c r="T77" i="14" s="1"/>
  <c r="E77" i="14"/>
  <c r="U77" i="14" s="1"/>
  <c r="D77" i="14"/>
  <c r="X76" i="14"/>
  <c r="W76" i="14"/>
  <c r="T76" i="14"/>
  <c r="R76" i="14"/>
  <c r="Q76" i="14"/>
  <c r="O76" i="14"/>
  <c r="N76" i="14"/>
  <c r="J76" i="14"/>
  <c r="U76" i="14" s="1"/>
  <c r="I76" i="14"/>
  <c r="E76" i="14"/>
  <c r="D76" i="14"/>
  <c r="R75" i="14"/>
  <c r="Q75" i="14"/>
  <c r="O75" i="14"/>
  <c r="N75" i="14"/>
  <c r="J75" i="14"/>
  <c r="X75" i="14" s="1"/>
  <c r="I75" i="14"/>
  <c r="W75" i="14" s="1"/>
  <c r="E75" i="14"/>
  <c r="U75" i="14" s="1"/>
  <c r="D75" i="14"/>
  <c r="T75" i="14" s="1"/>
  <c r="R74" i="14"/>
  <c r="Q74" i="14"/>
  <c r="O74" i="14"/>
  <c r="N74" i="14"/>
  <c r="J74" i="14"/>
  <c r="X74" i="14" s="1"/>
  <c r="I74" i="14"/>
  <c r="E74" i="14"/>
  <c r="U74" i="14" s="1"/>
  <c r="D74" i="14"/>
  <c r="W74" i="14" s="1"/>
  <c r="X73" i="14"/>
  <c r="W73" i="14"/>
  <c r="R73" i="14"/>
  <c r="Q73" i="14"/>
  <c r="O73" i="14"/>
  <c r="N73" i="14"/>
  <c r="J73" i="14"/>
  <c r="I73" i="14"/>
  <c r="T73" i="14" s="1"/>
  <c r="E73" i="14"/>
  <c r="U73" i="14" s="1"/>
  <c r="D73" i="14"/>
  <c r="X72" i="14"/>
  <c r="W72" i="14"/>
  <c r="T72" i="14"/>
  <c r="R72" i="14"/>
  <c r="Q72" i="14"/>
  <c r="O72" i="14"/>
  <c r="N72" i="14"/>
  <c r="J72" i="14"/>
  <c r="U72" i="14" s="1"/>
  <c r="I72" i="14"/>
  <c r="E72" i="14"/>
  <c r="D72" i="14"/>
  <c r="R71" i="14"/>
  <c r="Q71" i="14"/>
  <c r="O71" i="14"/>
  <c r="N71" i="14"/>
  <c r="J71" i="14"/>
  <c r="X71" i="14" s="1"/>
  <c r="I71" i="14"/>
  <c r="W71" i="14" s="1"/>
  <c r="E71" i="14"/>
  <c r="U71" i="14" s="1"/>
  <c r="D71" i="14"/>
  <c r="T71" i="14" s="1"/>
  <c r="R70" i="14"/>
  <c r="Q70" i="14"/>
  <c r="O70" i="14"/>
  <c r="N70" i="14"/>
  <c r="J70" i="14"/>
  <c r="X70" i="14" s="1"/>
  <c r="I70" i="14"/>
  <c r="E70" i="14"/>
  <c r="U70" i="14" s="1"/>
  <c r="D70" i="14"/>
  <c r="W70" i="14" s="1"/>
  <c r="X69" i="14"/>
  <c r="W69" i="14"/>
  <c r="R69" i="14"/>
  <c r="Q69" i="14"/>
  <c r="O69" i="14"/>
  <c r="N69" i="14"/>
  <c r="J69" i="14"/>
  <c r="I69" i="14"/>
  <c r="T69" i="14" s="1"/>
  <c r="E69" i="14"/>
  <c r="U69" i="14" s="1"/>
  <c r="D69" i="14"/>
  <c r="X68" i="14"/>
  <c r="W68" i="14"/>
  <c r="T68" i="14"/>
  <c r="R68" i="14"/>
  <c r="Q68" i="14"/>
  <c r="O68" i="14"/>
  <c r="N68" i="14"/>
  <c r="J68" i="14"/>
  <c r="U68" i="14" s="1"/>
  <c r="I68" i="14"/>
  <c r="E68" i="14"/>
  <c r="D68" i="14"/>
  <c r="R67" i="14"/>
  <c r="Q67" i="14"/>
  <c r="O67" i="14"/>
  <c r="N67" i="14"/>
  <c r="J67" i="14"/>
  <c r="X67" i="14" s="1"/>
  <c r="I67" i="14"/>
  <c r="W67" i="14" s="1"/>
  <c r="E67" i="14"/>
  <c r="U67" i="14" s="1"/>
  <c r="D67" i="14"/>
  <c r="T67" i="14" s="1"/>
  <c r="R66" i="14"/>
  <c r="Q66" i="14"/>
  <c r="O66" i="14"/>
  <c r="N66" i="14"/>
  <c r="J66" i="14"/>
  <c r="X66" i="14" s="1"/>
  <c r="I66" i="14"/>
  <c r="E66" i="14"/>
  <c r="U66" i="14" s="1"/>
  <c r="D66" i="14"/>
  <c r="W66" i="14" s="1"/>
  <c r="X65" i="14"/>
  <c r="W65" i="14"/>
  <c r="R65" i="14"/>
  <c r="Q65" i="14"/>
  <c r="O65" i="14"/>
  <c r="N65" i="14"/>
  <c r="J65" i="14"/>
  <c r="I65" i="14"/>
  <c r="T65" i="14" s="1"/>
  <c r="E65" i="14"/>
  <c r="U65" i="14" s="1"/>
  <c r="D65" i="14"/>
  <c r="X64" i="14"/>
  <c r="W64" i="14"/>
  <c r="T64" i="14"/>
  <c r="R64" i="14"/>
  <c r="Q64" i="14"/>
  <c r="O64" i="14"/>
  <c r="N64" i="14"/>
  <c r="J64" i="14"/>
  <c r="U64" i="14" s="1"/>
  <c r="I64" i="14"/>
  <c r="E64" i="14"/>
  <c r="D64" i="14"/>
  <c r="R63" i="14"/>
  <c r="Q63" i="14"/>
  <c r="O63" i="14"/>
  <c r="N63" i="14"/>
  <c r="J63" i="14"/>
  <c r="X63" i="14" s="1"/>
  <c r="I63" i="14"/>
  <c r="W63" i="14" s="1"/>
  <c r="E63" i="14"/>
  <c r="U63" i="14" s="1"/>
  <c r="D63" i="14"/>
  <c r="T63" i="14" s="1"/>
  <c r="R62" i="14"/>
  <c r="Q62" i="14"/>
  <c r="O62" i="14"/>
  <c r="N62" i="14"/>
  <c r="J62" i="14"/>
  <c r="X62" i="14" s="1"/>
  <c r="I62" i="14"/>
  <c r="E62" i="14"/>
  <c r="U62" i="14" s="1"/>
  <c r="D62" i="14"/>
  <c r="W62" i="14" s="1"/>
  <c r="X61" i="14"/>
  <c r="W61" i="14"/>
  <c r="R61" i="14"/>
  <c r="Q61" i="14"/>
  <c r="O61" i="14"/>
  <c r="N61" i="14"/>
  <c r="J61" i="14"/>
  <c r="I61" i="14"/>
  <c r="T61" i="14" s="1"/>
  <c r="E61" i="14"/>
  <c r="U61" i="14" s="1"/>
  <c r="D61" i="14"/>
  <c r="X60" i="14"/>
  <c r="W60" i="14"/>
  <c r="T60" i="14"/>
  <c r="R60" i="14"/>
  <c r="Q60" i="14"/>
  <c r="O60" i="14"/>
  <c r="N60" i="14"/>
  <c r="J60" i="14"/>
  <c r="U60" i="14" s="1"/>
  <c r="I60" i="14"/>
  <c r="E60" i="14"/>
  <c r="D60" i="14"/>
  <c r="R59" i="14"/>
  <c r="Q59" i="14"/>
  <c r="O59" i="14"/>
  <c r="N59" i="14"/>
  <c r="J59" i="14"/>
  <c r="X59" i="14" s="1"/>
  <c r="I59" i="14"/>
  <c r="W59" i="14" s="1"/>
  <c r="E59" i="14"/>
  <c r="U59" i="14" s="1"/>
  <c r="D59" i="14"/>
  <c r="T59" i="14" s="1"/>
  <c r="R58" i="14"/>
  <c r="Q58" i="14"/>
  <c r="O58" i="14"/>
  <c r="N58" i="14"/>
  <c r="J58" i="14"/>
  <c r="X58" i="14" s="1"/>
  <c r="I58" i="14"/>
  <c r="E58" i="14"/>
  <c r="U58" i="14" s="1"/>
  <c r="D58" i="14"/>
  <c r="W58" i="14" s="1"/>
  <c r="X57" i="14"/>
  <c r="W57" i="14"/>
  <c r="R57" i="14"/>
  <c r="Q57" i="14"/>
  <c r="O57" i="14"/>
  <c r="N57" i="14"/>
  <c r="J57" i="14"/>
  <c r="U57" i="14" s="1"/>
  <c r="I57" i="14"/>
  <c r="T57" i="14" s="1"/>
  <c r="E57" i="14"/>
  <c r="D57" i="14"/>
  <c r="X56" i="14"/>
  <c r="W56" i="14"/>
  <c r="T56" i="14"/>
  <c r="R56" i="14"/>
  <c r="Q56" i="14"/>
  <c r="O56" i="14"/>
  <c r="N56" i="14"/>
  <c r="J56" i="14"/>
  <c r="U56" i="14" s="1"/>
  <c r="I56" i="14"/>
  <c r="E56" i="14"/>
  <c r="D56" i="14"/>
  <c r="R55" i="14"/>
  <c r="Q55" i="14"/>
  <c r="O55" i="14"/>
  <c r="N55" i="14"/>
  <c r="J55" i="14"/>
  <c r="X55" i="14" s="1"/>
  <c r="I55" i="14"/>
  <c r="W55" i="14" s="1"/>
  <c r="E55" i="14"/>
  <c r="U55" i="14" s="1"/>
  <c r="D55" i="14"/>
  <c r="T55" i="14" s="1"/>
  <c r="R54" i="14"/>
  <c r="Q54" i="14"/>
  <c r="O54" i="14"/>
  <c r="N54" i="14"/>
  <c r="J54" i="14"/>
  <c r="X54" i="14" s="1"/>
  <c r="I54" i="14"/>
  <c r="E54" i="14"/>
  <c r="U54" i="14" s="1"/>
  <c r="D54" i="14"/>
  <c r="W54" i="14" s="1"/>
  <c r="X53" i="14"/>
  <c r="W53" i="14"/>
  <c r="R53" i="14"/>
  <c r="Q53" i="14"/>
  <c r="O53" i="14"/>
  <c r="N53" i="14"/>
  <c r="J53" i="14"/>
  <c r="U53" i="14" s="1"/>
  <c r="I53" i="14"/>
  <c r="T53" i="14" s="1"/>
  <c r="E53" i="14"/>
  <c r="D53" i="14"/>
  <c r="X52" i="14"/>
  <c r="W52" i="14"/>
  <c r="T52" i="14"/>
  <c r="R52" i="14"/>
  <c r="Q52" i="14"/>
  <c r="O52" i="14"/>
  <c r="N52" i="14"/>
  <c r="J52" i="14"/>
  <c r="U52" i="14" s="1"/>
  <c r="I52" i="14"/>
  <c r="E52" i="14"/>
  <c r="D52" i="14"/>
  <c r="R51" i="14"/>
  <c r="Q51" i="14"/>
  <c r="O51" i="14"/>
  <c r="N51" i="14"/>
  <c r="J51" i="14"/>
  <c r="X51" i="14" s="1"/>
  <c r="I51" i="14"/>
  <c r="W51" i="14" s="1"/>
  <c r="E51" i="14"/>
  <c r="U51" i="14" s="1"/>
  <c r="D51" i="14"/>
  <c r="T51" i="14" s="1"/>
  <c r="R50" i="14"/>
  <c r="Q50" i="14"/>
  <c r="O50" i="14"/>
  <c r="N50" i="14"/>
  <c r="J50" i="14"/>
  <c r="X50" i="14" s="1"/>
  <c r="I50" i="14"/>
  <c r="E50" i="14"/>
  <c r="U50" i="14" s="1"/>
  <c r="D50" i="14"/>
  <c r="W50" i="14" s="1"/>
  <c r="X49" i="14"/>
  <c r="W49" i="14"/>
  <c r="R49" i="14"/>
  <c r="Q49" i="14"/>
  <c r="O49" i="14"/>
  <c r="N49" i="14"/>
  <c r="J49" i="14"/>
  <c r="U49" i="14" s="1"/>
  <c r="I49" i="14"/>
  <c r="E49" i="14"/>
  <c r="D49" i="14"/>
  <c r="T49" i="14" s="1"/>
  <c r="X48" i="14"/>
  <c r="W48" i="14"/>
  <c r="T48" i="14"/>
  <c r="R48" i="14"/>
  <c r="Q48" i="14"/>
  <c r="O48" i="14"/>
  <c r="N48" i="14"/>
  <c r="J48" i="14"/>
  <c r="U48" i="14" s="1"/>
  <c r="I48" i="14"/>
  <c r="E48" i="14"/>
  <c r="D48" i="14"/>
  <c r="R47" i="14"/>
  <c r="Q47" i="14"/>
  <c r="O47" i="14"/>
  <c r="N47" i="14"/>
  <c r="J47" i="14"/>
  <c r="X47" i="14" s="1"/>
  <c r="I47" i="14"/>
  <c r="W47" i="14" s="1"/>
  <c r="E47" i="14"/>
  <c r="U47" i="14" s="1"/>
  <c r="D47" i="14"/>
  <c r="T47" i="14" s="1"/>
  <c r="R46" i="14"/>
  <c r="Q46" i="14"/>
  <c r="O46" i="14"/>
  <c r="N46" i="14"/>
  <c r="J46" i="14"/>
  <c r="X46" i="14" s="1"/>
  <c r="I46" i="14"/>
  <c r="E46" i="14"/>
  <c r="U46" i="14" s="1"/>
  <c r="D46" i="14"/>
  <c r="W46" i="14" s="1"/>
  <c r="X45" i="14"/>
  <c r="W45" i="14"/>
  <c r="R45" i="14"/>
  <c r="Q45" i="14"/>
  <c r="O45" i="14"/>
  <c r="N45" i="14"/>
  <c r="J45" i="14"/>
  <c r="U45" i="14" s="1"/>
  <c r="I45" i="14"/>
  <c r="E45" i="14"/>
  <c r="D45" i="14"/>
  <c r="T45" i="14" s="1"/>
  <c r="X44" i="14"/>
  <c r="W44" i="14"/>
  <c r="T44" i="14"/>
  <c r="R44" i="14"/>
  <c r="Q44" i="14"/>
  <c r="O44" i="14"/>
  <c r="N44" i="14"/>
  <c r="J44" i="14"/>
  <c r="U44" i="14" s="1"/>
  <c r="I44" i="14"/>
  <c r="E44" i="14"/>
  <c r="D44" i="14"/>
  <c r="R43" i="14"/>
  <c r="Q43" i="14"/>
  <c r="O43" i="14"/>
  <c r="N43" i="14"/>
  <c r="J43" i="14"/>
  <c r="X43" i="14" s="1"/>
  <c r="I43" i="14"/>
  <c r="W43" i="14" s="1"/>
  <c r="E43" i="14"/>
  <c r="U43" i="14" s="1"/>
  <c r="D43" i="14"/>
  <c r="T43" i="14" s="1"/>
  <c r="R42" i="14"/>
  <c r="Q42" i="14"/>
  <c r="O42" i="14"/>
  <c r="N42" i="14"/>
  <c r="J42" i="14"/>
  <c r="X42" i="14" s="1"/>
  <c r="I42" i="14"/>
  <c r="E42" i="14"/>
  <c r="U42" i="14" s="1"/>
  <c r="D42" i="14"/>
  <c r="W42" i="14" s="1"/>
  <c r="X41" i="14"/>
  <c r="W41" i="14"/>
  <c r="R41" i="14"/>
  <c r="Q41" i="14"/>
  <c r="O41" i="14"/>
  <c r="N41" i="14"/>
  <c r="J41" i="14"/>
  <c r="I41" i="14"/>
  <c r="E41" i="14"/>
  <c r="U41" i="14" s="1"/>
  <c r="D41" i="14"/>
  <c r="T41" i="14" s="1"/>
  <c r="X40" i="14"/>
  <c r="W40" i="14"/>
  <c r="T40" i="14"/>
  <c r="R40" i="14"/>
  <c r="Q40" i="14"/>
  <c r="O40" i="14"/>
  <c r="N40" i="14"/>
  <c r="J40" i="14"/>
  <c r="I40" i="14"/>
  <c r="E40" i="14"/>
  <c r="U40" i="14" s="1"/>
  <c r="D40" i="14"/>
  <c r="R39" i="14"/>
  <c r="Q39" i="14"/>
  <c r="O39" i="14"/>
  <c r="N39" i="14"/>
  <c r="J39" i="14"/>
  <c r="X39" i="14" s="1"/>
  <c r="I39" i="14"/>
  <c r="W39" i="14" s="1"/>
  <c r="E39" i="14"/>
  <c r="U39" i="14" s="1"/>
  <c r="D39" i="14"/>
  <c r="R38" i="14"/>
  <c r="Q38" i="14"/>
  <c r="O38" i="14"/>
  <c r="N38" i="14"/>
  <c r="J38" i="14"/>
  <c r="X38" i="14" s="1"/>
  <c r="I38" i="14"/>
  <c r="E38" i="14"/>
  <c r="U38" i="14" s="1"/>
  <c r="D38" i="14"/>
  <c r="W38" i="14" s="1"/>
  <c r="X37" i="14"/>
  <c r="W37" i="14"/>
  <c r="R37" i="14"/>
  <c r="Q37" i="14"/>
  <c r="O37" i="14"/>
  <c r="N37" i="14"/>
  <c r="J37" i="14"/>
  <c r="I37" i="14"/>
  <c r="E37" i="14"/>
  <c r="U37" i="14" s="1"/>
  <c r="D37" i="14"/>
  <c r="T37" i="14" s="1"/>
  <c r="X36" i="14"/>
  <c r="W36" i="14"/>
  <c r="T36" i="14"/>
  <c r="R36" i="14"/>
  <c r="Q36" i="14"/>
  <c r="O36" i="14"/>
  <c r="N36" i="14"/>
  <c r="J36" i="14"/>
  <c r="I36" i="14"/>
  <c r="E36" i="14"/>
  <c r="U36" i="14" s="1"/>
  <c r="D36" i="14"/>
  <c r="R35" i="14"/>
  <c r="Q35" i="14"/>
  <c r="O35" i="14"/>
  <c r="N35" i="14"/>
  <c r="J35" i="14"/>
  <c r="X35" i="14" s="1"/>
  <c r="I35" i="14"/>
  <c r="W35" i="14" s="1"/>
  <c r="E35" i="14"/>
  <c r="U35" i="14" s="1"/>
  <c r="D35" i="14"/>
  <c r="T35" i="14" s="1"/>
  <c r="R34" i="14"/>
  <c r="Q34" i="14"/>
  <c r="O34" i="14"/>
  <c r="N34" i="14"/>
  <c r="J34" i="14"/>
  <c r="X34" i="14" s="1"/>
  <c r="I34" i="14"/>
  <c r="E34" i="14"/>
  <c r="U34" i="14" s="1"/>
  <c r="D34" i="14"/>
  <c r="W34" i="14" s="1"/>
  <c r="X33" i="14"/>
  <c r="W33" i="14"/>
  <c r="R33" i="14"/>
  <c r="Q33" i="14"/>
  <c r="O33" i="14"/>
  <c r="N33" i="14"/>
  <c r="J33" i="14"/>
  <c r="I33" i="14"/>
  <c r="E33" i="14"/>
  <c r="U33" i="14" s="1"/>
  <c r="D33" i="14"/>
  <c r="T33" i="14" s="1"/>
  <c r="X32" i="14"/>
  <c r="W32" i="14"/>
  <c r="T32" i="14"/>
  <c r="R32" i="14"/>
  <c r="Q32" i="14"/>
  <c r="O32" i="14"/>
  <c r="N32" i="14"/>
  <c r="J32" i="14"/>
  <c r="I32" i="14"/>
  <c r="E32" i="14"/>
  <c r="U32" i="14" s="1"/>
  <c r="D32" i="14"/>
  <c r="R31" i="14"/>
  <c r="Q31" i="14"/>
  <c r="O31" i="14"/>
  <c r="N31" i="14"/>
  <c r="J31" i="14"/>
  <c r="X31" i="14" s="1"/>
  <c r="I31" i="14"/>
  <c r="W31" i="14" s="1"/>
  <c r="E31" i="14"/>
  <c r="U31" i="14" s="1"/>
  <c r="D31" i="14"/>
  <c r="T31" i="14" s="1"/>
  <c r="R30" i="14"/>
  <c r="Q30" i="14"/>
  <c r="O30" i="14"/>
  <c r="N30" i="14"/>
  <c r="J30" i="14"/>
  <c r="X30" i="14" s="1"/>
  <c r="I30" i="14"/>
  <c r="E30" i="14"/>
  <c r="U30" i="14" s="1"/>
  <c r="D30" i="14"/>
  <c r="W30" i="14" s="1"/>
  <c r="X29" i="14"/>
  <c r="W29" i="14"/>
  <c r="R29" i="14"/>
  <c r="Q29" i="14"/>
  <c r="O29" i="14"/>
  <c r="N29" i="14"/>
  <c r="J29" i="14"/>
  <c r="I29" i="14"/>
  <c r="E29" i="14"/>
  <c r="U29" i="14" s="1"/>
  <c r="D29" i="14"/>
  <c r="T29" i="14" s="1"/>
  <c r="X28" i="14"/>
  <c r="W28" i="14"/>
  <c r="T28" i="14"/>
  <c r="R28" i="14"/>
  <c r="Q28" i="14"/>
  <c r="O28" i="14"/>
  <c r="N28" i="14"/>
  <c r="J28" i="14"/>
  <c r="I28" i="14"/>
  <c r="E28" i="14"/>
  <c r="U28" i="14" s="1"/>
  <c r="D28" i="14"/>
  <c r="R27" i="14"/>
  <c r="Q27" i="14"/>
  <c r="O27" i="14"/>
  <c r="N27" i="14"/>
  <c r="J27" i="14"/>
  <c r="X27" i="14" s="1"/>
  <c r="I27" i="14"/>
  <c r="W27" i="14" s="1"/>
  <c r="E27" i="14"/>
  <c r="U27" i="14" s="1"/>
  <c r="D27" i="14"/>
  <c r="T27" i="14" s="1"/>
  <c r="R26" i="14"/>
  <c r="Q26" i="14"/>
  <c r="O26" i="14"/>
  <c r="N26" i="14"/>
  <c r="J26" i="14"/>
  <c r="X26" i="14" s="1"/>
  <c r="I26" i="14"/>
  <c r="E26" i="14"/>
  <c r="U26" i="14" s="1"/>
  <c r="D26" i="14"/>
  <c r="W26" i="14" s="1"/>
  <c r="X25" i="14"/>
  <c r="W25" i="14"/>
  <c r="R25" i="14"/>
  <c r="Q25" i="14"/>
  <c r="O25" i="14"/>
  <c r="N25" i="14"/>
  <c r="J25" i="14"/>
  <c r="I25" i="14"/>
  <c r="E25" i="14"/>
  <c r="U25" i="14" s="1"/>
  <c r="D25" i="14"/>
  <c r="T25" i="14" s="1"/>
  <c r="X24" i="14"/>
  <c r="W24" i="14"/>
  <c r="T24" i="14"/>
  <c r="R24" i="14"/>
  <c r="Q24" i="14"/>
  <c r="O24" i="14"/>
  <c r="N24" i="14"/>
  <c r="J24" i="14"/>
  <c r="I24" i="14"/>
  <c r="E24" i="14"/>
  <c r="U24" i="14" s="1"/>
  <c r="D24" i="14"/>
  <c r="R23" i="14"/>
  <c r="Q23" i="14"/>
  <c r="O23" i="14"/>
  <c r="N23" i="14"/>
  <c r="J23" i="14"/>
  <c r="X23" i="14" s="1"/>
  <c r="I23" i="14"/>
  <c r="W23" i="14" s="1"/>
  <c r="E23" i="14"/>
  <c r="U23" i="14" s="1"/>
  <c r="D23" i="14"/>
  <c r="T23" i="14" s="1"/>
  <c r="R22" i="14"/>
  <c r="Q22" i="14"/>
  <c r="O22" i="14"/>
  <c r="N22" i="14"/>
  <c r="J22" i="14"/>
  <c r="X22" i="14" s="1"/>
  <c r="I22" i="14"/>
  <c r="E22" i="14"/>
  <c r="U22" i="14" s="1"/>
  <c r="D22" i="14"/>
  <c r="W22" i="14" s="1"/>
  <c r="X21" i="14"/>
  <c r="W21" i="14"/>
  <c r="R21" i="14"/>
  <c r="Q21" i="14"/>
  <c r="O21" i="14"/>
  <c r="N21" i="14"/>
  <c r="J21" i="14"/>
  <c r="I21" i="14"/>
  <c r="E21" i="14"/>
  <c r="U21" i="14" s="1"/>
  <c r="D21" i="14"/>
  <c r="T21" i="14" s="1"/>
  <c r="X20" i="14"/>
  <c r="W20" i="14"/>
  <c r="T20" i="14"/>
  <c r="R20" i="14"/>
  <c r="Q20" i="14"/>
  <c r="O20" i="14"/>
  <c r="N20" i="14"/>
  <c r="J20" i="14"/>
  <c r="I20" i="14"/>
  <c r="E20" i="14"/>
  <c r="U20" i="14" s="1"/>
  <c r="D20" i="14"/>
  <c r="R19" i="14"/>
  <c r="Q19" i="14"/>
  <c r="O19" i="14"/>
  <c r="N19" i="14"/>
  <c r="J19" i="14"/>
  <c r="X19" i="14" s="1"/>
  <c r="I19" i="14"/>
  <c r="W19" i="14" s="1"/>
  <c r="E19" i="14"/>
  <c r="U19" i="14" s="1"/>
  <c r="D19" i="14"/>
  <c r="T19" i="14" s="1"/>
  <c r="R18" i="14"/>
  <c r="Q18" i="14"/>
  <c r="O18" i="14"/>
  <c r="N18" i="14"/>
  <c r="J18" i="14"/>
  <c r="X18" i="14" s="1"/>
  <c r="I18" i="14"/>
  <c r="E18" i="14"/>
  <c r="U18" i="14" s="1"/>
  <c r="D18" i="14"/>
  <c r="W18" i="14" s="1"/>
  <c r="X17" i="14"/>
  <c r="W17" i="14"/>
  <c r="R17" i="14"/>
  <c r="Q17" i="14"/>
  <c r="O17" i="14"/>
  <c r="N17" i="14"/>
  <c r="J17" i="14"/>
  <c r="I17" i="14"/>
  <c r="E17" i="14"/>
  <c r="U17" i="14" s="1"/>
  <c r="D17" i="14"/>
  <c r="T17" i="14" s="1"/>
  <c r="X16" i="14"/>
  <c r="W16" i="14"/>
  <c r="T16" i="14"/>
  <c r="R16" i="14"/>
  <c r="Q16" i="14"/>
  <c r="O16" i="14"/>
  <c r="N16" i="14"/>
  <c r="J16" i="14"/>
  <c r="I16" i="14"/>
  <c r="E16" i="14"/>
  <c r="U16" i="14" s="1"/>
  <c r="D16" i="14"/>
  <c r="R15" i="14"/>
  <c r="Q15" i="14"/>
  <c r="O15" i="14"/>
  <c r="N15" i="14"/>
  <c r="J15" i="14"/>
  <c r="X15" i="14" s="1"/>
  <c r="I15" i="14"/>
  <c r="W15" i="14" s="1"/>
  <c r="E15" i="14"/>
  <c r="U15" i="14" s="1"/>
  <c r="D15" i="14"/>
  <c r="T15" i="14" s="1"/>
  <c r="R14" i="14"/>
  <c r="Q14" i="14"/>
  <c r="O14" i="14"/>
  <c r="N14" i="14"/>
  <c r="J14" i="14"/>
  <c r="X14" i="14" s="1"/>
  <c r="I14" i="14"/>
  <c r="E14" i="14"/>
  <c r="U14" i="14" s="1"/>
  <c r="D14" i="14"/>
  <c r="W14" i="14" s="1"/>
  <c r="X13" i="14"/>
  <c r="W13" i="14"/>
  <c r="R13" i="14"/>
  <c r="Q13" i="14"/>
  <c r="O13" i="14"/>
  <c r="N13" i="14"/>
  <c r="J13" i="14"/>
  <c r="I13" i="14"/>
  <c r="E13" i="14"/>
  <c r="U13" i="14" s="1"/>
  <c r="D13" i="14"/>
  <c r="T13" i="14" s="1"/>
  <c r="X12" i="14"/>
  <c r="W12" i="14"/>
  <c r="T12" i="14"/>
  <c r="R12" i="14"/>
  <c r="Q12" i="14"/>
  <c r="O12" i="14"/>
  <c r="N12" i="14"/>
  <c r="J12" i="14"/>
  <c r="I12" i="14"/>
  <c r="E12" i="14"/>
  <c r="U12" i="14" s="1"/>
  <c r="D12" i="14"/>
  <c r="R11" i="14"/>
  <c r="Q11" i="14"/>
  <c r="O11" i="14"/>
  <c r="N11" i="14"/>
  <c r="J11" i="14"/>
  <c r="X11" i="14" s="1"/>
  <c r="I11" i="14"/>
  <c r="W11" i="14" s="1"/>
  <c r="E11" i="14"/>
  <c r="U11" i="14" s="1"/>
  <c r="D11" i="14"/>
  <c r="T11" i="14" s="1"/>
  <c r="R10" i="14"/>
  <c r="Q10" i="14"/>
  <c r="O10" i="14"/>
  <c r="N10" i="14"/>
  <c r="J10" i="14"/>
  <c r="X10" i="14" s="1"/>
  <c r="I10" i="14"/>
  <c r="E10" i="14"/>
  <c r="U10" i="14" s="1"/>
  <c r="D10" i="14"/>
  <c r="W10" i="14" s="1"/>
  <c r="X9" i="14"/>
  <c r="W9" i="14"/>
  <c r="R9" i="14"/>
  <c r="Q9" i="14"/>
  <c r="O9" i="14"/>
  <c r="N9" i="14"/>
  <c r="J9" i="14"/>
  <c r="I9" i="14"/>
  <c r="E9" i="14"/>
  <c r="U9" i="14" s="1"/>
  <c r="D9" i="14"/>
  <c r="T9" i="14" s="1"/>
  <c r="X8" i="14"/>
  <c r="W8" i="14"/>
  <c r="T8" i="14"/>
  <c r="R8" i="14"/>
  <c r="Q8" i="14"/>
  <c r="O8" i="14"/>
  <c r="N8" i="14"/>
  <c r="J8" i="14"/>
  <c r="I8" i="14"/>
  <c r="E8" i="14"/>
  <c r="U8" i="14" s="1"/>
  <c r="D8" i="14"/>
  <c r="R7" i="14"/>
  <c r="Q7" i="14"/>
  <c r="O7" i="14"/>
  <c r="N7" i="14"/>
  <c r="J7" i="14"/>
  <c r="X7" i="14" s="1"/>
  <c r="I7" i="14"/>
  <c r="W7" i="14" s="1"/>
  <c r="E7" i="14"/>
  <c r="U7" i="14" s="1"/>
  <c r="D7" i="14"/>
  <c r="T7" i="14" s="1"/>
  <c r="R6" i="14"/>
  <c r="Q6" i="14"/>
  <c r="O6" i="14"/>
  <c r="N6" i="14"/>
  <c r="J6" i="14"/>
  <c r="X6" i="14" s="1"/>
  <c r="I6" i="14"/>
  <c r="E6" i="14"/>
  <c r="U6" i="14" s="1"/>
  <c r="D6" i="14"/>
  <c r="W6" i="14" s="1"/>
  <c r="X5" i="14"/>
  <c r="W5" i="14"/>
  <c r="R5" i="14"/>
  <c r="Q5" i="14"/>
  <c r="O5" i="14"/>
  <c r="N5" i="14"/>
  <c r="J5" i="14"/>
  <c r="I5" i="14"/>
  <c r="E5" i="14"/>
  <c r="U5" i="14" s="1"/>
  <c r="D5" i="14"/>
  <c r="T5" i="14" s="1"/>
  <c r="X4" i="14"/>
  <c r="W4" i="14"/>
  <c r="T4" i="14"/>
  <c r="R4" i="14"/>
  <c r="Q4" i="14"/>
  <c r="O4" i="14"/>
  <c r="N4" i="14"/>
  <c r="J4" i="14"/>
  <c r="I4" i="14"/>
  <c r="E4" i="14"/>
  <c r="U4" i="14" s="1"/>
  <c r="D4" i="14"/>
  <c r="R3" i="14"/>
  <c r="Q3" i="14"/>
  <c r="O3" i="14"/>
  <c r="N3" i="14"/>
  <c r="J3" i="14"/>
  <c r="X3" i="14" s="1"/>
  <c r="I3" i="14"/>
  <c r="W3" i="14" s="1"/>
  <c r="E3" i="14"/>
  <c r="U3" i="14" s="1"/>
  <c r="D3" i="14"/>
  <c r="T3" i="14" s="1"/>
  <c r="O3" i="7"/>
  <c r="N3" i="7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O3" i="3"/>
  <c r="N3" i="3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O3" i="2"/>
  <c r="N3" i="2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O3" i="1"/>
  <c r="N3" i="1"/>
  <c r="I5" i="13"/>
  <c r="I4" i="13"/>
  <c r="I3" i="13"/>
  <c r="I2" i="13"/>
  <c r="G5" i="13"/>
  <c r="G4" i="13"/>
  <c r="G3" i="13"/>
  <c r="G2" i="13"/>
  <c r="E5" i="13"/>
  <c r="E4" i="13"/>
  <c r="E3" i="13"/>
  <c r="E2" i="13"/>
  <c r="C5" i="13"/>
  <c r="C4" i="13"/>
  <c r="C3" i="13"/>
  <c r="C2" i="13"/>
  <c r="T39" i="14" l="1"/>
  <c r="T87" i="14"/>
  <c r="T91" i="14"/>
  <c r="T95" i="14"/>
  <c r="T99" i="14"/>
  <c r="T103" i="14"/>
  <c r="T107" i="14"/>
  <c r="U87" i="14"/>
  <c r="U91" i="14"/>
  <c r="U95" i="14"/>
  <c r="U99" i="14"/>
  <c r="U103" i="14"/>
  <c r="U107" i="14"/>
  <c r="T6" i="14"/>
  <c r="T10" i="14"/>
  <c r="T14" i="14"/>
  <c r="T18" i="14"/>
  <c r="T22" i="14"/>
  <c r="T26" i="14"/>
  <c r="T30" i="14"/>
  <c r="T34" i="14"/>
  <c r="T38" i="14"/>
  <c r="T42" i="14"/>
  <c r="T46" i="14"/>
  <c r="T50" i="14"/>
  <c r="T54" i="14"/>
  <c r="T58" i="14"/>
  <c r="T62" i="14"/>
  <c r="T66" i="14"/>
  <c r="T70" i="14"/>
  <c r="T74" i="14"/>
  <c r="T78" i="14"/>
  <c r="T82" i="14"/>
  <c r="T86" i="14"/>
  <c r="T90" i="14"/>
  <c r="T94" i="14"/>
  <c r="T98" i="14"/>
  <c r="T102" i="14"/>
  <c r="T106" i="14"/>
  <c r="U78" i="14"/>
  <c r="U82" i="14"/>
  <c r="U86" i="14"/>
  <c r="U90" i="14"/>
  <c r="U94" i="14"/>
  <c r="U98" i="14"/>
  <c r="U102" i="14"/>
  <c r="U106" i="14"/>
  <c r="J109" i="11"/>
  <c r="I109" i="11"/>
  <c r="J108" i="11"/>
  <c r="U108" i="11" s="1"/>
  <c r="I108" i="11"/>
  <c r="W108" i="11" s="1"/>
  <c r="W107" i="12" s="1"/>
  <c r="J107" i="11"/>
  <c r="X107" i="11" s="1"/>
  <c r="X106" i="12" s="1"/>
  <c r="I107" i="11"/>
  <c r="J106" i="11"/>
  <c r="I106" i="11"/>
  <c r="J105" i="11"/>
  <c r="I105" i="11"/>
  <c r="J104" i="11"/>
  <c r="I104" i="11"/>
  <c r="T104" i="11" s="1"/>
  <c r="J103" i="11"/>
  <c r="X103" i="11" s="1"/>
  <c r="X102" i="12" s="1"/>
  <c r="I103" i="11"/>
  <c r="W103" i="11" s="1"/>
  <c r="W102" i="12" s="1"/>
  <c r="J102" i="11"/>
  <c r="I102" i="11"/>
  <c r="J101" i="11"/>
  <c r="I101" i="11"/>
  <c r="J100" i="11"/>
  <c r="I100" i="11"/>
  <c r="J99" i="11"/>
  <c r="I99" i="11"/>
  <c r="T99" i="11" s="1"/>
  <c r="J98" i="11"/>
  <c r="X98" i="11" s="1"/>
  <c r="X97" i="12" s="1"/>
  <c r="I98" i="11"/>
  <c r="W98" i="11" s="1"/>
  <c r="W97" i="12" s="1"/>
  <c r="J97" i="11"/>
  <c r="I97" i="11"/>
  <c r="J96" i="11"/>
  <c r="I96" i="11"/>
  <c r="J95" i="11"/>
  <c r="I95" i="11"/>
  <c r="J94" i="11"/>
  <c r="I94" i="11"/>
  <c r="W94" i="11" s="1"/>
  <c r="W93" i="12" s="1"/>
  <c r="J93" i="11"/>
  <c r="I93" i="11"/>
  <c r="J92" i="11"/>
  <c r="I92" i="11"/>
  <c r="J91" i="11"/>
  <c r="X91" i="11" s="1"/>
  <c r="X90" i="12" s="1"/>
  <c r="I91" i="11"/>
  <c r="J90" i="11"/>
  <c r="I90" i="11"/>
  <c r="J89" i="11"/>
  <c r="I89" i="11"/>
  <c r="J88" i="11"/>
  <c r="I88" i="11"/>
  <c r="J87" i="11"/>
  <c r="U87" i="11" s="1"/>
  <c r="I87" i="11"/>
  <c r="J86" i="11"/>
  <c r="I86" i="11"/>
  <c r="J85" i="11"/>
  <c r="I85" i="11"/>
  <c r="J84" i="11"/>
  <c r="I84" i="11"/>
  <c r="J83" i="11"/>
  <c r="I83" i="11"/>
  <c r="J82" i="11"/>
  <c r="X82" i="11" s="1"/>
  <c r="X81" i="12" s="1"/>
  <c r="I82" i="11"/>
  <c r="W82" i="11" s="1"/>
  <c r="W81" i="12" s="1"/>
  <c r="J81" i="11"/>
  <c r="X81" i="11" s="1"/>
  <c r="X80" i="12" s="1"/>
  <c r="I81" i="11"/>
  <c r="W81" i="11" s="1"/>
  <c r="W80" i="12" s="1"/>
  <c r="J80" i="11"/>
  <c r="I80" i="11"/>
  <c r="J79" i="11"/>
  <c r="I79" i="11"/>
  <c r="J78" i="11"/>
  <c r="U78" i="11" s="1"/>
  <c r="I78" i="11"/>
  <c r="W78" i="11" s="1"/>
  <c r="W77" i="12" s="1"/>
  <c r="J77" i="11"/>
  <c r="X77" i="11" s="1"/>
  <c r="X76" i="12" s="1"/>
  <c r="I77" i="11"/>
  <c r="W77" i="11" s="1"/>
  <c r="W76" i="12" s="1"/>
  <c r="J76" i="11"/>
  <c r="I76" i="11"/>
  <c r="J75" i="11"/>
  <c r="I75" i="11"/>
  <c r="J74" i="11"/>
  <c r="I74" i="11"/>
  <c r="T74" i="11" s="1"/>
  <c r="J73" i="11"/>
  <c r="X73" i="11" s="1"/>
  <c r="X72" i="12" s="1"/>
  <c r="I73" i="11"/>
  <c r="W73" i="11" s="1"/>
  <c r="W72" i="12" s="1"/>
  <c r="J72" i="11"/>
  <c r="I72" i="11"/>
  <c r="J71" i="11"/>
  <c r="X71" i="11" s="1"/>
  <c r="X70" i="12" s="1"/>
  <c r="I71" i="11"/>
  <c r="W71" i="11" s="1"/>
  <c r="W70" i="12" s="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X62" i="11" s="1"/>
  <c r="X61" i="12" s="1"/>
  <c r="I62" i="11"/>
  <c r="W62" i="11" s="1"/>
  <c r="W61" i="12" s="1"/>
  <c r="J61" i="11"/>
  <c r="U61" i="11" s="1"/>
  <c r="I61" i="11"/>
  <c r="W61" i="11" s="1"/>
  <c r="W60" i="12" s="1"/>
  <c r="J60" i="11"/>
  <c r="I60" i="11"/>
  <c r="J59" i="11"/>
  <c r="I59" i="11"/>
  <c r="J58" i="11"/>
  <c r="I58" i="11"/>
  <c r="J57" i="11"/>
  <c r="U57" i="11" s="1"/>
  <c r="I57" i="11"/>
  <c r="W57" i="11" s="1"/>
  <c r="W56" i="12" s="1"/>
  <c r="J56" i="11"/>
  <c r="X56" i="11" s="1"/>
  <c r="X55" i="12" s="1"/>
  <c r="I56" i="11"/>
  <c r="J55" i="11"/>
  <c r="I55" i="11"/>
  <c r="J54" i="11"/>
  <c r="I54" i="11"/>
  <c r="T54" i="11" s="1"/>
  <c r="J53" i="11"/>
  <c r="X53" i="11" s="1"/>
  <c r="X52" i="12" s="1"/>
  <c r="I53" i="11"/>
  <c r="W53" i="11" s="1"/>
  <c r="W52" i="12" s="1"/>
  <c r="J52" i="11"/>
  <c r="I52" i="11"/>
  <c r="J51" i="11"/>
  <c r="I51" i="11"/>
  <c r="J50" i="11"/>
  <c r="I50" i="11"/>
  <c r="J49" i="11"/>
  <c r="I49" i="11"/>
  <c r="T49" i="11" s="1"/>
  <c r="J48" i="11"/>
  <c r="I48" i="11"/>
  <c r="J47" i="11"/>
  <c r="U47" i="11" s="1"/>
  <c r="I47" i="11"/>
  <c r="T47" i="11" s="1"/>
  <c r="J46" i="11"/>
  <c r="X46" i="11" s="1"/>
  <c r="X45" i="12" s="1"/>
  <c r="I46" i="11"/>
  <c r="W46" i="11" s="1"/>
  <c r="W45" i="12" s="1"/>
  <c r="J45" i="11"/>
  <c r="I45" i="11"/>
  <c r="J44" i="11"/>
  <c r="I44" i="11"/>
  <c r="W44" i="11" s="1"/>
  <c r="W43" i="12" s="1"/>
  <c r="J43" i="11"/>
  <c r="I43" i="11"/>
  <c r="J42" i="11"/>
  <c r="I42" i="11"/>
  <c r="J41" i="11"/>
  <c r="X41" i="11" s="1"/>
  <c r="X40" i="12" s="1"/>
  <c r="I41" i="11"/>
  <c r="J40" i="11"/>
  <c r="I40" i="11"/>
  <c r="J39" i="11"/>
  <c r="I39" i="11"/>
  <c r="J38" i="11"/>
  <c r="I38" i="11"/>
  <c r="J37" i="11"/>
  <c r="I37" i="11"/>
  <c r="J36" i="11"/>
  <c r="U36" i="11" s="1"/>
  <c r="I36" i="11"/>
  <c r="J35" i="11"/>
  <c r="I35" i="11"/>
  <c r="J34" i="11"/>
  <c r="I34" i="11"/>
  <c r="J33" i="11"/>
  <c r="I33" i="11"/>
  <c r="J32" i="11"/>
  <c r="X32" i="11" s="1"/>
  <c r="X31" i="12" s="1"/>
  <c r="I32" i="11"/>
  <c r="W32" i="11" s="1"/>
  <c r="W31" i="12" s="1"/>
  <c r="J31" i="11"/>
  <c r="X31" i="11" s="1"/>
  <c r="X30" i="12" s="1"/>
  <c r="I31" i="11"/>
  <c r="J30" i="11"/>
  <c r="I30" i="11"/>
  <c r="J29" i="11"/>
  <c r="I29" i="11"/>
  <c r="J28" i="11"/>
  <c r="I28" i="11"/>
  <c r="J27" i="11"/>
  <c r="I27" i="11"/>
  <c r="J26" i="11"/>
  <c r="U26" i="11" s="1"/>
  <c r="I26" i="11"/>
  <c r="J25" i="11"/>
  <c r="I25" i="11"/>
  <c r="J24" i="11"/>
  <c r="I24" i="11"/>
  <c r="J23" i="11"/>
  <c r="I23" i="11"/>
  <c r="J22" i="11"/>
  <c r="X22" i="11" s="1"/>
  <c r="X21" i="12" s="1"/>
  <c r="I22" i="11"/>
  <c r="W22" i="11" s="1"/>
  <c r="W21" i="12" s="1"/>
  <c r="J21" i="11"/>
  <c r="X21" i="11" s="1"/>
  <c r="X20" i="12" s="1"/>
  <c r="I21" i="11"/>
  <c r="J20" i="11"/>
  <c r="I20" i="11"/>
  <c r="J19" i="11"/>
  <c r="I19" i="11"/>
  <c r="J18" i="11"/>
  <c r="U18" i="11" s="1"/>
  <c r="I18" i="11"/>
  <c r="T18" i="11" s="1"/>
  <c r="J17" i="11"/>
  <c r="I17" i="11"/>
  <c r="J16" i="11"/>
  <c r="U16" i="11" s="1"/>
  <c r="I16" i="11"/>
  <c r="J15" i="11"/>
  <c r="I15" i="11"/>
  <c r="J14" i="11"/>
  <c r="I14" i="11"/>
  <c r="J13" i="11"/>
  <c r="U13" i="11" s="1"/>
  <c r="I13" i="11"/>
  <c r="T13" i="11" s="1"/>
  <c r="J12" i="11"/>
  <c r="X12" i="11" s="1"/>
  <c r="X11" i="12" s="1"/>
  <c r="I12" i="11"/>
  <c r="W12" i="11" s="1"/>
  <c r="W11" i="12" s="1"/>
  <c r="J11" i="11"/>
  <c r="I11" i="11"/>
  <c r="J10" i="11"/>
  <c r="I10" i="11"/>
  <c r="J9" i="11"/>
  <c r="I9" i="11"/>
  <c r="J8" i="11"/>
  <c r="X8" i="11" s="1"/>
  <c r="X7" i="12" s="1"/>
  <c r="I8" i="11"/>
  <c r="T8" i="11" s="1"/>
  <c r="J7" i="11"/>
  <c r="I7" i="11"/>
  <c r="J6" i="11"/>
  <c r="I6" i="11"/>
  <c r="J5" i="11"/>
  <c r="I5" i="11"/>
  <c r="J4" i="11"/>
  <c r="I4" i="11"/>
  <c r="J3" i="11"/>
  <c r="U3" i="11" s="1"/>
  <c r="I3" i="11"/>
  <c r="W3" i="11" s="1"/>
  <c r="W2" i="12" s="1"/>
  <c r="J3" i="7"/>
  <c r="I3" i="7"/>
  <c r="J109" i="10"/>
  <c r="I109" i="10"/>
  <c r="T109" i="10" s="1"/>
  <c r="J108" i="10"/>
  <c r="X108" i="10" s="1"/>
  <c r="I108" i="10"/>
  <c r="W108" i="10" s="1"/>
  <c r="Q107" i="12" s="1"/>
  <c r="J107" i="10"/>
  <c r="X107" i="10" s="1"/>
  <c r="R106" i="12" s="1"/>
  <c r="I107" i="10"/>
  <c r="W107" i="10" s="1"/>
  <c r="Q106" i="12" s="1"/>
  <c r="J106" i="10"/>
  <c r="X106" i="10" s="1"/>
  <c r="R105" i="12" s="1"/>
  <c r="I106" i="10"/>
  <c r="T106" i="10" s="1"/>
  <c r="J105" i="10"/>
  <c r="X105" i="10" s="1"/>
  <c r="R104" i="12" s="1"/>
  <c r="I105" i="10"/>
  <c r="J104" i="10"/>
  <c r="I104" i="10"/>
  <c r="J103" i="10"/>
  <c r="I103" i="10"/>
  <c r="W103" i="10" s="1"/>
  <c r="Q102" i="12" s="1"/>
  <c r="J102" i="10"/>
  <c r="I102" i="10"/>
  <c r="J101" i="10"/>
  <c r="I101" i="10"/>
  <c r="J100" i="10"/>
  <c r="I100" i="10"/>
  <c r="J99" i="10"/>
  <c r="I99" i="10"/>
  <c r="J98" i="10"/>
  <c r="I98" i="10"/>
  <c r="J97" i="10"/>
  <c r="X97" i="10" s="1"/>
  <c r="R96" i="12" s="1"/>
  <c r="I97" i="10"/>
  <c r="W97" i="10" s="1"/>
  <c r="Q96" i="12" s="1"/>
  <c r="J96" i="10"/>
  <c r="U96" i="10" s="1"/>
  <c r="I96" i="10"/>
  <c r="T96" i="10" s="1"/>
  <c r="J95" i="10"/>
  <c r="X95" i="10" s="1"/>
  <c r="R94" i="12" s="1"/>
  <c r="I95" i="10"/>
  <c r="J94" i="10"/>
  <c r="I94" i="10"/>
  <c r="J93" i="10"/>
  <c r="I93" i="10"/>
  <c r="J92" i="10"/>
  <c r="I92" i="10"/>
  <c r="J91" i="10"/>
  <c r="U91" i="10" s="1"/>
  <c r="I91" i="10"/>
  <c r="J90" i="10"/>
  <c r="I90" i="10"/>
  <c r="J89" i="10"/>
  <c r="I89" i="10"/>
  <c r="J88" i="10"/>
  <c r="I88" i="10"/>
  <c r="J87" i="10"/>
  <c r="U87" i="10" s="1"/>
  <c r="I87" i="10"/>
  <c r="W87" i="10" s="1"/>
  <c r="Q86" i="12" s="1"/>
  <c r="J86" i="10"/>
  <c r="I86" i="10"/>
  <c r="J85" i="10"/>
  <c r="X85" i="10" s="1"/>
  <c r="R84" i="12" s="1"/>
  <c r="I85" i="10"/>
  <c r="J84" i="10"/>
  <c r="I84" i="10"/>
  <c r="J83" i="10"/>
  <c r="U83" i="10" s="1"/>
  <c r="I83" i="10"/>
  <c r="J82" i="10"/>
  <c r="I82" i="10"/>
  <c r="J81" i="10"/>
  <c r="I81" i="10"/>
  <c r="T81" i="10" s="1"/>
  <c r="J80" i="10"/>
  <c r="I80" i="10"/>
  <c r="J79" i="10"/>
  <c r="I79" i="10"/>
  <c r="J78" i="10"/>
  <c r="I78" i="10"/>
  <c r="J77" i="10"/>
  <c r="U77" i="10" s="1"/>
  <c r="I77" i="10"/>
  <c r="T77" i="10" s="1"/>
  <c r="J76" i="10"/>
  <c r="X76" i="10" s="1"/>
  <c r="R75" i="12" s="1"/>
  <c r="I76" i="10"/>
  <c r="W76" i="10" s="1"/>
  <c r="Q75" i="12" s="1"/>
  <c r="J75" i="10"/>
  <c r="I75" i="10"/>
  <c r="J74" i="10"/>
  <c r="I74" i="10"/>
  <c r="W74" i="10" s="1"/>
  <c r="J73" i="10"/>
  <c r="U73" i="10" s="1"/>
  <c r="I73" i="10"/>
  <c r="W73" i="10" s="1"/>
  <c r="J72" i="10"/>
  <c r="I72" i="10"/>
  <c r="J71" i="10"/>
  <c r="U71" i="10" s="1"/>
  <c r="I71" i="10"/>
  <c r="W71" i="10" s="1"/>
  <c r="Q70" i="12" s="1"/>
  <c r="J70" i="10"/>
  <c r="I70" i="10"/>
  <c r="J69" i="10"/>
  <c r="I69" i="10"/>
  <c r="J68" i="10"/>
  <c r="U68" i="10" s="1"/>
  <c r="I68" i="10"/>
  <c r="J67" i="10"/>
  <c r="I67" i="10"/>
  <c r="W67" i="10" s="1"/>
  <c r="Q66" i="12" s="1"/>
  <c r="J66" i="10"/>
  <c r="U66" i="10" s="1"/>
  <c r="I66" i="10"/>
  <c r="W66" i="10" s="1"/>
  <c r="Q65" i="12" s="1"/>
  <c r="J65" i="10"/>
  <c r="X65" i="10" s="1"/>
  <c r="R64" i="12" s="1"/>
  <c r="I65" i="10"/>
  <c r="J64" i="10"/>
  <c r="I64" i="10"/>
  <c r="J63" i="10"/>
  <c r="I63" i="10"/>
  <c r="J62" i="10"/>
  <c r="I62" i="10"/>
  <c r="J61" i="10"/>
  <c r="I61" i="10"/>
  <c r="J60" i="10"/>
  <c r="I60" i="10"/>
  <c r="J59" i="10"/>
  <c r="I59" i="10"/>
  <c r="J58" i="10"/>
  <c r="U58" i="10" s="1"/>
  <c r="I58" i="10"/>
  <c r="W58" i="10" s="1"/>
  <c r="Q57" i="12" s="1"/>
  <c r="J57" i="10"/>
  <c r="X57" i="10" s="1"/>
  <c r="R56" i="12" s="1"/>
  <c r="I57" i="10"/>
  <c r="W57" i="10" s="1"/>
  <c r="Q56" i="12" s="1"/>
  <c r="J56" i="10"/>
  <c r="X56" i="10" s="1"/>
  <c r="R55" i="12" s="1"/>
  <c r="I56" i="10"/>
  <c r="T56" i="10" s="1"/>
  <c r="J55" i="10"/>
  <c r="X55" i="10" s="1"/>
  <c r="R54" i="12" s="1"/>
  <c r="I55" i="10"/>
  <c r="J54" i="10"/>
  <c r="I54" i="10"/>
  <c r="J53" i="10"/>
  <c r="I53" i="10"/>
  <c r="W53" i="10" s="1"/>
  <c r="Q52" i="12" s="1"/>
  <c r="J52" i="10"/>
  <c r="I52" i="10"/>
  <c r="J51" i="10"/>
  <c r="I51" i="10"/>
  <c r="J50" i="10"/>
  <c r="I50" i="10"/>
  <c r="J49" i="10"/>
  <c r="I49" i="10"/>
  <c r="J48" i="10"/>
  <c r="X48" i="10" s="1"/>
  <c r="R47" i="12" s="1"/>
  <c r="I48" i="10"/>
  <c r="W48" i="10" s="1"/>
  <c r="Q47" i="12" s="1"/>
  <c r="J47" i="10"/>
  <c r="X47" i="10" s="1"/>
  <c r="R46" i="12" s="1"/>
  <c r="I47" i="10"/>
  <c r="T47" i="10" s="1"/>
  <c r="J46" i="10"/>
  <c r="U46" i="10" s="1"/>
  <c r="I46" i="10"/>
  <c r="T46" i="10" s="1"/>
  <c r="J45" i="10"/>
  <c r="X45" i="10" s="1"/>
  <c r="R44" i="12" s="1"/>
  <c r="I45" i="10"/>
  <c r="J44" i="10"/>
  <c r="I44" i="10"/>
  <c r="J43" i="10"/>
  <c r="I43" i="10"/>
  <c r="J42" i="10"/>
  <c r="I42" i="10"/>
  <c r="J41" i="10"/>
  <c r="I41" i="10"/>
  <c r="T41" i="10" s="1"/>
  <c r="J40" i="10"/>
  <c r="X40" i="10" s="1"/>
  <c r="R39" i="12" s="1"/>
  <c r="I40" i="10"/>
  <c r="W40" i="10" s="1"/>
  <c r="Q39" i="12" s="1"/>
  <c r="J39" i="10"/>
  <c r="I39" i="10"/>
  <c r="J38" i="10"/>
  <c r="I38" i="10"/>
  <c r="J37" i="10"/>
  <c r="I37" i="10"/>
  <c r="J36" i="10"/>
  <c r="U36" i="10" s="1"/>
  <c r="I36" i="10"/>
  <c r="W36" i="10" s="1"/>
  <c r="Q35" i="12" s="1"/>
  <c r="J35" i="10"/>
  <c r="X35" i="10" s="1"/>
  <c r="R34" i="12" s="1"/>
  <c r="I35" i="10"/>
  <c r="J34" i="10"/>
  <c r="I34" i="10"/>
  <c r="W34" i="10" s="1"/>
  <c r="J33" i="10"/>
  <c r="U33" i="10" s="1"/>
  <c r="I33" i="10"/>
  <c r="W33" i="10" s="1"/>
  <c r="Q32" i="12" s="1"/>
  <c r="J32" i="10"/>
  <c r="I32" i="10"/>
  <c r="J31" i="10"/>
  <c r="I31" i="10"/>
  <c r="J30" i="10"/>
  <c r="I30" i="10"/>
  <c r="J29" i="10"/>
  <c r="I29" i="10"/>
  <c r="J28" i="10"/>
  <c r="U28" i="10" s="1"/>
  <c r="I28" i="10"/>
  <c r="J27" i="10"/>
  <c r="I27" i="10"/>
  <c r="W27" i="10" s="1"/>
  <c r="Q26" i="12" s="1"/>
  <c r="J26" i="10"/>
  <c r="X26" i="10" s="1"/>
  <c r="R25" i="12" s="1"/>
  <c r="I26" i="10"/>
  <c r="W26" i="10" s="1"/>
  <c r="Q25" i="12" s="1"/>
  <c r="J25" i="10"/>
  <c r="X25" i="10" s="1"/>
  <c r="R24" i="12" s="1"/>
  <c r="I25" i="10"/>
  <c r="J24" i="10"/>
  <c r="I24" i="10"/>
  <c r="W24" i="10" s="1"/>
  <c r="Q23" i="12" s="1"/>
  <c r="J23" i="10"/>
  <c r="I23" i="10"/>
  <c r="W23" i="10" s="1"/>
  <c r="Q22" i="12" s="1"/>
  <c r="J22" i="10"/>
  <c r="I22" i="10"/>
  <c r="J21" i="10"/>
  <c r="U21" i="10" s="1"/>
  <c r="I21" i="10"/>
  <c r="W21" i="10" s="1"/>
  <c r="Q20" i="12" s="1"/>
  <c r="J20" i="10"/>
  <c r="I20" i="10"/>
  <c r="J19" i="10"/>
  <c r="I19" i="10"/>
  <c r="T19" i="10" s="1"/>
  <c r="J18" i="10"/>
  <c r="X18" i="10" s="1"/>
  <c r="I18" i="10"/>
  <c r="W18" i="10" s="1"/>
  <c r="J17" i="10"/>
  <c r="I17" i="10"/>
  <c r="J16" i="10"/>
  <c r="X16" i="10" s="1"/>
  <c r="R15" i="12" s="1"/>
  <c r="I16" i="10"/>
  <c r="T16" i="10" s="1"/>
  <c r="J15" i="10"/>
  <c r="X15" i="10" s="1"/>
  <c r="R14" i="12" s="1"/>
  <c r="I15" i="10"/>
  <c r="J14" i="10"/>
  <c r="I14" i="10"/>
  <c r="J13" i="10"/>
  <c r="I13" i="10"/>
  <c r="J12" i="10"/>
  <c r="I12" i="10"/>
  <c r="J11" i="10"/>
  <c r="I11" i="10"/>
  <c r="J10" i="10"/>
  <c r="X10" i="10" s="1"/>
  <c r="R9" i="12" s="1"/>
  <c r="I10" i="10"/>
  <c r="J9" i="10"/>
  <c r="I9" i="10"/>
  <c r="J8" i="10"/>
  <c r="I8" i="10"/>
  <c r="J7" i="10"/>
  <c r="I7" i="10"/>
  <c r="T7" i="10" s="1"/>
  <c r="J6" i="10"/>
  <c r="I6" i="10"/>
  <c r="J5" i="10"/>
  <c r="X5" i="10" s="1"/>
  <c r="R4" i="12" s="1"/>
  <c r="I5" i="10"/>
  <c r="J4" i="10"/>
  <c r="I4" i="10"/>
  <c r="J3" i="10"/>
  <c r="U3" i="10" s="1"/>
  <c r="I3" i="10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N94" i="12" s="1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N86" i="12" s="1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N78" i="12" s="1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N46" i="12" s="1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N38" i="12" s="1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N14" i="12" s="1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N6" i="12" s="1"/>
  <c r="J6" i="3"/>
  <c r="I6" i="3"/>
  <c r="J5" i="3"/>
  <c r="I5" i="3"/>
  <c r="J4" i="3"/>
  <c r="I4" i="3"/>
  <c r="J3" i="3"/>
  <c r="I3" i="3"/>
  <c r="J109" i="9"/>
  <c r="I109" i="9"/>
  <c r="J108" i="9"/>
  <c r="I108" i="9"/>
  <c r="J107" i="9"/>
  <c r="I107" i="9"/>
  <c r="J106" i="9"/>
  <c r="I106" i="9"/>
  <c r="J105" i="9"/>
  <c r="I105" i="9"/>
  <c r="J104" i="9"/>
  <c r="I104" i="9"/>
  <c r="W104" i="9" s="1"/>
  <c r="K103" i="12" s="1"/>
  <c r="J103" i="9"/>
  <c r="X103" i="9" s="1"/>
  <c r="L102" i="12" s="1"/>
  <c r="I103" i="9"/>
  <c r="W103" i="9" s="1"/>
  <c r="K102" i="12" s="1"/>
  <c r="J102" i="9"/>
  <c r="X102" i="9" s="1"/>
  <c r="L101" i="12" s="1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U95" i="9" s="1"/>
  <c r="I95" i="9"/>
  <c r="J94" i="9"/>
  <c r="I94" i="9"/>
  <c r="W94" i="9" s="1"/>
  <c r="K93" i="12" s="1"/>
  <c r="J93" i="9"/>
  <c r="X93" i="9" s="1"/>
  <c r="L92" i="12" s="1"/>
  <c r="I93" i="9"/>
  <c r="W93" i="9" s="1"/>
  <c r="K92" i="12" s="1"/>
  <c r="J92" i="9"/>
  <c r="X92" i="9" s="1"/>
  <c r="L91" i="12" s="1"/>
  <c r="I92" i="9"/>
  <c r="W92" i="9" s="1"/>
  <c r="K91" i="12" s="1"/>
  <c r="J91" i="9"/>
  <c r="I91" i="9"/>
  <c r="J90" i="9"/>
  <c r="I90" i="9"/>
  <c r="J89" i="9"/>
  <c r="I89" i="9"/>
  <c r="J88" i="9"/>
  <c r="I88" i="9"/>
  <c r="J87" i="9"/>
  <c r="X87" i="9" s="1"/>
  <c r="L86" i="12" s="1"/>
  <c r="I87" i="9"/>
  <c r="W87" i="9" s="1"/>
  <c r="K86" i="12" s="1"/>
  <c r="J86" i="9"/>
  <c r="I86" i="9"/>
  <c r="J85" i="9"/>
  <c r="U85" i="9" s="1"/>
  <c r="I85" i="9"/>
  <c r="J84" i="9"/>
  <c r="I84" i="9"/>
  <c r="W84" i="9" s="1"/>
  <c r="K83" i="12" s="1"/>
  <c r="J83" i="9"/>
  <c r="X83" i="9" s="1"/>
  <c r="L82" i="12" s="1"/>
  <c r="I83" i="9"/>
  <c r="W83" i="9" s="1"/>
  <c r="K82" i="12" s="1"/>
  <c r="J82" i="9"/>
  <c r="X82" i="9" s="1"/>
  <c r="L81" i="12" s="1"/>
  <c r="I82" i="9"/>
  <c r="W82" i="9" s="1"/>
  <c r="K81" i="12" s="1"/>
  <c r="J81" i="9"/>
  <c r="I81" i="9"/>
  <c r="J80" i="9"/>
  <c r="I80" i="9"/>
  <c r="J79" i="9"/>
  <c r="I79" i="9"/>
  <c r="J78" i="9"/>
  <c r="I78" i="9"/>
  <c r="W78" i="9" s="1"/>
  <c r="K77" i="12" s="1"/>
  <c r="J77" i="9"/>
  <c r="X77" i="9" s="1"/>
  <c r="L76" i="12" s="1"/>
  <c r="I77" i="9"/>
  <c r="W77" i="9" s="1"/>
  <c r="K76" i="12" s="1"/>
  <c r="J76" i="9"/>
  <c r="I76" i="9"/>
  <c r="J75" i="9"/>
  <c r="U75" i="9" s="1"/>
  <c r="I75" i="9"/>
  <c r="J74" i="9"/>
  <c r="I74" i="9"/>
  <c r="W74" i="9" s="1"/>
  <c r="K73" i="12" s="1"/>
  <c r="J73" i="9"/>
  <c r="I73" i="9"/>
  <c r="J72" i="9"/>
  <c r="I72" i="9"/>
  <c r="J71" i="9"/>
  <c r="I71" i="9"/>
  <c r="J70" i="9"/>
  <c r="I70" i="9"/>
  <c r="J69" i="9"/>
  <c r="I69" i="9"/>
  <c r="J68" i="9"/>
  <c r="I68" i="9"/>
  <c r="W68" i="9" s="1"/>
  <c r="K67" i="12" s="1"/>
  <c r="J67" i="9"/>
  <c r="I67" i="9"/>
  <c r="W67" i="9" s="1"/>
  <c r="K66" i="12" s="1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T58" i="9" s="1"/>
  <c r="J57" i="9"/>
  <c r="X57" i="9" s="1"/>
  <c r="L56" i="12" s="1"/>
  <c r="I57" i="9"/>
  <c r="J56" i="9"/>
  <c r="I56" i="9"/>
  <c r="J55" i="9"/>
  <c r="U55" i="9" s="1"/>
  <c r="I55" i="9"/>
  <c r="J54" i="9"/>
  <c r="I54" i="9"/>
  <c r="J53" i="9"/>
  <c r="I53" i="9"/>
  <c r="J52" i="9"/>
  <c r="X52" i="9" s="1"/>
  <c r="L51" i="12" s="1"/>
  <c r="I52" i="9"/>
  <c r="J51" i="9"/>
  <c r="I51" i="9"/>
  <c r="J50" i="9"/>
  <c r="I50" i="9"/>
  <c r="J49" i="9"/>
  <c r="I49" i="9"/>
  <c r="J48" i="9"/>
  <c r="I48" i="9"/>
  <c r="W48" i="9" s="1"/>
  <c r="K47" i="12" s="1"/>
  <c r="J47" i="9"/>
  <c r="X47" i="9" s="1"/>
  <c r="L46" i="12" s="1"/>
  <c r="I47" i="9"/>
  <c r="W47" i="9" s="1"/>
  <c r="K46" i="12" s="1"/>
  <c r="J46" i="9"/>
  <c r="I46" i="9"/>
  <c r="J45" i="9"/>
  <c r="I45" i="9"/>
  <c r="J44" i="9"/>
  <c r="I44" i="9"/>
  <c r="J43" i="9"/>
  <c r="U43" i="9" s="1"/>
  <c r="I43" i="9"/>
  <c r="T43" i="9" s="1"/>
  <c r="J42" i="9"/>
  <c r="X42" i="9" s="1"/>
  <c r="L41" i="12" s="1"/>
  <c r="I42" i="9"/>
  <c r="J41" i="9"/>
  <c r="I41" i="9"/>
  <c r="J40" i="9"/>
  <c r="I40" i="9"/>
  <c r="J39" i="9"/>
  <c r="I39" i="9"/>
  <c r="J38" i="9"/>
  <c r="I38" i="9"/>
  <c r="T38" i="9" s="1"/>
  <c r="J37" i="9"/>
  <c r="X37" i="9" s="1"/>
  <c r="L36" i="12" s="1"/>
  <c r="I37" i="9"/>
  <c r="J36" i="9"/>
  <c r="I36" i="9"/>
  <c r="J35" i="9"/>
  <c r="I35" i="9"/>
  <c r="J34" i="9"/>
  <c r="I34" i="9"/>
  <c r="J33" i="9"/>
  <c r="X33" i="9" s="1"/>
  <c r="L32" i="12" s="1"/>
  <c r="I33" i="9"/>
  <c r="W33" i="9" s="1"/>
  <c r="K32" i="12" s="1"/>
  <c r="J32" i="9"/>
  <c r="X32" i="9" s="1"/>
  <c r="L31" i="12" s="1"/>
  <c r="I32" i="9"/>
  <c r="J31" i="9"/>
  <c r="I31" i="9"/>
  <c r="J30" i="9"/>
  <c r="I30" i="9"/>
  <c r="J29" i="9"/>
  <c r="I29" i="9"/>
  <c r="J28" i="9"/>
  <c r="I28" i="9"/>
  <c r="W28" i="9" s="1"/>
  <c r="K27" i="12" s="1"/>
  <c r="J27" i="9"/>
  <c r="I27" i="9"/>
  <c r="J26" i="9"/>
  <c r="I26" i="9"/>
  <c r="J25" i="9"/>
  <c r="I25" i="9"/>
  <c r="J24" i="9"/>
  <c r="I24" i="9"/>
  <c r="T24" i="9" s="1"/>
  <c r="J23" i="9"/>
  <c r="U23" i="9" s="1"/>
  <c r="I23" i="9"/>
  <c r="T23" i="9" s="1"/>
  <c r="J22" i="9"/>
  <c r="X22" i="9" s="1"/>
  <c r="L21" i="12" s="1"/>
  <c r="I22" i="9"/>
  <c r="W22" i="9" s="1"/>
  <c r="K21" i="12" s="1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W14" i="9" s="1"/>
  <c r="K13" i="12" s="1"/>
  <c r="J13" i="9"/>
  <c r="U13" i="9" s="1"/>
  <c r="I13" i="9"/>
  <c r="T13" i="9" s="1"/>
  <c r="J12" i="9"/>
  <c r="X12" i="9" s="1"/>
  <c r="L11" i="12" s="1"/>
  <c r="I12" i="9"/>
  <c r="W12" i="9" s="1"/>
  <c r="K11" i="12" s="1"/>
  <c r="J11" i="9"/>
  <c r="I11" i="9"/>
  <c r="J10" i="9"/>
  <c r="I10" i="9"/>
  <c r="J9" i="9"/>
  <c r="I9" i="9"/>
  <c r="J8" i="9"/>
  <c r="I8" i="9"/>
  <c r="J7" i="9"/>
  <c r="I7" i="9"/>
  <c r="W7" i="9" s="1"/>
  <c r="K6" i="12" s="1"/>
  <c r="J6" i="9"/>
  <c r="I6" i="9"/>
  <c r="J5" i="9"/>
  <c r="U5" i="9" s="1"/>
  <c r="I5" i="9"/>
  <c r="J4" i="9"/>
  <c r="I4" i="9"/>
  <c r="J3" i="9"/>
  <c r="U3" i="9" s="1"/>
  <c r="I3" i="9"/>
  <c r="W3" i="9" s="1"/>
  <c r="K2" i="12" s="1"/>
  <c r="J109" i="2"/>
  <c r="I108" i="12" s="1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1" i="12" s="1"/>
  <c r="I102" i="2"/>
  <c r="H101" i="12" s="1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3" i="12" s="1"/>
  <c r="I94" i="2"/>
  <c r="H93" i="12" s="1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8" i="12" s="1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3" i="12" s="1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8" i="12" s="1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1" i="12" s="1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H13" i="12" s="1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4" i="12" s="1"/>
  <c r="I5" i="2"/>
  <c r="J4" i="2"/>
  <c r="I4" i="2"/>
  <c r="J3" i="2"/>
  <c r="I3" i="2"/>
  <c r="E109" i="11"/>
  <c r="D109" i="11"/>
  <c r="W109" i="11" s="1"/>
  <c r="W108" i="12" s="1"/>
  <c r="E108" i="11"/>
  <c r="D108" i="11"/>
  <c r="E107" i="11"/>
  <c r="U107" i="11" s="1"/>
  <c r="D107" i="11"/>
  <c r="E106" i="11"/>
  <c r="D106" i="11"/>
  <c r="E105" i="11"/>
  <c r="D105" i="11"/>
  <c r="E104" i="11"/>
  <c r="D104" i="11"/>
  <c r="E103" i="11"/>
  <c r="D103" i="11"/>
  <c r="E102" i="11"/>
  <c r="D102" i="11"/>
  <c r="E101" i="11"/>
  <c r="D101" i="11"/>
  <c r="E100" i="11"/>
  <c r="D100" i="11"/>
  <c r="E99" i="11"/>
  <c r="D99" i="11"/>
  <c r="W99" i="11" s="1"/>
  <c r="W98" i="12" s="1"/>
  <c r="E98" i="11"/>
  <c r="D98" i="11"/>
  <c r="E97" i="11"/>
  <c r="U97" i="11" s="1"/>
  <c r="D97" i="11"/>
  <c r="E96" i="11"/>
  <c r="D96" i="11"/>
  <c r="E95" i="11"/>
  <c r="D95" i="11"/>
  <c r="E94" i="11"/>
  <c r="D94" i="11"/>
  <c r="E93" i="11"/>
  <c r="D93" i="11"/>
  <c r="E92" i="11"/>
  <c r="D92" i="11"/>
  <c r="E91" i="11"/>
  <c r="D91" i="11"/>
  <c r="E90" i="11"/>
  <c r="D90" i="11"/>
  <c r="E89" i="11"/>
  <c r="D89" i="11"/>
  <c r="W89" i="11" s="1"/>
  <c r="E88" i="11"/>
  <c r="D88" i="11"/>
  <c r="E87" i="11"/>
  <c r="D87" i="11"/>
  <c r="E86" i="11"/>
  <c r="D86" i="11"/>
  <c r="E85" i="11"/>
  <c r="D85" i="11"/>
  <c r="E84" i="11"/>
  <c r="D84" i="11"/>
  <c r="E83" i="11"/>
  <c r="D83" i="11"/>
  <c r="E82" i="11"/>
  <c r="D82" i="11"/>
  <c r="E81" i="11"/>
  <c r="D81" i="11"/>
  <c r="E80" i="11"/>
  <c r="D80" i="11"/>
  <c r="E79" i="11"/>
  <c r="D79" i="11"/>
  <c r="W79" i="11" s="1"/>
  <c r="W78" i="12" s="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W69" i="11" s="1"/>
  <c r="W68" i="12" s="1"/>
  <c r="E68" i="11"/>
  <c r="X68" i="11" s="1"/>
  <c r="X67" i="12" s="1"/>
  <c r="D68" i="11"/>
  <c r="W68" i="11" s="1"/>
  <c r="W67" i="12" s="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W59" i="11" s="1"/>
  <c r="W58" i="12" s="1"/>
  <c r="E58" i="11"/>
  <c r="X58" i="11" s="1"/>
  <c r="X57" i="12" s="1"/>
  <c r="D58" i="11"/>
  <c r="W58" i="11" s="1"/>
  <c r="W57" i="12" s="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W49" i="11" s="1"/>
  <c r="W48" i="12" s="1"/>
  <c r="E48" i="11"/>
  <c r="X48" i="11" s="1"/>
  <c r="X47" i="12" s="1"/>
  <c r="D48" i="11"/>
  <c r="W48" i="11" s="1"/>
  <c r="W47" i="12" s="1"/>
  <c r="E47" i="11"/>
  <c r="X47" i="11" s="1"/>
  <c r="X46" i="12" s="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W39" i="11" s="1"/>
  <c r="E38" i="11"/>
  <c r="U38" i="11" s="1"/>
  <c r="D38" i="11"/>
  <c r="T38" i="11" s="1"/>
  <c r="E37" i="11"/>
  <c r="X37" i="11" s="1"/>
  <c r="X36" i="12" s="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W29" i="11" s="1"/>
  <c r="E28" i="11"/>
  <c r="U28" i="11" s="1"/>
  <c r="D28" i="11"/>
  <c r="T28" i="11" s="1"/>
  <c r="E27" i="11"/>
  <c r="X27" i="11" s="1"/>
  <c r="X26" i="12" s="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W19" i="11" s="1"/>
  <c r="W18" i="12" s="1"/>
  <c r="E18" i="11"/>
  <c r="D18" i="11"/>
  <c r="E17" i="11"/>
  <c r="X17" i="11" s="1"/>
  <c r="X16" i="12" s="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W9" i="11" s="1"/>
  <c r="W8" i="12" s="1"/>
  <c r="E8" i="11"/>
  <c r="D8" i="11"/>
  <c r="E7" i="11"/>
  <c r="X7" i="11" s="1"/>
  <c r="X6" i="12" s="1"/>
  <c r="D7" i="11"/>
  <c r="E6" i="11"/>
  <c r="D6" i="11"/>
  <c r="E5" i="11"/>
  <c r="D5" i="11"/>
  <c r="E4" i="11"/>
  <c r="D4" i="11"/>
  <c r="E3" i="11"/>
  <c r="D3" i="11"/>
  <c r="E3" i="7"/>
  <c r="X3" i="7" s="1"/>
  <c r="U2" i="12" s="1"/>
  <c r="D3" i="7"/>
  <c r="W3" i="7" s="1"/>
  <c r="T2" i="12" s="1"/>
  <c r="E109" i="10"/>
  <c r="D109" i="10"/>
  <c r="E108" i="10"/>
  <c r="D108" i="10"/>
  <c r="T108" i="10" s="1"/>
  <c r="E107" i="10"/>
  <c r="D107" i="10"/>
  <c r="E106" i="10"/>
  <c r="D106" i="10"/>
  <c r="E105" i="10"/>
  <c r="D105" i="10"/>
  <c r="E104" i="10"/>
  <c r="X104" i="10" s="1"/>
  <c r="D104" i="10"/>
  <c r="T104" i="10" s="1"/>
  <c r="E103" i="10"/>
  <c r="X103" i="10" s="1"/>
  <c r="R102" i="12" s="1"/>
  <c r="D103" i="10"/>
  <c r="T103" i="10" s="1"/>
  <c r="E102" i="10"/>
  <c r="U102" i="10" s="1"/>
  <c r="D102" i="10"/>
  <c r="W102" i="10" s="1"/>
  <c r="Q101" i="12" s="1"/>
  <c r="E101" i="10"/>
  <c r="D101" i="10"/>
  <c r="E100" i="10"/>
  <c r="D100" i="10"/>
  <c r="E99" i="10"/>
  <c r="D99" i="10"/>
  <c r="E98" i="10"/>
  <c r="D98" i="10"/>
  <c r="T98" i="10" s="1"/>
  <c r="E97" i="10"/>
  <c r="D97" i="10"/>
  <c r="E96" i="10"/>
  <c r="D96" i="10"/>
  <c r="E95" i="10"/>
  <c r="D95" i="10"/>
  <c r="E94" i="10"/>
  <c r="X94" i="10" s="1"/>
  <c r="R93" i="12" s="1"/>
  <c r="D94" i="10"/>
  <c r="T94" i="10" s="1"/>
  <c r="E93" i="10"/>
  <c r="X93" i="10" s="1"/>
  <c r="R92" i="12" s="1"/>
  <c r="D93" i="10"/>
  <c r="T93" i="10" s="1"/>
  <c r="E92" i="10"/>
  <c r="U92" i="10" s="1"/>
  <c r="D92" i="10"/>
  <c r="W92" i="10" s="1"/>
  <c r="Q91" i="12" s="1"/>
  <c r="E91" i="10"/>
  <c r="D91" i="10"/>
  <c r="E90" i="10"/>
  <c r="D90" i="10"/>
  <c r="E89" i="10"/>
  <c r="D89" i="10"/>
  <c r="E88" i="10"/>
  <c r="D88" i="10"/>
  <c r="T88" i="10" s="1"/>
  <c r="E87" i="10"/>
  <c r="D87" i="10"/>
  <c r="E86" i="10"/>
  <c r="D86" i="10"/>
  <c r="E85" i="10"/>
  <c r="D85" i="10"/>
  <c r="E84" i="10"/>
  <c r="X84" i="10" s="1"/>
  <c r="R83" i="12" s="1"/>
  <c r="D84" i="10"/>
  <c r="T84" i="10" s="1"/>
  <c r="E83" i="10"/>
  <c r="X83" i="10" s="1"/>
  <c r="R82" i="12" s="1"/>
  <c r="D83" i="10"/>
  <c r="T83" i="10" s="1"/>
  <c r="E82" i="10"/>
  <c r="U82" i="10" s="1"/>
  <c r="D82" i="10"/>
  <c r="W82" i="10" s="1"/>
  <c r="Q81" i="12" s="1"/>
  <c r="E81" i="10"/>
  <c r="D81" i="10"/>
  <c r="E80" i="10"/>
  <c r="D80" i="10"/>
  <c r="E79" i="10"/>
  <c r="D79" i="10"/>
  <c r="E78" i="10"/>
  <c r="D78" i="10"/>
  <c r="T78" i="10" s="1"/>
  <c r="E77" i="10"/>
  <c r="D77" i="10"/>
  <c r="E76" i="10"/>
  <c r="D76" i="10"/>
  <c r="E75" i="10"/>
  <c r="D75" i="10"/>
  <c r="E74" i="10"/>
  <c r="X74" i="10" s="1"/>
  <c r="R73" i="12" s="1"/>
  <c r="D74" i="10"/>
  <c r="T74" i="10" s="1"/>
  <c r="E73" i="10"/>
  <c r="X73" i="10" s="1"/>
  <c r="D73" i="10"/>
  <c r="T73" i="10" s="1"/>
  <c r="E72" i="10"/>
  <c r="U72" i="10" s="1"/>
  <c r="D72" i="10"/>
  <c r="W72" i="10" s="1"/>
  <c r="Q71" i="12" s="1"/>
  <c r="E71" i="10"/>
  <c r="D71" i="10"/>
  <c r="E70" i="10"/>
  <c r="D70" i="10"/>
  <c r="E69" i="10"/>
  <c r="D69" i="10"/>
  <c r="E68" i="10"/>
  <c r="D68" i="10"/>
  <c r="T68" i="10" s="1"/>
  <c r="E67" i="10"/>
  <c r="D67" i="10"/>
  <c r="E66" i="10"/>
  <c r="D66" i="10"/>
  <c r="E65" i="10"/>
  <c r="D65" i="10"/>
  <c r="E64" i="10"/>
  <c r="X64" i="10" s="1"/>
  <c r="R63" i="12" s="1"/>
  <c r="D64" i="10"/>
  <c r="T64" i="10" s="1"/>
  <c r="E63" i="10"/>
  <c r="X63" i="10" s="1"/>
  <c r="R62" i="12" s="1"/>
  <c r="D63" i="10"/>
  <c r="T63" i="10" s="1"/>
  <c r="E62" i="10"/>
  <c r="U62" i="10" s="1"/>
  <c r="D62" i="10"/>
  <c r="W62" i="10" s="1"/>
  <c r="Q61" i="12" s="1"/>
  <c r="E61" i="10"/>
  <c r="D61" i="10"/>
  <c r="E60" i="10"/>
  <c r="D60" i="10"/>
  <c r="E59" i="10"/>
  <c r="D59" i="10"/>
  <c r="E58" i="10"/>
  <c r="D58" i="10"/>
  <c r="T58" i="10" s="1"/>
  <c r="E57" i="10"/>
  <c r="D57" i="10"/>
  <c r="E56" i="10"/>
  <c r="D56" i="10"/>
  <c r="E55" i="10"/>
  <c r="D55" i="10"/>
  <c r="E54" i="10"/>
  <c r="X54" i="10" s="1"/>
  <c r="R53" i="12" s="1"/>
  <c r="D54" i="10"/>
  <c r="T54" i="10" s="1"/>
  <c r="E53" i="10"/>
  <c r="X53" i="10" s="1"/>
  <c r="R52" i="12" s="1"/>
  <c r="D53" i="10"/>
  <c r="T53" i="10" s="1"/>
  <c r="E52" i="10"/>
  <c r="U52" i="10" s="1"/>
  <c r="D52" i="10"/>
  <c r="W52" i="10" s="1"/>
  <c r="Q51" i="12" s="1"/>
  <c r="E51" i="10"/>
  <c r="D51" i="10"/>
  <c r="E50" i="10"/>
  <c r="D50" i="10"/>
  <c r="E49" i="10"/>
  <c r="D49" i="10"/>
  <c r="E48" i="10"/>
  <c r="D48" i="10"/>
  <c r="T48" i="10" s="1"/>
  <c r="E47" i="10"/>
  <c r="D47" i="10"/>
  <c r="E46" i="10"/>
  <c r="D46" i="10"/>
  <c r="E45" i="10"/>
  <c r="D45" i="10"/>
  <c r="E44" i="10"/>
  <c r="X44" i="10" s="1"/>
  <c r="R43" i="12" s="1"/>
  <c r="D44" i="10"/>
  <c r="T44" i="10" s="1"/>
  <c r="E43" i="10"/>
  <c r="X43" i="10" s="1"/>
  <c r="R42" i="12" s="1"/>
  <c r="D43" i="10"/>
  <c r="T43" i="10" s="1"/>
  <c r="E42" i="10"/>
  <c r="U42" i="10" s="1"/>
  <c r="D42" i="10"/>
  <c r="W42" i="10" s="1"/>
  <c r="Q41" i="12" s="1"/>
  <c r="E41" i="10"/>
  <c r="D41" i="10"/>
  <c r="E40" i="10"/>
  <c r="D40" i="10"/>
  <c r="E39" i="10"/>
  <c r="D39" i="10"/>
  <c r="E38" i="10"/>
  <c r="D38" i="10"/>
  <c r="T38" i="10" s="1"/>
  <c r="E37" i="10"/>
  <c r="D37" i="10"/>
  <c r="E36" i="10"/>
  <c r="D36" i="10"/>
  <c r="E35" i="10"/>
  <c r="D35" i="10"/>
  <c r="E34" i="10"/>
  <c r="X34" i="10" s="1"/>
  <c r="R33" i="12" s="1"/>
  <c r="D34" i="10"/>
  <c r="T34" i="10" s="1"/>
  <c r="E33" i="10"/>
  <c r="X33" i="10" s="1"/>
  <c r="R32" i="12" s="1"/>
  <c r="D33" i="10"/>
  <c r="T33" i="10" s="1"/>
  <c r="E32" i="10"/>
  <c r="U32" i="10" s="1"/>
  <c r="D32" i="10"/>
  <c r="W32" i="10" s="1"/>
  <c r="Q31" i="12" s="1"/>
  <c r="E31" i="10"/>
  <c r="D31" i="10"/>
  <c r="E30" i="10"/>
  <c r="D30" i="10"/>
  <c r="E29" i="10"/>
  <c r="D29" i="10"/>
  <c r="E28" i="10"/>
  <c r="D28" i="10"/>
  <c r="T28" i="10" s="1"/>
  <c r="E27" i="10"/>
  <c r="D27" i="10"/>
  <c r="E26" i="10"/>
  <c r="D26" i="10"/>
  <c r="E25" i="10"/>
  <c r="D25" i="10"/>
  <c r="E24" i="10"/>
  <c r="X24" i="10" s="1"/>
  <c r="R23" i="12" s="1"/>
  <c r="D24" i="10"/>
  <c r="T24" i="10" s="1"/>
  <c r="E23" i="10"/>
  <c r="X23" i="10" s="1"/>
  <c r="R22" i="12" s="1"/>
  <c r="D23" i="10"/>
  <c r="T23" i="10" s="1"/>
  <c r="E22" i="10"/>
  <c r="U22" i="10" s="1"/>
  <c r="D22" i="10"/>
  <c r="W22" i="10" s="1"/>
  <c r="Q21" i="12" s="1"/>
  <c r="E21" i="10"/>
  <c r="D21" i="10"/>
  <c r="E20" i="10"/>
  <c r="D20" i="10"/>
  <c r="E19" i="10"/>
  <c r="D19" i="10"/>
  <c r="E18" i="10"/>
  <c r="D18" i="10"/>
  <c r="T18" i="10" s="1"/>
  <c r="E17" i="10"/>
  <c r="D17" i="10"/>
  <c r="E16" i="10"/>
  <c r="D16" i="10"/>
  <c r="E15" i="10"/>
  <c r="D15" i="10"/>
  <c r="E14" i="10"/>
  <c r="X14" i="10" s="1"/>
  <c r="R13" i="12" s="1"/>
  <c r="D14" i="10"/>
  <c r="T14" i="10" s="1"/>
  <c r="E13" i="10"/>
  <c r="X13" i="10" s="1"/>
  <c r="R12" i="12" s="1"/>
  <c r="D13" i="10"/>
  <c r="T13" i="10" s="1"/>
  <c r="E12" i="10"/>
  <c r="U12" i="10" s="1"/>
  <c r="D12" i="10"/>
  <c r="W12" i="10" s="1"/>
  <c r="Q11" i="12" s="1"/>
  <c r="E11" i="10"/>
  <c r="D11" i="10"/>
  <c r="E10" i="10"/>
  <c r="D10" i="10"/>
  <c r="E9" i="10"/>
  <c r="D9" i="10"/>
  <c r="E8" i="10"/>
  <c r="D8" i="10"/>
  <c r="T8" i="10" s="1"/>
  <c r="E7" i="10"/>
  <c r="D7" i="10"/>
  <c r="E6" i="10"/>
  <c r="D6" i="10"/>
  <c r="E5" i="10"/>
  <c r="D5" i="10"/>
  <c r="E4" i="10"/>
  <c r="X4" i="10" s="1"/>
  <c r="R3" i="12" s="1"/>
  <c r="D4" i="10"/>
  <c r="T4" i="10" s="1"/>
  <c r="E3" i="10"/>
  <c r="X3" i="10" s="1"/>
  <c r="R2" i="12" s="1"/>
  <c r="D3" i="10"/>
  <c r="T3" i="10" s="1"/>
  <c r="E109" i="3"/>
  <c r="D109" i="3"/>
  <c r="E108" i="3"/>
  <c r="D108" i="3"/>
  <c r="N107" i="12" s="1"/>
  <c r="E107" i="3"/>
  <c r="D107" i="3"/>
  <c r="E106" i="3"/>
  <c r="D106" i="3"/>
  <c r="E105" i="3"/>
  <c r="D105" i="3"/>
  <c r="N104" i="12" s="1"/>
  <c r="E104" i="3"/>
  <c r="D104" i="3"/>
  <c r="E103" i="3"/>
  <c r="O102" i="12" s="1"/>
  <c r="D103" i="3"/>
  <c r="E102" i="3"/>
  <c r="O101" i="12" s="1"/>
  <c r="D102" i="3"/>
  <c r="N101" i="12" s="1"/>
  <c r="E101" i="3"/>
  <c r="D101" i="3"/>
  <c r="E100" i="3"/>
  <c r="D100" i="3"/>
  <c r="E99" i="3"/>
  <c r="D99" i="3"/>
  <c r="E98" i="3"/>
  <c r="D98" i="3"/>
  <c r="N97" i="12" s="1"/>
  <c r="E97" i="3"/>
  <c r="D97" i="3"/>
  <c r="E96" i="3"/>
  <c r="D96" i="3"/>
  <c r="E95" i="3"/>
  <c r="D95" i="3"/>
  <c r="E94" i="3"/>
  <c r="D94" i="3"/>
  <c r="E93" i="3"/>
  <c r="O92" i="12" s="1"/>
  <c r="D93" i="3"/>
  <c r="E92" i="3"/>
  <c r="O91" i="12" s="1"/>
  <c r="D92" i="3"/>
  <c r="N91" i="12" s="1"/>
  <c r="E91" i="3"/>
  <c r="D91" i="3"/>
  <c r="E90" i="3"/>
  <c r="D90" i="3"/>
  <c r="E89" i="3"/>
  <c r="D89" i="3"/>
  <c r="E88" i="3"/>
  <c r="D88" i="3"/>
  <c r="N87" i="12" s="1"/>
  <c r="E87" i="3"/>
  <c r="D87" i="3"/>
  <c r="E86" i="3"/>
  <c r="D86" i="3"/>
  <c r="E85" i="3"/>
  <c r="D85" i="3"/>
  <c r="E84" i="3"/>
  <c r="D84" i="3"/>
  <c r="E83" i="3"/>
  <c r="O82" i="12" s="1"/>
  <c r="D83" i="3"/>
  <c r="E82" i="3"/>
  <c r="O81" i="12" s="1"/>
  <c r="D82" i="3"/>
  <c r="N81" i="12" s="1"/>
  <c r="E81" i="3"/>
  <c r="D81" i="3"/>
  <c r="E80" i="3"/>
  <c r="D80" i="3"/>
  <c r="E79" i="3"/>
  <c r="D79" i="3"/>
  <c r="E78" i="3"/>
  <c r="D78" i="3"/>
  <c r="N77" i="12" s="1"/>
  <c r="E77" i="3"/>
  <c r="D77" i="3"/>
  <c r="E76" i="3"/>
  <c r="D76" i="3"/>
  <c r="E75" i="3"/>
  <c r="D75" i="3"/>
  <c r="E74" i="3"/>
  <c r="D74" i="3"/>
  <c r="E73" i="3"/>
  <c r="O72" i="12" s="1"/>
  <c r="D73" i="3"/>
  <c r="E72" i="3"/>
  <c r="D72" i="3"/>
  <c r="N71" i="12" s="1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N64" i="12" s="1"/>
  <c r="E64" i="3"/>
  <c r="D64" i="3"/>
  <c r="E63" i="3"/>
  <c r="O62" i="12" s="1"/>
  <c r="D63" i="3"/>
  <c r="E62" i="3"/>
  <c r="O61" i="12" s="1"/>
  <c r="D62" i="3"/>
  <c r="N61" i="12" s="1"/>
  <c r="E61" i="3"/>
  <c r="D61" i="3"/>
  <c r="E60" i="3"/>
  <c r="D60" i="3"/>
  <c r="E59" i="3"/>
  <c r="D59" i="3"/>
  <c r="E58" i="3"/>
  <c r="D58" i="3"/>
  <c r="N57" i="12" s="1"/>
  <c r="E57" i="3"/>
  <c r="D57" i="3"/>
  <c r="N56" i="12" s="1"/>
  <c r="E56" i="3"/>
  <c r="D56" i="3"/>
  <c r="E55" i="3"/>
  <c r="D55" i="3"/>
  <c r="E54" i="3"/>
  <c r="D54" i="3"/>
  <c r="E53" i="3"/>
  <c r="D53" i="3"/>
  <c r="N52" i="12" s="1"/>
  <c r="E52" i="3"/>
  <c r="O51" i="12" s="1"/>
  <c r="D52" i="3"/>
  <c r="N51" i="12" s="1"/>
  <c r="E51" i="3"/>
  <c r="D51" i="3"/>
  <c r="E50" i="3"/>
  <c r="D50" i="3"/>
  <c r="E49" i="3"/>
  <c r="D49" i="3"/>
  <c r="N48" i="12" s="1"/>
  <c r="E48" i="3"/>
  <c r="D48" i="3"/>
  <c r="N47" i="12" s="1"/>
  <c r="E47" i="3"/>
  <c r="D47" i="3"/>
  <c r="E46" i="3"/>
  <c r="D46" i="3"/>
  <c r="E45" i="3"/>
  <c r="D45" i="3"/>
  <c r="E44" i="3"/>
  <c r="D44" i="3"/>
  <c r="E43" i="3"/>
  <c r="O42" i="12" s="1"/>
  <c r="D43" i="3"/>
  <c r="E42" i="3"/>
  <c r="O41" i="12" s="1"/>
  <c r="D42" i="3"/>
  <c r="N41" i="12" s="1"/>
  <c r="E41" i="3"/>
  <c r="D41" i="3"/>
  <c r="E40" i="3"/>
  <c r="D40" i="3"/>
  <c r="E39" i="3"/>
  <c r="D39" i="3"/>
  <c r="E38" i="3"/>
  <c r="D38" i="3"/>
  <c r="N37" i="12" s="1"/>
  <c r="E37" i="3"/>
  <c r="D37" i="3"/>
  <c r="E36" i="3"/>
  <c r="D36" i="3"/>
  <c r="E35" i="3"/>
  <c r="D35" i="3"/>
  <c r="E34" i="3"/>
  <c r="D34" i="3"/>
  <c r="E33" i="3"/>
  <c r="O32" i="12" s="1"/>
  <c r="D33" i="3"/>
  <c r="N32" i="12" s="1"/>
  <c r="E32" i="3"/>
  <c r="O31" i="12" s="1"/>
  <c r="D32" i="3"/>
  <c r="N31" i="12" s="1"/>
  <c r="E31" i="3"/>
  <c r="D31" i="3"/>
  <c r="E30" i="3"/>
  <c r="D30" i="3"/>
  <c r="E29" i="3"/>
  <c r="D29" i="3"/>
  <c r="E28" i="3"/>
  <c r="D28" i="3"/>
  <c r="N27" i="12" s="1"/>
  <c r="E27" i="3"/>
  <c r="D27" i="3"/>
  <c r="E26" i="3"/>
  <c r="D26" i="3"/>
  <c r="E25" i="3"/>
  <c r="D25" i="3"/>
  <c r="N24" i="12" s="1"/>
  <c r="E24" i="3"/>
  <c r="D24" i="3"/>
  <c r="E23" i="3"/>
  <c r="O22" i="12" s="1"/>
  <c r="D23" i="3"/>
  <c r="E22" i="3"/>
  <c r="O21" i="12" s="1"/>
  <c r="D22" i="3"/>
  <c r="N21" i="12" s="1"/>
  <c r="E21" i="3"/>
  <c r="D21" i="3"/>
  <c r="E20" i="3"/>
  <c r="D20" i="3"/>
  <c r="E19" i="3"/>
  <c r="D19" i="3"/>
  <c r="E18" i="3"/>
  <c r="D18" i="3"/>
  <c r="N17" i="12" s="1"/>
  <c r="E17" i="3"/>
  <c r="D17" i="3"/>
  <c r="N16" i="12" s="1"/>
  <c r="E16" i="3"/>
  <c r="D16" i="3"/>
  <c r="E15" i="3"/>
  <c r="D15" i="3"/>
  <c r="E14" i="3"/>
  <c r="D14" i="3"/>
  <c r="E13" i="3"/>
  <c r="O12" i="12" s="1"/>
  <c r="D13" i="3"/>
  <c r="E12" i="3"/>
  <c r="D12" i="3"/>
  <c r="N11" i="12" s="1"/>
  <c r="E11" i="3"/>
  <c r="D11" i="3"/>
  <c r="E10" i="3"/>
  <c r="D10" i="3"/>
  <c r="E9" i="3"/>
  <c r="D9" i="3"/>
  <c r="N8" i="12" s="1"/>
  <c r="E8" i="3"/>
  <c r="D8" i="3"/>
  <c r="N7" i="12" s="1"/>
  <c r="E7" i="3"/>
  <c r="D7" i="3"/>
  <c r="E6" i="3"/>
  <c r="D6" i="3"/>
  <c r="E5" i="3"/>
  <c r="D5" i="3"/>
  <c r="E4" i="3"/>
  <c r="D4" i="3"/>
  <c r="E3" i="3"/>
  <c r="X3" i="3" s="1"/>
  <c r="O2" i="12" s="1"/>
  <c r="D3" i="3"/>
  <c r="T3" i="3" s="1"/>
  <c r="E109" i="9"/>
  <c r="D109" i="9"/>
  <c r="E108" i="9"/>
  <c r="D108" i="9"/>
  <c r="E107" i="9"/>
  <c r="U107" i="9" s="1"/>
  <c r="D107" i="9"/>
  <c r="E106" i="9"/>
  <c r="X106" i="9" s="1"/>
  <c r="L105" i="12" s="1"/>
  <c r="D106" i="9"/>
  <c r="W106" i="9" s="1"/>
  <c r="K105" i="12" s="1"/>
  <c r="E105" i="9"/>
  <c r="X105" i="9" s="1"/>
  <c r="L104" i="12" s="1"/>
  <c r="D105" i="9"/>
  <c r="E104" i="9"/>
  <c r="D104" i="9"/>
  <c r="E103" i="9"/>
  <c r="D103" i="9"/>
  <c r="E102" i="9"/>
  <c r="U102" i="9" s="1"/>
  <c r="D102" i="9"/>
  <c r="T102" i="9" s="1"/>
  <c r="E101" i="9"/>
  <c r="D101" i="9"/>
  <c r="E100" i="9"/>
  <c r="D100" i="9"/>
  <c r="E99" i="9"/>
  <c r="D99" i="9"/>
  <c r="E98" i="9"/>
  <c r="D98" i="9"/>
  <c r="E97" i="9"/>
  <c r="U97" i="9" s="1"/>
  <c r="D97" i="9"/>
  <c r="E96" i="9"/>
  <c r="U96" i="9" s="1"/>
  <c r="D96" i="9"/>
  <c r="T96" i="9" s="1"/>
  <c r="E95" i="9"/>
  <c r="X95" i="9" s="1"/>
  <c r="L94" i="12" s="1"/>
  <c r="D95" i="9"/>
  <c r="E94" i="9"/>
  <c r="D94" i="9"/>
  <c r="E93" i="9"/>
  <c r="D93" i="9"/>
  <c r="E92" i="9"/>
  <c r="U92" i="9" s="1"/>
  <c r="D92" i="9"/>
  <c r="T92" i="9" s="1"/>
  <c r="E91" i="9"/>
  <c r="D91" i="9"/>
  <c r="E90" i="9"/>
  <c r="D90" i="9"/>
  <c r="E89" i="9"/>
  <c r="D89" i="9"/>
  <c r="E88" i="9"/>
  <c r="D88" i="9"/>
  <c r="E87" i="9"/>
  <c r="U87" i="9" s="1"/>
  <c r="D87" i="9"/>
  <c r="E86" i="9"/>
  <c r="X86" i="9" s="1"/>
  <c r="D86" i="9"/>
  <c r="W86" i="9" s="1"/>
  <c r="K85" i="12" s="1"/>
  <c r="E85" i="9"/>
  <c r="X85" i="9" s="1"/>
  <c r="L84" i="12" s="1"/>
  <c r="D85" i="9"/>
  <c r="E84" i="9"/>
  <c r="D84" i="9"/>
  <c r="E83" i="9"/>
  <c r="D83" i="9"/>
  <c r="E82" i="9"/>
  <c r="U82" i="9" s="1"/>
  <c r="D82" i="9"/>
  <c r="T82" i="9" s="1"/>
  <c r="E81" i="9"/>
  <c r="D81" i="9"/>
  <c r="E80" i="9"/>
  <c r="D80" i="9"/>
  <c r="E79" i="9"/>
  <c r="D79" i="9"/>
  <c r="E78" i="9"/>
  <c r="D78" i="9"/>
  <c r="E77" i="9"/>
  <c r="U77" i="9" s="1"/>
  <c r="D77" i="9"/>
  <c r="E76" i="9"/>
  <c r="U76" i="9" s="1"/>
  <c r="D76" i="9"/>
  <c r="T76" i="9" s="1"/>
  <c r="E75" i="9"/>
  <c r="X75" i="9" s="1"/>
  <c r="L74" i="12" s="1"/>
  <c r="D75" i="9"/>
  <c r="E74" i="9"/>
  <c r="D74" i="9"/>
  <c r="E73" i="9"/>
  <c r="D73" i="9"/>
  <c r="E72" i="9"/>
  <c r="U72" i="9" s="1"/>
  <c r="D72" i="9"/>
  <c r="T72" i="9" s="1"/>
  <c r="E71" i="9"/>
  <c r="D71" i="9"/>
  <c r="E70" i="9"/>
  <c r="D70" i="9"/>
  <c r="E69" i="9"/>
  <c r="D69" i="9"/>
  <c r="E68" i="9"/>
  <c r="D68" i="9"/>
  <c r="E67" i="9"/>
  <c r="U67" i="9" s="1"/>
  <c r="D67" i="9"/>
  <c r="E66" i="9"/>
  <c r="U66" i="9" s="1"/>
  <c r="D66" i="9"/>
  <c r="W66" i="9" s="1"/>
  <c r="K65" i="12" s="1"/>
  <c r="E65" i="9"/>
  <c r="X65" i="9" s="1"/>
  <c r="L64" i="12" s="1"/>
  <c r="D65" i="9"/>
  <c r="E64" i="9"/>
  <c r="D64" i="9"/>
  <c r="E63" i="9"/>
  <c r="D63" i="9"/>
  <c r="E62" i="9"/>
  <c r="U62" i="9" s="1"/>
  <c r="D62" i="9"/>
  <c r="T62" i="9" s="1"/>
  <c r="E61" i="9"/>
  <c r="D61" i="9"/>
  <c r="E60" i="9"/>
  <c r="D60" i="9"/>
  <c r="E59" i="9"/>
  <c r="D59" i="9"/>
  <c r="E58" i="9"/>
  <c r="D58" i="9"/>
  <c r="E57" i="9"/>
  <c r="U57" i="9" s="1"/>
  <c r="D57" i="9"/>
  <c r="E56" i="9"/>
  <c r="X56" i="9" s="1"/>
  <c r="L55" i="12" s="1"/>
  <c r="D56" i="9"/>
  <c r="W56" i="9" s="1"/>
  <c r="K55" i="12" s="1"/>
  <c r="E55" i="9"/>
  <c r="X55" i="9" s="1"/>
  <c r="L54" i="12" s="1"/>
  <c r="D55" i="9"/>
  <c r="E54" i="9"/>
  <c r="D54" i="9"/>
  <c r="E53" i="9"/>
  <c r="D53" i="9"/>
  <c r="E52" i="9"/>
  <c r="U52" i="9" s="1"/>
  <c r="D52" i="9"/>
  <c r="T52" i="9" s="1"/>
  <c r="E51" i="9"/>
  <c r="D51" i="9"/>
  <c r="E50" i="9"/>
  <c r="D50" i="9"/>
  <c r="E49" i="9"/>
  <c r="D49" i="9"/>
  <c r="E48" i="9"/>
  <c r="D48" i="9"/>
  <c r="E47" i="9"/>
  <c r="U47" i="9" s="1"/>
  <c r="D47" i="9"/>
  <c r="E46" i="9"/>
  <c r="U46" i="9" s="1"/>
  <c r="D46" i="9"/>
  <c r="W46" i="9" s="1"/>
  <c r="E45" i="9"/>
  <c r="X45" i="9" s="1"/>
  <c r="L44" i="12" s="1"/>
  <c r="D45" i="9"/>
  <c r="E44" i="9"/>
  <c r="D44" i="9"/>
  <c r="E43" i="9"/>
  <c r="D43" i="9"/>
  <c r="E42" i="9"/>
  <c r="U42" i="9" s="1"/>
  <c r="D42" i="9"/>
  <c r="T42" i="9" s="1"/>
  <c r="E41" i="9"/>
  <c r="D41" i="9"/>
  <c r="E40" i="9"/>
  <c r="D40" i="9"/>
  <c r="E39" i="9"/>
  <c r="D39" i="9"/>
  <c r="E38" i="9"/>
  <c r="D38" i="9"/>
  <c r="E37" i="9"/>
  <c r="U37" i="9" s="1"/>
  <c r="D37" i="9"/>
  <c r="E36" i="9"/>
  <c r="U36" i="9" s="1"/>
  <c r="D36" i="9"/>
  <c r="W36" i="9" s="1"/>
  <c r="K35" i="12" s="1"/>
  <c r="E35" i="9"/>
  <c r="X35" i="9" s="1"/>
  <c r="L34" i="12" s="1"/>
  <c r="D35" i="9"/>
  <c r="E34" i="9"/>
  <c r="D34" i="9"/>
  <c r="E33" i="9"/>
  <c r="D33" i="9"/>
  <c r="E32" i="9"/>
  <c r="U32" i="9" s="1"/>
  <c r="D32" i="9"/>
  <c r="T32" i="9" s="1"/>
  <c r="E31" i="9"/>
  <c r="D31" i="9"/>
  <c r="E30" i="9"/>
  <c r="D30" i="9"/>
  <c r="E29" i="9"/>
  <c r="D29" i="9"/>
  <c r="E28" i="9"/>
  <c r="D28" i="9"/>
  <c r="E27" i="9"/>
  <c r="U27" i="9" s="1"/>
  <c r="D27" i="9"/>
  <c r="E26" i="9"/>
  <c r="U26" i="9" s="1"/>
  <c r="D26" i="9"/>
  <c r="T26" i="9" s="1"/>
  <c r="E25" i="9"/>
  <c r="X25" i="9" s="1"/>
  <c r="L24" i="12" s="1"/>
  <c r="D25" i="9"/>
  <c r="E24" i="9"/>
  <c r="D24" i="9"/>
  <c r="E23" i="9"/>
  <c r="D23" i="9"/>
  <c r="E22" i="9"/>
  <c r="U22" i="9" s="1"/>
  <c r="D22" i="9"/>
  <c r="T22" i="9" s="1"/>
  <c r="E21" i="9"/>
  <c r="D21" i="9"/>
  <c r="E20" i="9"/>
  <c r="D20" i="9"/>
  <c r="E19" i="9"/>
  <c r="D19" i="9"/>
  <c r="E18" i="9"/>
  <c r="D18" i="9"/>
  <c r="E17" i="9"/>
  <c r="U17" i="9" s="1"/>
  <c r="D17" i="9"/>
  <c r="E16" i="9"/>
  <c r="U16" i="9" s="1"/>
  <c r="D16" i="9"/>
  <c r="W16" i="9" s="1"/>
  <c r="K15" i="12" s="1"/>
  <c r="E15" i="9"/>
  <c r="X15" i="9" s="1"/>
  <c r="L14" i="12" s="1"/>
  <c r="D15" i="9"/>
  <c r="E14" i="9"/>
  <c r="D14" i="9"/>
  <c r="E13" i="9"/>
  <c r="D13" i="9"/>
  <c r="E12" i="9"/>
  <c r="U12" i="9" s="1"/>
  <c r="D12" i="9"/>
  <c r="T12" i="9" s="1"/>
  <c r="E11" i="9"/>
  <c r="D11" i="9"/>
  <c r="E10" i="9"/>
  <c r="D10" i="9"/>
  <c r="E9" i="9"/>
  <c r="D9" i="9"/>
  <c r="E8" i="9"/>
  <c r="D8" i="9"/>
  <c r="E7" i="9"/>
  <c r="U7" i="9" s="1"/>
  <c r="D7" i="9"/>
  <c r="E6" i="9"/>
  <c r="U6" i="9" s="1"/>
  <c r="D6" i="9"/>
  <c r="W6" i="9" s="1"/>
  <c r="K5" i="12" s="1"/>
  <c r="E5" i="9"/>
  <c r="X5" i="9" s="1"/>
  <c r="L4" i="12" s="1"/>
  <c r="D5" i="9"/>
  <c r="E4" i="9"/>
  <c r="D4" i="9"/>
  <c r="E3" i="9"/>
  <c r="D3" i="9"/>
  <c r="E109" i="2"/>
  <c r="D109" i="2"/>
  <c r="E108" i="2"/>
  <c r="I107" i="12" s="1"/>
  <c r="D108" i="2"/>
  <c r="E107" i="2"/>
  <c r="I106" i="12" s="1"/>
  <c r="D107" i="2"/>
  <c r="E106" i="2"/>
  <c r="D106" i="2"/>
  <c r="E105" i="2"/>
  <c r="D105" i="2"/>
  <c r="E104" i="2"/>
  <c r="I103" i="12" s="1"/>
  <c r="D104" i="2"/>
  <c r="H103" i="12" s="1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I96" i="12" s="1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I87" i="12" s="1"/>
  <c r="D88" i="2"/>
  <c r="E87" i="2"/>
  <c r="I86" i="12" s="1"/>
  <c r="D87" i="2"/>
  <c r="E86" i="2"/>
  <c r="D86" i="2"/>
  <c r="E85" i="2"/>
  <c r="D85" i="2"/>
  <c r="E84" i="2"/>
  <c r="D84" i="2"/>
  <c r="E83" i="2"/>
  <c r="D83" i="2"/>
  <c r="H82" i="12" s="1"/>
  <c r="E82" i="2"/>
  <c r="D82" i="2"/>
  <c r="E81" i="2"/>
  <c r="D81" i="2"/>
  <c r="E80" i="2"/>
  <c r="D80" i="2"/>
  <c r="E79" i="2"/>
  <c r="I78" i="12" s="1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H72" i="12" s="1"/>
  <c r="E72" i="2"/>
  <c r="D72" i="2"/>
  <c r="H71" i="12" s="1"/>
  <c r="E71" i="2"/>
  <c r="D71" i="2"/>
  <c r="E70" i="2"/>
  <c r="D70" i="2"/>
  <c r="E69" i="2"/>
  <c r="D69" i="2"/>
  <c r="E68" i="2"/>
  <c r="I67" i="12" s="1"/>
  <c r="D68" i="2"/>
  <c r="H67" i="12" s="1"/>
  <c r="E67" i="2"/>
  <c r="I66" i="12" s="1"/>
  <c r="D67" i="2"/>
  <c r="E66" i="2"/>
  <c r="D66" i="2"/>
  <c r="H65" i="12" s="1"/>
  <c r="E65" i="2"/>
  <c r="D65" i="2"/>
  <c r="E64" i="2"/>
  <c r="D64" i="2"/>
  <c r="E63" i="2"/>
  <c r="D63" i="2"/>
  <c r="H62" i="12" s="1"/>
  <c r="E62" i="2"/>
  <c r="D62" i="2"/>
  <c r="E61" i="2"/>
  <c r="D61" i="2"/>
  <c r="E60" i="2"/>
  <c r="D60" i="2"/>
  <c r="E59" i="2"/>
  <c r="D59" i="2"/>
  <c r="E58" i="2"/>
  <c r="I57" i="12" s="1"/>
  <c r="D58" i="2"/>
  <c r="H57" i="12" s="1"/>
  <c r="E57" i="2"/>
  <c r="D57" i="2"/>
  <c r="E56" i="2"/>
  <c r="D56" i="2"/>
  <c r="E55" i="2"/>
  <c r="I54" i="12" s="1"/>
  <c r="D55" i="2"/>
  <c r="E54" i="2"/>
  <c r="D54" i="2"/>
  <c r="E53" i="2"/>
  <c r="D53" i="2"/>
  <c r="H52" i="12" s="1"/>
  <c r="E52" i="2"/>
  <c r="I51" i="12" s="1"/>
  <c r="D52" i="2"/>
  <c r="H51" i="12" s="1"/>
  <c r="E51" i="2"/>
  <c r="D51" i="2"/>
  <c r="E50" i="2"/>
  <c r="D50" i="2"/>
  <c r="E49" i="2"/>
  <c r="D49" i="2"/>
  <c r="E48" i="2"/>
  <c r="I47" i="12" s="1"/>
  <c r="D48" i="2"/>
  <c r="H47" i="12" s="1"/>
  <c r="E47" i="2"/>
  <c r="D47" i="2"/>
  <c r="E46" i="2"/>
  <c r="D46" i="2"/>
  <c r="E45" i="2"/>
  <c r="D45" i="2"/>
  <c r="E44" i="2"/>
  <c r="D44" i="2"/>
  <c r="E43" i="2"/>
  <c r="D43" i="2"/>
  <c r="H42" i="12" s="1"/>
  <c r="E42" i="2"/>
  <c r="D42" i="2"/>
  <c r="E41" i="2"/>
  <c r="D41" i="2"/>
  <c r="E40" i="2"/>
  <c r="D40" i="2"/>
  <c r="E39" i="2"/>
  <c r="I38" i="12" s="1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H32" i="12" s="1"/>
  <c r="E32" i="2"/>
  <c r="D32" i="2"/>
  <c r="E31" i="2"/>
  <c r="D31" i="2"/>
  <c r="E30" i="2"/>
  <c r="D30" i="2"/>
  <c r="E29" i="2"/>
  <c r="D29" i="2"/>
  <c r="E28" i="2"/>
  <c r="I27" i="12" s="1"/>
  <c r="D28" i="2"/>
  <c r="H27" i="12" s="1"/>
  <c r="E27" i="2"/>
  <c r="I26" i="12" s="1"/>
  <c r="D27" i="2"/>
  <c r="E26" i="2"/>
  <c r="D26" i="2"/>
  <c r="E25" i="2"/>
  <c r="D25" i="2"/>
  <c r="E24" i="2"/>
  <c r="I23" i="12" s="1"/>
  <c r="D24" i="2"/>
  <c r="E23" i="2"/>
  <c r="D23" i="2"/>
  <c r="H22" i="12" s="1"/>
  <c r="E22" i="2"/>
  <c r="D22" i="2"/>
  <c r="E21" i="2"/>
  <c r="D21" i="2"/>
  <c r="E20" i="2"/>
  <c r="D20" i="2"/>
  <c r="E19" i="2"/>
  <c r="D19" i="2"/>
  <c r="E18" i="2"/>
  <c r="I17" i="12" s="1"/>
  <c r="D18" i="2"/>
  <c r="H17" i="12" s="1"/>
  <c r="E17" i="2"/>
  <c r="I16" i="12" s="1"/>
  <c r="D17" i="2"/>
  <c r="E16" i="2"/>
  <c r="I15" i="12" s="1"/>
  <c r="D16" i="2"/>
  <c r="H15" i="12" s="1"/>
  <c r="E15" i="2"/>
  <c r="I14" i="12" s="1"/>
  <c r="D15" i="2"/>
  <c r="E14" i="2"/>
  <c r="D14" i="2"/>
  <c r="E13" i="2"/>
  <c r="D13" i="2"/>
  <c r="H12" i="12" s="1"/>
  <c r="E12" i="2"/>
  <c r="I11" i="12" s="1"/>
  <c r="D12" i="2"/>
  <c r="H11" i="12" s="1"/>
  <c r="E11" i="2"/>
  <c r="D11" i="2"/>
  <c r="E10" i="2"/>
  <c r="D10" i="2"/>
  <c r="E9" i="2"/>
  <c r="D9" i="2"/>
  <c r="E8" i="2"/>
  <c r="I7" i="12" s="1"/>
  <c r="D8" i="2"/>
  <c r="H7" i="12" s="1"/>
  <c r="E7" i="2"/>
  <c r="D7" i="2"/>
  <c r="E6" i="2"/>
  <c r="D6" i="2"/>
  <c r="E5" i="2"/>
  <c r="D5" i="2"/>
  <c r="E4" i="2"/>
  <c r="D4" i="2"/>
  <c r="E3" i="2"/>
  <c r="D3" i="2"/>
  <c r="W3" i="2" s="1"/>
  <c r="H2" i="12" s="1"/>
  <c r="J4" i="8"/>
  <c r="J5" i="8"/>
  <c r="U5" i="8" s="1"/>
  <c r="J6" i="8"/>
  <c r="J7" i="8"/>
  <c r="J8" i="8"/>
  <c r="X8" i="8" s="1"/>
  <c r="F7" i="12" s="1"/>
  <c r="J9" i="8"/>
  <c r="U9" i="8" s="1"/>
  <c r="J10" i="8"/>
  <c r="J11" i="8"/>
  <c r="J12" i="8"/>
  <c r="J13" i="8"/>
  <c r="J14" i="8"/>
  <c r="J15" i="8"/>
  <c r="U15" i="8" s="1"/>
  <c r="J16" i="8"/>
  <c r="J17" i="8"/>
  <c r="J18" i="8"/>
  <c r="J19" i="8"/>
  <c r="X19" i="8" s="1"/>
  <c r="F18" i="12" s="1"/>
  <c r="J20" i="8"/>
  <c r="X20" i="8" s="1"/>
  <c r="F19" i="12" s="1"/>
  <c r="J21" i="8"/>
  <c r="J22" i="8"/>
  <c r="J23" i="8"/>
  <c r="J24" i="8"/>
  <c r="J25" i="8"/>
  <c r="J26" i="8"/>
  <c r="J27" i="8"/>
  <c r="J28" i="8"/>
  <c r="J29" i="8"/>
  <c r="X29" i="8" s="1"/>
  <c r="F28" i="12" s="1"/>
  <c r="J30" i="8"/>
  <c r="U30" i="8" s="1"/>
  <c r="J31" i="8"/>
  <c r="J32" i="8"/>
  <c r="X32" i="8" s="1"/>
  <c r="F31" i="12" s="1"/>
  <c r="J33" i="8"/>
  <c r="U33" i="8" s="1"/>
  <c r="J34" i="8"/>
  <c r="J35" i="8"/>
  <c r="J36" i="8"/>
  <c r="J37" i="8"/>
  <c r="J38" i="8"/>
  <c r="J39" i="8"/>
  <c r="X39" i="8" s="1"/>
  <c r="F38" i="12" s="1"/>
  <c r="J40" i="8"/>
  <c r="U40" i="8" s="1"/>
  <c r="J41" i="8"/>
  <c r="J42" i="8"/>
  <c r="J43" i="8"/>
  <c r="J44" i="8"/>
  <c r="J45" i="8"/>
  <c r="J46" i="8"/>
  <c r="U46" i="8" s="1"/>
  <c r="J47" i="8"/>
  <c r="J48" i="8"/>
  <c r="J49" i="8"/>
  <c r="J50" i="8"/>
  <c r="J51" i="8"/>
  <c r="X51" i="8" s="1"/>
  <c r="F50" i="12" s="1"/>
  <c r="J52" i="8"/>
  <c r="X52" i="8" s="1"/>
  <c r="F51" i="12" s="1"/>
  <c r="J53" i="8"/>
  <c r="X53" i="8" s="1"/>
  <c r="F52" i="12" s="1"/>
  <c r="J54" i="8"/>
  <c r="U54" i="8" s="1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X67" i="8" s="1"/>
  <c r="F66" i="12" s="1"/>
  <c r="J68" i="8"/>
  <c r="J69" i="8"/>
  <c r="J70" i="8"/>
  <c r="J71" i="8"/>
  <c r="J72" i="8"/>
  <c r="X72" i="8" s="1"/>
  <c r="F71" i="12" s="1"/>
  <c r="J73" i="8"/>
  <c r="X73" i="8" s="1"/>
  <c r="F72" i="12" s="1"/>
  <c r="J74" i="8"/>
  <c r="X74" i="8" s="1"/>
  <c r="F73" i="12" s="1"/>
  <c r="J75" i="8"/>
  <c r="U75" i="8" s="1"/>
  <c r="J76" i="8"/>
  <c r="J77" i="8"/>
  <c r="J78" i="8"/>
  <c r="X78" i="8" s="1"/>
  <c r="F77" i="12" s="1"/>
  <c r="J79" i="8"/>
  <c r="J80" i="8"/>
  <c r="J81" i="8"/>
  <c r="J82" i="8"/>
  <c r="J83" i="8"/>
  <c r="J84" i="8"/>
  <c r="J85" i="8"/>
  <c r="J86" i="8"/>
  <c r="J87" i="8"/>
  <c r="X87" i="8" s="1"/>
  <c r="F86" i="12" s="1"/>
  <c r="J88" i="8"/>
  <c r="J89" i="8"/>
  <c r="J90" i="8"/>
  <c r="J91" i="8"/>
  <c r="J92" i="8"/>
  <c r="X92" i="8" s="1"/>
  <c r="F91" i="12" s="1"/>
  <c r="J93" i="8"/>
  <c r="X93" i="8" s="1"/>
  <c r="F92" i="12" s="1"/>
  <c r="J94" i="8"/>
  <c r="U94" i="8" s="1"/>
  <c r="J95" i="8"/>
  <c r="J96" i="8"/>
  <c r="J97" i="8"/>
  <c r="J98" i="8"/>
  <c r="U98" i="8" s="1"/>
  <c r="J99" i="8"/>
  <c r="J100" i="8"/>
  <c r="J101" i="8"/>
  <c r="J102" i="8"/>
  <c r="J103" i="8"/>
  <c r="J104" i="8"/>
  <c r="J105" i="8"/>
  <c r="J106" i="8"/>
  <c r="J107" i="8"/>
  <c r="J108" i="8"/>
  <c r="X108" i="8" s="1"/>
  <c r="F107" i="12" s="1"/>
  <c r="J109" i="8"/>
  <c r="U109" i="8" s="1"/>
  <c r="J3" i="8"/>
  <c r="I4" i="8"/>
  <c r="I5" i="8"/>
  <c r="W5" i="8" s="1"/>
  <c r="E4" i="12" s="1"/>
  <c r="I6" i="8"/>
  <c r="I7" i="8"/>
  <c r="I8" i="8"/>
  <c r="I9" i="8"/>
  <c r="I10" i="8"/>
  <c r="W10" i="8" s="1"/>
  <c r="E9" i="12" s="1"/>
  <c r="I11" i="8"/>
  <c r="W11" i="8" s="1"/>
  <c r="E10" i="12" s="1"/>
  <c r="I12" i="8"/>
  <c r="I13" i="8"/>
  <c r="I14" i="8"/>
  <c r="I15" i="8"/>
  <c r="I16" i="8"/>
  <c r="T16" i="8" s="1"/>
  <c r="I17" i="8"/>
  <c r="I18" i="8"/>
  <c r="I19" i="8"/>
  <c r="W19" i="8" s="1"/>
  <c r="E18" i="12" s="1"/>
  <c r="I20" i="8"/>
  <c r="T20" i="8" s="1"/>
  <c r="I21" i="8"/>
  <c r="I22" i="8"/>
  <c r="I23" i="8"/>
  <c r="I24" i="8"/>
  <c r="I25" i="8"/>
  <c r="I26" i="8"/>
  <c r="I27" i="8"/>
  <c r="I28" i="8"/>
  <c r="I29" i="8"/>
  <c r="I30" i="8"/>
  <c r="W30" i="8" s="1"/>
  <c r="E29" i="12" s="1"/>
  <c r="I31" i="8"/>
  <c r="W31" i="8" s="1"/>
  <c r="E30" i="12" s="1"/>
  <c r="I32" i="8"/>
  <c r="I33" i="8"/>
  <c r="I34" i="8"/>
  <c r="I35" i="8"/>
  <c r="W35" i="8" s="1"/>
  <c r="E34" i="12" s="1"/>
  <c r="I36" i="8"/>
  <c r="T36" i="8" s="1"/>
  <c r="I37" i="8"/>
  <c r="I38" i="8"/>
  <c r="I39" i="8"/>
  <c r="W39" i="8" s="1"/>
  <c r="E38" i="12" s="1"/>
  <c r="I40" i="8"/>
  <c r="T40" i="8" s="1"/>
  <c r="I41" i="8"/>
  <c r="I42" i="8"/>
  <c r="I43" i="8"/>
  <c r="I44" i="8"/>
  <c r="I45" i="8"/>
  <c r="I46" i="8"/>
  <c r="I47" i="8"/>
  <c r="I48" i="8"/>
  <c r="I49" i="8"/>
  <c r="W49" i="8" s="1"/>
  <c r="E48" i="12" s="1"/>
  <c r="I50" i="8"/>
  <c r="W50" i="8" s="1"/>
  <c r="E49" i="12" s="1"/>
  <c r="I51" i="8"/>
  <c r="I52" i="8"/>
  <c r="I53" i="8"/>
  <c r="I54" i="8"/>
  <c r="W54" i="8" s="1"/>
  <c r="E53" i="12" s="1"/>
  <c r="I55" i="8"/>
  <c r="I56" i="8"/>
  <c r="T56" i="8" s="1"/>
  <c r="I57" i="8"/>
  <c r="I58" i="8"/>
  <c r="I59" i="8"/>
  <c r="W59" i="8" s="1"/>
  <c r="E58" i="12" s="1"/>
  <c r="I60" i="8"/>
  <c r="T60" i="8" s="1"/>
  <c r="I61" i="8"/>
  <c r="I62" i="8"/>
  <c r="I63" i="8"/>
  <c r="I64" i="8"/>
  <c r="I65" i="8"/>
  <c r="I66" i="8"/>
  <c r="I67" i="8"/>
  <c r="T67" i="8" s="1"/>
  <c r="I68" i="8"/>
  <c r="I69" i="8"/>
  <c r="W69" i="8" s="1"/>
  <c r="E68" i="12" s="1"/>
  <c r="I70" i="8"/>
  <c r="I71" i="8"/>
  <c r="I72" i="8"/>
  <c r="I73" i="8"/>
  <c r="I74" i="8"/>
  <c r="I75" i="8"/>
  <c r="W75" i="8" s="1"/>
  <c r="E74" i="12" s="1"/>
  <c r="I76" i="8"/>
  <c r="T76" i="8" s="1"/>
  <c r="I77" i="8"/>
  <c r="I78" i="8"/>
  <c r="I79" i="8"/>
  <c r="I80" i="8"/>
  <c r="I81" i="8"/>
  <c r="I82" i="8"/>
  <c r="I83" i="8"/>
  <c r="I84" i="8"/>
  <c r="I85" i="8"/>
  <c r="I86" i="8"/>
  <c r="I87" i="8"/>
  <c r="W87" i="8" s="1"/>
  <c r="E86" i="12" s="1"/>
  <c r="I88" i="8"/>
  <c r="I89" i="8"/>
  <c r="I90" i="8"/>
  <c r="W90" i="8" s="1"/>
  <c r="E89" i="12" s="1"/>
  <c r="I91" i="8"/>
  <c r="W91" i="8" s="1"/>
  <c r="E90" i="12" s="1"/>
  <c r="I92" i="8"/>
  <c r="I93" i="8"/>
  <c r="I94" i="8"/>
  <c r="W94" i="8" s="1"/>
  <c r="E93" i="12" s="1"/>
  <c r="I95" i="8"/>
  <c r="I96" i="8"/>
  <c r="I97" i="8"/>
  <c r="I98" i="8"/>
  <c r="I99" i="8"/>
  <c r="W99" i="8" s="1"/>
  <c r="E98" i="12" s="1"/>
  <c r="I100" i="8"/>
  <c r="T100" i="8" s="1"/>
  <c r="I101" i="8"/>
  <c r="I102" i="8"/>
  <c r="I103" i="8"/>
  <c r="I104" i="8"/>
  <c r="I105" i="8"/>
  <c r="I106" i="8"/>
  <c r="W106" i="8" s="1"/>
  <c r="E105" i="12" s="1"/>
  <c r="I107" i="8"/>
  <c r="I108" i="8"/>
  <c r="I109" i="8"/>
  <c r="I3" i="8"/>
  <c r="E4" i="8"/>
  <c r="E5" i="8"/>
  <c r="E6" i="8"/>
  <c r="U6" i="8" s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X23" i="8" s="1"/>
  <c r="F22" i="12" s="1"/>
  <c r="E24" i="8"/>
  <c r="E25" i="8"/>
  <c r="E26" i="8"/>
  <c r="U26" i="8" s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X43" i="8" s="1"/>
  <c r="F42" i="12" s="1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X63" i="8" s="1"/>
  <c r="F62" i="12" s="1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U83" i="8" s="1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X103" i="8" s="1"/>
  <c r="F102" i="12" s="1"/>
  <c r="E104" i="8"/>
  <c r="E105" i="8"/>
  <c r="U105" i="8" s="1"/>
  <c r="E106" i="8"/>
  <c r="E107" i="8"/>
  <c r="X107" i="8" s="1"/>
  <c r="F106" i="12" s="1"/>
  <c r="E108" i="8"/>
  <c r="E109" i="8"/>
  <c r="E3" i="8"/>
  <c r="D4" i="8"/>
  <c r="D5" i="8"/>
  <c r="D6" i="8"/>
  <c r="D7" i="8"/>
  <c r="D8" i="8"/>
  <c r="W8" i="8" s="1"/>
  <c r="E7" i="12" s="1"/>
  <c r="D9" i="8"/>
  <c r="T9" i="8" s="1"/>
  <c r="D10" i="8"/>
  <c r="D11" i="8"/>
  <c r="D12" i="8"/>
  <c r="D13" i="8"/>
  <c r="D14" i="8"/>
  <c r="D15" i="8"/>
  <c r="D16" i="8"/>
  <c r="D17" i="8"/>
  <c r="W17" i="8" s="1"/>
  <c r="E16" i="12" s="1"/>
  <c r="D18" i="8"/>
  <c r="D19" i="8"/>
  <c r="D20" i="8"/>
  <c r="D21" i="8"/>
  <c r="D22" i="8"/>
  <c r="D23" i="8"/>
  <c r="D24" i="8"/>
  <c r="D25" i="8"/>
  <c r="D26" i="8"/>
  <c r="D27" i="8"/>
  <c r="D28" i="8"/>
  <c r="W28" i="8" s="1"/>
  <c r="E27" i="12" s="1"/>
  <c r="D29" i="8"/>
  <c r="T29" i="8" s="1"/>
  <c r="D30" i="8"/>
  <c r="D31" i="8"/>
  <c r="D32" i="8"/>
  <c r="D33" i="8"/>
  <c r="D34" i="8"/>
  <c r="D35" i="8"/>
  <c r="D36" i="8"/>
  <c r="D37" i="8"/>
  <c r="W37" i="8" s="1"/>
  <c r="E36" i="12" s="1"/>
  <c r="D38" i="8"/>
  <c r="D39" i="8"/>
  <c r="D40" i="8"/>
  <c r="D41" i="8"/>
  <c r="D42" i="8"/>
  <c r="D43" i="8"/>
  <c r="D44" i="8"/>
  <c r="D45" i="8"/>
  <c r="D46" i="8"/>
  <c r="D47" i="8"/>
  <c r="D48" i="8"/>
  <c r="W48" i="8" s="1"/>
  <c r="E47" i="12" s="1"/>
  <c r="D49" i="8"/>
  <c r="T49" i="8" s="1"/>
  <c r="D50" i="8"/>
  <c r="D51" i="8"/>
  <c r="D52" i="8"/>
  <c r="D53" i="8"/>
  <c r="D54" i="8"/>
  <c r="D55" i="8"/>
  <c r="D56" i="8"/>
  <c r="D57" i="8"/>
  <c r="W57" i="8" s="1"/>
  <c r="E56" i="12" s="1"/>
  <c r="D58" i="8"/>
  <c r="D59" i="8"/>
  <c r="D60" i="8"/>
  <c r="D61" i="8"/>
  <c r="D62" i="8"/>
  <c r="D63" i="8"/>
  <c r="D64" i="8"/>
  <c r="D65" i="8"/>
  <c r="D66" i="8"/>
  <c r="D67" i="8"/>
  <c r="D68" i="8"/>
  <c r="W68" i="8" s="1"/>
  <c r="E67" i="12" s="1"/>
  <c r="D69" i="8"/>
  <c r="T69" i="8" s="1"/>
  <c r="D70" i="8"/>
  <c r="D71" i="8"/>
  <c r="D72" i="8"/>
  <c r="D73" i="8"/>
  <c r="D74" i="8"/>
  <c r="D75" i="8"/>
  <c r="D76" i="8"/>
  <c r="D77" i="8"/>
  <c r="W77" i="8" s="1"/>
  <c r="E76" i="12" s="1"/>
  <c r="D78" i="8"/>
  <c r="D79" i="8"/>
  <c r="D80" i="8"/>
  <c r="D81" i="8"/>
  <c r="D82" i="8"/>
  <c r="D83" i="8"/>
  <c r="D84" i="8"/>
  <c r="D85" i="8"/>
  <c r="D86" i="8"/>
  <c r="D87" i="8"/>
  <c r="D88" i="8"/>
  <c r="W88" i="8" s="1"/>
  <c r="E87" i="12" s="1"/>
  <c r="D89" i="8"/>
  <c r="T89" i="8" s="1"/>
  <c r="D90" i="8"/>
  <c r="D91" i="8"/>
  <c r="D92" i="8"/>
  <c r="D93" i="8"/>
  <c r="D94" i="8"/>
  <c r="D95" i="8"/>
  <c r="D96" i="8"/>
  <c r="D97" i="8"/>
  <c r="W97" i="8" s="1"/>
  <c r="E96" i="12" s="1"/>
  <c r="D98" i="8"/>
  <c r="D99" i="8"/>
  <c r="D100" i="8"/>
  <c r="D101" i="8"/>
  <c r="D102" i="8"/>
  <c r="D103" i="8"/>
  <c r="D104" i="8"/>
  <c r="D105" i="8"/>
  <c r="D106" i="8"/>
  <c r="D107" i="8"/>
  <c r="D108" i="8"/>
  <c r="W108" i="8" s="1"/>
  <c r="E107" i="12" s="1"/>
  <c r="D109" i="8"/>
  <c r="T109" i="8" s="1"/>
  <c r="D3" i="8"/>
  <c r="J4" i="1"/>
  <c r="J5" i="1"/>
  <c r="J6" i="1"/>
  <c r="J7" i="1"/>
  <c r="J8" i="1"/>
  <c r="J9" i="1"/>
  <c r="J10" i="1"/>
  <c r="J11" i="1"/>
  <c r="J12" i="1"/>
  <c r="C11" i="12" s="1"/>
  <c r="J13" i="1"/>
  <c r="J14" i="1"/>
  <c r="C13" i="12" s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C29" i="12" s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C45" i="12" s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C75" i="12" s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I4" i="1"/>
  <c r="W4" i="1" s="1"/>
  <c r="B3" i="12" s="1"/>
  <c r="I5" i="1"/>
  <c r="I6" i="1"/>
  <c r="I7" i="1"/>
  <c r="I8" i="1"/>
  <c r="I9" i="1"/>
  <c r="I10" i="1"/>
  <c r="B9" i="12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B73" i="12" s="1"/>
  <c r="I75" i="1"/>
  <c r="B74" i="12" s="1"/>
  <c r="I76" i="1"/>
  <c r="I77" i="1"/>
  <c r="I78" i="1"/>
  <c r="I79" i="1"/>
  <c r="I80" i="1"/>
  <c r="I81" i="1"/>
  <c r="I82" i="1"/>
  <c r="I83" i="1"/>
  <c r="I84" i="1"/>
  <c r="B83" i="12" s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B106" i="12" s="1"/>
  <c r="I108" i="1"/>
  <c r="I109" i="1"/>
  <c r="E4" i="1"/>
  <c r="E5" i="1"/>
  <c r="E6" i="1"/>
  <c r="E7" i="1"/>
  <c r="E8" i="1"/>
  <c r="C7" i="12" s="1"/>
  <c r="E9" i="1"/>
  <c r="C8" i="12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C25" i="12" s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C44" i="12" s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C85" i="12" s="1"/>
  <c r="E87" i="1"/>
  <c r="E88" i="1"/>
  <c r="E89" i="1"/>
  <c r="E90" i="1"/>
  <c r="C89" i="12" s="1"/>
  <c r="E91" i="1"/>
  <c r="C90" i="12" s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C105" i="12" s="1"/>
  <c r="E107" i="1"/>
  <c r="C106" i="12" s="1"/>
  <c r="E108" i="1"/>
  <c r="E109" i="1"/>
  <c r="D4" i="1"/>
  <c r="D5" i="1"/>
  <c r="T5" i="1" s="1"/>
  <c r="D6" i="1"/>
  <c r="T6" i="1" s="1"/>
  <c r="D7" i="1"/>
  <c r="D8" i="1"/>
  <c r="T8" i="1" s="1"/>
  <c r="D9" i="1"/>
  <c r="T9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B21" i="12" s="1"/>
  <c r="D23" i="1"/>
  <c r="D24" i="1"/>
  <c r="D25" i="1"/>
  <c r="B24" i="12" s="1"/>
  <c r="D26" i="1"/>
  <c r="D27" i="1"/>
  <c r="D28" i="1"/>
  <c r="B27" i="12" s="1"/>
  <c r="D29" i="1"/>
  <c r="B28" i="12" s="1"/>
  <c r="D30" i="1"/>
  <c r="B29" i="12" s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B45" i="12" s="1"/>
  <c r="D47" i="1"/>
  <c r="D48" i="1"/>
  <c r="B47" i="12" s="1"/>
  <c r="D49" i="1"/>
  <c r="D50" i="1"/>
  <c r="D51" i="1"/>
  <c r="B50" i="12" s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B85" i="12" s="1"/>
  <c r="D87" i="1"/>
  <c r="B86" i="12" s="1"/>
  <c r="D88" i="1"/>
  <c r="D89" i="1"/>
  <c r="D90" i="1"/>
  <c r="D91" i="1"/>
  <c r="D92" i="1"/>
  <c r="D93" i="1"/>
  <c r="D94" i="1"/>
  <c r="D95" i="1"/>
  <c r="D96" i="1"/>
  <c r="B95" i="12" s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B108" i="12" s="1"/>
  <c r="J3" i="1"/>
  <c r="I3" i="1"/>
  <c r="C4" i="12"/>
  <c r="C5" i="12"/>
  <c r="C6" i="12"/>
  <c r="C24" i="12"/>
  <c r="C26" i="12"/>
  <c r="C27" i="12"/>
  <c r="C46" i="12"/>
  <c r="C64" i="12"/>
  <c r="C65" i="12"/>
  <c r="C66" i="12"/>
  <c r="C67" i="12"/>
  <c r="C68" i="12"/>
  <c r="C84" i="12"/>
  <c r="C86" i="12"/>
  <c r="C87" i="12"/>
  <c r="C88" i="12"/>
  <c r="C104" i="12"/>
  <c r="E3" i="1"/>
  <c r="X3" i="1" s="1"/>
  <c r="C2" i="12" s="1"/>
  <c r="B17" i="12"/>
  <c r="B18" i="12"/>
  <c r="B19" i="12"/>
  <c r="B20" i="12"/>
  <c r="D3" i="1"/>
  <c r="T109" i="11"/>
  <c r="X108" i="11"/>
  <c r="X107" i="12" s="1"/>
  <c r="W105" i="11"/>
  <c r="W104" i="12" s="1"/>
  <c r="T105" i="11"/>
  <c r="X104" i="11"/>
  <c r="W104" i="11"/>
  <c r="W103" i="12" s="1"/>
  <c r="U104" i="11"/>
  <c r="U103" i="11"/>
  <c r="T103" i="11"/>
  <c r="X102" i="11"/>
  <c r="X101" i="12" s="1"/>
  <c r="W102" i="11"/>
  <c r="W101" i="12" s="1"/>
  <c r="U102" i="11"/>
  <c r="T102" i="11"/>
  <c r="X101" i="11"/>
  <c r="X100" i="12" s="1"/>
  <c r="U101" i="11"/>
  <c r="U98" i="11"/>
  <c r="T98" i="11"/>
  <c r="X97" i="11"/>
  <c r="X96" i="12" s="1"/>
  <c r="W95" i="11"/>
  <c r="W94" i="12" s="1"/>
  <c r="T95" i="11"/>
  <c r="X94" i="11"/>
  <c r="X93" i="12" s="1"/>
  <c r="U94" i="11"/>
  <c r="T94" i="11"/>
  <c r="X93" i="11"/>
  <c r="X92" i="12" s="1"/>
  <c r="W93" i="11"/>
  <c r="W92" i="12" s="1"/>
  <c r="U93" i="11"/>
  <c r="T93" i="11"/>
  <c r="X92" i="11"/>
  <c r="X91" i="12" s="1"/>
  <c r="W92" i="11"/>
  <c r="W91" i="12" s="1"/>
  <c r="U92" i="11"/>
  <c r="T92" i="11"/>
  <c r="T89" i="11"/>
  <c r="X88" i="11"/>
  <c r="X87" i="12" s="1"/>
  <c r="W88" i="11"/>
  <c r="U88" i="11"/>
  <c r="T88" i="11"/>
  <c r="X87" i="11"/>
  <c r="X86" i="12" s="1"/>
  <c r="W87" i="11"/>
  <c r="W86" i="12" s="1"/>
  <c r="W85" i="11"/>
  <c r="W84" i="12" s="1"/>
  <c r="T85" i="11"/>
  <c r="X84" i="11"/>
  <c r="X83" i="12" s="1"/>
  <c r="W84" i="11"/>
  <c r="U84" i="11"/>
  <c r="T84" i="11"/>
  <c r="X83" i="11"/>
  <c r="X82" i="12" s="1"/>
  <c r="W83" i="11"/>
  <c r="W82" i="12" s="1"/>
  <c r="U83" i="11"/>
  <c r="T83" i="11"/>
  <c r="U81" i="11"/>
  <c r="T79" i="11"/>
  <c r="X78" i="11"/>
  <c r="X77" i="12" s="1"/>
  <c r="U77" i="11"/>
  <c r="W75" i="11"/>
  <c r="W74" i="12" s="1"/>
  <c r="T75" i="11"/>
  <c r="X74" i="11"/>
  <c r="X73" i="12" s="1"/>
  <c r="W74" i="11"/>
  <c r="W73" i="12" s="1"/>
  <c r="U74" i="11"/>
  <c r="U73" i="11"/>
  <c r="T73" i="11"/>
  <c r="X72" i="11"/>
  <c r="X71" i="12" s="1"/>
  <c r="W72" i="11"/>
  <c r="W71" i="12" s="1"/>
  <c r="U72" i="11"/>
  <c r="T72" i="11"/>
  <c r="U68" i="11"/>
  <c r="T68" i="11"/>
  <c r="X67" i="11"/>
  <c r="X66" i="12" s="1"/>
  <c r="W67" i="11"/>
  <c r="W66" i="12" s="1"/>
  <c r="U67" i="11"/>
  <c r="T67" i="11"/>
  <c r="X66" i="11"/>
  <c r="X65" i="12" s="1"/>
  <c r="W65" i="11"/>
  <c r="W64" i="12" s="1"/>
  <c r="T65" i="11"/>
  <c r="X64" i="11"/>
  <c r="W64" i="11"/>
  <c r="U64" i="11"/>
  <c r="T64" i="11"/>
  <c r="X63" i="11"/>
  <c r="X62" i="12" s="1"/>
  <c r="W63" i="11"/>
  <c r="W62" i="12" s="1"/>
  <c r="U63" i="11"/>
  <c r="T63" i="11"/>
  <c r="T59" i="11"/>
  <c r="U58" i="11"/>
  <c r="T58" i="11"/>
  <c r="X57" i="11"/>
  <c r="X56" i="12" s="1"/>
  <c r="W55" i="11"/>
  <c r="W54" i="12" s="1"/>
  <c r="T55" i="11"/>
  <c r="X54" i="11"/>
  <c r="X53" i="12" s="1"/>
  <c r="W54" i="11"/>
  <c r="W53" i="12" s="1"/>
  <c r="U54" i="11"/>
  <c r="U53" i="11"/>
  <c r="T53" i="11"/>
  <c r="X52" i="11"/>
  <c r="X51" i="12" s="1"/>
  <c r="W52" i="11"/>
  <c r="W51" i="12" s="1"/>
  <c r="U52" i="11"/>
  <c r="T52" i="11"/>
  <c r="X51" i="11"/>
  <c r="X50" i="12" s="1"/>
  <c r="U51" i="11"/>
  <c r="W45" i="11"/>
  <c r="W44" i="12" s="1"/>
  <c r="T45" i="11"/>
  <c r="X44" i="11"/>
  <c r="X43" i="12" s="1"/>
  <c r="U44" i="11"/>
  <c r="T44" i="11"/>
  <c r="X43" i="11"/>
  <c r="X42" i="12" s="1"/>
  <c r="W43" i="11"/>
  <c r="W42" i="12" s="1"/>
  <c r="U43" i="11"/>
  <c r="T43" i="11"/>
  <c r="X42" i="11"/>
  <c r="W42" i="11"/>
  <c r="W41" i="12" s="1"/>
  <c r="U42" i="11"/>
  <c r="T42" i="11"/>
  <c r="T39" i="11"/>
  <c r="X38" i="11"/>
  <c r="X37" i="12" s="1"/>
  <c r="W38" i="11"/>
  <c r="W37" i="12" s="1"/>
  <c r="U37" i="11"/>
  <c r="T37" i="11"/>
  <c r="X36" i="11"/>
  <c r="X35" i="12" s="1"/>
  <c r="W36" i="11"/>
  <c r="W35" i="12" s="1"/>
  <c r="W35" i="11"/>
  <c r="T35" i="11"/>
  <c r="X34" i="11"/>
  <c r="W34" i="11"/>
  <c r="U34" i="11"/>
  <c r="T34" i="11"/>
  <c r="X33" i="11"/>
  <c r="X32" i="12" s="1"/>
  <c r="W33" i="11"/>
  <c r="W32" i="12" s="1"/>
  <c r="U33" i="11"/>
  <c r="T33" i="11"/>
  <c r="T29" i="11"/>
  <c r="X28" i="11"/>
  <c r="X27" i="12" s="1"/>
  <c r="W28" i="11"/>
  <c r="W27" i="12" s="1"/>
  <c r="W25" i="11"/>
  <c r="T25" i="11"/>
  <c r="X24" i="11"/>
  <c r="X23" i="12" s="1"/>
  <c r="W24" i="11"/>
  <c r="W23" i="12" s="1"/>
  <c r="U24" i="11"/>
  <c r="T24" i="11"/>
  <c r="X23" i="11"/>
  <c r="X22" i="12" s="1"/>
  <c r="W23" i="11"/>
  <c r="W22" i="12" s="1"/>
  <c r="U23" i="11"/>
  <c r="T23" i="11"/>
  <c r="T19" i="11"/>
  <c r="X18" i="11"/>
  <c r="X17" i="12" s="1"/>
  <c r="W18" i="11"/>
  <c r="W17" i="12" s="1"/>
  <c r="W15" i="11"/>
  <c r="T15" i="11"/>
  <c r="X14" i="11"/>
  <c r="X13" i="12" s="1"/>
  <c r="W14" i="11"/>
  <c r="W13" i="12" s="1"/>
  <c r="U14" i="11"/>
  <c r="T14" i="11"/>
  <c r="X13" i="11"/>
  <c r="X12" i="12" s="1"/>
  <c r="W13" i="11"/>
  <c r="W12" i="12" s="1"/>
  <c r="U12" i="11"/>
  <c r="T12" i="11"/>
  <c r="X11" i="11"/>
  <c r="X10" i="12" s="1"/>
  <c r="U11" i="11"/>
  <c r="T9" i="11"/>
  <c r="W5" i="11"/>
  <c r="T5" i="11"/>
  <c r="X4" i="11"/>
  <c r="W4" i="11"/>
  <c r="U4" i="11"/>
  <c r="T4" i="11"/>
  <c r="X3" i="11"/>
  <c r="X2" i="12" s="1"/>
  <c r="X109" i="10"/>
  <c r="W109" i="10"/>
  <c r="Q108" i="12" s="1"/>
  <c r="U109" i="10"/>
  <c r="U108" i="10"/>
  <c r="U106" i="10"/>
  <c r="W105" i="10"/>
  <c r="Q104" i="12" s="1"/>
  <c r="T105" i="10"/>
  <c r="W104" i="10"/>
  <c r="Q103" i="12" s="1"/>
  <c r="U103" i="10"/>
  <c r="X99" i="10"/>
  <c r="R98" i="12" s="1"/>
  <c r="W99" i="10"/>
  <c r="U99" i="10"/>
  <c r="T99" i="10"/>
  <c r="X98" i="10"/>
  <c r="W98" i="10"/>
  <c r="Q97" i="12" s="1"/>
  <c r="U98" i="10"/>
  <c r="W95" i="10"/>
  <c r="Q94" i="12" s="1"/>
  <c r="T95" i="10"/>
  <c r="W94" i="10"/>
  <c r="Q93" i="12" s="1"/>
  <c r="W93" i="10"/>
  <c r="Q92" i="12" s="1"/>
  <c r="U93" i="10"/>
  <c r="X89" i="10"/>
  <c r="W89" i="10"/>
  <c r="Q88" i="12" s="1"/>
  <c r="U89" i="10"/>
  <c r="T89" i="10"/>
  <c r="X88" i="10"/>
  <c r="R87" i="12" s="1"/>
  <c r="W88" i="10"/>
  <c r="Q87" i="12" s="1"/>
  <c r="U88" i="10"/>
  <c r="X87" i="10"/>
  <c r="R86" i="12" s="1"/>
  <c r="W85" i="10"/>
  <c r="Q84" i="12" s="1"/>
  <c r="T85" i="10"/>
  <c r="W84" i="10"/>
  <c r="Q83" i="12" s="1"/>
  <c r="W83" i="10"/>
  <c r="Q82" i="12" s="1"/>
  <c r="X79" i="10"/>
  <c r="W79" i="10"/>
  <c r="Q78" i="12" s="1"/>
  <c r="U79" i="10"/>
  <c r="T79" i="10"/>
  <c r="X78" i="10"/>
  <c r="R77" i="12" s="1"/>
  <c r="W78" i="10"/>
  <c r="Q77" i="12" s="1"/>
  <c r="U78" i="10"/>
  <c r="X77" i="10"/>
  <c r="R76" i="12" s="1"/>
  <c r="W77" i="10"/>
  <c r="Q76" i="12" s="1"/>
  <c r="U76" i="10"/>
  <c r="T76" i="10"/>
  <c r="X75" i="10"/>
  <c r="R74" i="12" s="1"/>
  <c r="W75" i="10"/>
  <c r="Q74" i="12" s="1"/>
  <c r="T75" i="10"/>
  <c r="X69" i="10"/>
  <c r="W69" i="10"/>
  <c r="Q68" i="12" s="1"/>
  <c r="U69" i="10"/>
  <c r="T69" i="10"/>
  <c r="X68" i="10"/>
  <c r="R67" i="12" s="1"/>
  <c r="W68" i="10"/>
  <c r="Q67" i="12" s="1"/>
  <c r="T67" i="10"/>
  <c r="X66" i="10"/>
  <c r="R65" i="12" s="1"/>
  <c r="W65" i="10"/>
  <c r="Q64" i="12" s="1"/>
  <c r="T65" i="10"/>
  <c r="W64" i="10"/>
  <c r="W63" i="10"/>
  <c r="Q62" i="12" s="1"/>
  <c r="U63" i="10"/>
  <c r="X59" i="10"/>
  <c r="R58" i="12" s="1"/>
  <c r="W59" i="10"/>
  <c r="U59" i="10"/>
  <c r="T59" i="10"/>
  <c r="X58" i="10"/>
  <c r="R57" i="12" s="1"/>
  <c r="U56" i="10"/>
  <c r="W55" i="10"/>
  <c r="Q54" i="12" s="1"/>
  <c r="T55" i="10"/>
  <c r="W54" i="10"/>
  <c r="Q53" i="12" s="1"/>
  <c r="U53" i="10"/>
  <c r="X49" i="10"/>
  <c r="R48" i="12" s="1"/>
  <c r="W49" i="10"/>
  <c r="Q48" i="12" s="1"/>
  <c r="U49" i="10"/>
  <c r="T49" i="10"/>
  <c r="U48" i="10"/>
  <c r="W47" i="10"/>
  <c r="Q46" i="12" s="1"/>
  <c r="W45" i="10"/>
  <c r="Q44" i="12" s="1"/>
  <c r="T45" i="10"/>
  <c r="W44" i="10"/>
  <c r="Q43" i="12" s="1"/>
  <c r="W43" i="10"/>
  <c r="Q42" i="12" s="1"/>
  <c r="U43" i="10"/>
  <c r="W41" i="10"/>
  <c r="Q40" i="12" s="1"/>
  <c r="U41" i="10"/>
  <c r="X39" i="10"/>
  <c r="W39" i="10"/>
  <c r="Q38" i="12" s="1"/>
  <c r="U39" i="10"/>
  <c r="T39" i="10"/>
  <c r="X38" i="10"/>
  <c r="R37" i="12" s="1"/>
  <c r="W38" i="10"/>
  <c r="Q37" i="12" s="1"/>
  <c r="U38" i="10"/>
  <c r="X36" i="10"/>
  <c r="R35" i="12" s="1"/>
  <c r="W35" i="10"/>
  <c r="Q34" i="12" s="1"/>
  <c r="T35" i="10"/>
  <c r="X29" i="10"/>
  <c r="W29" i="10"/>
  <c r="Q28" i="12" s="1"/>
  <c r="U29" i="10"/>
  <c r="T29" i="10"/>
  <c r="X28" i="10"/>
  <c r="R27" i="12" s="1"/>
  <c r="W28" i="10"/>
  <c r="W25" i="10"/>
  <c r="Q24" i="12" s="1"/>
  <c r="T25" i="10"/>
  <c r="U23" i="10"/>
  <c r="X19" i="10"/>
  <c r="R18" i="12" s="1"/>
  <c r="W19" i="10"/>
  <c r="Q18" i="12" s="1"/>
  <c r="U19" i="10"/>
  <c r="U18" i="10"/>
  <c r="X17" i="10"/>
  <c r="R16" i="12" s="1"/>
  <c r="W17" i="10"/>
  <c r="Q16" i="12" s="1"/>
  <c r="U17" i="10"/>
  <c r="T17" i="10"/>
  <c r="W15" i="10"/>
  <c r="Q14" i="12" s="1"/>
  <c r="T15" i="10"/>
  <c r="W14" i="10"/>
  <c r="Q13" i="12" s="1"/>
  <c r="W13" i="10"/>
  <c r="Q12" i="12" s="1"/>
  <c r="U13" i="10"/>
  <c r="T11" i="10"/>
  <c r="X9" i="10"/>
  <c r="W9" i="10"/>
  <c r="Q8" i="12" s="1"/>
  <c r="U9" i="10"/>
  <c r="T9" i="10"/>
  <c r="X8" i="10"/>
  <c r="R7" i="12" s="1"/>
  <c r="W8" i="10"/>
  <c r="Q7" i="12" s="1"/>
  <c r="U8" i="10"/>
  <c r="X7" i="10"/>
  <c r="W7" i="10"/>
  <c r="Q6" i="12" s="1"/>
  <c r="U7" i="10"/>
  <c r="W5" i="10"/>
  <c r="Q4" i="12" s="1"/>
  <c r="T5" i="10"/>
  <c r="W4" i="10"/>
  <c r="Q3" i="12" s="1"/>
  <c r="W3" i="10"/>
  <c r="Q2" i="12" s="1"/>
  <c r="O108" i="12"/>
  <c r="N108" i="12"/>
  <c r="O105" i="12"/>
  <c r="O103" i="12"/>
  <c r="N103" i="12"/>
  <c r="O98" i="12"/>
  <c r="N98" i="12"/>
  <c r="O97" i="12"/>
  <c r="O96" i="12"/>
  <c r="O95" i="12"/>
  <c r="O88" i="12"/>
  <c r="N88" i="12"/>
  <c r="O87" i="12"/>
  <c r="O86" i="12"/>
  <c r="N84" i="12"/>
  <c r="O78" i="12"/>
  <c r="O77" i="12"/>
  <c r="N74" i="12"/>
  <c r="O73" i="12"/>
  <c r="O68" i="12"/>
  <c r="N68" i="12"/>
  <c r="O67" i="12"/>
  <c r="O63" i="12"/>
  <c r="N63" i="12"/>
  <c r="O58" i="12"/>
  <c r="O57" i="12"/>
  <c r="N54" i="12"/>
  <c r="N53" i="12"/>
  <c r="O48" i="12"/>
  <c r="O47" i="12"/>
  <c r="O46" i="12"/>
  <c r="N44" i="12"/>
  <c r="O36" i="12"/>
  <c r="N36" i="12"/>
  <c r="O35" i="12"/>
  <c r="N34" i="12"/>
  <c r="O28" i="12"/>
  <c r="N28" i="12"/>
  <c r="O26" i="12"/>
  <c r="N26" i="12"/>
  <c r="O25" i="12"/>
  <c r="O23" i="12"/>
  <c r="O18" i="12"/>
  <c r="N18" i="12"/>
  <c r="O17" i="12"/>
  <c r="O16" i="12"/>
  <c r="O15" i="12"/>
  <c r="O13" i="12"/>
  <c r="N13" i="12"/>
  <c r="O8" i="12"/>
  <c r="O7" i="12"/>
  <c r="O6" i="12"/>
  <c r="O5" i="12"/>
  <c r="N4" i="12"/>
  <c r="O3" i="12"/>
  <c r="N3" i="12"/>
  <c r="X109" i="9"/>
  <c r="L108" i="12" s="1"/>
  <c r="W109" i="9"/>
  <c r="U109" i="9"/>
  <c r="T109" i="9"/>
  <c r="X108" i="9"/>
  <c r="L107" i="12" s="1"/>
  <c r="W108" i="9"/>
  <c r="K107" i="12" s="1"/>
  <c r="U108" i="9"/>
  <c r="T108" i="9"/>
  <c r="X107" i="9"/>
  <c r="L106" i="12" s="1"/>
  <c r="W107" i="9"/>
  <c r="K106" i="12" s="1"/>
  <c r="W105" i="9"/>
  <c r="K104" i="12" s="1"/>
  <c r="U105" i="9"/>
  <c r="T105" i="9"/>
  <c r="X104" i="9"/>
  <c r="U104" i="9"/>
  <c r="X99" i="9"/>
  <c r="L98" i="12" s="1"/>
  <c r="W99" i="9"/>
  <c r="U99" i="9"/>
  <c r="T99" i="9"/>
  <c r="X98" i="9"/>
  <c r="L97" i="12" s="1"/>
  <c r="W98" i="9"/>
  <c r="K97" i="12" s="1"/>
  <c r="U98" i="9"/>
  <c r="T98" i="9"/>
  <c r="X97" i="9"/>
  <c r="L96" i="12" s="1"/>
  <c r="W97" i="9"/>
  <c r="K96" i="12" s="1"/>
  <c r="W95" i="9"/>
  <c r="K94" i="12" s="1"/>
  <c r="T95" i="9"/>
  <c r="X94" i="9"/>
  <c r="U94" i="9"/>
  <c r="T94" i="9"/>
  <c r="U93" i="9"/>
  <c r="X89" i="9"/>
  <c r="L88" i="12" s="1"/>
  <c r="W89" i="9"/>
  <c r="U89" i="9"/>
  <c r="T89" i="9"/>
  <c r="X88" i="9"/>
  <c r="W88" i="9"/>
  <c r="K87" i="12" s="1"/>
  <c r="U88" i="9"/>
  <c r="T88" i="9"/>
  <c r="W85" i="9"/>
  <c r="K84" i="12" s="1"/>
  <c r="T85" i="9"/>
  <c r="X84" i="9"/>
  <c r="U84" i="9"/>
  <c r="T84" i="9"/>
  <c r="X79" i="9"/>
  <c r="L78" i="12" s="1"/>
  <c r="W79" i="9"/>
  <c r="K78" i="12" s="1"/>
  <c r="U79" i="9"/>
  <c r="T79" i="9"/>
  <c r="X78" i="9"/>
  <c r="L77" i="12" s="1"/>
  <c r="U78" i="9"/>
  <c r="W75" i="9"/>
  <c r="T75" i="9"/>
  <c r="X74" i="9"/>
  <c r="U74" i="9"/>
  <c r="T74" i="9"/>
  <c r="X73" i="9"/>
  <c r="L72" i="12" s="1"/>
  <c r="W73" i="9"/>
  <c r="K72" i="12" s="1"/>
  <c r="U73" i="9"/>
  <c r="T73" i="9"/>
  <c r="X72" i="9"/>
  <c r="L71" i="12" s="1"/>
  <c r="X69" i="9"/>
  <c r="W69" i="9"/>
  <c r="K68" i="12" s="1"/>
  <c r="U69" i="9"/>
  <c r="T69" i="9"/>
  <c r="X68" i="9"/>
  <c r="L67" i="12" s="1"/>
  <c r="U68" i="9"/>
  <c r="T68" i="9"/>
  <c r="X67" i="9"/>
  <c r="L66" i="12" s="1"/>
  <c r="W65" i="9"/>
  <c r="K64" i="12" s="1"/>
  <c r="U65" i="9"/>
  <c r="T65" i="9"/>
  <c r="X64" i="9"/>
  <c r="L63" i="12" s="1"/>
  <c r="W64" i="9"/>
  <c r="K63" i="12" s="1"/>
  <c r="U64" i="9"/>
  <c r="T64" i="9"/>
  <c r="X63" i="9"/>
  <c r="L62" i="12" s="1"/>
  <c r="W63" i="9"/>
  <c r="K62" i="12" s="1"/>
  <c r="U63" i="9"/>
  <c r="T63" i="9"/>
  <c r="X62" i="9"/>
  <c r="L61" i="12" s="1"/>
  <c r="X59" i="9"/>
  <c r="L58" i="12" s="1"/>
  <c r="W59" i="9"/>
  <c r="U59" i="9"/>
  <c r="T59" i="9"/>
  <c r="X58" i="9"/>
  <c r="W58" i="9"/>
  <c r="K57" i="12" s="1"/>
  <c r="U58" i="9"/>
  <c r="W57" i="9"/>
  <c r="K56" i="12" s="1"/>
  <c r="W55" i="9"/>
  <c r="K54" i="12" s="1"/>
  <c r="T55" i="9"/>
  <c r="X54" i="9"/>
  <c r="W54" i="9"/>
  <c r="K53" i="12" s="1"/>
  <c r="U54" i="9"/>
  <c r="T54" i="9"/>
  <c r="X53" i="9"/>
  <c r="L52" i="12" s="1"/>
  <c r="W53" i="9"/>
  <c r="K52" i="12" s="1"/>
  <c r="U53" i="9"/>
  <c r="T53" i="9"/>
  <c r="X49" i="9"/>
  <c r="W49" i="9"/>
  <c r="K48" i="12" s="1"/>
  <c r="U49" i="9"/>
  <c r="T49" i="9"/>
  <c r="X48" i="9"/>
  <c r="U48" i="9"/>
  <c r="T48" i="9"/>
  <c r="W45" i="9"/>
  <c r="K44" i="12" s="1"/>
  <c r="U45" i="9"/>
  <c r="T45" i="9"/>
  <c r="X44" i="9"/>
  <c r="L43" i="12" s="1"/>
  <c r="W44" i="9"/>
  <c r="K43" i="12" s="1"/>
  <c r="U44" i="9"/>
  <c r="T44" i="9"/>
  <c r="X43" i="9"/>
  <c r="L42" i="12" s="1"/>
  <c r="W43" i="9"/>
  <c r="K42" i="12" s="1"/>
  <c r="X39" i="9"/>
  <c r="L38" i="12" s="1"/>
  <c r="W39" i="9"/>
  <c r="U39" i="9"/>
  <c r="T39" i="9"/>
  <c r="X38" i="9"/>
  <c r="L37" i="12" s="1"/>
  <c r="W38" i="9"/>
  <c r="K37" i="12" s="1"/>
  <c r="U38" i="9"/>
  <c r="W37" i="9"/>
  <c r="K36" i="12" s="1"/>
  <c r="W35" i="9"/>
  <c r="K34" i="12" s="1"/>
  <c r="U35" i="9"/>
  <c r="T35" i="9"/>
  <c r="X34" i="9"/>
  <c r="L33" i="12" s="1"/>
  <c r="W34" i="9"/>
  <c r="K33" i="12" s="1"/>
  <c r="U34" i="9"/>
  <c r="T34" i="9"/>
  <c r="X29" i="9"/>
  <c r="L28" i="12" s="1"/>
  <c r="W29" i="9"/>
  <c r="K28" i="12" s="1"/>
  <c r="U29" i="9"/>
  <c r="T29" i="9"/>
  <c r="X28" i="9"/>
  <c r="L27" i="12" s="1"/>
  <c r="U28" i="9"/>
  <c r="T28" i="9"/>
  <c r="X27" i="9"/>
  <c r="L26" i="12" s="1"/>
  <c r="W27" i="9"/>
  <c r="K26" i="12" s="1"/>
  <c r="W25" i="9"/>
  <c r="K24" i="12" s="1"/>
  <c r="U25" i="9"/>
  <c r="T25" i="9"/>
  <c r="X24" i="9"/>
  <c r="L23" i="12" s="1"/>
  <c r="W24" i="9"/>
  <c r="K23" i="12" s="1"/>
  <c r="U24" i="9"/>
  <c r="X19" i="9"/>
  <c r="L18" i="12" s="1"/>
  <c r="W19" i="9"/>
  <c r="U19" i="9"/>
  <c r="T19" i="9"/>
  <c r="X18" i="9"/>
  <c r="W18" i="9"/>
  <c r="K17" i="12" s="1"/>
  <c r="U18" i="9"/>
  <c r="T18" i="9"/>
  <c r="X17" i="9"/>
  <c r="L16" i="12" s="1"/>
  <c r="W17" i="9"/>
  <c r="K16" i="12" s="1"/>
  <c r="W15" i="9"/>
  <c r="K14" i="12" s="1"/>
  <c r="U15" i="9"/>
  <c r="T15" i="9"/>
  <c r="X14" i="9"/>
  <c r="L13" i="12" s="1"/>
  <c r="U14" i="9"/>
  <c r="T14" i="9"/>
  <c r="X13" i="9"/>
  <c r="L12" i="12" s="1"/>
  <c r="X9" i="9"/>
  <c r="W9" i="9"/>
  <c r="K8" i="12" s="1"/>
  <c r="U9" i="9"/>
  <c r="T9" i="9"/>
  <c r="X8" i="9"/>
  <c r="L7" i="12" s="1"/>
  <c r="W8" i="9"/>
  <c r="K7" i="12" s="1"/>
  <c r="U8" i="9"/>
  <c r="T8" i="9"/>
  <c r="X7" i="9"/>
  <c r="L6" i="12" s="1"/>
  <c r="W5" i="9"/>
  <c r="K4" i="12" s="1"/>
  <c r="T5" i="9"/>
  <c r="X4" i="9"/>
  <c r="L3" i="12" s="1"/>
  <c r="W4" i="9"/>
  <c r="K3" i="12" s="1"/>
  <c r="U4" i="9"/>
  <c r="T4" i="9"/>
  <c r="X3" i="9"/>
  <c r="L2" i="12" s="1"/>
  <c r="H108" i="12"/>
  <c r="H104" i="12"/>
  <c r="H98" i="12"/>
  <c r="H94" i="12"/>
  <c r="I88" i="12"/>
  <c r="H88" i="12"/>
  <c r="H84" i="12"/>
  <c r="I83" i="12"/>
  <c r="H78" i="12"/>
  <c r="I74" i="12"/>
  <c r="H74" i="12"/>
  <c r="H68" i="12"/>
  <c r="I65" i="12"/>
  <c r="I64" i="12"/>
  <c r="H64" i="12"/>
  <c r="I58" i="12"/>
  <c r="H58" i="12"/>
  <c r="I56" i="12"/>
  <c r="H56" i="12"/>
  <c r="H54" i="12"/>
  <c r="H46" i="12"/>
  <c r="H44" i="12"/>
  <c r="H38" i="12"/>
  <c r="I34" i="12"/>
  <c r="H34" i="12"/>
  <c r="H28" i="12"/>
  <c r="I18" i="12"/>
  <c r="H14" i="12"/>
  <c r="I8" i="12"/>
  <c r="H8" i="12"/>
  <c r="H6" i="12"/>
  <c r="H4" i="12"/>
  <c r="I3" i="12"/>
  <c r="X109" i="8"/>
  <c r="F108" i="12" s="1"/>
  <c r="W109" i="8"/>
  <c r="E108" i="12" s="1"/>
  <c r="T108" i="8"/>
  <c r="W107" i="8"/>
  <c r="E106" i="12" s="1"/>
  <c r="U107" i="8"/>
  <c r="T107" i="8"/>
  <c r="X106" i="8"/>
  <c r="F105" i="12" s="1"/>
  <c r="U106" i="8"/>
  <c r="T106" i="8"/>
  <c r="X105" i="8"/>
  <c r="F104" i="12" s="1"/>
  <c r="W105" i="8"/>
  <c r="E104" i="12" s="1"/>
  <c r="T105" i="8"/>
  <c r="X104" i="8"/>
  <c r="F103" i="12" s="1"/>
  <c r="W104" i="8"/>
  <c r="E103" i="12" s="1"/>
  <c r="U104" i="8"/>
  <c r="T104" i="8"/>
  <c r="X99" i="8"/>
  <c r="F98" i="12" s="1"/>
  <c r="U99" i="8"/>
  <c r="T96" i="8"/>
  <c r="W95" i="8"/>
  <c r="E94" i="12" s="1"/>
  <c r="T95" i="8"/>
  <c r="U92" i="8"/>
  <c r="T92" i="8"/>
  <c r="X91" i="8"/>
  <c r="F90" i="12" s="1"/>
  <c r="U91" i="8"/>
  <c r="U90" i="8"/>
  <c r="T90" i="8"/>
  <c r="X89" i="8"/>
  <c r="F88" i="12" s="1"/>
  <c r="W89" i="8"/>
  <c r="E88" i="12" s="1"/>
  <c r="U89" i="8"/>
  <c r="X88" i="8"/>
  <c r="F87" i="12" s="1"/>
  <c r="U88" i="8"/>
  <c r="T88" i="8"/>
  <c r="T87" i="8"/>
  <c r="X86" i="8"/>
  <c r="F85" i="12" s="1"/>
  <c r="W86" i="8"/>
  <c r="E85" i="12" s="1"/>
  <c r="U86" i="8"/>
  <c r="T86" i="8"/>
  <c r="X85" i="8"/>
  <c r="F84" i="12" s="1"/>
  <c r="W85" i="8"/>
  <c r="E84" i="12" s="1"/>
  <c r="U85" i="8"/>
  <c r="T85" i="8"/>
  <c r="X84" i="8"/>
  <c r="F83" i="12" s="1"/>
  <c r="W84" i="8"/>
  <c r="E83" i="12" s="1"/>
  <c r="U84" i="8"/>
  <c r="T84" i="8"/>
  <c r="T80" i="8"/>
  <c r="X79" i="8"/>
  <c r="F78" i="12" s="1"/>
  <c r="W79" i="8"/>
  <c r="E78" i="12" s="1"/>
  <c r="U79" i="8"/>
  <c r="W74" i="8"/>
  <c r="E73" i="12" s="1"/>
  <c r="T72" i="8"/>
  <c r="X71" i="8"/>
  <c r="F70" i="12" s="1"/>
  <c r="W71" i="8"/>
  <c r="E70" i="12" s="1"/>
  <c r="T71" i="8"/>
  <c r="X70" i="8"/>
  <c r="F69" i="12" s="1"/>
  <c r="W70" i="8"/>
  <c r="E69" i="12" s="1"/>
  <c r="T70" i="8"/>
  <c r="X69" i="8"/>
  <c r="U69" i="8"/>
  <c r="X68" i="8"/>
  <c r="F67" i="12" s="1"/>
  <c r="U68" i="8"/>
  <c r="T68" i="8"/>
  <c r="W67" i="8"/>
  <c r="E66" i="12" s="1"/>
  <c r="X66" i="8"/>
  <c r="F65" i="12" s="1"/>
  <c r="W66" i="8"/>
  <c r="E65" i="12" s="1"/>
  <c r="U66" i="8"/>
  <c r="T66" i="8"/>
  <c r="X65" i="8"/>
  <c r="F64" i="12" s="1"/>
  <c r="W65" i="8"/>
  <c r="E64" i="12" s="1"/>
  <c r="U65" i="8"/>
  <c r="T65" i="8"/>
  <c r="X64" i="8"/>
  <c r="W64" i="8"/>
  <c r="E63" i="12" s="1"/>
  <c r="U64" i="8"/>
  <c r="T64" i="8"/>
  <c r="X59" i="8"/>
  <c r="F58" i="12" s="1"/>
  <c r="U59" i="8"/>
  <c r="W55" i="8"/>
  <c r="E54" i="12" s="1"/>
  <c r="T55" i="8"/>
  <c r="T52" i="8"/>
  <c r="W51" i="8"/>
  <c r="E50" i="12" s="1"/>
  <c r="T51" i="8"/>
  <c r="X50" i="8"/>
  <c r="F49" i="12" s="1"/>
  <c r="X49" i="8"/>
  <c r="F48" i="12" s="1"/>
  <c r="U49" i="8"/>
  <c r="X48" i="8"/>
  <c r="F47" i="12" s="1"/>
  <c r="U48" i="8"/>
  <c r="T48" i="8"/>
  <c r="X47" i="8"/>
  <c r="F46" i="12" s="1"/>
  <c r="W47" i="8"/>
  <c r="E46" i="12" s="1"/>
  <c r="U47" i="8"/>
  <c r="T47" i="8"/>
  <c r="X46" i="8"/>
  <c r="F45" i="12" s="1"/>
  <c r="W46" i="8"/>
  <c r="E45" i="12" s="1"/>
  <c r="T46" i="8"/>
  <c r="X45" i="8"/>
  <c r="F44" i="12" s="1"/>
  <c r="W45" i="8"/>
  <c r="E44" i="12" s="1"/>
  <c r="U45" i="8"/>
  <c r="T45" i="8"/>
  <c r="X44" i="8"/>
  <c r="W44" i="8"/>
  <c r="E43" i="12" s="1"/>
  <c r="U44" i="8"/>
  <c r="T44" i="8"/>
  <c r="X35" i="8"/>
  <c r="F34" i="12" s="1"/>
  <c r="T35" i="8"/>
  <c r="X34" i="8"/>
  <c r="F33" i="12" s="1"/>
  <c r="W34" i="8"/>
  <c r="E33" i="12" s="1"/>
  <c r="U34" i="8"/>
  <c r="X33" i="8"/>
  <c r="F32" i="12" s="1"/>
  <c r="T32" i="8"/>
  <c r="W29" i="8"/>
  <c r="E28" i="12" s="1"/>
  <c r="U29" i="8"/>
  <c r="X28" i="8"/>
  <c r="F27" i="12" s="1"/>
  <c r="U28" i="8"/>
  <c r="T28" i="8"/>
  <c r="X27" i="8"/>
  <c r="F26" i="12" s="1"/>
  <c r="W27" i="8"/>
  <c r="E26" i="12" s="1"/>
  <c r="U27" i="8"/>
  <c r="T27" i="8"/>
  <c r="X26" i="8"/>
  <c r="F25" i="12" s="1"/>
  <c r="W26" i="8"/>
  <c r="E25" i="12" s="1"/>
  <c r="T26" i="8"/>
  <c r="X25" i="8"/>
  <c r="F24" i="12" s="1"/>
  <c r="W25" i="8"/>
  <c r="E24" i="12" s="1"/>
  <c r="U25" i="8"/>
  <c r="T25" i="8"/>
  <c r="X24" i="8"/>
  <c r="W24" i="8"/>
  <c r="E23" i="12" s="1"/>
  <c r="U24" i="8"/>
  <c r="T24" i="8"/>
  <c r="W15" i="8"/>
  <c r="E14" i="12" s="1"/>
  <c r="T15" i="8"/>
  <c r="X14" i="8"/>
  <c r="F13" i="12" s="1"/>
  <c r="W14" i="8"/>
  <c r="E13" i="12" s="1"/>
  <c r="U14" i="8"/>
  <c r="X13" i="8"/>
  <c r="F12" i="12" s="1"/>
  <c r="U13" i="8"/>
  <c r="X12" i="8"/>
  <c r="F11" i="12" s="1"/>
  <c r="U12" i="8"/>
  <c r="X9" i="8"/>
  <c r="F8" i="12" s="1"/>
  <c r="W9" i="8"/>
  <c r="E8" i="12" s="1"/>
  <c r="T8" i="8"/>
  <c r="X7" i="8"/>
  <c r="F6" i="12" s="1"/>
  <c r="W7" i="8"/>
  <c r="E6" i="12" s="1"/>
  <c r="U7" i="8"/>
  <c r="T7" i="8"/>
  <c r="X6" i="8"/>
  <c r="F5" i="12" s="1"/>
  <c r="W6" i="8"/>
  <c r="E5" i="12" s="1"/>
  <c r="T6" i="8"/>
  <c r="T5" i="8"/>
  <c r="X4" i="8"/>
  <c r="F3" i="12" s="1"/>
  <c r="W4" i="8"/>
  <c r="U4" i="8"/>
  <c r="T4" i="8"/>
  <c r="X3" i="8"/>
  <c r="W3" i="8"/>
  <c r="E2" i="12" s="1"/>
  <c r="U3" i="8"/>
  <c r="T3" i="8"/>
  <c r="X4" i="1"/>
  <c r="C3" i="12" s="1"/>
  <c r="C23" i="12"/>
  <c r="C30" i="12"/>
  <c r="C31" i="12"/>
  <c r="C43" i="12"/>
  <c r="C49" i="12"/>
  <c r="C50" i="12"/>
  <c r="C51" i="12"/>
  <c r="C52" i="12"/>
  <c r="C53" i="12"/>
  <c r="C54" i="12"/>
  <c r="C63" i="12"/>
  <c r="C83" i="12"/>
  <c r="B4" i="12"/>
  <c r="B5" i="12"/>
  <c r="B6" i="12"/>
  <c r="B7" i="12"/>
  <c r="B8" i="12"/>
  <c r="B10" i="12"/>
  <c r="B11" i="12"/>
  <c r="B12" i="12"/>
  <c r="B13" i="12"/>
  <c r="B14" i="12"/>
  <c r="B23" i="12"/>
  <c r="B43" i="12"/>
  <c r="B44" i="12"/>
  <c r="B46" i="12"/>
  <c r="B48" i="12"/>
  <c r="B49" i="12"/>
  <c r="B64" i="12"/>
  <c r="B65" i="12"/>
  <c r="B68" i="12"/>
  <c r="B70" i="12"/>
  <c r="B71" i="12"/>
  <c r="B84" i="12"/>
  <c r="B87" i="12"/>
  <c r="B88" i="12"/>
  <c r="B89" i="12"/>
  <c r="B90" i="12"/>
  <c r="B91" i="12"/>
  <c r="B92" i="12"/>
  <c r="B93" i="12"/>
  <c r="B94" i="12"/>
  <c r="B96" i="12"/>
  <c r="B103" i="12"/>
  <c r="B104" i="12"/>
  <c r="B105" i="12"/>
  <c r="W3" i="1"/>
  <c r="B2" i="12" s="1"/>
  <c r="U4" i="1"/>
  <c r="U3" i="1"/>
  <c r="T7" i="1"/>
  <c r="T3" i="1"/>
  <c r="X33" i="12"/>
  <c r="X63" i="12"/>
  <c r="X103" i="12"/>
  <c r="W28" i="12"/>
  <c r="W33" i="12"/>
  <c r="W34" i="12"/>
  <c r="W63" i="12"/>
  <c r="W83" i="12"/>
  <c r="W87" i="12"/>
  <c r="W88" i="12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R68" i="12"/>
  <c r="R72" i="12"/>
  <c r="R78" i="12"/>
  <c r="R88" i="12"/>
  <c r="R97" i="12"/>
  <c r="R103" i="12"/>
  <c r="R107" i="12"/>
  <c r="R108" i="12"/>
  <c r="Q63" i="12"/>
  <c r="Q72" i="12"/>
  <c r="Q73" i="12"/>
  <c r="Q98" i="12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O37" i="12"/>
  <c r="O38" i="12"/>
  <c r="O52" i="12"/>
  <c r="O53" i="12"/>
  <c r="O56" i="12"/>
  <c r="O66" i="12"/>
  <c r="O76" i="12"/>
  <c r="O106" i="12"/>
  <c r="N58" i="12"/>
  <c r="N67" i="12"/>
  <c r="L47" i="12"/>
  <c r="L48" i="12"/>
  <c r="L53" i="12"/>
  <c r="L57" i="12"/>
  <c r="L68" i="12"/>
  <c r="L73" i="12"/>
  <c r="L83" i="12"/>
  <c r="L85" i="12"/>
  <c r="L93" i="12"/>
  <c r="L103" i="12"/>
  <c r="K38" i="12"/>
  <c r="K45" i="12"/>
  <c r="K58" i="12"/>
  <c r="K74" i="12"/>
  <c r="K98" i="12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C103" i="12"/>
  <c r="B66" i="12"/>
  <c r="B69" i="12"/>
  <c r="F43" i="12"/>
  <c r="F63" i="12"/>
  <c r="F68" i="12"/>
  <c r="I48" i="12"/>
  <c r="I97" i="12"/>
  <c r="I98" i="12"/>
  <c r="H48" i="12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R29" i="11"/>
  <c r="Q29" i="11"/>
  <c r="R28" i="11"/>
  <c r="Q28" i="11"/>
  <c r="R27" i="11"/>
  <c r="Q27" i="11"/>
  <c r="R26" i="11"/>
  <c r="Q26" i="11"/>
  <c r="R25" i="11"/>
  <c r="Q25" i="1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1" i="11"/>
  <c r="Q11" i="11"/>
  <c r="R10" i="11"/>
  <c r="Q10" i="11"/>
  <c r="R9" i="11"/>
  <c r="Q9" i="11"/>
  <c r="R8" i="11"/>
  <c r="Q8" i="11"/>
  <c r="R7" i="11"/>
  <c r="Q7" i="11"/>
  <c r="R6" i="11"/>
  <c r="Q6" i="11"/>
  <c r="R5" i="11"/>
  <c r="Q5" i="11"/>
  <c r="R4" i="11"/>
  <c r="Q4" i="11"/>
  <c r="R3" i="11"/>
  <c r="Q3" i="11"/>
  <c r="R3" i="7"/>
  <c r="Q3" i="7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R3" i="3"/>
  <c r="Q3" i="3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R4" i="9"/>
  <c r="Q4" i="9"/>
  <c r="R3" i="9"/>
  <c r="Q3" i="9"/>
  <c r="R3" i="2"/>
  <c r="Q3" i="2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R4" i="1"/>
  <c r="R5" i="1"/>
  <c r="R6" i="1"/>
  <c r="R7" i="1"/>
  <c r="R8" i="1"/>
  <c r="R9" i="1"/>
  <c r="R3" i="1"/>
  <c r="Q4" i="1"/>
  <c r="Q5" i="1"/>
  <c r="Q6" i="1"/>
  <c r="Q7" i="1"/>
  <c r="Q8" i="1"/>
  <c r="Q9" i="1"/>
  <c r="Q3" i="1"/>
  <c r="X41" i="12"/>
  <c r="W38" i="12"/>
  <c r="W24" i="12"/>
  <c r="W14" i="12"/>
  <c r="W4" i="12"/>
  <c r="X3" i="12"/>
  <c r="W3" i="12"/>
  <c r="Q58" i="12"/>
  <c r="R38" i="12"/>
  <c r="Q33" i="12"/>
  <c r="R28" i="12"/>
  <c r="Q27" i="12"/>
  <c r="R17" i="12"/>
  <c r="Q17" i="12"/>
  <c r="R8" i="12"/>
  <c r="R6" i="12"/>
  <c r="K108" i="12"/>
  <c r="K88" i="12"/>
  <c r="L87" i="12"/>
  <c r="K18" i="12"/>
  <c r="L17" i="12"/>
  <c r="L8" i="12"/>
  <c r="I24" i="12"/>
  <c r="H24" i="12"/>
  <c r="H18" i="12"/>
  <c r="F23" i="12"/>
  <c r="E3" i="12"/>
  <c r="F2" i="12"/>
  <c r="B26" i="12"/>
  <c r="Q20" i="6"/>
  <c r="O20" i="6"/>
  <c r="M20" i="6"/>
  <c r="K20" i="6"/>
  <c r="Q18" i="6"/>
  <c r="O18" i="6"/>
  <c r="M18" i="6"/>
  <c r="K18" i="6"/>
  <c r="Q16" i="6"/>
  <c r="O16" i="6"/>
  <c r="M16" i="6"/>
  <c r="K16" i="6"/>
  <c r="Q11" i="6"/>
  <c r="O11" i="6"/>
  <c r="M11" i="6"/>
  <c r="K11" i="6"/>
  <c r="Q10" i="6"/>
  <c r="O10" i="6"/>
  <c r="M10" i="6"/>
  <c r="K10" i="6"/>
  <c r="Q9" i="6"/>
  <c r="O9" i="6"/>
  <c r="M9" i="6"/>
  <c r="K9" i="6"/>
  <c r="Q8" i="6"/>
  <c r="O8" i="6"/>
  <c r="M8" i="6"/>
  <c r="K8" i="6"/>
  <c r="Q7" i="6"/>
  <c r="O7" i="6"/>
  <c r="M7" i="6"/>
  <c r="K7" i="6"/>
  <c r="Q6" i="6"/>
  <c r="O6" i="6"/>
  <c r="M6" i="6"/>
  <c r="K6" i="6"/>
  <c r="Q5" i="6"/>
  <c r="O5" i="6"/>
  <c r="M5" i="6"/>
  <c r="K5" i="6"/>
  <c r="Q4" i="6"/>
  <c r="O4" i="6"/>
  <c r="M4" i="6"/>
  <c r="K4" i="6"/>
  <c r="I20" i="6"/>
  <c r="G20" i="6"/>
  <c r="E20" i="6"/>
  <c r="C20" i="6"/>
  <c r="I18" i="6"/>
  <c r="G18" i="6"/>
  <c r="E18" i="6"/>
  <c r="C18" i="6"/>
  <c r="I16" i="6"/>
  <c r="G16" i="6"/>
  <c r="E16" i="6"/>
  <c r="C16" i="6"/>
  <c r="I11" i="6"/>
  <c r="G11" i="6"/>
  <c r="E11" i="6"/>
  <c r="C11" i="6"/>
  <c r="I10" i="6"/>
  <c r="G10" i="6"/>
  <c r="E10" i="6"/>
  <c r="C10" i="6"/>
  <c r="I9" i="6"/>
  <c r="G9" i="6"/>
  <c r="E9" i="6"/>
  <c r="C9" i="6"/>
  <c r="I8" i="6"/>
  <c r="G8" i="6"/>
  <c r="E8" i="6"/>
  <c r="C8" i="6"/>
  <c r="I7" i="6"/>
  <c r="G7" i="6"/>
  <c r="E7" i="6"/>
  <c r="C7" i="6"/>
  <c r="I6" i="6"/>
  <c r="G6" i="6"/>
  <c r="E6" i="6"/>
  <c r="C6" i="6"/>
  <c r="I5" i="6"/>
  <c r="G5" i="6"/>
  <c r="E5" i="6"/>
  <c r="C5" i="6"/>
  <c r="I4" i="6"/>
  <c r="G4" i="6"/>
  <c r="E4" i="6"/>
  <c r="C4" i="6"/>
  <c r="T3" i="7" l="1"/>
  <c r="U9" i="5"/>
  <c r="U17" i="12"/>
  <c r="U25" i="12"/>
  <c r="U33" i="12"/>
  <c r="U41" i="12"/>
  <c r="U49" i="5"/>
  <c r="U49" i="12"/>
  <c r="U57" i="12"/>
  <c r="U57" i="5"/>
  <c r="U65" i="5"/>
  <c r="U65" i="12"/>
  <c r="U73" i="12"/>
  <c r="U73" i="5"/>
  <c r="U81" i="12"/>
  <c r="U89" i="12"/>
  <c r="U89" i="5"/>
  <c r="U97" i="12"/>
  <c r="U105" i="12"/>
  <c r="T10" i="12"/>
  <c r="T10" i="5"/>
  <c r="T18" i="12"/>
  <c r="T18" i="5"/>
  <c r="T26" i="12"/>
  <c r="T26" i="5"/>
  <c r="T34" i="12"/>
  <c r="T42" i="12"/>
  <c r="T50" i="12"/>
  <c r="T50" i="5"/>
  <c r="T58" i="12"/>
  <c r="T66" i="12"/>
  <c r="T74" i="12"/>
  <c r="T82" i="12"/>
  <c r="T82" i="5"/>
  <c r="T90" i="12"/>
  <c r="T90" i="5"/>
  <c r="T98" i="12"/>
  <c r="T106" i="12"/>
  <c r="T106" i="5"/>
  <c r="U10" i="5"/>
  <c r="U10" i="12"/>
  <c r="U18" i="12"/>
  <c r="U26" i="12"/>
  <c r="U34" i="12"/>
  <c r="U34" i="5"/>
  <c r="U42" i="12"/>
  <c r="U42" i="5"/>
  <c r="U50" i="12"/>
  <c r="U50" i="5"/>
  <c r="U58" i="12"/>
  <c r="U66" i="12"/>
  <c r="U66" i="5"/>
  <c r="U74" i="5"/>
  <c r="U74" i="12"/>
  <c r="U82" i="12"/>
  <c r="U90" i="12"/>
  <c r="U90" i="5"/>
  <c r="U98" i="12"/>
  <c r="U98" i="5"/>
  <c r="U106" i="12"/>
  <c r="U106" i="5"/>
  <c r="T35" i="12"/>
  <c r="T35" i="5"/>
  <c r="U3" i="12"/>
  <c r="U3" i="5"/>
  <c r="U11" i="12"/>
  <c r="U19" i="12"/>
  <c r="U19" i="5"/>
  <c r="U27" i="12"/>
  <c r="U35" i="12"/>
  <c r="U35" i="5"/>
  <c r="U43" i="12"/>
  <c r="U43" i="5"/>
  <c r="U51" i="12"/>
  <c r="U51" i="5"/>
  <c r="U59" i="5"/>
  <c r="U67" i="12"/>
  <c r="U67" i="5"/>
  <c r="U75" i="12"/>
  <c r="U83" i="12"/>
  <c r="U91" i="12"/>
  <c r="U99" i="12"/>
  <c r="U99" i="5"/>
  <c r="U107" i="12"/>
  <c r="U107" i="5"/>
  <c r="T4" i="5"/>
  <c r="T4" i="12"/>
  <c r="T12" i="5"/>
  <c r="T20" i="5"/>
  <c r="T20" i="12"/>
  <c r="T28" i="12"/>
  <c r="T36" i="5"/>
  <c r="T36" i="12"/>
  <c r="T44" i="12"/>
  <c r="T52" i="12"/>
  <c r="T60" i="12"/>
  <c r="T60" i="5"/>
  <c r="T68" i="5"/>
  <c r="T68" i="12"/>
  <c r="T76" i="12"/>
  <c r="T76" i="5"/>
  <c r="T84" i="12"/>
  <c r="T92" i="12"/>
  <c r="T100" i="5"/>
  <c r="T100" i="12"/>
  <c r="T108" i="12"/>
  <c r="T99" i="12"/>
  <c r="T99" i="5"/>
  <c r="U4" i="12"/>
  <c r="U4" i="5"/>
  <c r="U12" i="12"/>
  <c r="U12" i="5"/>
  <c r="U20" i="5"/>
  <c r="U28" i="12"/>
  <c r="U28" i="5"/>
  <c r="U36" i="12"/>
  <c r="U44" i="12"/>
  <c r="U44" i="5"/>
  <c r="U60" i="12"/>
  <c r="U60" i="5"/>
  <c r="U68" i="12"/>
  <c r="U68" i="5"/>
  <c r="U76" i="12"/>
  <c r="U76" i="5"/>
  <c r="U84" i="12"/>
  <c r="U84" i="5"/>
  <c r="U92" i="5"/>
  <c r="U100" i="12"/>
  <c r="U100" i="5"/>
  <c r="U108" i="12"/>
  <c r="T11" i="12"/>
  <c r="T5" i="5"/>
  <c r="T5" i="12"/>
  <c r="T13" i="12"/>
  <c r="T13" i="5"/>
  <c r="T21" i="5"/>
  <c r="T21" i="12"/>
  <c r="T29" i="5"/>
  <c r="T37" i="5"/>
  <c r="T37" i="12"/>
  <c r="T45" i="12"/>
  <c r="T45" i="5"/>
  <c r="T53" i="5"/>
  <c r="T53" i="12"/>
  <c r="T61" i="12"/>
  <c r="T61" i="5"/>
  <c r="T69" i="12"/>
  <c r="T77" i="12"/>
  <c r="T77" i="5"/>
  <c r="T85" i="5"/>
  <c r="T85" i="12"/>
  <c r="T93" i="12"/>
  <c r="T101" i="5"/>
  <c r="T101" i="12"/>
  <c r="T51" i="12"/>
  <c r="T51" i="5"/>
  <c r="U5" i="12"/>
  <c r="U5" i="5"/>
  <c r="U13" i="12"/>
  <c r="U21" i="12"/>
  <c r="U21" i="5"/>
  <c r="U29" i="12"/>
  <c r="U29" i="5"/>
  <c r="U37" i="12"/>
  <c r="U37" i="5"/>
  <c r="U45" i="12"/>
  <c r="U45" i="5"/>
  <c r="U53" i="12"/>
  <c r="U53" i="5"/>
  <c r="U61" i="12"/>
  <c r="U61" i="5"/>
  <c r="U69" i="12"/>
  <c r="U69" i="5"/>
  <c r="U77" i="12"/>
  <c r="U85" i="12"/>
  <c r="U85" i="5"/>
  <c r="U93" i="12"/>
  <c r="U93" i="5"/>
  <c r="U101" i="12"/>
  <c r="U101" i="5"/>
  <c r="T67" i="12"/>
  <c r="T6" i="12"/>
  <c r="T14" i="12"/>
  <c r="T14" i="5"/>
  <c r="T22" i="12"/>
  <c r="T30" i="12"/>
  <c r="T38" i="12"/>
  <c r="T46" i="12"/>
  <c r="T46" i="5"/>
  <c r="T54" i="5"/>
  <c r="T54" i="12"/>
  <c r="T62" i="12"/>
  <c r="T70" i="5"/>
  <c r="T70" i="12"/>
  <c r="T78" i="12"/>
  <c r="T78" i="5"/>
  <c r="T86" i="5"/>
  <c r="T86" i="12"/>
  <c r="T94" i="12"/>
  <c r="T102" i="12"/>
  <c r="T27" i="12"/>
  <c r="T27" i="5"/>
  <c r="T107" i="12"/>
  <c r="T107" i="5"/>
  <c r="U6" i="12"/>
  <c r="U14" i="12"/>
  <c r="U22" i="12"/>
  <c r="U30" i="5"/>
  <c r="U30" i="12"/>
  <c r="U38" i="12"/>
  <c r="U46" i="12"/>
  <c r="U54" i="12"/>
  <c r="U54" i="5"/>
  <c r="U62" i="5"/>
  <c r="U62" i="12"/>
  <c r="U70" i="12"/>
  <c r="U70" i="5"/>
  <c r="U78" i="12"/>
  <c r="U86" i="12"/>
  <c r="U86" i="5"/>
  <c r="U94" i="12"/>
  <c r="U102" i="12"/>
  <c r="T59" i="12"/>
  <c r="T59" i="5"/>
  <c r="T7" i="5"/>
  <c r="T7" i="12"/>
  <c r="T15" i="12"/>
  <c r="T15" i="5"/>
  <c r="T23" i="12"/>
  <c r="T31" i="12"/>
  <c r="T31" i="5"/>
  <c r="T39" i="12"/>
  <c r="T47" i="12"/>
  <c r="T47" i="5"/>
  <c r="T55" i="5"/>
  <c r="T55" i="12"/>
  <c r="T63" i="12"/>
  <c r="T63" i="5"/>
  <c r="T71" i="5"/>
  <c r="T71" i="12"/>
  <c r="T79" i="12"/>
  <c r="T79" i="5"/>
  <c r="H4" i="13" s="1"/>
  <c r="T87" i="12"/>
  <c r="T95" i="12"/>
  <c r="T95" i="5"/>
  <c r="T103" i="12"/>
  <c r="T83" i="12"/>
  <c r="T83" i="5"/>
  <c r="U7" i="12"/>
  <c r="U7" i="5"/>
  <c r="U15" i="5"/>
  <c r="U15" i="12"/>
  <c r="U23" i="12"/>
  <c r="U23" i="5"/>
  <c r="U31" i="5"/>
  <c r="U31" i="12"/>
  <c r="U39" i="12"/>
  <c r="U39" i="5"/>
  <c r="U47" i="5"/>
  <c r="U47" i="12"/>
  <c r="U55" i="12"/>
  <c r="U55" i="5"/>
  <c r="U63" i="5"/>
  <c r="U63" i="12"/>
  <c r="U71" i="12"/>
  <c r="U71" i="5"/>
  <c r="U79" i="5"/>
  <c r="U79" i="12"/>
  <c r="U87" i="12"/>
  <c r="U87" i="5"/>
  <c r="U95" i="5"/>
  <c r="U95" i="12"/>
  <c r="U103" i="12"/>
  <c r="T43" i="12"/>
  <c r="T43" i="5"/>
  <c r="T8" i="12"/>
  <c r="T8" i="5"/>
  <c r="T16" i="12"/>
  <c r="T16" i="5"/>
  <c r="T24" i="12"/>
  <c r="T24" i="5"/>
  <c r="T32" i="5"/>
  <c r="T32" i="12"/>
  <c r="T40" i="12"/>
  <c r="T40" i="5"/>
  <c r="H2" i="13" s="1"/>
  <c r="T48" i="5"/>
  <c r="T48" i="12"/>
  <c r="T56" i="12"/>
  <c r="T64" i="12"/>
  <c r="T64" i="5"/>
  <c r="T72" i="12"/>
  <c r="T72" i="5"/>
  <c r="T80" i="5"/>
  <c r="T80" i="12"/>
  <c r="T88" i="12"/>
  <c r="T88" i="5"/>
  <c r="T96" i="12"/>
  <c r="T96" i="5"/>
  <c r="T104" i="12"/>
  <c r="T104" i="5"/>
  <c r="T19" i="12"/>
  <c r="T19" i="5"/>
  <c r="T91" i="12"/>
  <c r="T91" i="5"/>
  <c r="U8" i="12"/>
  <c r="U8" i="5"/>
  <c r="U16" i="5"/>
  <c r="U16" i="12"/>
  <c r="U24" i="12"/>
  <c r="U24" i="5"/>
  <c r="U32" i="12"/>
  <c r="U40" i="12"/>
  <c r="U40" i="5"/>
  <c r="U48" i="5"/>
  <c r="U48" i="12"/>
  <c r="U56" i="12"/>
  <c r="U56" i="5"/>
  <c r="U64" i="12"/>
  <c r="U72" i="12"/>
  <c r="U72" i="5"/>
  <c r="U80" i="5"/>
  <c r="U80" i="12"/>
  <c r="U88" i="12"/>
  <c r="U88" i="5"/>
  <c r="U96" i="5"/>
  <c r="U96" i="12"/>
  <c r="U104" i="12"/>
  <c r="U104" i="5"/>
  <c r="T3" i="12"/>
  <c r="T3" i="5"/>
  <c r="T75" i="12"/>
  <c r="T75" i="5"/>
  <c r="T9" i="12"/>
  <c r="T9" i="5"/>
  <c r="T17" i="12"/>
  <c r="T17" i="5"/>
  <c r="T25" i="12"/>
  <c r="T25" i="5"/>
  <c r="T33" i="12"/>
  <c r="T41" i="12"/>
  <c r="T41" i="5"/>
  <c r="T49" i="12"/>
  <c r="T49" i="5"/>
  <c r="T57" i="12"/>
  <c r="T57" i="5"/>
  <c r="T65" i="12"/>
  <c r="T65" i="5"/>
  <c r="T73" i="12"/>
  <c r="T73" i="5"/>
  <c r="T81" i="12"/>
  <c r="T81" i="5"/>
  <c r="T89" i="12"/>
  <c r="T89" i="5"/>
  <c r="T97" i="12"/>
  <c r="T105" i="12"/>
  <c r="U3" i="7"/>
  <c r="U2" i="5" s="1"/>
  <c r="U17" i="5"/>
  <c r="T12" i="12"/>
  <c r="U52" i="12"/>
  <c r="U92" i="12"/>
  <c r="N23" i="12"/>
  <c r="O55" i="12"/>
  <c r="N96" i="12"/>
  <c r="N6" i="5"/>
  <c r="N16" i="5"/>
  <c r="N33" i="12"/>
  <c r="N73" i="12"/>
  <c r="O33" i="12"/>
  <c r="O65" i="12"/>
  <c r="N66" i="12"/>
  <c r="N106" i="12"/>
  <c r="O90" i="12"/>
  <c r="N19" i="5"/>
  <c r="N43" i="12"/>
  <c r="N83" i="12"/>
  <c r="O27" i="12"/>
  <c r="O43" i="12"/>
  <c r="O75" i="12"/>
  <c r="O83" i="12"/>
  <c r="O107" i="12"/>
  <c r="N76" i="12"/>
  <c r="N69" i="5"/>
  <c r="F3" i="13" s="1"/>
  <c r="N93" i="12"/>
  <c r="O45" i="12"/>
  <c r="O85" i="12"/>
  <c r="O93" i="12"/>
  <c r="I6" i="12"/>
  <c r="I44" i="12"/>
  <c r="I47" i="5"/>
  <c r="I84" i="12"/>
  <c r="I94" i="12"/>
  <c r="H23" i="12"/>
  <c r="H31" i="12"/>
  <c r="H79" i="5"/>
  <c r="D4" i="13" s="1"/>
  <c r="H103" i="5"/>
  <c r="I13" i="12"/>
  <c r="I31" i="12"/>
  <c r="I63" i="12"/>
  <c r="I71" i="12"/>
  <c r="I40" i="12"/>
  <c r="I104" i="12"/>
  <c r="H33" i="12"/>
  <c r="H41" i="12"/>
  <c r="H81" i="12"/>
  <c r="H89" i="5"/>
  <c r="I33" i="12"/>
  <c r="I41" i="12"/>
  <c r="I73" i="12"/>
  <c r="I81" i="12"/>
  <c r="H10" i="5"/>
  <c r="H42" i="5"/>
  <c r="H50" i="12"/>
  <c r="I36" i="12"/>
  <c r="I76" i="12"/>
  <c r="I50" i="12"/>
  <c r="H21" i="12"/>
  <c r="H37" i="12"/>
  <c r="H61" i="12"/>
  <c r="H77" i="12"/>
  <c r="H101" i="5"/>
  <c r="H3" i="12"/>
  <c r="H19" i="5"/>
  <c r="H43" i="12"/>
  <c r="H83" i="12"/>
  <c r="H91" i="12"/>
  <c r="I46" i="12"/>
  <c r="I37" i="12"/>
  <c r="I61" i="12"/>
  <c r="I77" i="12"/>
  <c r="I43" i="12"/>
  <c r="I91" i="12"/>
  <c r="C14" i="12"/>
  <c r="B66" i="5"/>
  <c r="C12" i="12"/>
  <c r="B67" i="12"/>
  <c r="B80" i="12"/>
  <c r="B16" i="12"/>
  <c r="C74" i="12"/>
  <c r="C10" i="12"/>
  <c r="B79" i="12"/>
  <c r="B15" i="12"/>
  <c r="C73" i="12"/>
  <c r="C9" i="12"/>
  <c r="B90" i="5"/>
  <c r="B78" i="12"/>
  <c r="C72" i="12"/>
  <c r="C28" i="12"/>
  <c r="B25" i="12"/>
  <c r="B77" i="12"/>
  <c r="C71" i="12"/>
  <c r="C70" i="12"/>
  <c r="C54" i="5"/>
  <c r="C25" i="5"/>
  <c r="B63" i="12"/>
  <c r="T4" i="1"/>
  <c r="B107" i="12"/>
  <c r="B75" i="12"/>
  <c r="C69" i="12"/>
  <c r="B72" i="12"/>
  <c r="C48" i="12"/>
  <c r="C16" i="12"/>
  <c r="C27" i="5"/>
  <c r="B69" i="5"/>
  <c r="B3" i="13" s="1"/>
  <c r="C47" i="12"/>
  <c r="C15" i="12"/>
  <c r="X61" i="11"/>
  <c r="X60" i="12" s="1"/>
  <c r="T62" i="11"/>
  <c r="U8" i="11"/>
  <c r="U62" i="11"/>
  <c r="T78" i="11"/>
  <c r="W77" i="5" s="1"/>
  <c r="T6" i="11"/>
  <c r="W5" i="5" s="1"/>
  <c r="T26" i="11"/>
  <c r="W25" i="5" s="1"/>
  <c r="T46" i="11"/>
  <c r="W45" i="5" s="1"/>
  <c r="T56" i="11"/>
  <c r="W55" i="5" s="1"/>
  <c r="T76" i="11"/>
  <c r="T86" i="11"/>
  <c r="T106" i="11"/>
  <c r="W8" i="11"/>
  <c r="W7" i="12" s="1"/>
  <c r="X6" i="11"/>
  <c r="X5" i="12" s="1"/>
  <c r="X16" i="11"/>
  <c r="X15" i="12" s="1"/>
  <c r="X26" i="11"/>
  <c r="X25" i="12" s="1"/>
  <c r="U56" i="11"/>
  <c r="X55" i="5" s="1"/>
  <c r="U66" i="11"/>
  <c r="X65" i="5" s="1"/>
  <c r="X76" i="11"/>
  <c r="X75" i="12" s="1"/>
  <c r="X86" i="11"/>
  <c r="X85" i="12" s="1"/>
  <c r="X96" i="11"/>
  <c r="X95" i="12" s="1"/>
  <c r="X106" i="11"/>
  <c r="X105" i="12" s="1"/>
  <c r="U71" i="11"/>
  <c r="T16" i="11"/>
  <c r="T36" i="11"/>
  <c r="W35" i="5" s="1"/>
  <c r="T66" i="11"/>
  <c r="T96" i="11"/>
  <c r="W7" i="11"/>
  <c r="W6" i="12" s="1"/>
  <c r="W17" i="11"/>
  <c r="W16" i="12" s="1"/>
  <c r="W27" i="11"/>
  <c r="W26" i="12" s="1"/>
  <c r="W37" i="11"/>
  <c r="W36" i="12" s="1"/>
  <c r="W47" i="11"/>
  <c r="W46" i="12" s="1"/>
  <c r="T77" i="11"/>
  <c r="W76" i="5" s="1"/>
  <c r="T87" i="11"/>
  <c r="W97" i="11"/>
  <c r="W96" i="12" s="1"/>
  <c r="W107" i="11"/>
  <c r="W106" i="12" s="1"/>
  <c r="U21" i="11"/>
  <c r="X20" i="5" s="1"/>
  <c r="U31" i="11"/>
  <c r="X30" i="5" s="1"/>
  <c r="U46" i="11"/>
  <c r="X45" i="5" s="1"/>
  <c r="T22" i="11"/>
  <c r="T32" i="11"/>
  <c r="T82" i="11"/>
  <c r="T3" i="11"/>
  <c r="U22" i="11"/>
  <c r="U32" i="11"/>
  <c r="T57" i="11"/>
  <c r="W56" i="5" s="1"/>
  <c r="U82" i="11"/>
  <c r="X81" i="5" s="1"/>
  <c r="T108" i="11"/>
  <c r="W107" i="5" s="1"/>
  <c r="U41" i="11"/>
  <c r="X40" i="5" s="1"/>
  <c r="U91" i="11"/>
  <c r="T11" i="11"/>
  <c r="T21" i="11"/>
  <c r="T31" i="11"/>
  <c r="T41" i="11"/>
  <c r="W40" i="5" s="1"/>
  <c r="T51" i="11"/>
  <c r="W50" i="5" s="1"/>
  <c r="T61" i="11"/>
  <c r="W60" i="5" s="1"/>
  <c r="T71" i="11"/>
  <c r="W70" i="5" s="1"/>
  <c r="T81" i="11"/>
  <c r="T91" i="11"/>
  <c r="W90" i="5" s="1"/>
  <c r="T101" i="11"/>
  <c r="W100" i="5" s="1"/>
  <c r="U59" i="12"/>
  <c r="U9" i="12"/>
  <c r="U20" i="12"/>
  <c r="W56" i="10"/>
  <c r="Q55" i="12" s="1"/>
  <c r="W106" i="10"/>
  <c r="Q105" i="12" s="1"/>
  <c r="T57" i="10"/>
  <c r="Q56" i="5" s="1"/>
  <c r="W96" i="10"/>
  <c r="Q95" i="12" s="1"/>
  <c r="U57" i="10"/>
  <c r="X96" i="10"/>
  <c r="R95" i="12" s="1"/>
  <c r="T107" i="10"/>
  <c r="W46" i="10"/>
  <c r="Q45" i="12" s="1"/>
  <c r="T97" i="10"/>
  <c r="Q96" i="5" s="1"/>
  <c r="U107" i="10"/>
  <c r="T36" i="10"/>
  <c r="X46" i="10"/>
  <c r="R45" i="12" s="1"/>
  <c r="T87" i="10"/>
  <c r="U97" i="10"/>
  <c r="U47" i="10"/>
  <c r="R46" i="5" s="1"/>
  <c r="W6" i="10"/>
  <c r="Q5" i="12" s="1"/>
  <c r="T6" i="10"/>
  <c r="Q5" i="5" s="1"/>
  <c r="W86" i="10"/>
  <c r="Q85" i="12" s="1"/>
  <c r="T86" i="10"/>
  <c r="Q85" i="5" s="1"/>
  <c r="X6" i="10"/>
  <c r="R5" i="12" s="1"/>
  <c r="U6" i="10"/>
  <c r="X86" i="10"/>
  <c r="R85" i="12" s="1"/>
  <c r="U86" i="10"/>
  <c r="R85" i="5" s="1"/>
  <c r="T26" i="10"/>
  <c r="W37" i="10"/>
  <c r="Q36" i="12" s="1"/>
  <c r="T37" i="10"/>
  <c r="U26" i="10"/>
  <c r="X27" i="10"/>
  <c r="R26" i="12" s="1"/>
  <c r="U27" i="10"/>
  <c r="R26" i="5" s="1"/>
  <c r="X37" i="10"/>
  <c r="R36" i="12" s="1"/>
  <c r="U37" i="10"/>
  <c r="X67" i="10"/>
  <c r="R66" i="12" s="1"/>
  <c r="U67" i="10"/>
  <c r="U16" i="10"/>
  <c r="R15" i="5" s="1"/>
  <c r="T66" i="10"/>
  <c r="W16" i="10"/>
  <c r="Q15" i="12" s="1"/>
  <c r="T27" i="10"/>
  <c r="Q26" i="5" s="1"/>
  <c r="U5" i="10"/>
  <c r="R4" i="5" s="1"/>
  <c r="U15" i="10"/>
  <c r="R14" i="5" s="1"/>
  <c r="U25" i="10"/>
  <c r="R24" i="5" s="1"/>
  <c r="U35" i="10"/>
  <c r="U45" i="10"/>
  <c r="U55" i="10"/>
  <c r="U65" i="10"/>
  <c r="U75" i="10"/>
  <c r="U85" i="10"/>
  <c r="U95" i="10"/>
  <c r="U105" i="10"/>
  <c r="R104" i="5" s="1"/>
  <c r="T10" i="10"/>
  <c r="Q9" i="5" s="1"/>
  <c r="T20" i="10"/>
  <c r="T30" i="10"/>
  <c r="T40" i="10"/>
  <c r="T50" i="10"/>
  <c r="T60" i="10"/>
  <c r="T70" i="10"/>
  <c r="Q69" i="5" s="1"/>
  <c r="T80" i="10"/>
  <c r="T90" i="10"/>
  <c r="Q89" i="5" s="1"/>
  <c r="T100" i="10"/>
  <c r="Q99" i="5" s="1"/>
  <c r="U10" i="10"/>
  <c r="U20" i="10"/>
  <c r="R19" i="5" s="1"/>
  <c r="U30" i="10"/>
  <c r="U40" i="10"/>
  <c r="U50" i="10"/>
  <c r="U60" i="10"/>
  <c r="U70" i="10"/>
  <c r="R69" i="5" s="1"/>
  <c r="U80" i="10"/>
  <c r="U90" i="10"/>
  <c r="U100" i="10"/>
  <c r="W11" i="10"/>
  <c r="Q10" i="12" s="1"/>
  <c r="T21" i="10"/>
  <c r="W31" i="10"/>
  <c r="Q30" i="12" s="1"/>
  <c r="W51" i="10"/>
  <c r="Q50" i="12" s="1"/>
  <c r="W61" i="10"/>
  <c r="Q60" i="12" s="1"/>
  <c r="T71" i="10"/>
  <c r="W81" i="10"/>
  <c r="Q80" i="12" s="1"/>
  <c r="W91" i="10"/>
  <c r="Q90" i="12" s="1"/>
  <c r="W101" i="10"/>
  <c r="Q100" i="12" s="1"/>
  <c r="X11" i="10"/>
  <c r="R10" i="12" s="1"/>
  <c r="X21" i="10"/>
  <c r="R20" i="12" s="1"/>
  <c r="X31" i="10"/>
  <c r="R30" i="12" s="1"/>
  <c r="X41" i="10"/>
  <c r="R40" i="12" s="1"/>
  <c r="X51" i="10"/>
  <c r="R50" i="12" s="1"/>
  <c r="X61" i="10"/>
  <c r="R60" i="12" s="1"/>
  <c r="X71" i="10"/>
  <c r="R70" i="12" s="1"/>
  <c r="X81" i="10"/>
  <c r="R80" i="12" s="1"/>
  <c r="X91" i="10"/>
  <c r="R90" i="12" s="1"/>
  <c r="X101" i="10"/>
  <c r="R100" i="12" s="1"/>
  <c r="O5" i="5"/>
  <c r="O45" i="5"/>
  <c r="O55" i="5"/>
  <c r="O65" i="5"/>
  <c r="O85" i="5"/>
  <c r="N86" i="5"/>
  <c r="N33" i="5"/>
  <c r="N76" i="5"/>
  <c r="O33" i="5"/>
  <c r="N9" i="12"/>
  <c r="N19" i="12"/>
  <c r="N29" i="12"/>
  <c r="N39" i="12"/>
  <c r="N49" i="12"/>
  <c r="N59" i="12"/>
  <c r="N69" i="12"/>
  <c r="N79" i="12"/>
  <c r="N89" i="12"/>
  <c r="N99" i="12"/>
  <c r="N23" i="5"/>
  <c r="O50" i="5"/>
  <c r="O60" i="5"/>
  <c r="O70" i="5"/>
  <c r="O80" i="5"/>
  <c r="O90" i="5"/>
  <c r="O100" i="5"/>
  <c r="T83" i="9"/>
  <c r="T3" i="9"/>
  <c r="U83" i="9"/>
  <c r="T93" i="9"/>
  <c r="T7" i="9"/>
  <c r="K6" i="5" s="1"/>
  <c r="T17" i="9"/>
  <c r="T27" i="9"/>
  <c r="K26" i="5" s="1"/>
  <c r="T37" i="9"/>
  <c r="T47" i="9"/>
  <c r="K46" i="5" s="1"/>
  <c r="T57" i="9"/>
  <c r="T67" i="9"/>
  <c r="K66" i="5" s="1"/>
  <c r="T77" i="9"/>
  <c r="T87" i="9"/>
  <c r="K86" i="5" s="1"/>
  <c r="T97" i="9"/>
  <c r="K96" i="5" s="1"/>
  <c r="T107" i="9"/>
  <c r="K106" i="5" s="1"/>
  <c r="T103" i="9"/>
  <c r="K102" i="5" s="1"/>
  <c r="W13" i="9"/>
  <c r="K12" i="12" s="1"/>
  <c r="U103" i="9"/>
  <c r="L102" i="5" s="1"/>
  <c r="W23" i="9"/>
  <c r="K22" i="12" s="1"/>
  <c r="T33" i="9"/>
  <c r="K32" i="5" s="1"/>
  <c r="T104" i="9"/>
  <c r="X23" i="9"/>
  <c r="L22" i="12" s="1"/>
  <c r="U33" i="9"/>
  <c r="T78" i="9"/>
  <c r="H5" i="12"/>
  <c r="H35" i="12"/>
  <c r="H45" i="12"/>
  <c r="H55" i="12"/>
  <c r="H65" i="5"/>
  <c r="H75" i="5"/>
  <c r="H85" i="12"/>
  <c r="H95" i="12"/>
  <c r="H105" i="12"/>
  <c r="I91" i="5"/>
  <c r="I5" i="12"/>
  <c r="I15" i="5"/>
  <c r="I25" i="12"/>
  <c r="I35" i="12"/>
  <c r="I45" i="12"/>
  <c r="I55" i="12"/>
  <c r="I75" i="12"/>
  <c r="I85" i="12"/>
  <c r="I95" i="12"/>
  <c r="I105" i="12"/>
  <c r="H41" i="5"/>
  <c r="H16" i="12"/>
  <c r="H26" i="12"/>
  <c r="H36" i="12"/>
  <c r="H56" i="5"/>
  <c r="H66" i="12"/>
  <c r="H76" i="12"/>
  <c r="H86" i="12"/>
  <c r="H96" i="12"/>
  <c r="H106" i="12"/>
  <c r="H53" i="12"/>
  <c r="H63" i="12"/>
  <c r="H73" i="12"/>
  <c r="H10" i="12"/>
  <c r="H20" i="12"/>
  <c r="H30" i="12"/>
  <c r="H40" i="12"/>
  <c r="H50" i="5"/>
  <c r="H60" i="12"/>
  <c r="H70" i="12"/>
  <c r="H80" i="12"/>
  <c r="H90" i="12"/>
  <c r="H100" i="12"/>
  <c r="H9" i="12"/>
  <c r="H19" i="12"/>
  <c r="H29" i="12"/>
  <c r="H39" i="12"/>
  <c r="H49" i="12"/>
  <c r="H59" i="12"/>
  <c r="H69" i="12"/>
  <c r="H79" i="12"/>
  <c r="H89" i="12"/>
  <c r="H99" i="12"/>
  <c r="I10" i="12"/>
  <c r="I20" i="12"/>
  <c r="I30" i="12"/>
  <c r="I40" i="5"/>
  <c r="I50" i="5"/>
  <c r="I60" i="12"/>
  <c r="I70" i="12"/>
  <c r="I80" i="12"/>
  <c r="I90" i="12"/>
  <c r="I100" i="12"/>
  <c r="T10" i="11"/>
  <c r="W10" i="11"/>
  <c r="W9" i="12" s="1"/>
  <c r="W20" i="11"/>
  <c r="W19" i="12" s="1"/>
  <c r="T20" i="11"/>
  <c r="W19" i="5" s="1"/>
  <c r="T30" i="11"/>
  <c r="W29" i="5" s="1"/>
  <c r="W30" i="11"/>
  <c r="W29" i="12" s="1"/>
  <c r="T40" i="11"/>
  <c r="W39" i="5" s="1"/>
  <c r="W40" i="11"/>
  <c r="W39" i="12" s="1"/>
  <c r="W50" i="11"/>
  <c r="W49" i="12" s="1"/>
  <c r="T50" i="11"/>
  <c r="T60" i="11"/>
  <c r="W60" i="11"/>
  <c r="W59" i="12" s="1"/>
  <c r="W70" i="11"/>
  <c r="W69" i="12" s="1"/>
  <c r="T70" i="11"/>
  <c r="W69" i="5" s="1"/>
  <c r="W80" i="11"/>
  <c r="W79" i="12" s="1"/>
  <c r="T80" i="11"/>
  <c r="W79" i="5" s="1"/>
  <c r="W100" i="11"/>
  <c r="W99" i="12" s="1"/>
  <c r="T100" i="11"/>
  <c r="W99" i="5" s="1"/>
  <c r="U10" i="11"/>
  <c r="X9" i="5" s="1"/>
  <c r="X10" i="11"/>
  <c r="X9" i="12" s="1"/>
  <c r="U20" i="11"/>
  <c r="X20" i="11"/>
  <c r="X19" i="12" s="1"/>
  <c r="U30" i="11"/>
  <c r="X30" i="11"/>
  <c r="X29" i="12" s="1"/>
  <c r="U40" i="11"/>
  <c r="X39" i="5" s="1"/>
  <c r="X40" i="11"/>
  <c r="X39" i="12" s="1"/>
  <c r="U50" i="11"/>
  <c r="X49" i="5" s="1"/>
  <c r="X50" i="11"/>
  <c r="X49" i="12" s="1"/>
  <c r="U60" i="11"/>
  <c r="X59" i="5" s="1"/>
  <c r="X60" i="11"/>
  <c r="X59" i="12" s="1"/>
  <c r="U70" i="11"/>
  <c r="X70" i="11"/>
  <c r="X69" i="12" s="1"/>
  <c r="U80" i="11"/>
  <c r="X80" i="11"/>
  <c r="X79" i="12" s="1"/>
  <c r="U90" i="11"/>
  <c r="X89" i="5" s="1"/>
  <c r="X90" i="11"/>
  <c r="X89" i="12" s="1"/>
  <c r="U100" i="11"/>
  <c r="X99" i="5" s="1"/>
  <c r="X100" i="11"/>
  <c r="X99" i="12" s="1"/>
  <c r="W26" i="11"/>
  <c r="W25" i="12" s="1"/>
  <c r="U6" i="11"/>
  <c r="X5" i="5" s="1"/>
  <c r="W41" i="11"/>
  <c r="W40" i="12" s="1"/>
  <c r="W6" i="11"/>
  <c r="W5" i="12" s="1"/>
  <c r="T27" i="11"/>
  <c r="W26" i="5" s="1"/>
  <c r="U96" i="11"/>
  <c r="X95" i="5" s="1"/>
  <c r="W21" i="11"/>
  <c r="W20" i="12" s="1"/>
  <c r="U27" i="11"/>
  <c r="X26" i="5" s="1"/>
  <c r="W96" i="11"/>
  <c r="W95" i="12" s="1"/>
  <c r="T7" i="11"/>
  <c r="W6" i="5" s="1"/>
  <c r="T48" i="11"/>
  <c r="W47" i="5" s="1"/>
  <c r="U76" i="11"/>
  <c r="U7" i="11"/>
  <c r="U48" i="11"/>
  <c r="X47" i="5" s="1"/>
  <c r="W76" i="11"/>
  <c r="W75" i="12" s="1"/>
  <c r="T97" i="11"/>
  <c r="W96" i="5" s="1"/>
  <c r="T69" i="11"/>
  <c r="W68" i="5" s="1"/>
  <c r="W91" i="11"/>
  <c r="W90" i="12" s="1"/>
  <c r="W56" i="11"/>
  <c r="W55" i="12" s="1"/>
  <c r="W90" i="11"/>
  <c r="W89" i="12" s="1"/>
  <c r="T90" i="11"/>
  <c r="W89" i="5" s="1"/>
  <c r="U5" i="11"/>
  <c r="X5" i="11"/>
  <c r="X4" i="12" s="1"/>
  <c r="U15" i="11"/>
  <c r="X14" i="5" s="1"/>
  <c r="X15" i="11"/>
  <c r="X14" i="12" s="1"/>
  <c r="U25" i="11"/>
  <c r="X24" i="5" s="1"/>
  <c r="X25" i="11"/>
  <c r="X24" i="12" s="1"/>
  <c r="U35" i="11"/>
  <c r="X34" i="5" s="1"/>
  <c r="X35" i="11"/>
  <c r="X34" i="12" s="1"/>
  <c r="U45" i="11"/>
  <c r="X44" i="5" s="1"/>
  <c r="X45" i="11"/>
  <c r="X44" i="12" s="1"/>
  <c r="X55" i="11"/>
  <c r="X54" i="12" s="1"/>
  <c r="U55" i="11"/>
  <c r="U65" i="11"/>
  <c r="X64" i="5" s="1"/>
  <c r="X65" i="11"/>
  <c r="X64" i="12" s="1"/>
  <c r="X75" i="11"/>
  <c r="X74" i="12" s="1"/>
  <c r="U75" i="11"/>
  <c r="X74" i="5" s="1"/>
  <c r="U85" i="11"/>
  <c r="X84" i="5" s="1"/>
  <c r="X85" i="11"/>
  <c r="X84" i="12" s="1"/>
  <c r="X95" i="11"/>
  <c r="X94" i="12" s="1"/>
  <c r="U95" i="11"/>
  <c r="X94" i="5" s="1"/>
  <c r="X105" i="11"/>
  <c r="X104" i="12" s="1"/>
  <c r="U105" i="11"/>
  <c r="W51" i="11"/>
  <c r="W50" i="12" s="1"/>
  <c r="W16" i="11"/>
  <c r="W15" i="12" s="1"/>
  <c r="U106" i="11"/>
  <c r="W31" i="11"/>
  <c r="W30" i="12" s="1"/>
  <c r="W106" i="11"/>
  <c r="W105" i="12" s="1"/>
  <c r="T17" i="11"/>
  <c r="W16" i="5" s="1"/>
  <c r="U86" i="11"/>
  <c r="X85" i="5" s="1"/>
  <c r="W11" i="11"/>
  <c r="W10" i="12" s="1"/>
  <c r="U17" i="11"/>
  <c r="W86" i="11"/>
  <c r="W85" i="12" s="1"/>
  <c r="T107" i="11"/>
  <c r="W101" i="11"/>
  <c r="W100" i="12" s="1"/>
  <c r="W66" i="11"/>
  <c r="W65" i="12" s="1"/>
  <c r="U9" i="11"/>
  <c r="X8" i="5" s="1"/>
  <c r="X9" i="11"/>
  <c r="X8" i="12" s="1"/>
  <c r="U19" i="11"/>
  <c r="X18" i="5" s="1"/>
  <c r="X19" i="11"/>
  <c r="X18" i="12" s="1"/>
  <c r="U29" i="11"/>
  <c r="X29" i="11"/>
  <c r="X28" i="12" s="1"/>
  <c r="U39" i="11"/>
  <c r="X39" i="11"/>
  <c r="X38" i="12" s="1"/>
  <c r="X49" i="11"/>
  <c r="X48" i="12" s="1"/>
  <c r="U49" i="11"/>
  <c r="X48" i="5" s="1"/>
  <c r="U59" i="11"/>
  <c r="X58" i="5" s="1"/>
  <c r="X59" i="11"/>
  <c r="X58" i="12" s="1"/>
  <c r="X69" i="11"/>
  <c r="X68" i="12" s="1"/>
  <c r="U69" i="11"/>
  <c r="X68" i="5" s="1"/>
  <c r="X79" i="11"/>
  <c r="X78" i="12" s="1"/>
  <c r="U79" i="11"/>
  <c r="X89" i="11"/>
  <c r="X88" i="12" s="1"/>
  <c r="U89" i="11"/>
  <c r="X99" i="11"/>
  <c r="X98" i="12" s="1"/>
  <c r="U99" i="11"/>
  <c r="X109" i="11"/>
  <c r="X108" i="12" s="1"/>
  <c r="U109" i="11"/>
  <c r="X108" i="5" s="1"/>
  <c r="X27" i="5"/>
  <c r="W48" i="5"/>
  <c r="W67" i="5"/>
  <c r="X107" i="5"/>
  <c r="X87" i="5"/>
  <c r="X67" i="5"/>
  <c r="T29" i="12"/>
  <c r="T30" i="5"/>
  <c r="U64" i="5"/>
  <c r="U14" i="5"/>
  <c r="W10" i="10"/>
  <c r="Q9" i="12" s="1"/>
  <c r="X20" i="10"/>
  <c r="R19" i="12" s="1"/>
  <c r="U51" i="10"/>
  <c r="X90" i="10"/>
  <c r="R89" i="12" s="1"/>
  <c r="W80" i="10"/>
  <c r="Q79" i="12" s="1"/>
  <c r="X80" i="10"/>
  <c r="R79" i="12" s="1"/>
  <c r="U11" i="10"/>
  <c r="R10" i="5" s="1"/>
  <c r="W50" i="10"/>
  <c r="Q49" i="12" s="1"/>
  <c r="U81" i="10"/>
  <c r="R80" i="5" s="1"/>
  <c r="X50" i="10"/>
  <c r="R49" i="12" s="1"/>
  <c r="W20" i="10"/>
  <c r="Q19" i="12" s="1"/>
  <c r="T51" i="10"/>
  <c r="W90" i="10"/>
  <c r="Q89" i="12" s="1"/>
  <c r="T91" i="10"/>
  <c r="Q90" i="5" s="1"/>
  <c r="X60" i="10"/>
  <c r="R59" i="12" s="1"/>
  <c r="W30" i="10"/>
  <c r="Q29" i="12" s="1"/>
  <c r="T61" i="10"/>
  <c r="Q60" i="5" s="1"/>
  <c r="X100" i="10"/>
  <c r="R99" i="12" s="1"/>
  <c r="W60" i="10"/>
  <c r="Q59" i="12" s="1"/>
  <c r="W100" i="10"/>
  <c r="Q99" i="12" s="1"/>
  <c r="X30" i="10"/>
  <c r="R29" i="12" s="1"/>
  <c r="U61" i="10"/>
  <c r="T101" i="10"/>
  <c r="Q100" i="5" s="1"/>
  <c r="T31" i="10"/>
  <c r="U101" i="10"/>
  <c r="U31" i="10"/>
  <c r="R30" i="5" s="1"/>
  <c r="W70" i="10"/>
  <c r="Q69" i="12" s="1"/>
  <c r="X70" i="10"/>
  <c r="R69" i="12" s="1"/>
  <c r="X12" i="10"/>
  <c r="R11" i="12" s="1"/>
  <c r="X22" i="10"/>
  <c r="R21" i="12" s="1"/>
  <c r="X32" i="10"/>
  <c r="R31" i="12" s="1"/>
  <c r="X42" i="10"/>
  <c r="R41" i="12" s="1"/>
  <c r="X52" i="10"/>
  <c r="R51" i="12" s="1"/>
  <c r="X62" i="10"/>
  <c r="R61" i="12" s="1"/>
  <c r="X72" i="10"/>
  <c r="R71" i="12" s="1"/>
  <c r="X82" i="10"/>
  <c r="R81" i="12" s="1"/>
  <c r="X92" i="10"/>
  <c r="R91" i="12" s="1"/>
  <c r="X102" i="10"/>
  <c r="R101" i="12" s="1"/>
  <c r="T12" i="10"/>
  <c r="Q11" i="5" s="1"/>
  <c r="T22" i="10"/>
  <c r="Q21" i="5" s="1"/>
  <c r="T32" i="10"/>
  <c r="T42" i="10"/>
  <c r="T52" i="10"/>
  <c r="T62" i="10"/>
  <c r="T72" i="10"/>
  <c r="Q71" i="5" s="1"/>
  <c r="T82" i="10"/>
  <c r="Q81" i="5" s="1"/>
  <c r="T92" i="10"/>
  <c r="Q91" i="5" s="1"/>
  <c r="T102" i="10"/>
  <c r="U4" i="10"/>
  <c r="R3" i="5" s="1"/>
  <c r="U14" i="10"/>
  <c r="U24" i="10"/>
  <c r="U34" i="10"/>
  <c r="U44" i="10"/>
  <c r="R43" i="5" s="1"/>
  <c r="U54" i="10"/>
  <c r="R53" i="5" s="1"/>
  <c r="U64" i="10"/>
  <c r="R63" i="5" s="1"/>
  <c r="U74" i="10"/>
  <c r="R73" i="5" s="1"/>
  <c r="U84" i="10"/>
  <c r="R83" i="5" s="1"/>
  <c r="U94" i="10"/>
  <c r="R93" i="5" s="1"/>
  <c r="U104" i="10"/>
  <c r="R103" i="5" s="1"/>
  <c r="O84" i="12"/>
  <c r="O84" i="5"/>
  <c r="N95" i="12"/>
  <c r="N95" i="5"/>
  <c r="O74" i="12"/>
  <c r="O74" i="5"/>
  <c r="N85" i="12"/>
  <c r="N51" i="5"/>
  <c r="O60" i="12"/>
  <c r="N61" i="5"/>
  <c r="O70" i="12"/>
  <c r="N79" i="5"/>
  <c r="F4" i="13" s="1"/>
  <c r="O9" i="12"/>
  <c r="O9" i="5"/>
  <c r="O19" i="12"/>
  <c r="O19" i="5"/>
  <c r="O29" i="12"/>
  <c r="O39" i="12"/>
  <c r="O39" i="5"/>
  <c r="O49" i="12"/>
  <c r="O49" i="5"/>
  <c r="O59" i="12"/>
  <c r="O59" i="5"/>
  <c r="O69" i="12"/>
  <c r="O79" i="12"/>
  <c r="O89" i="5"/>
  <c r="O89" i="12"/>
  <c r="O99" i="12"/>
  <c r="O80" i="12"/>
  <c r="N89" i="5"/>
  <c r="N10" i="12"/>
  <c r="N10" i="5"/>
  <c r="N20" i="12"/>
  <c r="N20" i="5"/>
  <c r="N30" i="12"/>
  <c r="N30" i="5"/>
  <c r="N40" i="12"/>
  <c r="N40" i="5"/>
  <c r="F2" i="13" s="1"/>
  <c r="N50" i="12"/>
  <c r="N50" i="5"/>
  <c r="N60" i="12"/>
  <c r="N60" i="5"/>
  <c r="N70" i="12"/>
  <c r="N80" i="12"/>
  <c r="N90" i="12"/>
  <c r="N90" i="5"/>
  <c r="N100" i="12"/>
  <c r="O54" i="12"/>
  <c r="O54" i="5"/>
  <c r="N101" i="5"/>
  <c r="O64" i="12"/>
  <c r="O64" i="5"/>
  <c r="O100" i="12"/>
  <c r="O4" i="12"/>
  <c r="O14" i="12"/>
  <c r="O14" i="5"/>
  <c r="O24" i="12"/>
  <c r="O34" i="12"/>
  <c r="O34" i="5"/>
  <c r="O44" i="12"/>
  <c r="O104" i="12"/>
  <c r="N5" i="12"/>
  <c r="N5" i="5"/>
  <c r="N15" i="12"/>
  <c r="N15" i="5"/>
  <c r="N25" i="12"/>
  <c r="N25" i="5"/>
  <c r="N35" i="12"/>
  <c r="N35" i="5"/>
  <c r="N45" i="12"/>
  <c r="N45" i="5"/>
  <c r="N55" i="12"/>
  <c r="N55" i="5"/>
  <c r="N65" i="12"/>
  <c r="N65" i="5"/>
  <c r="N75" i="12"/>
  <c r="N105" i="12"/>
  <c r="O10" i="12"/>
  <c r="O20" i="12"/>
  <c r="N29" i="5"/>
  <c r="N21" i="5"/>
  <c r="O30" i="12"/>
  <c r="N39" i="5"/>
  <c r="N31" i="5"/>
  <c r="O40" i="12"/>
  <c r="O94" i="12"/>
  <c r="O94" i="5"/>
  <c r="N41" i="5"/>
  <c r="O50" i="12"/>
  <c r="N59" i="5"/>
  <c r="O91" i="5"/>
  <c r="O11" i="12"/>
  <c r="O71" i="12"/>
  <c r="U3" i="3"/>
  <c r="O2" i="5" s="1"/>
  <c r="O12" i="5"/>
  <c r="O42" i="5"/>
  <c r="O52" i="5"/>
  <c r="O62" i="5"/>
  <c r="O72" i="5"/>
  <c r="O82" i="5"/>
  <c r="O92" i="5"/>
  <c r="O102" i="5"/>
  <c r="O31" i="5"/>
  <c r="O41" i="5"/>
  <c r="O51" i="5"/>
  <c r="O61" i="5"/>
  <c r="O81" i="5"/>
  <c r="N52" i="5"/>
  <c r="W3" i="3"/>
  <c r="N2" i="12" s="1"/>
  <c r="N12" i="12"/>
  <c r="N22" i="12"/>
  <c r="N42" i="12"/>
  <c r="N62" i="12"/>
  <c r="N72" i="12"/>
  <c r="N82" i="12"/>
  <c r="N92" i="12"/>
  <c r="N102" i="12"/>
  <c r="O21" i="5"/>
  <c r="O101" i="5"/>
  <c r="W80" i="9"/>
  <c r="K79" i="12" s="1"/>
  <c r="T80" i="9"/>
  <c r="K79" i="5" s="1"/>
  <c r="U11" i="9"/>
  <c r="L10" i="5" s="1"/>
  <c r="X11" i="9"/>
  <c r="L10" i="12" s="1"/>
  <c r="X21" i="9"/>
  <c r="L20" i="12" s="1"/>
  <c r="U21" i="9"/>
  <c r="U31" i="9"/>
  <c r="X31" i="9"/>
  <c r="L30" i="12" s="1"/>
  <c r="U41" i="9"/>
  <c r="L40" i="5" s="1"/>
  <c r="X41" i="9"/>
  <c r="L40" i="12" s="1"/>
  <c r="U51" i="9"/>
  <c r="X51" i="9"/>
  <c r="L50" i="12" s="1"/>
  <c r="U61" i="9"/>
  <c r="L60" i="5" s="1"/>
  <c r="X61" i="9"/>
  <c r="L60" i="12" s="1"/>
  <c r="U101" i="9"/>
  <c r="L100" i="5" s="1"/>
  <c r="X101" i="9"/>
  <c r="L100" i="12" s="1"/>
  <c r="W32" i="9"/>
  <c r="K31" i="12" s="1"/>
  <c r="W102" i="9"/>
  <c r="K101" i="12" s="1"/>
  <c r="W42" i="9"/>
  <c r="K41" i="12" s="1"/>
  <c r="W90" i="9"/>
  <c r="K89" i="12" s="1"/>
  <c r="T90" i="9"/>
  <c r="X10" i="9"/>
  <c r="L9" i="12" s="1"/>
  <c r="U10" i="9"/>
  <c r="L9" i="5" s="1"/>
  <c r="X20" i="9"/>
  <c r="L19" i="12" s="1"/>
  <c r="U20" i="9"/>
  <c r="L19" i="5" s="1"/>
  <c r="X30" i="9"/>
  <c r="L29" i="12" s="1"/>
  <c r="U30" i="9"/>
  <c r="X40" i="9"/>
  <c r="L39" i="12" s="1"/>
  <c r="U40" i="9"/>
  <c r="L39" i="5" s="1"/>
  <c r="X50" i="9"/>
  <c r="L49" i="12" s="1"/>
  <c r="U50" i="9"/>
  <c r="L49" i="5" s="1"/>
  <c r="X60" i="9"/>
  <c r="L59" i="12" s="1"/>
  <c r="U60" i="9"/>
  <c r="L59" i="5" s="1"/>
  <c r="X70" i="9"/>
  <c r="L69" i="12" s="1"/>
  <c r="U70" i="9"/>
  <c r="X80" i="9"/>
  <c r="L79" i="12" s="1"/>
  <c r="U80" i="9"/>
  <c r="L79" i="5" s="1"/>
  <c r="X90" i="9"/>
  <c r="L89" i="12" s="1"/>
  <c r="U90" i="9"/>
  <c r="L89" i="5" s="1"/>
  <c r="T21" i="9"/>
  <c r="K20" i="5" s="1"/>
  <c r="W21" i="9"/>
  <c r="K20" i="12" s="1"/>
  <c r="W101" i="9"/>
  <c r="K100" i="12" s="1"/>
  <c r="T101" i="9"/>
  <c r="K100" i="5" s="1"/>
  <c r="X71" i="9"/>
  <c r="L70" i="12" s="1"/>
  <c r="U71" i="9"/>
  <c r="L70" i="5" s="1"/>
  <c r="W52" i="9"/>
  <c r="K51" i="12" s="1"/>
  <c r="W62" i="9"/>
  <c r="K61" i="12" s="1"/>
  <c r="W10" i="9"/>
  <c r="K9" i="12" s="1"/>
  <c r="T10" i="9"/>
  <c r="K9" i="5" s="1"/>
  <c r="W20" i="9"/>
  <c r="K19" i="12" s="1"/>
  <c r="T20" i="9"/>
  <c r="K19" i="5" s="1"/>
  <c r="W30" i="9"/>
  <c r="K29" i="12" s="1"/>
  <c r="T30" i="9"/>
  <c r="K29" i="5" s="1"/>
  <c r="W40" i="9"/>
  <c r="K39" i="12" s="1"/>
  <c r="T40" i="9"/>
  <c r="K39" i="5" s="1"/>
  <c r="W50" i="9"/>
  <c r="K49" i="12" s="1"/>
  <c r="T50" i="9"/>
  <c r="K49" i="5" s="1"/>
  <c r="W60" i="9"/>
  <c r="K59" i="12" s="1"/>
  <c r="T60" i="9"/>
  <c r="K59" i="5" s="1"/>
  <c r="W70" i="9"/>
  <c r="K69" i="12" s="1"/>
  <c r="T70" i="9"/>
  <c r="K69" i="5" s="1"/>
  <c r="W100" i="9"/>
  <c r="K99" i="12" s="1"/>
  <c r="T100" i="9"/>
  <c r="K99" i="5" s="1"/>
  <c r="X100" i="9"/>
  <c r="L99" i="12" s="1"/>
  <c r="U100" i="9"/>
  <c r="L99" i="5" s="1"/>
  <c r="T11" i="9"/>
  <c r="W11" i="9"/>
  <c r="K10" i="12" s="1"/>
  <c r="W31" i="9"/>
  <c r="K30" i="12" s="1"/>
  <c r="T31" i="9"/>
  <c r="K30" i="5" s="1"/>
  <c r="W41" i="9"/>
  <c r="K40" i="12" s="1"/>
  <c r="T41" i="9"/>
  <c r="T51" i="9"/>
  <c r="W51" i="9"/>
  <c r="K50" i="12" s="1"/>
  <c r="W61" i="9"/>
  <c r="K60" i="12" s="1"/>
  <c r="T61" i="9"/>
  <c r="K60" i="5" s="1"/>
  <c r="W71" i="9"/>
  <c r="K70" i="12" s="1"/>
  <c r="T71" i="9"/>
  <c r="K70" i="5" s="1"/>
  <c r="W81" i="9"/>
  <c r="K80" i="12" s="1"/>
  <c r="T81" i="9"/>
  <c r="K80" i="5" s="1"/>
  <c r="U91" i="9"/>
  <c r="L90" i="5" s="1"/>
  <c r="X91" i="9"/>
  <c r="L90" i="12" s="1"/>
  <c r="W72" i="9"/>
  <c r="K71" i="12" s="1"/>
  <c r="W91" i="9"/>
  <c r="K90" i="12" s="1"/>
  <c r="T91" i="9"/>
  <c r="K90" i="5" s="1"/>
  <c r="U81" i="9"/>
  <c r="L80" i="5" s="1"/>
  <c r="X81" i="9"/>
  <c r="L80" i="12" s="1"/>
  <c r="T16" i="9"/>
  <c r="K15" i="5" s="1"/>
  <c r="T56" i="9"/>
  <c r="K55" i="5" s="1"/>
  <c r="T66" i="9"/>
  <c r="K65" i="5" s="1"/>
  <c r="T106" i="9"/>
  <c r="K105" i="5" s="1"/>
  <c r="U56" i="9"/>
  <c r="U86" i="9"/>
  <c r="U106" i="9"/>
  <c r="W76" i="9"/>
  <c r="K75" i="12" s="1"/>
  <c r="W96" i="9"/>
  <c r="K95" i="12" s="1"/>
  <c r="X6" i="9"/>
  <c r="L5" i="12" s="1"/>
  <c r="X16" i="9"/>
  <c r="L15" i="12" s="1"/>
  <c r="X26" i="9"/>
  <c r="L25" i="12" s="1"/>
  <c r="X36" i="9"/>
  <c r="L35" i="12" s="1"/>
  <c r="X46" i="9"/>
  <c r="L45" i="12" s="1"/>
  <c r="X66" i="9"/>
  <c r="L65" i="12" s="1"/>
  <c r="X76" i="9"/>
  <c r="L75" i="12" s="1"/>
  <c r="X96" i="9"/>
  <c r="L95" i="12" s="1"/>
  <c r="T6" i="9"/>
  <c r="K5" i="5" s="1"/>
  <c r="T36" i="9"/>
  <c r="K35" i="5" s="1"/>
  <c r="T46" i="9"/>
  <c r="K45" i="5" s="1"/>
  <c r="T86" i="9"/>
  <c r="K85" i="5" s="1"/>
  <c r="W26" i="9"/>
  <c r="K25" i="12" s="1"/>
  <c r="I39" i="12"/>
  <c r="I79" i="12"/>
  <c r="I19" i="12"/>
  <c r="I19" i="5"/>
  <c r="I99" i="12"/>
  <c r="I69" i="12"/>
  <c r="I69" i="5"/>
  <c r="I9" i="12"/>
  <c r="I9" i="5"/>
  <c r="I29" i="12"/>
  <c r="I29" i="5"/>
  <c r="I49" i="12"/>
  <c r="I49" i="5"/>
  <c r="I59" i="12"/>
  <c r="I89" i="12"/>
  <c r="I89" i="5"/>
  <c r="H25" i="12"/>
  <c r="H75" i="12"/>
  <c r="H20" i="5"/>
  <c r="H70" i="5"/>
  <c r="H47" i="5"/>
  <c r="I20" i="5"/>
  <c r="H26" i="5"/>
  <c r="H45" i="5"/>
  <c r="I70" i="5"/>
  <c r="H76" i="5"/>
  <c r="I26" i="5"/>
  <c r="I45" i="5"/>
  <c r="I76" i="5"/>
  <c r="H87" i="12"/>
  <c r="H87" i="5"/>
  <c r="H97" i="12"/>
  <c r="H97" i="5"/>
  <c r="H107" i="12"/>
  <c r="H107" i="5"/>
  <c r="I48" i="5"/>
  <c r="I28" i="5"/>
  <c r="H96" i="5"/>
  <c r="T3" i="2"/>
  <c r="H2" i="5" s="1"/>
  <c r="H21" i="5"/>
  <c r="H40" i="5"/>
  <c r="D2" i="13" s="1"/>
  <c r="H52" i="5"/>
  <c r="H71" i="5"/>
  <c r="I90" i="5"/>
  <c r="I96" i="5"/>
  <c r="H27" i="5"/>
  <c r="H77" i="5"/>
  <c r="H35" i="5"/>
  <c r="H85" i="5"/>
  <c r="H105" i="5"/>
  <c r="I35" i="5"/>
  <c r="H80" i="5"/>
  <c r="H92" i="12"/>
  <c r="H92" i="5"/>
  <c r="H102" i="12"/>
  <c r="H102" i="5"/>
  <c r="H5" i="5"/>
  <c r="I11" i="5"/>
  <c r="H17" i="5"/>
  <c r="I30" i="5"/>
  <c r="H36" i="5"/>
  <c r="H55" i="5"/>
  <c r="I61" i="5"/>
  <c r="H67" i="5"/>
  <c r="I80" i="5"/>
  <c r="H86" i="5"/>
  <c r="H100" i="5"/>
  <c r="H106" i="5"/>
  <c r="X3" i="2"/>
  <c r="I2" i="12" s="1"/>
  <c r="U3" i="2"/>
  <c r="I2" i="5" s="1"/>
  <c r="I12" i="12"/>
  <c r="I12" i="5"/>
  <c r="I22" i="12"/>
  <c r="I22" i="5"/>
  <c r="I32" i="12"/>
  <c r="I32" i="5"/>
  <c r="I42" i="12"/>
  <c r="I42" i="5"/>
  <c r="I52" i="12"/>
  <c r="I52" i="5"/>
  <c r="I62" i="12"/>
  <c r="I62" i="5"/>
  <c r="I72" i="12"/>
  <c r="I72" i="5"/>
  <c r="I82" i="12"/>
  <c r="I82" i="5"/>
  <c r="I92" i="12"/>
  <c r="I92" i="5"/>
  <c r="I102" i="12"/>
  <c r="I102" i="5"/>
  <c r="I86" i="5"/>
  <c r="I100" i="5"/>
  <c r="H12" i="5"/>
  <c r="H62" i="5"/>
  <c r="H37" i="5"/>
  <c r="H68" i="5"/>
  <c r="X102" i="8"/>
  <c r="F101" i="12" s="1"/>
  <c r="X62" i="8"/>
  <c r="F61" i="12" s="1"/>
  <c r="U22" i="8"/>
  <c r="X5" i="8"/>
  <c r="F4" i="12" s="1"/>
  <c r="U81" i="8"/>
  <c r="U61" i="8"/>
  <c r="X21" i="8"/>
  <c r="F20" i="12" s="1"/>
  <c r="X100" i="8"/>
  <c r="F99" i="12" s="1"/>
  <c r="U60" i="8"/>
  <c r="U39" i="8"/>
  <c r="U78" i="8"/>
  <c r="X58" i="8"/>
  <c r="F57" i="12" s="1"/>
  <c r="X38" i="8"/>
  <c r="F37" i="12" s="1"/>
  <c r="X18" i="8"/>
  <c r="F17" i="12" s="1"/>
  <c r="X54" i="8"/>
  <c r="F53" i="12" s="1"/>
  <c r="X98" i="8"/>
  <c r="F97" i="12" s="1"/>
  <c r="X82" i="8"/>
  <c r="F81" i="12" s="1"/>
  <c r="X42" i="8"/>
  <c r="F41" i="12" s="1"/>
  <c r="X101" i="8"/>
  <c r="F100" i="12" s="1"/>
  <c r="U41" i="8"/>
  <c r="U80" i="8"/>
  <c r="X40" i="8"/>
  <c r="F39" i="12" s="1"/>
  <c r="U19" i="8"/>
  <c r="U72" i="8"/>
  <c r="X97" i="8"/>
  <c r="F96" i="12" s="1"/>
  <c r="X77" i="8"/>
  <c r="F76" i="12" s="1"/>
  <c r="X57" i="8"/>
  <c r="F56" i="12" s="1"/>
  <c r="X37" i="8"/>
  <c r="F36" i="12" s="1"/>
  <c r="X17" i="8"/>
  <c r="F16" i="12" s="1"/>
  <c r="U20" i="8"/>
  <c r="F19" i="5" s="1"/>
  <c r="U93" i="8"/>
  <c r="X96" i="8"/>
  <c r="F95" i="12" s="1"/>
  <c r="X76" i="8"/>
  <c r="F75" i="12" s="1"/>
  <c r="X56" i="8"/>
  <c r="F55" i="12" s="1"/>
  <c r="U36" i="8"/>
  <c r="F35" i="5" s="1"/>
  <c r="X16" i="8"/>
  <c r="F15" i="12" s="1"/>
  <c r="U73" i="8"/>
  <c r="F72" i="5" s="1"/>
  <c r="U95" i="8"/>
  <c r="F94" i="5" s="1"/>
  <c r="X75" i="8"/>
  <c r="F74" i="12" s="1"/>
  <c r="X55" i="8"/>
  <c r="F54" i="12" s="1"/>
  <c r="U35" i="8"/>
  <c r="X15" i="8"/>
  <c r="F14" i="12" s="1"/>
  <c r="U52" i="8"/>
  <c r="X94" i="8"/>
  <c r="F93" i="12" s="1"/>
  <c r="U74" i="8"/>
  <c r="U8" i="8"/>
  <c r="U53" i="8"/>
  <c r="U67" i="8"/>
  <c r="U108" i="8"/>
  <c r="U32" i="8"/>
  <c r="U87" i="8"/>
  <c r="F86" i="5" s="1"/>
  <c r="U71" i="8"/>
  <c r="U51" i="8"/>
  <c r="X31" i="8"/>
  <c r="F30" i="12" s="1"/>
  <c r="X11" i="8"/>
  <c r="F10" i="12" s="1"/>
  <c r="X90" i="8"/>
  <c r="F89" i="12" s="1"/>
  <c r="U70" i="8"/>
  <c r="F69" i="5" s="1"/>
  <c r="U50" i="8"/>
  <c r="F49" i="5" s="1"/>
  <c r="X30" i="8"/>
  <c r="F29" i="12" s="1"/>
  <c r="X10" i="8"/>
  <c r="F9" i="12" s="1"/>
  <c r="T103" i="8"/>
  <c r="T83" i="8"/>
  <c r="W63" i="8"/>
  <c r="E62" i="12" s="1"/>
  <c r="T43" i="8"/>
  <c r="T23" i="8"/>
  <c r="W102" i="8"/>
  <c r="E101" i="12" s="1"/>
  <c r="W82" i="8"/>
  <c r="E81" i="12" s="1"/>
  <c r="W62" i="8"/>
  <c r="E61" i="12" s="1"/>
  <c r="W42" i="8"/>
  <c r="E41" i="12" s="1"/>
  <c r="W22" i="8"/>
  <c r="E21" i="12" s="1"/>
  <c r="T101" i="8"/>
  <c r="W81" i="8"/>
  <c r="E80" i="12" s="1"/>
  <c r="W61" i="8"/>
  <c r="E60" i="12" s="1"/>
  <c r="W41" i="8"/>
  <c r="E40" i="12" s="1"/>
  <c r="W21" i="8"/>
  <c r="E20" i="12" s="1"/>
  <c r="T91" i="8"/>
  <c r="E90" i="5" s="1"/>
  <c r="W100" i="8"/>
  <c r="E99" i="12" s="1"/>
  <c r="W80" i="8"/>
  <c r="E79" i="12" s="1"/>
  <c r="W60" i="8"/>
  <c r="E59" i="12" s="1"/>
  <c r="W40" i="8"/>
  <c r="E39" i="12" s="1"/>
  <c r="W20" i="8"/>
  <c r="E19" i="12" s="1"/>
  <c r="T99" i="8"/>
  <c r="T79" i="8"/>
  <c r="T59" i="8"/>
  <c r="E58" i="5" s="1"/>
  <c r="T39" i="8"/>
  <c r="E38" i="5" s="1"/>
  <c r="T19" i="8"/>
  <c r="T98" i="8"/>
  <c r="T78" i="8"/>
  <c r="T58" i="8"/>
  <c r="T38" i="8"/>
  <c r="E37" i="5" s="1"/>
  <c r="T18" i="8"/>
  <c r="W96" i="8"/>
  <c r="E95" i="12" s="1"/>
  <c r="W76" i="8"/>
  <c r="E75" i="12" s="1"/>
  <c r="W56" i="8"/>
  <c r="E55" i="12" s="1"/>
  <c r="W36" i="8"/>
  <c r="E35" i="12" s="1"/>
  <c r="W16" i="8"/>
  <c r="E15" i="12" s="1"/>
  <c r="T10" i="8"/>
  <c r="E9" i="5" s="1"/>
  <c r="T30" i="8"/>
  <c r="E29" i="5" s="1"/>
  <c r="T75" i="8"/>
  <c r="E74" i="5" s="1"/>
  <c r="T94" i="8"/>
  <c r="E93" i="5" s="1"/>
  <c r="T74" i="8"/>
  <c r="T54" i="8"/>
  <c r="T34" i="8"/>
  <c r="T14" i="8"/>
  <c r="T11" i="8"/>
  <c r="E10" i="5" s="1"/>
  <c r="T93" i="8"/>
  <c r="T73" i="8"/>
  <c r="T53" i="8"/>
  <c r="T33" i="8"/>
  <c r="T13" i="8"/>
  <c r="W92" i="8"/>
  <c r="E91" i="12" s="1"/>
  <c r="W72" i="8"/>
  <c r="E71" i="12" s="1"/>
  <c r="W52" i="8"/>
  <c r="E51" i="12" s="1"/>
  <c r="W32" i="8"/>
  <c r="E31" i="12" s="1"/>
  <c r="W12" i="8"/>
  <c r="E11" i="12" s="1"/>
  <c r="T31" i="8"/>
  <c r="E30" i="5" s="1"/>
  <c r="T50" i="8"/>
  <c r="E49" i="5" s="1"/>
  <c r="X22" i="8"/>
  <c r="F21" i="12" s="1"/>
  <c r="U42" i="8"/>
  <c r="F41" i="5" s="1"/>
  <c r="X61" i="8"/>
  <c r="F60" i="12" s="1"/>
  <c r="U23" i="8"/>
  <c r="U62" i="8"/>
  <c r="X81" i="8"/>
  <c r="F80" i="12" s="1"/>
  <c r="U101" i="8"/>
  <c r="U43" i="8"/>
  <c r="F42" i="5" s="1"/>
  <c r="U82" i="8"/>
  <c r="U55" i="8"/>
  <c r="F54" i="5" s="1"/>
  <c r="U63" i="8"/>
  <c r="U102" i="8"/>
  <c r="F101" i="5" s="1"/>
  <c r="U21" i="8"/>
  <c r="F20" i="5" s="1"/>
  <c r="X60" i="8"/>
  <c r="F59" i="12" s="1"/>
  <c r="X41" i="8"/>
  <c r="F40" i="12" s="1"/>
  <c r="X80" i="8"/>
  <c r="F79" i="12" s="1"/>
  <c r="U100" i="8"/>
  <c r="F99" i="5" s="1"/>
  <c r="U17" i="8"/>
  <c r="F16" i="5" s="1"/>
  <c r="X36" i="8"/>
  <c r="F35" i="12" s="1"/>
  <c r="U56" i="8"/>
  <c r="F55" i="5" s="1"/>
  <c r="X95" i="8"/>
  <c r="F94" i="12" s="1"/>
  <c r="U16" i="8"/>
  <c r="F15" i="5" s="1"/>
  <c r="X83" i="8"/>
  <c r="F82" i="12" s="1"/>
  <c r="U103" i="8"/>
  <c r="U10" i="8"/>
  <c r="F9" i="5" s="1"/>
  <c r="U37" i="8"/>
  <c r="F36" i="5" s="1"/>
  <c r="U76" i="8"/>
  <c r="F75" i="5" s="1"/>
  <c r="U57" i="8"/>
  <c r="F56" i="5" s="1"/>
  <c r="U11" i="8"/>
  <c r="F10" i="5" s="1"/>
  <c r="U38" i="8"/>
  <c r="U77" i="8"/>
  <c r="U58" i="8"/>
  <c r="U97" i="8"/>
  <c r="F96" i="5" s="1"/>
  <c r="U18" i="8"/>
  <c r="F17" i="5" s="1"/>
  <c r="U96" i="8"/>
  <c r="F95" i="5" s="1"/>
  <c r="U31" i="8"/>
  <c r="F30" i="5" s="1"/>
  <c r="T21" i="8"/>
  <c r="T41" i="8"/>
  <c r="E40" i="5" s="1"/>
  <c r="T61" i="8"/>
  <c r="T81" i="8"/>
  <c r="W101" i="8"/>
  <c r="E100" i="12" s="1"/>
  <c r="T12" i="8"/>
  <c r="E11" i="5" s="1"/>
  <c r="T17" i="8"/>
  <c r="E16" i="5" s="1"/>
  <c r="T22" i="8"/>
  <c r="T37" i="8"/>
  <c r="E36" i="5" s="1"/>
  <c r="T42" i="8"/>
  <c r="T57" i="8"/>
  <c r="E56" i="5" s="1"/>
  <c r="T62" i="8"/>
  <c r="T77" i="8"/>
  <c r="E76" i="5" s="1"/>
  <c r="T82" i="8"/>
  <c r="T97" i="8"/>
  <c r="E96" i="5" s="1"/>
  <c r="T102" i="8"/>
  <c r="E101" i="5" s="1"/>
  <c r="T63" i="8"/>
  <c r="E62" i="5" s="1"/>
  <c r="W13" i="8"/>
  <c r="E12" i="12" s="1"/>
  <c r="W18" i="8"/>
  <c r="E17" i="12" s="1"/>
  <c r="W23" i="8"/>
  <c r="E22" i="12" s="1"/>
  <c r="W33" i="8"/>
  <c r="E32" i="12" s="1"/>
  <c r="W38" i="8"/>
  <c r="E37" i="12" s="1"/>
  <c r="W43" i="8"/>
  <c r="E42" i="12" s="1"/>
  <c r="W53" i="8"/>
  <c r="E52" i="12" s="1"/>
  <c r="W58" i="8"/>
  <c r="E57" i="12" s="1"/>
  <c r="W73" i="8"/>
  <c r="E72" i="12" s="1"/>
  <c r="W78" i="8"/>
  <c r="E77" i="12" s="1"/>
  <c r="W83" i="8"/>
  <c r="E82" i="12" s="1"/>
  <c r="W93" i="8"/>
  <c r="E92" i="12" s="1"/>
  <c r="W98" i="8"/>
  <c r="E97" i="12" s="1"/>
  <c r="W103" i="8"/>
  <c r="E102" i="12" s="1"/>
  <c r="C76" i="12"/>
  <c r="C36" i="12"/>
  <c r="C16" i="5"/>
  <c r="C95" i="12"/>
  <c r="C75" i="5"/>
  <c r="C35" i="12"/>
  <c r="C15" i="5"/>
  <c r="C10" i="5"/>
  <c r="C94" i="12"/>
  <c r="C34" i="12"/>
  <c r="C14" i="5"/>
  <c r="C9" i="5"/>
  <c r="C93" i="12"/>
  <c r="C73" i="5"/>
  <c r="C33" i="12"/>
  <c r="C92" i="12"/>
  <c r="C32" i="12"/>
  <c r="C91" i="12"/>
  <c r="C31" i="5"/>
  <c r="B9" i="5"/>
  <c r="B101" i="5"/>
  <c r="B81" i="12"/>
  <c r="B61" i="5"/>
  <c r="B41" i="12"/>
  <c r="B21" i="5"/>
  <c r="B100" i="12"/>
  <c r="B80" i="5"/>
  <c r="B60" i="12"/>
  <c r="B40" i="12"/>
  <c r="B20" i="5"/>
  <c r="B99" i="12"/>
  <c r="B59" i="12"/>
  <c r="B39" i="12"/>
  <c r="B19" i="5"/>
  <c r="B98" i="5"/>
  <c r="B78" i="5"/>
  <c r="B58" i="5"/>
  <c r="B38" i="12"/>
  <c r="B97" i="12"/>
  <c r="B37" i="12"/>
  <c r="B76" i="12"/>
  <c r="B56" i="12"/>
  <c r="B36" i="12"/>
  <c r="B16" i="5"/>
  <c r="B95" i="5"/>
  <c r="B75" i="5"/>
  <c r="B55" i="12"/>
  <c r="B35" i="12"/>
  <c r="B15" i="5"/>
  <c r="B94" i="5"/>
  <c r="B74" i="5"/>
  <c r="B54" i="12"/>
  <c r="B34" i="5"/>
  <c r="B53" i="12"/>
  <c r="B52" i="12"/>
  <c r="B32" i="5"/>
  <c r="B12" i="5"/>
  <c r="B91" i="5"/>
  <c r="B71" i="5"/>
  <c r="B51" i="12"/>
  <c r="B11" i="5"/>
  <c r="C35" i="5"/>
  <c r="C34" i="5"/>
  <c r="C32" i="5"/>
  <c r="C108" i="12"/>
  <c r="C107" i="12"/>
  <c r="B102" i="12"/>
  <c r="B102" i="5"/>
  <c r="B82" i="12"/>
  <c r="B62" i="5"/>
  <c r="B62" i="12"/>
  <c r="B22" i="12"/>
  <c r="B22" i="5"/>
  <c r="B42" i="12"/>
  <c r="B42" i="5"/>
  <c r="B100" i="5"/>
  <c r="B60" i="5"/>
  <c r="B38" i="5"/>
  <c r="B57" i="12"/>
  <c r="B99" i="5"/>
  <c r="B59" i="5"/>
  <c r="B36" i="5"/>
  <c r="B33" i="12"/>
  <c r="B56" i="5"/>
  <c r="B101" i="12"/>
  <c r="B55" i="5"/>
  <c r="B29" i="5"/>
  <c r="B28" i="5"/>
  <c r="B53" i="5"/>
  <c r="B27" i="5"/>
  <c r="B98" i="12"/>
  <c r="B35" i="5"/>
  <c r="B61" i="12"/>
  <c r="B81" i="5"/>
  <c r="B40" i="5"/>
  <c r="B2" i="13" s="1"/>
  <c r="B58" i="12"/>
  <c r="B34" i="12"/>
  <c r="B32" i="12"/>
  <c r="B97" i="5"/>
  <c r="B31" i="12"/>
  <c r="B76" i="5"/>
  <c r="B30" i="12"/>
  <c r="B52" i="5"/>
  <c r="B51" i="5"/>
  <c r="B25" i="5"/>
  <c r="B50" i="5"/>
  <c r="B24" i="5"/>
  <c r="C102" i="12"/>
  <c r="C102" i="5"/>
  <c r="C82" i="12"/>
  <c r="C82" i="5"/>
  <c r="C62" i="12"/>
  <c r="C62" i="5"/>
  <c r="C22" i="12"/>
  <c r="C41" i="12"/>
  <c r="C80" i="12"/>
  <c r="C80" i="5"/>
  <c r="C40" i="12"/>
  <c r="C40" i="5"/>
  <c r="C99" i="12"/>
  <c r="C99" i="5"/>
  <c r="C79" i="12"/>
  <c r="C79" i="5"/>
  <c r="C59" i="12"/>
  <c r="C59" i="5"/>
  <c r="C19" i="12"/>
  <c r="C19" i="5"/>
  <c r="C98" i="12"/>
  <c r="C78" i="12"/>
  <c r="C78" i="5"/>
  <c r="C58" i="12"/>
  <c r="C58" i="5"/>
  <c r="C18" i="12"/>
  <c r="C18" i="5"/>
  <c r="C97" i="12"/>
  <c r="C97" i="5"/>
  <c r="C77" i="12"/>
  <c r="C77" i="5"/>
  <c r="C57" i="12"/>
  <c r="C57" i="5"/>
  <c r="C17" i="12"/>
  <c r="C17" i="5"/>
  <c r="C56" i="12"/>
  <c r="C55" i="12"/>
  <c r="C96" i="12"/>
  <c r="C42" i="12"/>
  <c r="C42" i="5"/>
  <c r="C101" i="12"/>
  <c r="C101" i="5"/>
  <c r="C81" i="12"/>
  <c r="C81" i="5"/>
  <c r="C61" i="12"/>
  <c r="C21" i="12"/>
  <c r="C21" i="5"/>
  <c r="C100" i="12"/>
  <c r="C100" i="5"/>
  <c r="C60" i="12"/>
  <c r="C60" i="5"/>
  <c r="C20" i="12"/>
  <c r="C20" i="5"/>
  <c r="C39" i="12"/>
  <c r="C39" i="5"/>
  <c r="C38" i="12"/>
  <c r="C38" i="5"/>
  <c r="C37" i="12"/>
  <c r="C37" i="5"/>
  <c r="B41" i="5"/>
  <c r="B39" i="5"/>
  <c r="B37" i="5"/>
  <c r="W65" i="5"/>
  <c r="X90" i="5"/>
  <c r="W80" i="5"/>
  <c r="W11" i="5"/>
  <c r="W21" i="5"/>
  <c r="X97" i="5"/>
  <c r="X77" i="5"/>
  <c r="W14" i="5"/>
  <c r="W58" i="5"/>
  <c r="X98" i="5"/>
  <c r="W95" i="5"/>
  <c r="X103" i="5"/>
  <c r="W24" i="5"/>
  <c r="R31" i="5"/>
  <c r="Q18" i="5"/>
  <c r="R6" i="5"/>
  <c r="R61" i="5"/>
  <c r="R11" i="5"/>
  <c r="R21" i="5"/>
  <c r="R76" i="5"/>
  <c r="R90" i="5"/>
  <c r="Q12" i="5"/>
  <c r="Q22" i="5"/>
  <c r="R12" i="5"/>
  <c r="Q47" i="5"/>
  <c r="N49" i="5"/>
  <c r="K14" i="5"/>
  <c r="L14" i="5"/>
  <c r="K104" i="5"/>
  <c r="L86" i="5"/>
  <c r="H94" i="5"/>
  <c r="H34" i="5"/>
  <c r="I97" i="5"/>
  <c r="I77" i="5"/>
  <c r="I57" i="5"/>
  <c r="I56" i="5"/>
  <c r="I36" i="5"/>
  <c r="H91" i="5"/>
  <c r="H31" i="5"/>
  <c r="I94" i="5"/>
  <c r="I34" i="5"/>
  <c r="H7" i="5"/>
  <c r="H73" i="5"/>
  <c r="H18" i="5"/>
  <c r="I8" i="5"/>
  <c r="I18" i="5"/>
  <c r="H9" i="5"/>
  <c r="I10" i="5"/>
  <c r="H108" i="5"/>
  <c r="D5" i="13" s="1"/>
  <c r="H11" i="5"/>
  <c r="H29" i="5"/>
  <c r="H44" i="5"/>
  <c r="H63" i="5"/>
  <c r="H30" i="5"/>
  <c r="H59" i="5"/>
  <c r="I64" i="5"/>
  <c r="I44" i="5"/>
  <c r="I63" i="5"/>
  <c r="H66" i="5"/>
  <c r="H39" i="5"/>
  <c r="H58" i="5"/>
  <c r="H38" i="5"/>
  <c r="I101" i="5"/>
  <c r="H48" i="5"/>
  <c r="H64" i="5"/>
  <c r="H57" i="5"/>
  <c r="I59" i="5"/>
  <c r="I6" i="5"/>
  <c r="I16" i="5"/>
  <c r="I38" i="5"/>
  <c r="E21" i="5"/>
  <c r="E15" i="5"/>
  <c r="E28" i="5"/>
  <c r="F65" i="5"/>
  <c r="F80" i="5"/>
  <c r="F70" i="5"/>
  <c r="F105" i="5"/>
  <c r="F89" i="5"/>
  <c r="E66" i="5"/>
  <c r="E25" i="5"/>
  <c r="E5" i="5"/>
  <c r="F6" i="5"/>
  <c r="F46" i="5"/>
  <c r="F26" i="5"/>
  <c r="F34" i="5"/>
  <c r="E44" i="5"/>
  <c r="F106" i="5"/>
  <c r="E55" i="5"/>
  <c r="F85" i="5"/>
  <c r="F45" i="5"/>
  <c r="F25" i="5"/>
  <c r="E24" i="5"/>
  <c r="F104" i="5"/>
  <c r="F84" i="5"/>
  <c r="F64" i="5"/>
  <c r="F24" i="5"/>
  <c r="E65" i="5"/>
  <c r="E54" i="5"/>
  <c r="E34" i="5"/>
  <c r="F23" i="5"/>
  <c r="F4" i="5"/>
  <c r="E104" i="5"/>
  <c r="E26" i="5"/>
  <c r="E84" i="5"/>
  <c r="F11" i="5"/>
  <c r="F21" i="5"/>
  <c r="F28" i="5"/>
  <c r="C22" i="5"/>
  <c r="C61" i="5"/>
  <c r="C41" i="5"/>
  <c r="C76" i="5"/>
  <c r="C30" i="5"/>
  <c r="B54" i="5"/>
  <c r="B92" i="5"/>
  <c r="B72" i="5"/>
  <c r="B2" i="5"/>
  <c r="B31" i="5"/>
  <c r="B70" i="5"/>
  <c r="B30" i="5"/>
  <c r="C103" i="5"/>
  <c r="B14" i="5"/>
  <c r="B89" i="5"/>
  <c r="B13" i="5"/>
  <c r="B106" i="5"/>
  <c r="B46" i="5"/>
  <c r="B86" i="5"/>
  <c r="B10" i="5"/>
  <c r="B65" i="5"/>
  <c r="B45" i="5"/>
  <c r="B64" i="5"/>
  <c r="C74" i="5"/>
  <c r="B4" i="5"/>
  <c r="C72" i="5"/>
  <c r="B6" i="5"/>
  <c r="C71" i="5"/>
  <c r="X70" i="5"/>
  <c r="X80" i="5"/>
  <c r="X100" i="5"/>
  <c r="X11" i="5"/>
  <c r="X21" i="5"/>
  <c r="X19" i="5"/>
  <c r="X29" i="5"/>
  <c r="X79" i="5"/>
  <c r="W64" i="5"/>
  <c r="X66" i="5"/>
  <c r="W12" i="5"/>
  <c r="W22" i="5"/>
  <c r="W106" i="5"/>
  <c r="X3" i="5"/>
  <c r="X23" i="5"/>
  <c r="W74" i="5"/>
  <c r="X35" i="5"/>
  <c r="X50" i="5"/>
  <c r="W84" i="5"/>
  <c r="W36" i="5"/>
  <c r="W54" i="5"/>
  <c r="W86" i="5"/>
  <c r="X37" i="5"/>
  <c r="W59" i="5"/>
  <c r="X6" i="5"/>
  <c r="X56" i="5"/>
  <c r="X76" i="5"/>
  <c r="X86" i="5"/>
  <c r="X96" i="5"/>
  <c r="X106" i="5"/>
  <c r="W38" i="5"/>
  <c r="X12" i="5"/>
  <c r="X22" i="5"/>
  <c r="W34" i="5"/>
  <c r="W49" i="5"/>
  <c r="W3" i="5"/>
  <c r="W13" i="5"/>
  <c r="W23" i="5"/>
  <c r="X69" i="5"/>
  <c r="X13" i="5"/>
  <c r="W15" i="5"/>
  <c r="W75" i="5"/>
  <c r="W85" i="5"/>
  <c r="X36" i="5"/>
  <c r="X54" i="5"/>
  <c r="W88" i="5"/>
  <c r="X75" i="5"/>
  <c r="W37" i="5"/>
  <c r="X88" i="5"/>
  <c r="W27" i="5"/>
  <c r="W57" i="5"/>
  <c r="W87" i="5"/>
  <c r="W97" i="5"/>
  <c r="X38" i="5"/>
  <c r="W94" i="5"/>
  <c r="W63" i="5"/>
  <c r="W44" i="5"/>
  <c r="X57" i="5"/>
  <c r="X104" i="5"/>
  <c r="X15" i="5"/>
  <c r="W17" i="5"/>
  <c r="W105" i="5"/>
  <c r="X17" i="5"/>
  <c r="X105" i="5"/>
  <c r="W18" i="5"/>
  <c r="X16" i="5"/>
  <c r="W28" i="5"/>
  <c r="X25" i="5"/>
  <c r="W7" i="5"/>
  <c r="X7" i="5"/>
  <c r="X78" i="5"/>
  <c r="W61" i="5"/>
  <c r="X60" i="5"/>
  <c r="W32" i="5"/>
  <c r="W43" i="5"/>
  <c r="W53" i="5"/>
  <c r="W73" i="5"/>
  <c r="W83" i="5"/>
  <c r="W93" i="5"/>
  <c r="W103" i="5"/>
  <c r="W78" i="5"/>
  <c r="W31" i="5"/>
  <c r="W41" i="5"/>
  <c r="W51" i="5"/>
  <c r="W71" i="5"/>
  <c r="W81" i="5"/>
  <c r="W91" i="5"/>
  <c r="W101" i="5"/>
  <c r="W98" i="5"/>
  <c r="X31" i="5"/>
  <c r="X41" i="5"/>
  <c r="X51" i="5"/>
  <c r="X61" i="5"/>
  <c r="X71" i="5"/>
  <c r="X91" i="5"/>
  <c r="X101" i="5"/>
  <c r="W2" i="5"/>
  <c r="W42" i="5"/>
  <c r="W52" i="5"/>
  <c r="W62" i="5"/>
  <c r="W72" i="5"/>
  <c r="W82" i="5"/>
  <c r="W92" i="5"/>
  <c r="W102" i="5"/>
  <c r="X2" i="5"/>
  <c r="X32" i="5"/>
  <c r="X42" i="5"/>
  <c r="X52" i="5"/>
  <c r="X62" i="5"/>
  <c r="X72" i="5"/>
  <c r="X82" i="5"/>
  <c r="X92" i="5"/>
  <c r="X102" i="5"/>
  <c r="W33" i="5"/>
  <c r="X4" i="5"/>
  <c r="X33" i="5"/>
  <c r="X43" i="5"/>
  <c r="X53" i="5"/>
  <c r="X63" i="5"/>
  <c r="X73" i="5"/>
  <c r="X83" i="5"/>
  <c r="X93" i="5"/>
  <c r="U94" i="5"/>
  <c r="T87" i="5"/>
  <c r="T67" i="5"/>
  <c r="T66" i="5"/>
  <c r="T56" i="5"/>
  <c r="T6" i="5"/>
  <c r="T108" i="5"/>
  <c r="H5" i="13" s="1"/>
  <c r="T98" i="5"/>
  <c r="T58" i="5"/>
  <c r="T38" i="5"/>
  <c r="T97" i="5"/>
  <c r="T94" i="5"/>
  <c r="T84" i="5"/>
  <c r="T74" i="5"/>
  <c r="T44" i="5"/>
  <c r="T34" i="5"/>
  <c r="T103" i="5"/>
  <c r="T93" i="5"/>
  <c r="T33" i="5"/>
  <c r="T102" i="5"/>
  <c r="T92" i="5"/>
  <c r="T62" i="5"/>
  <c r="T52" i="5"/>
  <c r="T42" i="5"/>
  <c r="T2" i="5"/>
  <c r="T11" i="5"/>
  <c r="T22" i="5"/>
  <c r="U108" i="5"/>
  <c r="U78" i="5"/>
  <c r="U58" i="5"/>
  <c r="U38" i="5"/>
  <c r="U46" i="5"/>
  <c r="U36" i="5"/>
  <c r="U6" i="5"/>
  <c r="U105" i="5"/>
  <c r="U75" i="5"/>
  <c r="U25" i="5"/>
  <c r="U97" i="5"/>
  <c r="U77" i="5"/>
  <c r="U102" i="5"/>
  <c r="U82" i="5"/>
  <c r="U32" i="5"/>
  <c r="U81" i="5"/>
  <c r="U41" i="5"/>
  <c r="U103" i="5"/>
  <c r="U83" i="5"/>
  <c r="U33" i="5"/>
  <c r="U91" i="5"/>
  <c r="T23" i="5"/>
  <c r="U27" i="5"/>
  <c r="T28" i="5"/>
  <c r="U26" i="5"/>
  <c r="U18" i="5"/>
  <c r="T69" i="5"/>
  <c r="H3" i="13" s="1"/>
  <c r="T105" i="5"/>
  <c r="U13" i="5"/>
  <c r="U52" i="5"/>
  <c r="U22" i="5"/>
  <c r="Q107" i="5"/>
  <c r="Q19" i="5"/>
  <c r="R18" i="5"/>
  <c r="R16" i="5"/>
  <c r="R17" i="5"/>
  <c r="R48" i="5"/>
  <c r="Q17" i="5"/>
  <c r="Q76" i="5"/>
  <c r="R89" i="5"/>
  <c r="Q105" i="5"/>
  <c r="Q95" i="5"/>
  <c r="Q75" i="5"/>
  <c r="Q65" i="5"/>
  <c r="Q55" i="5"/>
  <c r="Q45" i="5"/>
  <c r="Q35" i="5"/>
  <c r="Q104" i="5"/>
  <c r="Q94" i="5"/>
  <c r="Q84" i="5"/>
  <c r="Q74" i="5"/>
  <c r="Q64" i="5"/>
  <c r="Q54" i="5"/>
  <c r="Q44" i="5"/>
  <c r="Q34" i="5"/>
  <c r="Q103" i="5"/>
  <c r="Q93" i="5"/>
  <c r="Q83" i="5"/>
  <c r="Q73" i="5"/>
  <c r="Q63" i="5"/>
  <c r="Q53" i="5"/>
  <c r="Q43" i="5"/>
  <c r="Q33" i="5"/>
  <c r="R105" i="5"/>
  <c r="R95" i="5"/>
  <c r="R75" i="5"/>
  <c r="R65" i="5"/>
  <c r="R35" i="5"/>
  <c r="R94" i="5"/>
  <c r="R84" i="5"/>
  <c r="R74" i="5"/>
  <c r="R64" i="5"/>
  <c r="R54" i="5"/>
  <c r="R44" i="5"/>
  <c r="R34" i="5"/>
  <c r="R33" i="5"/>
  <c r="R102" i="5"/>
  <c r="R92" i="5"/>
  <c r="Q20" i="5"/>
  <c r="Q36" i="5"/>
  <c r="Q49" i="5"/>
  <c r="Q62" i="5"/>
  <c r="Q78" i="5"/>
  <c r="Q108" i="5"/>
  <c r="Q3" i="5"/>
  <c r="Q13" i="5"/>
  <c r="Q23" i="5"/>
  <c r="R7" i="5"/>
  <c r="R36" i="5"/>
  <c r="R49" i="5"/>
  <c r="R62" i="5"/>
  <c r="R78" i="5"/>
  <c r="R91" i="5"/>
  <c r="R108" i="5"/>
  <c r="R13" i="5"/>
  <c r="R23" i="5"/>
  <c r="Q8" i="5"/>
  <c r="Q37" i="5"/>
  <c r="Q50" i="5"/>
  <c r="Q66" i="5"/>
  <c r="Q79" i="5"/>
  <c r="Q92" i="5"/>
  <c r="Q4" i="5"/>
  <c r="Q14" i="5"/>
  <c r="Q24" i="5"/>
  <c r="R8" i="5"/>
  <c r="R37" i="5"/>
  <c r="R50" i="5"/>
  <c r="R66" i="5"/>
  <c r="R79" i="5"/>
  <c r="Q38" i="5"/>
  <c r="Q51" i="5"/>
  <c r="Q67" i="5"/>
  <c r="Q80" i="5"/>
  <c r="R96" i="5"/>
  <c r="Q15" i="5"/>
  <c r="Q25" i="5"/>
  <c r="R9" i="5"/>
  <c r="R38" i="5"/>
  <c r="R51" i="5"/>
  <c r="R67" i="5"/>
  <c r="Q97" i="5"/>
  <c r="R5" i="5"/>
  <c r="R25" i="5"/>
  <c r="Q10" i="5"/>
  <c r="Q52" i="5"/>
  <c r="Q68" i="5"/>
  <c r="R97" i="5"/>
  <c r="R39" i="5"/>
  <c r="R52" i="5"/>
  <c r="R68" i="5"/>
  <c r="R81" i="5"/>
  <c r="Q98" i="5"/>
  <c r="Q27" i="5"/>
  <c r="Q40" i="5"/>
  <c r="Q82" i="5"/>
  <c r="R98" i="5"/>
  <c r="R27" i="5"/>
  <c r="R40" i="5"/>
  <c r="R56" i="5"/>
  <c r="R82" i="5"/>
  <c r="Q28" i="5"/>
  <c r="Q41" i="5"/>
  <c r="Q57" i="5"/>
  <c r="Q70" i="5"/>
  <c r="Q86" i="5"/>
  <c r="R99" i="5"/>
  <c r="R28" i="5"/>
  <c r="R41" i="5"/>
  <c r="R57" i="5"/>
  <c r="R70" i="5"/>
  <c r="R86" i="5"/>
  <c r="Q16" i="5"/>
  <c r="Q29" i="5"/>
  <c r="Q42" i="5"/>
  <c r="Q58" i="5"/>
  <c r="Q87" i="5"/>
  <c r="R100" i="5"/>
  <c r="R29" i="5"/>
  <c r="R42" i="5"/>
  <c r="R58" i="5"/>
  <c r="R71" i="5"/>
  <c r="R87" i="5"/>
  <c r="Q101" i="5"/>
  <c r="Q30" i="5"/>
  <c r="Q46" i="5"/>
  <c r="Q59" i="5"/>
  <c r="Q72" i="5"/>
  <c r="Q88" i="5"/>
  <c r="R101" i="5"/>
  <c r="R59" i="5"/>
  <c r="R72" i="5"/>
  <c r="R88" i="5"/>
  <c r="Q102" i="5"/>
  <c r="N87" i="5"/>
  <c r="O3" i="5"/>
  <c r="N98" i="5"/>
  <c r="N22" i="5"/>
  <c r="N85" i="5"/>
  <c r="O22" i="5"/>
  <c r="N13" i="5"/>
  <c r="O13" i="5"/>
  <c r="O11" i="5"/>
  <c r="O71" i="5"/>
  <c r="N34" i="5"/>
  <c r="O83" i="5"/>
  <c r="O93" i="5"/>
  <c r="O103" i="5"/>
  <c r="N4" i="5"/>
  <c r="N44" i="5"/>
  <c r="N74" i="5"/>
  <c r="N84" i="5"/>
  <c r="N94" i="5"/>
  <c r="N104" i="5"/>
  <c r="O104" i="5"/>
  <c r="N75" i="5"/>
  <c r="O15" i="5"/>
  <c r="O25" i="5"/>
  <c r="O35" i="5"/>
  <c r="O75" i="5"/>
  <c r="O95" i="5"/>
  <c r="O105" i="5"/>
  <c r="N56" i="5"/>
  <c r="N96" i="5"/>
  <c r="N106" i="5"/>
  <c r="O6" i="5"/>
  <c r="O16" i="5"/>
  <c r="O26" i="5"/>
  <c r="N7" i="5"/>
  <c r="N17" i="5"/>
  <c r="N27" i="5"/>
  <c r="N37" i="5"/>
  <c r="N47" i="5"/>
  <c r="N57" i="5"/>
  <c r="N67" i="5"/>
  <c r="N97" i="5"/>
  <c r="O7" i="5"/>
  <c r="O27" i="5"/>
  <c r="N12" i="5"/>
  <c r="N32" i="5"/>
  <c r="N42" i="5"/>
  <c r="N92" i="5"/>
  <c r="O32" i="5"/>
  <c r="N48" i="5"/>
  <c r="N99" i="5"/>
  <c r="O29" i="5"/>
  <c r="N71" i="5"/>
  <c r="N81" i="5"/>
  <c r="N91" i="5"/>
  <c r="N58" i="5"/>
  <c r="N8" i="5"/>
  <c r="N28" i="5"/>
  <c r="O18" i="5"/>
  <c r="N68" i="5"/>
  <c r="N78" i="5"/>
  <c r="N108" i="5"/>
  <c r="F5" i="13" s="1"/>
  <c r="N18" i="5"/>
  <c r="N38" i="5"/>
  <c r="N2" i="5"/>
  <c r="O10" i="5"/>
  <c r="O20" i="5"/>
  <c r="O30" i="5"/>
  <c r="N102" i="5"/>
  <c r="N62" i="5"/>
  <c r="N72" i="5"/>
  <c r="N82" i="5"/>
  <c r="N11" i="5"/>
  <c r="N43" i="5"/>
  <c r="N53" i="5"/>
  <c r="O23" i="5"/>
  <c r="O43" i="5"/>
  <c r="N63" i="5"/>
  <c r="N83" i="5"/>
  <c r="N103" i="5"/>
  <c r="O108" i="5"/>
  <c r="O63" i="5"/>
  <c r="N64" i="5"/>
  <c r="N73" i="5"/>
  <c r="O44" i="5"/>
  <c r="O73" i="5"/>
  <c r="O53" i="5"/>
  <c r="N54" i="5"/>
  <c r="O4" i="5"/>
  <c r="N24" i="5"/>
  <c r="O24" i="5"/>
  <c r="O36" i="5"/>
  <c r="O46" i="5"/>
  <c r="O56" i="5"/>
  <c r="O66" i="5"/>
  <c r="O76" i="5"/>
  <c r="O86" i="5"/>
  <c r="O96" i="5"/>
  <c r="O106" i="5"/>
  <c r="O37" i="5"/>
  <c r="O47" i="5"/>
  <c r="O57" i="5"/>
  <c r="O67" i="5"/>
  <c r="O77" i="5"/>
  <c r="O87" i="5"/>
  <c r="O97" i="5"/>
  <c r="O107" i="5"/>
  <c r="O8" i="5"/>
  <c r="O38" i="5"/>
  <c r="O48" i="5"/>
  <c r="O58" i="5"/>
  <c r="O68" i="5"/>
  <c r="O78" i="5"/>
  <c r="O88" i="5"/>
  <c r="O98" i="5"/>
  <c r="N9" i="5"/>
  <c r="O79" i="5"/>
  <c r="N70" i="5"/>
  <c r="N80" i="5"/>
  <c r="N100" i="5"/>
  <c r="O69" i="5"/>
  <c r="O99" i="5"/>
  <c r="O40" i="5"/>
  <c r="L30" i="5"/>
  <c r="L20" i="5"/>
  <c r="K84" i="5"/>
  <c r="L34" i="5"/>
  <c r="L66" i="5"/>
  <c r="L98" i="5"/>
  <c r="L48" i="5"/>
  <c r="K48" i="5"/>
  <c r="L7" i="5"/>
  <c r="K64" i="5"/>
  <c r="L78" i="5"/>
  <c r="L97" i="5"/>
  <c r="K88" i="5"/>
  <c r="L74" i="5"/>
  <c r="L85" i="5"/>
  <c r="L105" i="5"/>
  <c r="K8" i="5"/>
  <c r="L26" i="5"/>
  <c r="L45" i="5"/>
  <c r="L64" i="5"/>
  <c r="K98" i="5"/>
  <c r="L12" i="5"/>
  <c r="K74" i="5"/>
  <c r="L36" i="5"/>
  <c r="L3" i="5"/>
  <c r="K56" i="5"/>
  <c r="L75" i="5"/>
  <c r="K7" i="5"/>
  <c r="K28" i="5"/>
  <c r="K67" i="5"/>
  <c r="L8" i="5"/>
  <c r="K27" i="5"/>
  <c r="K101" i="5"/>
  <c r="K91" i="5"/>
  <c r="K81" i="5"/>
  <c r="K71" i="5"/>
  <c r="K61" i="5"/>
  <c r="K51" i="5"/>
  <c r="K41" i="5"/>
  <c r="K50" i="5"/>
  <c r="K40" i="5"/>
  <c r="K103" i="5"/>
  <c r="K93" i="5"/>
  <c r="K83" i="5"/>
  <c r="K73" i="5"/>
  <c r="K63" i="5"/>
  <c r="K53" i="5"/>
  <c r="K43" i="5"/>
  <c r="K33" i="5"/>
  <c r="K31" i="5"/>
  <c r="K92" i="5"/>
  <c r="K82" i="5"/>
  <c r="K72" i="5"/>
  <c r="K62" i="5"/>
  <c r="K52" i="5"/>
  <c r="K42" i="5"/>
  <c r="K2" i="5"/>
  <c r="K11" i="5"/>
  <c r="K21" i="5"/>
  <c r="K68" i="5"/>
  <c r="K87" i="5"/>
  <c r="L103" i="5"/>
  <c r="L93" i="5"/>
  <c r="L83" i="5"/>
  <c r="L73" i="5"/>
  <c r="L63" i="5"/>
  <c r="L53" i="5"/>
  <c r="L43" i="5"/>
  <c r="L33" i="5"/>
  <c r="L101" i="5"/>
  <c r="L91" i="5"/>
  <c r="L81" i="5"/>
  <c r="L71" i="5"/>
  <c r="L61" i="5"/>
  <c r="L41" i="5"/>
  <c r="L31" i="5"/>
  <c r="L50" i="5"/>
  <c r="L69" i="5"/>
  <c r="L51" i="5"/>
  <c r="L92" i="5"/>
  <c r="L82" i="5"/>
  <c r="L72" i="5"/>
  <c r="L62" i="5"/>
  <c r="L52" i="5"/>
  <c r="L42" i="5"/>
  <c r="L32" i="5"/>
  <c r="L2" i="5"/>
  <c r="L11" i="5"/>
  <c r="L21" i="5"/>
  <c r="K16" i="5"/>
  <c r="K54" i="5"/>
  <c r="L68" i="5"/>
  <c r="L87" i="5"/>
  <c r="L106" i="5"/>
  <c r="K12" i="5"/>
  <c r="K22" i="5"/>
  <c r="L35" i="5"/>
  <c r="L54" i="5"/>
  <c r="K107" i="5"/>
  <c r="L22" i="5"/>
  <c r="K17" i="5"/>
  <c r="K36" i="5"/>
  <c r="L88" i="5"/>
  <c r="L107" i="5"/>
  <c r="K3" i="5"/>
  <c r="K13" i="5"/>
  <c r="K23" i="5"/>
  <c r="L17" i="5"/>
  <c r="L55" i="5"/>
  <c r="K89" i="5"/>
  <c r="K108" i="5"/>
  <c r="L13" i="5"/>
  <c r="L23" i="5"/>
  <c r="K4" i="5"/>
  <c r="K18" i="5"/>
  <c r="K37" i="5"/>
  <c r="K75" i="5"/>
  <c r="K94" i="5"/>
  <c r="L108" i="5"/>
  <c r="L4" i="5"/>
  <c r="L18" i="5"/>
  <c r="L37" i="5"/>
  <c r="L56" i="5"/>
  <c r="L94" i="5"/>
  <c r="K38" i="5"/>
  <c r="K57" i="5"/>
  <c r="K76" i="5"/>
  <c r="K95" i="5"/>
  <c r="L5" i="5"/>
  <c r="K24" i="5"/>
  <c r="L38" i="5"/>
  <c r="L57" i="5"/>
  <c r="L76" i="5"/>
  <c r="L95" i="5"/>
  <c r="L24" i="5"/>
  <c r="K58" i="5"/>
  <c r="K77" i="5"/>
  <c r="L6" i="5"/>
  <c r="K25" i="5"/>
  <c r="K44" i="5"/>
  <c r="L58" i="5"/>
  <c r="L77" i="5"/>
  <c r="L96" i="5"/>
  <c r="L84" i="5"/>
  <c r="L104" i="5"/>
  <c r="L25" i="5"/>
  <c r="L44" i="5"/>
  <c r="K78" i="5"/>
  <c r="K97" i="5"/>
  <c r="L28" i="5"/>
  <c r="L47" i="5"/>
  <c r="L67" i="5"/>
  <c r="L27" i="5"/>
  <c r="L46" i="5"/>
  <c r="L65" i="5"/>
  <c r="L15" i="5"/>
  <c r="I78" i="5"/>
  <c r="I60" i="5"/>
  <c r="I79" i="5"/>
  <c r="I99" i="5"/>
  <c r="H61" i="5"/>
  <c r="I88" i="5"/>
  <c r="H51" i="5"/>
  <c r="H49" i="5"/>
  <c r="H78" i="5"/>
  <c r="H88" i="5"/>
  <c r="H98" i="5"/>
  <c r="H16" i="5"/>
  <c r="H33" i="5"/>
  <c r="H90" i="5"/>
  <c r="I98" i="5"/>
  <c r="I33" i="5"/>
  <c r="H60" i="5"/>
  <c r="H99" i="5"/>
  <c r="I31" i="5"/>
  <c r="I41" i="5"/>
  <c r="I51" i="5"/>
  <c r="H32" i="5"/>
  <c r="H81" i="5"/>
  <c r="I71" i="5"/>
  <c r="H3" i="5"/>
  <c r="H13" i="5"/>
  <c r="H23" i="5"/>
  <c r="H53" i="5"/>
  <c r="I13" i="5"/>
  <c r="I23" i="5"/>
  <c r="I53" i="5"/>
  <c r="H14" i="5"/>
  <c r="H54" i="5"/>
  <c r="H93" i="5"/>
  <c r="H72" i="5"/>
  <c r="I14" i="5"/>
  <c r="I21" i="5"/>
  <c r="I93" i="5"/>
  <c r="H25" i="5"/>
  <c r="I5" i="5"/>
  <c r="I25" i="5"/>
  <c r="H6" i="5"/>
  <c r="H46" i="5"/>
  <c r="I105" i="5"/>
  <c r="I103" i="5"/>
  <c r="H104" i="5"/>
  <c r="I104" i="5"/>
  <c r="H83" i="5"/>
  <c r="I83" i="5"/>
  <c r="H84" i="5"/>
  <c r="I84" i="5"/>
  <c r="H74" i="5"/>
  <c r="I74" i="5"/>
  <c r="I81" i="5"/>
  <c r="H82" i="5"/>
  <c r="H43" i="5"/>
  <c r="I73" i="5"/>
  <c r="I43" i="5"/>
  <c r="I54" i="5"/>
  <c r="H22" i="5"/>
  <c r="I3" i="5"/>
  <c r="H4" i="5"/>
  <c r="I4" i="5"/>
  <c r="H24" i="5"/>
  <c r="I24" i="5"/>
  <c r="H15" i="5"/>
  <c r="I27" i="5"/>
  <c r="I37" i="5"/>
  <c r="H28" i="5"/>
  <c r="I46" i="5"/>
  <c r="I66" i="5"/>
  <c r="H95" i="5"/>
  <c r="I55" i="5"/>
  <c r="I65" i="5"/>
  <c r="I75" i="5"/>
  <c r="I85" i="5"/>
  <c r="I95" i="5"/>
  <c r="E12" i="5"/>
  <c r="E22" i="5"/>
  <c r="F12" i="5"/>
  <c r="F22" i="5"/>
  <c r="E3" i="5"/>
  <c r="E13" i="5"/>
  <c r="E23" i="5"/>
  <c r="E35" i="5"/>
  <c r="E45" i="5"/>
  <c r="E85" i="5"/>
  <c r="F50" i="5"/>
  <c r="E71" i="5"/>
  <c r="E7" i="5"/>
  <c r="E17" i="5"/>
  <c r="E27" i="5"/>
  <c r="E47" i="5"/>
  <c r="E57" i="5"/>
  <c r="E67" i="5"/>
  <c r="E77" i="5"/>
  <c r="E87" i="5"/>
  <c r="E97" i="5"/>
  <c r="E107" i="5"/>
  <c r="F7" i="5"/>
  <c r="F27" i="5"/>
  <c r="F37" i="5"/>
  <c r="F47" i="5"/>
  <c r="F57" i="5"/>
  <c r="F67" i="5"/>
  <c r="F77" i="5"/>
  <c r="F87" i="5"/>
  <c r="F97" i="5"/>
  <c r="F107" i="5"/>
  <c r="E8" i="5"/>
  <c r="E18" i="5"/>
  <c r="E48" i="5"/>
  <c r="E68" i="5"/>
  <c r="E78" i="5"/>
  <c r="E88" i="5"/>
  <c r="E98" i="5"/>
  <c r="E108" i="5"/>
  <c r="F8" i="5"/>
  <c r="F18" i="5"/>
  <c r="F38" i="5"/>
  <c r="F48" i="5"/>
  <c r="F58" i="5"/>
  <c r="F68" i="5"/>
  <c r="F78" i="5"/>
  <c r="F88" i="5"/>
  <c r="F98" i="5"/>
  <c r="F108" i="5"/>
  <c r="E39" i="5"/>
  <c r="E59" i="5"/>
  <c r="E69" i="5"/>
  <c r="E79" i="5"/>
  <c r="E89" i="5"/>
  <c r="E99" i="5"/>
  <c r="E70" i="5"/>
  <c r="F74" i="5"/>
  <c r="E31" i="5"/>
  <c r="E41" i="5"/>
  <c r="E51" i="5"/>
  <c r="E61" i="5"/>
  <c r="E81" i="5"/>
  <c r="E91" i="5"/>
  <c r="F31" i="5"/>
  <c r="F51" i="5"/>
  <c r="F61" i="5"/>
  <c r="F71" i="5"/>
  <c r="F81" i="5"/>
  <c r="F91" i="5"/>
  <c r="E2" i="5"/>
  <c r="E32" i="5"/>
  <c r="E42" i="5"/>
  <c r="E52" i="5"/>
  <c r="E72" i="5"/>
  <c r="E82" i="5"/>
  <c r="E92" i="5"/>
  <c r="E102" i="5"/>
  <c r="F2" i="5"/>
  <c r="F32" i="5"/>
  <c r="F52" i="5"/>
  <c r="F62" i="5"/>
  <c r="F82" i="5"/>
  <c r="F92" i="5"/>
  <c r="F102" i="5"/>
  <c r="E33" i="5"/>
  <c r="E43" i="5"/>
  <c r="E53" i="5"/>
  <c r="E63" i="5"/>
  <c r="E73" i="5"/>
  <c r="E83" i="5"/>
  <c r="E103" i="5"/>
  <c r="F29" i="5"/>
  <c r="E50" i="5"/>
  <c r="E60" i="5"/>
  <c r="E80" i="5"/>
  <c r="E100" i="5"/>
  <c r="F44" i="5"/>
  <c r="E94" i="5"/>
  <c r="F33" i="5"/>
  <c r="F43" i="5"/>
  <c r="F53" i="5"/>
  <c r="F63" i="5"/>
  <c r="F73" i="5"/>
  <c r="F83" i="5"/>
  <c r="F93" i="5"/>
  <c r="F103" i="5"/>
  <c r="C45" i="5"/>
  <c r="B44" i="5"/>
  <c r="C11" i="5"/>
  <c r="B85" i="5"/>
  <c r="C92" i="5"/>
  <c r="C52" i="5"/>
  <c r="C12" i="5"/>
  <c r="B8" i="5"/>
  <c r="B104" i="5"/>
  <c r="B84" i="5"/>
  <c r="C91" i="5"/>
  <c r="C51" i="5"/>
  <c r="C29" i="5"/>
  <c r="C96" i="5"/>
  <c r="B18" i="5"/>
  <c r="B17" i="5"/>
  <c r="C24" i="5"/>
  <c r="C4" i="5"/>
  <c r="C83" i="5"/>
  <c r="C43" i="5"/>
  <c r="C56" i="5"/>
  <c r="B108" i="5"/>
  <c r="B5" i="13" s="1"/>
  <c r="B88" i="5"/>
  <c r="B68" i="5"/>
  <c r="B48" i="5"/>
  <c r="C95" i="5"/>
  <c r="C55" i="5"/>
  <c r="C63" i="5"/>
  <c r="C23" i="5"/>
  <c r="B49" i="5"/>
  <c r="C36" i="5"/>
  <c r="B107" i="5"/>
  <c r="B67" i="5"/>
  <c r="B7" i="5"/>
  <c r="C94" i="5"/>
  <c r="B105" i="5"/>
  <c r="B77" i="5"/>
  <c r="B57" i="5"/>
  <c r="C104" i="5"/>
  <c r="C84" i="5"/>
  <c r="C64" i="5"/>
  <c r="C44" i="5"/>
  <c r="B93" i="5"/>
  <c r="B73" i="5"/>
  <c r="B33" i="5"/>
  <c r="C98" i="5"/>
  <c r="C93" i="5"/>
  <c r="C53" i="5"/>
  <c r="C33" i="5"/>
  <c r="B96" i="5"/>
  <c r="C3" i="5"/>
  <c r="B5" i="5"/>
  <c r="B103" i="5"/>
  <c r="B83" i="5"/>
  <c r="B63" i="5"/>
  <c r="B43" i="5"/>
  <c r="C90" i="5"/>
  <c r="C70" i="5"/>
  <c r="C50" i="5"/>
  <c r="C2" i="5"/>
  <c r="C89" i="5"/>
  <c r="C69" i="5"/>
  <c r="C49" i="5"/>
  <c r="C108" i="5"/>
  <c r="C88" i="5"/>
  <c r="C68" i="5"/>
  <c r="C48" i="5"/>
  <c r="C28" i="5"/>
  <c r="C8" i="5"/>
  <c r="C107" i="5"/>
  <c r="C87" i="5"/>
  <c r="C67" i="5"/>
  <c r="C47" i="5"/>
  <c r="C7" i="5"/>
  <c r="B79" i="5"/>
  <c r="B4" i="13" s="1"/>
  <c r="C106" i="5"/>
  <c r="C86" i="5"/>
  <c r="C66" i="5"/>
  <c r="C46" i="5"/>
  <c r="C26" i="5"/>
  <c r="C6" i="5"/>
  <c r="C105" i="5"/>
  <c r="C85" i="5"/>
  <c r="C65" i="5"/>
  <c r="C5" i="5"/>
  <c r="W9" i="5"/>
  <c r="W46" i="5"/>
  <c r="X46" i="5"/>
  <c r="W10" i="5"/>
  <c r="X28" i="5"/>
  <c r="W66" i="5"/>
  <c r="W104" i="5"/>
  <c r="X10" i="5"/>
  <c r="W20" i="5"/>
  <c r="W30" i="5"/>
  <c r="W4" i="5"/>
  <c r="T39" i="5"/>
  <c r="U11" i="5"/>
  <c r="R20" i="5"/>
  <c r="Q2" i="5"/>
  <c r="Q32" i="5"/>
  <c r="R32" i="5"/>
  <c r="R55" i="5"/>
  <c r="R47" i="5"/>
  <c r="O17" i="5"/>
  <c r="O28" i="5"/>
  <c r="N66" i="5"/>
  <c r="N14" i="5"/>
  <c r="L16" i="5"/>
  <c r="K34" i="5"/>
  <c r="K10" i="5"/>
  <c r="L29" i="5"/>
  <c r="K47" i="5"/>
  <c r="I67" i="5"/>
  <c r="I68" i="5"/>
  <c r="H69" i="5"/>
  <c r="D3" i="13" s="1"/>
  <c r="I106" i="5"/>
  <c r="I87" i="5"/>
  <c r="I7" i="5"/>
  <c r="I107" i="5"/>
  <c r="I17" i="5"/>
  <c r="I39" i="5"/>
  <c r="F60" i="5"/>
  <c r="F79" i="5"/>
  <c r="F66" i="5"/>
  <c r="E95" i="5"/>
  <c r="F59" i="5"/>
  <c r="E75" i="5"/>
  <c r="C13" i="5"/>
  <c r="W8" i="5"/>
  <c r="W108" i="5"/>
  <c r="R2" i="5"/>
  <c r="R106" i="5"/>
  <c r="Q39" i="5"/>
  <c r="Q48" i="5"/>
  <c r="R22" i="5"/>
  <c r="R45" i="5"/>
  <c r="Q31" i="5"/>
  <c r="Q77" i="5"/>
  <c r="Q6" i="5"/>
  <c r="Q106" i="5"/>
  <c r="R60" i="5"/>
  <c r="Q7" i="5"/>
  <c r="Q61" i="5"/>
  <c r="R107" i="5"/>
  <c r="R77" i="5"/>
  <c r="N77" i="5"/>
  <c r="N107" i="5"/>
  <c r="N88" i="5"/>
  <c r="N3" i="5"/>
  <c r="N46" i="5"/>
  <c r="N93" i="5"/>
  <c r="N36" i="5"/>
  <c r="N26" i="5"/>
  <c r="N105" i="5"/>
  <c r="H8" i="5"/>
  <c r="I58" i="5"/>
  <c r="I108" i="5"/>
  <c r="E64" i="5"/>
  <c r="E14" i="5"/>
  <c r="E105" i="5"/>
  <c r="E19" i="5"/>
  <c r="E86" i="5"/>
  <c r="E20" i="5"/>
  <c r="F5" i="5"/>
  <c r="F14" i="5"/>
  <c r="F39" i="5"/>
  <c r="E4" i="5"/>
  <c r="F40" i="5"/>
  <c r="F90" i="5"/>
  <c r="F3" i="5"/>
  <c r="E46" i="5"/>
  <c r="F76" i="5"/>
  <c r="E106" i="5"/>
  <c r="F13" i="5"/>
  <c r="E6" i="5"/>
  <c r="F100" i="5"/>
  <c r="B26" i="5"/>
  <c r="B87" i="5"/>
  <c r="B47" i="5"/>
  <c r="B23" i="5"/>
  <c r="B3" i="5"/>
  <c r="B82" i="5"/>
</calcChain>
</file>

<file path=xl/sharedStrings.xml><?xml version="1.0" encoding="utf-8"?>
<sst xmlns="http://schemas.openxmlformats.org/spreadsheetml/2006/main" count="422" uniqueCount="84">
  <si>
    <t>Storage modulus</t>
  </si>
  <si>
    <t>Loss modulus</t>
  </si>
  <si>
    <t>MPa</t>
  </si>
  <si>
    <t>Average storage modulus</t>
  </si>
  <si>
    <t>Average loss modulus</t>
  </si>
  <si>
    <t>Time</t>
  </si>
  <si>
    <t>s</t>
  </si>
  <si>
    <t>Change (%)</t>
  </si>
  <si>
    <t>Gi1</t>
  </si>
  <si>
    <t>Gf1</t>
  </si>
  <si>
    <t>Gi2</t>
  </si>
  <si>
    <t>Gf2</t>
  </si>
  <si>
    <t>Gi3</t>
  </si>
  <si>
    <t>Gf3</t>
  </si>
  <si>
    <t>Gi4</t>
  </si>
  <si>
    <t>Gf4</t>
  </si>
  <si>
    <t>Gi5</t>
  </si>
  <si>
    <t>Gf5</t>
  </si>
  <si>
    <t>Gf1-&gt;Gi3</t>
  </si>
  <si>
    <t>Gf1-&gt;Gf3</t>
  </si>
  <si>
    <t>Gf3-&gt;Gi5</t>
  </si>
  <si>
    <t>Gf3-&gt;Gf5</t>
  </si>
  <si>
    <t>Gf1-&gt;Gi5</t>
  </si>
  <si>
    <t>Gf1-&gt;Gf5</t>
  </si>
  <si>
    <t>a-&gt;b</t>
  </si>
  <si>
    <t>b/a*100</t>
  </si>
  <si>
    <t>WT Parafilm- 72</t>
  </si>
  <si>
    <t>WT Parafilm+ 72</t>
  </si>
  <si>
    <t>Spore- Parafilm- 72</t>
  </si>
  <si>
    <t>Spore- Parafilm+ 72</t>
  </si>
  <si>
    <t>PGA- Parafilm- 72</t>
  </si>
  <si>
    <t>PGA- Parafilm+ 72</t>
  </si>
  <si>
    <t>EPS- Parafilm- 72</t>
  </si>
  <si>
    <t>EPS- Parafilm+ 72</t>
  </si>
  <si>
    <t>WT Parafilm- average G'</t>
  </si>
  <si>
    <t>WT Parafilm- average G''</t>
  </si>
  <si>
    <t>WT Parafilm+ average G'</t>
  </si>
  <si>
    <t>WT Parafilm+ average G''</t>
  </si>
  <si>
    <t>Spore- Parafilm- average G'</t>
  </si>
  <si>
    <t>Spore- Parafilm- average G''</t>
  </si>
  <si>
    <t>Spore- Parafilm+ average G'</t>
  </si>
  <si>
    <t>Spore- Parafilm+ average G''</t>
  </si>
  <si>
    <t>PGA- Parafilm- average G'</t>
  </si>
  <si>
    <t>PGA- Parafilm- average G''</t>
  </si>
  <si>
    <t>PGA- Parafilm+ average G'</t>
  </si>
  <si>
    <t>PGA- Parafilm+ average G''</t>
  </si>
  <si>
    <t>EPS- Parafilm- average G'</t>
  </si>
  <si>
    <t>EPS- Parafilm- average G''</t>
  </si>
  <si>
    <t>EPS- Parafilm+ average G'</t>
  </si>
  <si>
    <t>EPS- Parafilm+ average G''</t>
  </si>
  <si>
    <t>WT Parafilm- SD G'</t>
  </si>
  <si>
    <t>WT Parafilm- SD G''</t>
  </si>
  <si>
    <t>WT Parafilm+ SD G'</t>
  </si>
  <si>
    <t>WT Parafilm+ SD G''</t>
  </si>
  <si>
    <t>Spore- Parafilm- SD G'</t>
  </si>
  <si>
    <t>Spore- Parafilm- SD G''</t>
  </si>
  <si>
    <t>Spore- Parafilm+ SD G'</t>
  </si>
  <si>
    <t>Spore- Parafilm+ SD G''</t>
  </si>
  <si>
    <t>PGA- Parafilm- SD G'</t>
  </si>
  <si>
    <t>PGA- Parafilm- SD G''</t>
  </si>
  <si>
    <t>PGA- Parafilm+ SD G'</t>
  </si>
  <si>
    <t>PGA- Parafilm+ SD G''</t>
  </si>
  <si>
    <t>EPS- Parafilm- SD G'</t>
  </si>
  <si>
    <t>EPS- Parafilm- SD G''</t>
  </si>
  <si>
    <t>EPS- Parafilm+ SD G'</t>
  </si>
  <si>
    <t>EPS- Parafilm+ SD G''</t>
  </si>
  <si>
    <t>SD G'</t>
  </si>
  <si>
    <t>SD G''</t>
  </si>
  <si>
    <t>Average storage modulus/initial</t>
  </si>
  <si>
    <t>Average loss modulus/initial</t>
  </si>
  <si>
    <t>Percent storage modulus</t>
  </si>
  <si>
    <t>Percent loss modulus</t>
  </si>
  <si>
    <t>WT Parafilm-</t>
  </si>
  <si>
    <t>WT Parafilm+</t>
  </si>
  <si>
    <t>Spore- Parafilm-</t>
  </si>
  <si>
    <t>Spore- Parafilm+</t>
  </si>
  <si>
    <t>PGA- Parafilm-</t>
  </si>
  <si>
    <t>PGA- Parafilm+</t>
  </si>
  <si>
    <t>EPS- Parafilm-</t>
  </si>
  <si>
    <t>EPS- Parafilm+</t>
  </si>
  <si>
    <t>Damage 1</t>
  </si>
  <si>
    <t>Recovery 1</t>
  </si>
  <si>
    <t>Damage 2</t>
  </si>
  <si>
    <t>Recovery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</si>
</sst>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2" fillId="0" borderId="0" xfId="0" applyFont="1" applyAlignment="1">
      <alignment horizontal="center"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hpi'!$T$3:$T$124</c:f>
              <c:numCache>
                <c:formatCode>General</c:formatCode>
                <c:ptCount val="122"/>
                <c:pt idx="0">
                  <c:v>100</c:v>
                </c:pt>
                <c:pt idx="1">
                  <c:v>100.32009850514538</c:v>
                </c:pt>
                <c:pt idx="2">
                  <c:v>100.63628905047183</c:v>
                </c:pt>
                <c:pt idx="3">
                  <c:v>100.98047089592421</c:v>
                </c:pt>
                <c:pt idx="4">
                  <c:v>101.31310916889367</c:v>
                </c:pt>
                <c:pt idx="5">
                  <c:v>101.5630605000599</c:v>
                </c:pt>
                <c:pt idx="6">
                  <c:v>101.73394096753402</c:v>
                </c:pt>
                <c:pt idx="7">
                  <c:v>102.08124286136996</c:v>
                </c:pt>
                <c:pt idx="8">
                  <c:v>102.27097798713346</c:v>
                </c:pt>
                <c:pt idx="9">
                  <c:v>102.5254171588639</c:v>
                </c:pt>
                <c:pt idx="10">
                  <c:v>102.7559589780593</c:v>
                </c:pt>
                <c:pt idx="11">
                  <c:v>102.86727923672068</c:v>
                </c:pt>
                <c:pt idx="12">
                  <c:v>103.17205489077389</c:v>
                </c:pt>
                <c:pt idx="13">
                  <c:v>103.34332383472683</c:v>
                </c:pt>
                <c:pt idx="14">
                  <c:v>103.46442205102421</c:v>
                </c:pt>
                <c:pt idx="15">
                  <c:v>103.67654072489223</c:v>
                </c:pt>
                <c:pt idx="16">
                  <c:v>103.90457662807016</c:v>
                </c:pt>
                <c:pt idx="17">
                  <c:v>104.01613011234865</c:v>
                </c:pt>
                <c:pt idx="18">
                  <c:v>104.24887066877075</c:v>
                </c:pt>
                <c:pt idx="19">
                  <c:v>104.42633386285605</c:v>
                </c:pt>
                <c:pt idx="20">
                  <c:v>104.57481899132165</c:v>
                </c:pt>
                <c:pt idx="21">
                  <c:v>104.75117346965061</c:v>
                </c:pt>
                <c:pt idx="22">
                  <c:v>104.89413444740649</c:v>
                </c:pt>
                <c:pt idx="23">
                  <c:v>105.01457446042834</c:v>
                </c:pt>
                <c:pt idx="24">
                  <c:v>105.18679000273362</c:v>
                </c:pt>
                <c:pt idx="25">
                  <c:v>105.34994691436611</c:v>
                </c:pt>
                <c:pt idx="26">
                  <c:v>105.55437568427705</c:v>
                </c:pt>
                <c:pt idx="27">
                  <c:v>105.64906027539915</c:v>
                </c:pt>
                <c:pt idx="28">
                  <c:v>105.84630345279588</c:v>
                </c:pt>
                <c:pt idx="29">
                  <c:v>0.16655764944939913</c:v>
                </c:pt>
                <c:pt idx="30">
                  <c:v>0.16351195255257231</c:v>
                </c:pt>
                <c:pt idx="31">
                  <c:v>0.16052297461631349</c:v>
                </c:pt>
                <c:pt idx="32">
                  <c:v>0.15801663130685475</c:v>
                </c:pt>
                <c:pt idx="33">
                  <c:v>0.15625405303424852</c:v>
                </c:pt>
                <c:pt idx="34">
                  <c:v>0.15386975075527579</c:v>
                </c:pt>
                <c:pt idx="35">
                  <c:v>0.15084806543478774</c:v>
                </c:pt>
                <c:pt idx="36">
                  <c:v>0.14774312620621868</c:v>
                </c:pt>
                <c:pt idx="37">
                  <c:v>0.14448921196095435</c:v>
                </c:pt>
                <c:pt idx="38">
                  <c:v>0.14196143275642228</c:v>
                </c:pt>
                <c:pt idx="39">
                  <c:v>79.970479149610512</c:v>
                </c:pt>
                <c:pt idx="40">
                  <c:v>82.485360115943394</c:v>
                </c:pt>
                <c:pt idx="41">
                  <c:v>84.15219337572907</c:v>
                </c:pt>
                <c:pt idx="42">
                  <c:v>85.569844660916331</c:v>
                </c:pt>
                <c:pt idx="43">
                  <c:v>86.972755734783618</c:v>
                </c:pt>
                <c:pt idx="44">
                  <c:v>88.043002753812516</c:v>
                </c:pt>
                <c:pt idx="45">
                  <c:v>88.778026986715716</c:v>
                </c:pt>
                <c:pt idx="46">
                  <c:v>89.401569671519042</c:v>
                </c:pt>
                <c:pt idx="47">
                  <c:v>89.881134870068038</c:v>
                </c:pt>
                <c:pt idx="48">
                  <c:v>90.254419333945251</c:v>
                </c:pt>
                <c:pt idx="49">
                  <c:v>90.589584229723812</c:v>
                </c:pt>
                <c:pt idx="50">
                  <c:v>90.981031024327294</c:v>
                </c:pt>
                <c:pt idx="51">
                  <c:v>91.512978755428165</c:v>
                </c:pt>
                <c:pt idx="52">
                  <c:v>92.080260991161708</c:v>
                </c:pt>
                <c:pt idx="53">
                  <c:v>92.529440535621134</c:v>
                </c:pt>
                <c:pt idx="54">
                  <c:v>92.936286796070604</c:v>
                </c:pt>
                <c:pt idx="55">
                  <c:v>93.121571835083202</c:v>
                </c:pt>
                <c:pt idx="56">
                  <c:v>93.333369752626695</c:v>
                </c:pt>
                <c:pt idx="57">
                  <c:v>93.615779708016063</c:v>
                </c:pt>
                <c:pt idx="58">
                  <c:v>93.697254244909189</c:v>
                </c:pt>
                <c:pt idx="59">
                  <c:v>93.906409117946339</c:v>
                </c:pt>
                <c:pt idx="60">
                  <c:v>94.250302223267127</c:v>
                </c:pt>
                <c:pt idx="61">
                  <c:v>94.540484011220357</c:v>
                </c:pt>
                <c:pt idx="62">
                  <c:v>94.746889323183282</c:v>
                </c:pt>
                <c:pt idx="63">
                  <c:v>95.139776093187223</c:v>
                </c:pt>
                <c:pt idx="64">
                  <c:v>95.105342816339927</c:v>
                </c:pt>
                <c:pt idx="65">
                  <c:v>95.291105923444889</c:v>
                </c:pt>
                <c:pt idx="66">
                  <c:v>95.386106659370213</c:v>
                </c:pt>
                <c:pt idx="67">
                  <c:v>95.700194736901565</c:v>
                </c:pt>
                <c:pt idx="68">
                  <c:v>0.13067853350714201</c:v>
                </c:pt>
                <c:pt idx="69">
                  <c:v>0.13062547130339031</c:v>
                </c:pt>
                <c:pt idx="70">
                  <c:v>0.12908224578113944</c:v>
                </c:pt>
                <c:pt idx="71">
                  <c:v>0.12676280821169841</c:v>
                </c:pt>
                <c:pt idx="72">
                  <c:v>0.12504684963649212</c:v>
                </c:pt>
                <c:pt idx="73">
                  <c:v>0.12342716868473717</c:v>
                </c:pt>
                <c:pt idx="74">
                  <c:v>0.12215730585743474</c:v>
                </c:pt>
                <c:pt idx="75">
                  <c:v>0.12064883965049354</c:v>
                </c:pt>
                <c:pt idx="76">
                  <c:v>0.11886324264344</c:v>
                </c:pt>
                <c:pt idx="77">
                  <c:v>0.11740692779621731</c:v>
                </c:pt>
                <c:pt idx="78">
                  <c:v>80.501747198650307</c:v>
                </c:pt>
                <c:pt idx="79">
                  <c:v>83.142069659544319</c:v>
                </c:pt>
                <c:pt idx="80">
                  <c:v>84.924434230086831</c:v>
                </c:pt>
                <c:pt idx="81">
                  <c:v>86.41540918063977</c:v>
                </c:pt>
                <c:pt idx="82">
                  <c:v>87.801502455917742</c:v>
                </c:pt>
                <c:pt idx="83">
                  <c:v>88.825453663556189</c:v>
                </c:pt>
                <c:pt idx="84">
                  <c:v>89.594592025123191</c:v>
                </c:pt>
                <c:pt idx="85">
                  <c:v>90.225898354271109</c:v>
                </c:pt>
                <c:pt idx="86">
                  <c:v>90.74255021017116</c:v>
                </c:pt>
                <c:pt idx="87">
                  <c:v>91.204978594974932</c:v>
                </c:pt>
                <c:pt idx="88">
                  <c:v>91.719028143587352</c:v>
                </c:pt>
                <c:pt idx="89">
                  <c:v>92.148303693577205</c:v>
                </c:pt>
                <c:pt idx="90">
                  <c:v>92.636940641336821</c:v>
                </c:pt>
                <c:pt idx="91">
                  <c:v>93.077403267711318</c:v>
                </c:pt>
                <c:pt idx="92">
                  <c:v>93.623057199463801</c:v>
                </c:pt>
                <c:pt idx="93">
                  <c:v>93.895076580325338</c:v>
                </c:pt>
                <c:pt idx="94">
                  <c:v>94.311576777264577</c:v>
                </c:pt>
                <c:pt idx="95">
                  <c:v>94.664135162461562</c:v>
                </c:pt>
                <c:pt idx="96">
                  <c:v>94.764443582012731</c:v>
                </c:pt>
                <c:pt idx="97">
                  <c:v>94.878252069091261</c:v>
                </c:pt>
                <c:pt idx="98">
                  <c:v>95.169764873005803</c:v>
                </c:pt>
                <c:pt idx="99">
                  <c:v>95.392042829293516</c:v>
                </c:pt>
                <c:pt idx="100">
                  <c:v>95.832606710530328</c:v>
                </c:pt>
                <c:pt idx="101">
                  <c:v>96.083619443312685</c:v>
                </c:pt>
                <c:pt idx="102">
                  <c:v>96.217239368938763</c:v>
                </c:pt>
                <c:pt idx="103">
                  <c:v>96.508214826566942</c:v>
                </c:pt>
                <c:pt idx="104">
                  <c:v>96.674573651039964</c:v>
                </c:pt>
                <c:pt idx="105">
                  <c:v>96.721292003055154</c:v>
                </c:pt>
                <c:pt idx="106">
                  <c:v>96.987355141822562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A-0C40-BB45-0ED9043F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98768"/>
        <c:axId val="2049692512"/>
      </c:scatterChart>
      <c:valAx>
        <c:axId val="204929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92512"/>
        <c:crosses val="autoZero"/>
        <c:crossBetween val="midCat"/>
      </c:valAx>
      <c:valAx>
        <c:axId val="2049692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9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hpi'!$U$3:$U$124</c:f>
              <c:numCache>
                <c:formatCode>General</c:formatCode>
                <c:ptCount val="122"/>
                <c:pt idx="0">
                  <c:v>100</c:v>
                </c:pt>
                <c:pt idx="1">
                  <c:v>100.19083469769494</c:v>
                </c:pt>
                <c:pt idx="2">
                  <c:v>99.472807166342989</c:v>
                </c:pt>
                <c:pt idx="3">
                  <c:v>99.878398173010396</c:v>
                </c:pt>
                <c:pt idx="4">
                  <c:v>100.27962353749734</c:v>
                </c:pt>
                <c:pt idx="5">
                  <c:v>99.303121289982002</c:v>
                </c:pt>
                <c:pt idx="6">
                  <c:v>99.258295902985878</c:v>
                </c:pt>
                <c:pt idx="7">
                  <c:v>99.15990530819829</c:v>
                </c:pt>
                <c:pt idx="8">
                  <c:v>99.434367865280635</c:v>
                </c:pt>
                <c:pt idx="9">
                  <c:v>99.675585767971143</c:v>
                </c:pt>
                <c:pt idx="10">
                  <c:v>99.285037462351326</c:v>
                </c:pt>
                <c:pt idx="11">
                  <c:v>99.523552508168692</c:v>
                </c:pt>
                <c:pt idx="12">
                  <c:v>100.08283692721515</c:v>
                </c:pt>
                <c:pt idx="13">
                  <c:v>99.476282803079698</c:v>
                </c:pt>
                <c:pt idx="14">
                  <c:v>99.289541074404909</c:v>
                </c:pt>
                <c:pt idx="15">
                  <c:v>98.76290232020726</c:v>
                </c:pt>
                <c:pt idx="16">
                  <c:v>100.33681298697174</c:v>
                </c:pt>
                <c:pt idx="17">
                  <c:v>100.1103792151081</c:v>
                </c:pt>
                <c:pt idx="18">
                  <c:v>99.995231410770955</c:v>
                </c:pt>
                <c:pt idx="19">
                  <c:v>99.644035660424422</c:v>
                </c:pt>
                <c:pt idx="20">
                  <c:v>99.588763094850933</c:v>
                </c:pt>
                <c:pt idx="21">
                  <c:v>98.782699785700686</c:v>
                </c:pt>
                <c:pt idx="22">
                  <c:v>99.387144297027177</c:v>
                </c:pt>
                <c:pt idx="23">
                  <c:v>99.925705770491518</c:v>
                </c:pt>
                <c:pt idx="24">
                  <c:v>99.930192749739021</c:v>
                </c:pt>
                <c:pt idx="25">
                  <c:v>100.26660729640777</c:v>
                </c:pt>
                <c:pt idx="26">
                  <c:v>99.591913981903531</c:v>
                </c:pt>
                <c:pt idx="27">
                  <c:v>99.577887501310514</c:v>
                </c:pt>
                <c:pt idx="28">
                  <c:v>101.72757196165685</c:v>
                </c:pt>
                <c:pt idx="29">
                  <c:v>14.463086291823403</c:v>
                </c:pt>
                <c:pt idx="30">
                  <c:v>14.395368829645037</c:v>
                </c:pt>
                <c:pt idx="31">
                  <c:v>14.279977982485965</c:v>
                </c:pt>
                <c:pt idx="32">
                  <c:v>14.186599773175585</c:v>
                </c:pt>
                <c:pt idx="33">
                  <c:v>14.101866328864</c:v>
                </c:pt>
                <c:pt idx="34">
                  <c:v>14.023628565787144</c:v>
                </c:pt>
                <c:pt idx="35">
                  <c:v>13.965535800142556</c:v>
                </c:pt>
                <c:pt idx="36">
                  <c:v>13.898397947333274</c:v>
                </c:pt>
                <c:pt idx="37">
                  <c:v>13.847283026157982</c:v>
                </c:pt>
                <c:pt idx="38">
                  <c:v>13.803333554969177</c:v>
                </c:pt>
                <c:pt idx="39">
                  <c:v>101.40552590093289</c:v>
                </c:pt>
                <c:pt idx="40">
                  <c:v>104.53290818501641</c:v>
                </c:pt>
                <c:pt idx="41">
                  <c:v>101.96462934336789</c:v>
                </c:pt>
                <c:pt idx="42">
                  <c:v>101.02554708846652</c:v>
                </c:pt>
                <c:pt idx="43">
                  <c:v>100.57326265769365</c:v>
                </c:pt>
                <c:pt idx="44">
                  <c:v>100.23017608460488</c:v>
                </c:pt>
                <c:pt idx="45">
                  <c:v>101.2789625682862</c:v>
                </c:pt>
                <c:pt idx="46">
                  <c:v>103.35504427098154</c:v>
                </c:pt>
                <c:pt idx="47">
                  <c:v>102.29522415116537</c:v>
                </c:pt>
                <c:pt idx="48">
                  <c:v>101.5323327086257</c:v>
                </c:pt>
                <c:pt idx="49">
                  <c:v>101.39555359444593</c:v>
                </c:pt>
                <c:pt idx="50">
                  <c:v>101.47285667828959</c:v>
                </c:pt>
                <c:pt idx="51">
                  <c:v>100.45883071957643</c:v>
                </c:pt>
                <c:pt idx="52">
                  <c:v>100.4879140685735</c:v>
                </c:pt>
                <c:pt idx="53">
                  <c:v>101.57721665748032</c:v>
                </c:pt>
                <c:pt idx="54">
                  <c:v>101.75972468521961</c:v>
                </c:pt>
                <c:pt idx="55">
                  <c:v>101.53874174179843</c:v>
                </c:pt>
                <c:pt idx="56">
                  <c:v>101.23380723078606</c:v>
                </c:pt>
                <c:pt idx="57">
                  <c:v>101.76959579703066</c:v>
                </c:pt>
                <c:pt idx="58">
                  <c:v>100.51046557332108</c:v>
                </c:pt>
                <c:pt idx="59">
                  <c:v>98.43011567940745</c:v>
                </c:pt>
                <c:pt idx="60">
                  <c:v>98.621312201616391</c:v>
                </c:pt>
                <c:pt idx="61">
                  <c:v>98.526690858678577</c:v>
                </c:pt>
                <c:pt idx="62">
                  <c:v>98.565729838650455</c:v>
                </c:pt>
                <c:pt idx="63">
                  <c:v>99.818181904094828</c:v>
                </c:pt>
                <c:pt idx="64">
                  <c:v>98.899270445294633</c:v>
                </c:pt>
                <c:pt idx="65">
                  <c:v>98.722740631015384</c:v>
                </c:pt>
                <c:pt idx="66">
                  <c:v>99.623377856859705</c:v>
                </c:pt>
                <c:pt idx="67">
                  <c:v>100.1096646421416</c:v>
                </c:pt>
                <c:pt idx="68">
                  <c:v>13.675051136495973</c:v>
                </c:pt>
                <c:pt idx="69">
                  <c:v>13.708895771827196</c:v>
                </c:pt>
                <c:pt idx="70">
                  <c:v>13.667380663405565</c:v>
                </c:pt>
                <c:pt idx="71">
                  <c:v>13.634736873456049</c:v>
                </c:pt>
                <c:pt idx="72">
                  <c:v>13.619006574323988</c:v>
                </c:pt>
                <c:pt idx="73">
                  <c:v>13.602155594612597</c:v>
                </c:pt>
                <c:pt idx="74">
                  <c:v>13.590716905514839</c:v>
                </c:pt>
                <c:pt idx="75">
                  <c:v>13.567912927846775</c:v>
                </c:pt>
                <c:pt idx="76">
                  <c:v>13.540932436556064</c:v>
                </c:pt>
                <c:pt idx="77">
                  <c:v>13.517457390162596</c:v>
                </c:pt>
                <c:pt idx="78">
                  <c:v>105.71384263007774</c:v>
                </c:pt>
                <c:pt idx="79">
                  <c:v>107.38194026021741</c:v>
                </c:pt>
                <c:pt idx="80">
                  <c:v>107.7145648092782</c:v>
                </c:pt>
                <c:pt idx="81">
                  <c:v>105.46838216179185</c:v>
                </c:pt>
                <c:pt idx="82">
                  <c:v>105.52843515626955</c:v>
                </c:pt>
                <c:pt idx="83">
                  <c:v>105.00389690315559</c:v>
                </c:pt>
                <c:pt idx="84">
                  <c:v>104.54169271125419</c:v>
                </c:pt>
                <c:pt idx="85">
                  <c:v>105.96914241694326</c:v>
                </c:pt>
                <c:pt idx="86">
                  <c:v>105.55857961396906</c:v>
                </c:pt>
                <c:pt idx="87">
                  <c:v>106.22622400829552</c:v>
                </c:pt>
                <c:pt idx="88">
                  <c:v>106.0748278786448</c:v>
                </c:pt>
                <c:pt idx="89">
                  <c:v>106.27828149756044</c:v>
                </c:pt>
                <c:pt idx="90">
                  <c:v>105.3188747276082</c:v>
                </c:pt>
                <c:pt idx="91">
                  <c:v>103.02930178828412</c:v>
                </c:pt>
                <c:pt idx="92">
                  <c:v>104.07520757709908</c:v>
                </c:pt>
                <c:pt idx="93">
                  <c:v>104.53183527177084</c:v>
                </c:pt>
                <c:pt idx="94">
                  <c:v>104.9376043202456</c:v>
                </c:pt>
                <c:pt idx="95">
                  <c:v>105.09194163439338</c:v>
                </c:pt>
                <c:pt idx="96">
                  <c:v>104.2706508521657</c:v>
                </c:pt>
                <c:pt idx="97">
                  <c:v>103.25342301905884</c:v>
                </c:pt>
                <c:pt idx="98">
                  <c:v>103.15979660603354</c:v>
                </c:pt>
                <c:pt idx="99">
                  <c:v>103.83325498364145</c:v>
                </c:pt>
                <c:pt idx="100">
                  <c:v>104.29203806428968</c:v>
                </c:pt>
                <c:pt idx="101">
                  <c:v>104.00914161593262</c:v>
                </c:pt>
                <c:pt idx="102">
                  <c:v>104.5350292477447</c:v>
                </c:pt>
                <c:pt idx="103">
                  <c:v>105.33318170383889</c:v>
                </c:pt>
                <c:pt idx="104">
                  <c:v>104.8321514626853</c:v>
                </c:pt>
                <c:pt idx="105">
                  <c:v>104.66523913514054</c:v>
                </c:pt>
                <c:pt idx="106">
                  <c:v>104.32828927481263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8-404F-9D6A-290D5CA07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245056"/>
        <c:axId val="2024240288"/>
      </c:scatterChart>
      <c:valAx>
        <c:axId val="20242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0288"/>
        <c:crosses val="autoZero"/>
        <c:crossBetween val="midCat"/>
      </c:valAx>
      <c:valAx>
        <c:axId val="2024240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hpi'!$B$3:$B$124</c:f>
              <c:numCache>
                <c:formatCode>General</c:formatCode>
                <c:ptCount val="122"/>
                <c:pt idx="0">
                  <c:v>8.3219700000000001E-4</c:v>
                </c:pt>
                <c:pt idx="1">
                  <c:v>8.3523699999999996E-4</c:v>
                </c:pt>
                <c:pt idx="2">
                  <c:v>8.3674499999999996E-4</c:v>
                </c:pt>
                <c:pt idx="3">
                  <c:v>8.3934099999999996E-4</c:v>
                </c:pt>
                <c:pt idx="4">
                  <c:v>8.4102500000000002E-4</c:v>
                </c:pt>
                <c:pt idx="5">
                  <c:v>8.4330600000000005E-4</c:v>
                </c:pt>
                <c:pt idx="6">
                  <c:v>8.4447999999999999E-4</c:v>
                </c:pt>
                <c:pt idx="7">
                  <c:v>8.4721199999999997E-4</c:v>
                </c:pt>
                <c:pt idx="8">
                  <c:v>8.4869899999999996E-4</c:v>
                </c:pt>
                <c:pt idx="9">
                  <c:v>8.5013000000000005E-4</c:v>
                </c:pt>
                <c:pt idx="10">
                  <c:v>8.5203799999999995E-4</c:v>
                </c:pt>
                <c:pt idx="11">
                  <c:v>8.5288599999999997E-4</c:v>
                </c:pt>
                <c:pt idx="12">
                  <c:v>8.5431099999999996E-4</c:v>
                </c:pt>
                <c:pt idx="13">
                  <c:v>8.5578599999999998E-4</c:v>
                </c:pt>
                <c:pt idx="14">
                  <c:v>8.5646699999999997E-4</c:v>
                </c:pt>
                <c:pt idx="15">
                  <c:v>8.5779699999999999E-4</c:v>
                </c:pt>
                <c:pt idx="16">
                  <c:v>8.5913600000000004E-4</c:v>
                </c:pt>
                <c:pt idx="17">
                  <c:v>8.5977500000000001E-4</c:v>
                </c:pt>
                <c:pt idx="18">
                  <c:v>8.6090099999999996E-4</c:v>
                </c:pt>
                <c:pt idx="19">
                  <c:v>8.629E-4</c:v>
                </c:pt>
                <c:pt idx="20">
                  <c:v>8.6353199999999997E-4</c:v>
                </c:pt>
                <c:pt idx="21">
                  <c:v>8.6462300000000002E-4</c:v>
                </c:pt>
                <c:pt idx="22">
                  <c:v>8.6564699999999999E-4</c:v>
                </c:pt>
                <c:pt idx="23">
                  <c:v>8.6651199999999995E-4</c:v>
                </c:pt>
                <c:pt idx="24">
                  <c:v>8.6718299999999999E-4</c:v>
                </c:pt>
                <c:pt idx="25">
                  <c:v>8.6801999999999995E-4</c:v>
                </c:pt>
                <c:pt idx="26">
                  <c:v>8.6937400000000001E-4</c:v>
                </c:pt>
                <c:pt idx="27">
                  <c:v>8.7042599999999999E-4</c:v>
                </c:pt>
                <c:pt idx="28">
                  <c:v>8.7092400000000003E-4</c:v>
                </c:pt>
                <c:pt idx="29">
                  <c:v>1.49034E-6</c:v>
                </c:pt>
                <c:pt idx="30">
                  <c:v>1.4651200000000001E-6</c:v>
                </c:pt>
                <c:pt idx="31">
                  <c:v>1.43634E-6</c:v>
                </c:pt>
                <c:pt idx="32">
                  <c:v>1.41411E-6</c:v>
                </c:pt>
                <c:pt idx="33">
                  <c:v>1.3904799999999999E-6</c:v>
                </c:pt>
                <c:pt idx="34">
                  <c:v>1.3660699999999999E-6</c:v>
                </c:pt>
                <c:pt idx="35">
                  <c:v>1.3384500000000001E-6</c:v>
                </c:pt>
                <c:pt idx="36">
                  <c:v>1.3112799999999999E-6</c:v>
                </c:pt>
                <c:pt idx="37">
                  <c:v>1.2802499999999999E-6</c:v>
                </c:pt>
                <c:pt idx="38">
                  <c:v>1.25302E-6</c:v>
                </c:pt>
                <c:pt idx="39">
                  <c:v>6.6939500000000004E-4</c:v>
                </c:pt>
                <c:pt idx="40">
                  <c:v>6.8926999999999997E-4</c:v>
                </c:pt>
                <c:pt idx="41">
                  <c:v>7.0384500000000003E-4</c:v>
                </c:pt>
                <c:pt idx="42">
                  <c:v>7.1665100000000001E-4</c:v>
                </c:pt>
                <c:pt idx="43">
                  <c:v>7.2787899999999996E-4</c:v>
                </c:pt>
                <c:pt idx="44">
                  <c:v>7.3782700000000004E-4</c:v>
                </c:pt>
                <c:pt idx="45">
                  <c:v>7.4328899999999995E-4</c:v>
                </c:pt>
                <c:pt idx="46">
                  <c:v>7.4909E-4</c:v>
                </c:pt>
                <c:pt idx="47">
                  <c:v>7.53077E-4</c:v>
                </c:pt>
                <c:pt idx="48">
                  <c:v>7.5571600000000003E-4</c:v>
                </c:pt>
                <c:pt idx="49">
                  <c:v>7.5943600000000005E-4</c:v>
                </c:pt>
                <c:pt idx="50">
                  <c:v>7.6287000000000002E-4</c:v>
                </c:pt>
                <c:pt idx="51">
                  <c:v>7.67496E-4</c:v>
                </c:pt>
                <c:pt idx="52">
                  <c:v>7.7116399999999996E-4</c:v>
                </c:pt>
                <c:pt idx="53">
                  <c:v>7.74306E-4</c:v>
                </c:pt>
                <c:pt idx="54">
                  <c:v>7.77336E-4</c:v>
                </c:pt>
                <c:pt idx="55">
                  <c:v>7.7937600000000003E-4</c:v>
                </c:pt>
                <c:pt idx="56">
                  <c:v>7.8164800000000002E-4</c:v>
                </c:pt>
                <c:pt idx="57">
                  <c:v>7.8319299999999995E-4</c:v>
                </c:pt>
                <c:pt idx="58">
                  <c:v>7.8489599999999999E-4</c:v>
                </c:pt>
                <c:pt idx="59">
                  <c:v>7.8679800000000001E-4</c:v>
                </c:pt>
                <c:pt idx="60">
                  <c:v>7.8870299999999997E-4</c:v>
                </c:pt>
                <c:pt idx="61">
                  <c:v>7.9170300000000005E-4</c:v>
                </c:pt>
                <c:pt idx="62">
                  <c:v>7.9421500000000003E-4</c:v>
                </c:pt>
                <c:pt idx="63">
                  <c:v>7.9620500000000002E-4</c:v>
                </c:pt>
                <c:pt idx="64">
                  <c:v>7.9716300000000004E-4</c:v>
                </c:pt>
                <c:pt idx="65">
                  <c:v>7.9807599999999999E-4</c:v>
                </c:pt>
                <c:pt idx="66">
                  <c:v>7.9860100000000002E-4</c:v>
                </c:pt>
                <c:pt idx="67">
                  <c:v>8.0136400000000005E-4</c:v>
                </c:pt>
                <c:pt idx="68">
                  <c:v>1.15597E-6</c:v>
                </c:pt>
                <c:pt idx="69">
                  <c:v>1.1569399999999999E-6</c:v>
                </c:pt>
                <c:pt idx="70">
                  <c:v>1.1454300000000001E-6</c:v>
                </c:pt>
                <c:pt idx="71">
                  <c:v>1.1300800000000001E-6</c:v>
                </c:pt>
                <c:pt idx="72">
                  <c:v>1.11854E-6</c:v>
                </c:pt>
                <c:pt idx="73">
                  <c:v>1.11158E-6</c:v>
                </c:pt>
                <c:pt idx="74">
                  <c:v>1.1024199999999999E-6</c:v>
                </c:pt>
                <c:pt idx="75">
                  <c:v>1.0987200000000001E-6</c:v>
                </c:pt>
                <c:pt idx="76">
                  <c:v>1.08773E-6</c:v>
                </c:pt>
                <c:pt idx="77">
                  <c:v>1.07835E-6</c:v>
                </c:pt>
                <c:pt idx="78">
                  <c:v>6.7796800000000004E-4</c:v>
                </c:pt>
                <c:pt idx="79">
                  <c:v>7.0014299999999997E-4</c:v>
                </c:pt>
                <c:pt idx="80">
                  <c:v>7.1471999999999996E-4</c:v>
                </c:pt>
                <c:pt idx="81">
                  <c:v>7.2710699999999995E-4</c:v>
                </c:pt>
                <c:pt idx="82">
                  <c:v>7.3743099999999998E-4</c:v>
                </c:pt>
                <c:pt idx="83">
                  <c:v>7.4571000000000001E-4</c:v>
                </c:pt>
                <c:pt idx="84">
                  <c:v>7.5298699999999999E-4</c:v>
                </c:pt>
                <c:pt idx="85">
                  <c:v>7.5779299999999999E-4</c:v>
                </c:pt>
                <c:pt idx="86">
                  <c:v>7.6236299999999995E-4</c:v>
                </c:pt>
                <c:pt idx="87">
                  <c:v>7.6573799999999997E-4</c:v>
                </c:pt>
                <c:pt idx="88">
                  <c:v>7.7065100000000002E-4</c:v>
                </c:pt>
                <c:pt idx="89">
                  <c:v>7.7464700000000005E-4</c:v>
                </c:pt>
                <c:pt idx="90">
                  <c:v>7.7811899999999997E-4</c:v>
                </c:pt>
                <c:pt idx="91">
                  <c:v>7.8217499999999997E-4</c:v>
                </c:pt>
                <c:pt idx="92">
                  <c:v>7.8514999999999998E-4</c:v>
                </c:pt>
                <c:pt idx="93">
                  <c:v>7.88257E-4</c:v>
                </c:pt>
                <c:pt idx="94">
                  <c:v>7.9004499999999996E-4</c:v>
                </c:pt>
                <c:pt idx="95">
                  <c:v>7.9192100000000001E-4</c:v>
                </c:pt>
                <c:pt idx="96">
                  <c:v>7.9440700000000001E-4</c:v>
                </c:pt>
                <c:pt idx="97">
                  <c:v>7.9651600000000004E-4</c:v>
                </c:pt>
                <c:pt idx="98">
                  <c:v>7.9896399999999999E-4</c:v>
                </c:pt>
                <c:pt idx="99">
                  <c:v>8.0130100000000003E-4</c:v>
                </c:pt>
                <c:pt idx="100">
                  <c:v>8.0328699999999997E-4</c:v>
                </c:pt>
                <c:pt idx="101">
                  <c:v>8.0575199999999997E-4</c:v>
                </c:pt>
                <c:pt idx="102">
                  <c:v>8.0748599999999995E-4</c:v>
                </c:pt>
                <c:pt idx="103">
                  <c:v>8.0879300000000003E-4</c:v>
                </c:pt>
                <c:pt idx="104">
                  <c:v>8.10774E-4</c:v>
                </c:pt>
                <c:pt idx="105">
                  <c:v>8.11497E-4</c:v>
                </c:pt>
                <c:pt idx="106">
                  <c:v>8.1341599999999997E-4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0-4A7C-9806-A5BEDCDEB043}"/>
            </c:ext>
          </c:extLst>
        </c:ser>
        <c:ser>
          <c:idx val="1"/>
          <c:order val="1"/>
          <c:tx>
            <c:strRef>
              <c:f>'1233 P- 72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hpi'!$G$3:$G$116</c:f>
              <c:numCache>
                <c:formatCode>General</c:formatCode>
                <c:ptCount val="114"/>
                <c:pt idx="0">
                  <c:v>8.4802100000000002E-4</c:v>
                </c:pt>
                <c:pt idx="1">
                  <c:v>8.50912E-4</c:v>
                </c:pt>
                <c:pt idx="2">
                  <c:v>8.5296199999999997E-4</c:v>
                </c:pt>
                <c:pt idx="3">
                  <c:v>8.5644400000000004E-4</c:v>
                </c:pt>
                <c:pt idx="4">
                  <c:v>8.59733E-4</c:v>
                </c:pt>
                <c:pt idx="5">
                  <c:v>8.6044599999999995E-4</c:v>
                </c:pt>
                <c:pt idx="6">
                  <c:v>8.6191900000000005E-4</c:v>
                </c:pt>
                <c:pt idx="7">
                  <c:v>8.6484699999999997E-4</c:v>
                </c:pt>
                <c:pt idx="8">
                  <c:v>8.6593E-4</c:v>
                </c:pt>
                <c:pt idx="9">
                  <c:v>8.6841499999999999E-4</c:v>
                </c:pt>
                <c:pt idx="10">
                  <c:v>8.7054600000000004E-4</c:v>
                </c:pt>
                <c:pt idx="11">
                  <c:v>8.7092199999999999E-4</c:v>
                </c:pt>
                <c:pt idx="12">
                  <c:v>8.7451300000000005E-4</c:v>
                </c:pt>
                <c:pt idx="13">
                  <c:v>8.7575800000000003E-4</c:v>
                </c:pt>
                <c:pt idx="14">
                  <c:v>8.7598500000000002E-4</c:v>
                </c:pt>
                <c:pt idx="15">
                  <c:v>8.7841700000000004E-4</c:v>
                </c:pt>
                <c:pt idx="16">
                  <c:v>8.8060799999999996E-4</c:v>
                </c:pt>
                <c:pt idx="17">
                  <c:v>8.8170200000000005E-4</c:v>
                </c:pt>
                <c:pt idx="18">
                  <c:v>8.8433299999999995E-4</c:v>
                </c:pt>
                <c:pt idx="19">
                  <c:v>8.8482299999999997E-4</c:v>
                </c:pt>
                <c:pt idx="20">
                  <c:v>8.8738E-4</c:v>
                </c:pt>
                <c:pt idx="21">
                  <c:v>8.8798399999999997E-4</c:v>
                </c:pt>
                <c:pt idx="22">
                  <c:v>8.9032800000000002E-4</c:v>
                </c:pt>
                <c:pt idx="23">
                  <c:v>8.9110800000000005E-4</c:v>
                </c:pt>
                <c:pt idx="24">
                  <c:v>8.9222399999999995E-4</c:v>
                </c:pt>
                <c:pt idx="25">
                  <c:v>8.9466999999999997E-4</c:v>
                </c:pt>
                <c:pt idx="26">
                  <c:v>8.9635699999999997E-4</c:v>
                </c:pt>
                <c:pt idx="27">
                  <c:v>8.9627399999999996E-4</c:v>
                </c:pt>
                <c:pt idx="28">
                  <c:v>8.9853000000000003E-4</c:v>
                </c:pt>
                <c:pt idx="29">
                  <c:v>1.5582200000000001E-6</c:v>
                </c:pt>
                <c:pt idx="30">
                  <c:v>1.54243E-6</c:v>
                </c:pt>
                <c:pt idx="31">
                  <c:v>1.5121600000000001E-6</c:v>
                </c:pt>
                <c:pt idx="32">
                  <c:v>1.49196E-6</c:v>
                </c:pt>
                <c:pt idx="33">
                  <c:v>1.4848200000000001E-6</c:v>
                </c:pt>
                <c:pt idx="34">
                  <c:v>1.4654199999999999E-6</c:v>
                </c:pt>
                <c:pt idx="35">
                  <c:v>1.4477299999999999E-6</c:v>
                </c:pt>
                <c:pt idx="36">
                  <c:v>1.4291499999999999E-6</c:v>
                </c:pt>
                <c:pt idx="37">
                  <c:v>1.40802E-6</c:v>
                </c:pt>
                <c:pt idx="38">
                  <c:v>1.3931700000000001E-6</c:v>
                </c:pt>
                <c:pt idx="39">
                  <c:v>6.7564700000000003E-4</c:v>
                </c:pt>
                <c:pt idx="40">
                  <c:v>6.99346E-4</c:v>
                </c:pt>
                <c:pt idx="41">
                  <c:v>7.1190399999999997E-4</c:v>
                </c:pt>
                <c:pt idx="42">
                  <c:v>7.2069199999999999E-4</c:v>
                </c:pt>
                <c:pt idx="43">
                  <c:v>7.3111400000000005E-4</c:v>
                </c:pt>
                <c:pt idx="44">
                  <c:v>7.3810399999999995E-4</c:v>
                </c:pt>
                <c:pt idx="45">
                  <c:v>7.4526400000000004E-4</c:v>
                </c:pt>
                <c:pt idx="46">
                  <c:v>7.4980000000000001E-4</c:v>
                </c:pt>
                <c:pt idx="47">
                  <c:v>7.5485099999999996E-4</c:v>
                </c:pt>
                <c:pt idx="48">
                  <c:v>7.5976099999999997E-4</c:v>
                </c:pt>
                <c:pt idx="49">
                  <c:v>7.5987099999999996E-4</c:v>
                </c:pt>
                <c:pt idx="50">
                  <c:v>7.6514200000000001E-4</c:v>
                </c:pt>
                <c:pt idx="51">
                  <c:v>7.7023599999999999E-4</c:v>
                </c:pt>
                <c:pt idx="52">
                  <c:v>7.7548500000000002E-4</c:v>
                </c:pt>
                <c:pt idx="53">
                  <c:v>7.7878599999999995E-4</c:v>
                </c:pt>
                <c:pt idx="54">
                  <c:v>7.8306199999999995E-4</c:v>
                </c:pt>
                <c:pt idx="55">
                  <c:v>7.8617800000000001E-4</c:v>
                </c:pt>
                <c:pt idx="56">
                  <c:v>7.8667299999999999E-4</c:v>
                </c:pt>
                <c:pt idx="57">
                  <c:v>7.9110699999999999E-4</c:v>
                </c:pt>
                <c:pt idx="58">
                  <c:v>7.9174900000000001E-4</c:v>
                </c:pt>
                <c:pt idx="59">
                  <c:v>7.9399600000000005E-4</c:v>
                </c:pt>
                <c:pt idx="60">
                  <c:v>7.9709400000000004E-4</c:v>
                </c:pt>
                <c:pt idx="61">
                  <c:v>7.9957100000000001E-4</c:v>
                </c:pt>
                <c:pt idx="62">
                  <c:v>8.0093799999999995E-4</c:v>
                </c:pt>
                <c:pt idx="63">
                  <c:v>8.0520699999999995E-4</c:v>
                </c:pt>
                <c:pt idx="64">
                  <c:v>8.04618E-4</c:v>
                </c:pt>
                <c:pt idx="65">
                  <c:v>8.06622E-4</c:v>
                </c:pt>
                <c:pt idx="66">
                  <c:v>8.0823799999999997E-4</c:v>
                </c:pt>
                <c:pt idx="67">
                  <c:v>8.1105700000000001E-4</c:v>
                </c:pt>
                <c:pt idx="68">
                  <c:v>1.2909899999999999E-6</c:v>
                </c:pt>
                <c:pt idx="69">
                  <c:v>1.29087E-6</c:v>
                </c:pt>
                <c:pt idx="70">
                  <c:v>1.27564E-6</c:v>
                </c:pt>
                <c:pt idx="71">
                  <c:v>1.2513100000000001E-6</c:v>
                </c:pt>
                <c:pt idx="72">
                  <c:v>1.2425800000000001E-6</c:v>
                </c:pt>
                <c:pt idx="73">
                  <c:v>1.22966E-6</c:v>
                </c:pt>
                <c:pt idx="74">
                  <c:v>1.2236400000000001E-6</c:v>
                </c:pt>
                <c:pt idx="75">
                  <c:v>1.20841E-6</c:v>
                </c:pt>
                <c:pt idx="76">
                  <c:v>1.19401E-6</c:v>
                </c:pt>
                <c:pt idx="77">
                  <c:v>1.1813100000000001E-6</c:v>
                </c:pt>
                <c:pt idx="78">
                  <c:v>6.8626099999999997E-4</c:v>
                </c:pt>
                <c:pt idx="79">
                  <c:v>7.0886799999999998E-4</c:v>
                </c:pt>
                <c:pt idx="80">
                  <c:v>7.2410499999999995E-4</c:v>
                </c:pt>
                <c:pt idx="81">
                  <c:v>7.3937000000000004E-4</c:v>
                </c:pt>
                <c:pt idx="82">
                  <c:v>7.5367399999999997E-4</c:v>
                </c:pt>
                <c:pt idx="83">
                  <c:v>7.6248199999999998E-4</c:v>
                </c:pt>
                <c:pt idx="84">
                  <c:v>7.6812600000000005E-4</c:v>
                </c:pt>
                <c:pt idx="85">
                  <c:v>7.7562799999999999E-4</c:v>
                </c:pt>
                <c:pt idx="86">
                  <c:v>7.7788499999999997E-4</c:v>
                </c:pt>
                <c:pt idx="87">
                  <c:v>7.8229500000000002E-4</c:v>
                </c:pt>
                <c:pt idx="88">
                  <c:v>7.8629700000000004E-4</c:v>
                </c:pt>
                <c:pt idx="89">
                  <c:v>7.9035200000000003E-4</c:v>
                </c:pt>
                <c:pt idx="90">
                  <c:v>7.93559E-4</c:v>
                </c:pt>
                <c:pt idx="91">
                  <c:v>7.9885199999999996E-4</c:v>
                </c:pt>
                <c:pt idx="92">
                  <c:v>8.0405299999999999E-4</c:v>
                </c:pt>
                <c:pt idx="93">
                  <c:v>8.0708099999999997E-4</c:v>
                </c:pt>
                <c:pt idx="94">
                  <c:v>8.1266599999999997E-4</c:v>
                </c:pt>
                <c:pt idx="95">
                  <c:v>8.16489E-4</c:v>
                </c:pt>
                <c:pt idx="96">
                  <c:v>8.1575899999999999E-4</c:v>
                </c:pt>
                <c:pt idx="97">
                  <c:v>8.1391600000000003E-4</c:v>
                </c:pt>
                <c:pt idx="98">
                  <c:v>8.1678800000000004E-4</c:v>
                </c:pt>
                <c:pt idx="99">
                  <c:v>8.1979899999999996E-4</c:v>
                </c:pt>
                <c:pt idx="100">
                  <c:v>8.2502599999999997E-4</c:v>
                </c:pt>
                <c:pt idx="101">
                  <c:v>8.2676600000000005E-4</c:v>
                </c:pt>
                <c:pt idx="102">
                  <c:v>8.2719800000000002E-4</c:v>
                </c:pt>
                <c:pt idx="103">
                  <c:v>8.3015200000000002E-4</c:v>
                </c:pt>
                <c:pt idx="104">
                  <c:v>8.31845E-4</c:v>
                </c:pt>
                <c:pt idx="105">
                  <c:v>8.3216599999999996E-4</c:v>
                </c:pt>
                <c:pt idx="106">
                  <c:v>8.3547000000000005E-4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0-4A7C-9806-A5BEDCDEB043}"/>
            </c:ext>
          </c:extLst>
        </c:ser>
        <c:ser>
          <c:idx val="2"/>
          <c:order val="2"/>
          <c:tx>
            <c:strRef>
              <c:f>'1233 P- 72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hpi'!$L$3:$L$116</c:f>
              <c:numCache>
                <c:formatCode>0.00E+00</c:formatCode>
                <c:ptCount val="114"/>
                <c:pt idx="0">
                  <c:v>9.8549300000000005E-4</c:v>
                </c:pt>
                <c:pt idx="1">
                  <c:v>9.8799700000000001E-4</c:v>
                </c:pt>
                <c:pt idx="2">
                  <c:v>9.9317700000000004E-4</c:v>
                </c:pt>
                <c:pt idx="3">
                  <c:v>9.9623200000000011E-4</c:v>
                </c:pt>
                <c:pt idx="4">
                  <c:v>1.0002500000000001E-3</c:v>
                </c:pt>
                <c:pt idx="5">
                  <c:v>1.0041099999999999E-3</c:v>
                </c:pt>
                <c:pt idx="6">
                  <c:v>1.00606E-3</c:v>
                </c:pt>
                <c:pt idx="7">
                  <c:v>1.0096899999999999E-3</c:v>
                </c:pt>
                <c:pt idx="8">
                  <c:v>1.01228E-3</c:v>
                </c:pt>
                <c:pt idx="9">
                  <c:v>1.0152200000000001E-3</c:v>
                </c:pt>
                <c:pt idx="10">
                  <c:v>1.0173000000000001E-3</c:v>
                </c:pt>
                <c:pt idx="11">
                  <c:v>1.0191499999999999E-3</c:v>
                </c:pt>
                <c:pt idx="12">
                  <c:v>1.0223000000000001E-3</c:v>
                </c:pt>
                <c:pt idx="13">
                  <c:v>1.02417E-3</c:v>
                </c:pt>
                <c:pt idx="14">
                  <c:v>1.0266800000000001E-3</c:v>
                </c:pt>
                <c:pt idx="15">
                  <c:v>1.02855E-3</c:v>
                </c:pt>
                <c:pt idx="16">
                  <c:v>1.0311599999999999E-3</c:v>
                </c:pt>
                <c:pt idx="17">
                  <c:v>1.03243E-3</c:v>
                </c:pt>
                <c:pt idx="18">
                  <c:v>1.0349199999999999E-3</c:v>
                </c:pt>
                <c:pt idx="19">
                  <c:v>1.0372300000000001E-3</c:v>
                </c:pt>
                <c:pt idx="20">
                  <c:v>1.0379E-3</c:v>
                </c:pt>
                <c:pt idx="21">
                  <c:v>1.04112E-3</c:v>
                </c:pt>
                <c:pt idx="22">
                  <c:v>1.04141E-3</c:v>
                </c:pt>
                <c:pt idx="23">
                  <c:v>1.0430400000000001E-3</c:v>
                </c:pt>
                <c:pt idx="24">
                  <c:v>1.04604E-3</c:v>
                </c:pt>
                <c:pt idx="25">
                  <c:v>1.04703E-3</c:v>
                </c:pt>
                <c:pt idx="26">
                  <c:v>1.04951E-3</c:v>
                </c:pt>
                <c:pt idx="27">
                  <c:v>1.05116E-3</c:v>
                </c:pt>
                <c:pt idx="28">
                  <c:v>1.05378E-3</c:v>
                </c:pt>
                <c:pt idx="29">
                  <c:v>1.34855E-6</c:v>
                </c:pt>
                <c:pt idx="30">
                  <c:v>1.30672E-6</c:v>
                </c:pt>
                <c:pt idx="31">
                  <c:v>1.28761E-6</c:v>
                </c:pt>
                <c:pt idx="32">
                  <c:v>1.2633099999999999E-6</c:v>
                </c:pt>
                <c:pt idx="33">
                  <c:v>1.24748E-6</c:v>
                </c:pt>
                <c:pt idx="34">
                  <c:v>1.22844E-6</c:v>
                </c:pt>
                <c:pt idx="35">
                  <c:v>1.19237E-6</c:v>
                </c:pt>
                <c:pt idx="36">
                  <c:v>1.1543399999999999E-6</c:v>
                </c:pt>
                <c:pt idx="37">
                  <c:v>1.1194400000000001E-6</c:v>
                </c:pt>
                <c:pt idx="38">
                  <c:v>1.0942099999999999E-6</c:v>
                </c:pt>
                <c:pt idx="39">
                  <c:v>7.8643300000000001E-4</c:v>
                </c:pt>
                <c:pt idx="40">
                  <c:v>8.0970800000000002E-4</c:v>
                </c:pt>
                <c:pt idx="41">
                  <c:v>8.2713399999999999E-4</c:v>
                </c:pt>
                <c:pt idx="42">
                  <c:v>8.4366900000000002E-4</c:v>
                </c:pt>
                <c:pt idx="43">
                  <c:v>8.5973799999999997E-4</c:v>
                </c:pt>
                <c:pt idx="44">
                  <c:v>8.7147600000000004E-4</c:v>
                </c:pt>
                <c:pt idx="45">
                  <c:v>8.7841799999999995E-4</c:v>
                </c:pt>
                <c:pt idx="46">
                  <c:v>8.8471199999999996E-4</c:v>
                </c:pt>
                <c:pt idx="47">
                  <c:v>8.8829899999999995E-4</c:v>
                </c:pt>
                <c:pt idx="48">
                  <c:v>8.9050399999999997E-4</c:v>
                </c:pt>
                <c:pt idx="49">
                  <c:v>8.9588000000000005E-4</c:v>
                </c:pt>
                <c:pt idx="50">
                  <c:v>8.97261E-4</c:v>
                </c:pt>
                <c:pt idx="51">
                  <c:v>9.0158999999999997E-4</c:v>
                </c:pt>
                <c:pt idx="52">
                  <c:v>9.0791799999999996E-4</c:v>
                </c:pt>
                <c:pt idx="53">
                  <c:v>9.1364099999999998E-4</c:v>
                </c:pt>
                <c:pt idx="54">
                  <c:v>9.1711199999999998E-4</c:v>
                </c:pt>
                <c:pt idx="55">
                  <c:v>9.1655299999999996E-4</c:v>
                </c:pt>
                <c:pt idx="56">
                  <c:v>9.1954899999999997E-4</c:v>
                </c:pt>
                <c:pt idx="57">
                  <c:v>9.2091600000000003E-4</c:v>
                </c:pt>
                <c:pt idx="58">
                  <c:v>9.2056199999999999E-4</c:v>
                </c:pt>
                <c:pt idx="59">
                  <c:v>9.2188199999999995E-4</c:v>
                </c:pt>
                <c:pt idx="60">
                  <c:v>9.2619299999999996E-4</c:v>
                </c:pt>
                <c:pt idx="61">
                  <c:v>9.2834099999999995E-4</c:v>
                </c:pt>
                <c:pt idx="62">
                  <c:v>9.2988000000000001E-4</c:v>
                </c:pt>
                <c:pt idx="63">
                  <c:v>9.3417800000000003E-4</c:v>
                </c:pt>
                <c:pt idx="64">
                  <c:v>9.3271000000000001E-4</c:v>
                </c:pt>
                <c:pt idx="65">
                  <c:v>9.3479200000000004E-4</c:v>
                </c:pt>
                <c:pt idx="66">
                  <c:v>9.3510100000000003E-4</c:v>
                </c:pt>
                <c:pt idx="67">
                  <c:v>9.3783899999999999E-4</c:v>
                </c:pt>
                <c:pt idx="68">
                  <c:v>9.9430500000000009E-7</c:v>
                </c:pt>
                <c:pt idx="69">
                  <c:v>9.9172700000000008E-7</c:v>
                </c:pt>
                <c:pt idx="70">
                  <c:v>9.7743099999999996E-7</c:v>
                </c:pt>
                <c:pt idx="71">
                  <c:v>9.5530900000000002E-7</c:v>
                </c:pt>
                <c:pt idx="72">
                  <c:v>9.2838799999999996E-7</c:v>
                </c:pt>
                <c:pt idx="73">
                  <c:v>9.0375899999999996E-7</c:v>
                </c:pt>
                <c:pt idx="74">
                  <c:v>8.8405899999999996E-7</c:v>
                </c:pt>
                <c:pt idx="75">
                  <c:v>8.6154200000000003E-7</c:v>
                </c:pt>
                <c:pt idx="76">
                  <c:v>8.385E-7</c:v>
                </c:pt>
                <c:pt idx="77">
                  <c:v>8.2131099999999996E-7</c:v>
                </c:pt>
                <c:pt idx="78">
                  <c:v>7.7965300000000005E-4</c:v>
                </c:pt>
                <c:pt idx="79">
                  <c:v>8.0518199999999999E-4</c:v>
                </c:pt>
                <c:pt idx="80">
                  <c:v>8.2290800000000002E-4</c:v>
                </c:pt>
                <c:pt idx="81">
                  <c:v>8.3458000000000002E-4</c:v>
                </c:pt>
                <c:pt idx="82">
                  <c:v>8.4671099999999999E-4</c:v>
                </c:pt>
                <c:pt idx="83">
                  <c:v>8.56944E-4</c:v>
                </c:pt>
                <c:pt idx="84">
                  <c:v>8.6450700000000004E-4</c:v>
                </c:pt>
                <c:pt idx="85">
                  <c:v>8.6876200000000003E-4</c:v>
                </c:pt>
                <c:pt idx="86">
                  <c:v>8.7600199999999997E-4</c:v>
                </c:pt>
                <c:pt idx="87">
                  <c:v>8.8055200000000005E-4</c:v>
                </c:pt>
                <c:pt idx="88">
                  <c:v>8.8528100000000002E-4</c:v>
                </c:pt>
                <c:pt idx="89">
                  <c:v>8.8852799999999997E-4</c:v>
                </c:pt>
                <c:pt idx="90">
                  <c:v>8.9513600000000004E-4</c:v>
                </c:pt>
                <c:pt idx="91">
                  <c:v>8.9720399999999997E-4</c:v>
                </c:pt>
                <c:pt idx="92">
                  <c:v>9.0376900000000001E-4</c:v>
                </c:pt>
                <c:pt idx="93">
                  <c:v>9.0461299999999997E-4</c:v>
                </c:pt>
                <c:pt idx="94">
                  <c:v>9.0831899999999999E-4</c:v>
                </c:pt>
                <c:pt idx="95">
                  <c:v>9.1207799999999998E-4</c:v>
                </c:pt>
                <c:pt idx="96">
                  <c:v>9.1294800000000001E-4</c:v>
                </c:pt>
                <c:pt idx="97">
                  <c:v>9.1595700000000001E-4</c:v>
                </c:pt>
                <c:pt idx="98">
                  <c:v>9.18339E-4</c:v>
                </c:pt>
                <c:pt idx="99">
                  <c:v>9.1864400000000004E-4</c:v>
                </c:pt>
                <c:pt idx="100">
                  <c:v>9.2324300000000002E-4</c:v>
                </c:pt>
                <c:pt idx="101">
                  <c:v>9.2572300000000004E-4</c:v>
                </c:pt>
                <c:pt idx="102">
                  <c:v>9.27118E-4</c:v>
                </c:pt>
                <c:pt idx="103">
                  <c:v>9.3074E-4</c:v>
                </c:pt>
                <c:pt idx="104">
                  <c:v>9.3134499999999998E-4</c:v>
                </c:pt>
                <c:pt idx="105">
                  <c:v>9.3149699999999999E-4</c:v>
                </c:pt>
                <c:pt idx="106">
                  <c:v>9.3325099999999996E-4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0-4A7C-9806-A5BEDCDEB043}"/>
            </c:ext>
          </c:extLst>
        </c:ser>
        <c:ser>
          <c:idx val="3"/>
          <c:order val="3"/>
          <c:tx>
            <c:strRef>
              <c:f>'1233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A0-4A7C-9806-A5BEDCDE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1680"/>
        <c:axId val="1172291264"/>
      </c:scatterChart>
      <c:valAx>
        <c:axId val="117229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264"/>
        <c:crosses val="autoZero"/>
        <c:crossBetween val="midCat"/>
      </c:valAx>
      <c:valAx>
        <c:axId val="1172291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hpi'!$C$3:$C$124</c:f>
              <c:numCache>
                <c:formatCode>General</c:formatCode>
                <c:ptCount val="122"/>
                <c:pt idx="0">
                  <c:v>1.5370800000000001E-4</c:v>
                </c:pt>
                <c:pt idx="1">
                  <c:v>1.5369299999999999E-4</c:v>
                </c:pt>
                <c:pt idx="2">
                  <c:v>1.53005E-4</c:v>
                </c:pt>
                <c:pt idx="3">
                  <c:v>1.53585E-4</c:v>
                </c:pt>
                <c:pt idx="4">
                  <c:v>1.53344E-4</c:v>
                </c:pt>
                <c:pt idx="5">
                  <c:v>1.5270600000000001E-4</c:v>
                </c:pt>
                <c:pt idx="6">
                  <c:v>1.5195000000000001E-4</c:v>
                </c:pt>
                <c:pt idx="7">
                  <c:v>1.5185700000000001E-4</c:v>
                </c:pt>
                <c:pt idx="8">
                  <c:v>1.51321E-4</c:v>
                </c:pt>
                <c:pt idx="9">
                  <c:v>1.5173300000000001E-4</c:v>
                </c:pt>
                <c:pt idx="10">
                  <c:v>1.51624E-4</c:v>
                </c:pt>
                <c:pt idx="11">
                  <c:v>1.51607E-4</c:v>
                </c:pt>
                <c:pt idx="12">
                  <c:v>1.5152899999999999E-4</c:v>
                </c:pt>
                <c:pt idx="13">
                  <c:v>1.5106599999999999E-4</c:v>
                </c:pt>
                <c:pt idx="14">
                  <c:v>1.5081799999999999E-4</c:v>
                </c:pt>
                <c:pt idx="15">
                  <c:v>1.5087799999999999E-4</c:v>
                </c:pt>
                <c:pt idx="16">
                  <c:v>1.50624E-4</c:v>
                </c:pt>
                <c:pt idx="17">
                  <c:v>1.51001E-4</c:v>
                </c:pt>
                <c:pt idx="18">
                  <c:v>1.5061799999999999E-4</c:v>
                </c:pt>
                <c:pt idx="19">
                  <c:v>1.5034400000000001E-4</c:v>
                </c:pt>
                <c:pt idx="20">
                  <c:v>1.50841E-4</c:v>
                </c:pt>
                <c:pt idx="21">
                  <c:v>1.5037699999999999E-4</c:v>
                </c:pt>
                <c:pt idx="22">
                  <c:v>1.5081599999999999E-4</c:v>
                </c:pt>
                <c:pt idx="23">
                  <c:v>1.4993100000000001E-4</c:v>
                </c:pt>
                <c:pt idx="24">
                  <c:v>1.5008400000000001E-4</c:v>
                </c:pt>
                <c:pt idx="25">
                  <c:v>1.50517E-4</c:v>
                </c:pt>
                <c:pt idx="26">
                  <c:v>1.5033900000000001E-4</c:v>
                </c:pt>
                <c:pt idx="27">
                  <c:v>1.5082800000000001E-4</c:v>
                </c:pt>
                <c:pt idx="28">
                  <c:v>1.5081099999999999E-4</c:v>
                </c:pt>
                <c:pt idx="29">
                  <c:v>2.3490699999999999E-5</c:v>
                </c:pt>
                <c:pt idx="30">
                  <c:v>2.33182E-5</c:v>
                </c:pt>
                <c:pt idx="31">
                  <c:v>2.3113400000000001E-5</c:v>
                </c:pt>
                <c:pt idx="32">
                  <c:v>2.3031400000000001E-5</c:v>
                </c:pt>
                <c:pt idx="33">
                  <c:v>2.29398E-5</c:v>
                </c:pt>
                <c:pt idx="34">
                  <c:v>2.28439E-5</c:v>
                </c:pt>
                <c:pt idx="35">
                  <c:v>2.2821100000000001E-5</c:v>
                </c:pt>
                <c:pt idx="36">
                  <c:v>2.2739E-5</c:v>
                </c:pt>
                <c:pt idx="37">
                  <c:v>2.2683900000000001E-5</c:v>
                </c:pt>
                <c:pt idx="38">
                  <c:v>2.2595800000000001E-5</c:v>
                </c:pt>
                <c:pt idx="39">
                  <c:v>1.56856E-4</c:v>
                </c:pt>
                <c:pt idx="40">
                  <c:v>1.63673E-4</c:v>
                </c:pt>
                <c:pt idx="41">
                  <c:v>1.6006399999999999E-4</c:v>
                </c:pt>
                <c:pt idx="42">
                  <c:v>1.5544199999999999E-4</c:v>
                </c:pt>
                <c:pt idx="43">
                  <c:v>1.5396499999999999E-4</c:v>
                </c:pt>
                <c:pt idx="44">
                  <c:v>1.53738E-4</c:v>
                </c:pt>
                <c:pt idx="45">
                  <c:v>1.54823E-4</c:v>
                </c:pt>
                <c:pt idx="46">
                  <c:v>1.552E-4</c:v>
                </c:pt>
                <c:pt idx="47">
                  <c:v>1.5503199999999999E-4</c:v>
                </c:pt>
                <c:pt idx="48">
                  <c:v>1.54957E-4</c:v>
                </c:pt>
                <c:pt idx="49">
                  <c:v>1.53671E-4</c:v>
                </c:pt>
                <c:pt idx="50">
                  <c:v>1.5174000000000001E-4</c:v>
                </c:pt>
                <c:pt idx="51">
                  <c:v>1.5048199999999999E-4</c:v>
                </c:pt>
                <c:pt idx="52">
                  <c:v>1.5077800000000001E-4</c:v>
                </c:pt>
                <c:pt idx="53">
                  <c:v>1.5141800000000001E-4</c:v>
                </c:pt>
                <c:pt idx="54">
                  <c:v>1.51509E-4</c:v>
                </c:pt>
                <c:pt idx="55">
                  <c:v>1.52366E-4</c:v>
                </c:pt>
                <c:pt idx="56">
                  <c:v>1.51595E-4</c:v>
                </c:pt>
                <c:pt idx="57">
                  <c:v>1.52087E-4</c:v>
                </c:pt>
                <c:pt idx="58">
                  <c:v>1.5138900000000001E-4</c:v>
                </c:pt>
                <c:pt idx="59">
                  <c:v>1.50741E-4</c:v>
                </c:pt>
                <c:pt idx="60">
                  <c:v>1.5011399999999999E-4</c:v>
                </c:pt>
                <c:pt idx="61">
                  <c:v>1.50161E-4</c:v>
                </c:pt>
                <c:pt idx="62">
                  <c:v>1.5078300000000001E-4</c:v>
                </c:pt>
                <c:pt idx="63">
                  <c:v>1.5117799999999999E-4</c:v>
                </c:pt>
                <c:pt idx="64">
                  <c:v>1.51602E-4</c:v>
                </c:pt>
                <c:pt idx="65">
                  <c:v>1.51559E-4</c:v>
                </c:pt>
                <c:pt idx="66">
                  <c:v>1.5166600000000001E-4</c:v>
                </c:pt>
                <c:pt idx="67">
                  <c:v>1.5038700000000001E-4</c:v>
                </c:pt>
                <c:pt idx="68">
                  <c:v>2.24467E-5</c:v>
                </c:pt>
                <c:pt idx="69">
                  <c:v>2.25101E-5</c:v>
                </c:pt>
                <c:pt idx="70">
                  <c:v>2.2458799999999999E-5</c:v>
                </c:pt>
                <c:pt idx="71">
                  <c:v>2.2407899999999999E-5</c:v>
                </c:pt>
                <c:pt idx="72">
                  <c:v>2.2367699999999999E-5</c:v>
                </c:pt>
                <c:pt idx="73">
                  <c:v>2.2340800000000001E-5</c:v>
                </c:pt>
                <c:pt idx="74">
                  <c:v>2.2314899999999999E-5</c:v>
                </c:pt>
                <c:pt idx="75">
                  <c:v>2.2293099999999998E-5</c:v>
                </c:pt>
                <c:pt idx="76">
                  <c:v>2.2279399999999999E-5</c:v>
                </c:pt>
                <c:pt idx="77">
                  <c:v>2.22415E-5</c:v>
                </c:pt>
                <c:pt idx="78">
                  <c:v>1.55277E-4</c:v>
                </c:pt>
                <c:pt idx="79">
                  <c:v>1.5976900000000001E-4</c:v>
                </c:pt>
                <c:pt idx="80">
                  <c:v>1.5774300000000001E-4</c:v>
                </c:pt>
                <c:pt idx="81">
                  <c:v>1.5581300000000001E-4</c:v>
                </c:pt>
                <c:pt idx="82">
                  <c:v>1.55332E-4</c:v>
                </c:pt>
                <c:pt idx="83">
                  <c:v>1.5490400000000001E-4</c:v>
                </c:pt>
                <c:pt idx="84">
                  <c:v>1.5526099999999999E-4</c:v>
                </c:pt>
                <c:pt idx="85">
                  <c:v>1.55494E-4</c:v>
                </c:pt>
                <c:pt idx="86">
                  <c:v>1.5601699999999999E-4</c:v>
                </c:pt>
                <c:pt idx="87">
                  <c:v>1.55857E-4</c:v>
                </c:pt>
                <c:pt idx="88">
                  <c:v>1.5386299999999999E-4</c:v>
                </c:pt>
                <c:pt idx="89">
                  <c:v>1.5346399999999999E-4</c:v>
                </c:pt>
                <c:pt idx="90">
                  <c:v>1.5279700000000001E-4</c:v>
                </c:pt>
                <c:pt idx="91">
                  <c:v>1.5312799999999999E-4</c:v>
                </c:pt>
                <c:pt idx="92">
                  <c:v>1.5309899999999999E-4</c:v>
                </c:pt>
                <c:pt idx="93">
                  <c:v>1.5363900000000001E-4</c:v>
                </c:pt>
                <c:pt idx="94">
                  <c:v>1.5384200000000001E-4</c:v>
                </c:pt>
                <c:pt idx="95">
                  <c:v>1.5417600000000001E-4</c:v>
                </c:pt>
                <c:pt idx="96">
                  <c:v>1.5327099999999999E-4</c:v>
                </c:pt>
                <c:pt idx="97">
                  <c:v>1.5291999999999999E-4</c:v>
                </c:pt>
                <c:pt idx="98">
                  <c:v>1.5306799999999999E-4</c:v>
                </c:pt>
                <c:pt idx="99">
                  <c:v>1.52516E-4</c:v>
                </c:pt>
                <c:pt idx="100">
                  <c:v>1.5239299999999999E-4</c:v>
                </c:pt>
                <c:pt idx="101">
                  <c:v>1.5261699999999999E-4</c:v>
                </c:pt>
                <c:pt idx="102">
                  <c:v>1.5372500000000001E-4</c:v>
                </c:pt>
                <c:pt idx="103">
                  <c:v>1.5329499999999999E-4</c:v>
                </c:pt>
                <c:pt idx="104">
                  <c:v>1.5326200000000001E-4</c:v>
                </c:pt>
                <c:pt idx="105">
                  <c:v>1.5417E-4</c:v>
                </c:pt>
                <c:pt idx="106">
                  <c:v>1.53578E-4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3-4A1A-9115-78B98B2DBAB3}"/>
            </c:ext>
          </c:extLst>
        </c:ser>
        <c:ser>
          <c:idx val="1"/>
          <c:order val="1"/>
          <c:tx>
            <c:strRef>
              <c:f>'1233 P- 72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hpi'!$H$3:$H$116</c:f>
              <c:numCache>
                <c:formatCode>General</c:formatCode>
                <c:ptCount val="114"/>
                <c:pt idx="0">
                  <c:v>1.77818E-4</c:v>
                </c:pt>
                <c:pt idx="1">
                  <c:v>1.7887999999999999E-4</c:v>
                </c:pt>
                <c:pt idx="2">
                  <c:v>1.7580699999999999E-4</c:v>
                </c:pt>
                <c:pt idx="3">
                  <c:v>1.7835299999999999E-4</c:v>
                </c:pt>
                <c:pt idx="4">
                  <c:v>1.81831E-4</c:v>
                </c:pt>
                <c:pt idx="5">
                  <c:v>1.7623399999999999E-4</c:v>
                </c:pt>
                <c:pt idx="6">
                  <c:v>1.7789800000000001E-4</c:v>
                </c:pt>
                <c:pt idx="7">
                  <c:v>1.7896200000000001E-4</c:v>
                </c:pt>
                <c:pt idx="8">
                  <c:v>1.78462E-4</c:v>
                </c:pt>
                <c:pt idx="9">
                  <c:v>1.7922899999999999E-4</c:v>
                </c:pt>
                <c:pt idx="10">
                  <c:v>1.7885399999999999E-4</c:v>
                </c:pt>
                <c:pt idx="11">
                  <c:v>1.78617E-4</c:v>
                </c:pt>
                <c:pt idx="12">
                  <c:v>1.81182E-4</c:v>
                </c:pt>
                <c:pt idx="13">
                  <c:v>1.7842499999999999E-4</c:v>
                </c:pt>
                <c:pt idx="14">
                  <c:v>1.7787E-4</c:v>
                </c:pt>
                <c:pt idx="15">
                  <c:v>1.75286E-4</c:v>
                </c:pt>
                <c:pt idx="16">
                  <c:v>1.81726E-4</c:v>
                </c:pt>
                <c:pt idx="17">
                  <c:v>1.8029499999999999E-4</c:v>
                </c:pt>
                <c:pt idx="18">
                  <c:v>1.8274200000000001E-4</c:v>
                </c:pt>
                <c:pt idx="19">
                  <c:v>1.7921199999999999E-4</c:v>
                </c:pt>
                <c:pt idx="20">
                  <c:v>1.83821E-4</c:v>
                </c:pt>
                <c:pt idx="21">
                  <c:v>1.8364299999999999E-4</c:v>
                </c:pt>
                <c:pt idx="22">
                  <c:v>1.8311600000000001E-4</c:v>
                </c:pt>
                <c:pt idx="23">
                  <c:v>1.84334E-4</c:v>
                </c:pt>
                <c:pt idx="24">
                  <c:v>1.85451E-4</c:v>
                </c:pt>
                <c:pt idx="25">
                  <c:v>1.84897E-4</c:v>
                </c:pt>
                <c:pt idx="26">
                  <c:v>1.84391E-4</c:v>
                </c:pt>
                <c:pt idx="27">
                  <c:v>1.83857E-4</c:v>
                </c:pt>
                <c:pt idx="28">
                  <c:v>1.85372E-4</c:v>
                </c:pt>
                <c:pt idx="29">
                  <c:v>2.43445E-5</c:v>
                </c:pt>
                <c:pt idx="30">
                  <c:v>2.4242600000000001E-5</c:v>
                </c:pt>
                <c:pt idx="31">
                  <c:v>2.4051400000000002E-5</c:v>
                </c:pt>
                <c:pt idx="32">
                  <c:v>2.3904899999999999E-5</c:v>
                </c:pt>
                <c:pt idx="33">
                  <c:v>2.3790000000000001E-5</c:v>
                </c:pt>
                <c:pt idx="34">
                  <c:v>2.3695900000000001E-5</c:v>
                </c:pt>
                <c:pt idx="35">
                  <c:v>2.36303E-5</c:v>
                </c:pt>
                <c:pt idx="36">
                  <c:v>2.3557499999999999E-5</c:v>
                </c:pt>
                <c:pt idx="37">
                  <c:v>2.3507899999999999E-5</c:v>
                </c:pt>
                <c:pt idx="38">
                  <c:v>2.3488600000000001E-5</c:v>
                </c:pt>
                <c:pt idx="39">
                  <c:v>1.80044E-4</c:v>
                </c:pt>
                <c:pt idx="40">
                  <c:v>1.86264E-4</c:v>
                </c:pt>
                <c:pt idx="41">
                  <c:v>1.7728399999999999E-4</c:v>
                </c:pt>
                <c:pt idx="42">
                  <c:v>1.73229E-4</c:v>
                </c:pt>
                <c:pt idx="43">
                  <c:v>1.7145600000000001E-4</c:v>
                </c:pt>
                <c:pt idx="44">
                  <c:v>1.69533E-4</c:v>
                </c:pt>
                <c:pt idx="45">
                  <c:v>1.7097799999999999E-4</c:v>
                </c:pt>
                <c:pt idx="46">
                  <c:v>1.76644E-4</c:v>
                </c:pt>
                <c:pt idx="47">
                  <c:v>1.7533100000000001E-4</c:v>
                </c:pt>
                <c:pt idx="48">
                  <c:v>1.76241E-4</c:v>
                </c:pt>
                <c:pt idx="49">
                  <c:v>1.70421E-4</c:v>
                </c:pt>
                <c:pt idx="50">
                  <c:v>1.7438600000000001E-4</c:v>
                </c:pt>
                <c:pt idx="51">
                  <c:v>1.75852E-4</c:v>
                </c:pt>
                <c:pt idx="52">
                  <c:v>1.7376100000000001E-4</c:v>
                </c:pt>
                <c:pt idx="53">
                  <c:v>1.77162E-4</c:v>
                </c:pt>
                <c:pt idx="54">
                  <c:v>1.77899E-4</c:v>
                </c:pt>
                <c:pt idx="55">
                  <c:v>1.7830100000000001E-4</c:v>
                </c:pt>
                <c:pt idx="56">
                  <c:v>1.77749E-4</c:v>
                </c:pt>
                <c:pt idx="57">
                  <c:v>1.79116E-4</c:v>
                </c:pt>
                <c:pt idx="58">
                  <c:v>1.7960099999999999E-4</c:v>
                </c:pt>
                <c:pt idx="59">
                  <c:v>1.7835E-4</c:v>
                </c:pt>
                <c:pt idx="60">
                  <c:v>1.7837800000000001E-4</c:v>
                </c:pt>
                <c:pt idx="61">
                  <c:v>1.78121E-4</c:v>
                </c:pt>
                <c:pt idx="62">
                  <c:v>1.78832E-4</c:v>
                </c:pt>
                <c:pt idx="63">
                  <c:v>1.81461E-4</c:v>
                </c:pt>
                <c:pt idx="64">
                  <c:v>1.79808E-4</c:v>
                </c:pt>
                <c:pt idx="65">
                  <c:v>1.7953500000000001E-4</c:v>
                </c:pt>
                <c:pt idx="66">
                  <c:v>1.7783600000000001E-4</c:v>
                </c:pt>
                <c:pt idx="67">
                  <c:v>1.79264E-4</c:v>
                </c:pt>
                <c:pt idx="68">
                  <c:v>2.3319299999999999E-5</c:v>
                </c:pt>
                <c:pt idx="69">
                  <c:v>2.33894E-5</c:v>
                </c:pt>
                <c:pt idx="70">
                  <c:v>2.3328300000000002E-5</c:v>
                </c:pt>
                <c:pt idx="71">
                  <c:v>2.3261900000000002E-5</c:v>
                </c:pt>
                <c:pt idx="72">
                  <c:v>2.3219900000000001E-5</c:v>
                </c:pt>
                <c:pt idx="73">
                  <c:v>2.3182800000000001E-5</c:v>
                </c:pt>
                <c:pt idx="74">
                  <c:v>2.31376E-5</c:v>
                </c:pt>
                <c:pt idx="75">
                  <c:v>2.3084699999999999E-5</c:v>
                </c:pt>
                <c:pt idx="76">
                  <c:v>2.30232E-5</c:v>
                </c:pt>
                <c:pt idx="77">
                  <c:v>2.30061E-5</c:v>
                </c:pt>
                <c:pt idx="78">
                  <c:v>2.01936E-4</c:v>
                </c:pt>
                <c:pt idx="79">
                  <c:v>2.0425400000000001E-4</c:v>
                </c:pt>
                <c:pt idx="80">
                  <c:v>2.0323499999999999E-4</c:v>
                </c:pt>
                <c:pt idx="81">
                  <c:v>2.00552E-4</c:v>
                </c:pt>
                <c:pt idx="82">
                  <c:v>2.02315E-4</c:v>
                </c:pt>
                <c:pt idx="83">
                  <c:v>2.0016899999999999E-4</c:v>
                </c:pt>
                <c:pt idx="84">
                  <c:v>1.9956600000000001E-4</c:v>
                </c:pt>
                <c:pt idx="85">
                  <c:v>2.03439E-4</c:v>
                </c:pt>
                <c:pt idx="86">
                  <c:v>2.0478E-4</c:v>
                </c:pt>
                <c:pt idx="87">
                  <c:v>2.05183E-4</c:v>
                </c:pt>
                <c:pt idx="88">
                  <c:v>2.0665000000000001E-4</c:v>
                </c:pt>
                <c:pt idx="89">
                  <c:v>2.0682400000000001E-4</c:v>
                </c:pt>
                <c:pt idx="90">
                  <c:v>2.0501499999999999E-4</c:v>
                </c:pt>
                <c:pt idx="91">
                  <c:v>2.01609E-4</c:v>
                </c:pt>
                <c:pt idx="92">
                  <c:v>2.0508500000000001E-4</c:v>
                </c:pt>
                <c:pt idx="93">
                  <c:v>2.0399700000000001E-4</c:v>
                </c:pt>
                <c:pt idx="94">
                  <c:v>2.07071E-4</c:v>
                </c:pt>
                <c:pt idx="95">
                  <c:v>2.0850799999999999E-4</c:v>
                </c:pt>
                <c:pt idx="96">
                  <c:v>2.0686899999999999E-4</c:v>
                </c:pt>
                <c:pt idx="97">
                  <c:v>2.0256399999999999E-4</c:v>
                </c:pt>
                <c:pt idx="98">
                  <c:v>1.9873699999999999E-4</c:v>
                </c:pt>
                <c:pt idx="99">
                  <c:v>1.98708E-4</c:v>
                </c:pt>
                <c:pt idx="100">
                  <c:v>2.00507E-4</c:v>
                </c:pt>
                <c:pt idx="101">
                  <c:v>2.00299E-4</c:v>
                </c:pt>
                <c:pt idx="102">
                  <c:v>1.9853399999999999E-4</c:v>
                </c:pt>
                <c:pt idx="103">
                  <c:v>2.0128999999999999E-4</c:v>
                </c:pt>
                <c:pt idx="104">
                  <c:v>2.0204500000000001E-4</c:v>
                </c:pt>
                <c:pt idx="105">
                  <c:v>2.0311999999999999E-4</c:v>
                </c:pt>
                <c:pt idx="106">
                  <c:v>2.0394599999999999E-4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3-4A1A-9115-78B98B2DBAB3}"/>
            </c:ext>
          </c:extLst>
        </c:ser>
        <c:ser>
          <c:idx val="2"/>
          <c:order val="2"/>
          <c:tx>
            <c:strRef>
              <c:f>'1233 P- 72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hpi'!$M$3:$M$116</c:f>
              <c:numCache>
                <c:formatCode>0.00E+00</c:formatCode>
                <c:ptCount val="114"/>
                <c:pt idx="0">
                  <c:v>1.9363E-4</c:v>
                </c:pt>
                <c:pt idx="1">
                  <c:v>1.9360100000000001E-4</c:v>
                </c:pt>
                <c:pt idx="2">
                  <c:v>1.9364299999999999E-4</c:v>
                </c:pt>
                <c:pt idx="3">
                  <c:v>1.9249600000000001E-4</c:v>
                </c:pt>
                <c:pt idx="4">
                  <c:v>1.9134299999999999E-4</c:v>
                </c:pt>
                <c:pt idx="5">
                  <c:v>1.9256899999999999E-4</c:v>
                </c:pt>
                <c:pt idx="6">
                  <c:v>1.91449E-4</c:v>
                </c:pt>
                <c:pt idx="7">
                  <c:v>1.89836E-4</c:v>
                </c:pt>
                <c:pt idx="8">
                  <c:v>1.9264999999999999E-4</c:v>
                </c:pt>
                <c:pt idx="9">
                  <c:v>1.92697E-4</c:v>
                </c:pt>
                <c:pt idx="10">
                  <c:v>1.90974E-4</c:v>
                </c:pt>
                <c:pt idx="11">
                  <c:v>1.9263900000000001E-4</c:v>
                </c:pt>
                <c:pt idx="12">
                  <c:v>1.9319300000000001E-4</c:v>
                </c:pt>
                <c:pt idx="13">
                  <c:v>1.9325500000000001E-4</c:v>
                </c:pt>
                <c:pt idx="14">
                  <c:v>1.9308699999999999E-4</c:v>
                </c:pt>
                <c:pt idx="15">
                  <c:v>1.92766E-4</c:v>
                </c:pt>
                <c:pt idx="16">
                  <c:v>1.9521600000000001E-4</c:v>
                </c:pt>
                <c:pt idx="17">
                  <c:v>1.9498399999999999E-4</c:v>
                </c:pt>
                <c:pt idx="18">
                  <c:v>1.9213300000000001E-4</c:v>
                </c:pt>
                <c:pt idx="19">
                  <c:v>1.9428199999999999E-4</c:v>
                </c:pt>
                <c:pt idx="20">
                  <c:v>1.88316E-4</c:v>
                </c:pt>
                <c:pt idx="21">
                  <c:v>1.8441200000000001E-4</c:v>
                </c:pt>
                <c:pt idx="22">
                  <c:v>1.87944E-4</c:v>
                </c:pt>
                <c:pt idx="23">
                  <c:v>1.9086099999999999E-4</c:v>
                </c:pt>
                <c:pt idx="24">
                  <c:v>1.89478E-4</c:v>
                </c:pt>
                <c:pt idx="25">
                  <c:v>1.9149E-4</c:v>
                </c:pt>
                <c:pt idx="26">
                  <c:v>1.8834599999999999E-4</c:v>
                </c:pt>
                <c:pt idx="27">
                  <c:v>1.8823000000000001E-4</c:v>
                </c:pt>
                <c:pt idx="28">
                  <c:v>1.99089E-4</c:v>
                </c:pt>
                <c:pt idx="29">
                  <c:v>2.79135E-5</c:v>
                </c:pt>
                <c:pt idx="30">
                  <c:v>2.7848399999999999E-5</c:v>
                </c:pt>
                <c:pt idx="31">
                  <c:v>2.7644299999999999E-5</c:v>
                </c:pt>
                <c:pt idx="32">
                  <c:v>2.7364699999999999E-5</c:v>
                </c:pt>
                <c:pt idx="33">
                  <c:v>2.7112999999999999E-5</c:v>
                </c:pt>
                <c:pt idx="34">
                  <c:v>2.6881800000000001E-5</c:v>
                </c:pt>
                <c:pt idx="35">
                  <c:v>2.6644499999999999E-5</c:v>
                </c:pt>
                <c:pt idx="36">
                  <c:v>2.6437200000000002E-5</c:v>
                </c:pt>
                <c:pt idx="37">
                  <c:v>2.6263700000000001E-5</c:v>
                </c:pt>
                <c:pt idx="38">
                  <c:v>2.6140400000000001E-5</c:v>
                </c:pt>
                <c:pt idx="39">
                  <c:v>1.95405E-4</c:v>
                </c:pt>
                <c:pt idx="40">
                  <c:v>1.98211E-4</c:v>
                </c:pt>
                <c:pt idx="41">
                  <c:v>1.97617E-4</c:v>
                </c:pt>
                <c:pt idx="42">
                  <c:v>2.0239999999999999E-4</c:v>
                </c:pt>
                <c:pt idx="43">
                  <c:v>2.0356399999999999E-4</c:v>
                </c:pt>
                <c:pt idx="44">
                  <c:v>2.0395100000000001E-4</c:v>
                </c:pt>
                <c:pt idx="45">
                  <c:v>2.0710300000000001E-4</c:v>
                </c:pt>
                <c:pt idx="46">
                  <c:v>2.12518E-4</c:v>
                </c:pt>
                <c:pt idx="47">
                  <c:v>2.0800300000000001E-4</c:v>
                </c:pt>
                <c:pt idx="48">
                  <c:v>2.0267500000000001E-4</c:v>
                </c:pt>
                <c:pt idx="49">
                  <c:v>2.0983800000000001E-4</c:v>
                </c:pt>
                <c:pt idx="50">
                  <c:v>2.08402E-4</c:v>
                </c:pt>
                <c:pt idx="51">
                  <c:v>2.0249999999999999E-4</c:v>
                </c:pt>
                <c:pt idx="52">
                  <c:v>2.0457299999999999E-4</c:v>
                </c:pt>
                <c:pt idx="53">
                  <c:v>2.06391E-4</c:v>
                </c:pt>
                <c:pt idx="54">
                  <c:v>2.06534E-4</c:v>
                </c:pt>
                <c:pt idx="55">
                  <c:v>2.03733E-4</c:v>
                </c:pt>
                <c:pt idx="56">
                  <c:v>2.0353400000000001E-4</c:v>
                </c:pt>
                <c:pt idx="57">
                  <c:v>2.0453800000000001E-4</c:v>
                </c:pt>
                <c:pt idx="58">
                  <c:v>1.9757499999999999E-4</c:v>
                </c:pt>
                <c:pt idx="59">
                  <c:v>1.8766900000000001E-4</c:v>
                </c:pt>
                <c:pt idx="60">
                  <c:v>1.8953899999999999E-4</c:v>
                </c:pt>
                <c:pt idx="61">
                  <c:v>1.8921000000000001E-4</c:v>
                </c:pt>
                <c:pt idx="62">
                  <c:v>1.8787900000000001E-4</c:v>
                </c:pt>
                <c:pt idx="63">
                  <c:v>1.9179399999999999E-4</c:v>
                </c:pt>
                <c:pt idx="64">
                  <c:v>1.87722E-4</c:v>
                </c:pt>
                <c:pt idx="65">
                  <c:v>1.8704799999999999E-4</c:v>
                </c:pt>
                <c:pt idx="66">
                  <c:v>1.93995E-4</c:v>
                </c:pt>
                <c:pt idx="67">
                  <c:v>1.9687599999999999E-4</c:v>
                </c:pt>
                <c:pt idx="68">
                  <c:v>2.57674E-5</c:v>
                </c:pt>
                <c:pt idx="69">
                  <c:v>2.58078E-5</c:v>
                </c:pt>
                <c:pt idx="70">
                  <c:v>2.56978E-5</c:v>
                </c:pt>
                <c:pt idx="71">
                  <c:v>2.5644599999999998E-5</c:v>
                </c:pt>
                <c:pt idx="72">
                  <c:v>2.5649599999999999E-5</c:v>
                </c:pt>
                <c:pt idx="73">
                  <c:v>2.5626000000000002E-5</c:v>
                </c:pt>
                <c:pt idx="74">
                  <c:v>2.5641400000000002E-5</c:v>
                </c:pt>
                <c:pt idx="75">
                  <c:v>2.5593999999999999E-5</c:v>
                </c:pt>
                <c:pt idx="76">
                  <c:v>2.55215E-5</c:v>
                </c:pt>
                <c:pt idx="77">
                  <c:v>2.5451499999999998E-5</c:v>
                </c:pt>
                <c:pt idx="78">
                  <c:v>1.9858199999999999E-4</c:v>
                </c:pt>
                <c:pt idx="79">
                  <c:v>2.00089E-4</c:v>
                </c:pt>
                <c:pt idx="80">
                  <c:v>2.0568299999999999E-4</c:v>
                </c:pt>
                <c:pt idx="81">
                  <c:v>1.9798799999999999E-4</c:v>
                </c:pt>
                <c:pt idx="82">
                  <c:v>1.97023E-4</c:v>
                </c:pt>
                <c:pt idx="83">
                  <c:v>1.9685199999999999E-4</c:v>
                </c:pt>
                <c:pt idx="84">
                  <c:v>1.9437400000000001E-4</c:v>
                </c:pt>
                <c:pt idx="85">
                  <c:v>1.9815499999999999E-4</c:v>
                </c:pt>
                <c:pt idx="86">
                  <c:v>1.9365100000000001E-4</c:v>
                </c:pt>
                <c:pt idx="87">
                  <c:v>1.9729200000000001E-4</c:v>
                </c:pt>
                <c:pt idx="88">
                  <c:v>1.9732699999999999E-4</c:v>
                </c:pt>
                <c:pt idx="89">
                  <c:v>1.98822E-4</c:v>
                </c:pt>
                <c:pt idx="90">
                  <c:v>1.96059E-4</c:v>
                </c:pt>
                <c:pt idx="91">
                  <c:v>1.8605100000000001E-4</c:v>
                </c:pt>
                <c:pt idx="92">
                  <c:v>1.88378E-4</c:v>
                </c:pt>
                <c:pt idx="93">
                  <c:v>1.91535E-4</c:v>
                </c:pt>
                <c:pt idx="94">
                  <c:v>1.9028900000000001E-4</c:v>
                </c:pt>
                <c:pt idx="95">
                  <c:v>1.8919999999999999E-4</c:v>
                </c:pt>
                <c:pt idx="96">
                  <c:v>1.8735400000000001E-4</c:v>
                </c:pt>
                <c:pt idx="97">
                  <c:v>1.8657499999999999E-4</c:v>
                </c:pt>
                <c:pt idx="98">
                  <c:v>1.9001200000000001E-4</c:v>
                </c:pt>
                <c:pt idx="99">
                  <c:v>1.94651E-4</c:v>
                </c:pt>
                <c:pt idx="100">
                  <c:v>1.9551200000000001E-4</c:v>
                </c:pt>
                <c:pt idx="101">
                  <c:v>1.9381300000000001E-4</c:v>
                </c:pt>
                <c:pt idx="102">
                  <c:v>1.9739399999999999E-4</c:v>
                </c:pt>
                <c:pt idx="103">
                  <c:v>1.99571E-4</c:v>
                </c:pt>
                <c:pt idx="104">
                  <c:v>1.9588E-4</c:v>
                </c:pt>
                <c:pt idx="105">
                  <c:v>1.9259600000000001E-4</c:v>
                </c:pt>
                <c:pt idx="106">
                  <c:v>1.90485E-4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B3-4A1A-9115-78B98B2DBAB3}"/>
            </c:ext>
          </c:extLst>
        </c:ser>
        <c:ser>
          <c:idx val="3"/>
          <c:order val="3"/>
          <c:tx>
            <c:strRef>
              <c:f>'1233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P- 72 hpi'!$A$3:$A$124</c:f>
              <c:numCache>
                <c:formatCode>General</c:formatCode>
                <c:ptCount val="122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B3-4A1A-9115-78B98B2DB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56384"/>
        <c:axId val="1177859296"/>
      </c:scatterChart>
      <c:valAx>
        <c:axId val="11778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9296"/>
        <c:crosses val="autoZero"/>
        <c:crossBetween val="midCat"/>
      </c:valAx>
      <c:valAx>
        <c:axId val="1177859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100.02844006380715</c:v>
                </c:pt>
                <c:pt idx="2">
                  <c:v>100.09667046325328</c:v>
                </c:pt>
                <c:pt idx="3">
                  <c:v>100.30815431785214</c:v>
                </c:pt>
                <c:pt idx="4">
                  <c:v>100.40575661717664</c:v>
                </c:pt>
                <c:pt idx="5">
                  <c:v>100.76169269711131</c:v>
                </c:pt>
                <c:pt idx="6">
                  <c:v>101.0032579916668</c:v>
                </c:pt>
                <c:pt idx="7">
                  <c:v>101.15947012006451</c:v>
                </c:pt>
                <c:pt idx="8">
                  <c:v>101.52483269406491</c:v>
                </c:pt>
                <c:pt idx="9">
                  <c:v>101.67243638915886</c:v>
                </c:pt>
                <c:pt idx="10">
                  <c:v>101.92861037865521</c:v>
                </c:pt>
                <c:pt idx="11">
                  <c:v>102.21777235526659</c:v>
                </c:pt>
                <c:pt idx="12">
                  <c:v>102.3821058414546</c:v>
                </c:pt>
                <c:pt idx="13">
                  <c:v>102.62107500695103</c:v>
                </c:pt>
                <c:pt idx="14">
                  <c:v>102.61940227776012</c:v>
                </c:pt>
                <c:pt idx="15">
                  <c:v>102.97904831575312</c:v>
                </c:pt>
                <c:pt idx="16">
                  <c:v>103.09728681126714</c:v>
                </c:pt>
                <c:pt idx="17">
                  <c:v>103.58808301531057</c:v>
                </c:pt>
                <c:pt idx="18">
                  <c:v>103.5055876039909</c:v>
                </c:pt>
                <c:pt idx="19">
                  <c:v>103.65909221913606</c:v>
                </c:pt>
                <c:pt idx="20">
                  <c:v>104.17611449329075</c:v>
                </c:pt>
                <c:pt idx="21">
                  <c:v>104.38517745775283</c:v>
                </c:pt>
                <c:pt idx="22">
                  <c:v>104.54595511116878</c:v>
                </c:pt>
                <c:pt idx="23">
                  <c:v>104.7276294650884</c:v>
                </c:pt>
                <c:pt idx="24">
                  <c:v>105.10138977379427</c:v>
                </c:pt>
                <c:pt idx="25">
                  <c:v>105.07719784610669</c:v>
                </c:pt>
                <c:pt idx="26">
                  <c:v>105.59250822306095</c:v>
                </c:pt>
                <c:pt idx="27">
                  <c:v>105.558597990864</c:v>
                </c:pt>
                <c:pt idx="28">
                  <c:v>105.79096057313635</c:v>
                </c:pt>
                <c:pt idx="29">
                  <c:v>0.2048295180739767</c:v>
                </c:pt>
                <c:pt idx="30">
                  <c:v>0.20264758718611189</c:v>
                </c:pt>
                <c:pt idx="31">
                  <c:v>0.20065065951543848</c:v>
                </c:pt>
                <c:pt idx="32">
                  <c:v>0.1988218632289554</c:v>
                </c:pt>
                <c:pt idx="33">
                  <c:v>0.19654028555186775</c:v>
                </c:pt>
                <c:pt idx="34">
                  <c:v>0.19502357548524402</c:v>
                </c:pt>
                <c:pt idx="35">
                  <c:v>0.19286687237557623</c:v>
                </c:pt>
                <c:pt idx="36">
                  <c:v>0.19059477326707114</c:v>
                </c:pt>
                <c:pt idx="37">
                  <c:v>0.18904705750286324</c:v>
                </c:pt>
                <c:pt idx="38">
                  <c:v>0.188002119601407</c:v>
                </c:pt>
                <c:pt idx="39">
                  <c:v>80.495270625469857</c:v>
                </c:pt>
                <c:pt idx="40">
                  <c:v>82.982490614079495</c:v>
                </c:pt>
                <c:pt idx="41">
                  <c:v>84.778032289953188</c:v>
                </c:pt>
                <c:pt idx="42">
                  <c:v>86.425148704840524</c:v>
                </c:pt>
                <c:pt idx="43">
                  <c:v>87.966983730125975</c:v>
                </c:pt>
                <c:pt idx="44">
                  <c:v>89.133608378487239</c:v>
                </c:pt>
                <c:pt idx="45">
                  <c:v>90.100392179582201</c:v>
                </c:pt>
                <c:pt idx="46">
                  <c:v>90.611249516790792</c:v>
                </c:pt>
                <c:pt idx="47">
                  <c:v>90.985995735694843</c:v>
                </c:pt>
                <c:pt idx="48">
                  <c:v>91.410518609552355</c:v>
                </c:pt>
                <c:pt idx="49">
                  <c:v>91.760136053391761</c:v>
                </c:pt>
                <c:pt idx="50">
                  <c:v>92.285015972264063</c:v>
                </c:pt>
                <c:pt idx="51">
                  <c:v>92.667952003101561</c:v>
                </c:pt>
                <c:pt idx="52">
                  <c:v>93.180558730118065</c:v>
                </c:pt>
                <c:pt idx="53">
                  <c:v>93.298923570305107</c:v>
                </c:pt>
                <c:pt idx="54">
                  <c:v>94.05085982188362</c:v>
                </c:pt>
                <c:pt idx="55">
                  <c:v>94.378380835347883</c:v>
                </c:pt>
                <c:pt idx="56">
                  <c:v>94.35312146013473</c:v>
                </c:pt>
                <c:pt idx="57">
                  <c:v>94.572034254311802</c:v>
                </c:pt>
                <c:pt idx="58">
                  <c:v>95.042157377202599</c:v>
                </c:pt>
                <c:pt idx="59">
                  <c:v>95.324640824251816</c:v>
                </c:pt>
                <c:pt idx="60">
                  <c:v>95.632021031583179</c:v>
                </c:pt>
                <c:pt idx="61">
                  <c:v>95.993890161481602</c:v>
                </c:pt>
                <c:pt idx="62">
                  <c:v>96.172194491960042</c:v>
                </c:pt>
                <c:pt idx="63">
                  <c:v>96.441545742360773</c:v>
                </c:pt>
                <c:pt idx="64">
                  <c:v>96.710512230412988</c:v>
                </c:pt>
                <c:pt idx="65">
                  <c:v>97.07272243612428</c:v>
                </c:pt>
                <c:pt idx="66">
                  <c:v>97.328729575334506</c:v>
                </c:pt>
                <c:pt idx="67">
                  <c:v>97.451309503466774</c:v>
                </c:pt>
                <c:pt idx="68">
                  <c:v>0.17710097591168267</c:v>
                </c:pt>
                <c:pt idx="69">
                  <c:v>0.17836236060601141</c:v>
                </c:pt>
                <c:pt idx="70">
                  <c:v>0.17795145357327841</c:v>
                </c:pt>
                <c:pt idx="71">
                  <c:v>0.17721426809866436</c:v>
                </c:pt>
                <c:pt idx="72">
                  <c:v>0.17559377264757278</c:v>
                </c:pt>
                <c:pt idx="73">
                  <c:v>0.17419993586647195</c:v>
                </c:pt>
                <c:pt idx="74">
                  <c:v>0.17337158598894775</c:v>
                </c:pt>
                <c:pt idx="75">
                  <c:v>0.17131010631384674</c:v>
                </c:pt>
                <c:pt idx="76">
                  <c:v>0.16933456967277122</c:v>
                </c:pt>
                <c:pt idx="77">
                  <c:v>0.1680054067426307</c:v>
                </c:pt>
                <c:pt idx="78">
                  <c:v>81.297092796235262</c:v>
                </c:pt>
                <c:pt idx="79">
                  <c:v>83.67652107257743</c:v>
                </c:pt>
                <c:pt idx="80">
                  <c:v>85.57360079336685</c:v>
                </c:pt>
                <c:pt idx="81">
                  <c:v>87.054428334348387</c:v>
                </c:pt>
                <c:pt idx="82">
                  <c:v>88.466508066864805</c:v>
                </c:pt>
                <c:pt idx="83">
                  <c:v>89.669603447579348</c:v>
                </c:pt>
                <c:pt idx="84">
                  <c:v>90.643524195646521</c:v>
                </c:pt>
                <c:pt idx="85">
                  <c:v>91.190102800635273</c:v>
                </c:pt>
                <c:pt idx="86">
                  <c:v>91.541349793500245</c:v>
                </c:pt>
                <c:pt idx="87">
                  <c:v>92.147359652063955</c:v>
                </c:pt>
                <c:pt idx="88">
                  <c:v>92.384317896452202</c:v>
                </c:pt>
                <c:pt idx="89">
                  <c:v>93.446314088656408</c:v>
                </c:pt>
                <c:pt idx="90">
                  <c:v>93.6079412027876</c:v>
                </c:pt>
                <c:pt idx="91">
                  <c:v>94.15219502394082</c:v>
                </c:pt>
                <c:pt idx="92">
                  <c:v>94.70376542785479</c:v>
                </c:pt>
                <c:pt idx="93">
                  <c:v>95.017685020327434</c:v>
                </c:pt>
                <c:pt idx="94">
                  <c:v>95.433497350264304</c:v>
                </c:pt>
                <c:pt idx="95">
                  <c:v>95.500006072563053</c:v>
                </c:pt>
                <c:pt idx="96">
                  <c:v>96.172821515946595</c:v>
                </c:pt>
                <c:pt idx="97">
                  <c:v>96.179270556437501</c:v>
                </c:pt>
                <c:pt idx="98">
                  <c:v>96.475751277196252</c:v>
                </c:pt>
                <c:pt idx="99">
                  <c:v>96.858410174633264</c:v>
                </c:pt>
                <c:pt idx="100">
                  <c:v>97.463037033951338</c:v>
                </c:pt>
                <c:pt idx="101">
                  <c:v>97.913167957664342</c:v>
                </c:pt>
                <c:pt idx="102">
                  <c:v>98.227227538726723</c:v>
                </c:pt>
                <c:pt idx="103">
                  <c:v>98.146369990975813</c:v>
                </c:pt>
                <c:pt idx="104">
                  <c:v>98.365622807453505</c:v>
                </c:pt>
                <c:pt idx="105">
                  <c:v>98.320819046087678</c:v>
                </c:pt>
                <c:pt idx="106">
                  <c:v>98.7329202767705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7-49CB-9835-C088CB61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98768"/>
        <c:axId val="2049692512"/>
      </c:scatterChart>
      <c:valAx>
        <c:axId val="204929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92512"/>
        <c:crosses val="autoZero"/>
        <c:crossBetween val="midCat"/>
      </c:valAx>
      <c:valAx>
        <c:axId val="2049692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9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99.334106148280711</c:v>
                </c:pt>
                <c:pt idx="2">
                  <c:v>95.951760120392521</c:v>
                </c:pt>
                <c:pt idx="3">
                  <c:v>94.566865413223951</c:v>
                </c:pt>
                <c:pt idx="4">
                  <c:v>92.927137738497862</c:v>
                </c:pt>
                <c:pt idx="5">
                  <c:v>95.016349511953209</c:v>
                </c:pt>
                <c:pt idx="6">
                  <c:v>93.16419068770449</c:v>
                </c:pt>
                <c:pt idx="7">
                  <c:v>93.602744534955534</c:v>
                </c:pt>
                <c:pt idx="8">
                  <c:v>95.230051525048026</c:v>
                </c:pt>
                <c:pt idx="9">
                  <c:v>93.809751270906361</c:v>
                </c:pt>
                <c:pt idx="10">
                  <c:v>96.265536684214709</c:v>
                </c:pt>
                <c:pt idx="11">
                  <c:v>95.352392608043175</c:v>
                </c:pt>
                <c:pt idx="12">
                  <c:v>95.152858476657727</c:v>
                </c:pt>
                <c:pt idx="13">
                  <c:v>97.181138713062865</c:v>
                </c:pt>
                <c:pt idx="14">
                  <c:v>96.160362380574867</c:v>
                </c:pt>
                <c:pt idx="15">
                  <c:v>96.958224875677772</c:v>
                </c:pt>
                <c:pt idx="16">
                  <c:v>95.684108152567603</c:v>
                </c:pt>
                <c:pt idx="17">
                  <c:v>99.626708308820668</c:v>
                </c:pt>
                <c:pt idx="18">
                  <c:v>96.113753585088205</c:v>
                </c:pt>
                <c:pt idx="19">
                  <c:v>95.341763905670916</c:v>
                </c:pt>
                <c:pt idx="20">
                  <c:v>97.568166434654628</c:v>
                </c:pt>
                <c:pt idx="21">
                  <c:v>99.471094274837284</c:v>
                </c:pt>
                <c:pt idx="22">
                  <c:v>98.973115722216306</c:v>
                </c:pt>
                <c:pt idx="23">
                  <c:v>99.343269040669696</c:v>
                </c:pt>
                <c:pt idx="24">
                  <c:v>100.39916707481534</c:v>
                </c:pt>
                <c:pt idx="25">
                  <c:v>97.577704062735194</c:v>
                </c:pt>
                <c:pt idx="26">
                  <c:v>99.24605033408244</c:v>
                </c:pt>
                <c:pt idx="27">
                  <c:v>99.835334507606689</c:v>
                </c:pt>
                <c:pt idx="28">
                  <c:v>99.950500411354767</c:v>
                </c:pt>
                <c:pt idx="29">
                  <c:v>13.111402848433933</c:v>
                </c:pt>
                <c:pt idx="30">
                  <c:v>13.053379230871531</c:v>
                </c:pt>
                <c:pt idx="31">
                  <c:v>12.979168070731335</c:v>
                </c:pt>
                <c:pt idx="32">
                  <c:v>12.93313905440375</c:v>
                </c:pt>
                <c:pt idx="33">
                  <c:v>12.891751957209109</c:v>
                </c:pt>
                <c:pt idx="34">
                  <c:v>12.854107909554013</c:v>
                </c:pt>
                <c:pt idx="35">
                  <c:v>12.809871447544559</c:v>
                </c:pt>
                <c:pt idx="36">
                  <c:v>12.766661237422355</c:v>
                </c:pt>
                <c:pt idx="37">
                  <c:v>12.737220769758503</c:v>
                </c:pt>
                <c:pt idx="38">
                  <c:v>12.716676438648605</c:v>
                </c:pt>
                <c:pt idx="39">
                  <c:v>102.17400163463307</c:v>
                </c:pt>
                <c:pt idx="40">
                  <c:v>104.76768984304576</c:v>
                </c:pt>
                <c:pt idx="41">
                  <c:v>102.69443372297414</c:v>
                </c:pt>
                <c:pt idx="42">
                  <c:v>99.486026970123149</c:v>
                </c:pt>
                <c:pt idx="43">
                  <c:v>102.00992321205233</c:v>
                </c:pt>
                <c:pt idx="44">
                  <c:v>102.19182647256164</c:v>
                </c:pt>
                <c:pt idx="45">
                  <c:v>103.08650463706124</c:v>
                </c:pt>
                <c:pt idx="46">
                  <c:v>103.33072957686734</c:v>
                </c:pt>
                <c:pt idx="47">
                  <c:v>103.83264488420832</c:v>
                </c:pt>
                <c:pt idx="48">
                  <c:v>102.74290530442011</c:v>
                </c:pt>
                <c:pt idx="49">
                  <c:v>102.03777524273292</c:v>
                </c:pt>
                <c:pt idx="50">
                  <c:v>103.19586362218584</c:v>
                </c:pt>
                <c:pt idx="51">
                  <c:v>101.67247273831418</c:v>
                </c:pt>
                <c:pt idx="52">
                  <c:v>101.49198725827245</c:v>
                </c:pt>
                <c:pt idx="53">
                  <c:v>98.360830864306223</c:v>
                </c:pt>
                <c:pt idx="54">
                  <c:v>99.66996411119851</c:v>
                </c:pt>
                <c:pt idx="55">
                  <c:v>99.452885777261997</c:v>
                </c:pt>
                <c:pt idx="56">
                  <c:v>98.653636045233895</c:v>
                </c:pt>
                <c:pt idx="57">
                  <c:v>99.214406125270443</c:v>
                </c:pt>
                <c:pt idx="58">
                  <c:v>100.37014987923416</c:v>
                </c:pt>
                <c:pt idx="59">
                  <c:v>99.91383590378355</c:v>
                </c:pt>
                <c:pt idx="60">
                  <c:v>99.531812529524615</c:v>
                </c:pt>
                <c:pt idx="61">
                  <c:v>99.404903074281322</c:v>
                </c:pt>
                <c:pt idx="62">
                  <c:v>97.725256897620127</c:v>
                </c:pt>
                <c:pt idx="63">
                  <c:v>98.63397248932985</c:v>
                </c:pt>
                <c:pt idx="64">
                  <c:v>99.974064769035905</c:v>
                </c:pt>
                <c:pt idx="65">
                  <c:v>101.43222769577696</c:v>
                </c:pt>
                <c:pt idx="66">
                  <c:v>102.03363150597218</c:v>
                </c:pt>
                <c:pt idx="67">
                  <c:v>100.8789283483879</c:v>
                </c:pt>
                <c:pt idx="68">
                  <c:v>12.706640119191352</c:v>
                </c:pt>
                <c:pt idx="69">
                  <c:v>12.751907006007411</c:v>
                </c:pt>
                <c:pt idx="70">
                  <c:v>12.733759530990593</c:v>
                </c:pt>
                <c:pt idx="71">
                  <c:v>12.720904851443821</c:v>
                </c:pt>
                <c:pt idx="72">
                  <c:v>12.70195793220549</c:v>
                </c:pt>
                <c:pt idx="73">
                  <c:v>12.67626231164644</c:v>
                </c:pt>
                <c:pt idx="74">
                  <c:v>12.656839741671366</c:v>
                </c:pt>
                <c:pt idx="75">
                  <c:v>12.628571269033767</c:v>
                </c:pt>
                <c:pt idx="76">
                  <c:v>12.603138358477734</c:v>
                </c:pt>
                <c:pt idx="77">
                  <c:v>12.585315318933283</c:v>
                </c:pt>
                <c:pt idx="78">
                  <c:v>102.55200746199867</c:v>
                </c:pt>
                <c:pt idx="79">
                  <c:v>102.67076341441204</c:v>
                </c:pt>
                <c:pt idx="80">
                  <c:v>101.88052775320513</c:v>
                </c:pt>
                <c:pt idx="81">
                  <c:v>100.428250339436</c:v>
                </c:pt>
                <c:pt idx="82">
                  <c:v>99.851085519256515</c:v>
                </c:pt>
                <c:pt idx="83">
                  <c:v>100.07106074032055</c:v>
                </c:pt>
                <c:pt idx="84">
                  <c:v>101.2768829166308</c:v>
                </c:pt>
                <c:pt idx="85">
                  <c:v>102.81600888201626</c:v>
                </c:pt>
                <c:pt idx="86">
                  <c:v>101.03250306128794</c:v>
                </c:pt>
                <c:pt idx="87">
                  <c:v>102.65560176866305</c:v>
                </c:pt>
                <c:pt idx="88">
                  <c:v>98.997873208925967</c:v>
                </c:pt>
                <c:pt idx="89">
                  <c:v>102.95691290360924</c:v>
                </c:pt>
                <c:pt idx="90">
                  <c:v>99.537179817664736</c:v>
                </c:pt>
                <c:pt idx="91">
                  <c:v>99.117471231244195</c:v>
                </c:pt>
                <c:pt idx="92">
                  <c:v>103.01657862618865</c:v>
                </c:pt>
                <c:pt idx="93">
                  <c:v>101.14380698549336</c:v>
                </c:pt>
                <c:pt idx="94">
                  <c:v>101.62348446494551</c:v>
                </c:pt>
                <c:pt idx="95">
                  <c:v>100.94513286691095</c:v>
                </c:pt>
                <c:pt idx="96">
                  <c:v>103.43950688847815</c:v>
                </c:pt>
                <c:pt idx="97">
                  <c:v>102.53532643797004</c:v>
                </c:pt>
                <c:pt idx="98">
                  <c:v>101.22561729545234</c:v>
                </c:pt>
                <c:pt idx="99">
                  <c:v>102.00490180291661</c:v>
                </c:pt>
                <c:pt idx="100">
                  <c:v>104.04433242703546</c:v>
                </c:pt>
                <c:pt idx="101">
                  <c:v>103.90125965179931</c:v>
                </c:pt>
                <c:pt idx="102">
                  <c:v>105.33418294768424</c:v>
                </c:pt>
                <c:pt idx="103">
                  <c:v>104.63976640606685</c:v>
                </c:pt>
                <c:pt idx="104">
                  <c:v>104.45721672956026</c:v>
                </c:pt>
                <c:pt idx="105">
                  <c:v>103.20924078153371</c:v>
                </c:pt>
                <c:pt idx="106">
                  <c:v>104.43136758061623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D-48D3-8902-CC942F2A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245056"/>
        <c:axId val="2024240288"/>
      </c:scatterChart>
      <c:valAx>
        <c:axId val="20242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0288"/>
        <c:crosses val="autoZero"/>
        <c:crossBetween val="midCat"/>
      </c:valAx>
      <c:valAx>
        <c:axId val="2024240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hpi'!$B$3:$B$124</c:f>
              <c:numCache>
                <c:formatCode>General</c:formatCode>
                <c:ptCount val="122"/>
                <c:pt idx="0">
                  <c:v>7.6261999999999999E-4</c:v>
                </c:pt>
                <c:pt idx="1">
                  <c:v>7.6095299999999998E-4</c:v>
                </c:pt>
                <c:pt idx="2">
                  <c:v>7.6039E-4</c:v>
                </c:pt>
                <c:pt idx="3">
                  <c:v>7.6267000000000001E-4</c:v>
                </c:pt>
                <c:pt idx="4">
                  <c:v>7.6361300000000001E-4</c:v>
                </c:pt>
                <c:pt idx="5">
                  <c:v>7.6642400000000003E-4</c:v>
                </c:pt>
                <c:pt idx="6">
                  <c:v>7.6921900000000002E-4</c:v>
                </c:pt>
                <c:pt idx="7">
                  <c:v>7.6975700000000004E-4</c:v>
                </c:pt>
                <c:pt idx="8">
                  <c:v>7.7462400000000002E-4</c:v>
                </c:pt>
                <c:pt idx="9">
                  <c:v>7.7544400000000002E-4</c:v>
                </c:pt>
                <c:pt idx="10">
                  <c:v>7.7971599999999996E-4</c:v>
                </c:pt>
                <c:pt idx="11">
                  <c:v>7.82218E-4</c:v>
                </c:pt>
                <c:pt idx="12">
                  <c:v>7.83616E-4</c:v>
                </c:pt>
                <c:pt idx="13">
                  <c:v>7.8548099999999998E-4</c:v>
                </c:pt>
                <c:pt idx="14">
                  <c:v>7.8558499999999999E-4</c:v>
                </c:pt>
                <c:pt idx="15">
                  <c:v>7.8978200000000005E-4</c:v>
                </c:pt>
                <c:pt idx="16">
                  <c:v>7.9033599999999999E-4</c:v>
                </c:pt>
                <c:pt idx="17">
                  <c:v>7.9390500000000002E-4</c:v>
                </c:pt>
                <c:pt idx="18">
                  <c:v>7.9419899999999999E-4</c:v>
                </c:pt>
                <c:pt idx="19">
                  <c:v>7.9456999999999998E-4</c:v>
                </c:pt>
                <c:pt idx="20">
                  <c:v>8.0213300000000001E-4</c:v>
                </c:pt>
                <c:pt idx="21">
                  <c:v>8.0413800000000003E-4</c:v>
                </c:pt>
                <c:pt idx="22">
                  <c:v>8.0667499999999997E-4</c:v>
                </c:pt>
                <c:pt idx="23">
                  <c:v>8.0676999999999995E-4</c:v>
                </c:pt>
                <c:pt idx="24">
                  <c:v>8.1222599999999999E-4</c:v>
                </c:pt>
                <c:pt idx="25">
                  <c:v>8.1319499999999996E-4</c:v>
                </c:pt>
                <c:pt idx="26">
                  <c:v>8.1881300000000005E-4</c:v>
                </c:pt>
                <c:pt idx="27">
                  <c:v>8.1687399999999999E-4</c:v>
                </c:pt>
                <c:pt idx="28">
                  <c:v>8.1974100000000002E-4</c:v>
                </c:pt>
                <c:pt idx="29">
                  <c:v>1.64314E-6</c:v>
                </c:pt>
                <c:pt idx="30">
                  <c:v>1.6368200000000001E-6</c:v>
                </c:pt>
                <c:pt idx="31">
                  <c:v>1.6313599999999999E-6</c:v>
                </c:pt>
                <c:pt idx="32">
                  <c:v>1.62416E-6</c:v>
                </c:pt>
                <c:pt idx="33">
                  <c:v>1.61233E-6</c:v>
                </c:pt>
                <c:pt idx="34">
                  <c:v>1.5991099999999999E-6</c:v>
                </c:pt>
                <c:pt idx="35">
                  <c:v>1.58189E-6</c:v>
                </c:pt>
                <c:pt idx="36">
                  <c:v>1.5621099999999999E-6</c:v>
                </c:pt>
                <c:pt idx="37">
                  <c:v>1.54776E-6</c:v>
                </c:pt>
                <c:pt idx="38">
                  <c:v>1.5410500000000001E-6</c:v>
                </c:pt>
                <c:pt idx="39">
                  <c:v>6.2075800000000001E-4</c:v>
                </c:pt>
                <c:pt idx="40">
                  <c:v>6.4110600000000001E-4</c:v>
                </c:pt>
                <c:pt idx="41">
                  <c:v>6.5446299999999998E-4</c:v>
                </c:pt>
                <c:pt idx="42">
                  <c:v>6.6921299999999999E-4</c:v>
                </c:pt>
                <c:pt idx="43">
                  <c:v>6.7619200000000005E-4</c:v>
                </c:pt>
                <c:pt idx="44">
                  <c:v>6.8551699999999996E-4</c:v>
                </c:pt>
                <c:pt idx="45">
                  <c:v>6.9231200000000005E-4</c:v>
                </c:pt>
                <c:pt idx="46">
                  <c:v>6.9710499999999995E-4</c:v>
                </c:pt>
                <c:pt idx="47">
                  <c:v>7.0072000000000005E-4</c:v>
                </c:pt>
                <c:pt idx="48">
                  <c:v>7.0306199999999996E-4</c:v>
                </c:pt>
                <c:pt idx="49">
                  <c:v>7.0932299999999998E-4</c:v>
                </c:pt>
                <c:pt idx="50">
                  <c:v>7.1285000000000001E-4</c:v>
                </c:pt>
                <c:pt idx="51">
                  <c:v>7.1555000000000002E-4</c:v>
                </c:pt>
                <c:pt idx="52">
                  <c:v>7.19405E-4</c:v>
                </c:pt>
                <c:pt idx="53">
                  <c:v>7.1676499999999996E-4</c:v>
                </c:pt>
                <c:pt idx="54">
                  <c:v>7.20424E-4</c:v>
                </c:pt>
                <c:pt idx="55">
                  <c:v>7.2317300000000002E-4</c:v>
                </c:pt>
                <c:pt idx="56">
                  <c:v>7.2475899999999995E-4</c:v>
                </c:pt>
                <c:pt idx="57">
                  <c:v>7.2685899999999995E-4</c:v>
                </c:pt>
                <c:pt idx="58">
                  <c:v>7.3034599999999999E-4</c:v>
                </c:pt>
                <c:pt idx="59">
                  <c:v>7.3209000000000002E-4</c:v>
                </c:pt>
                <c:pt idx="60">
                  <c:v>7.3504699999999996E-4</c:v>
                </c:pt>
                <c:pt idx="61">
                  <c:v>7.3700000000000002E-4</c:v>
                </c:pt>
                <c:pt idx="62">
                  <c:v>7.3911199999999999E-4</c:v>
                </c:pt>
                <c:pt idx="63">
                  <c:v>7.4166800000000001E-4</c:v>
                </c:pt>
                <c:pt idx="64">
                  <c:v>7.4350200000000005E-4</c:v>
                </c:pt>
                <c:pt idx="65">
                  <c:v>7.4502499999999996E-4</c:v>
                </c:pt>
                <c:pt idx="66">
                  <c:v>7.46728E-4</c:v>
                </c:pt>
                <c:pt idx="67">
                  <c:v>7.4825100000000002E-4</c:v>
                </c:pt>
                <c:pt idx="68">
                  <c:v>1.4552700000000001E-6</c:v>
                </c:pt>
                <c:pt idx="69">
                  <c:v>1.4698999999999999E-6</c:v>
                </c:pt>
                <c:pt idx="70">
                  <c:v>1.46728E-6</c:v>
                </c:pt>
                <c:pt idx="71">
                  <c:v>1.46135E-6</c:v>
                </c:pt>
                <c:pt idx="72">
                  <c:v>1.45088E-6</c:v>
                </c:pt>
                <c:pt idx="73">
                  <c:v>1.4432100000000001E-6</c:v>
                </c:pt>
                <c:pt idx="74">
                  <c:v>1.4416699999999999E-6</c:v>
                </c:pt>
                <c:pt idx="75">
                  <c:v>1.43174E-6</c:v>
                </c:pt>
                <c:pt idx="76">
                  <c:v>1.41595E-6</c:v>
                </c:pt>
                <c:pt idx="77">
                  <c:v>1.4121899999999999E-6</c:v>
                </c:pt>
                <c:pt idx="78">
                  <c:v>6.3469899999999996E-4</c:v>
                </c:pt>
                <c:pt idx="79">
                  <c:v>6.5298199999999998E-4</c:v>
                </c:pt>
                <c:pt idx="80">
                  <c:v>6.6712300000000004E-4</c:v>
                </c:pt>
                <c:pt idx="81">
                  <c:v>6.7853200000000003E-4</c:v>
                </c:pt>
                <c:pt idx="82">
                  <c:v>6.88921E-4</c:v>
                </c:pt>
                <c:pt idx="83">
                  <c:v>6.9740999999999998E-4</c:v>
                </c:pt>
                <c:pt idx="84">
                  <c:v>7.0602800000000004E-4</c:v>
                </c:pt>
                <c:pt idx="85">
                  <c:v>7.08787E-4</c:v>
                </c:pt>
                <c:pt idx="86">
                  <c:v>7.10997E-4</c:v>
                </c:pt>
                <c:pt idx="87">
                  <c:v>7.1746699999999995E-4</c:v>
                </c:pt>
                <c:pt idx="88">
                  <c:v>7.17511E-4</c:v>
                </c:pt>
                <c:pt idx="89">
                  <c:v>7.2781899999999999E-4</c:v>
                </c:pt>
                <c:pt idx="90">
                  <c:v>7.2521700000000001E-4</c:v>
                </c:pt>
                <c:pt idx="91">
                  <c:v>7.2988800000000004E-4</c:v>
                </c:pt>
                <c:pt idx="92">
                  <c:v>7.3496200000000003E-4</c:v>
                </c:pt>
                <c:pt idx="93">
                  <c:v>7.3545800000000003E-4</c:v>
                </c:pt>
                <c:pt idx="94">
                  <c:v>7.3882799999999997E-4</c:v>
                </c:pt>
                <c:pt idx="95">
                  <c:v>7.3913199999999998E-4</c:v>
                </c:pt>
                <c:pt idx="96">
                  <c:v>7.4538200000000005E-4</c:v>
                </c:pt>
                <c:pt idx="97">
                  <c:v>7.4468899999999998E-4</c:v>
                </c:pt>
                <c:pt idx="98">
                  <c:v>7.4799399999999998E-4</c:v>
                </c:pt>
                <c:pt idx="99">
                  <c:v>7.50825E-4</c:v>
                </c:pt>
                <c:pt idx="100">
                  <c:v>7.5555499999999999E-4</c:v>
                </c:pt>
                <c:pt idx="101">
                  <c:v>7.6017599999999999E-4</c:v>
                </c:pt>
                <c:pt idx="102">
                  <c:v>7.6231400000000005E-4</c:v>
                </c:pt>
                <c:pt idx="103">
                  <c:v>7.5951800000000004E-4</c:v>
                </c:pt>
                <c:pt idx="104">
                  <c:v>7.6330400000000002E-4</c:v>
                </c:pt>
                <c:pt idx="105">
                  <c:v>7.6397100000000001E-4</c:v>
                </c:pt>
                <c:pt idx="106">
                  <c:v>7.6978799999999998E-4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8-41C5-B3AD-8FC93EFE1CDD}"/>
            </c:ext>
          </c:extLst>
        </c:ser>
        <c:ser>
          <c:idx val="1"/>
          <c:order val="1"/>
          <c:tx>
            <c:strRef>
              <c:f>'1233 P+ 72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hpi'!$G$3:$G$124</c:f>
              <c:numCache>
                <c:formatCode>General</c:formatCode>
                <c:ptCount val="122"/>
                <c:pt idx="0">
                  <c:v>8.00817E-4</c:v>
                </c:pt>
                <c:pt idx="1">
                  <c:v>8.0302300000000004E-4</c:v>
                </c:pt>
                <c:pt idx="2">
                  <c:v>8.0470699999999999E-4</c:v>
                </c:pt>
                <c:pt idx="3">
                  <c:v>8.0570000000000001E-4</c:v>
                </c:pt>
                <c:pt idx="4">
                  <c:v>8.0627300000000004E-4</c:v>
                </c:pt>
                <c:pt idx="5">
                  <c:v>8.0902199999999995E-4</c:v>
                </c:pt>
                <c:pt idx="6">
                  <c:v>8.0995600000000002E-4</c:v>
                </c:pt>
                <c:pt idx="7">
                  <c:v>8.1189299999999995E-4</c:v>
                </c:pt>
                <c:pt idx="8">
                  <c:v>8.1263400000000001E-4</c:v>
                </c:pt>
                <c:pt idx="9">
                  <c:v>8.1413700000000004E-4</c:v>
                </c:pt>
                <c:pt idx="10">
                  <c:v>8.1375399999999997E-4</c:v>
                </c:pt>
                <c:pt idx="11">
                  <c:v>8.1575799999999998E-4</c:v>
                </c:pt>
                <c:pt idx="12">
                  <c:v>8.1692199999999998E-4</c:v>
                </c:pt>
                <c:pt idx="13">
                  <c:v>8.1879100000000003E-4</c:v>
                </c:pt>
                <c:pt idx="14">
                  <c:v>8.1865499999999995E-4</c:v>
                </c:pt>
                <c:pt idx="15">
                  <c:v>8.20008E-4</c:v>
                </c:pt>
                <c:pt idx="16">
                  <c:v>8.2131999999999995E-4</c:v>
                </c:pt>
                <c:pt idx="17">
                  <c:v>8.2543299999999998E-4</c:v>
                </c:pt>
                <c:pt idx="18">
                  <c:v>8.2380300000000001E-4</c:v>
                </c:pt>
                <c:pt idx="19">
                  <c:v>8.2587199999999996E-4</c:v>
                </c:pt>
                <c:pt idx="20">
                  <c:v>8.2621099999999998E-4</c:v>
                </c:pt>
                <c:pt idx="21">
                  <c:v>8.2745400000000004E-4</c:v>
                </c:pt>
                <c:pt idx="22">
                  <c:v>8.2736500000000004E-4</c:v>
                </c:pt>
                <c:pt idx="23">
                  <c:v>8.3017500000000005E-4</c:v>
                </c:pt>
                <c:pt idx="24">
                  <c:v>8.3043199999999998E-4</c:v>
                </c:pt>
                <c:pt idx="25">
                  <c:v>8.2902699999999998E-4</c:v>
                </c:pt>
                <c:pt idx="26">
                  <c:v>8.3138099999999996E-4</c:v>
                </c:pt>
                <c:pt idx="27">
                  <c:v>8.3287400000000005E-4</c:v>
                </c:pt>
                <c:pt idx="28">
                  <c:v>8.3358499999999997E-4</c:v>
                </c:pt>
                <c:pt idx="29">
                  <c:v>1.55518E-6</c:v>
                </c:pt>
                <c:pt idx="30">
                  <c:v>1.52687E-6</c:v>
                </c:pt>
                <c:pt idx="31">
                  <c:v>1.50062E-6</c:v>
                </c:pt>
                <c:pt idx="32">
                  <c:v>1.4788900000000001E-6</c:v>
                </c:pt>
                <c:pt idx="33">
                  <c:v>1.45477E-6</c:v>
                </c:pt>
                <c:pt idx="34">
                  <c:v>1.4443600000000001E-6</c:v>
                </c:pt>
                <c:pt idx="35">
                  <c:v>1.4278999999999999E-6</c:v>
                </c:pt>
                <c:pt idx="36">
                  <c:v>1.4122800000000001E-6</c:v>
                </c:pt>
                <c:pt idx="37">
                  <c:v>1.4025600000000001E-6</c:v>
                </c:pt>
                <c:pt idx="38">
                  <c:v>1.3928700000000001E-6</c:v>
                </c:pt>
                <c:pt idx="39">
                  <c:v>6.3739000000000005E-4</c:v>
                </c:pt>
                <c:pt idx="40">
                  <c:v>6.5585899999999996E-4</c:v>
                </c:pt>
                <c:pt idx="41">
                  <c:v>6.70591E-4</c:v>
                </c:pt>
                <c:pt idx="42">
                  <c:v>6.8148299999999998E-4</c:v>
                </c:pt>
                <c:pt idx="43">
                  <c:v>6.9884899999999998E-4</c:v>
                </c:pt>
                <c:pt idx="44">
                  <c:v>7.0774200000000003E-4</c:v>
                </c:pt>
                <c:pt idx="45">
                  <c:v>7.1609099999999997E-4</c:v>
                </c:pt>
                <c:pt idx="46">
                  <c:v>7.1924000000000001E-4</c:v>
                </c:pt>
                <c:pt idx="47">
                  <c:v>7.2144600000000004E-4</c:v>
                </c:pt>
                <c:pt idx="48">
                  <c:v>7.2578599999999997E-4</c:v>
                </c:pt>
                <c:pt idx="49">
                  <c:v>7.2481100000000001E-4</c:v>
                </c:pt>
                <c:pt idx="50">
                  <c:v>7.2951400000000001E-4</c:v>
                </c:pt>
                <c:pt idx="51">
                  <c:v>7.32812E-4</c:v>
                </c:pt>
                <c:pt idx="52">
                  <c:v>7.3697400000000005E-4</c:v>
                </c:pt>
                <c:pt idx="53">
                  <c:v>7.4164200000000004E-4</c:v>
                </c:pt>
                <c:pt idx="54">
                  <c:v>7.4984300000000004E-4</c:v>
                </c:pt>
                <c:pt idx="55">
                  <c:v>7.5220199999999999E-4</c:v>
                </c:pt>
                <c:pt idx="56">
                  <c:v>7.5013200000000003E-4</c:v>
                </c:pt>
                <c:pt idx="57">
                  <c:v>7.5143300000000003E-4</c:v>
                </c:pt>
                <c:pt idx="58">
                  <c:v>7.55301E-4</c:v>
                </c:pt>
                <c:pt idx="59">
                  <c:v>7.5799400000000001E-4</c:v>
                </c:pt>
                <c:pt idx="60">
                  <c:v>7.5981200000000001E-4</c:v>
                </c:pt>
                <c:pt idx="61">
                  <c:v>7.6355699999999999E-4</c:v>
                </c:pt>
                <c:pt idx="62">
                  <c:v>7.6419499999999996E-4</c:v>
                </c:pt>
                <c:pt idx="63">
                  <c:v>7.6582500000000003E-4</c:v>
                </c:pt>
                <c:pt idx="64">
                  <c:v>7.6820700000000003E-4</c:v>
                </c:pt>
                <c:pt idx="65">
                  <c:v>7.7240900000000005E-4</c:v>
                </c:pt>
                <c:pt idx="66">
                  <c:v>7.7472100000000003E-4</c:v>
                </c:pt>
                <c:pt idx="67">
                  <c:v>7.7508500000000001E-4</c:v>
                </c:pt>
                <c:pt idx="68">
                  <c:v>1.3083499999999999E-6</c:v>
                </c:pt>
                <c:pt idx="69">
                  <c:v>1.3131899999999999E-6</c:v>
                </c:pt>
                <c:pt idx="70">
                  <c:v>1.3093600000000001E-6</c:v>
                </c:pt>
                <c:pt idx="71">
                  <c:v>1.30378E-6</c:v>
                </c:pt>
                <c:pt idx="72">
                  <c:v>1.28882E-6</c:v>
                </c:pt>
                <c:pt idx="73">
                  <c:v>1.2745499999999999E-6</c:v>
                </c:pt>
                <c:pt idx="74">
                  <c:v>1.2629E-6</c:v>
                </c:pt>
                <c:pt idx="75">
                  <c:v>1.2403100000000001E-6</c:v>
                </c:pt>
                <c:pt idx="76">
                  <c:v>1.22525E-6</c:v>
                </c:pt>
                <c:pt idx="77">
                  <c:v>1.20791E-6</c:v>
                </c:pt>
                <c:pt idx="78">
                  <c:v>6.3559300000000005E-4</c:v>
                </c:pt>
                <c:pt idx="79">
                  <c:v>6.5450399999999998E-4</c:v>
                </c:pt>
                <c:pt idx="80">
                  <c:v>6.7003899999999999E-4</c:v>
                </c:pt>
                <c:pt idx="81">
                  <c:v>6.8177600000000004E-4</c:v>
                </c:pt>
                <c:pt idx="82">
                  <c:v>6.9348299999999995E-4</c:v>
                </c:pt>
                <c:pt idx="83">
                  <c:v>7.0383800000000003E-4</c:v>
                </c:pt>
                <c:pt idx="84">
                  <c:v>7.1038700000000004E-4</c:v>
                </c:pt>
                <c:pt idx="85">
                  <c:v>7.16244E-4</c:v>
                </c:pt>
                <c:pt idx="86">
                  <c:v>7.1954899999999999E-4</c:v>
                </c:pt>
                <c:pt idx="87">
                  <c:v>7.2246099999999998E-4</c:v>
                </c:pt>
                <c:pt idx="88">
                  <c:v>7.2621000000000003E-4</c:v>
                </c:pt>
                <c:pt idx="89">
                  <c:v>7.3239500000000005E-4</c:v>
                </c:pt>
                <c:pt idx="90">
                  <c:v>7.3771600000000002E-4</c:v>
                </c:pt>
                <c:pt idx="91">
                  <c:v>7.4152799999999998E-4</c:v>
                </c:pt>
                <c:pt idx="92">
                  <c:v>7.45034E-4</c:v>
                </c:pt>
                <c:pt idx="93">
                  <c:v>7.4954100000000005E-4</c:v>
                </c:pt>
                <c:pt idx="94">
                  <c:v>7.5266199999999997E-4</c:v>
                </c:pt>
                <c:pt idx="95">
                  <c:v>7.5340800000000001E-4</c:v>
                </c:pt>
                <c:pt idx="96">
                  <c:v>7.5762099999999999E-4</c:v>
                </c:pt>
                <c:pt idx="97">
                  <c:v>7.5845199999999995E-4</c:v>
                </c:pt>
                <c:pt idx="98">
                  <c:v>7.5973000000000002E-4</c:v>
                </c:pt>
                <c:pt idx="99">
                  <c:v>7.6288599999999995E-4</c:v>
                </c:pt>
                <c:pt idx="100">
                  <c:v>7.6760299999999995E-4</c:v>
                </c:pt>
                <c:pt idx="101">
                  <c:v>7.6995999999999998E-4</c:v>
                </c:pt>
                <c:pt idx="102">
                  <c:v>7.7274500000000003E-4</c:v>
                </c:pt>
                <c:pt idx="103">
                  <c:v>7.7438599999999995E-4</c:v>
                </c:pt>
                <c:pt idx="104">
                  <c:v>7.7392200000000002E-4</c:v>
                </c:pt>
                <c:pt idx="105">
                  <c:v>7.7250400000000003E-4</c:v>
                </c:pt>
                <c:pt idx="106">
                  <c:v>7.7299599999999997E-4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08-41C5-B3AD-8FC93EFE1CDD}"/>
            </c:ext>
          </c:extLst>
        </c:ser>
        <c:ser>
          <c:idx val="2"/>
          <c:order val="2"/>
          <c:tx>
            <c:strRef>
              <c:f>'1233 P+ 72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08-41C5-B3AD-8FC93EFE1CDD}"/>
            </c:ext>
          </c:extLst>
        </c:ser>
        <c:ser>
          <c:idx val="3"/>
          <c:order val="3"/>
          <c:tx>
            <c:strRef>
              <c:f>'1233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08-41C5-B3AD-8FC93EFE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1680"/>
        <c:axId val="1172291264"/>
      </c:scatterChart>
      <c:valAx>
        <c:axId val="117229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264"/>
        <c:crosses val="autoZero"/>
        <c:crossBetween val="midCat"/>
      </c:valAx>
      <c:valAx>
        <c:axId val="1172291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hpi'!$C$3:$C$124</c:f>
              <c:numCache>
                <c:formatCode>General</c:formatCode>
                <c:ptCount val="122"/>
                <c:pt idx="0">
                  <c:v>1.7453299999999999E-4</c:v>
                </c:pt>
                <c:pt idx="1">
                  <c:v>1.7113600000000001E-4</c:v>
                </c:pt>
                <c:pt idx="2">
                  <c:v>1.6217E-4</c:v>
                </c:pt>
                <c:pt idx="3">
                  <c:v>1.58584E-4</c:v>
                </c:pt>
                <c:pt idx="4">
                  <c:v>1.5921300000000001E-4</c:v>
                </c:pt>
                <c:pt idx="5">
                  <c:v>1.6148700000000001E-4</c:v>
                </c:pt>
                <c:pt idx="6">
                  <c:v>1.6158599999999999E-4</c:v>
                </c:pt>
                <c:pt idx="7">
                  <c:v>1.5993E-4</c:v>
                </c:pt>
                <c:pt idx="8">
                  <c:v>1.66668E-4</c:v>
                </c:pt>
                <c:pt idx="9">
                  <c:v>1.6403199999999999E-4</c:v>
                </c:pt>
                <c:pt idx="10">
                  <c:v>1.7051699999999999E-4</c:v>
                </c:pt>
                <c:pt idx="11">
                  <c:v>1.6934400000000001E-4</c:v>
                </c:pt>
                <c:pt idx="12">
                  <c:v>1.69758E-4</c:v>
                </c:pt>
                <c:pt idx="13">
                  <c:v>1.7240199999999999E-4</c:v>
                </c:pt>
                <c:pt idx="14">
                  <c:v>1.7009300000000001E-4</c:v>
                </c:pt>
                <c:pt idx="15">
                  <c:v>1.7335300000000001E-4</c:v>
                </c:pt>
                <c:pt idx="16">
                  <c:v>1.66453E-4</c:v>
                </c:pt>
                <c:pt idx="17">
                  <c:v>1.7009800000000001E-4</c:v>
                </c:pt>
                <c:pt idx="18">
                  <c:v>1.6650399999999999E-4</c:v>
                </c:pt>
                <c:pt idx="19">
                  <c:v>1.63919E-4</c:v>
                </c:pt>
                <c:pt idx="20">
                  <c:v>1.7552600000000001E-4</c:v>
                </c:pt>
                <c:pt idx="21">
                  <c:v>1.75701E-4</c:v>
                </c:pt>
                <c:pt idx="22">
                  <c:v>1.7606699999999999E-4</c:v>
                </c:pt>
                <c:pt idx="23">
                  <c:v>1.74723E-4</c:v>
                </c:pt>
                <c:pt idx="24">
                  <c:v>1.7964700000000001E-4</c:v>
                </c:pt>
                <c:pt idx="25">
                  <c:v>1.7836100000000001E-4</c:v>
                </c:pt>
                <c:pt idx="26">
                  <c:v>1.8268399999999999E-4</c:v>
                </c:pt>
                <c:pt idx="27">
                  <c:v>1.7939400000000001E-4</c:v>
                </c:pt>
                <c:pt idx="28">
                  <c:v>1.7935299999999999E-4</c:v>
                </c:pt>
                <c:pt idx="29">
                  <c:v>2.21919E-5</c:v>
                </c:pt>
                <c:pt idx="30">
                  <c:v>2.2104799999999999E-5</c:v>
                </c:pt>
                <c:pt idx="31">
                  <c:v>2.20034E-5</c:v>
                </c:pt>
                <c:pt idx="32">
                  <c:v>2.1944399999999999E-5</c:v>
                </c:pt>
                <c:pt idx="33">
                  <c:v>2.19031E-5</c:v>
                </c:pt>
                <c:pt idx="34">
                  <c:v>2.18596E-5</c:v>
                </c:pt>
                <c:pt idx="35">
                  <c:v>2.1787799999999998E-5</c:v>
                </c:pt>
                <c:pt idx="36">
                  <c:v>2.1711700000000001E-5</c:v>
                </c:pt>
                <c:pt idx="37">
                  <c:v>2.1668300000000001E-5</c:v>
                </c:pt>
                <c:pt idx="38">
                  <c:v>2.1635199999999999E-5</c:v>
                </c:pt>
                <c:pt idx="39">
                  <c:v>1.77536E-4</c:v>
                </c:pt>
                <c:pt idx="40">
                  <c:v>1.81106E-4</c:v>
                </c:pt>
                <c:pt idx="41">
                  <c:v>1.78307E-4</c:v>
                </c:pt>
                <c:pt idx="42">
                  <c:v>1.7625400000000001E-4</c:v>
                </c:pt>
                <c:pt idx="43">
                  <c:v>1.7307100000000001E-4</c:v>
                </c:pt>
                <c:pt idx="44">
                  <c:v>1.73244E-4</c:v>
                </c:pt>
                <c:pt idx="45">
                  <c:v>1.7503899999999999E-4</c:v>
                </c:pt>
                <c:pt idx="46">
                  <c:v>1.7255499999999999E-4</c:v>
                </c:pt>
                <c:pt idx="47">
                  <c:v>1.7431400000000001E-4</c:v>
                </c:pt>
                <c:pt idx="48">
                  <c:v>1.7055E-4</c:v>
                </c:pt>
                <c:pt idx="49">
                  <c:v>1.75048E-4</c:v>
                </c:pt>
                <c:pt idx="50">
                  <c:v>1.7574800000000001E-4</c:v>
                </c:pt>
                <c:pt idx="51">
                  <c:v>1.72817E-4</c:v>
                </c:pt>
                <c:pt idx="52">
                  <c:v>1.7218100000000001E-4</c:v>
                </c:pt>
                <c:pt idx="53">
                  <c:v>1.5911300000000001E-4</c:v>
                </c:pt>
                <c:pt idx="54">
                  <c:v>1.5688799999999999E-4</c:v>
                </c:pt>
                <c:pt idx="55">
                  <c:v>1.5802399999999999E-4</c:v>
                </c:pt>
                <c:pt idx="56">
                  <c:v>1.5794600000000001E-4</c:v>
                </c:pt>
                <c:pt idx="57">
                  <c:v>1.59662E-4</c:v>
                </c:pt>
                <c:pt idx="58">
                  <c:v>1.60717E-4</c:v>
                </c:pt>
                <c:pt idx="59">
                  <c:v>1.5964199999999999E-4</c:v>
                </c:pt>
                <c:pt idx="60">
                  <c:v>1.5852499999999999E-4</c:v>
                </c:pt>
                <c:pt idx="61">
                  <c:v>1.58083E-4</c:v>
                </c:pt>
                <c:pt idx="62">
                  <c:v>1.55749E-4</c:v>
                </c:pt>
                <c:pt idx="63">
                  <c:v>1.5581199999999999E-4</c:v>
                </c:pt>
                <c:pt idx="64">
                  <c:v>1.5728699999999999E-4</c:v>
                </c:pt>
                <c:pt idx="65">
                  <c:v>1.58348E-4</c:v>
                </c:pt>
                <c:pt idx="66">
                  <c:v>1.5835299999999999E-4</c:v>
                </c:pt>
                <c:pt idx="67">
                  <c:v>1.5535700000000001E-4</c:v>
                </c:pt>
                <c:pt idx="68">
                  <c:v>2.1763399999999999E-5</c:v>
                </c:pt>
                <c:pt idx="69">
                  <c:v>2.1837399999999999E-5</c:v>
                </c:pt>
                <c:pt idx="70">
                  <c:v>2.17978E-5</c:v>
                </c:pt>
                <c:pt idx="71">
                  <c:v>2.1765700000000001E-5</c:v>
                </c:pt>
                <c:pt idx="72">
                  <c:v>2.1727500000000002E-5</c:v>
                </c:pt>
                <c:pt idx="73">
                  <c:v>2.1684699999999999E-5</c:v>
                </c:pt>
                <c:pt idx="74">
                  <c:v>2.1662500000000001E-5</c:v>
                </c:pt>
                <c:pt idx="75">
                  <c:v>2.1619200000000001E-5</c:v>
                </c:pt>
                <c:pt idx="76">
                  <c:v>2.1584900000000001E-5</c:v>
                </c:pt>
                <c:pt idx="77">
                  <c:v>2.1560899999999999E-5</c:v>
                </c:pt>
                <c:pt idx="78">
                  <c:v>1.81745E-4</c:v>
                </c:pt>
                <c:pt idx="79">
                  <c:v>1.8150800000000001E-4</c:v>
                </c:pt>
                <c:pt idx="80">
                  <c:v>1.82559E-4</c:v>
                </c:pt>
                <c:pt idx="81">
                  <c:v>1.7819900000000001E-4</c:v>
                </c:pt>
                <c:pt idx="82">
                  <c:v>1.7810499999999999E-4</c:v>
                </c:pt>
                <c:pt idx="83">
                  <c:v>1.7702899999999999E-4</c:v>
                </c:pt>
                <c:pt idx="84">
                  <c:v>1.7861799999999999E-4</c:v>
                </c:pt>
                <c:pt idx="85">
                  <c:v>1.78009E-4</c:v>
                </c:pt>
                <c:pt idx="86">
                  <c:v>1.70175E-4</c:v>
                </c:pt>
                <c:pt idx="87">
                  <c:v>1.7614599999999999E-4</c:v>
                </c:pt>
                <c:pt idx="88">
                  <c:v>1.6431900000000001E-4</c:v>
                </c:pt>
                <c:pt idx="89">
                  <c:v>1.76207E-4</c:v>
                </c:pt>
                <c:pt idx="90">
                  <c:v>1.6421400000000001E-4</c:v>
                </c:pt>
                <c:pt idx="91">
                  <c:v>1.6227700000000001E-4</c:v>
                </c:pt>
                <c:pt idx="92">
                  <c:v>1.7520099999999999E-4</c:v>
                </c:pt>
                <c:pt idx="93">
                  <c:v>1.6723500000000001E-4</c:v>
                </c:pt>
                <c:pt idx="94">
                  <c:v>1.6819299999999999E-4</c:v>
                </c:pt>
                <c:pt idx="95">
                  <c:v>1.64091E-4</c:v>
                </c:pt>
                <c:pt idx="96">
                  <c:v>1.7057699999999999E-4</c:v>
                </c:pt>
                <c:pt idx="97">
                  <c:v>1.6778299999999999E-4</c:v>
                </c:pt>
                <c:pt idx="98">
                  <c:v>1.6733000000000001E-4</c:v>
                </c:pt>
                <c:pt idx="99">
                  <c:v>1.6836600000000001E-4</c:v>
                </c:pt>
                <c:pt idx="100">
                  <c:v>1.7234999999999999E-4</c:v>
                </c:pt>
                <c:pt idx="101">
                  <c:v>1.73E-4</c:v>
                </c:pt>
                <c:pt idx="102">
                  <c:v>1.7570800000000001E-4</c:v>
                </c:pt>
                <c:pt idx="103">
                  <c:v>1.72406E-4</c:v>
                </c:pt>
                <c:pt idx="104">
                  <c:v>1.7478799999999999E-4</c:v>
                </c:pt>
                <c:pt idx="105">
                  <c:v>1.73878E-4</c:v>
                </c:pt>
                <c:pt idx="106">
                  <c:v>1.78157E-4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6-4901-8960-A8769F8C8FAF}"/>
            </c:ext>
          </c:extLst>
        </c:ser>
        <c:ser>
          <c:idx val="1"/>
          <c:order val="1"/>
          <c:tx>
            <c:strRef>
              <c:f>'1233 P+ 72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hpi'!$H$3:$H$124</c:f>
              <c:numCache>
                <c:formatCode>General</c:formatCode>
                <c:ptCount val="122"/>
                <c:pt idx="0">
                  <c:v>1.7492500000000001E-4</c:v>
                </c:pt>
                <c:pt idx="1">
                  <c:v>1.76E-4</c:v>
                </c:pt>
                <c:pt idx="2">
                  <c:v>1.73153E-4</c:v>
                </c:pt>
                <c:pt idx="3">
                  <c:v>1.7190200000000001E-4</c:v>
                </c:pt>
                <c:pt idx="4">
                  <c:v>1.6553499999999999E-4</c:v>
                </c:pt>
                <c:pt idx="5">
                  <c:v>1.7056499999999999E-4</c:v>
                </c:pt>
                <c:pt idx="6">
                  <c:v>1.63986E-4</c:v>
                </c:pt>
                <c:pt idx="7">
                  <c:v>1.6718000000000001E-4</c:v>
                </c:pt>
                <c:pt idx="8">
                  <c:v>1.6611999999999999E-4</c:v>
                </c:pt>
                <c:pt idx="9">
                  <c:v>1.63793E-4</c:v>
                </c:pt>
                <c:pt idx="10">
                  <c:v>1.65885E-4</c:v>
                </c:pt>
                <c:pt idx="11">
                  <c:v>1.6386600000000001E-4</c:v>
                </c:pt>
                <c:pt idx="12">
                  <c:v>1.6275299999999999E-4</c:v>
                </c:pt>
                <c:pt idx="13">
                  <c:v>1.6719900000000001E-4</c:v>
                </c:pt>
                <c:pt idx="14">
                  <c:v>1.65942E-4</c:v>
                </c:pt>
                <c:pt idx="15">
                  <c:v>1.6546599999999999E-4</c:v>
                </c:pt>
                <c:pt idx="16">
                  <c:v>1.6792399999999999E-4</c:v>
                </c:pt>
                <c:pt idx="17">
                  <c:v>1.7806399999999999E-4</c:v>
                </c:pt>
                <c:pt idx="18">
                  <c:v>1.69376E-4</c:v>
                </c:pt>
                <c:pt idx="19">
                  <c:v>1.69266E-4</c:v>
                </c:pt>
                <c:pt idx="20">
                  <c:v>1.65422E-4</c:v>
                </c:pt>
                <c:pt idx="21">
                  <c:v>1.7190400000000001E-4</c:v>
                </c:pt>
                <c:pt idx="22">
                  <c:v>1.6979500000000001E-4</c:v>
                </c:pt>
                <c:pt idx="23">
                  <c:v>1.72437E-4</c:v>
                </c:pt>
                <c:pt idx="24">
                  <c:v>1.7119600000000001E-4</c:v>
                </c:pt>
                <c:pt idx="25">
                  <c:v>1.62614E-4</c:v>
                </c:pt>
                <c:pt idx="26">
                  <c:v>1.6411799999999999E-4</c:v>
                </c:pt>
                <c:pt idx="27">
                  <c:v>1.6947699999999999E-4</c:v>
                </c:pt>
                <c:pt idx="28">
                  <c:v>1.6992099999999999E-4</c:v>
                </c:pt>
                <c:pt idx="29">
                  <c:v>2.3628499999999999E-5</c:v>
                </c:pt>
                <c:pt idx="30">
                  <c:v>2.35128E-5</c:v>
                </c:pt>
                <c:pt idx="31">
                  <c:v>2.3354799999999999E-5</c:v>
                </c:pt>
                <c:pt idx="32">
                  <c:v>2.3252899999999999E-5</c:v>
                </c:pt>
                <c:pt idx="33">
                  <c:v>2.3149499999999999E-5</c:v>
                </c:pt>
                <c:pt idx="34">
                  <c:v>2.3061399999999999E-5</c:v>
                </c:pt>
                <c:pt idx="35">
                  <c:v>2.2978600000000001E-5</c:v>
                </c:pt>
                <c:pt idx="36">
                  <c:v>2.2903699999999999E-5</c:v>
                </c:pt>
                <c:pt idx="37">
                  <c:v>2.2844200000000001E-5</c:v>
                </c:pt>
                <c:pt idx="38">
                  <c:v>2.28055E-5</c:v>
                </c:pt>
                <c:pt idx="39">
                  <c:v>1.79521E-4</c:v>
                </c:pt>
                <c:pt idx="40">
                  <c:v>1.8501699999999999E-4</c:v>
                </c:pt>
                <c:pt idx="41">
                  <c:v>1.80569E-4</c:v>
                </c:pt>
                <c:pt idx="42">
                  <c:v>1.71402E-4</c:v>
                </c:pt>
                <c:pt idx="43">
                  <c:v>1.8342200000000001E-4</c:v>
                </c:pt>
                <c:pt idx="44">
                  <c:v>1.8388500000000001E-4</c:v>
                </c:pt>
                <c:pt idx="45">
                  <c:v>1.8521600000000001E-4</c:v>
                </c:pt>
                <c:pt idx="46">
                  <c:v>1.8856E-4</c:v>
                </c:pt>
                <c:pt idx="47">
                  <c:v>1.88553E-4</c:v>
                </c:pt>
                <c:pt idx="48">
                  <c:v>1.8851299999999999E-4</c:v>
                </c:pt>
                <c:pt idx="49">
                  <c:v>1.81538E-4</c:v>
                </c:pt>
                <c:pt idx="50">
                  <c:v>1.84888E-4</c:v>
                </c:pt>
                <c:pt idx="51">
                  <c:v>1.8249600000000001E-4</c:v>
                </c:pt>
                <c:pt idx="52">
                  <c:v>1.82502E-4</c:v>
                </c:pt>
                <c:pt idx="53">
                  <c:v>1.8464499999999999E-4</c:v>
                </c:pt>
                <c:pt idx="54">
                  <c:v>1.9145499999999999E-4</c:v>
                </c:pt>
                <c:pt idx="55">
                  <c:v>1.89557E-4</c:v>
                </c:pt>
                <c:pt idx="56">
                  <c:v>1.86839E-4</c:v>
                </c:pt>
                <c:pt idx="57">
                  <c:v>1.8708099999999999E-4</c:v>
                </c:pt>
                <c:pt idx="58">
                  <c:v>1.9006700000000001E-4</c:v>
                </c:pt>
                <c:pt idx="59">
                  <c:v>1.89548E-4</c:v>
                </c:pt>
                <c:pt idx="60">
                  <c:v>1.8933099999999999E-4</c:v>
                </c:pt>
                <c:pt idx="61">
                  <c:v>1.8933000000000001E-4</c:v>
                </c:pt>
                <c:pt idx="62">
                  <c:v>1.8579299999999999E-4</c:v>
                </c:pt>
                <c:pt idx="63">
                  <c:v>1.8890899999999999E-4</c:v>
                </c:pt>
                <c:pt idx="64">
                  <c:v>1.9211900000000001E-4</c:v>
                </c:pt>
                <c:pt idx="65">
                  <c:v>1.96157E-4</c:v>
                </c:pt>
                <c:pt idx="66">
                  <c:v>1.9825600000000001E-4</c:v>
                </c:pt>
                <c:pt idx="67">
                  <c:v>1.97219E-4</c:v>
                </c:pt>
                <c:pt idx="68">
                  <c:v>2.2641900000000001E-5</c:v>
                </c:pt>
                <c:pt idx="69">
                  <c:v>2.2726099999999999E-5</c:v>
                </c:pt>
                <c:pt idx="70">
                  <c:v>2.2702300000000001E-5</c:v>
                </c:pt>
                <c:pt idx="71">
                  <c:v>2.26895E-5</c:v>
                </c:pt>
                <c:pt idx="72">
                  <c:v>2.26615E-5</c:v>
                </c:pt>
                <c:pt idx="73">
                  <c:v>2.2614499999999998E-5</c:v>
                </c:pt>
                <c:pt idx="74">
                  <c:v>2.25688E-5</c:v>
                </c:pt>
                <c:pt idx="75">
                  <c:v>2.25133E-5</c:v>
                </c:pt>
                <c:pt idx="76">
                  <c:v>2.2458699999999999E-5</c:v>
                </c:pt>
                <c:pt idx="77">
                  <c:v>2.24204E-5</c:v>
                </c:pt>
                <c:pt idx="78">
                  <c:v>1.76625E-4</c:v>
                </c:pt>
                <c:pt idx="79">
                  <c:v>1.7727800000000001E-4</c:v>
                </c:pt>
                <c:pt idx="80">
                  <c:v>1.7346000000000001E-4</c:v>
                </c:pt>
                <c:pt idx="81">
                  <c:v>1.7274900000000001E-4</c:v>
                </c:pt>
                <c:pt idx="82">
                  <c:v>1.70824E-4</c:v>
                </c:pt>
                <c:pt idx="83">
                  <c:v>1.7267199999999999E-4</c:v>
                </c:pt>
                <c:pt idx="84">
                  <c:v>1.75298E-4</c:v>
                </c:pt>
                <c:pt idx="85">
                  <c:v>1.8129299999999999E-4</c:v>
                </c:pt>
                <c:pt idx="86">
                  <c:v>1.82905E-4</c:v>
                </c:pt>
                <c:pt idx="87">
                  <c:v>1.82599E-4</c:v>
                </c:pt>
                <c:pt idx="88">
                  <c:v>1.8165600000000001E-4</c:v>
                </c:pt>
                <c:pt idx="89">
                  <c:v>1.83592E-4</c:v>
                </c:pt>
                <c:pt idx="90">
                  <c:v>1.8364799999999999E-4</c:v>
                </c:pt>
                <c:pt idx="91">
                  <c:v>1.8412100000000001E-4</c:v>
                </c:pt>
                <c:pt idx="92">
                  <c:v>1.84809E-4</c:v>
                </c:pt>
                <c:pt idx="93">
                  <c:v>1.8624099999999999E-4</c:v>
                </c:pt>
                <c:pt idx="94">
                  <c:v>1.86959E-4</c:v>
                </c:pt>
                <c:pt idx="95">
                  <c:v>1.8869700000000001E-4</c:v>
                </c:pt>
                <c:pt idx="96">
                  <c:v>1.9092299999999999E-4</c:v>
                </c:pt>
                <c:pt idx="97">
                  <c:v>1.9055999999999999E-4</c:v>
                </c:pt>
                <c:pt idx="98">
                  <c:v>1.8643199999999999E-4</c:v>
                </c:pt>
                <c:pt idx="99">
                  <c:v>1.8812000000000001E-4</c:v>
                </c:pt>
                <c:pt idx="100">
                  <c:v>1.9126200000000001E-4</c:v>
                </c:pt>
                <c:pt idx="101">
                  <c:v>1.9011000000000001E-4</c:v>
                </c:pt>
                <c:pt idx="102">
                  <c:v>1.9240899999999999E-4</c:v>
                </c:pt>
                <c:pt idx="103">
                  <c:v>1.93289E-4</c:v>
                </c:pt>
                <c:pt idx="104">
                  <c:v>1.90263E-4</c:v>
                </c:pt>
                <c:pt idx="105">
                  <c:v>1.8680899999999999E-4</c:v>
                </c:pt>
                <c:pt idx="106">
                  <c:v>1.8679600000000001E-4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A6-4901-8960-A8769F8C8FAF}"/>
            </c:ext>
          </c:extLst>
        </c:ser>
        <c:ser>
          <c:idx val="2"/>
          <c:order val="2"/>
          <c:tx>
            <c:strRef>
              <c:f>'1233 P+ 72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6-4901-8960-A8769F8C8FAF}"/>
            </c:ext>
          </c:extLst>
        </c:ser>
        <c:ser>
          <c:idx val="3"/>
          <c:order val="3"/>
          <c:tx>
            <c:strRef>
              <c:f>'1233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A6-4901-8960-A8769F8C8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56384"/>
        <c:axId val="1177859296"/>
      </c:scatterChart>
      <c:valAx>
        <c:axId val="11778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9296"/>
        <c:crosses val="autoZero"/>
        <c:crossBetween val="midCat"/>
      </c:valAx>
      <c:valAx>
        <c:axId val="1177859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100.41557163890462</c:v>
                </c:pt>
                <c:pt idx="2">
                  <c:v>100.59193732954334</c:v>
                </c:pt>
                <c:pt idx="3">
                  <c:v>100.94826230234628</c:v>
                </c:pt>
                <c:pt idx="4">
                  <c:v>101.1917194848715</c:v>
                </c:pt>
                <c:pt idx="5">
                  <c:v>101.42106692640948</c:v>
                </c:pt>
                <c:pt idx="6">
                  <c:v>101.67670324873642</c:v>
                </c:pt>
                <c:pt idx="7">
                  <c:v>101.94833901943093</c:v>
                </c:pt>
                <c:pt idx="8">
                  <c:v>102.05226856251329</c:v>
                </c:pt>
                <c:pt idx="9">
                  <c:v>102.34144084394681</c:v>
                </c:pt>
                <c:pt idx="10">
                  <c:v>102.56016996606247</c:v>
                </c:pt>
                <c:pt idx="11">
                  <c:v>102.81519449419106</c:v>
                </c:pt>
                <c:pt idx="12">
                  <c:v>102.95103590156104</c:v>
                </c:pt>
                <c:pt idx="13">
                  <c:v>103.22435514063754</c:v>
                </c:pt>
                <c:pt idx="14">
                  <c:v>103.41559247027114</c:v>
                </c:pt>
                <c:pt idx="15">
                  <c:v>103.7083161456945</c:v>
                </c:pt>
                <c:pt idx="16">
                  <c:v>103.91549710159431</c:v>
                </c:pt>
                <c:pt idx="17">
                  <c:v>104.22099865263603</c:v>
                </c:pt>
                <c:pt idx="18">
                  <c:v>104.48545038668094</c:v>
                </c:pt>
                <c:pt idx="19">
                  <c:v>104.83438513362866</c:v>
                </c:pt>
                <c:pt idx="20">
                  <c:v>105.08453389816616</c:v>
                </c:pt>
                <c:pt idx="21">
                  <c:v>105.30133353011443</c:v>
                </c:pt>
                <c:pt idx="22">
                  <c:v>105.64724244756921</c:v>
                </c:pt>
                <c:pt idx="23">
                  <c:v>105.81574978236858</c:v>
                </c:pt>
                <c:pt idx="24">
                  <c:v>106.07390560014984</c:v>
                </c:pt>
                <c:pt idx="25">
                  <c:v>106.48650156014703</c:v>
                </c:pt>
                <c:pt idx="26">
                  <c:v>106.78627571890566</c:v>
                </c:pt>
                <c:pt idx="27">
                  <c:v>107.03059733298919</c:v>
                </c:pt>
                <c:pt idx="28">
                  <c:v>107.41159823527011</c:v>
                </c:pt>
                <c:pt idx="29">
                  <c:v>1.9508238720439077</c:v>
                </c:pt>
                <c:pt idx="30">
                  <c:v>1.9243117153344291</c:v>
                </c:pt>
                <c:pt idx="31">
                  <c:v>1.8829449566594736</c:v>
                </c:pt>
                <c:pt idx="32">
                  <c:v>1.8333440552787881</c:v>
                </c:pt>
                <c:pt idx="33">
                  <c:v>1.7890860993479674</c:v>
                </c:pt>
                <c:pt idx="34">
                  <c:v>1.754236782939343</c:v>
                </c:pt>
                <c:pt idx="35">
                  <c:v>1.7158520174900076</c:v>
                </c:pt>
                <c:pt idx="36">
                  <c:v>1.6769465526839147</c:v>
                </c:pt>
                <c:pt idx="37">
                  <c:v>1.6359071652932722</c:v>
                </c:pt>
                <c:pt idx="38">
                  <c:v>1.5977685416248024</c:v>
                </c:pt>
                <c:pt idx="39">
                  <c:v>56.509809362838674</c:v>
                </c:pt>
                <c:pt idx="40">
                  <c:v>58.385910154830668</c:v>
                </c:pt>
                <c:pt idx="41">
                  <c:v>59.659660083329271</c:v>
                </c:pt>
                <c:pt idx="42">
                  <c:v>60.524314719078312</c:v>
                </c:pt>
                <c:pt idx="43">
                  <c:v>61.1320828794696</c:v>
                </c:pt>
                <c:pt idx="44">
                  <c:v>61.477319669080011</c:v>
                </c:pt>
                <c:pt idx="45">
                  <c:v>61.950109724402942</c:v>
                </c:pt>
                <c:pt idx="46">
                  <c:v>62.285671162330935</c:v>
                </c:pt>
                <c:pt idx="47">
                  <c:v>62.477466874932162</c:v>
                </c:pt>
                <c:pt idx="48">
                  <c:v>62.875553031750833</c:v>
                </c:pt>
                <c:pt idx="49">
                  <c:v>63.405220495077423</c:v>
                </c:pt>
                <c:pt idx="50">
                  <c:v>63.729563771829753</c:v>
                </c:pt>
                <c:pt idx="51">
                  <c:v>63.736646071412771</c:v>
                </c:pt>
                <c:pt idx="52">
                  <c:v>63.899458186947903</c:v>
                </c:pt>
                <c:pt idx="53">
                  <c:v>64.340583619348038</c:v>
                </c:pt>
                <c:pt idx="54">
                  <c:v>64.611631173172739</c:v>
                </c:pt>
                <c:pt idx="55">
                  <c:v>64.749762958765288</c:v>
                </c:pt>
                <c:pt idx="56">
                  <c:v>64.966924149165649</c:v>
                </c:pt>
                <c:pt idx="57">
                  <c:v>65.144938356154128</c:v>
                </c:pt>
                <c:pt idx="58">
                  <c:v>65.310407693792229</c:v>
                </c:pt>
                <c:pt idx="59">
                  <c:v>65.513611873447317</c:v>
                </c:pt>
                <c:pt idx="60">
                  <c:v>65.599047052097077</c:v>
                </c:pt>
                <c:pt idx="61">
                  <c:v>65.927061757346664</c:v>
                </c:pt>
                <c:pt idx="62">
                  <c:v>66.077611021629892</c:v>
                </c:pt>
                <c:pt idx="63">
                  <c:v>66.300424418654586</c:v>
                </c:pt>
                <c:pt idx="64">
                  <c:v>66.350163236636817</c:v>
                </c:pt>
                <c:pt idx="65">
                  <c:v>66.417402257965435</c:v>
                </c:pt>
                <c:pt idx="66">
                  <c:v>66.558538237666269</c:v>
                </c:pt>
                <c:pt idx="67">
                  <c:v>66.660808441096421</c:v>
                </c:pt>
                <c:pt idx="68">
                  <c:v>1.5281531216421922</c:v>
                </c:pt>
                <c:pt idx="69">
                  <c:v>1.5020273371819781</c:v>
                </c:pt>
                <c:pt idx="70">
                  <c:v>1.4676682647108121</c:v>
                </c:pt>
                <c:pt idx="71">
                  <c:v>1.4363038342911805</c:v>
                </c:pt>
                <c:pt idx="72">
                  <c:v>1.4081420431405343</c:v>
                </c:pt>
                <c:pt idx="73">
                  <c:v>1.3840777744286916</c:v>
                </c:pt>
                <c:pt idx="74">
                  <c:v>1.3591684241889386</c:v>
                </c:pt>
                <c:pt idx="75">
                  <c:v>1.3348700314196915</c:v>
                </c:pt>
                <c:pt idx="76">
                  <c:v>1.3091723049179844</c:v>
                </c:pt>
                <c:pt idx="77">
                  <c:v>1.2864284909390042</c:v>
                </c:pt>
                <c:pt idx="78">
                  <c:v>54.138746164652765</c:v>
                </c:pt>
                <c:pt idx="79">
                  <c:v>55.983179314102358</c:v>
                </c:pt>
                <c:pt idx="80">
                  <c:v>57.02643102851858</c:v>
                </c:pt>
                <c:pt idx="81">
                  <c:v>57.82000966296345</c:v>
                </c:pt>
                <c:pt idx="82">
                  <c:v>58.368169930460773</c:v>
                </c:pt>
                <c:pt idx="83">
                  <c:v>58.650477387770543</c:v>
                </c:pt>
                <c:pt idx="84">
                  <c:v>59.058313405913992</c:v>
                </c:pt>
                <c:pt idx="85">
                  <c:v>59.494088167481188</c:v>
                </c:pt>
                <c:pt idx="86">
                  <c:v>59.807905458329436</c:v>
                </c:pt>
                <c:pt idx="87">
                  <c:v>60.169617714743502</c:v>
                </c:pt>
                <c:pt idx="88">
                  <c:v>60.416226447388645</c:v>
                </c:pt>
                <c:pt idx="89">
                  <c:v>60.645680182112677</c:v>
                </c:pt>
                <c:pt idx="90">
                  <c:v>60.85731691692974</c:v>
                </c:pt>
                <c:pt idx="91">
                  <c:v>61.192263573034467</c:v>
                </c:pt>
                <c:pt idx="92">
                  <c:v>61.379151560343281</c:v>
                </c:pt>
                <c:pt idx="93">
                  <c:v>61.622849512144818</c:v>
                </c:pt>
                <c:pt idx="94">
                  <c:v>61.800083601750856</c:v>
                </c:pt>
                <c:pt idx="95">
                  <c:v>62.132083902066775</c:v>
                </c:pt>
                <c:pt idx="96">
                  <c:v>62.360114146699694</c:v>
                </c:pt>
                <c:pt idx="97">
                  <c:v>62.327300845201883</c:v>
                </c:pt>
                <c:pt idx="98">
                  <c:v>62.706134162165164</c:v>
                </c:pt>
                <c:pt idx="99">
                  <c:v>62.75051416018389</c:v>
                </c:pt>
                <c:pt idx="100">
                  <c:v>62.873181131070844</c:v>
                </c:pt>
                <c:pt idx="101">
                  <c:v>63.195710201545573</c:v>
                </c:pt>
                <c:pt idx="102">
                  <c:v>63.426239386828776</c:v>
                </c:pt>
                <c:pt idx="103">
                  <c:v>63.522822735676407</c:v>
                </c:pt>
                <c:pt idx="104">
                  <c:v>63.664450131109191</c:v>
                </c:pt>
                <c:pt idx="105">
                  <c:v>63.695685836885993</c:v>
                </c:pt>
                <c:pt idx="106">
                  <c:v>63.915416568485433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5-A249-9395-FA8D32893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876272"/>
        <c:axId val="2047713872"/>
      </c:scatterChart>
      <c:valAx>
        <c:axId val="20468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13872"/>
        <c:crosses val="autoZero"/>
        <c:crossBetween val="midCat"/>
      </c:valAx>
      <c:valAx>
        <c:axId val="2047713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7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98.757699188263089</c:v>
                </c:pt>
                <c:pt idx="2">
                  <c:v>98.248508562296237</c:v>
                </c:pt>
                <c:pt idx="3">
                  <c:v>100.279212857</c:v>
                </c:pt>
                <c:pt idx="4">
                  <c:v>99.232834655667489</c:v>
                </c:pt>
                <c:pt idx="5">
                  <c:v>99.747518719457275</c:v>
                </c:pt>
                <c:pt idx="6">
                  <c:v>98.357453515693336</c:v>
                </c:pt>
                <c:pt idx="7">
                  <c:v>99.771946161201171</c:v>
                </c:pt>
                <c:pt idx="8">
                  <c:v>100.00556208949956</c:v>
                </c:pt>
                <c:pt idx="9">
                  <c:v>99.85794992819315</c:v>
                </c:pt>
                <c:pt idx="10">
                  <c:v>100.45539723334673</c:v>
                </c:pt>
                <c:pt idx="11">
                  <c:v>100.13079662355655</c:v>
                </c:pt>
                <c:pt idx="12">
                  <c:v>100.61049908388758</c:v>
                </c:pt>
                <c:pt idx="13">
                  <c:v>99.174245514804582</c:v>
                </c:pt>
                <c:pt idx="14">
                  <c:v>98.693284544295011</c:v>
                </c:pt>
                <c:pt idx="15">
                  <c:v>99.808938904114214</c:v>
                </c:pt>
                <c:pt idx="16">
                  <c:v>100.39027222387413</c:v>
                </c:pt>
                <c:pt idx="17">
                  <c:v>100.1453638053958</c:v>
                </c:pt>
                <c:pt idx="18">
                  <c:v>100.97523617591638</c:v>
                </c:pt>
                <c:pt idx="19">
                  <c:v>102.20855717900893</c:v>
                </c:pt>
                <c:pt idx="20">
                  <c:v>100.87406255483461</c:v>
                </c:pt>
                <c:pt idx="21">
                  <c:v>101.44144811618641</c:v>
                </c:pt>
                <c:pt idx="22">
                  <c:v>101.34870128506869</c:v>
                </c:pt>
                <c:pt idx="23">
                  <c:v>101.04743125537436</c:v>
                </c:pt>
                <c:pt idx="24">
                  <c:v>101.95727961013544</c:v>
                </c:pt>
                <c:pt idx="25">
                  <c:v>103.52688719329761</c:v>
                </c:pt>
                <c:pt idx="26">
                  <c:v>101.46352656962377</c:v>
                </c:pt>
                <c:pt idx="27">
                  <c:v>104.49385876320798</c:v>
                </c:pt>
                <c:pt idx="28">
                  <c:v>104.59736609056897</c:v>
                </c:pt>
                <c:pt idx="29">
                  <c:v>37.347752683454587</c:v>
                </c:pt>
                <c:pt idx="30">
                  <c:v>35.902627824515442</c:v>
                </c:pt>
                <c:pt idx="31">
                  <c:v>34.863131441636959</c:v>
                </c:pt>
                <c:pt idx="32">
                  <c:v>34.008028424084173</c:v>
                </c:pt>
                <c:pt idx="33">
                  <c:v>33.286972423428011</c:v>
                </c:pt>
                <c:pt idx="34">
                  <c:v>32.783079871765416</c:v>
                </c:pt>
                <c:pt idx="35">
                  <c:v>32.276272281049692</c:v>
                </c:pt>
                <c:pt idx="36">
                  <c:v>31.814186731462826</c:v>
                </c:pt>
                <c:pt idx="37">
                  <c:v>31.364319866395515</c:v>
                </c:pt>
                <c:pt idx="38">
                  <c:v>30.940599102424397</c:v>
                </c:pt>
                <c:pt idx="39">
                  <c:v>100.98002291106575</c:v>
                </c:pt>
                <c:pt idx="40">
                  <c:v>101.21936529513174</c:v>
                </c:pt>
                <c:pt idx="41">
                  <c:v>102.25104634991823</c:v>
                </c:pt>
                <c:pt idx="42">
                  <c:v>100.3398160051175</c:v>
                </c:pt>
                <c:pt idx="43">
                  <c:v>98.509138901798295</c:v>
                </c:pt>
                <c:pt idx="44">
                  <c:v>96.206790094765253</c:v>
                </c:pt>
                <c:pt idx="45">
                  <c:v>94.828416773789016</c:v>
                </c:pt>
                <c:pt idx="46">
                  <c:v>94.378563509324991</c:v>
                </c:pt>
                <c:pt idx="47">
                  <c:v>91.730430654479434</c:v>
                </c:pt>
                <c:pt idx="48">
                  <c:v>94.370184244777818</c:v>
                </c:pt>
                <c:pt idx="49">
                  <c:v>96.219676675512389</c:v>
                </c:pt>
                <c:pt idx="50">
                  <c:v>96.902036110771235</c:v>
                </c:pt>
                <c:pt idx="51">
                  <c:v>95.352941850670462</c:v>
                </c:pt>
                <c:pt idx="52">
                  <c:v>93.54393683811098</c:v>
                </c:pt>
                <c:pt idx="53">
                  <c:v>95.991650068796375</c:v>
                </c:pt>
                <c:pt idx="54">
                  <c:v>96.211336172566561</c:v>
                </c:pt>
                <c:pt idx="55">
                  <c:v>95.883073114990154</c:v>
                </c:pt>
                <c:pt idx="56">
                  <c:v>95.183058087664037</c:v>
                </c:pt>
                <c:pt idx="57">
                  <c:v>95.802695765177262</c:v>
                </c:pt>
                <c:pt idx="58">
                  <c:v>95.933361857644059</c:v>
                </c:pt>
                <c:pt idx="59">
                  <c:v>95.454626028636028</c:v>
                </c:pt>
                <c:pt idx="60">
                  <c:v>96.08589845852724</c:v>
                </c:pt>
                <c:pt idx="61">
                  <c:v>98.379602028263378</c:v>
                </c:pt>
                <c:pt idx="62">
                  <c:v>98.371925958121437</c:v>
                </c:pt>
                <c:pt idx="63">
                  <c:v>98.516922600305051</c:v>
                </c:pt>
                <c:pt idx="64">
                  <c:v>96.771279298161133</c:v>
                </c:pt>
                <c:pt idx="65">
                  <c:v>96.76153966040583</c:v>
                </c:pt>
                <c:pt idx="66">
                  <c:v>97.489725257528221</c:v>
                </c:pt>
                <c:pt idx="67">
                  <c:v>97.05264458116784</c:v>
                </c:pt>
                <c:pt idx="68">
                  <c:v>30.138111135929282</c:v>
                </c:pt>
                <c:pt idx="69">
                  <c:v>29.860155107816485</c:v>
                </c:pt>
                <c:pt idx="70">
                  <c:v>29.499610131771615</c:v>
                </c:pt>
                <c:pt idx="71">
                  <c:v>29.183463734601048</c:v>
                </c:pt>
                <c:pt idx="72">
                  <c:v>28.894316664073362</c:v>
                </c:pt>
                <c:pt idx="73">
                  <c:v>28.64399870759647</c:v>
                </c:pt>
                <c:pt idx="74">
                  <c:v>28.394846531717917</c:v>
                </c:pt>
                <c:pt idx="75">
                  <c:v>28.175269534492418</c:v>
                </c:pt>
                <c:pt idx="76">
                  <c:v>27.95899936559162</c:v>
                </c:pt>
                <c:pt idx="77">
                  <c:v>27.762324955929447</c:v>
                </c:pt>
                <c:pt idx="78">
                  <c:v>95.553286399227247</c:v>
                </c:pt>
                <c:pt idx="79">
                  <c:v>97.085227886094685</c:v>
                </c:pt>
                <c:pt idx="80">
                  <c:v>96.085974024388932</c:v>
                </c:pt>
                <c:pt idx="81">
                  <c:v>95.372103929796594</c:v>
                </c:pt>
                <c:pt idx="82">
                  <c:v>93.359211875435349</c:v>
                </c:pt>
                <c:pt idx="83">
                  <c:v>90.846096178665945</c:v>
                </c:pt>
                <c:pt idx="84">
                  <c:v>88.560084053609089</c:v>
                </c:pt>
                <c:pt idx="85">
                  <c:v>88.072198794925654</c:v>
                </c:pt>
                <c:pt idx="86">
                  <c:v>87.563824001524424</c:v>
                </c:pt>
                <c:pt idx="87">
                  <c:v>89.868910301582787</c:v>
                </c:pt>
                <c:pt idx="88">
                  <c:v>89.464252973416777</c:v>
                </c:pt>
                <c:pt idx="89">
                  <c:v>90.172918636832449</c:v>
                </c:pt>
                <c:pt idx="90">
                  <c:v>89.216099395221065</c:v>
                </c:pt>
                <c:pt idx="91">
                  <c:v>92.591903392856651</c:v>
                </c:pt>
                <c:pt idx="92">
                  <c:v>94.197846140881097</c:v>
                </c:pt>
                <c:pt idx="93">
                  <c:v>92.742388415686648</c:v>
                </c:pt>
                <c:pt idx="94">
                  <c:v>90.699204851009299</c:v>
                </c:pt>
                <c:pt idx="95">
                  <c:v>92.328190872436082</c:v>
                </c:pt>
                <c:pt idx="96">
                  <c:v>94.500526603297274</c:v>
                </c:pt>
                <c:pt idx="97">
                  <c:v>93.858212407016296</c:v>
                </c:pt>
                <c:pt idx="98">
                  <c:v>95.702695405835172</c:v>
                </c:pt>
                <c:pt idx="99">
                  <c:v>95.000403804891548</c:v>
                </c:pt>
                <c:pt idx="100">
                  <c:v>95.493896125609197</c:v>
                </c:pt>
                <c:pt idx="101">
                  <c:v>96.093323960786662</c:v>
                </c:pt>
                <c:pt idx="102">
                  <c:v>95.330146942088405</c:v>
                </c:pt>
                <c:pt idx="103">
                  <c:v>95.958146113024384</c:v>
                </c:pt>
                <c:pt idx="104">
                  <c:v>96.2115835916088</c:v>
                </c:pt>
                <c:pt idx="105">
                  <c:v>96.543238062802558</c:v>
                </c:pt>
                <c:pt idx="106">
                  <c:v>97.415628227794741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7-4847-A321-A136CDCC1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95664"/>
        <c:axId val="27980975"/>
      </c:scatterChart>
      <c:valAx>
        <c:axId val="203599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0975"/>
        <c:crosses val="autoZero"/>
        <c:crossBetween val="midCat"/>
      </c:valAx>
      <c:valAx>
        <c:axId val="279809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9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hpi'!$B$3:$B$124</c:f>
              <c:numCache>
                <c:formatCode>General</c:formatCode>
                <c:ptCount val="122"/>
                <c:pt idx="0">
                  <c:v>1.20768E-3</c:v>
                </c:pt>
                <c:pt idx="1">
                  <c:v>1.2099000000000001E-3</c:v>
                </c:pt>
                <c:pt idx="2">
                  <c:v>1.2103299999999999E-3</c:v>
                </c:pt>
                <c:pt idx="3">
                  <c:v>1.2124799999999999E-3</c:v>
                </c:pt>
                <c:pt idx="4">
                  <c:v>1.21284E-3</c:v>
                </c:pt>
                <c:pt idx="5">
                  <c:v>1.2139200000000001E-3</c:v>
                </c:pt>
                <c:pt idx="6">
                  <c:v>1.21313E-3</c:v>
                </c:pt>
                <c:pt idx="7">
                  <c:v>1.2153800000000001E-3</c:v>
                </c:pt>
                <c:pt idx="8">
                  <c:v>1.21503E-3</c:v>
                </c:pt>
                <c:pt idx="9">
                  <c:v>1.2153400000000001E-3</c:v>
                </c:pt>
                <c:pt idx="10">
                  <c:v>1.2151799999999999E-3</c:v>
                </c:pt>
                <c:pt idx="11">
                  <c:v>1.21565E-3</c:v>
                </c:pt>
                <c:pt idx="12">
                  <c:v>1.2166E-3</c:v>
                </c:pt>
                <c:pt idx="13">
                  <c:v>1.21787E-3</c:v>
                </c:pt>
                <c:pt idx="14">
                  <c:v>1.21831E-3</c:v>
                </c:pt>
                <c:pt idx="15">
                  <c:v>1.2181900000000001E-3</c:v>
                </c:pt>
                <c:pt idx="16">
                  <c:v>1.21948E-3</c:v>
                </c:pt>
                <c:pt idx="17">
                  <c:v>1.21991E-3</c:v>
                </c:pt>
                <c:pt idx="18">
                  <c:v>1.22013E-3</c:v>
                </c:pt>
                <c:pt idx="19">
                  <c:v>1.21995E-3</c:v>
                </c:pt>
                <c:pt idx="20">
                  <c:v>1.22113E-3</c:v>
                </c:pt>
                <c:pt idx="21">
                  <c:v>1.2215699999999999E-3</c:v>
                </c:pt>
                <c:pt idx="22">
                  <c:v>1.2216799999999999E-3</c:v>
                </c:pt>
                <c:pt idx="23">
                  <c:v>1.22164E-3</c:v>
                </c:pt>
                <c:pt idx="24">
                  <c:v>1.2228300000000001E-3</c:v>
                </c:pt>
                <c:pt idx="25">
                  <c:v>1.2234800000000001E-3</c:v>
                </c:pt>
                <c:pt idx="26">
                  <c:v>1.2233000000000001E-3</c:v>
                </c:pt>
                <c:pt idx="27">
                  <c:v>1.22332E-3</c:v>
                </c:pt>
                <c:pt idx="28">
                  <c:v>1.22492E-3</c:v>
                </c:pt>
                <c:pt idx="29">
                  <c:v>1.9881399999999999E-5</c:v>
                </c:pt>
                <c:pt idx="30">
                  <c:v>1.9616300000000001E-5</c:v>
                </c:pt>
                <c:pt idx="31">
                  <c:v>1.90058E-5</c:v>
                </c:pt>
                <c:pt idx="32">
                  <c:v>1.83784E-5</c:v>
                </c:pt>
                <c:pt idx="33">
                  <c:v>1.7773699999999999E-5</c:v>
                </c:pt>
                <c:pt idx="34">
                  <c:v>1.7196700000000001E-5</c:v>
                </c:pt>
                <c:pt idx="35">
                  <c:v>1.66526E-5</c:v>
                </c:pt>
                <c:pt idx="36">
                  <c:v>1.6096900000000002E-5</c:v>
                </c:pt>
                <c:pt idx="37">
                  <c:v>1.5568699999999999E-5</c:v>
                </c:pt>
                <c:pt idx="38">
                  <c:v>1.50686E-5</c:v>
                </c:pt>
                <c:pt idx="39">
                  <c:v>6.3402100000000002E-4</c:v>
                </c:pt>
                <c:pt idx="40">
                  <c:v>6.5714300000000001E-4</c:v>
                </c:pt>
                <c:pt idx="41">
                  <c:v>6.7057300000000005E-4</c:v>
                </c:pt>
                <c:pt idx="42">
                  <c:v>6.8145800000000002E-4</c:v>
                </c:pt>
                <c:pt idx="43">
                  <c:v>6.8913399999999999E-4</c:v>
                </c:pt>
                <c:pt idx="44">
                  <c:v>6.9611100000000002E-4</c:v>
                </c:pt>
                <c:pt idx="45">
                  <c:v>7.0223499999999995E-4</c:v>
                </c:pt>
                <c:pt idx="46">
                  <c:v>7.0689799999999997E-4</c:v>
                </c:pt>
                <c:pt idx="47">
                  <c:v>7.1115800000000004E-4</c:v>
                </c:pt>
                <c:pt idx="48">
                  <c:v>7.1413100000000001E-4</c:v>
                </c:pt>
                <c:pt idx="49">
                  <c:v>7.1818700000000001E-4</c:v>
                </c:pt>
                <c:pt idx="50">
                  <c:v>7.2129200000000001E-4</c:v>
                </c:pt>
                <c:pt idx="51">
                  <c:v>7.24363E-4</c:v>
                </c:pt>
                <c:pt idx="52">
                  <c:v>7.2636200000000004E-4</c:v>
                </c:pt>
                <c:pt idx="53">
                  <c:v>7.2862700000000003E-4</c:v>
                </c:pt>
                <c:pt idx="54">
                  <c:v>7.3136900000000005E-4</c:v>
                </c:pt>
                <c:pt idx="55">
                  <c:v>7.3374200000000001E-4</c:v>
                </c:pt>
                <c:pt idx="56">
                  <c:v>7.3609000000000001E-4</c:v>
                </c:pt>
                <c:pt idx="57">
                  <c:v>7.3757E-4</c:v>
                </c:pt>
                <c:pt idx="58">
                  <c:v>7.3980200000000002E-4</c:v>
                </c:pt>
                <c:pt idx="59">
                  <c:v>7.4180600000000002E-4</c:v>
                </c:pt>
                <c:pt idx="60">
                  <c:v>7.4370299999999996E-4</c:v>
                </c:pt>
                <c:pt idx="61">
                  <c:v>7.4511800000000002E-4</c:v>
                </c:pt>
                <c:pt idx="62">
                  <c:v>7.4640000000000004E-4</c:v>
                </c:pt>
                <c:pt idx="63">
                  <c:v>7.4767699999999998E-4</c:v>
                </c:pt>
                <c:pt idx="64">
                  <c:v>7.4956199999999995E-4</c:v>
                </c:pt>
                <c:pt idx="65">
                  <c:v>7.5090200000000001E-4</c:v>
                </c:pt>
                <c:pt idx="66">
                  <c:v>7.5187099999999998E-4</c:v>
                </c:pt>
                <c:pt idx="67">
                  <c:v>7.5328999999999999E-4</c:v>
                </c:pt>
                <c:pt idx="68">
                  <c:v>1.41895E-5</c:v>
                </c:pt>
                <c:pt idx="69">
                  <c:v>1.38402E-5</c:v>
                </c:pt>
                <c:pt idx="70">
                  <c:v>1.34386E-5</c:v>
                </c:pt>
                <c:pt idx="71">
                  <c:v>1.30288E-5</c:v>
                </c:pt>
                <c:pt idx="72">
                  <c:v>1.2719500000000001E-5</c:v>
                </c:pt>
                <c:pt idx="73">
                  <c:v>1.24285E-5</c:v>
                </c:pt>
                <c:pt idx="74">
                  <c:v>1.21111E-5</c:v>
                </c:pt>
                <c:pt idx="75">
                  <c:v>1.17549E-5</c:v>
                </c:pt>
                <c:pt idx="76">
                  <c:v>1.14353E-5</c:v>
                </c:pt>
                <c:pt idx="77">
                  <c:v>1.1182099999999999E-5</c:v>
                </c:pt>
                <c:pt idx="78">
                  <c:v>6.0886700000000002E-4</c:v>
                </c:pt>
                <c:pt idx="79">
                  <c:v>6.2917099999999998E-4</c:v>
                </c:pt>
                <c:pt idx="80">
                  <c:v>6.4153300000000001E-4</c:v>
                </c:pt>
                <c:pt idx="81">
                  <c:v>6.5111599999999998E-4</c:v>
                </c:pt>
                <c:pt idx="82">
                  <c:v>6.5817100000000004E-4</c:v>
                </c:pt>
                <c:pt idx="83">
                  <c:v>6.63526E-4</c:v>
                </c:pt>
                <c:pt idx="84">
                  <c:v>6.6839000000000004E-4</c:v>
                </c:pt>
                <c:pt idx="85">
                  <c:v>6.73586E-4</c:v>
                </c:pt>
                <c:pt idx="86">
                  <c:v>6.7780200000000003E-4</c:v>
                </c:pt>
                <c:pt idx="87">
                  <c:v>6.81333E-4</c:v>
                </c:pt>
                <c:pt idx="88">
                  <c:v>6.8418799999999996E-4</c:v>
                </c:pt>
                <c:pt idx="89">
                  <c:v>6.87475E-4</c:v>
                </c:pt>
                <c:pt idx="90">
                  <c:v>6.9047300000000004E-4</c:v>
                </c:pt>
                <c:pt idx="91">
                  <c:v>6.9213100000000002E-4</c:v>
                </c:pt>
                <c:pt idx="92">
                  <c:v>6.9428199999999995E-4</c:v>
                </c:pt>
                <c:pt idx="93">
                  <c:v>6.9723799999999998E-4</c:v>
                </c:pt>
                <c:pt idx="94">
                  <c:v>7.0022900000000002E-4</c:v>
                </c:pt>
                <c:pt idx="95">
                  <c:v>7.0210499999999996E-4</c:v>
                </c:pt>
                <c:pt idx="96">
                  <c:v>7.0460599999999998E-4</c:v>
                </c:pt>
                <c:pt idx="97">
                  <c:v>7.0616400000000001E-4</c:v>
                </c:pt>
                <c:pt idx="98">
                  <c:v>7.0820699999999998E-4</c:v>
                </c:pt>
                <c:pt idx="99">
                  <c:v>7.1013800000000002E-4</c:v>
                </c:pt>
                <c:pt idx="100">
                  <c:v>7.1043899999999999E-4</c:v>
                </c:pt>
                <c:pt idx="101">
                  <c:v>7.1255099999999996E-4</c:v>
                </c:pt>
                <c:pt idx="102">
                  <c:v>7.1469600000000002E-4</c:v>
                </c:pt>
                <c:pt idx="103">
                  <c:v>7.16072E-4</c:v>
                </c:pt>
                <c:pt idx="104">
                  <c:v>7.1832500000000002E-4</c:v>
                </c:pt>
                <c:pt idx="105">
                  <c:v>7.1971100000000005E-4</c:v>
                </c:pt>
                <c:pt idx="106">
                  <c:v>7.2086899999999996E-4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8-4D57-A491-70029CF71EF5}"/>
            </c:ext>
          </c:extLst>
        </c:ser>
        <c:ser>
          <c:idx val="1"/>
          <c:order val="1"/>
          <c:tx>
            <c:strRef>
              <c:f>'1234 P- 72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hpi'!$G$3:$G$124</c:f>
              <c:numCache>
                <c:formatCode>General</c:formatCode>
                <c:ptCount val="122"/>
                <c:pt idx="0">
                  <c:v>8.2021500000000001E-4</c:v>
                </c:pt>
                <c:pt idx="1">
                  <c:v>8.2295899999999995E-4</c:v>
                </c:pt>
                <c:pt idx="2">
                  <c:v>8.2565999999999998E-4</c:v>
                </c:pt>
                <c:pt idx="3">
                  <c:v>8.2679200000000002E-4</c:v>
                </c:pt>
                <c:pt idx="4">
                  <c:v>8.2843200000000004E-4</c:v>
                </c:pt>
                <c:pt idx="5">
                  <c:v>8.3020499999999998E-4</c:v>
                </c:pt>
                <c:pt idx="6">
                  <c:v>8.3104000000000001E-4</c:v>
                </c:pt>
                <c:pt idx="7">
                  <c:v>8.3293400000000002E-4</c:v>
                </c:pt>
                <c:pt idx="8">
                  <c:v>8.33456E-4</c:v>
                </c:pt>
                <c:pt idx="9">
                  <c:v>8.3553999999999996E-4</c:v>
                </c:pt>
                <c:pt idx="10">
                  <c:v>8.3627500000000004E-4</c:v>
                </c:pt>
                <c:pt idx="11">
                  <c:v>8.3895400000000005E-4</c:v>
                </c:pt>
                <c:pt idx="12">
                  <c:v>8.3907399999999998E-4</c:v>
                </c:pt>
                <c:pt idx="13">
                  <c:v>8.4214800000000003E-4</c:v>
                </c:pt>
                <c:pt idx="14">
                  <c:v>8.4276999999999996E-4</c:v>
                </c:pt>
                <c:pt idx="15">
                  <c:v>8.4431600000000001E-4</c:v>
                </c:pt>
                <c:pt idx="16">
                  <c:v>8.4572399999999995E-4</c:v>
                </c:pt>
                <c:pt idx="17">
                  <c:v>8.48247E-4</c:v>
                </c:pt>
                <c:pt idx="18">
                  <c:v>8.5127599999999999E-4</c:v>
                </c:pt>
                <c:pt idx="19">
                  <c:v>8.5312500000000004E-4</c:v>
                </c:pt>
                <c:pt idx="20">
                  <c:v>8.5373999999999997E-4</c:v>
                </c:pt>
                <c:pt idx="21">
                  <c:v>8.5521499999999999E-4</c:v>
                </c:pt>
                <c:pt idx="22">
                  <c:v>8.5667299999999996E-4</c:v>
                </c:pt>
                <c:pt idx="23">
                  <c:v>8.5725000000000005E-4</c:v>
                </c:pt>
                <c:pt idx="24">
                  <c:v>8.58555E-4</c:v>
                </c:pt>
                <c:pt idx="25">
                  <c:v>8.6213499999999998E-4</c:v>
                </c:pt>
                <c:pt idx="26">
                  <c:v>8.6333299999999998E-4</c:v>
                </c:pt>
                <c:pt idx="27">
                  <c:v>8.6417299999999998E-4</c:v>
                </c:pt>
                <c:pt idx="28">
                  <c:v>8.6708E-4</c:v>
                </c:pt>
                <c:pt idx="29">
                  <c:v>1.9074699999999999E-5</c:v>
                </c:pt>
                <c:pt idx="30">
                  <c:v>1.8789700000000001E-5</c:v>
                </c:pt>
                <c:pt idx="31">
                  <c:v>1.8237399999999999E-5</c:v>
                </c:pt>
                <c:pt idx="32">
                  <c:v>1.7678700000000001E-5</c:v>
                </c:pt>
                <c:pt idx="33">
                  <c:v>1.7122E-5</c:v>
                </c:pt>
                <c:pt idx="34">
                  <c:v>1.6641099999999999E-5</c:v>
                </c:pt>
                <c:pt idx="35">
                  <c:v>1.61194E-5</c:v>
                </c:pt>
                <c:pt idx="36">
                  <c:v>1.56265E-5</c:v>
                </c:pt>
                <c:pt idx="37">
                  <c:v>1.51397E-5</c:v>
                </c:pt>
                <c:pt idx="38">
                  <c:v>1.4659500000000001E-5</c:v>
                </c:pt>
                <c:pt idx="39">
                  <c:v>4.64182E-4</c:v>
                </c:pt>
                <c:pt idx="40">
                  <c:v>4.7868299999999998E-4</c:v>
                </c:pt>
                <c:pt idx="41">
                  <c:v>4.9123199999999998E-4</c:v>
                </c:pt>
                <c:pt idx="42">
                  <c:v>4.9916100000000003E-4</c:v>
                </c:pt>
                <c:pt idx="43">
                  <c:v>5.0505899999999998E-4</c:v>
                </c:pt>
                <c:pt idx="44">
                  <c:v>5.0578299999999999E-4</c:v>
                </c:pt>
                <c:pt idx="45">
                  <c:v>5.0830799999999996E-4</c:v>
                </c:pt>
                <c:pt idx="46">
                  <c:v>5.1146500000000001E-4</c:v>
                </c:pt>
                <c:pt idx="47">
                  <c:v>5.0989899999999996E-4</c:v>
                </c:pt>
                <c:pt idx="48">
                  <c:v>5.1692299999999997E-4</c:v>
                </c:pt>
                <c:pt idx="49">
                  <c:v>5.2491599999999995E-4</c:v>
                </c:pt>
                <c:pt idx="50">
                  <c:v>5.3014200000000005E-4</c:v>
                </c:pt>
                <c:pt idx="51">
                  <c:v>5.2803599999999996E-4</c:v>
                </c:pt>
                <c:pt idx="52">
                  <c:v>5.2763599999999995E-4</c:v>
                </c:pt>
                <c:pt idx="53">
                  <c:v>5.3505399999999998E-4</c:v>
                </c:pt>
                <c:pt idx="54">
                  <c:v>5.3893400000000003E-4</c:v>
                </c:pt>
                <c:pt idx="55">
                  <c:v>5.4023400000000001E-4</c:v>
                </c:pt>
                <c:pt idx="56">
                  <c:v>5.4289500000000005E-4</c:v>
                </c:pt>
                <c:pt idx="57">
                  <c:v>5.4548300000000004E-4</c:v>
                </c:pt>
                <c:pt idx="58">
                  <c:v>5.4788700000000005E-4</c:v>
                </c:pt>
                <c:pt idx="59">
                  <c:v>5.4887999999999996E-4</c:v>
                </c:pt>
                <c:pt idx="60">
                  <c:v>5.5019900000000002E-4</c:v>
                </c:pt>
                <c:pt idx="61">
                  <c:v>5.5526200000000005E-4</c:v>
                </c:pt>
                <c:pt idx="62">
                  <c:v>5.5742200000000002E-4</c:v>
                </c:pt>
                <c:pt idx="63">
                  <c:v>5.5904499999999998E-4</c:v>
                </c:pt>
                <c:pt idx="64">
                  <c:v>5.5873700000000001E-4</c:v>
                </c:pt>
                <c:pt idx="65">
                  <c:v>5.6009899999999999E-4</c:v>
                </c:pt>
                <c:pt idx="66">
                  <c:v>5.6267100000000005E-4</c:v>
                </c:pt>
                <c:pt idx="67">
                  <c:v>5.6266200000000001E-4</c:v>
                </c:pt>
                <c:pt idx="68">
                  <c:v>1.38843E-5</c:v>
                </c:pt>
                <c:pt idx="69">
                  <c:v>1.35058E-5</c:v>
                </c:pt>
                <c:pt idx="70">
                  <c:v>1.30592E-5</c:v>
                </c:pt>
                <c:pt idx="71">
                  <c:v>1.2683200000000001E-5</c:v>
                </c:pt>
                <c:pt idx="72">
                  <c:v>1.23165E-5</c:v>
                </c:pt>
                <c:pt idx="73">
                  <c:v>1.20083E-5</c:v>
                </c:pt>
                <c:pt idx="74">
                  <c:v>1.1727400000000001E-5</c:v>
                </c:pt>
                <c:pt idx="75">
                  <c:v>1.14637E-5</c:v>
                </c:pt>
                <c:pt idx="76">
                  <c:v>1.1146599999999999E-5</c:v>
                </c:pt>
                <c:pt idx="77">
                  <c:v>1.08711E-5</c:v>
                </c:pt>
                <c:pt idx="78">
                  <c:v>4.5786399999999999E-4</c:v>
                </c:pt>
                <c:pt idx="79">
                  <c:v>4.7567900000000001E-4</c:v>
                </c:pt>
                <c:pt idx="80">
                  <c:v>4.8572600000000002E-4</c:v>
                </c:pt>
                <c:pt idx="81">
                  <c:v>4.9429499999999996E-4</c:v>
                </c:pt>
                <c:pt idx="82">
                  <c:v>4.9919799999999996E-4</c:v>
                </c:pt>
                <c:pt idx="83">
                  <c:v>4.9946799999999998E-4</c:v>
                </c:pt>
                <c:pt idx="84">
                  <c:v>5.0353599999999996E-4</c:v>
                </c:pt>
                <c:pt idx="85">
                  <c:v>5.0750999999999997E-4</c:v>
                </c:pt>
                <c:pt idx="86">
                  <c:v>5.1052300000000003E-4</c:v>
                </c:pt>
                <c:pt idx="87">
                  <c:v>5.1404100000000002E-4</c:v>
                </c:pt>
                <c:pt idx="88">
                  <c:v>5.1749100000000002E-4</c:v>
                </c:pt>
                <c:pt idx="89">
                  <c:v>5.2178100000000002E-4</c:v>
                </c:pt>
                <c:pt idx="90">
                  <c:v>5.2248400000000003E-4</c:v>
                </c:pt>
                <c:pt idx="91">
                  <c:v>5.2831199999999997E-4</c:v>
                </c:pt>
                <c:pt idx="92">
                  <c:v>5.2972200000000005E-4</c:v>
                </c:pt>
                <c:pt idx="93">
                  <c:v>5.3057400000000002E-4</c:v>
                </c:pt>
                <c:pt idx="94">
                  <c:v>5.3222100000000004E-4</c:v>
                </c:pt>
                <c:pt idx="95">
                  <c:v>5.3816400000000005E-4</c:v>
                </c:pt>
                <c:pt idx="96">
                  <c:v>5.41831E-4</c:v>
                </c:pt>
                <c:pt idx="97">
                  <c:v>5.3938E-4</c:v>
                </c:pt>
                <c:pt idx="98">
                  <c:v>5.4622899999999996E-4</c:v>
                </c:pt>
                <c:pt idx="99">
                  <c:v>5.4500200000000005E-4</c:v>
                </c:pt>
                <c:pt idx="100">
                  <c:v>5.4874500000000001E-4</c:v>
                </c:pt>
                <c:pt idx="101">
                  <c:v>5.5158699999999998E-4</c:v>
                </c:pt>
                <c:pt idx="102">
                  <c:v>5.5392500000000003E-4</c:v>
                </c:pt>
                <c:pt idx="103">
                  <c:v>5.5560799999999997E-4</c:v>
                </c:pt>
                <c:pt idx="104">
                  <c:v>5.5703000000000003E-4</c:v>
                </c:pt>
                <c:pt idx="105">
                  <c:v>5.5676E-4</c:v>
                </c:pt>
                <c:pt idx="106">
                  <c:v>5.5954099999999999E-4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8-4D57-A491-70029CF71EF5}"/>
            </c:ext>
          </c:extLst>
        </c:ser>
        <c:ser>
          <c:idx val="2"/>
          <c:order val="2"/>
          <c:tx>
            <c:strRef>
              <c:f>'1234 P- 72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hpi'!$L$3:$L$124</c:f>
              <c:numCache>
                <c:formatCode>0.00E+00</c:formatCode>
                <c:ptCount val="122"/>
                <c:pt idx="0">
                  <c:v>9.1907000000000002E-4</c:v>
                </c:pt>
                <c:pt idx="1">
                  <c:v>9.2576400000000004E-4</c:v>
                </c:pt>
                <c:pt idx="2">
                  <c:v>9.2727300000000005E-4</c:v>
                </c:pt>
                <c:pt idx="3">
                  <c:v>9.3419300000000005E-4</c:v>
                </c:pt>
                <c:pt idx="4">
                  <c:v>9.3879399999999996E-4</c:v>
                </c:pt>
                <c:pt idx="5">
                  <c:v>9.4230900000000001E-4</c:v>
                </c:pt>
                <c:pt idx="6">
                  <c:v>9.4902300000000001E-4</c:v>
                </c:pt>
                <c:pt idx="7">
                  <c:v>9.5267799999999999E-4</c:v>
                </c:pt>
                <c:pt idx="8">
                  <c:v>9.5522499999999998E-4</c:v>
                </c:pt>
                <c:pt idx="9">
                  <c:v>9.6062700000000003E-4</c:v>
                </c:pt>
                <c:pt idx="10">
                  <c:v>9.6595600000000002E-4</c:v>
                </c:pt>
                <c:pt idx="11">
                  <c:v>9.6962800000000005E-4</c:v>
                </c:pt>
                <c:pt idx="12">
                  <c:v>9.7251599999999998E-4</c:v>
                </c:pt>
                <c:pt idx="13">
                  <c:v>9.7564099999999996E-4</c:v>
                </c:pt>
                <c:pt idx="14">
                  <c:v>9.7988200000000006E-4</c:v>
                </c:pt>
                <c:pt idx="15">
                  <c:v>9.8631200000000004E-4</c:v>
                </c:pt>
                <c:pt idx="16">
                  <c:v>9.8946499999999992E-4</c:v>
                </c:pt>
                <c:pt idx="17">
                  <c:v>9.9473399999999994E-4</c:v>
                </c:pt>
                <c:pt idx="18">
                  <c:v>9.9846399999999991E-4</c:v>
                </c:pt>
                <c:pt idx="19">
                  <c:v>1.0061499999999999E-3</c:v>
                </c:pt>
                <c:pt idx="20">
                  <c:v>1.0114600000000001E-3</c:v>
                </c:pt>
                <c:pt idx="21">
                  <c:v>1.01545E-3</c:v>
                </c:pt>
                <c:pt idx="22">
                  <c:v>1.02327E-3</c:v>
                </c:pt>
                <c:pt idx="23">
                  <c:v>1.0273000000000001E-3</c:v>
                </c:pt>
                <c:pt idx="24">
                  <c:v>1.0320500000000001E-3</c:v>
                </c:pt>
                <c:pt idx="25">
                  <c:v>1.03892E-3</c:v>
                </c:pt>
                <c:pt idx="26">
                  <c:v>1.04598E-3</c:v>
                </c:pt>
                <c:pt idx="27">
                  <c:v>1.0517600000000001E-3</c:v>
                </c:pt>
                <c:pt idx="28">
                  <c:v>1.0577900000000001E-3</c:v>
                </c:pt>
                <c:pt idx="29">
                  <c:v>1.72845E-5</c:v>
                </c:pt>
                <c:pt idx="30">
                  <c:v>1.7074600000000001E-5</c:v>
                </c:pt>
                <c:pt idx="31">
                  <c:v>1.7017500000000001E-5</c:v>
                </c:pt>
                <c:pt idx="32">
                  <c:v>1.6753400000000001E-5</c:v>
                </c:pt>
                <c:pt idx="33">
                  <c:v>1.6617100000000001E-5</c:v>
                </c:pt>
                <c:pt idx="34">
                  <c:v>1.6634200000000001E-5</c:v>
                </c:pt>
                <c:pt idx="35">
                  <c:v>1.6574499999999999E-5</c:v>
                </c:pt>
                <c:pt idx="36">
                  <c:v>1.6477000000000002E-5</c:v>
                </c:pt>
                <c:pt idx="37">
                  <c:v>1.6292900000000001E-5</c:v>
                </c:pt>
                <c:pt idx="38">
                  <c:v>1.6160000000000001E-5</c:v>
                </c:pt>
                <c:pt idx="39">
                  <c:v>5.5546399999999998E-4</c:v>
                </c:pt>
                <c:pt idx="40">
                  <c:v>5.7334699999999998E-4</c:v>
                </c:pt>
                <c:pt idx="41">
                  <c:v>5.8418499999999998E-4</c:v>
                </c:pt>
                <c:pt idx="42">
                  <c:v>5.9085699999999997E-4</c:v>
                </c:pt>
                <c:pt idx="43">
                  <c:v>5.9516400000000002E-4</c:v>
                </c:pt>
                <c:pt idx="44">
                  <c:v>5.9856199999999997E-4</c:v>
                </c:pt>
                <c:pt idx="45">
                  <c:v>6.0410800000000001E-4</c:v>
                </c:pt>
                <c:pt idx="46">
                  <c:v>6.0627399999999996E-4</c:v>
                </c:pt>
                <c:pt idx="47">
                  <c:v>6.1007499999999996E-4</c:v>
                </c:pt>
                <c:pt idx="48">
                  <c:v>6.1091800000000001E-4</c:v>
                </c:pt>
                <c:pt idx="49">
                  <c:v>6.13479E-4</c:v>
                </c:pt>
                <c:pt idx="50">
                  <c:v>6.1420300000000001E-4</c:v>
                </c:pt>
                <c:pt idx="51">
                  <c:v>6.1442099999999998E-4</c:v>
                </c:pt>
                <c:pt idx="52">
                  <c:v>6.1783699999999999E-4</c:v>
                </c:pt>
                <c:pt idx="53">
                  <c:v>6.1996399999999998E-4</c:v>
                </c:pt>
                <c:pt idx="54">
                  <c:v>6.2100299999999996E-4</c:v>
                </c:pt>
                <c:pt idx="55">
                  <c:v>6.2154899999999999E-4</c:v>
                </c:pt>
                <c:pt idx="56">
                  <c:v>6.22768E-4</c:v>
                </c:pt>
                <c:pt idx="57">
                  <c:v>6.2365000000000001E-4</c:v>
                </c:pt>
                <c:pt idx="58">
                  <c:v>6.2381999999999997E-4</c:v>
                </c:pt>
                <c:pt idx="59">
                  <c:v>6.2678500000000004E-4</c:v>
                </c:pt>
                <c:pt idx="60">
                  <c:v>6.2621900000000002E-4</c:v>
                </c:pt>
                <c:pt idx="61">
                  <c:v>6.2851300000000003E-4</c:v>
                </c:pt>
                <c:pt idx="62">
                  <c:v>6.2926799999999999E-4</c:v>
                </c:pt>
                <c:pt idx="63">
                  <c:v>6.3262099999999999E-4</c:v>
                </c:pt>
                <c:pt idx="64">
                  <c:v>6.3290299999999998E-4</c:v>
                </c:pt>
                <c:pt idx="65">
                  <c:v>6.3221100000000004E-4</c:v>
                </c:pt>
                <c:pt idx="66">
                  <c:v>6.3248299999999998E-4</c:v>
                </c:pt>
                <c:pt idx="67">
                  <c:v>6.34233E-4</c:v>
                </c:pt>
                <c:pt idx="68">
                  <c:v>1.5778200000000001E-5</c:v>
                </c:pt>
                <c:pt idx="69">
                  <c:v>1.5747799999999999E-5</c:v>
                </c:pt>
                <c:pt idx="70">
                  <c:v>1.56065E-5</c:v>
                </c:pt>
                <c:pt idx="71">
                  <c:v>1.54749E-5</c:v>
                </c:pt>
                <c:pt idx="72">
                  <c:v>1.5344699999999999E-5</c:v>
                </c:pt>
                <c:pt idx="73">
                  <c:v>1.5248E-5</c:v>
                </c:pt>
                <c:pt idx="74">
                  <c:v>1.5117500000000001E-5</c:v>
                </c:pt>
                <c:pt idx="75">
                  <c:v>1.5014100000000001E-5</c:v>
                </c:pt>
                <c:pt idx="76">
                  <c:v>1.49041E-5</c:v>
                </c:pt>
                <c:pt idx="77">
                  <c:v>1.4778400000000001E-5</c:v>
                </c:pt>
                <c:pt idx="78">
                  <c:v>5.1631099999999998E-4</c:v>
                </c:pt>
                <c:pt idx="79">
                  <c:v>5.3175200000000003E-4</c:v>
                </c:pt>
                <c:pt idx="80">
                  <c:v>5.3985100000000005E-4</c:v>
                </c:pt>
                <c:pt idx="81">
                  <c:v>5.4483699999999995E-4</c:v>
                </c:pt>
                <c:pt idx="82">
                  <c:v>5.4908799999999998E-4</c:v>
                </c:pt>
                <c:pt idx="83">
                  <c:v>5.5249400000000005E-4</c:v>
                </c:pt>
                <c:pt idx="84">
                  <c:v>5.55479E-4</c:v>
                </c:pt>
                <c:pt idx="85">
                  <c:v>5.59087E-4</c:v>
                </c:pt>
                <c:pt idx="86">
                  <c:v>5.6115500000000003E-4</c:v>
                </c:pt>
                <c:pt idx="87">
                  <c:v>5.6449899999999999E-4</c:v>
                </c:pt>
                <c:pt idx="88">
                  <c:v>5.6526000000000005E-4</c:v>
                </c:pt>
                <c:pt idx="89">
                  <c:v>5.6427799999999998E-4</c:v>
                </c:pt>
                <c:pt idx="90">
                  <c:v>5.6704399999999995E-4</c:v>
                </c:pt>
                <c:pt idx="91">
                  <c:v>5.6848700000000001E-4</c:v>
                </c:pt>
                <c:pt idx="92">
                  <c:v>5.7042300000000002E-4</c:v>
                </c:pt>
                <c:pt idx="93">
                  <c:v>5.7393799999999997E-4</c:v>
                </c:pt>
                <c:pt idx="94">
                  <c:v>5.7470299999999998E-4</c:v>
                </c:pt>
                <c:pt idx="95">
                  <c:v>5.7576999999999997E-4</c:v>
                </c:pt>
                <c:pt idx="96">
                  <c:v>5.7604499999999996E-4</c:v>
                </c:pt>
                <c:pt idx="97">
                  <c:v>5.7670099999999999E-4</c:v>
                </c:pt>
                <c:pt idx="98">
                  <c:v>5.7791699999999995E-4</c:v>
                </c:pt>
                <c:pt idx="99">
                  <c:v>5.7904600000000005E-4</c:v>
                </c:pt>
                <c:pt idx="100">
                  <c:v>5.7800500000000003E-4</c:v>
                </c:pt>
                <c:pt idx="101">
                  <c:v>5.8210599999999999E-4</c:v>
                </c:pt>
                <c:pt idx="102">
                  <c:v>5.8421000000000005E-4</c:v>
                </c:pt>
                <c:pt idx="103">
                  <c:v>5.8394000000000002E-4</c:v>
                </c:pt>
                <c:pt idx="104">
                  <c:v>5.8453699999999999E-4</c:v>
                </c:pt>
                <c:pt idx="105">
                  <c:v>5.8464599999999997E-4</c:v>
                </c:pt>
                <c:pt idx="106">
                  <c:v>5.8670700000000001E-4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D8-4D57-A491-70029CF71EF5}"/>
            </c:ext>
          </c:extLst>
        </c:ser>
        <c:ser>
          <c:idx val="3"/>
          <c:order val="3"/>
          <c:tx>
            <c:strRef>
              <c:f>'1234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D8-4D57-A491-70029CF7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61952"/>
        <c:axId val="604863200"/>
      </c:scatterChart>
      <c:valAx>
        <c:axId val="6048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3200"/>
        <c:crosses val="autoZero"/>
        <c:crossBetween val="midCat"/>
      </c:valAx>
      <c:valAx>
        <c:axId val="6048632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hpi'!$C$3:$C$124</c:f>
              <c:numCache>
                <c:formatCode>General</c:formatCode>
                <c:ptCount val="122"/>
                <c:pt idx="0">
                  <c:v>1.4498000000000001E-4</c:v>
                </c:pt>
                <c:pt idx="1">
                  <c:v>1.4216700000000001E-4</c:v>
                </c:pt>
                <c:pt idx="2">
                  <c:v>1.4084199999999999E-4</c:v>
                </c:pt>
                <c:pt idx="3">
                  <c:v>1.4106599999999999E-4</c:v>
                </c:pt>
                <c:pt idx="4">
                  <c:v>1.3862600000000001E-4</c:v>
                </c:pt>
                <c:pt idx="5">
                  <c:v>1.3807700000000001E-4</c:v>
                </c:pt>
                <c:pt idx="6">
                  <c:v>1.3789600000000001E-4</c:v>
                </c:pt>
                <c:pt idx="7">
                  <c:v>1.3899800000000001E-4</c:v>
                </c:pt>
                <c:pt idx="8">
                  <c:v>1.3835E-4</c:v>
                </c:pt>
                <c:pt idx="9">
                  <c:v>1.3673799999999999E-4</c:v>
                </c:pt>
                <c:pt idx="10">
                  <c:v>1.36379E-4</c:v>
                </c:pt>
                <c:pt idx="11">
                  <c:v>1.35871E-4</c:v>
                </c:pt>
                <c:pt idx="12">
                  <c:v>1.3655000000000001E-4</c:v>
                </c:pt>
                <c:pt idx="13">
                  <c:v>1.3495599999999999E-4</c:v>
                </c:pt>
                <c:pt idx="14">
                  <c:v>1.34745E-4</c:v>
                </c:pt>
                <c:pt idx="15">
                  <c:v>1.3468200000000001E-4</c:v>
                </c:pt>
                <c:pt idx="16">
                  <c:v>1.3514899999999999E-4</c:v>
                </c:pt>
                <c:pt idx="17">
                  <c:v>1.3393699999999999E-4</c:v>
                </c:pt>
                <c:pt idx="18">
                  <c:v>1.3397600000000001E-4</c:v>
                </c:pt>
                <c:pt idx="19">
                  <c:v>1.3413699999999999E-4</c:v>
                </c:pt>
                <c:pt idx="20">
                  <c:v>1.3424699999999999E-4</c:v>
                </c:pt>
                <c:pt idx="21">
                  <c:v>1.3392300000000001E-4</c:v>
                </c:pt>
                <c:pt idx="22">
                  <c:v>1.33845E-4</c:v>
                </c:pt>
                <c:pt idx="23">
                  <c:v>1.3386100000000001E-4</c:v>
                </c:pt>
                <c:pt idx="24">
                  <c:v>1.3362700000000001E-4</c:v>
                </c:pt>
                <c:pt idx="25">
                  <c:v>1.3263199999999999E-4</c:v>
                </c:pt>
                <c:pt idx="26">
                  <c:v>1.3420700000000001E-4</c:v>
                </c:pt>
                <c:pt idx="27">
                  <c:v>1.3419300000000001E-4</c:v>
                </c:pt>
                <c:pt idx="28">
                  <c:v>1.3331899999999999E-4</c:v>
                </c:pt>
                <c:pt idx="29">
                  <c:v>5.4785299999999999E-5</c:v>
                </c:pt>
                <c:pt idx="30">
                  <c:v>5.2724099999999999E-5</c:v>
                </c:pt>
                <c:pt idx="31">
                  <c:v>5.0992599999999997E-5</c:v>
                </c:pt>
                <c:pt idx="32">
                  <c:v>4.9544299999999999E-5</c:v>
                </c:pt>
                <c:pt idx="33">
                  <c:v>4.8353699999999998E-5</c:v>
                </c:pt>
                <c:pt idx="34">
                  <c:v>4.7318199999999997E-5</c:v>
                </c:pt>
                <c:pt idx="35">
                  <c:v>4.6422299999999998E-5</c:v>
                </c:pt>
                <c:pt idx="36">
                  <c:v>4.5611400000000002E-5</c:v>
                </c:pt>
                <c:pt idx="37">
                  <c:v>4.4882400000000002E-5</c:v>
                </c:pt>
                <c:pt idx="38">
                  <c:v>4.4168000000000001E-5</c:v>
                </c:pt>
                <c:pt idx="39">
                  <c:v>1.33499E-4</c:v>
                </c:pt>
                <c:pt idx="40">
                  <c:v>1.3404000000000001E-4</c:v>
                </c:pt>
                <c:pt idx="41">
                  <c:v>1.3047300000000001E-4</c:v>
                </c:pt>
                <c:pt idx="42">
                  <c:v>1.2706499999999999E-4</c:v>
                </c:pt>
                <c:pt idx="43">
                  <c:v>1.2554800000000001E-4</c:v>
                </c:pt>
                <c:pt idx="44">
                  <c:v>1.2328400000000001E-4</c:v>
                </c:pt>
                <c:pt idx="45">
                  <c:v>1.2258599999999999E-4</c:v>
                </c:pt>
                <c:pt idx="46">
                  <c:v>1.21196E-4</c:v>
                </c:pt>
                <c:pt idx="47">
                  <c:v>1.20821E-4</c:v>
                </c:pt>
                <c:pt idx="48">
                  <c:v>1.20569E-4</c:v>
                </c:pt>
                <c:pt idx="49">
                  <c:v>1.1960600000000001E-4</c:v>
                </c:pt>
                <c:pt idx="50">
                  <c:v>1.1837600000000001E-4</c:v>
                </c:pt>
                <c:pt idx="51">
                  <c:v>1.17904E-4</c:v>
                </c:pt>
                <c:pt idx="52">
                  <c:v>1.17862E-4</c:v>
                </c:pt>
                <c:pt idx="53">
                  <c:v>1.1797499999999999E-4</c:v>
                </c:pt>
                <c:pt idx="54">
                  <c:v>1.17231E-4</c:v>
                </c:pt>
                <c:pt idx="55">
                  <c:v>1.17464E-4</c:v>
                </c:pt>
                <c:pt idx="56">
                  <c:v>1.16981E-4</c:v>
                </c:pt>
                <c:pt idx="57">
                  <c:v>1.16439E-4</c:v>
                </c:pt>
                <c:pt idx="58">
                  <c:v>1.16933E-4</c:v>
                </c:pt>
                <c:pt idx="59">
                  <c:v>1.1676300000000001E-4</c:v>
                </c:pt>
                <c:pt idx="60">
                  <c:v>1.15655E-4</c:v>
                </c:pt>
                <c:pt idx="61">
                  <c:v>1.15979E-4</c:v>
                </c:pt>
                <c:pt idx="62">
                  <c:v>1.16049E-4</c:v>
                </c:pt>
                <c:pt idx="63">
                  <c:v>1.1668E-4</c:v>
                </c:pt>
                <c:pt idx="64">
                  <c:v>1.1626299999999999E-4</c:v>
                </c:pt>
                <c:pt idx="65">
                  <c:v>1.16444E-4</c:v>
                </c:pt>
                <c:pt idx="66">
                  <c:v>1.1625000000000001E-4</c:v>
                </c:pt>
                <c:pt idx="67">
                  <c:v>1.16255E-4</c:v>
                </c:pt>
                <c:pt idx="68">
                  <c:v>4.3060799999999999E-5</c:v>
                </c:pt>
                <c:pt idx="69">
                  <c:v>4.2592400000000002E-5</c:v>
                </c:pt>
                <c:pt idx="70">
                  <c:v>4.2050099999999999E-5</c:v>
                </c:pt>
                <c:pt idx="71">
                  <c:v>4.14942E-5</c:v>
                </c:pt>
                <c:pt idx="72">
                  <c:v>4.1105400000000001E-5</c:v>
                </c:pt>
                <c:pt idx="73">
                  <c:v>4.0725800000000002E-5</c:v>
                </c:pt>
                <c:pt idx="74">
                  <c:v>4.0290899999999997E-5</c:v>
                </c:pt>
                <c:pt idx="75">
                  <c:v>3.9881600000000001E-5</c:v>
                </c:pt>
                <c:pt idx="76">
                  <c:v>3.9577299999999998E-5</c:v>
                </c:pt>
                <c:pt idx="77">
                  <c:v>3.92877E-5</c:v>
                </c:pt>
                <c:pt idx="78">
                  <c:v>1.28911E-4</c:v>
                </c:pt>
                <c:pt idx="79">
                  <c:v>1.23621E-4</c:v>
                </c:pt>
                <c:pt idx="80">
                  <c:v>1.21591E-4</c:v>
                </c:pt>
                <c:pt idx="81">
                  <c:v>1.20845E-4</c:v>
                </c:pt>
                <c:pt idx="82">
                  <c:v>1.18854E-4</c:v>
                </c:pt>
                <c:pt idx="83">
                  <c:v>1.17825E-4</c:v>
                </c:pt>
                <c:pt idx="84">
                  <c:v>1.16607E-4</c:v>
                </c:pt>
                <c:pt idx="85">
                  <c:v>1.16061E-4</c:v>
                </c:pt>
                <c:pt idx="86">
                  <c:v>1.15544E-4</c:v>
                </c:pt>
                <c:pt idx="87">
                  <c:v>1.15058E-4</c:v>
                </c:pt>
                <c:pt idx="88">
                  <c:v>1.15287E-4</c:v>
                </c:pt>
                <c:pt idx="89">
                  <c:v>1.1434699999999999E-4</c:v>
                </c:pt>
                <c:pt idx="90">
                  <c:v>1.1458E-4</c:v>
                </c:pt>
                <c:pt idx="91">
                  <c:v>1.1420499999999999E-4</c:v>
                </c:pt>
                <c:pt idx="92">
                  <c:v>1.1428400000000001E-4</c:v>
                </c:pt>
                <c:pt idx="93">
                  <c:v>1.13723E-4</c:v>
                </c:pt>
                <c:pt idx="94">
                  <c:v>1.13403E-4</c:v>
                </c:pt>
                <c:pt idx="95">
                  <c:v>1.13278E-4</c:v>
                </c:pt>
                <c:pt idx="96">
                  <c:v>1.13497E-4</c:v>
                </c:pt>
                <c:pt idx="97">
                  <c:v>1.13742E-4</c:v>
                </c:pt>
                <c:pt idx="98">
                  <c:v>1.1321E-4</c:v>
                </c:pt>
                <c:pt idx="99">
                  <c:v>1.13262E-4</c:v>
                </c:pt>
                <c:pt idx="100">
                  <c:v>1.1356100000000001E-4</c:v>
                </c:pt>
                <c:pt idx="101">
                  <c:v>1.1325E-4</c:v>
                </c:pt>
                <c:pt idx="102">
                  <c:v>1.12786E-4</c:v>
                </c:pt>
                <c:pt idx="103">
                  <c:v>1.13275E-4</c:v>
                </c:pt>
                <c:pt idx="104">
                  <c:v>1.1298000000000001E-4</c:v>
                </c:pt>
                <c:pt idx="105">
                  <c:v>1.12654E-4</c:v>
                </c:pt>
                <c:pt idx="106">
                  <c:v>1.13392E-4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B-47F7-84BC-D4C1CD5FF1DE}"/>
            </c:ext>
          </c:extLst>
        </c:ser>
        <c:ser>
          <c:idx val="1"/>
          <c:order val="1"/>
          <c:tx>
            <c:strRef>
              <c:f>'1234 P- 72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hpi'!$H$3:$H$124</c:f>
              <c:numCache>
                <c:formatCode>General</c:formatCode>
                <c:ptCount val="122"/>
                <c:pt idx="0">
                  <c:v>1.21001E-4</c:v>
                </c:pt>
                <c:pt idx="1">
                  <c:v>1.21766E-4</c:v>
                </c:pt>
                <c:pt idx="2">
                  <c:v>1.18887E-4</c:v>
                </c:pt>
                <c:pt idx="3">
                  <c:v>1.23709E-4</c:v>
                </c:pt>
                <c:pt idx="4">
                  <c:v>1.2198599999999999E-4</c:v>
                </c:pt>
                <c:pt idx="5">
                  <c:v>1.23373E-4</c:v>
                </c:pt>
                <c:pt idx="6">
                  <c:v>1.20872E-4</c:v>
                </c:pt>
                <c:pt idx="7">
                  <c:v>1.22731E-4</c:v>
                </c:pt>
                <c:pt idx="8">
                  <c:v>1.2290200000000001E-4</c:v>
                </c:pt>
                <c:pt idx="9">
                  <c:v>1.2360800000000001E-4</c:v>
                </c:pt>
                <c:pt idx="10">
                  <c:v>1.22552E-4</c:v>
                </c:pt>
                <c:pt idx="11">
                  <c:v>1.2374700000000001E-4</c:v>
                </c:pt>
                <c:pt idx="12">
                  <c:v>1.23168E-4</c:v>
                </c:pt>
                <c:pt idx="13">
                  <c:v>1.2396900000000001E-4</c:v>
                </c:pt>
                <c:pt idx="14">
                  <c:v>1.2095999999999999E-4</c:v>
                </c:pt>
                <c:pt idx="15">
                  <c:v>1.2334299999999999E-4</c:v>
                </c:pt>
                <c:pt idx="16">
                  <c:v>1.2497800000000001E-4</c:v>
                </c:pt>
                <c:pt idx="17">
                  <c:v>1.21332E-4</c:v>
                </c:pt>
                <c:pt idx="18">
                  <c:v>1.26057E-4</c:v>
                </c:pt>
                <c:pt idx="19">
                  <c:v>1.26766E-4</c:v>
                </c:pt>
                <c:pt idx="20">
                  <c:v>1.18677E-4</c:v>
                </c:pt>
                <c:pt idx="21">
                  <c:v>1.20685E-4</c:v>
                </c:pt>
                <c:pt idx="22">
                  <c:v>1.1831400000000001E-4</c:v>
                </c:pt>
                <c:pt idx="23">
                  <c:v>1.16562E-4</c:v>
                </c:pt>
                <c:pt idx="24">
                  <c:v>1.20745E-4</c:v>
                </c:pt>
                <c:pt idx="25">
                  <c:v>1.23175E-4</c:v>
                </c:pt>
                <c:pt idx="26">
                  <c:v>1.1961899999999999E-4</c:v>
                </c:pt>
                <c:pt idx="27">
                  <c:v>1.2588200000000001E-4</c:v>
                </c:pt>
                <c:pt idx="28">
                  <c:v>1.2499700000000001E-4</c:v>
                </c:pt>
                <c:pt idx="29">
                  <c:v>4.6649200000000001E-5</c:v>
                </c:pt>
                <c:pt idx="30">
                  <c:v>4.4552199999999997E-5</c:v>
                </c:pt>
                <c:pt idx="31">
                  <c:v>4.2930499999999998E-5</c:v>
                </c:pt>
                <c:pt idx="32">
                  <c:v>4.1696100000000002E-5</c:v>
                </c:pt>
                <c:pt idx="33">
                  <c:v>4.0649999999999999E-5</c:v>
                </c:pt>
                <c:pt idx="34">
                  <c:v>3.9774100000000003E-5</c:v>
                </c:pt>
                <c:pt idx="35">
                  <c:v>3.8982E-5</c:v>
                </c:pt>
                <c:pt idx="36">
                  <c:v>3.83079E-5</c:v>
                </c:pt>
                <c:pt idx="37">
                  <c:v>3.7752200000000001E-5</c:v>
                </c:pt>
                <c:pt idx="38">
                  <c:v>3.7163899999999998E-5</c:v>
                </c:pt>
                <c:pt idx="39">
                  <c:v>1.4567700000000001E-4</c:v>
                </c:pt>
                <c:pt idx="40">
                  <c:v>1.46062E-4</c:v>
                </c:pt>
                <c:pt idx="41">
                  <c:v>1.50488E-4</c:v>
                </c:pt>
                <c:pt idx="42">
                  <c:v>1.5088499999999999E-4</c:v>
                </c:pt>
                <c:pt idx="43">
                  <c:v>1.5064500000000001E-4</c:v>
                </c:pt>
                <c:pt idx="44">
                  <c:v>1.4417600000000001E-4</c:v>
                </c:pt>
                <c:pt idx="45">
                  <c:v>1.38844E-4</c:v>
                </c:pt>
                <c:pt idx="46">
                  <c:v>1.36114E-4</c:v>
                </c:pt>
                <c:pt idx="47">
                  <c:v>1.2752E-4</c:v>
                </c:pt>
                <c:pt idx="48">
                  <c:v>1.3886399999999999E-4</c:v>
                </c:pt>
                <c:pt idx="49">
                  <c:v>1.47434E-4</c:v>
                </c:pt>
                <c:pt idx="50">
                  <c:v>1.49505E-4</c:v>
                </c:pt>
                <c:pt idx="51">
                  <c:v>1.4356699999999999E-4</c:v>
                </c:pt>
                <c:pt idx="52">
                  <c:v>1.3875000000000001E-4</c:v>
                </c:pt>
                <c:pt idx="53">
                  <c:v>1.47882E-4</c:v>
                </c:pt>
                <c:pt idx="54">
                  <c:v>1.4966900000000001E-4</c:v>
                </c:pt>
                <c:pt idx="55">
                  <c:v>1.4919299999999999E-4</c:v>
                </c:pt>
                <c:pt idx="56">
                  <c:v>1.4673299999999999E-4</c:v>
                </c:pt>
                <c:pt idx="57">
                  <c:v>1.51099E-4</c:v>
                </c:pt>
                <c:pt idx="58">
                  <c:v>1.5051600000000001E-4</c:v>
                </c:pt>
                <c:pt idx="59">
                  <c:v>1.5053500000000001E-4</c:v>
                </c:pt>
                <c:pt idx="60">
                  <c:v>1.53187E-4</c:v>
                </c:pt>
                <c:pt idx="61">
                  <c:v>1.5563799999999999E-4</c:v>
                </c:pt>
                <c:pt idx="62">
                  <c:v>1.55926E-4</c:v>
                </c:pt>
                <c:pt idx="63">
                  <c:v>1.5610999999999999E-4</c:v>
                </c:pt>
                <c:pt idx="64">
                  <c:v>1.5272800000000001E-4</c:v>
                </c:pt>
                <c:pt idx="65">
                  <c:v>1.54831E-4</c:v>
                </c:pt>
                <c:pt idx="66">
                  <c:v>1.56198E-4</c:v>
                </c:pt>
                <c:pt idx="67">
                  <c:v>1.5351000000000001E-4</c:v>
                </c:pt>
                <c:pt idx="68">
                  <c:v>3.6272700000000003E-5</c:v>
                </c:pt>
                <c:pt idx="69">
                  <c:v>3.5799700000000002E-5</c:v>
                </c:pt>
                <c:pt idx="70">
                  <c:v>3.5283700000000002E-5</c:v>
                </c:pt>
                <c:pt idx="71">
                  <c:v>3.4906400000000002E-5</c:v>
                </c:pt>
                <c:pt idx="72">
                  <c:v>3.45132E-5</c:v>
                </c:pt>
                <c:pt idx="73">
                  <c:v>3.41825E-5</c:v>
                </c:pt>
                <c:pt idx="74">
                  <c:v>3.3915199999999997E-5</c:v>
                </c:pt>
                <c:pt idx="75">
                  <c:v>3.3674899999999998E-5</c:v>
                </c:pt>
                <c:pt idx="76">
                  <c:v>3.33698E-5</c:v>
                </c:pt>
                <c:pt idx="77">
                  <c:v>3.3109599999999999E-5</c:v>
                </c:pt>
                <c:pt idx="78">
                  <c:v>1.3544499999999999E-4</c:v>
                </c:pt>
                <c:pt idx="79">
                  <c:v>1.44093E-4</c:v>
                </c:pt>
                <c:pt idx="80">
                  <c:v>1.4430399999999999E-4</c:v>
                </c:pt>
                <c:pt idx="81">
                  <c:v>1.45017E-4</c:v>
                </c:pt>
                <c:pt idx="82">
                  <c:v>1.43299E-4</c:v>
                </c:pt>
                <c:pt idx="83">
                  <c:v>1.3736900000000001E-4</c:v>
                </c:pt>
                <c:pt idx="84">
                  <c:v>1.34759E-4</c:v>
                </c:pt>
                <c:pt idx="85">
                  <c:v>1.2883099999999999E-4</c:v>
                </c:pt>
                <c:pt idx="86">
                  <c:v>1.3008799999999999E-4</c:v>
                </c:pt>
                <c:pt idx="87">
                  <c:v>1.3408699999999999E-4</c:v>
                </c:pt>
                <c:pt idx="88">
                  <c:v>1.3516400000000001E-4</c:v>
                </c:pt>
                <c:pt idx="89">
                  <c:v>1.3813000000000001E-4</c:v>
                </c:pt>
                <c:pt idx="90">
                  <c:v>1.35012E-4</c:v>
                </c:pt>
                <c:pt idx="91">
                  <c:v>1.45091E-4</c:v>
                </c:pt>
                <c:pt idx="92">
                  <c:v>1.4484900000000001E-4</c:v>
                </c:pt>
                <c:pt idx="93">
                  <c:v>1.38854E-4</c:v>
                </c:pt>
                <c:pt idx="94">
                  <c:v>1.3890500000000001E-4</c:v>
                </c:pt>
                <c:pt idx="95">
                  <c:v>1.43339E-4</c:v>
                </c:pt>
                <c:pt idx="96">
                  <c:v>1.51476E-4</c:v>
                </c:pt>
                <c:pt idx="97">
                  <c:v>1.4758999999999999E-4</c:v>
                </c:pt>
                <c:pt idx="98">
                  <c:v>1.51588E-4</c:v>
                </c:pt>
                <c:pt idx="99">
                  <c:v>1.4930400000000001E-4</c:v>
                </c:pt>
                <c:pt idx="100">
                  <c:v>1.52115E-4</c:v>
                </c:pt>
                <c:pt idx="101">
                  <c:v>1.5323100000000001E-4</c:v>
                </c:pt>
                <c:pt idx="102">
                  <c:v>1.5369400000000001E-4</c:v>
                </c:pt>
                <c:pt idx="103">
                  <c:v>1.56525E-4</c:v>
                </c:pt>
                <c:pt idx="104">
                  <c:v>1.57524E-4</c:v>
                </c:pt>
                <c:pt idx="105">
                  <c:v>1.5469E-4</c:v>
                </c:pt>
                <c:pt idx="106">
                  <c:v>1.5623199999999999E-4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EB-47F7-84BC-D4C1CD5FF1DE}"/>
            </c:ext>
          </c:extLst>
        </c:ser>
        <c:ser>
          <c:idx val="2"/>
          <c:order val="2"/>
          <c:tx>
            <c:strRef>
              <c:f>'1234 P- 72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hpi'!$M$3:$M$124</c:f>
              <c:numCache>
                <c:formatCode>0.00E+00</c:formatCode>
                <c:ptCount val="122"/>
                <c:pt idx="0">
                  <c:v>1.27374E-4</c:v>
                </c:pt>
                <c:pt idx="1">
                  <c:v>1.2429300000000001E-4</c:v>
                </c:pt>
                <c:pt idx="2">
                  <c:v>1.26542E-4</c:v>
                </c:pt>
                <c:pt idx="3">
                  <c:v>1.2902899999999999E-4</c:v>
                </c:pt>
                <c:pt idx="4">
                  <c:v>1.2898799999999999E-4</c:v>
                </c:pt>
                <c:pt idx="5">
                  <c:v>1.2997700000000001E-4</c:v>
                </c:pt>
                <c:pt idx="6">
                  <c:v>1.2745700000000001E-4</c:v>
                </c:pt>
                <c:pt idx="7">
                  <c:v>1.29937E-4</c:v>
                </c:pt>
                <c:pt idx="8">
                  <c:v>1.3121899999999999E-4</c:v>
                </c:pt>
                <c:pt idx="9">
                  <c:v>1.31328E-4</c:v>
                </c:pt>
                <c:pt idx="10">
                  <c:v>1.35038E-4</c:v>
                </c:pt>
                <c:pt idx="11">
                  <c:v>1.32986E-4</c:v>
                </c:pt>
                <c:pt idx="12">
                  <c:v>1.3483200000000001E-4</c:v>
                </c:pt>
                <c:pt idx="13">
                  <c:v>1.29901E-4</c:v>
                </c:pt>
                <c:pt idx="14">
                  <c:v>1.31416E-4</c:v>
                </c:pt>
                <c:pt idx="15">
                  <c:v>1.3322599999999999E-4</c:v>
                </c:pt>
                <c:pt idx="16">
                  <c:v>1.33316E-4</c:v>
                </c:pt>
                <c:pt idx="17">
                  <c:v>1.3728300000000001E-4</c:v>
                </c:pt>
                <c:pt idx="18">
                  <c:v>1.35446E-4</c:v>
                </c:pt>
                <c:pt idx="19">
                  <c:v>1.39271E-4</c:v>
                </c:pt>
                <c:pt idx="20">
                  <c:v>1.4259E-4</c:v>
                </c:pt>
                <c:pt idx="21">
                  <c:v>1.42929E-4</c:v>
                </c:pt>
                <c:pt idx="22">
                  <c:v>1.4513899999999999E-4</c:v>
                </c:pt>
                <c:pt idx="23">
                  <c:v>1.4581800000000001E-4</c:v>
                </c:pt>
                <c:pt idx="24">
                  <c:v>1.4509700000000001E-4</c:v>
                </c:pt>
                <c:pt idx="25">
                  <c:v>1.4941100000000001E-4</c:v>
                </c:pt>
                <c:pt idx="26">
                  <c:v>1.43886E-4</c:v>
                </c:pt>
                <c:pt idx="27">
                  <c:v>1.4888499999999999E-4</c:v>
                </c:pt>
                <c:pt idx="28">
                  <c:v>1.5097999999999999E-4</c:v>
                </c:pt>
                <c:pt idx="29">
                  <c:v>4.5475500000000002E-5</c:v>
                </c:pt>
                <c:pt idx="30">
                  <c:v>4.3971699999999998E-5</c:v>
                </c:pt>
                <c:pt idx="31">
                  <c:v>4.32279E-5</c:v>
                </c:pt>
                <c:pt idx="32">
                  <c:v>4.2532199999999999E-5</c:v>
                </c:pt>
                <c:pt idx="33">
                  <c:v>4.1924100000000001E-5</c:v>
                </c:pt>
                <c:pt idx="34">
                  <c:v>4.1830399999999998E-5</c:v>
                </c:pt>
                <c:pt idx="35">
                  <c:v>4.1514699999999997E-5</c:v>
                </c:pt>
                <c:pt idx="36">
                  <c:v>4.1171000000000003E-5</c:v>
                </c:pt>
                <c:pt idx="37">
                  <c:v>4.0677399999999998E-5</c:v>
                </c:pt>
                <c:pt idx="38">
                  <c:v>4.0305200000000002E-5</c:v>
                </c:pt>
                <c:pt idx="39">
                  <c:v>1.1523000000000001E-4</c:v>
                </c:pt>
                <c:pt idx="40">
                  <c:v>1.15264E-4</c:v>
                </c:pt>
                <c:pt idx="41">
                  <c:v>1.17681E-4</c:v>
                </c:pt>
                <c:pt idx="42">
                  <c:v>1.12954E-4</c:v>
                </c:pt>
                <c:pt idx="43">
                  <c:v>1.07544E-4</c:v>
                </c:pt>
                <c:pt idx="44">
                  <c:v>1.07545E-4</c:v>
                </c:pt>
                <c:pt idx="45">
                  <c:v>1.08504E-4</c:v>
                </c:pt>
                <c:pt idx="46">
                  <c:v>1.1088E-4</c:v>
                </c:pt>
                <c:pt idx="47">
                  <c:v>1.1013700000000001E-4</c:v>
                </c:pt>
                <c:pt idx="48">
                  <c:v>1.08504E-4</c:v>
                </c:pt>
                <c:pt idx="49">
                  <c:v>1.07396E-4</c:v>
                </c:pt>
                <c:pt idx="50">
                  <c:v>1.08904E-4</c:v>
                </c:pt>
                <c:pt idx="51">
                  <c:v>1.0965E-4</c:v>
                </c:pt>
                <c:pt idx="52">
                  <c:v>1.0784499999999999E-4</c:v>
                </c:pt>
                <c:pt idx="53">
                  <c:v>1.0748599999999999E-4</c:v>
                </c:pt>
                <c:pt idx="54">
                  <c:v>1.07098E-4</c:v>
                </c:pt>
                <c:pt idx="55">
                  <c:v>1.0614E-4</c:v>
                </c:pt>
                <c:pt idx="56">
                  <c:v>1.0647899999999999E-4</c:v>
                </c:pt>
                <c:pt idx="57">
                  <c:v>1.04727E-4</c:v>
                </c:pt>
                <c:pt idx="58">
                  <c:v>1.05406E-4</c:v>
                </c:pt>
                <c:pt idx="59">
                  <c:v>1.03706E-4</c:v>
                </c:pt>
                <c:pt idx="60">
                  <c:v>1.043E-4</c:v>
                </c:pt>
                <c:pt idx="61">
                  <c:v>1.102E-4</c:v>
                </c:pt>
                <c:pt idx="62">
                  <c:v>1.09806E-4</c:v>
                </c:pt>
                <c:pt idx="63">
                  <c:v>1.0961199999999999E-4</c:v>
                </c:pt>
                <c:pt idx="64">
                  <c:v>1.0686799999999999E-4</c:v>
                </c:pt>
                <c:pt idx="65">
                  <c:v>1.0445799999999999E-4</c:v>
                </c:pt>
                <c:pt idx="66">
                  <c:v>1.0597199999999999E-4</c:v>
                </c:pt>
                <c:pt idx="67">
                  <c:v>1.0712700000000001E-4</c:v>
                </c:pt>
                <c:pt idx="68">
                  <c:v>3.9149600000000002E-5</c:v>
                </c:pt>
                <c:pt idx="69">
                  <c:v>3.8996899999999999E-5</c:v>
                </c:pt>
                <c:pt idx="70">
                  <c:v>3.86388E-5</c:v>
                </c:pt>
                <c:pt idx="71">
                  <c:v>3.8316299999999998E-5</c:v>
                </c:pt>
                <c:pt idx="72">
                  <c:v>3.7966899999999997E-5</c:v>
                </c:pt>
                <c:pt idx="73">
                  <c:v>3.7691999999999998E-5</c:v>
                </c:pt>
                <c:pt idx="74">
                  <c:v>3.7403400000000002E-5</c:v>
                </c:pt>
                <c:pt idx="75">
                  <c:v>3.71769E-5</c:v>
                </c:pt>
                <c:pt idx="76">
                  <c:v>3.6939E-5</c:v>
                </c:pt>
                <c:pt idx="77">
                  <c:v>3.6715799999999998E-5</c:v>
                </c:pt>
                <c:pt idx="78">
                  <c:v>1.09295E-4</c:v>
                </c:pt>
                <c:pt idx="79">
                  <c:v>1.1069300000000001E-4</c:v>
                </c:pt>
                <c:pt idx="80">
                  <c:v>1.08436E-4</c:v>
                </c:pt>
                <c:pt idx="81">
                  <c:v>1.0561299999999999E-4</c:v>
                </c:pt>
                <c:pt idx="82">
                  <c:v>1.01479E-4</c:v>
                </c:pt>
                <c:pt idx="83">
                  <c:v>9.9022200000000002E-5</c:v>
                </c:pt>
                <c:pt idx="84">
                  <c:v>9.4104400000000007E-5</c:v>
                </c:pt>
                <c:pt idx="85">
                  <c:v>9.8960000000000001E-5</c:v>
                </c:pt>
                <c:pt idx="86">
                  <c:v>9.6148400000000003E-5</c:v>
                </c:pt>
                <c:pt idx="87">
                  <c:v>1.01174E-4</c:v>
                </c:pt>
                <c:pt idx="88">
                  <c:v>9.8292800000000002E-5</c:v>
                </c:pt>
                <c:pt idx="89">
                  <c:v>9.8704399999999996E-5</c:v>
                </c:pt>
                <c:pt idx="90">
                  <c:v>9.8125699999999995E-5</c:v>
                </c:pt>
                <c:pt idx="91">
                  <c:v>1.00745E-4</c:v>
                </c:pt>
                <c:pt idx="92">
                  <c:v>1.07067E-4</c:v>
                </c:pt>
                <c:pt idx="93">
                  <c:v>1.08309E-4</c:v>
                </c:pt>
                <c:pt idx="94">
                  <c:v>1.00729E-4</c:v>
                </c:pt>
                <c:pt idx="95">
                  <c:v>1.02396E-4</c:v>
                </c:pt>
                <c:pt idx="96">
                  <c:v>1.01939E-4</c:v>
                </c:pt>
                <c:pt idx="97">
                  <c:v>1.0336E-4</c:v>
                </c:pt>
                <c:pt idx="98">
                  <c:v>1.06667E-4</c:v>
                </c:pt>
                <c:pt idx="99">
                  <c:v>1.0634200000000001E-4</c:v>
                </c:pt>
                <c:pt idx="100">
                  <c:v>1.05006E-4</c:v>
                </c:pt>
                <c:pt idx="101">
                  <c:v>1.06395E-4</c:v>
                </c:pt>
                <c:pt idx="102">
                  <c:v>1.03399E-4</c:v>
                </c:pt>
                <c:pt idx="103">
                  <c:v>1.02389E-4</c:v>
                </c:pt>
                <c:pt idx="104">
                  <c:v>1.02565E-4</c:v>
                </c:pt>
                <c:pt idx="105">
                  <c:v>1.0710200000000001E-4</c:v>
                </c:pt>
                <c:pt idx="106">
                  <c:v>1.08164E-4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EB-47F7-84BC-D4C1CD5FF1DE}"/>
            </c:ext>
          </c:extLst>
        </c:ser>
        <c:ser>
          <c:idx val="3"/>
          <c:order val="3"/>
          <c:tx>
            <c:strRef>
              <c:f>'1234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EB-47F7-84BC-D4C1CD5FF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933040"/>
        <c:axId val="1137930960"/>
      </c:scatterChart>
      <c:valAx>
        <c:axId val="11379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0960"/>
        <c:crosses val="autoZero"/>
        <c:crossBetween val="midCat"/>
      </c:valAx>
      <c:valAx>
        <c:axId val="11379309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100.19601105611795</c:v>
                </c:pt>
                <c:pt idx="2">
                  <c:v>100.23291655197097</c:v>
                </c:pt>
                <c:pt idx="3">
                  <c:v>100.41439598157643</c:v>
                </c:pt>
                <c:pt idx="4">
                  <c:v>100.57086203282532</c:v>
                </c:pt>
                <c:pt idx="5">
                  <c:v>100.62533509224284</c:v>
                </c:pt>
                <c:pt idx="6">
                  <c:v>100.79518650920261</c:v>
                </c:pt>
                <c:pt idx="7">
                  <c:v>100.9366785000902</c:v>
                </c:pt>
                <c:pt idx="8">
                  <c:v>101.05851187335381</c:v>
                </c:pt>
                <c:pt idx="9">
                  <c:v>101.19143836200357</c:v>
                </c:pt>
                <c:pt idx="10">
                  <c:v>101.10067623171852</c:v>
                </c:pt>
                <c:pt idx="11">
                  <c:v>101.36183235915992</c:v>
                </c:pt>
                <c:pt idx="12">
                  <c:v>101.4141932146558</c:v>
                </c:pt>
                <c:pt idx="13">
                  <c:v>101.40407444839005</c:v>
                </c:pt>
                <c:pt idx="14">
                  <c:v>101.22244181649705</c:v>
                </c:pt>
                <c:pt idx="15">
                  <c:v>101.49971609591131</c:v>
                </c:pt>
                <c:pt idx="16">
                  <c:v>101.54546141199299</c:v>
                </c:pt>
                <c:pt idx="17">
                  <c:v>101.65744202175327</c:v>
                </c:pt>
                <c:pt idx="18">
                  <c:v>101.64852682035573</c:v>
                </c:pt>
                <c:pt idx="19">
                  <c:v>101.89511354044691</c:v>
                </c:pt>
                <c:pt idx="20">
                  <c:v>102.00550265355665</c:v>
                </c:pt>
                <c:pt idx="21">
                  <c:v>102.04843329463742</c:v>
                </c:pt>
                <c:pt idx="22">
                  <c:v>102.04698108104569</c:v>
                </c:pt>
                <c:pt idx="23">
                  <c:v>102.11278786010415</c:v>
                </c:pt>
                <c:pt idx="24">
                  <c:v>102.35069094476081</c:v>
                </c:pt>
                <c:pt idx="25">
                  <c:v>102.15556819115075</c:v>
                </c:pt>
                <c:pt idx="26">
                  <c:v>102.17157869486408</c:v>
                </c:pt>
                <c:pt idx="27">
                  <c:v>102.34692307102026</c:v>
                </c:pt>
                <c:pt idx="28">
                  <c:v>102.38697811771677</c:v>
                </c:pt>
                <c:pt idx="29">
                  <c:v>1.9617839223925104</c:v>
                </c:pt>
                <c:pt idx="30">
                  <c:v>1.9323095647329409</c:v>
                </c:pt>
                <c:pt idx="31">
                  <c:v>1.8853120820171556</c:v>
                </c:pt>
                <c:pt idx="32">
                  <c:v>1.8426025810677547</c:v>
                </c:pt>
                <c:pt idx="33">
                  <c:v>1.8036189792019495</c:v>
                </c:pt>
                <c:pt idx="34">
                  <c:v>1.7640261598605793</c:v>
                </c:pt>
                <c:pt idx="35">
                  <c:v>1.7260891894130106</c:v>
                </c:pt>
                <c:pt idx="36">
                  <c:v>1.6887315172521546</c:v>
                </c:pt>
                <c:pt idx="37">
                  <c:v>1.6531203120489044</c:v>
                </c:pt>
                <c:pt idx="38">
                  <c:v>1.619684519569367</c:v>
                </c:pt>
                <c:pt idx="39">
                  <c:v>59.402341938442994</c:v>
                </c:pt>
                <c:pt idx="40">
                  <c:v>60.958163200180508</c:v>
                </c:pt>
                <c:pt idx="41">
                  <c:v>61.82620903821082</c:v>
                </c:pt>
                <c:pt idx="42">
                  <c:v>62.504527294668435</c:v>
                </c:pt>
                <c:pt idx="43">
                  <c:v>62.972075207074646</c:v>
                </c:pt>
                <c:pt idx="44">
                  <c:v>63.401177519871425</c:v>
                </c:pt>
                <c:pt idx="45">
                  <c:v>63.820688760467583</c:v>
                </c:pt>
                <c:pt idx="46">
                  <c:v>63.942313823487432</c:v>
                </c:pt>
                <c:pt idx="47">
                  <c:v>64.342334806675666</c:v>
                </c:pt>
                <c:pt idx="48">
                  <c:v>64.606854751244015</c:v>
                </c:pt>
                <c:pt idx="49">
                  <c:v>64.606363500608722</c:v>
                </c:pt>
                <c:pt idx="50">
                  <c:v>64.730120327191656</c:v>
                </c:pt>
                <c:pt idx="51">
                  <c:v>64.851160690797244</c:v>
                </c:pt>
                <c:pt idx="52">
                  <c:v>65.031634796732178</c:v>
                </c:pt>
                <c:pt idx="53">
                  <c:v>65.15851829791788</c:v>
                </c:pt>
                <c:pt idx="54">
                  <c:v>65.472392997044494</c:v>
                </c:pt>
                <c:pt idx="55">
                  <c:v>65.63297705503166</c:v>
                </c:pt>
                <c:pt idx="56">
                  <c:v>65.890796435354119</c:v>
                </c:pt>
                <c:pt idx="57">
                  <c:v>65.711138540955744</c:v>
                </c:pt>
                <c:pt idx="58">
                  <c:v>66.011151049109202</c:v>
                </c:pt>
                <c:pt idx="59">
                  <c:v>66.065113135690382</c:v>
                </c:pt>
                <c:pt idx="60">
                  <c:v>66.315021752662915</c:v>
                </c:pt>
                <c:pt idx="61">
                  <c:v>66.517897096145234</c:v>
                </c:pt>
                <c:pt idx="62">
                  <c:v>66.492556262578233</c:v>
                </c:pt>
                <c:pt idx="63">
                  <c:v>66.898668760272955</c:v>
                </c:pt>
                <c:pt idx="64">
                  <c:v>66.765895709295307</c:v>
                </c:pt>
                <c:pt idx="65">
                  <c:v>67.173107937887494</c:v>
                </c:pt>
                <c:pt idx="66">
                  <c:v>67.346528761497666</c:v>
                </c:pt>
                <c:pt idx="67">
                  <c:v>67.416936798846933</c:v>
                </c:pt>
                <c:pt idx="68">
                  <c:v>1.5754432654515509</c:v>
                </c:pt>
                <c:pt idx="69">
                  <c:v>1.5496568795786643</c:v>
                </c:pt>
                <c:pt idx="70">
                  <c:v>1.5167797387685518</c:v>
                </c:pt>
                <c:pt idx="71">
                  <c:v>1.4846818275645002</c:v>
                </c:pt>
                <c:pt idx="72">
                  <c:v>1.4602666008629812</c:v>
                </c:pt>
                <c:pt idx="73">
                  <c:v>1.4358042764191983</c:v>
                </c:pt>
                <c:pt idx="74">
                  <c:v>1.4125969069419773</c:v>
                </c:pt>
                <c:pt idx="75">
                  <c:v>1.3892568678472117</c:v>
                </c:pt>
                <c:pt idx="76">
                  <c:v>1.3686995536538826</c:v>
                </c:pt>
                <c:pt idx="77">
                  <c:v>1.3483831557892771</c:v>
                </c:pt>
                <c:pt idx="78">
                  <c:v>58.748424277074832</c:v>
                </c:pt>
                <c:pt idx="79">
                  <c:v>60.190359724886733</c:v>
                </c:pt>
                <c:pt idx="80">
                  <c:v>61.251599557925026</c:v>
                </c:pt>
                <c:pt idx="81">
                  <c:v>61.838840575323388</c:v>
                </c:pt>
                <c:pt idx="82">
                  <c:v>62.484121329095856</c:v>
                </c:pt>
                <c:pt idx="83">
                  <c:v>62.807874000234797</c:v>
                </c:pt>
                <c:pt idx="84">
                  <c:v>63.192576303292284</c:v>
                </c:pt>
                <c:pt idx="85">
                  <c:v>63.177768677796351</c:v>
                </c:pt>
                <c:pt idx="86">
                  <c:v>63.357813690660471</c:v>
                </c:pt>
                <c:pt idx="87">
                  <c:v>63.571785828178548</c:v>
                </c:pt>
                <c:pt idx="88">
                  <c:v>63.878577472198934</c:v>
                </c:pt>
                <c:pt idx="89">
                  <c:v>64.189187578510854</c:v>
                </c:pt>
                <c:pt idx="90">
                  <c:v>64.504534529575906</c:v>
                </c:pt>
                <c:pt idx="91">
                  <c:v>64.54696124794728</c:v>
                </c:pt>
                <c:pt idx="92">
                  <c:v>64.72949715925148</c:v>
                </c:pt>
                <c:pt idx="93">
                  <c:v>65.113681439345712</c:v>
                </c:pt>
                <c:pt idx="94">
                  <c:v>65.27941975742452</c:v>
                </c:pt>
                <c:pt idx="95">
                  <c:v>65.343451206060848</c:v>
                </c:pt>
                <c:pt idx="96">
                  <c:v>65.445975579580434</c:v>
                </c:pt>
                <c:pt idx="97">
                  <c:v>65.353880516828298</c:v>
                </c:pt>
                <c:pt idx="98">
                  <c:v>65.508254122250435</c:v>
                </c:pt>
                <c:pt idx="99">
                  <c:v>65.587216815887359</c:v>
                </c:pt>
                <c:pt idx="100">
                  <c:v>66.253969334437414</c:v>
                </c:pt>
                <c:pt idx="101">
                  <c:v>66.5065571666143</c:v>
                </c:pt>
                <c:pt idx="102">
                  <c:v>66.511550442254673</c:v>
                </c:pt>
                <c:pt idx="103">
                  <c:v>66.24823011262653</c:v>
                </c:pt>
                <c:pt idx="104">
                  <c:v>66.778395085782336</c:v>
                </c:pt>
                <c:pt idx="105">
                  <c:v>66.714961822469647</c:v>
                </c:pt>
                <c:pt idx="106">
                  <c:v>66.795015054607447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B-4955-80F6-B7C58720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876272"/>
        <c:axId val="2047713872"/>
      </c:scatterChart>
      <c:valAx>
        <c:axId val="20468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13872"/>
        <c:crosses val="autoZero"/>
        <c:crossBetween val="midCat"/>
      </c:valAx>
      <c:valAx>
        <c:axId val="2047713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7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100.10300518998542</c:v>
                </c:pt>
                <c:pt idx="2">
                  <c:v>98.746946024556848</c:v>
                </c:pt>
                <c:pt idx="3">
                  <c:v>99.93972079840853</c:v>
                </c:pt>
                <c:pt idx="4">
                  <c:v>98.145265466118929</c:v>
                </c:pt>
                <c:pt idx="5">
                  <c:v>101.38505547012193</c:v>
                </c:pt>
                <c:pt idx="6">
                  <c:v>103.51158043174912</c:v>
                </c:pt>
                <c:pt idx="7">
                  <c:v>102.84267840412073</c:v>
                </c:pt>
                <c:pt idx="8">
                  <c:v>101.05471380983022</c:v>
                </c:pt>
                <c:pt idx="9">
                  <c:v>102.44139015543908</c:v>
                </c:pt>
                <c:pt idx="10">
                  <c:v>101.98750304999564</c:v>
                </c:pt>
                <c:pt idx="11">
                  <c:v>103.3584033566016</c:v>
                </c:pt>
                <c:pt idx="12">
                  <c:v>103.54201815785765</c:v>
                </c:pt>
                <c:pt idx="13">
                  <c:v>101.76374263623242</c:v>
                </c:pt>
                <c:pt idx="14">
                  <c:v>100.07452698656381</c:v>
                </c:pt>
                <c:pt idx="15">
                  <c:v>100.71471346828858</c:v>
                </c:pt>
                <c:pt idx="16">
                  <c:v>100.92335777092575</c:v>
                </c:pt>
                <c:pt idx="17">
                  <c:v>102.07180449462983</c:v>
                </c:pt>
                <c:pt idx="18">
                  <c:v>101.19761279773819</c:v>
                </c:pt>
                <c:pt idx="19">
                  <c:v>102.21949230127561</c:v>
                </c:pt>
                <c:pt idx="20">
                  <c:v>103.44503046811755</c:v>
                </c:pt>
                <c:pt idx="21">
                  <c:v>103.23450045051656</c:v>
                </c:pt>
                <c:pt idx="22">
                  <c:v>102.40545881919802</c:v>
                </c:pt>
                <c:pt idx="23">
                  <c:v>101.78234797128619</c:v>
                </c:pt>
                <c:pt idx="24">
                  <c:v>103.42579849102282</c:v>
                </c:pt>
                <c:pt idx="25">
                  <c:v>99.296861319340564</c:v>
                </c:pt>
                <c:pt idx="26">
                  <c:v>98.908851224759573</c:v>
                </c:pt>
                <c:pt idx="27">
                  <c:v>99.46773632871124</c:v>
                </c:pt>
                <c:pt idx="28">
                  <c:v>98.123571784378413</c:v>
                </c:pt>
                <c:pt idx="29">
                  <c:v>38.823551783932672</c:v>
                </c:pt>
                <c:pt idx="30">
                  <c:v>37.560410753003765</c:v>
                </c:pt>
                <c:pt idx="31">
                  <c:v>36.590381174920545</c:v>
                </c:pt>
                <c:pt idx="32">
                  <c:v>35.9238185626713</c:v>
                </c:pt>
                <c:pt idx="33">
                  <c:v>35.379123934165825</c:v>
                </c:pt>
                <c:pt idx="34">
                  <c:v>34.869739933422537</c:v>
                </c:pt>
                <c:pt idx="35">
                  <c:v>34.465616310406922</c:v>
                </c:pt>
                <c:pt idx="36">
                  <c:v>34.119489059524632</c:v>
                </c:pt>
                <c:pt idx="37">
                  <c:v>33.797918651153729</c:v>
                </c:pt>
                <c:pt idx="38">
                  <c:v>33.45259821998927</c:v>
                </c:pt>
                <c:pt idx="39">
                  <c:v>90.219284192440767</c:v>
                </c:pt>
                <c:pt idx="40">
                  <c:v>90.823744841780851</c:v>
                </c:pt>
                <c:pt idx="41">
                  <c:v>90.356155549631652</c:v>
                </c:pt>
                <c:pt idx="42">
                  <c:v>89.740081037985505</c:v>
                </c:pt>
                <c:pt idx="43">
                  <c:v>89.511230785751223</c:v>
                </c:pt>
                <c:pt idx="44">
                  <c:v>89.098888745132655</c:v>
                </c:pt>
                <c:pt idx="45">
                  <c:v>88.816924429285393</c:v>
                </c:pt>
                <c:pt idx="46">
                  <c:v>84.57179219334266</c:v>
                </c:pt>
                <c:pt idx="47">
                  <c:v>88.000545887708654</c:v>
                </c:pt>
                <c:pt idx="48">
                  <c:v>86.39580100627424</c:v>
                </c:pt>
                <c:pt idx="49">
                  <c:v>83.614044365098749</c:v>
                </c:pt>
                <c:pt idx="50">
                  <c:v>79.728902785966582</c:v>
                </c:pt>
                <c:pt idx="51">
                  <c:v>79.653908350490013</c:v>
                </c:pt>
                <c:pt idx="52">
                  <c:v>79.08666560730876</c:v>
                </c:pt>
                <c:pt idx="53">
                  <c:v>77.798660056967989</c:v>
                </c:pt>
                <c:pt idx="54">
                  <c:v>81.230693129774522</c:v>
                </c:pt>
                <c:pt idx="55">
                  <c:v>83.658544633266786</c:v>
                </c:pt>
                <c:pt idx="56">
                  <c:v>84.04002202075128</c:v>
                </c:pt>
                <c:pt idx="57">
                  <c:v>81.772065542415859</c:v>
                </c:pt>
                <c:pt idx="58">
                  <c:v>82.777914297945273</c:v>
                </c:pt>
                <c:pt idx="59">
                  <c:v>82.795652754055595</c:v>
                </c:pt>
                <c:pt idx="60">
                  <c:v>83.062825133874185</c:v>
                </c:pt>
                <c:pt idx="61">
                  <c:v>85.430520448646774</c:v>
                </c:pt>
                <c:pt idx="62">
                  <c:v>83.562258840500931</c:v>
                </c:pt>
                <c:pt idx="63">
                  <c:v>87.765455264849606</c:v>
                </c:pt>
                <c:pt idx="64">
                  <c:v>83.41818616507517</c:v>
                </c:pt>
                <c:pt idx="65">
                  <c:v>87.725395037747589</c:v>
                </c:pt>
                <c:pt idx="66">
                  <c:v>88.109603310985534</c:v>
                </c:pt>
                <c:pt idx="67">
                  <c:v>87.257307905270252</c:v>
                </c:pt>
                <c:pt idx="68">
                  <c:v>32.9854519188995</c:v>
                </c:pt>
                <c:pt idx="69">
                  <c:v>32.753492335429762</c:v>
                </c:pt>
                <c:pt idx="70">
                  <c:v>32.502605557345277</c:v>
                </c:pt>
                <c:pt idx="71">
                  <c:v>32.307311769321636</c:v>
                </c:pt>
                <c:pt idx="72">
                  <c:v>32.123060629715923</c:v>
                </c:pt>
                <c:pt idx="73">
                  <c:v>31.967975842008634</c:v>
                </c:pt>
                <c:pt idx="74">
                  <c:v>31.79083238613422</c:v>
                </c:pt>
                <c:pt idx="75">
                  <c:v>31.606962441709992</c:v>
                </c:pt>
                <c:pt idx="76">
                  <c:v>31.500659927876832</c:v>
                </c:pt>
                <c:pt idx="77">
                  <c:v>31.332255306413487</c:v>
                </c:pt>
                <c:pt idx="78">
                  <c:v>88.112884136636339</c:v>
                </c:pt>
                <c:pt idx="79">
                  <c:v>88.11453685074892</c:v>
                </c:pt>
                <c:pt idx="80">
                  <c:v>88.629937628132382</c:v>
                </c:pt>
                <c:pt idx="81">
                  <c:v>89.052599725087958</c:v>
                </c:pt>
                <c:pt idx="82">
                  <c:v>88.446230205419909</c:v>
                </c:pt>
                <c:pt idx="83">
                  <c:v>86.772482338969652</c:v>
                </c:pt>
                <c:pt idx="84">
                  <c:v>85.812869056705466</c:v>
                </c:pt>
                <c:pt idx="85">
                  <c:v>82.273204062724417</c:v>
                </c:pt>
                <c:pt idx="86">
                  <c:v>80.786670209437389</c:v>
                </c:pt>
                <c:pt idx="87">
                  <c:v>79.924302220338916</c:v>
                </c:pt>
                <c:pt idx="88">
                  <c:v>80.680770598939546</c:v>
                </c:pt>
                <c:pt idx="89">
                  <c:v>81.120137843882489</c:v>
                </c:pt>
                <c:pt idx="90">
                  <c:v>82.480690597156581</c:v>
                </c:pt>
                <c:pt idx="91">
                  <c:v>81.996823084045587</c:v>
                </c:pt>
                <c:pt idx="92">
                  <c:v>81.115212987380616</c:v>
                </c:pt>
                <c:pt idx="93">
                  <c:v>84.354018888409371</c:v>
                </c:pt>
                <c:pt idx="94">
                  <c:v>85.416413043069269</c:v>
                </c:pt>
                <c:pt idx="95">
                  <c:v>83.438581699215888</c:v>
                </c:pt>
                <c:pt idx="96">
                  <c:v>82.669419839458072</c:v>
                </c:pt>
                <c:pt idx="97">
                  <c:v>79.636292907251487</c:v>
                </c:pt>
                <c:pt idx="98">
                  <c:v>80.858152265622138</c:v>
                </c:pt>
                <c:pt idx="99">
                  <c:v>82.495398594990405</c:v>
                </c:pt>
                <c:pt idx="100">
                  <c:v>88.257728175128648</c:v>
                </c:pt>
                <c:pt idx="101">
                  <c:v>88.953156119543053</c:v>
                </c:pt>
                <c:pt idx="102">
                  <c:v>88.763986925323678</c:v>
                </c:pt>
                <c:pt idx="103">
                  <c:v>84.484110065549942</c:v>
                </c:pt>
                <c:pt idx="104">
                  <c:v>88.091597120977809</c:v>
                </c:pt>
                <c:pt idx="105">
                  <c:v>85.801013510286637</c:v>
                </c:pt>
                <c:pt idx="106">
                  <c:v>87.171695288143894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7-4C0E-B855-25F52F35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95664"/>
        <c:axId val="27980975"/>
      </c:scatterChart>
      <c:valAx>
        <c:axId val="203599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0975"/>
        <c:crosses val="autoZero"/>
        <c:crossBetween val="midCat"/>
      </c:valAx>
      <c:valAx>
        <c:axId val="279809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9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hpi'!$B$3:$B$124</c:f>
              <c:numCache>
                <c:formatCode>General</c:formatCode>
                <c:ptCount val="122"/>
                <c:pt idx="0">
                  <c:v>1.27728E-3</c:v>
                </c:pt>
                <c:pt idx="1">
                  <c:v>1.2787499999999999E-3</c:v>
                </c:pt>
                <c:pt idx="2">
                  <c:v>1.28148E-3</c:v>
                </c:pt>
                <c:pt idx="3">
                  <c:v>1.2824399999999999E-3</c:v>
                </c:pt>
                <c:pt idx="4">
                  <c:v>1.2834599999999999E-3</c:v>
                </c:pt>
                <c:pt idx="5">
                  <c:v>1.2847500000000001E-3</c:v>
                </c:pt>
                <c:pt idx="6">
                  <c:v>1.2868599999999999E-3</c:v>
                </c:pt>
                <c:pt idx="7">
                  <c:v>1.2882099999999999E-3</c:v>
                </c:pt>
                <c:pt idx="8">
                  <c:v>1.2876700000000001E-3</c:v>
                </c:pt>
                <c:pt idx="9">
                  <c:v>1.2911299999999999E-3</c:v>
                </c:pt>
                <c:pt idx="10">
                  <c:v>1.29014E-3</c:v>
                </c:pt>
                <c:pt idx="11">
                  <c:v>1.2912500000000001E-3</c:v>
                </c:pt>
                <c:pt idx="12">
                  <c:v>1.2919800000000001E-3</c:v>
                </c:pt>
                <c:pt idx="13">
                  <c:v>1.29206E-3</c:v>
                </c:pt>
                <c:pt idx="14">
                  <c:v>1.2918999999999999E-3</c:v>
                </c:pt>
                <c:pt idx="15">
                  <c:v>1.29276E-3</c:v>
                </c:pt>
                <c:pt idx="16">
                  <c:v>1.2923800000000001E-3</c:v>
                </c:pt>
                <c:pt idx="17">
                  <c:v>1.29345E-3</c:v>
                </c:pt>
                <c:pt idx="18">
                  <c:v>1.2938400000000001E-3</c:v>
                </c:pt>
                <c:pt idx="19">
                  <c:v>1.2949400000000001E-3</c:v>
                </c:pt>
                <c:pt idx="20">
                  <c:v>1.29645E-3</c:v>
                </c:pt>
                <c:pt idx="21">
                  <c:v>1.29667E-3</c:v>
                </c:pt>
                <c:pt idx="22">
                  <c:v>1.29688E-3</c:v>
                </c:pt>
                <c:pt idx="23">
                  <c:v>1.2986E-3</c:v>
                </c:pt>
                <c:pt idx="24">
                  <c:v>1.2992699999999999E-3</c:v>
                </c:pt>
                <c:pt idx="25">
                  <c:v>1.2987400000000001E-3</c:v>
                </c:pt>
                <c:pt idx="26">
                  <c:v>1.3000900000000001E-3</c:v>
                </c:pt>
                <c:pt idx="27">
                  <c:v>1.30035E-3</c:v>
                </c:pt>
                <c:pt idx="28">
                  <c:v>1.30138E-3</c:v>
                </c:pt>
                <c:pt idx="29">
                  <c:v>1.8214299999999999E-5</c:v>
                </c:pt>
                <c:pt idx="30">
                  <c:v>1.82145E-5</c:v>
                </c:pt>
                <c:pt idx="31">
                  <c:v>1.8045300000000002E-5</c:v>
                </c:pt>
                <c:pt idx="32">
                  <c:v>1.78868E-5</c:v>
                </c:pt>
                <c:pt idx="33">
                  <c:v>1.7691300000000001E-5</c:v>
                </c:pt>
                <c:pt idx="34">
                  <c:v>1.75872E-5</c:v>
                </c:pt>
                <c:pt idx="35">
                  <c:v>1.7437900000000001E-5</c:v>
                </c:pt>
                <c:pt idx="36">
                  <c:v>1.7320999999999999E-5</c:v>
                </c:pt>
                <c:pt idx="37">
                  <c:v>1.7258700000000001E-5</c:v>
                </c:pt>
                <c:pt idx="38">
                  <c:v>1.7124699999999999E-5</c:v>
                </c:pt>
                <c:pt idx="39">
                  <c:v>7.7798299999999999E-4</c:v>
                </c:pt>
                <c:pt idx="40">
                  <c:v>7.9203599999999998E-4</c:v>
                </c:pt>
                <c:pt idx="41">
                  <c:v>7.9792600000000002E-4</c:v>
                </c:pt>
                <c:pt idx="42">
                  <c:v>8.0461699999999998E-4</c:v>
                </c:pt>
                <c:pt idx="43">
                  <c:v>8.0895999999999995E-4</c:v>
                </c:pt>
                <c:pt idx="44">
                  <c:v>8.11869E-4</c:v>
                </c:pt>
                <c:pt idx="45">
                  <c:v>8.1648099999999998E-4</c:v>
                </c:pt>
                <c:pt idx="46">
                  <c:v>8.1243400000000001E-4</c:v>
                </c:pt>
                <c:pt idx="47">
                  <c:v>8.1982300000000001E-4</c:v>
                </c:pt>
                <c:pt idx="48">
                  <c:v>8.1817900000000004E-4</c:v>
                </c:pt>
                <c:pt idx="49">
                  <c:v>8.2012800000000005E-4</c:v>
                </c:pt>
                <c:pt idx="50">
                  <c:v>8.2168499999999995E-4</c:v>
                </c:pt>
                <c:pt idx="51">
                  <c:v>8.2144800000000001E-4</c:v>
                </c:pt>
                <c:pt idx="52">
                  <c:v>8.2317100000000004E-4</c:v>
                </c:pt>
                <c:pt idx="53">
                  <c:v>8.2540700000000001E-4</c:v>
                </c:pt>
                <c:pt idx="54">
                  <c:v>8.2744399999999999E-4</c:v>
                </c:pt>
                <c:pt idx="55">
                  <c:v>8.2897199999999998E-4</c:v>
                </c:pt>
                <c:pt idx="56">
                  <c:v>8.2918100000000002E-4</c:v>
                </c:pt>
                <c:pt idx="57">
                  <c:v>8.2834200000000003E-4</c:v>
                </c:pt>
                <c:pt idx="58">
                  <c:v>8.3051399999999997E-4</c:v>
                </c:pt>
                <c:pt idx="59">
                  <c:v>8.3059099999999999E-4</c:v>
                </c:pt>
                <c:pt idx="60">
                  <c:v>8.3252900000000004E-4</c:v>
                </c:pt>
                <c:pt idx="61">
                  <c:v>8.3180999999999999E-4</c:v>
                </c:pt>
                <c:pt idx="62">
                  <c:v>8.3346099999999997E-4</c:v>
                </c:pt>
                <c:pt idx="63">
                  <c:v>8.3372299999999997E-4</c:v>
                </c:pt>
                <c:pt idx="64">
                  <c:v>8.3488900000000001E-4</c:v>
                </c:pt>
                <c:pt idx="65">
                  <c:v>8.3773300000000001E-4</c:v>
                </c:pt>
                <c:pt idx="66">
                  <c:v>8.3867499999999999E-4</c:v>
                </c:pt>
                <c:pt idx="67">
                  <c:v>8.3863899999999996E-4</c:v>
                </c:pt>
                <c:pt idx="68">
                  <c:v>1.7279099999999999E-5</c:v>
                </c:pt>
                <c:pt idx="69">
                  <c:v>1.7237100000000001E-5</c:v>
                </c:pt>
                <c:pt idx="70">
                  <c:v>1.7095199999999999E-5</c:v>
                </c:pt>
                <c:pt idx="71">
                  <c:v>1.6994699999999998E-5</c:v>
                </c:pt>
                <c:pt idx="72">
                  <c:v>1.694E-5</c:v>
                </c:pt>
                <c:pt idx="73">
                  <c:v>1.6921500000000001E-5</c:v>
                </c:pt>
                <c:pt idx="74">
                  <c:v>1.6878700000000002E-5</c:v>
                </c:pt>
                <c:pt idx="75">
                  <c:v>1.67946E-5</c:v>
                </c:pt>
                <c:pt idx="76">
                  <c:v>1.67606E-5</c:v>
                </c:pt>
                <c:pt idx="77">
                  <c:v>1.6635099999999999E-5</c:v>
                </c:pt>
                <c:pt idx="78">
                  <c:v>7.5701499999999999E-4</c:v>
                </c:pt>
                <c:pt idx="79">
                  <c:v>7.7426000000000003E-4</c:v>
                </c:pt>
                <c:pt idx="80">
                  <c:v>7.8294599999999997E-4</c:v>
                </c:pt>
                <c:pt idx="81">
                  <c:v>7.8831400000000003E-4</c:v>
                </c:pt>
                <c:pt idx="82">
                  <c:v>7.92802E-4</c:v>
                </c:pt>
                <c:pt idx="83">
                  <c:v>7.9563799999999999E-4</c:v>
                </c:pt>
                <c:pt idx="84">
                  <c:v>7.9825899999999995E-4</c:v>
                </c:pt>
                <c:pt idx="85">
                  <c:v>8.0109300000000001E-4</c:v>
                </c:pt>
                <c:pt idx="86">
                  <c:v>8.0326200000000001E-4</c:v>
                </c:pt>
                <c:pt idx="87">
                  <c:v>8.0634000000000001E-4</c:v>
                </c:pt>
                <c:pt idx="88">
                  <c:v>8.0749200000000004E-4</c:v>
                </c:pt>
                <c:pt idx="89">
                  <c:v>8.0958099999999997E-4</c:v>
                </c:pt>
                <c:pt idx="90">
                  <c:v>8.1172500000000001E-4</c:v>
                </c:pt>
                <c:pt idx="91">
                  <c:v>8.1225199999999996E-4</c:v>
                </c:pt>
                <c:pt idx="92">
                  <c:v>8.1520900000000001E-4</c:v>
                </c:pt>
                <c:pt idx="93">
                  <c:v>8.1509699999999998E-4</c:v>
                </c:pt>
                <c:pt idx="94">
                  <c:v>8.1612199999999996E-4</c:v>
                </c:pt>
                <c:pt idx="95">
                  <c:v>8.1832300000000003E-4</c:v>
                </c:pt>
                <c:pt idx="96">
                  <c:v>8.1855399999999998E-4</c:v>
                </c:pt>
                <c:pt idx="97">
                  <c:v>8.2088099999999998E-4</c:v>
                </c:pt>
                <c:pt idx="98">
                  <c:v>8.2082699999999999E-4</c:v>
                </c:pt>
                <c:pt idx="99">
                  <c:v>8.2198099999999995E-4</c:v>
                </c:pt>
                <c:pt idx="100">
                  <c:v>8.2370200000000005E-4</c:v>
                </c:pt>
                <c:pt idx="101">
                  <c:v>8.2502300000000003E-4</c:v>
                </c:pt>
                <c:pt idx="102">
                  <c:v>8.2493900000000001E-4</c:v>
                </c:pt>
                <c:pt idx="103">
                  <c:v>8.2534600000000002E-4</c:v>
                </c:pt>
                <c:pt idx="104">
                  <c:v>8.2700500000000001E-4</c:v>
                </c:pt>
                <c:pt idx="105">
                  <c:v>8.2788600000000001E-4</c:v>
                </c:pt>
                <c:pt idx="106">
                  <c:v>8.2800500000000004E-4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2-479E-9119-DDAF52582E1A}"/>
            </c:ext>
          </c:extLst>
        </c:ser>
        <c:ser>
          <c:idx val="1"/>
          <c:order val="1"/>
          <c:tx>
            <c:strRef>
              <c:f>'1234 P+ 72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hpi'!$G$3:$G$124</c:f>
              <c:numCache>
                <c:formatCode>General</c:formatCode>
                <c:ptCount val="122"/>
                <c:pt idx="0">
                  <c:v>7.5469299999999997E-4</c:v>
                </c:pt>
                <c:pt idx="1">
                  <c:v>7.5678300000000002E-4</c:v>
                </c:pt>
                <c:pt idx="2">
                  <c:v>7.5572699999999998E-4</c:v>
                </c:pt>
                <c:pt idx="3">
                  <c:v>7.5789900000000003E-4</c:v>
                </c:pt>
                <c:pt idx="4">
                  <c:v>7.5965799999999997E-4</c:v>
                </c:pt>
                <c:pt idx="5">
                  <c:v>7.5971800000000005E-4</c:v>
                </c:pt>
                <c:pt idx="6">
                  <c:v>7.6103499999999997E-4</c:v>
                </c:pt>
                <c:pt idx="7">
                  <c:v>7.62373E-4</c:v>
                </c:pt>
                <c:pt idx="8">
                  <c:v>7.6453100000000004E-4</c:v>
                </c:pt>
                <c:pt idx="9">
                  <c:v>7.6449299999999999E-4</c:v>
                </c:pt>
                <c:pt idx="10">
                  <c:v>7.6370799999999999E-4</c:v>
                </c:pt>
                <c:pt idx="11">
                  <c:v>7.6699400000000001E-4</c:v>
                </c:pt>
                <c:pt idx="12">
                  <c:v>7.6735300000000002E-4</c:v>
                </c:pt>
                <c:pt idx="13">
                  <c:v>7.6715300000000002E-4</c:v>
                </c:pt>
                <c:pt idx="14">
                  <c:v>7.6450599999999997E-4</c:v>
                </c:pt>
                <c:pt idx="15">
                  <c:v>7.6818299999999997E-4</c:v>
                </c:pt>
                <c:pt idx="16">
                  <c:v>7.6909799999999996E-4</c:v>
                </c:pt>
                <c:pt idx="17">
                  <c:v>7.7015600000000003E-4</c:v>
                </c:pt>
                <c:pt idx="18">
                  <c:v>7.6979100000000003E-4</c:v>
                </c:pt>
                <c:pt idx="19">
                  <c:v>7.7286300000000004E-4</c:v>
                </c:pt>
                <c:pt idx="20">
                  <c:v>7.7363699999999998E-4</c:v>
                </c:pt>
                <c:pt idx="21">
                  <c:v>7.74155E-4</c:v>
                </c:pt>
                <c:pt idx="22">
                  <c:v>7.7400899999999998E-4</c:v>
                </c:pt>
                <c:pt idx="23">
                  <c:v>7.7398600000000005E-4</c:v>
                </c:pt>
                <c:pt idx="24">
                  <c:v>7.7718100000000005E-4</c:v>
                </c:pt>
                <c:pt idx="25">
                  <c:v>7.7454900000000003E-4</c:v>
                </c:pt>
                <c:pt idx="26">
                  <c:v>7.7399299999999995E-4</c:v>
                </c:pt>
                <c:pt idx="27">
                  <c:v>7.7648599999999995E-4</c:v>
                </c:pt>
                <c:pt idx="28">
                  <c:v>7.76482E-4</c:v>
                </c:pt>
                <c:pt idx="29">
                  <c:v>1.8848800000000002E-5</c:v>
                </c:pt>
                <c:pt idx="30">
                  <c:v>1.8403800000000002E-5</c:v>
                </c:pt>
                <c:pt idx="31">
                  <c:v>1.77944E-5</c:v>
                </c:pt>
                <c:pt idx="32">
                  <c:v>1.7243400000000002E-5</c:v>
                </c:pt>
                <c:pt idx="33">
                  <c:v>1.6770500000000001E-5</c:v>
                </c:pt>
                <c:pt idx="34">
                  <c:v>1.6234400000000002E-5</c:v>
                </c:pt>
                <c:pt idx="35">
                  <c:v>1.575E-5</c:v>
                </c:pt>
                <c:pt idx="36">
                  <c:v>1.5255199999999999E-5</c:v>
                </c:pt>
                <c:pt idx="37">
                  <c:v>1.4754500000000001E-5</c:v>
                </c:pt>
                <c:pt idx="38">
                  <c:v>1.4329E-5</c:v>
                </c:pt>
                <c:pt idx="39">
                  <c:v>4.3693200000000001E-4</c:v>
                </c:pt>
                <c:pt idx="40">
                  <c:v>4.5211200000000001E-4</c:v>
                </c:pt>
                <c:pt idx="41">
                  <c:v>4.6173399999999999E-4</c:v>
                </c:pt>
                <c:pt idx="42">
                  <c:v>4.6801900000000002E-4</c:v>
                </c:pt>
                <c:pt idx="43">
                  <c:v>4.7250999999999999E-4</c:v>
                </c:pt>
                <c:pt idx="44">
                  <c:v>4.7726799999999998E-4</c:v>
                </c:pt>
                <c:pt idx="45">
                  <c:v>4.8087500000000002E-4</c:v>
                </c:pt>
                <c:pt idx="46">
                  <c:v>4.85102E-4</c:v>
                </c:pt>
                <c:pt idx="47">
                  <c:v>4.8677399999999998E-4</c:v>
                </c:pt>
                <c:pt idx="48">
                  <c:v>4.9173800000000003E-4</c:v>
                </c:pt>
                <c:pt idx="49">
                  <c:v>4.9057899999999999E-4</c:v>
                </c:pt>
                <c:pt idx="50">
                  <c:v>4.9152699999999996E-4</c:v>
                </c:pt>
                <c:pt idx="51">
                  <c:v>4.9349400000000003E-4</c:v>
                </c:pt>
                <c:pt idx="52">
                  <c:v>4.952E-4</c:v>
                </c:pt>
                <c:pt idx="53">
                  <c:v>4.9579400000000003E-4</c:v>
                </c:pt>
                <c:pt idx="54">
                  <c:v>4.9932799999999995E-4</c:v>
                </c:pt>
                <c:pt idx="55">
                  <c:v>5.0084900000000004E-4</c:v>
                </c:pt>
                <c:pt idx="56">
                  <c:v>5.0461699999999996E-4</c:v>
                </c:pt>
                <c:pt idx="57">
                  <c:v>5.0240099999999998E-4</c:v>
                </c:pt>
                <c:pt idx="58">
                  <c:v>5.05646E-4</c:v>
                </c:pt>
                <c:pt idx="59">
                  <c:v>5.0641499999999997E-4</c:v>
                </c:pt>
                <c:pt idx="60">
                  <c:v>5.0904200000000002E-4</c:v>
                </c:pt>
                <c:pt idx="61">
                  <c:v>5.1252899999999996E-4</c:v>
                </c:pt>
                <c:pt idx="62">
                  <c:v>5.1117100000000004E-4</c:v>
                </c:pt>
                <c:pt idx="63">
                  <c:v>5.1714600000000001E-4</c:v>
                </c:pt>
                <c:pt idx="64">
                  <c:v>5.14453E-4</c:v>
                </c:pt>
                <c:pt idx="65">
                  <c:v>5.1891899999999996E-4</c:v>
                </c:pt>
                <c:pt idx="66">
                  <c:v>5.2097999999999999E-4</c:v>
                </c:pt>
                <c:pt idx="67">
                  <c:v>5.2206400000000003E-4</c:v>
                </c:pt>
                <c:pt idx="68">
                  <c:v>1.3570000000000001E-5</c:v>
                </c:pt>
                <c:pt idx="69">
                  <c:v>1.3205599999999999E-5</c:v>
                </c:pt>
                <c:pt idx="70">
                  <c:v>1.27932E-5</c:v>
                </c:pt>
                <c:pt idx="71">
                  <c:v>1.2368099999999999E-5</c:v>
                </c:pt>
                <c:pt idx="72">
                  <c:v>1.2031900000000001E-5</c:v>
                </c:pt>
                <c:pt idx="73">
                  <c:v>1.1673599999999999E-5</c:v>
                </c:pt>
                <c:pt idx="74">
                  <c:v>1.13486E-5</c:v>
                </c:pt>
                <c:pt idx="75">
                  <c:v>1.1046000000000001E-5</c:v>
                </c:pt>
                <c:pt idx="76">
                  <c:v>1.07558E-5</c:v>
                </c:pt>
                <c:pt idx="77">
                  <c:v>1.05233E-5</c:v>
                </c:pt>
                <c:pt idx="78">
                  <c:v>4.3945099999999999E-4</c:v>
                </c:pt>
                <c:pt idx="79">
                  <c:v>4.5102599999999999E-4</c:v>
                </c:pt>
                <c:pt idx="80">
                  <c:v>4.6191199999999998E-4</c:v>
                </c:pt>
                <c:pt idx="81">
                  <c:v>4.6760399999999999E-4</c:v>
                </c:pt>
                <c:pt idx="82">
                  <c:v>4.7469199999999997E-4</c:v>
                </c:pt>
                <c:pt idx="83">
                  <c:v>4.7790300000000001E-4</c:v>
                </c:pt>
                <c:pt idx="84">
                  <c:v>4.8216099999999999E-4</c:v>
                </c:pt>
                <c:pt idx="85">
                  <c:v>4.8026299999999998E-4</c:v>
                </c:pt>
                <c:pt idx="86">
                  <c:v>4.8169899999999998E-4</c:v>
                </c:pt>
                <c:pt idx="87">
                  <c:v>4.8310999999999997E-4</c:v>
                </c:pt>
                <c:pt idx="88">
                  <c:v>4.8705999999999999E-4</c:v>
                </c:pt>
                <c:pt idx="89">
                  <c:v>4.9051400000000005E-4</c:v>
                </c:pt>
                <c:pt idx="90">
                  <c:v>4.9400699999999997E-4</c:v>
                </c:pt>
                <c:pt idx="91">
                  <c:v>4.9433599999999995E-4</c:v>
                </c:pt>
                <c:pt idx="92">
                  <c:v>4.9534399999999999E-4</c:v>
                </c:pt>
                <c:pt idx="93">
                  <c:v>5.0120899999999996E-4</c:v>
                </c:pt>
                <c:pt idx="94">
                  <c:v>5.03105E-4</c:v>
                </c:pt>
                <c:pt idx="95">
                  <c:v>5.0277099999999995E-4</c:v>
                </c:pt>
                <c:pt idx="96">
                  <c:v>5.0418200000000005E-4</c:v>
                </c:pt>
                <c:pt idx="97">
                  <c:v>5.0141699999999999E-4</c:v>
                </c:pt>
                <c:pt idx="98">
                  <c:v>5.0377899999999999E-4</c:v>
                </c:pt>
                <c:pt idx="99">
                  <c:v>5.04289E-4</c:v>
                </c:pt>
                <c:pt idx="100">
                  <c:v>5.1333599999999998E-4</c:v>
                </c:pt>
                <c:pt idx="101">
                  <c:v>5.1636800000000001E-4</c:v>
                </c:pt>
                <c:pt idx="102">
                  <c:v>5.1649300000000003E-4</c:v>
                </c:pt>
                <c:pt idx="103">
                  <c:v>5.1227800000000002E-4</c:v>
                </c:pt>
                <c:pt idx="104">
                  <c:v>5.1929999999999999E-4</c:v>
                </c:pt>
                <c:pt idx="105">
                  <c:v>5.1782200000000003E-4</c:v>
                </c:pt>
                <c:pt idx="106">
                  <c:v>5.1895999999999995E-4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2-479E-9119-DDAF52582E1A}"/>
            </c:ext>
          </c:extLst>
        </c:ser>
        <c:ser>
          <c:idx val="2"/>
          <c:order val="2"/>
          <c:tx>
            <c:strRef>
              <c:f>'1234 P+ 72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02-479E-9119-DDAF52582E1A}"/>
            </c:ext>
          </c:extLst>
        </c:ser>
        <c:ser>
          <c:idx val="3"/>
          <c:order val="3"/>
          <c:tx>
            <c:strRef>
              <c:f>'1234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02-479E-9119-DDAF52582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61952"/>
        <c:axId val="604863200"/>
      </c:scatterChart>
      <c:valAx>
        <c:axId val="6048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3200"/>
        <c:crosses val="autoZero"/>
        <c:crossBetween val="midCat"/>
      </c:valAx>
      <c:valAx>
        <c:axId val="6048632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hpi'!$C$3:$C$124</c:f>
              <c:numCache>
                <c:formatCode>General</c:formatCode>
                <c:ptCount val="122"/>
                <c:pt idx="0">
                  <c:v>1.5087E-4</c:v>
                </c:pt>
                <c:pt idx="1">
                  <c:v>1.4899499999999999E-4</c:v>
                </c:pt>
                <c:pt idx="2">
                  <c:v>1.4843500000000001E-4</c:v>
                </c:pt>
                <c:pt idx="3">
                  <c:v>1.51044E-4</c:v>
                </c:pt>
                <c:pt idx="4">
                  <c:v>1.47415E-4</c:v>
                </c:pt>
                <c:pt idx="5">
                  <c:v>1.5357399999999999E-4</c:v>
                </c:pt>
                <c:pt idx="6">
                  <c:v>1.5836999999999999E-4</c:v>
                </c:pt>
                <c:pt idx="7">
                  <c:v>1.5825299999999999E-4</c:v>
                </c:pt>
                <c:pt idx="8">
                  <c:v>1.5695499999999999E-4</c:v>
                </c:pt>
                <c:pt idx="9">
                  <c:v>1.57467E-4</c:v>
                </c:pt>
                <c:pt idx="10">
                  <c:v>1.5684E-4</c:v>
                </c:pt>
                <c:pt idx="11">
                  <c:v>1.5840900000000001E-4</c:v>
                </c:pt>
                <c:pt idx="12">
                  <c:v>1.5875000000000001E-4</c:v>
                </c:pt>
                <c:pt idx="13">
                  <c:v>1.5563900000000001E-4</c:v>
                </c:pt>
                <c:pt idx="14">
                  <c:v>1.5583099999999999E-4</c:v>
                </c:pt>
                <c:pt idx="15">
                  <c:v>1.5563600000000001E-4</c:v>
                </c:pt>
                <c:pt idx="16">
                  <c:v>1.5368200000000001E-4</c:v>
                </c:pt>
                <c:pt idx="17">
                  <c:v>1.55709E-4</c:v>
                </c:pt>
                <c:pt idx="18">
                  <c:v>1.5310200000000001E-4</c:v>
                </c:pt>
                <c:pt idx="19">
                  <c:v>1.5316099999999999E-4</c:v>
                </c:pt>
                <c:pt idx="20">
                  <c:v>1.5640700000000001E-4</c:v>
                </c:pt>
                <c:pt idx="21">
                  <c:v>1.5651799999999999E-4</c:v>
                </c:pt>
                <c:pt idx="22">
                  <c:v>1.54461E-4</c:v>
                </c:pt>
                <c:pt idx="23">
                  <c:v>1.5600299999999999E-4</c:v>
                </c:pt>
                <c:pt idx="24">
                  <c:v>1.56828E-4</c:v>
                </c:pt>
                <c:pt idx="25">
                  <c:v>1.54594E-4</c:v>
                </c:pt>
                <c:pt idx="26">
                  <c:v>1.56689E-4</c:v>
                </c:pt>
                <c:pt idx="27">
                  <c:v>1.5415399999999999E-4</c:v>
                </c:pt>
                <c:pt idx="28">
                  <c:v>1.55945E-4</c:v>
                </c:pt>
                <c:pt idx="29">
                  <c:v>6.4834199999999997E-5</c:v>
                </c:pt>
                <c:pt idx="30">
                  <c:v>6.3564000000000003E-5</c:v>
                </c:pt>
                <c:pt idx="31">
                  <c:v>6.2480500000000006E-5</c:v>
                </c:pt>
                <c:pt idx="32">
                  <c:v>6.1740800000000004E-5</c:v>
                </c:pt>
                <c:pt idx="33">
                  <c:v>6.1126599999999998E-5</c:v>
                </c:pt>
                <c:pt idx="34">
                  <c:v>6.0646899999999997E-5</c:v>
                </c:pt>
                <c:pt idx="35">
                  <c:v>6.0250100000000001E-5</c:v>
                </c:pt>
                <c:pt idx="36">
                  <c:v>5.9975100000000001E-5</c:v>
                </c:pt>
                <c:pt idx="37">
                  <c:v>5.9679499999999997E-5</c:v>
                </c:pt>
                <c:pt idx="38">
                  <c:v>5.9216799999999999E-5</c:v>
                </c:pt>
                <c:pt idx="39">
                  <c:v>1.2647799999999999E-4</c:v>
                </c:pt>
                <c:pt idx="40">
                  <c:v>1.2326899999999999E-4</c:v>
                </c:pt>
                <c:pt idx="41">
                  <c:v>1.20554E-4</c:v>
                </c:pt>
                <c:pt idx="42">
                  <c:v>1.1985999999999999E-4</c:v>
                </c:pt>
                <c:pt idx="43">
                  <c:v>1.18736E-4</c:v>
                </c:pt>
                <c:pt idx="44">
                  <c:v>1.1786E-4</c:v>
                </c:pt>
                <c:pt idx="45">
                  <c:v>1.1833299999999999E-4</c:v>
                </c:pt>
                <c:pt idx="46">
                  <c:v>1.05158E-4</c:v>
                </c:pt>
                <c:pt idx="47">
                  <c:v>1.14802E-4</c:v>
                </c:pt>
                <c:pt idx="48">
                  <c:v>1.0912E-4</c:v>
                </c:pt>
                <c:pt idx="49">
                  <c:v>1.07317E-4</c:v>
                </c:pt>
                <c:pt idx="50">
                  <c:v>1.0156400000000001E-4</c:v>
                </c:pt>
                <c:pt idx="51">
                  <c:v>1.0242999999999999E-4</c:v>
                </c:pt>
                <c:pt idx="52">
                  <c:v>1.0139199999999999E-4</c:v>
                </c:pt>
                <c:pt idx="53">
                  <c:v>1.0393E-4</c:v>
                </c:pt>
                <c:pt idx="54">
                  <c:v>1.03342E-4</c:v>
                </c:pt>
                <c:pt idx="55">
                  <c:v>1.0737E-4</c:v>
                </c:pt>
                <c:pt idx="56">
                  <c:v>1.0529100000000001E-4</c:v>
                </c:pt>
                <c:pt idx="57">
                  <c:v>1.06106E-4</c:v>
                </c:pt>
                <c:pt idx="58">
                  <c:v>1.05246E-4</c:v>
                </c:pt>
                <c:pt idx="59">
                  <c:v>1.0433900000000001E-4</c:v>
                </c:pt>
                <c:pt idx="60">
                  <c:v>1.05969E-4</c:v>
                </c:pt>
                <c:pt idx="61">
                  <c:v>1.06248E-4</c:v>
                </c:pt>
                <c:pt idx="62">
                  <c:v>1.04672E-4</c:v>
                </c:pt>
                <c:pt idx="63">
                  <c:v>1.06438E-4</c:v>
                </c:pt>
                <c:pt idx="64">
                  <c:v>1.04156E-4</c:v>
                </c:pt>
                <c:pt idx="65">
                  <c:v>1.08631E-4</c:v>
                </c:pt>
                <c:pt idx="66">
                  <c:v>1.08517E-4</c:v>
                </c:pt>
                <c:pt idx="67">
                  <c:v>1.06412E-4</c:v>
                </c:pt>
                <c:pt idx="68">
                  <c:v>5.8522700000000001E-5</c:v>
                </c:pt>
                <c:pt idx="69">
                  <c:v>5.8301199999999997E-5</c:v>
                </c:pt>
                <c:pt idx="70">
                  <c:v>5.8028500000000002E-5</c:v>
                </c:pt>
                <c:pt idx="71">
                  <c:v>5.7923300000000002E-5</c:v>
                </c:pt>
                <c:pt idx="72">
                  <c:v>5.7729999999999998E-5</c:v>
                </c:pt>
                <c:pt idx="73">
                  <c:v>5.7683199999999997E-5</c:v>
                </c:pt>
                <c:pt idx="74">
                  <c:v>5.7524400000000001E-5</c:v>
                </c:pt>
                <c:pt idx="75">
                  <c:v>5.73107E-5</c:v>
                </c:pt>
                <c:pt idx="76">
                  <c:v>5.7278100000000003E-5</c:v>
                </c:pt>
                <c:pt idx="77">
                  <c:v>5.7062299999999997E-5</c:v>
                </c:pt>
                <c:pt idx="78">
                  <c:v>1.0518600000000001E-4</c:v>
                </c:pt>
                <c:pt idx="79">
                  <c:v>1.10432E-4</c:v>
                </c:pt>
                <c:pt idx="80">
                  <c:v>1.0674E-4</c:v>
                </c:pt>
                <c:pt idx="81">
                  <c:v>1.09647E-4</c:v>
                </c:pt>
                <c:pt idx="82">
                  <c:v>1.08321E-4</c:v>
                </c:pt>
                <c:pt idx="83">
                  <c:v>1.0535300000000001E-4</c:v>
                </c:pt>
                <c:pt idx="84">
                  <c:v>1.02173E-4</c:v>
                </c:pt>
                <c:pt idx="85">
                  <c:v>1.04127E-4</c:v>
                </c:pt>
                <c:pt idx="86">
                  <c:v>1.0317700000000001E-4</c:v>
                </c:pt>
                <c:pt idx="87">
                  <c:v>1.0289E-4</c:v>
                </c:pt>
                <c:pt idx="88">
                  <c:v>1.02722E-4</c:v>
                </c:pt>
                <c:pt idx="89">
                  <c:v>1.0281999999999999E-4</c:v>
                </c:pt>
                <c:pt idx="90">
                  <c:v>1.02087E-4</c:v>
                </c:pt>
                <c:pt idx="91">
                  <c:v>1.03064E-4</c:v>
                </c:pt>
                <c:pt idx="92">
                  <c:v>1.03113E-4</c:v>
                </c:pt>
                <c:pt idx="93">
                  <c:v>1.03996E-4</c:v>
                </c:pt>
                <c:pt idx="94">
                  <c:v>1.02452E-4</c:v>
                </c:pt>
                <c:pt idx="95">
                  <c:v>1.04917E-4</c:v>
                </c:pt>
                <c:pt idx="96">
                  <c:v>1.0320200000000001E-4</c:v>
                </c:pt>
                <c:pt idx="97">
                  <c:v>1.04208E-4</c:v>
                </c:pt>
                <c:pt idx="98">
                  <c:v>1.04666E-4</c:v>
                </c:pt>
                <c:pt idx="99">
                  <c:v>1.04678E-4</c:v>
                </c:pt>
                <c:pt idx="100">
                  <c:v>1.05809E-4</c:v>
                </c:pt>
                <c:pt idx="101">
                  <c:v>1.0438300000000001E-4</c:v>
                </c:pt>
                <c:pt idx="102">
                  <c:v>1.0429000000000001E-4</c:v>
                </c:pt>
                <c:pt idx="103">
                  <c:v>1.04391E-4</c:v>
                </c:pt>
                <c:pt idx="104">
                  <c:v>1.05123E-4</c:v>
                </c:pt>
                <c:pt idx="105">
                  <c:v>1.05105E-4</c:v>
                </c:pt>
                <c:pt idx="106">
                  <c:v>1.04357E-4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2-40C0-B651-67D3EB12712A}"/>
            </c:ext>
          </c:extLst>
        </c:ser>
        <c:ser>
          <c:idx val="1"/>
          <c:order val="1"/>
          <c:tx>
            <c:strRef>
              <c:f>'1234 P+ 72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hpi'!$H$3:$H$124</c:f>
              <c:numCache>
                <c:formatCode>General</c:formatCode>
                <c:ptCount val="122"/>
                <c:pt idx="0">
                  <c:v>1.2251499999999999E-4</c:v>
                </c:pt>
                <c:pt idx="1">
                  <c:v>1.2428999999999999E-4</c:v>
                </c:pt>
                <c:pt idx="2">
                  <c:v>1.21422E-4</c:v>
                </c:pt>
                <c:pt idx="3">
                  <c:v>1.2222599999999999E-4</c:v>
                </c:pt>
                <c:pt idx="4">
                  <c:v>1.20776E-4</c:v>
                </c:pt>
                <c:pt idx="5">
                  <c:v>1.2371300000000001E-4</c:v>
                </c:pt>
                <c:pt idx="6">
                  <c:v>1.25029E-4</c:v>
                </c:pt>
                <c:pt idx="7">
                  <c:v>1.23485E-4</c:v>
                </c:pt>
                <c:pt idx="8">
                  <c:v>1.20158E-4</c:v>
                </c:pt>
                <c:pt idx="9">
                  <c:v>1.2313999999999999E-4</c:v>
                </c:pt>
                <c:pt idx="10">
                  <c:v>1.2253700000000001E-4</c:v>
                </c:pt>
                <c:pt idx="11">
                  <c:v>1.2462199999999999E-4</c:v>
                </c:pt>
                <c:pt idx="12">
                  <c:v>1.24795E-4</c:v>
                </c:pt>
                <c:pt idx="13">
                  <c:v>1.2296400000000001E-4</c:v>
                </c:pt>
                <c:pt idx="14">
                  <c:v>1.18669E-4</c:v>
                </c:pt>
                <c:pt idx="15">
                  <c:v>1.20396E-4</c:v>
                </c:pt>
                <c:pt idx="16">
                  <c:v>1.2249400000000001E-4</c:v>
                </c:pt>
                <c:pt idx="17">
                  <c:v>1.23662E-4</c:v>
                </c:pt>
                <c:pt idx="18">
                  <c:v>1.2363700000000001E-4</c:v>
                </c:pt>
                <c:pt idx="19">
                  <c:v>1.26093E-4</c:v>
                </c:pt>
                <c:pt idx="20">
                  <c:v>1.2646000000000001E-4</c:v>
                </c:pt>
                <c:pt idx="21">
                  <c:v>1.25854E-4</c:v>
                </c:pt>
                <c:pt idx="22">
                  <c:v>1.2549300000000001E-4</c:v>
                </c:pt>
                <c:pt idx="23">
                  <c:v>1.22714E-4</c:v>
                </c:pt>
                <c:pt idx="24">
                  <c:v>1.2607100000000001E-4</c:v>
                </c:pt>
                <c:pt idx="25">
                  <c:v>1.17768E-4</c:v>
                </c:pt>
                <c:pt idx="26">
                  <c:v>1.15116E-4</c:v>
                </c:pt>
                <c:pt idx="27">
                  <c:v>1.18544E-4</c:v>
                </c:pt>
                <c:pt idx="28">
                  <c:v>1.1379600000000001E-4</c:v>
                </c:pt>
                <c:pt idx="29">
                  <c:v>4.2480300000000001E-5</c:v>
                </c:pt>
                <c:pt idx="30">
                  <c:v>4.0416700000000002E-5</c:v>
                </c:pt>
                <c:pt idx="31">
                  <c:v>3.8919699999999999E-5</c:v>
                </c:pt>
                <c:pt idx="32">
                  <c:v>3.7887099999999998E-5</c:v>
                </c:pt>
                <c:pt idx="33">
                  <c:v>3.7051200000000002E-5</c:v>
                </c:pt>
                <c:pt idx="34">
                  <c:v>3.6192600000000003E-5</c:v>
                </c:pt>
                <c:pt idx="35">
                  <c:v>3.5524600000000002E-5</c:v>
                </c:pt>
                <c:pt idx="36">
                  <c:v>3.4899800000000001E-5</c:v>
                </c:pt>
                <c:pt idx="37">
                  <c:v>3.4351899999999999E-5</c:v>
                </c:pt>
                <c:pt idx="38">
                  <c:v>3.3881499999999997E-5</c:v>
                </c:pt>
                <c:pt idx="39">
                  <c:v>1.1835700000000001E-4</c:v>
                </c:pt>
                <c:pt idx="40">
                  <c:v>1.2244400000000001E-4</c:v>
                </c:pt>
                <c:pt idx="41">
                  <c:v>1.2350300000000001E-4</c:v>
                </c:pt>
                <c:pt idx="42">
                  <c:v>1.22557E-4</c:v>
                </c:pt>
                <c:pt idx="43">
                  <c:v>1.2290900000000001E-4</c:v>
                </c:pt>
                <c:pt idx="44">
                  <c:v>1.2260999999999999E-4</c:v>
                </c:pt>
                <c:pt idx="45">
                  <c:v>1.2153499999999999E-4</c:v>
                </c:pt>
                <c:pt idx="46">
                  <c:v>1.2183199999999999E-4</c:v>
                </c:pt>
                <c:pt idx="47">
                  <c:v>1.22402E-4</c:v>
                </c:pt>
                <c:pt idx="48">
                  <c:v>1.23084E-4</c:v>
                </c:pt>
                <c:pt idx="49">
                  <c:v>1.17732E-4</c:v>
                </c:pt>
                <c:pt idx="50">
                  <c:v>1.12884E-4</c:v>
                </c:pt>
                <c:pt idx="51">
                  <c:v>1.1199700000000001E-4</c:v>
                </c:pt>
                <c:pt idx="52">
                  <c:v>1.1145E-4</c:v>
                </c:pt>
                <c:pt idx="53">
                  <c:v>1.06233E-4</c:v>
                </c:pt>
                <c:pt idx="54">
                  <c:v>1.1512E-4</c:v>
                </c:pt>
                <c:pt idx="55">
                  <c:v>1.17798E-4</c:v>
                </c:pt>
                <c:pt idx="56">
                  <c:v>1.20421E-4</c:v>
                </c:pt>
                <c:pt idx="57">
                  <c:v>1.14202E-4</c:v>
                </c:pt>
                <c:pt idx="58">
                  <c:v>1.17365E-4</c:v>
                </c:pt>
                <c:pt idx="59">
                  <c:v>1.18145E-4</c:v>
                </c:pt>
                <c:pt idx="60">
                  <c:v>1.17476E-4</c:v>
                </c:pt>
                <c:pt idx="61">
                  <c:v>1.23051E-4</c:v>
                </c:pt>
                <c:pt idx="62">
                  <c:v>1.19753E-4</c:v>
                </c:pt>
                <c:pt idx="63">
                  <c:v>1.2861799999999999E-4</c:v>
                </c:pt>
                <c:pt idx="64">
                  <c:v>1.19819E-4</c:v>
                </c:pt>
                <c:pt idx="65">
                  <c:v>1.2673900000000001E-4</c:v>
                </c:pt>
                <c:pt idx="66">
                  <c:v>1.27773E-4</c:v>
                </c:pt>
                <c:pt idx="67">
                  <c:v>1.2739399999999999E-4</c:v>
                </c:pt>
                <c:pt idx="68">
                  <c:v>3.3300499999999997E-5</c:v>
                </c:pt>
                <c:pt idx="69">
                  <c:v>3.2911999999999999E-5</c:v>
                </c:pt>
                <c:pt idx="70">
                  <c:v>3.2518699999999997E-5</c:v>
                </c:pt>
                <c:pt idx="71">
                  <c:v>3.2125600000000003E-5</c:v>
                </c:pt>
                <c:pt idx="72">
                  <c:v>3.1831100000000001E-5</c:v>
                </c:pt>
                <c:pt idx="73">
                  <c:v>3.1489100000000003E-5</c:v>
                </c:pt>
                <c:pt idx="74">
                  <c:v>3.1183999999999998E-5</c:v>
                </c:pt>
                <c:pt idx="75">
                  <c:v>3.0907000000000001E-5</c:v>
                </c:pt>
                <c:pt idx="76">
                  <c:v>3.0673000000000003E-5</c:v>
                </c:pt>
                <c:pt idx="77">
                  <c:v>3.04356E-5</c:v>
                </c:pt>
                <c:pt idx="78">
                  <c:v>1.30486E-4</c:v>
                </c:pt>
                <c:pt idx="79">
                  <c:v>1.2622999999999999E-4</c:v>
                </c:pt>
                <c:pt idx="80">
                  <c:v>1.3049099999999999E-4</c:v>
                </c:pt>
                <c:pt idx="81">
                  <c:v>1.29166E-4</c:v>
                </c:pt>
                <c:pt idx="82">
                  <c:v>1.2875699999999999E-4</c:v>
                </c:pt>
                <c:pt idx="83">
                  <c:v>1.2706600000000001E-4</c:v>
                </c:pt>
                <c:pt idx="84">
                  <c:v>1.2729700000000001E-4</c:v>
                </c:pt>
                <c:pt idx="85">
                  <c:v>1.17037E-4</c:v>
                </c:pt>
                <c:pt idx="86">
                  <c:v>1.14166E-4</c:v>
                </c:pt>
                <c:pt idx="87">
                  <c:v>1.12286E-4</c:v>
                </c:pt>
                <c:pt idx="88">
                  <c:v>1.14276E-4</c:v>
                </c:pt>
                <c:pt idx="89">
                  <c:v>1.1527300000000001E-4</c:v>
                </c:pt>
                <c:pt idx="90">
                  <c:v>1.19202E-4</c:v>
                </c:pt>
                <c:pt idx="91">
                  <c:v>1.17223E-4</c:v>
                </c:pt>
                <c:pt idx="92">
                  <c:v>1.15023E-4</c:v>
                </c:pt>
                <c:pt idx="93">
                  <c:v>1.22242E-4</c:v>
                </c:pt>
                <c:pt idx="94">
                  <c:v>1.2609899999999999E-4</c:v>
                </c:pt>
                <c:pt idx="95">
                  <c:v>1.19251E-4</c:v>
                </c:pt>
                <c:pt idx="96">
                  <c:v>1.1875900000000001E-4</c:v>
                </c:pt>
                <c:pt idx="97">
                  <c:v>1.1051E-4</c:v>
                </c:pt>
                <c:pt idx="98">
                  <c:v>1.13132E-4</c:v>
                </c:pt>
                <c:pt idx="99">
                  <c:v>1.1713399999999999E-4</c:v>
                </c:pt>
                <c:pt idx="100">
                  <c:v>1.30335E-4</c:v>
                </c:pt>
                <c:pt idx="101">
                  <c:v>1.3319699999999999E-4</c:v>
                </c:pt>
                <c:pt idx="102">
                  <c:v>1.3280900000000001E-4</c:v>
                </c:pt>
                <c:pt idx="103">
                  <c:v>1.2224E-4</c:v>
                </c:pt>
                <c:pt idx="104">
                  <c:v>1.3048500000000001E-4</c:v>
                </c:pt>
                <c:pt idx="105">
                  <c:v>1.2488700000000001E-4</c:v>
                </c:pt>
                <c:pt idx="106">
                  <c:v>1.2885300000000001E-4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2-40C0-B651-67D3EB12712A}"/>
            </c:ext>
          </c:extLst>
        </c:ser>
        <c:ser>
          <c:idx val="2"/>
          <c:order val="2"/>
          <c:tx>
            <c:strRef>
              <c:f>'1234 P+ 72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2-40C0-B651-67D3EB12712A}"/>
            </c:ext>
          </c:extLst>
        </c:ser>
        <c:ser>
          <c:idx val="3"/>
          <c:order val="3"/>
          <c:tx>
            <c:strRef>
              <c:f>'1234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'1234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C2-40C0-B651-67D3EB12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933040"/>
        <c:axId val="1137930960"/>
      </c:scatterChart>
      <c:valAx>
        <c:axId val="11379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0960"/>
        <c:crosses val="autoZero"/>
        <c:crossBetween val="midCat"/>
      </c:valAx>
      <c:valAx>
        <c:axId val="11379309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100.38443599204329</c:v>
                </c:pt>
                <c:pt idx="2">
                  <c:v>100.80114672167919</c:v>
                </c:pt>
                <c:pt idx="3">
                  <c:v>101.20934276842512</c:v>
                </c:pt>
                <c:pt idx="4">
                  <c:v>101.38638928717239</c:v>
                </c:pt>
                <c:pt idx="5">
                  <c:v>101.7035480774822</c:v>
                </c:pt>
                <c:pt idx="6">
                  <c:v>102.02338079281513</c:v>
                </c:pt>
                <c:pt idx="7">
                  <c:v>102.46101143820202</c:v>
                </c:pt>
                <c:pt idx="8">
                  <c:v>102.64345800857672</c:v>
                </c:pt>
                <c:pt idx="9">
                  <c:v>103.19364413266766</c:v>
                </c:pt>
                <c:pt idx="10">
                  <c:v>103.52602668568504</c:v>
                </c:pt>
                <c:pt idx="11">
                  <c:v>103.75910880197476</c:v>
                </c:pt>
                <c:pt idx="12">
                  <c:v>104.00517586646811</c:v>
                </c:pt>
                <c:pt idx="13">
                  <c:v>103.9867338945598</c:v>
                </c:pt>
                <c:pt idx="14">
                  <c:v>104.31902349025727</c:v>
                </c:pt>
                <c:pt idx="15">
                  <c:v>104.40743357566792</c:v>
                </c:pt>
                <c:pt idx="16">
                  <c:v>104.6337589059833</c:v>
                </c:pt>
                <c:pt idx="17">
                  <c:v>104.7796923588197</c:v>
                </c:pt>
                <c:pt idx="18">
                  <c:v>105.19350580075702</c:v>
                </c:pt>
                <c:pt idx="19">
                  <c:v>105.33243300090435</c:v>
                </c:pt>
                <c:pt idx="20">
                  <c:v>105.3798781459418</c:v>
                </c:pt>
                <c:pt idx="21">
                  <c:v>105.66564125422967</c:v>
                </c:pt>
                <c:pt idx="22">
                  <c:v>105.6823666793328</c:v>
                </c:pt>
                <c:pt idx="23">
                  <c:v>105.86238580922026</c:v>
                </c:pt>
                <c:pt idx="24">
                  <c:v>105.98458281343933</c:v>
                </c:pt>
                <c:pt idx="25">
                  <c:v>106.13536865309754</c:v>
                </c:pt>
                <c:pt idx="26">
                  <c:v>106.34279726886085</c:v>
                </c:pt>
                <c:pt idx="27">
                  <c:v>106.72072107443618</c:v>
                </c:pt>
                <c:pt idx="28">
                  <c:v>106.89423859545742</c:v>
                </c:pt>
                <c:pt idx="29">
                  <c:v>0.15502238436248297</c:v>
                </c:pt>
                <c:pt idx="30">
                  <c:v>0.15060429971304348</c:v>
                </c:pt>
                <c:pt idx="31">
                  <c:v>0.14658207134914455</c:v>
                </c:pt>
                <c:pt idx="32">
                  <c:v>0.14228448915228081</c:v>
                </c:pt>
                <c:pt idx="33">
                  <c:v>0.13877123815827885</c:v>
                </c:pt>
                <c:pt idx="34">
                  <c:v>0.13622612528304379</c:v>
                </c:pt>
                <c:pt idx="35">
                  <c:v>0.13427014334241719</c:v>
                </c:pt>
                <c:pt idx="36">
                  <c:v>0.13262180731393397</c:v>
                </c:pt>
                <c:pt idx="37">
                  <c:v>0.13026494659740109</c:v>
                </c:pt>
                <c:pt idx="38">
                  <c:v>0.12802245027402981</c:v>
                </c:pt>
                <c:pt idx="39">
                  <c:v>79.457059395866736</c:v>
                </c:pt>
                <c:pt idx="40">
                  <c:v>81.898652032908601</c:v>
                </c:pt>
                <c:pt idx="41">
                  <c:v>83.691274127196095</c:v>
                </c:pt>
                <c:pt idx="42">
                  <c:v>85.113311617985786</c:v>
                </c:pt>
                <c:pt idx="43">
                  <c:v>86.530802897849455</c:v>
                </c:pt>
                <c:pt idx="44">
                  <c:v>87.523035238234456</c:v>
                </c:pt>
                <c:pt idx="45">
                  <c:v>88.40151858549423</c:v>
                </c:pt>
                <c:pt idx="46">
                  <c:v>88.958258759866951</c:v>
                </c:pt>
                <c:pt idx="47">
                  <c:v>89.627390240172176</c:v>
                </c:pt>
                <c:pt idx="48">
                  <c:v>90.085376259566587</c:v>
                </c:pt>
                <c:pt idx="49">
                  <c:v>90.592458661440375</c:v>
                </c:pt>
                <c:pt idx="50">
                  <c:v>91.140865966160163</c:v>
                </c:pt>
                <c:pt idx="51">
                  <c:v>91.616516615846081</c:v>
                </c:pt>
                <c:pt idx="52">
                  <c:v>92.145103311728178</c:v>
                </c:pt>
                <c:pt idx="53">
                  <c:v>92.640905925058703</c:v>
                </c:pt>
                <c:pt idx="54">
                  <c:v>93.006964949438213</c:v>
                </c:pt>
                <c:pt idx="55">
                  <c:v>93.464102372039306</c:v>
                </c:pt>
                <c:pt idx="56">
                  <c:v>93.691461870367732</c:v>
                </c:pt>
                <c:pt idx="57">
                  <c:v>93.896065095982976</c:v>
                </c:pt>
                <c:pt idx="58">
                  <c:v>94.194762557794391</c:v>
                </c:pt>
                <c:pt idx="59">
                  <c:v>94.433110026496706</c:v>
                </c:pt>
                <c:pt idx="60">
                  <c:v>94.899728474550628</c:v>
                </c:pt>
                <c:pt idx="61">
                  <c:v>95.192437643537289</c:v>
                </c:pt>
                <c:pt idx="62">
                  <c:v>95.482830498372138</c:v>
                </c:pt>
                <c:pt idx="63">
                  <c:v>95.823906695627443</c:v>
                </c:pt>
                <c:pt idx="64">
                  <c:v>96.034077821835993</c:v>
                </c:pt>
                <c:pt idx="65">
                  <c:v>96.224718218102495</c:v>
                </c:pt>
                <c:pt idx="66">
                  <c:v>96.441845122180595</c:v>
                </c:pt>
                <c:pt idx="67">
                  <c:v>96.287457773225171</c:v>
                </c:pt>
                <c:pt idx="68">
                  <c:v>0.11448939580051166</c:v>
                </c:pt>
                <c:pt idx="69">
                  <c:v>0.11495337914482173</c:v>
                </c:pt>
                <c:pt idx="70">
                  <c:v>0.11403513182933821</c:v>
                </c:pt>
                <c:pt idx="71">
                  <c:v>0.11306407085875179</c:v>
                </c:pt>
                <c:pt idx="72">
                  <c:v>0.11165688285674213</c:v>
                </c:pt>
                <c:pt idx="73">
                  <c:v>0.11025321867987752</c:v>
                </c:pt>
                <c:pt idx="74">
                  <c:v>0.10911274750940975</c:v>
                </c:pt>
                <c:pt idx="75">
                  <c:v>0.10799837202488544</c:v>
                </c:pt>
                <c:pt idx="76">
                  <c:v>0.10623230396634697</c:v>
                </c:pt>
                <c:pt idx="77">
                  <c:v>0.10528989663520127</c:v>
                </c:pt>
                <c:pt idx="78">
                  <c:v>81.035086442964783</c:v>
                </c:pt>
                <c:pt idx="79">
                  <c:v>83.631222011185457</c:v>
                </c:pt>
                <c:pt idx="80">
                  <c:v>85.346288994139584</c:v>
                </c:pt>
                <c:pt idx="81">
                  <c:v>87.041831077190935</c:v>
                </c:pt>
                <c:pt idx="82">
                  <c:v>88.355790874786692</c:v>
                </c:pt>
                <c:pt idx="83">
                  <c:v>89.531461335312613</c:v>
                </c:pt>
                <c:pt idx="84">
                  <c:v>90.420996813129975</c:v>
                </c:pt>
                <c:pt idx="85">
                  <c:v>91.206623260828167</c:v>
                </c:pt>
                <c:pt idx="86">
                  <c:v>91.716320909983793</c:v>
                </c:pt>
                <c:pt idx="87">
                  <c:v>92.165475350532191</c:v>
                </c:pt>
                <c:pt idx="88">
                  <c:v>92.66402224777606</c:v>
                </c:pt>
                <c:pt idx="89">
                  <c:v>93.238583627001233</c:v>
                </c:pt>
                <c:pt idx="90">
                  <c:v>93.748601041205703</c:v>
                </c:pt>
                <c:pt idx="91">
                  <c:v>94.179303357557501</c:v>
                </c:pt>
                <c:pt idx="92">
                  <c:v>94.593325553941028</c:v>
                </c:pt>
                <c:pt idx="93">
                  <c:v>94.932799526124271</c:v>
                </c:pt>
                <c:pt idx="94">
                  <c:v>95.240874980267975</c:v>
                </c:pt>
                <c:pt idx="95">
                  <c:v>95.57794739126831</c:v>
                </c:pt>
                <c:pt idx="96">
                  <c:v>95.833747030483536</c:v>
                </c:pt>
                <c:pt idx="97">
                  <c:v>96.029299052341074</c:v>
                </c:pt>
                <c:pt idx="98">
                  <c:v>96.363823281801999</c:v>
                </c:pt>
                <c:pt idx="99">
                  <c:v>96.707460407535009</c:v>
                </c:pt>
                <c:pt idx="100">
                  <c:v>97.034132822479137</c:v>
                </c:pt>
                <c:pt idx="101">
                  <c:v>97.180390425077846</c:v>
                </c:pt>
                <c:pt idx="102">
                  <c:v>97.393901183267914</c:v>
                </c:pt>
                <c:pt idx="103">
                  <c:v>97.598551199027725</c:v>
                </c:pt>
                <c:pt idx="104">
                  <c:v>97.743477931266554</c:v>
                </c:pt>
                <c:pt idx="105">
                  <c:v>97.917351736031165</c:v>
                </c:pt>
                <c:pt idx="106">
                  <c:v>98.091121467552554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A-5741-9949-081F4C50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04944"/>
        <c:axId val="2036370864"/>
      </c:scatterChart>
      <c:valAx>
        <c:axId val="20534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70864"/>
        <c:crosses val="autoZero"/>
        <c:crossBetween val="midCat"/>
      </c:valAx>
      <c:valAx>
        <c:axId val="2036370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100.83277775917439</c:v>
                </c:pt>
                <c:pt idx="2">
                  <c:v>101.73844626071291</c:v>
                </c:pt>
                <c:pt idx="3">
                  <c:v>102.27918913479509</c:v>
                </c:pt>
                <c:pt idx="4">
                  <c:v>101.07598236429152</c:v>
                </c:pt>
                <c:pt idx="5">
                  <c:v>101.12882703544555</c:v>
                </c:pt>
                <c:pt idx="6">
                  <c:v>102.41138000359551</c:v>
                </c:pt>
                <c:pt idx="7">
                  <c:v>103.90081963233884</c:v>
                </c:pt>
                <c:pt idx="8">
                  <c:v>103.47980863660844</c:v>
                </c:pt>
                <c:pt idx="9">
                  <c:v>106.237766134092</c:v>
                </c:pt>
                <c:pt idx="10">
                  <c:v>106.99217588458232</c:v>
                </c:pt>
                <c:pt idx="11">
                  <c:v>107.5339886128517</c:v>
                </c:pt>
                <c:pt idx="12">
                  <c:v>106.55433844113641</c:v>
                </c:pt>
                <c:pt idx="13">
                  <c:v>106.86697638110486</c:v>
                </c:pt>
                <c:pt idx="14">
                  <c:v>106.40812435813672</c:v>
                </c:pt>
                <c:pt idx="15">
                  <c:v>105.9240766662591</c:v>
                </c:pt>
                <c:pt idx="16">
                  <c:v>106.56067134434404</c:v>
                </c:pt>
                <c:pt idx="17">
                  <c:v>106.26537034849848</c:v>
                </c:pt>
                <c:pt idx="18">
                  <c:v>107.89448513221043</c:v>
                </c:pt>
                <c:pt idx="19">
                  <c:v>106.77050341817507</c:v>
                </c:pt>
                <c:pt idx="20">
                  <c:v>106.0778965467848</c:v>
                </c:pt>
                <c:pt idx="21">
                  <c:v>106.91243833136171</c:v>
                </c:pt>
                <c:pt idx="22">
                  <c:v>105.4469099391584</c:v>
                </c:pt>
                <c:pt idx="23">
                  <c:v>106.22702106534126</c:v>
                </c:pt>
                <c:pt idx="24">
                  <c:v>105.47038137822371</c:v>
                </c:pt>
                <c:pt idx="25">
                  <c:v>104.98756293055328</c:v>
                </c:pt>
                <c:pt idx="26">
                  <c:v>105.63537572076457</c:v>
                </c:pt>
                <c:pt idx="27">
                  <c:v>106.27258360317883</c:v>
                </c:pt>
                <c:pt idx="28">
                  <c:v>106.94023954539564</c:v>
                </c:pt>
                <c:pt idx="29">
                  <c:v>13.43879474152393</c:v>
                </c:pt>
                <c:pt idx="30">
                  <c:v>13.318727858211536</c:v>
                </c:pt>
                <c:pt idx="31">
                  <c:v>13.172307645909322</c:v>
                </c:pt>
                <c:pt idx="32">
                  <c:v>13.083431883690062</c:v>
                </c:pt>
                <c:pt idx="33">
                  <c:v>13.007931327142531</c:v>
                </c:pt>
                <c:pt idx="34">
                  <c:v>12.948606574450734</c:v>
                </c:pt>
                <c:pt idx="35">
                  <c:v>12.914241788534625</c:v>
                </c:pt>
                <c:pt idx="36">
                  <c:v>12.894545903677491</c:v>
                </c:pt>
                <c:pt idx="37">
                  <c:v>12.866046447150012</c:v>
                </c:pt>
                <c:pt idx="38">
                  <c:v>12.828324003778334</c:v>
                </c:pt>
                <c:pt idx="39">
                  <c:v>104.12797539913959</c:v>
                </c:pt>
                <c:pt idx="40">
                  <c:v>105.86123417454097</c:v>
                </c:pt>
                <c:pt idx="41">
                  <c:v>105.30503179547229</c:v>
                </c:pt>
                <c:pt idx="42">
                  <c:v>103.49777090062742</c:v>
                </c:pt>
                <c:pt idx="43">
                  <c:v>103.52452187716453</c:v>
                </c:pt>
                <c:pt idx="44">
                  <c:v>102.74108621187138</c:v>
                </c:pt>
                <c:pt idx="45">
                  <c:v>102.279767400361</c:v>
                </c:pt>
                <c:pt idx="46">
                  <c:v>101.8294998137488</c:v>
                </c:pt>
                <c:pt idx="47">
                  <c:v>101.87368874653805</c:v>
                </c:pt>
                <c:pt idx="48">
                  <c:v>101.86671478649862</c:v>
                </c:pt>
                <c:pt idx="49">
                  <c:v>102.39771616684597</c:v>
                </c:pt>
                <c:pt idx="50">
                  <c:v>102.08733705486988</c:v>
                </c:pt>
                <c:pt idx="51">
                  <c:v>101.41544582201347</c:v>
                </c:pt>
                <c:pt idx="52">
                  <c:v>102.57635676620244</c:v>
                </c:pt>
                <c:pt idx="53">
                  <c:v>103.91902044011984</c:v>
                </c:pt>
                <c:pt idx="54">
                  <c:v>103.06061442334094</c:v>
                </c:pt>
                <c:pt idx="55">
                  <c:v>104.18167388852976</c:v>
                </c:pt>
                <c:pt idx="56">
                  <c:v>105.00094544654684</c:v>
                </c:pt>
                <c:pt idx="57">
                  <c:v>103.70807985612424</c:v>
                </c:pt>
                <c:pt idx="58">
                  <c:v>104.85729387026788</c:v>
                </c:pt>
                <c:pt idx="59">
                  <c:v>104.69526847042754</c:v>
                </c:pt>
                <c:pt idx="60">
                  <c:v>105.05528900500762</c:v>
                </c:pt>
                <c:pt idx="61">
                  <c:v>105.18191359818358</c:v>
                </c:pt>
                <c:pt idx="62">
                  <c:v>104.93485063368219</c:v>
                </c:pt>
                <c:pt idx="63">
                  <c:v>106.10003789165553</c:v>
                </c:pt>
                <c:pt idx="64">
                  <c:v>106.34479205364251</c:v>
                </c:pt>
                <c:pt idx="65">
                  <c:v>105.94868355417607</c:v>
                </c:pt>
                <c:pt idx="66">
                  <c:v>105.93649629658493</c:v>
                </c:pt>
                <c:pt idx="67">
                  <c:v>104.34837980760101</c:v>
                </c:pt>
                <c:pt idx="68">
                  <c:v>12.76880373336482</c:v>
                </c:pt>
                <c:pt idx="69">
                  <c:v>12.815273656678116</c:v>
                </c:pt>
                <c:pt idx="70">
                  <c:v>12.799672969836593</c:v>
                </c:pt>
                <c:pt idx="71">
                  <c:v>12.784064390339344</c:v>
                </c:pt>
                <c:pt idx="72">
                  <c:v>12.765983320162766</c:v>
                </c:pt>
                <c:pt idx="73">
                  <c:v>12.74247885465963</c:v>
                </c:pt>
                <c:pt idx="74">
                  <c:v>12.721926020989136</c:v>
                </c:pt>
                <c:pt idx="75">
                  <c:v>12.70481744415553</c:v>
                </c:pt>
                <c:pt idx="76">
                  <c:v>12.688858097745749</c:v>
                </c:pt>
                <c:pt idx="77">
                  <c:v>12.673864740192988</c:v>
                </c:pt>
                <c:pt idx="78">
                  <c:v>104.1919977742911</c:v>
                </c:pt>
                <c:pt idx="79">
                  <c:v>106.01582643273814</c:v>
                </c:pt>
                <c:pt idx="80">
                  <c:v>103.0094153346103</c:v>
                </c:pt>
                <c:pt idx="81">
                  <c:v>101.80561837180625</c:v>
                </c:pt>
                <c:pt idx="82">
                  <c:v>101.19811456654418</c:v>
                </c:pt>
                <c:pt idx="83">
                  <c:v>102.01970090307221</c:v>
                </c:pt>
                <c:pt idx="84">
                  <c:v>101.45903531571217</c:v>
                </c:pt>
                <c:pt idx="85">
                  <c:v>102.52277611165918</c:v>
                </c:pt>
                <c:pt idx="86">
                  <c:v>102.35670392463744</c:v>
                </c:pt>
                <c:pt idx="87">
                  <c:v>102.17730449213377</c:v>
                </c:pt>
                <c:pt idx="88">
                  <c:v>102.30699796513811</c:v>
                </c:pt>
                <c:pt idx="89">
                  <c:v>102.29620144210935</c:v>
                </c:pt>
                <c:pt idx="90">
                  <c:v>101.81387415602326</c:v>
                </c:pt>
                <c:pt idx="91">
                  <c:v>101.55003200045469</c:v>
                </c:pt>
                <c:pt idx="92">
                  <c:v>101.38663463707682</c:v>
                </c:pt>
                <c:pt idx="93">
                  <c:v>101.15683613330776</c:v>
                </c:pt>
                <c:pt idx="94">
                  <c:v>101.86473170447924</c:v>
                </c:pt>
                <c:pt idx="95">
                  <c:v>103.00569441880442</c:v>
                </c:pt>
                <c:pt idx="96">
                  <c:v>102.09019540756178</c:v>
                </c:pt>
                <c:pt idx="97">
                  <c:v>100.70738918379602</c:v>
                </c:pt>
                <c:pt idx="98">
                  <c:v>100.78244128220986</c:v>
                </c:pt>
                <c:pt idx="99">
                  <c:v>101.60282852326607</c:v>
                </c:pt>
                <c:pt idx="100">
                  <c:v>100.73960793300252</c:v>
                </c:pt>
                <c:pt idx="101">
                  <c:v>100.46988950447496</c:v>
                </c:pt>
                <c:pt idx="102">
                  <c:v>99.693594192227224</c:v>
                </c:pt>
                <c:pt idx="103">
                  <c:v>100.2567387805373</c:v>
                </c:pt>
                <c:pt idx="104">
                  <c:v>100.35491517060156</c:v>
                </c:pt>
                <c:pt idx="105">
                  <c:v>100.35872991274597</c:v>
                </c:pt>
                <c:pt idx="106">
                  <c:v>100.02893001472462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1-2146-A8E6-90F4ADC9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770064"/>
        <c:axId val="2047414592"/>
      </c:scatterChart>
      <c:valAx>
        <c:axId val="204777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14592"/>
        <c:crosses val="autoZero"/>
        <c:crossBetween val="midCat"/>
      </c:valAx>
      <c:valAx>
        <c:axId val="2047414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7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hpi'!$B$3:$B$124</c:f>
              <c:numCache>
                <c:formatCode>General</c:formatCode>
                <c:ptCount val="122"/>
                <c:pt idx="0">
                  <c:v>8.3850999999999999E-4</c:v>
                </c:pt>
                <c:pt idx="1">
                  <c:v>8.4203700000000002E-4</c:v>
                </c:pt>
                <c:pt idx="2">
                  <c:v>8.4586100000000005E-4</c:v>
                </c:pt>
                <c:pt idx="3">
                  <c:v>8.49108E-4</c:v>
                </c:pt>
                <c:pt idx="4">
                  <c:v>8.4877399999999995E-4</c:v>
                </c:pt>
                <c:pt idx="5">
                  <c:v>8.5119500000000001E-4</c:v>
                </c:pt>
                <c:pt idx="6">
                  <c:v>8.5488100000000004E-4</c:v>
                </c:pt>
                <c:pt idx="7">
                  <c:v>8.6230200000000001E-4</c:v>
                </c:pt>
                <c:pt idx="8">
                  <c:v>8.6244399999999997E-4</c:v>
                </c:pt>
                <c:pt idx="9">
                  <c:v>8.6777600000000001E-4</c:v>
                </c:pt>
                <c:pt idx="10">
                  <c:v>8.7080499999999999E-4</c:v>
                </c:pt>
                <c:pt idx="11">
                  <c:v>8.7295799999999996E-4</c:v>
                </c:pt>
                <c:pt idx="12">
                  <c:v>8.7448400000000003E-4</c:v>
                </c:pt>
                <c:pt idx="13">
                  <c:v>8.73312E-4</c:v>
                </c:pt>
                <c:pt idx="14">
                  <c:v>8.7383800000000005E-4</c:v>
                </c:pt>
                <c:pt idx="15">
                  <c:v>8.7378499999999997E-4</c:v>
                </c:pt>
                <c:pt idx="16">
                  <c:v>8.7668299999999995E-4</c:v>
                </c:pt>
                <c:pt idx="17">
                  <c:v>8.7982700000000002E-4</c:v>
                </c:pt>
                <c:pt idx="18">
                  <c:v>8.8256399999999996E-4</c:v>
                </c:pt>
                <c:pt idx="19">
                  <c:v>8.8325700000000003E-4</c:v>
                </c:pt>
                <c:pt idx="20">
                  <c:v>8.8190199999999995E-4</c:v>
                </c:pt>
                <c:pt idx="21">
                  <c:v>8.8649499999999995E-4</c:v>
                </c:pt>
                <c:pt idx="22">
                  <c:v>8.8198900000000002E-4</c:v>
                </c:pt>
                <c:pt idx="23">
                  <c:v>8.8628600000000002E-4</c:v>
                </c:pt>
                <c:pt idx="24">
                  <c:v>8.8484000000000002E-4</c:v>
                </c:pt>
                <c:pt idx="25">
                  <c:v>8.8832199999999998E-4</c:v>
                </c:pt>
                <c:pt idx="26">
                  <c:v>8.8905600000000005E-4</c:v>
                </c:pt>
                <c:pt idx="27">
                  <c:v>8.8986999999999996E-4</c:v>
                </c:pt>
                <c:pt idx="28">
                  <c:v>8.9346100000000002E-4</c:v>
                </c:pt>
                <c:pt idx="29">
                  <c:v>1.3663900000000001E-6</c:v>
                </c:pt>
                <c:pt idx="30">
                  <c:v>1.3310099999999999E-6</c:v>
                </c:pt>
                <c:pt idx="31">
                  <c:v>1.2971499999999999E-6</c:v>
                </c:pt>
                <c:pt idx="32">
                  <c:v>1.2562299999999999E-6</c:v>
                </c:pt>
                <c:pt idx="33">
                  <c:v>1.2242399999999999E-6</c:v>
                </c:pt>
                <c:pt idx="34">
                  <c:v>1.1997299999999999E-6</c:v>
                </c:pt>
                <c:pt idx="35">
                  <c:v>1.18749E-6</c:v>
                </c:pt>
                <c:pt idx="36">
                  <c:v>1.1760799999999999E-6</c:v>
                </c:pt>
                <c:pt idx="37">
                  <c:v>1.1624099999999999E-6</c:v>
                </c:pt>
                <c:pt idx="38">
                  <c:v>1.14308E-6</c:v>
                </c:pt>
                <c:pt idx="39">
                  <c:v>6.68057E-4</c:v>
                </c:pt>
                <c:pt idx="40">
                  <c:v>6.8596200000000003E-4</c:v>
                </c:pt>
                <c:pt idx="41">
                  <c:v>7.0168499999999996E-4</c:v>
                </c:pt>
                <c:pt idx="42">
                  <c:v>7.1544600000000001E-4</c:v>
                </c:pt>
                <c:pt idx="43">
                  <c:v>7.28646E-4</c:v>
                </c:pt>
                <c:pt idx="44">
                  <c:v>7.3623600000000003E-4</c:v>
                </c:pt>
                <c:pt idx="45">
                  <c:v>7.43285E-4</c:v>
                </c:pt>
                <c:pt idx="46">
                  <c:v>7.4849900000000002E-4</c:v>
                </c:pt>
                <c:pt idx="47">
                  <c:v>7.52891E-4</c:v>
                </c:pt>
                <c:pt idx="48">
                  <c:v>7.5794299999999996E-4</c:v>
                </c:pt>
                <c:pt idx="49">
                  <c:v>7.6245800000000004E-4</c:v>
                </c:pt>
                <c:pt idx="50">
                  <c:v>7.6604899999999998E-4</c:v>
                </c:pt>
                <c:pt idx="51">
                  <c:v>7.7001800000000003E-4</c:v>
                </c:pt>
                <c:pt idx="52">
                  <c:v>7.7490100000000004E-4</c:v>
                </c:pt>
                <c:pt idx="53">
                  <c:v>7.7925100000000001E-4</c:v>
                </c:pt>
                <c:pt idx="54">
                  <c:v>7.8157400000000005E-4</c:v>
                </c:pt>
                <c:pt idx="55">
                  <c:v>7.8461799999999995E-4</c:v>
                </c:pt>
                <c:pt idx="56">
                  <c:v>7.8611399999999998E-4</c:v>
                </c:pt>
                <c:pt idx="57">
                  <c:v>7.8931200000000002E-4</c:v>
                </c:pt>
                <c:pt idx="58">
                  <c:v>7.91342E-4</c:v>
                </c:pt>
                <c:pt idx="59">
                  <c:v>7.93676E-4</c:v>
                </c:pt>
                <c:pt idx="60">
                  <c:v>7.9632499999999996E-4</c:v>
                </c:pt>
                <c:pt idx="61">
                  <c:v>7.9923600000000004E-4</c:v>
                </c:pt>
                <c:pt idx="62">
                  <c:v>8.0070200000000003E-4</c:v>
                </c:pt>
                <c:pt idx="63">
                  <c:v>8.0221100000000005E-4</c:v>
                </c:pt>
                <c:pt idx="64">
                  <c:v>8.0393800000000003E-4</c:v>
                </c:pt>
                <c:pt idx="65">
                  <c:v>8.0642300000000001E-4</c:v>
                </c:pt>
                <c:pt idx="66">
                  <c:v>8.0724599999999996E-4</c:v>
                </c:pt>
                <c:pt idx="67">
                  <c:v>8.0746400000000003E-4</c:v>
                </c:pt>
                <c:pt idx="68">
                  <c:v>1.03608E-6</c:v>
                </c:pt>
                <c:pt idx="69">
                  <c:v>1.0398899999999999E-6</c:v>
                </c:pt>
                <c:pt idx="70">
                  <c:v>1.03365E-6</c:v>
                </c:pt>
                <c:pt idx="71">
                  <c:v>1.0343E-6</c:v>
                </c:pt>
                <c:pt idx="72">
                  <c:v>1.02221E-6</c:v>
                </c:pt>
                <c:pt idx="73">
                  <c:v>1.01042E-6</c:v>
                </c:pt>
                <c:pt idx="74">
                  <c:v>1.00145E-6</c:v>
                </c:pt>
                <c:pt idx="75">
                  <c:v>9.963230000000001E-7</c:v>
                </c:pt>
                <c:pt idx="76">
                  <c:v>9.827219999999999E-7</c:v>
                </c:pt>
                <c:pt idx="77">
                  <c:v>9.8158400000000004E-7</c:v>
                </c:pt>
                <c:pt idx="78">
                  <c:v>6.7851900000000004E-4</c:v>
                </c:pt>
                <c:pt idx="79">
                  <c:v>6.9861299999999995E-4</c:v>
                </c:pt>
                <c:pt idx="80">
                  <c:v>7.1352799999999995E-4</c:v>
                </c:pt>
                <c:pt idx="81">
                  <c:v>7.2915600000000001E-4</c:v>
                </c:pt>
                <c:pt idx="82">
                  <c:v>7.3928000000000004E-4</c:v>
                </c:pt>
                <c:pt idx="83">
                  <c:v>7.4945899999999995E-4</c:v>
                </c:pt>
                <c:pt idx="84">
                  <c:v>7.5691899999999999E-4</c:v>
                </c:pt>
                <c:pt idx="85">
                  <c:v>7.6256399999999997E-4</c:v>
                </c:pt>
                <c:pt idx="86">
                  <c:v>7.6885099999999997E-4</c:v>
                </c:pt>
                <c:pt idx="87">
                  <c:v>7.7159600000000004E-4</c:v>
                </c:pt>
                <c:pt idx="88">
                  <c:v>7.7607800000000003E-4</c:v>
                </c:pt>
                <c:pt idx="89">
                  <c:v>7.7973699999999996E-4</c:v>
                </c:pt>
                <c:pt idx="90">
                  <c:v>7.8539500000000004E-4</c:v>
                </c:pt>
                <c:pt idx="91">
                  <c:v>7.8814100000000002E-4</c:v>
                </c:pt>
                <c:pt idx="92">
                  <c:v>7.90419E-4</c:v>
                </c:pt>
                <c:pt idx="93">
                  <c:v>7.9251300000000001E-4</c:v>
                </c:pt>
                <c:pt idx="94">
                  <c:v>7.9538299999999998E-4</c:v>
                </c:pt>
                <c:pt idx="95">
                  <c:v>7.9811900000000002E-4</c:v>
                </c:pt>
                <c:pt idx="96">
                  <c:v>8.0007199999999998E-4</c:v>
                </c:pt>
                <c:pt idx="97">
                  <c:v>8.0436899999999998E-4</c:v>
                </c:pt>
                <c:pt idx="98">
                  <c:v>8.0671200000000001E-4</c:v>
                </c:pt>
                <c:pt idx="99">
                  <c:v>8.0991500000000003E-4</c:v>
                </c:pt>
                <c:pt idx="100">
                  <c:v>8.1309899999999996E-4</c:v>
                </c:pt>
                <c:pt idx="101">
                  <c:v>8.1494499999999997E-4</c:v>
                </c:pt>
                <c:pt idx="102">
                  <c:v>8.1511799999999998E-4</c:v>
                </c:pt>
                <c:pt idx="103">
                  <c:v>8.1712099999999997E-4</c:v>
                </c:pt>
                <c:pt idx="104">
                  <c:v>8.1717200000000002E-4</c:v>
                </c:pt>
                <c:pt idx="105">
                  <c:v>8.1808399999999996E-4</c:v>
                </c:pt>
                <c:pt idx="106">
                  <c:v>8.2101299999999999E-4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4-4703-A13D-B10AF63D98DF}"/>
            </c:ext>
          </c:extLst>
        </c:ser>
        <c:ser>
          <c:idx val="1"/>
          <c:order val="1"/>
          <c:tx>
            <c:strRef>
              <c:f>'1250 P- 72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hpi'!$G$3:$G$124</c:f>
              <c:numCache>
                <c:formatCode>General</c:formatCode>
                <c:ptCount val="122"/>
                <c:pt idx="0">
                  <c:v>7.9942800000000003E-4</c:v>
                </c:pt>
                <c:pt idx="1">
                  <c:v>8.0233099999999999E-4</c:v>
                </c:pt>
                <c:pt idx="2">
                  <c:v>8.0607900000000002E-4</c:v>
                </c:pt>
                <c:pt idx="3">
                  <c:v>8.1080900000000001E-4</c:v>
                </c:pt>
                <c:pt idx="4">
                  <c:v>8.1378899999999998E-4</c:v>
                </c:pt>
                <c:pt idx="5">
                  <c:v>8.1518699999999999E-4</c:v>
                </c:pt>
                <c:pt idx="6">
                  <c:v>8.1685299999999998E-4</c:v>
                </c:pt>
                <c:pt idx="7">
                  <c:v>8.1839800000000002E-4</c:v>
                </c:pt>
                <c:pt idx="8">
                  <c:v>8.2155699999999999E-4</c:v>
                </c:pt>
                <c:pt idx="9">
                  <c:v>8.2592899999999999E-4</c:v>
                </c:pt>
                <c:pt idx="10">
                  <c:v>8.2886500000000003E-4</c:v>
                </c:pt>
                <c:pt idx="11">
                  <c:v>8.3101699999999998E-4</c:v>
                </c:pt>
                <c:pt idx="12">
                  <c:v>8.3232399999999995E-4</c:v>
                </c:pt>
                <c:pt idx="13">
                  <c:v>8.3266299999999998E-4</c:v>
                </c:pt>
                <c:pt idx="14">
                  <c:v>8.3656500000000005E-4</c:v>
                </c:pt>
                <c:pt idx="15">
                  <c:v>8.3716200000000002E-4</c:v>
                </c:pt>
                <c:pt idx="16">
                  <c:v>8.3866300000000002E-4</c:v>
                </c:pt>
                <c:pt idx="17">
                  <c:v>8.3927199999999996E-4</c:v>
                </c:pt>
                <c:pt idx="18">
                  <c:v>8.4309499999999998E-4</c:v>
                </c:pt>
                <c:pt idx="19">
                  <c:v>8.4567599999999996E-4</c:v>
                </c:pt>
                <c:pt idx="20">
                  <c:v>8.4670399999999999E-4</c:v>
                </c:pt>
                <c:pt idx="21">
                  <c:v>8.4653899999999999E-4</c:v>
                </c:pt>
                <c:pt idx="22">
                  <c:v>8.4807199999999995E-4</c:v>
                </c:pt>
                <c:pt idx="23">
                  <c:v>8.4843199999999998E-4</c:v>
                </c:pt>
                <c:pt idx="24">
                  <c:v>8.5110999999999997E-4</c:v>
                </c:pt>
                <c:pt idx="25">
                  <c:v>8.5188199999999999E-4</c:v>
                </c:pt>
                <c:pt idx="26">
                  <c:v>8.5424700000000004E-4</c:v>
                </c:pt>
                <c:pt idx="27">
                  <c:v>8.5972299999999995E-4</c:v>
                </c:pt>
                <c:pt idx="28">
                  <c:v>8.5992800000000004E-4</c:v>
                </c:pt>
                <c:pt idx="29">
                  <c:v>1.43776E-6</c:v>
                </c:pt>
                <c:pt idx="30">
                  <c:v>1.41506E-6</c:v>
                </c:pt>
                <c:pt idx="31">
                  <c:v>1.38483E-6</c:v>
                </c:pt>
                <c:pt idx="32">
                  <c:v>1.3615800000000001E-6</c:v>
                </c:pt>
                <c:pt idx="33">
                  <c:v>1.3397000000000001E-6</c:v>
                </c:pt>
                <c:pt idx="34">
                  <c:v>1.3193499999999999E-6</c:v>
                </c:pt>
                <c:pt idx="35">
                  <c:v>1.2964199999999999E-6</c:v>
                </c:pt>
                <c:pt idx="36">
                  <c:v>1.2735200000000001E-6</c:v>
                </c:pt>
                <c:pt idx="37">
                  <c:v>1.2462E-6</c:v>
                </c:pt>
                <c:pt idx="38">
                  <c:v>1.2277600000000001E-6</c:v>
                </c:pt>
                <c:pt idx="39">
                  <c:v>6.4502099999999996E-4</c:v>
                </c:pt>
                <c:pt idx="40">
                  <c:v>6.6710499999999998E-4</c:v>
                </c:pt>
                <c:pt idx="41">
                  <c:v>6.81312E-4</c:v>
                </c:pt>
                <c:pt idx="42">
                  <c:v>6.9162499999999997E-4</c:v>
                </c:pt>
                <c:pt idx="43">
                  <c:v>7.0294499999999996E-4</c:v>
                </c:pt>
                <c:pt idx="44">
                  <c:v>7.1093600000000001E-4</c:v>
                </c:pt>
                <c:pt idx="45">
                  <c:v>7.18737E-4</c:v>
                </c:pt>
                <c:pt idx="46">
                  <c:v>7.2252700000000004E-4</c:v>
                </c:pt>
                <c:pt idx="47">
                  <c:v>7.2913299999999997E-4</c:v>
                </c:pt>
                <c:pt idx="48">
                  <c:v>7.31414E-4</c:v>
                </c:pt>
                <c:pt idx="49">
                  <c:v>7.3815999999999997E-4</c:v>
                </c:pt>
                <c:pt idx="50">
                  <c:v>7.43609E-4</c:v>
                </c:pt>
                <c:pt idx="51">
                  <c:v>7.4691500000000001E-4</c:v>
                </c:pt>
                <c:pt idx="52">
                  <c:v>7.5043799999999997E-4</c:v>
                </c:pt>
                <c:pt idx="53">
                  <c:v>7.5490099999999999E-4</c:v>
                </c:pt>
                <c:pt idx="54">
                  <c:v>7.5813900000000001E-4</c:v>
                </c:pt>
                <c:pt idx="55">
                  <c:v>7.6276899999999995E-4</c:v>
                </c:pt>
                <c:pt idx="56">
                  <c:v>7.6475600000000001E-4</c:v>
                </c:pt>
                <c:pt idx="57">
                  <c:v>7.6529099999999997E-4</c:v>
                </c:pt>
                <c:pt idx="58">
                  <c:v>7.6898799999999996E-4</c:v>
                </c:pt>
                <c:pt idx="59">
                  <c:v>7.6969199999999999E-4</c:v>
                </c:pt>
                <c:pt idx="60">
                  <c:v>7.7576700000000001E-4</c:v>
                </c:pt>
                <c:pt idx="61">
                  <c:v>7.7688200000000001E-4</c:v>
                </c:pt>
                <c:pt idx="62">
                  <c:v>7.8023800000000005E-4</c:v>
                </c:pt>
                <c:pt idx="63">
                  <c:v>7.8458E-4</c:v>
                </c:pt>
                <c:pt idx="64">
                  <c:v>7.8686000000000001E-4</c:v>
                </c:pt>
                <c:pt idx="65">
                  <c:v>7.88085E-4</c:v>
                </c:pt>
                <c:pt idx="66">
                  <c:v>7.9054199999999998E-4</c:v>
                </c:pt>
                <c:pt idx="67">
                  <c:v>7.8499699999999995E-4</c:v>
                </c:pt>
                <c:pt idx="68">
                  <c:v>1.0977699999999999E-6</c:v>
                </c:pt>
                <c:pt idx="69">
                  <c:v>1.10272E-6</c:v>
                </c:pt>
                <c:pt idx="70">
                  <c:v>1.10016E-6</c:v>
                </c:pt>
                <c:pt idx="71">
                  <c:v>1.08813E-6</c:v>
                </c:pt>
                <c:pt idx="72">
                  <c:v>1.07934E-6</c:v>
                </c:pt>
                <c:pt idx="73">
                  <c:v>1.0647900000000001E-6</c:v>
                </c:pt>
                <c:pt idx="74">
                  <c:v>1.0610000000000001E-6</c:v>
                </c:pt>
                <c:pt idx="75">
                  <c:v>1.0572499999999999E-6</c:v>
                </c:pt>
                <c:pt idx="76">
                  <c:v>1.0412099999999999E-6</c:v>
                </c:pt>
                <c:pt idx="77">
                  <c:v>1.0305299999999999E-6</c:v>
                </c:pt>
                <c:pt idx="78">
                  <c:v>6.5335999999999997E-4</c:v>
                </c:pt>
                <c:pt idx="79">
                  <c:v>6.7592399999999995E-4</c:v>
                </c:pt>
                <c:pt idx="80">
                  <c:v>6.8866100000000003E-4</c:v>
                </c:pt>
                <c:pt idx="81">
                  <c:v>7.0143199999999999E-4</c:v>
                </c:pt>
                <c:pt idx="82">
                  <c:v>7.1173600000000003E-4</c:v>
                </c:pt>
                <c:pt idx="83">
                  <c:v>7.2095799999999995E-4</c:v>
                </c:pt>
                <c:pt idx="84">
                  <c:v>7.2793300000000005E-4</c:v>
                </c:pt>
                <c:pt idx="85">
                  <c:v>7.33948E-4</c:v>
                </c:pt>
                <c:pt idx="86">
                  <c:v>7.3783200000000001E-4</c:v>
                </c:pt>
                <c:pt idx="87">
                  <c:v>7.4189000000000004E-4</c:v>
                </c:pt>
                <c:pt idx="88">
                  <c:v>7.4596999999999999E-4</c:v>
                </c:pt>
                <c:pt idx="89">
                  <c:v>7.5151500000000002E-4</c:v>
                </c:pt>
                <c:pt idx="90">
                  <c:v>7.5494400000000001E-4</c:v>
                </c:pt>
                <c:pt idx="91">
                  <c:v>7.5940199999999995E-4</c:v>
                </c:pt>
                <c:pt idx="92">
                  <c:v>7.6232000000000003E-4</c:v>
                </c:pt>
                <c:pt idx="93">
                  <c:v>7.6537399999999998E-4</c:v>
                </c:pt>
                <c:pt idx="94">
                  <c:v>7.6763600000000003E-4</c:v>
                </c:pt>
                <c:pt idx="95">
                  <c:v>7.7096300000000005E-4</c:v>
                </c:pt>
                <c:pt idx="96">
                  <c:v>7.7353000000000003E-4</c:v>
                </c:pt>
                <c:pt idx="97">
                  <c:v>7.7092299999999996E-4</c:v>
                </c:pt>
                <c:pt idx="98">
                  <c:v>7.7493899999999999E-4</c:v>
                </c:pt>
                <c:pt idx="99">
                  <c:v>7.7840199999999998E-4</c:v>
                </c:pt>
                <c:pt idx="100">
                  <c:v>7.8012700000000003E-4</c:v>
                </c:pt>
                <c:pt idx="101">
                  <c:v>7.79891E-4</c:v>
                </c:pt>
                <c:pt idx="102">
                  <c:v>7.8235800000000003E-4</c:v>
                </c:pt>
                <c:pt idx="103">
                  <c:v>7.8375799999999996E-4</c:v>
                </c:pt>
                <c:pt idx="104">
                  <c:v>7.8594899999999998E-4</c:v>
                </c:pt>
                <c:pt idx="105">
                  <c:v>7.8796499999999995E-4</c:v>
                </c:pt>
                <c:pt idx="106">
                  <c:v>7.8855799999999997E-4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24-4703-A13D-B10AF63D98DF}"/>
            </c:ext>
          </c:extLst>
        </c:ser>
        <c:ser>
          <c:idx val="2"/>
          <c:order val="2"/>
          <c:tx>
            <c:strRef>
              <c:f>'1250 P- 72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hpi'!$L$3:$L$124</c:f>
              <c:numCache>
                <c:formatCode>0.00E+00</c:formatCode>
                <c:ptCount val="122"/>
                <c:pt idx="0">
                  <c:v>9.7524999999999999E-4</c:v>
                </c:pt>
                <c:pt idx="1">
                  <c:v>9.7885399999999992E-4</c:v>
                </c:pt>
                <c:pt idx="2">
                  <c:v>9.8202599999999999E-4</c:v>
                </c:pt>
                <c:pt idx="3">
                  <c:v>9.8442199999999999E-4</c:v>
                </c:pt>
                <c:pt idx="4">
                  <c:v>9.8635499999999996E-4</c:v>
                </c:pt>
                <c:pt idx="5">
                  <c:v>9.9111300000000006E-4</c:v>
                </c:pt>
                <c:pt idx="6">
                  <c:v>9.9415099999999998E-4</c:v>
                </c:pt>
                <c:pt idx="7">
                  <c:v>9.9643900000000001E-4</c:v>
                </c:pt>
                <c:pt idx="8">
                  <c:v>9.9775800000000006E-4</c:v>
                </c:pt>
                <c:pt idx="9">
                  <c:v>1.0023199999999999E-3</c:v>
                </c:pt>
                <c:pt idx="10">
                  <c:v>1.00494E-3</c:v>
                </c:pt>
                <c:pt idx="11">
                  <c:v>1.0066299999999999E-3</c:v>
                </c:pt>
                <c:pt idx="12">
                  <c:v>1.0104599999999999E-3</c:v>
                </c:pt>
                <c:pt idx="13">
                  <c:v>1.0108700000000001E-3</c:v>
                </c:pt>
                <c:pt idx="14">
                  <c:v>1.0152200000000001E-3</c:v>
                </c:pt>
                <c:pt idx="15">
                  <c:v>1.0171399999999999E-3</c:v>
                </c:pt>
                <c:pt idx="16">
                  <c:v>1.01856E-3</c:v>
                </c:pt>
                <c:pt idx="17">
                  <c:v>1.0184300000000001E-3</c:v>
                </c:pt>
                <c:pt idx="18">
                  <c:v>1.0226899999999999E-3</c:v>
                </c:pt>
                <c:pt idx="19">
                  <c:v>1.0227999999999999E-3</c:v>
                </c:pt>
                <c:pt idx="20">
                  <c:v>1.02451E-3</c:v>
                </c:pt>
                <c:pt idx="21">
                  <c:v>1.0277299999999999E-3</c:v>
                </c:pt>
                <c:pt idx="22">
                  <c:v>1.03159E-3</c:v>
                </c:pt>
                <c:pt idx="23">
                  <c:v>1.0314199999999999E-3</c:v>
                </c:pt>
                <c:pt idx="24">
                  <c:v>1.03341E-3</c:v>
                </c:pt>
                <c:pt idx="25">
                  <c:v>1.03283E-3</c:v>
                </c:pt>
                <c:pt idx="26">
                  <c:v>1.03516E-3</c:v>
                </c:pt>
                <c:pt idx="27">
                  <c:v>1.03859E-3</c:v>
                </c:pt>
                <c:pt idx="28">
                  <c:v>1.0392400000000001E-3</c:v>
                </c:pt>
                <c:pt idx="29">
                  <c:v>1.1923800000000001E-6</c:v>
                </c:pt>
                <c:pt idx="30">
                  <c:v>1.1319600000000001E-6</c:v>
                </c:pt>
                <c:pt idx="31">
                  <c:v>1.09054E-6</c:v>
                </c:pt>
                <c:pt idx="32">
                  <c:v>1.04076E-6</c:v>
                </c:pt>
                <c:pt idx="33">
                  <c:v>1.0018699999999999E-6</c:v>
                </c:pt>
                <c:pt idx="34">
                  <c:v>9.80739E-7</c:v>
                </c:pt>
                <c:pt idx="35">
                  <c:v>9.6572100000000008E-7</c:v>
                </c:pt>
                <c:pt idx="36">
                  <c:v>9.5870200000000008E-7</c:v>
                </c:pt>
                <c:pt idx="37">
                  <c:v>9.3897399999999995E-7</c:v>
                </c:pt>
                <c:pt idx="38">
                  <c:v>9.1834199999999995E-7</c:v>
                </c:pt>
                <c:pt idx="39">
                  <c:v>7.6083100000000001E-4</c:v>
                </c:pt>
                <c:pt idx="40">
                  <c:v>7.8450000000000004E-4</c:v>
                </c:pt>
                <c:pt idx="41">
                  <c:v>8.0132900000000004E-4</c:v>
                </c:pt>
                <c:pt idx="42">
                  <c:v>8.14348E-4</c:v>
                </c:pt>
                <c:pt idx="43">
                  <c:v>8.2665799999999997E-4</c:v>
                </c:pt>
                <c:pt idx="44">
                  <c:v>8.3711199999999999E-4</c:v>
                </c:pt>
                <c:pt idx="45">
                  <c:v>8.4509899999999998E-4</c:v>
                </c:pt>
                <c:pt idx="46">
                  <c:v>8.5070000000000002E-4</c:v>
                </c:pt>
                <c:pt idx="47">
                  <c:v>8.5711000000000001E-4</c:v>
                </c:pt>
                <c:pt idx="48">
                  <c:v>8.6185099999999996E-4</c:v>
                </c:pt>
                <c:pt idx="49">
                  <c:v>8.6320600000000004E-4</c:v>
                </c:pt>
                <c:pt idx="50">
                  <c:v>8.6842699999999996E-4</c:v>
                </c:pt>
                <c:pt idx="51">
                  <c:v>8.7369399999999995E-4</c:v>
                </c:pt>
                <c:pt idx="52">
                  <c:v>8.7918200000000005E-4</c:v>
                </c:pt>
                <c:pt idx="53">
                  <c:v>8.8318399999999997E-4</c:v>
                </c:pt>
                <c:pt idx="54">
                  <c:v>8.87242E-4</c:v>
                </c:pt>
                <c:pt idx="55">
                  <c:v>8.9142799999999999E-4</c:v>
                </c:pt>
                <c:pt idx="56">
                  <c:v>8.9391600000000002E-4</c:v>
                </c:pt>
                <c:pt idx="57">
                  <c:v>8.9552999999999996E-4</c:v>
                </c:pt>
                <c:pt idx="58">
                  <c:v>8.9739799999999999E-4</c:v>
                </c:pt>
                <c:pt idx="59">
                  <c:v>9.0079799999999996E-4</c:v>
                </c:pt>
                <c:pt idx="60">
                  <c:v>9.0395799999999995E-4</c:v>
                </c:pt>
                <c:pt idx="61">
                  <c:v>9.07776E-4</c:v>
                </c:pt>
                <c:pt idx="62">
                  <c:v>9.1047299999999997E-4</c:v>
                </c:pt>
                <c:pt idx="63">
                  <c:v>9.1339999999999998E-4</c:v>
                </c:pt>
                <c:pt idx="64">
                  <c:v>9.1475900000000001E-4</c:v>
                </c:pt>
                <c:pt idx="65">
                  <c:v>9.1595200000000004E-4</c:v>
                </c:pt>
                <c:pt idx="66">
                  <c:v>9.1834999999999996E-4</c:v>
                </c:pt>
                <c:pt idx="67">
                  <c:v>9.2034400000000002E-4</c:v>
                </c:pt>
                <c:pt idx="68">
                  <c:v>8.0542699999999995E-7</c:v>
                </c:pt>
                <c:pt idx="69">
                  <c:v>8.08532E-7</c:v>
                </c:pt>
                <c:pt idx="70">
                  <c:v>7.9204700000000002E-7</c:v>
                </c:pt>
                <c:pt idx="71">
                  <c:v>7.7755600000000003E-7</c:v>
                </c:pt>
                <c:pt idx="72">
                  <c:v>7.6117000000000003E-7</c:v>
                </c:pt>
                <c:pt idx="73">
                  <c:v>7.5156500000000002E-7</c:v>
                </c:pt>
                <c:pt idx="74">
                  <c:v>7.3325400000000004E-7</c:v>
                </c:pt>
                <c:pt idx="75">
                  <c:v>7.1118799999999995E-7</c:v>
                </c:pt>
                <c:pt idx="76">
                  <c:v>6.9490400000000001E-7</c:v>
                </c:pt>
                <c:pt idx="77">
                  <c:v>6.8168399999999995E-7</c:v>
                </c:pt>
                <c:pt idx="78">
                  <c:v>7.8465900000000005E-4</c:v>
                </c:pt>
                <c:pt idx="79">
                  <c:v>8.0971799999999996E-4</c:v>
                </c:pt>
                <c:pt idx="80">
                  <c:v>8.27011E-4</c:v>
                </c:pt>
                <c:pt idx="81">
                  <c:v>8.4286199999999999E-4</c:v>
                </c:pt>
                <c:pt idx="82">
                  <c:v>8.5696000000000004E-4</c:v>
                </c:pt>
                <c:pt idx="83">
                  <c:v>8.6826799999999995E-4</c:v>
                </c:pt>
                <c:pt idx="84">
                  <c:v>8.7710800000000003E-4</c:v>
                </c:pt>
                <c:pt idx="85">
                  <c:v>8.8619000000000002E-4</c:v>
                </c:pt>
                <c:pt idx="86">
                  <c:v>8.8905199999999998E-4</c:v>
                </c:pt>
                <c:pt idx="87">
                  <c:v>8.9404999999999997E-4</c:v>
                </c:pt>
                <c:pt idx="88">
                  <c:v>8.9844600000000001E-4</c:v>
                </c:pt>
                <c:pt idx="89">
                  <c:v>9.0423599999999999E-4</c:v>
                </c:pt>
                <c:pt idx="90">
                  <c:v>9.0839399999999998E-4</c:v>
                </c:pt>
                <c:pt idx="91">
                  <c:v>9.1236300000000002E-4</c:v>
                </c:pt>
                <c:pt idx="92">
                  <c:v>9.1826699999999995E-4</c:v>
                </c:pt>
                <c:pt idx="93">
                  <c:v>9.2203800000000002E-4</c:v>
                </c:pt>
                <c:pt idx="94">
                  <c:v>9.2495399999999997E-4</c:v>
                </c:pt>
                <c:pt idx="95">
                  <c:v>9.2757500000000004E-4</c:v>
                </c:pt>
                <c:pt idx="96">
                  <c:v>9.2965599999999995E-4</c:v>
                </c:pt>
                <c:pt idx="97">
                  <c:v>9.3356000000000005E-4</c:v>
                </c:pt>
                <c:pt idx="98">
                  <c:v>9.3572299999999996E-4</c:v>
                </c:pt>
                <c:pt idx="99">
                  <c:v>9.3782700000000002E-4</c:v>
                </c:pt>
                <c:pt idx="100">
                  <c:v>9.4157699999999997E-4</c:v>
                </c:pt>
                <c:pt idx="101">
                  <c:v>9.4399700000000002E-4</c:v>
                </c:pt>
                <c:pt idx="102">
                  <c:v>9.4703300000000001E-4</c:v>
                </c:pt>
                <c:pt idx="103">
                  <c:v>9.4898300000000003E-4</c:v>
                </c:pt>
                <c:pt idx="104">
                  <c:v>9.5049100000000003E-4</c:v>
                </c:pt>
                <c:pt idx="105">
                  <c:v>9.5205799999999998E-4</c:v>
                </c:pt>
                <c:pt idx="106">
                  <c:v>9.5301200000000004E-4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24-4703-A13D-B10AF63D98DF}"/>
            </c:ext>
          </c:extLst>
        </c:ser>
        <c:ser>
          <c:idx val="3"/>
          <c:order val="3"/>
          <c:tx>
            <c:strRef>
              <c:f>'1250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24-4703-A13D-B10AF63D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456496"/>
        <c:axId val="834454000"/>
      </c:scatterChart>
      <c:valAx>
        <c:axId val="834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4000"/>
        <c:crosses val="autoZero"/>
        <c:crossBetween val="midCat"/>
      </c:valAx>
      <c:valAx>
        <c:axId val="8344540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6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hpi'!$C$3:$C$124</c:f>
              <c:numCache>
                <c:formatCode>General</c:formatCode>
                <c:ptCount val="122"/>
                <c:pt idx="0">
                  <c:v>1.8312800000000001E-4</c:v>
                </c:pt>
                <c:pt idx="1">
                  <c:v>1.8436400000000001E-4</c:v>
                </c:pt>
                <c:pt idx="2">
                  <c:v>1.8362399999999999E-4</c:v>
                </c:pt>
                <c:pt idx="3">
                  <c:v>1.87725E-4</c:v>
                </c:pt>
                <c:pt idx="4">
                  <c:v>1.83926E-4</c:v>
                </c:pt>
                <c:pt idx="5">
                  <c:v>1.80113E-4</c:v>
                </c:pt>
                <c:pt idx="6">
                  <c:v>1.8845400000000001E-4</c:v>
                </c:pt>
                <c:pt idx="7">
                  <c:v>1.96145E-4</c:v>
                </c:pt>
                <c:pt idx="8">
                  <c:v>1.9120199999999999E-4</c:v>
                </c:pt>
                <c:pt idx="9">
                  <c:v>2.0113800000000001E-4</c:v>
                </c:pt>
                <c:pt idx="10">
                  <c:v>2.02079E-4</c:v>
                </c:pt>
                <c:pt idx="11">
                  <c:v>2.0229199999999999E-4</c:v>
                </c:pt>
                <c:pt idx="12">
                  <c:v>2.02034E-4</c:v>
                </c:pt>
                <c:pt idx="13">
                  <c:v>1.98118E-4</c:v>
                </c:pt>
                <c:pt idx="14">
                  <c:v>1.97309E-4</c:v>
                </c:pt>
                <c:pt idx="15">
                  <c:v>1.94845E-4</c:v>
                </c:pt>
                <c:pt idx="16">
                  <c:v>1.9834099999999999E-4</c:v>
                </c:pt>
                <c:pt idx="17">
                  <c:v>1.9973699999999999E-4</c:v>
                </c:pt>
                <c:pt idx="18">
                  <c:v>2.03685E-4</c:v>
                </c:pt>
                <c:pt idx="19">
                  <c:v>1.9949599999999999E-4</c:v>
                </c:pt>
                <c:pt idx="20">
                  <c:v>1.95961E-4</c:v>
                </c:pt>
                <c:pt idx="21">
                  <c:v>1.9945299999999999E-4</c:v>
                </c:pt>
                <c:pt idx="22">
                  <c:v>1.91542E-4</c:v>
                </c:pt>
                <c:pt idx="23">
                  <c:v>1.9606800000000001E-4</c:v>
                </c:pt>
                <c:pt idx="24">
                  <c:v>1.9201400000000001E-4</c:v>
                </c:pt>
                <c:pt idx="25">
                  <c:v>1.9301400000000001E-4</c:v>
                </c:pt>
                <c:pt idx="26">
                  <c:v>1.9415200000000001E-4</c:v>
                </c:pt>
                <c:pt idx="27">
                  <c:v>1.9332900000000001E-4</c:v>
                </c:pt>
                <c:pt idx="28">
                  <c:v>1.9663800000000001E-4</c:v>
                </c:pt>
                <c:pt idx="29">
                  <c:v>2.3139400000000001E-5</c:v>
                </c:pt>
                <c:pt idx="30">
                  <c:v>2.2898700000000002E-5</c:v>
                </c:pt>
                <c:pt idx="31">
                  <c:v>2.2648400000000002E-5</c:v>
                </c:pt>
                <c:pt idx="32">
                  <c:v>2.24856E-5</c:v>
                </c:pt>
                <c:pt idx="33">
                  <c:v>2.2370399999999998E-5</c:v>
                </c:pt>
                <c:pt idx="34">
                  <c:v>2.2293399999999999E-5</c:v>
                </c:pt>
                <c:pt idx="35">
                  <c:v>2.2264199999999999E-5</c:v>
                </c:pt>
                <c:pt idx="36">
                  <c:v>2.2237499999999998E-5</c:v>
                </c:pt>
                <c:pt idx="37">
                  <c:v>2.2217399999999998E-5</c:v>
                </c:pt>
                <c:pt idx="38">
                  <c:v>2.2172699999999999E-5</c:v>
                </c:pt>
                <c:pt idx="39">
                  <c:v>1.9441099999999999E-4</c:v>
                </c:pt>
                <c:pt idx="40">
                  <c:v>1.94725E-4</c:v>
                </c:pt>
                <c:pt idx="41">
                  <c:v>1.9075900000000001E-4</c:v>
                </c:pt>
                <c:pt idx="42">
                  <c:v>1.8535200000000001E-4</c:v>
                </c:pt>
                <c:pt idx="43">
                  <c:v>1.85365E-4</c:v>
                </c:pt>
                <c:pt idx="44">
                  <c:v>1.8127599999999999E-4</c:v>
                </c:pt>
                <c:pt idx="45">
                  <c:v>1.8190900000000001E-4</c:v>
                </c:pt>
                <c:pt idx="46">
                  <c:v>1.7957800000000001E-4</c:v>
                </c:pt>
                <c:pt idx="47">
                  <c:v>1.7879899999999999E-4</c:v>
                </c:pt>
                <c:pt idx="48">
                  <c:v>1.80001E-4</c:v>
                </c:pt>
                <c:pt idx="49">
                  <c:v>1.7996200000000001E-4</c:v>
                </c:pt>
                <c:pt idx="50">
                  <c:v>1.78293E-4</c:v>
                </c:pt>
                <c:pt idx="51">
                  <c:v>1.7656200000000001E-4</c:v>
                </c:pt>
                <c:pt idx="52">
                  <c:v>1.7714200000000001E-4</c:v>
                </c:pt>
                <c:pt idx="53">
                  <c:v>1.7762E-4</c:v>
                </c:pt>
                <c:pt idx="54">
                  <c:v>1.7847199999999999E-4</c:v>
                </c:pt>
                <c:pt idx="55">
                  <c:v>1.7868499999999999E-4</c:v>
                </c:pt>
                <c:pt idx="56">
                  <c:v>1.78338E-4</c:v>
                </c:pt>
                <c:pt idx="57">
                  <c:v>1.7847699999999999E-4</c:v>
                </c:pt>
                <c:pt idx="58">
                  <c:v>1.7816800000000001E-4</c:v>
                </c:pt>
                <c:pt idx="59">
                  <c:v>1.7807200000000001E-4</c:v>
                </c:pt>
                <c:pt idx="60">
                  <c:v>1.7681399999999999E-4</c:v>
                </c:pt>
                <c:pt idx="61">
                  <c:v>1.7867299999999999E-4</c:v>
                </c:pt>
                <c:pt idx="62">
                  <c:v>1.7835400000000001E-4</c:v>
                </c:pt>
                <c:pt idx="63">
                  <c:v>1.7657600000000001E-4</c:v>
                </c:pt>
                <c:pt idx="64">
                  <c:v>1.7816800000000001E-4</c:v>
                </c:pt>
                <c:pt idx="65">
                  <c:v>1.78524E-4</c:v>
                </c:pt>
                <c:pt idx="66">
                  <c:v>1.7763100000000001E-4</c:v>
                </c:pt>
                <c:pt idx="67">
                  <c:v>1.7422E-4</c:v>
                </c:pt>
                <c:pt idx="68">
                  <c:v>2.2100399999999999E-5</c:v>
                </c:pt>
                <c:pt idx="69">
                  <c:v>2.2178799999999998E-5</c:v>
                </c:pt>
                <c:pt idx="70">
                  <c:v>2.2158699999999998E-5</c:v>
                </c:pt>
                <c:pt idx="71">
                  <c:v>2.21563E-5</c:v>
                </c:pt>
                <c:pt idx="72">
                  <c:v>2.21395E-5</c:v>
                </c:pt>
                <c:pt idx="73">
                  <c:v>2.2098300000000002E-5</c:v>
                </c:pt>
                <c:pt idx="74">
                  <c:v>2.2061499999999999E-5</c:v>
                </c:pt>
                <c:pt idx="75">
                  <c:v>2.2036400000000001E-5</c:v>
                </c:pt>
                <c:pt idx="76">
                  <c:v>2.2025500000000001E-5</c:v>
                </c:pt>
                <c:pt idx="77">
                  <c:v>2.20173E-5</c:v>
                </c:pt>
                <c:pt idx="78">
                  <c:v>2.0209199999999999E-4</c:v>
                </c:pt>
                <c:pt idx="79">
                  <c:v>2.03334E-4</c:v>
                </c:pt>
                <c:pt idx="80">
                  <c:v>1.9576700000000001E-4</c:v>
                </c:pt>
                <c:pt idx="81">
                  <c:v>1.9274099999999999E-4</c:v>
                </c:pt>
                <c:pt idx="82">
                  <c:v>1.89335E-4</c:v>
                </c:pt>
                <c:pt idx="83">
                  <c:v>1.8813599999999999E-4</c:v>
                </c:pt>
                <c:pt idx="84">
                  <c:v>1.86799E-4</c:v>
                </c:pt>
                <c:pt idx="85">
                  <c:v>1.8717000000000001E-4</c:v>
                </c:pt>
                <c:pt idx="86">
                  <c:v>1.88407E-4</c:v>
                </c:pt>
                <c:pt idx="87">
                  <c:v>1.8731100000000001E-4</c:v>
                </c:pt>
                <c:pt idx="88">
                  <c:v>1.8690199999999999E-4</c:v>
                </c:pt>
                <c:pt idx="89">
                  <c:v>1.84962E-4</c:v>
                </c:pt>
                <c:pt idx="90">
                  <c:v>1.8636400000000001E-4</c:v>
                </c:pt>
                <c:pt idx="91">
                  <c:v>1.8242099999999999E-4</c:v>
                </c:pt>
                <c:pt idx="92">
                  <c:v>1.8210500000000001E-4</c:v>
                </c:pt>
                <c:pt idx="93">
                  <c:v>1.7986200000000001E-4</c:v>
                </c:pt>
                <c:pt idx="94">
                  <c:v>1.8085200000000001E-4</c:v>
                </c:pt>
                <c:pt idx="95">
                  <c:v>1.83616E-4</c:v>
                </c:pt>
                <c:pt idx="96">
                  <c:v>1.8271100000000001E-4</c:v>
                </c:pt>
                <c:pt idx="97">
                  <c:v>1.8553800000000001E-4</c:v>
                </c:pt>
                <c:pt idx="98">
                  <c:v>1.8368200000000001E-4</c:v>
                </c:pt>
                <c:pt idx="99">
                  <c:v>1.85553E-4</c:v>
                </c:pt>
                <c:pt idx="100">
                  <c:v>1.8635900000000001E-4</c:v>
                </c:pt>
                <c:pt idx="101">
                  <c:v>1.83618E-4</c:v>
                </c:pt>
                <c:pt idx="102">
                  <c:v>1.8157199999999999E-4</c:v>
                </c:pt>
                <c:pt idx="103">
                  <c:v>1.8348600000000001E-4</c:v>
                </c:pt>
                <c:pt idx="104">
                  <c:v>1.8184599999999999E-4</c:v>
                </c:pt>
                <c:pt idx="105">
                  <c:v>1.79228E-4</c:v>
                </c:pt>
                <c:pt idx="106">
                  <c:v>1.8016399999999999E-4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F-4E79-89CF-99AECFA89FBA}"/>
            </c:ext>
          </c:extLst>
        </c:ser>
        <c:ser>
          <c:idx val="1"/>
          <c:order val="1"/>
          <c:tx>
            <c:strRef>
              <c:f>'1250 P- 72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hpi'!$H$3:$H$124</c:f>
              <c:numCache>
                <c:formatCode>General</c:formatCode>
                <c:ptCount val="122"/>
                <c:pt idx="0">
                  <c:v>1.7879199999999999E-4</c:v>
                </c:pt>
                <c:pt idx="1">
                  <c:v>1.7965E-4</c:v>
                </c:pt>
                <c:pt idx="2">
                  <c:v>1.80075E-4</c:v>
                </c:pt>
                <c:pt idx="3">
                  <c:v>1.8336900000000001E-4</c:v>
                </c:pt>
                <c:pt idx="4">
                  <c:v>1.8576399999999999E-4</c:v>
                </c:pt>
                <c:pt idx="5">
                  <c:v>1.8480800000000001E-4</c:v>
                </c:pt>
                <c:pt idx="6">
                  <c:v>1.8318100000000001E-4</c:v>
                </c:pt>
                <c:pt idx="7">
                  <c:v>1.83389E-4</c:v>
                </c:pt>
                <c:pt idx="8">
                  <c:v>1.83463E-4</c:v>
                </c:pt>
                <c:pt idx="9">
                  <c:v>1.8907900000000001E-4</c:v>
                </c:pt>
                <c:pt idx="10">
                  <c:v>1.88648E-4</c:v>
                </c:pt>
                <c:pt idx="11">
                  <c:v>1.88357E-4</c:v>
                </c:pt>
                <c:pt idx="12">
                  <c:v>1.87782E-4</c:v>
                </c:pt>
                <c:pt idx="13">
                  <c:v>1.86665E-4</c:v>
                </c:pt>
                <c:pt idx="14">
                  <c:v>1.8900300000000001E-4</c:v>
                </c:pt>
                <c:pt idx="15">
                  <c:v>1.8756400000000001E-4</c:v>
                </c:pt>
                <c:pt idx="16">
                  <c:v>1.87775E-4</c:v>
                </c:pt>
                <c:pt idx="17">
                  <c:v>1.86174E-4</c:v>
                </c:pt>
                <c:pt idx="18">
                  <c:v>1.8820499999999999E-4</c:v>
                </c:pt>
                <c:pt idx="19">
                  <c:v>1.9036899999999999E-4</c:v>
                </c:pt>
                <c:pt idx="20">
                  <c:v>1.8956600000000001E-4</c:v>
                </c:pt>
                <c:pt idx="21">
                  <c:v>1.8767400000000001E-4</c:v>
                </c:pt>
                <c:pt idx="22">
                  <c:v>1.8919100000000001E-4</c:v>
                </c:pt>
                <c:pt idx="23">
                  <c:v>1.8952800000000001E-4</c:v>
                </c:pt>
                <c:pt idx="24">
                  <c:v>1.8877999999999999E-4</c:v>
                </c:pt>
                <c:pt idx="25">
                  <c:v>1.8710499999999999E-4</c:v>
                </c:pt>
                <c:pt idx="26">
                  <c:v>1.8835100000000001E-4</c:v>
                </c:pt>
                <c:pt idx="27">
                  <c:v>1.9341399999999999E-4</c:v>
                </c:pt>
                <c:pt idx="28">
                  <c:v>1.9260100000000001E-4</c:v>
                </c:pt>
                <c:pt idx="29">
                  <c:v>2.3368200000000001E-5</c:v>
                </c:pt>
                <c:pt idx="30">
                  <c:v>2.3156E-5</c:v>
                </c:pt>
                <c:pt idx="31">
                  <c:v>2.2930900000000001E-5</c:v>
                </c:pt>
                <c:pt idx="32">
                  <c:v>2.2851199999999999E-5</c:v>
                </c:pt>
                <c:pt idx="33">
                  <c:v>2.2720600000000001E-5</c:v>
                </c:pt>
                <c:pt idx="34">
                  <c:v>2.26027E-5</c:v>
                </c:pt>
                <c:pt idx="35">
                  <c:v>2.25409E-5</c:v>
                </c:pt>
                <c:pt idx="36">
                  <c:v>2.2529300000000001E-5</c:v>
                </c:pt>
                <c:pt idx="37">
                  <c:v>2.2469399999999999E-5</c:v>
                </c:pt>
                <c:pt idx="38">
                  <c:v>2.2401699999999999E-5</c:v>
                </c:pt>
                <c:pt idx="39">
                  <c:v>1.84382E-4</c:v>
                </c:pt>
                <c:pt idx="40">
                  <c:v>1.86756E-4</c:v>
                </c:pt>
                <c:pt idx="41">
                  <c:v>1.8779300000000001E-4</c:v>
                </c:pt>
                <c:pt idx="42">
                  <c:v>1.8642499999999999E-4</c:v>
                </c:pt>
                <c:pt idx="43">
                  <c:v>1.8812500000000001E-4</c:v>
                </c:pt>
                <c:pt idx="44">
                  <c:v>1.8874399999999999E-4</c:v>
                </c:pt>
                <c:pt idx="45">
                  <c:v>1.9080099999999999E-4</c:v>
                </c:pt>
                <c:pt idx="46">
                  <c:v>1.8773100000000001E-4</c:v>
                </c:pt>
                <c:pt idx="47">
                  <c:v>1.9155100000000001E-4</c:v>
                </c:pt>
                <c:pt idx="48">
                  <c:v>1.9014499999999999E-4</c:v>
                </c:pt>
                <c:pt idx="49">
                  <c:v>1.9406600000000001E-4</c:v>
                </c:pt>
                <c:pt idx="50">
                  <c:v>1.94728E-4</c:v>
                </c:pt>
                <c:pt idx="51">
                  <c:v>1.96448E-4</c:v>
                </c:pt>
                <c:pt idx="52">
                  <c:v>1.9617699999999999E-4</c:v>
                </c:pt>
                <c:pt idx="53">
                  <c:v>1.9920699999999999E-4</c:v>
                </c:pt>
                <c:pt idx="54">
                  <c:v>1.9972100000000001E-4</c:v>
                </c:pt>
                <c:pt idx="55">
                  <c:v>2.0348100000000001E-4</c:v>
                </c:pt>
                <c:pt idx="56">
                  <c:v>2.03449E-4</c:v>
                </c:pt>
                <c:pt idx="57">
                  <c:v>2.0003299999999999E-4</c:v>
                </c:pt>
                <c:pt idx="58">
                  <c:v>2.0416400000000001E-4</c:v>
                </c:pt>
                <c:pt idx="59">
                  <c:v>2.00891E-4</c:v>
                </c:pt>
                <c:pt idx="60">
                  <c:v>2.0567799999999999E-4</c:v>
                </c:pt>
                <c:pt idx="61">
                  <c:v>2.0490499999999999E-4</c:v>
                </c:pt>
                <c:pt idx="62">
                  <c:v>2.04217E-4</c:v>
                </c:pt>
                <c:pt idx="63">
                  <c:v>2.0970599999999999E-4</c:v>
                </c:pt>
                <c:pt idx="64">
                  <c:v>2.0983899999999999E-4</c:v>
                </c:pt>
                <c:pt idx="65">
                  <c:v>2.10829E-4</c:v>
                </c:pt>
                <c:pt idx="66">
                  <c:v>2.1086600000000001E-4</c:v>
                </c:pt>
                <c:pt idx="67">
                  <c:v>2.0473E-4</c:v>
                </c:pt>
                <c:pt idx="68">
                  <c:v>2.2268799999999999E-5</c:v>
                </c:pt>
                <c:pt idx="69">
                  <c:v>2.23512E-5</c:v>
                </c:pt>
                <c:pt idx="70">
                  <c:v>2.23481E-5</c:v>
                </c:pt>
                <c:pt idx="71">
                  <c:v>2.23031E-5</c:v>
                </c:pt>
                <c:pt idx="72">
                  <c:v>2.2250900000000001E-5</c:v>
                </c:pt>
                <c:pt idx="73">
                  <c:v>2.22026E-5</c:v>
                </c:pt>
                <c:pt idx="74">
                  <c:v>2.2171199999999999E-5</c:v>
                </c:pt>
                <c:pt idx="75">
                  <c:v>2.2160699999999999E-5</c:v>
                </c:pt>
                <c:pt idx="76">
                  <c:v>2.2122800000000001E-5</c:v>
                </c:pt>
                <c:pt idx="77">
                  <c:v>2.20774E-5</c:v>
                </c:pt>
                <c:pt idx="78">
                  <c:v>1.7325399999999999E-4</c:v>
                </c:pt>
                <c:pt idx="79">
                  <c:v>1.7377899999999999E-4</c:v>
                </c:pt>
                <c:pt idx="80">
                  <c:v>1.7198800000000001E-4</c:v>
                </c:pt>
                <c:pt idx="81">
                  <c:v>1.7276300000000001E-4</c:v>
                </c:pt>
                <c:pt idx="82">
                  <c:v>1.7219300000000001E-4</c:v>
                </c:pt>
                <c:pt idx="83">
                  <c:v>1.7557799999999999E-4</c:v>
                </c:pt>
                <c:pt idx="84">
                  <c:v>1.73721E-4</c:v>
                </c:pt>
                <c:pt idx="85">
                  <c:v>1.7793799999999999E-4</c:v>
                </c:pt>
                <c:pt idx="86">
                  <c:v>1.76412E-4</c:v>
                </c:pt>
                <c:pt idx="87">
                  <c:v>1.75723E-4</c:v>
                </c:pt>
                <c:pt idx="88">
                  <c:v>1.7587000000000001E-4</c:v>
                </c:pt>
                <c:pt idx="89">
                  <c:v>1.7759399999999999E-4</c:v>
                </c:pt>
                <c:pt idx="90">
                  <c:v>1.7861099999999999E-4</c:v>
                </c:pt>
                <c:pt idx="91">
                  <c:v>1.7830299999999999E-4</c:v>
                </c:pt>
                <c:pt idx="92">
                  <c:v>1.79395E-4</c:v>
                </c:pt>
                <c:pt idx="93">
                  <c:v>1.8032500000000001E-4</c:v>
                </c:pt>
                <c:pt idx="94">
                  <c:v>1.80254E-4</c:v>
                </c:pt>
                <c:pt idx="95">
                  <c:v>1.8214899999999999E-4</c:v>
                </c:pt>
                <c:pt idx="96">
                  <c:v>1.79741E-4</c:v>
                </c:pt>
                <c:pt idx="97">
                  <c:v>1.6912599999999999E-4</c:v>
                </c:pt>
                <c:pt idx="98">
                  <c:v>1.7428300000000001E-4</c:v>
                </c:pt>
                <c:pt idx="99">
                  <c:v>1.74635E-4</c:v>
                </c:pt>
                <c:pt idx="100">
                  <c:v>1.7012400000000001E-4</c:v>
                </c:pt>
                <c:pt idx="101">
                  <c:v>1.6927899999999999E-4</c:v>
                </c:pt>
                <c:pt idx="102">
                  <c:v>1.6658800000000001E-4</c:v>
                </c:pt>
                <c:pt idx="103">
                  <c:v>1.68682E-4</c:v>
                </c:pt>
                <c:pt idx="104">
                  <c:v>1.6957800000000001E-4</c:v>
                </c:pt>
                <c:pt idx="105">
                  <c:v>1.7315899999999999E-4</c:v>
                </c:pt>
                <c:pt idx="106">
                  <c:v>1.7040499999999999E-4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BF-4E79-89CF-99AECFA89FBA}"/>
            </c:ext>
          </c:extLst>
        </c:ser>
        <c:ser>
          <c:idx val="2"/>
          <c:order val="2"/>
          <c:tx>
            <c:strRef>
              <c:f>'1250 P- 72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hpi'!$M$3:$M$124</c:f>
              <c:numCache>
                <c:formatCode>0.00E+00</c:formatCode>
                <c:ptCount val="122"/>
                <c:pt idx="0">
                  <c:v>1.8332600000000001E-4</c:v>
                </c:pt>
                <c:pt idx="1">
                  <c:v>1.8578900000000001E-4</c:v>
                </c:pt>
                <c:pt idx="2">
                  <c:v>1.91075E-4</c:v>
                </c:pt>
                <c:pt idx="3">
                  <c:v>1.8656599999999999E-4</c:v>
                </c:pt>
                <c:pt idx="4">
                  <c:v>1.8129600000000001E-4</c:v>
                </c:pt>
                <c:pt idx="5">
                  <c:v>1.86384E-4</c:v>
                </c:pt>
                <c:pt idx="6">
                  <c:v>1.86756E-4</c:v>
                </c:pt>
                <c:pt idx="7">
                  <c:v>1.87035E-4</c:v>
                </c:pt>
                <c:pt idx="8">
                  <c:v>1.8959200000000001E-4</c:v>
                </c:pt>
                <c:pt idx="9">
                  <c:v>1.8905500000000001E-4</c:v>
                </c:pt>
                <c:pt idx="10">
                  <c:v>1.92704E-4</c:v>
                </c:pt>
                <c:pt idx="11">
                  <c:v>1.9576899999999999E-4</c:v>
                </c:pt>
                <c:pt idx="12">
                  <c:v>1.9122900000000001E-4</c:v>
                </c:pt>
                <c:pt idx="13">
                  <c:v>1.9801399999999999E-4</c:v>
                </c:pt>
                <c:pt idx="14">
                  <c:v>1.9390299999999999E-4</c:v>
                </c:pt>
                <c:pt idx="15">
                  <c:v>1.95183E-4</c:v>
                </c:pt>
                <c:pt idx="16">
                  <c:v>1.9496800000000001E-4</c:v>
                </c:pt>
                <c:pt idx="17">
                  <c:v>1.9358799999999999E-4</c:v>
                </c:pt>
                <c:pt idx="18">
                  <c:v>1.9651299999999999E-4</c:v>
                </c:pt>
                <c:pt idx="19">
                  <c:v>1.92306E-4</c:v>
                </c:pt>
                <c:pt idx="20">
                  <c:v>1.92859E-4</c:v>
                </c:pt>
                <c:pt idx="21">
                  <c:v>1.9589299999999999E-4</c:v>
                </c:pt>
                <c:pt idx="22">
                  <c:v>1.9419700000000001E-4</c:v>
                </c:pt>
                <c:pt idx="23">
                  <c:v>1.93611E-4</c:v>
                </c:pt>
                <c:pt idx="24">
                  <c:v>1.9427499999999999E-4</c:v>
                </c:pt>
                <c:pt idx="25">
                  <c:v>1.9233600000000001E-4</c:v>
                </c:pt>
                <c:pt idx="26">
                  <c:v>1.93482E-4</c:v>
                </c:pt>
                <c:pt idx="27">
                  <c:v>1.9261899999999999E-4</c:v>
                </c:pt>
                <c:pt idx="28">
                  <c:v>1.9381199999999999E-4</c:v>
                </c:pt>
                <c:pt idx="29">
                  <c:v>2.6785199999999999E-5</c:v>
                </c:pt>
                <c:pt idx="30">
                  <c:v>2.65834E-5</c:v>
                </c:pt>
                <c:pt idx="31">
                  <c:v>2.6259500000000002E-5</c:v>
                </c:pt>
                <c:pt idx="32">
                  <c:v>2.6015400000000002E-5</c:v>
                </c:pt>
                <c:pt idx="33">
                  <c:v>2.58494E-5</c:v>
                </c:pt>
                <c:pt idx="34">
                  <c:v>2.57211E-5</c:v>
                </c:pt>
                <c:pt idx="35">
                  <c:v>2.5624699999999999E-5</c:v>
                </c:pt>
                <c:pt idx="36">
                  <c:v>2.5554999999999998E-5</c:v>
                </c:pt>
                <c:pt idx="37">
                  <c:v>2.54798E-5</c:v>
                </c:pt>
                <c:pt idx="38">
                  <c:v>2.5386500000000002E-5</c:v>
                </c:pt>
                <c:pt idx="39">
                  <c:v>1.8900199999999999E-4</c:v>
                </c:pt>
                <c:pt idx="40">
                  <c:v>1.9578600000000001E-4</c:v>
                </c:pt>
                <c:pt idx="41">
                  <c:v>1.95634E-4</c:v>
                </c:pt>
                <c:pt idx="42">
                  <c:v>1.9251000000000001E-4</c:v>
                </c:pt>
                <c:pt idx="43">
                  <c:v>1.9090099999999999E-4</c:v>
                </c:pt>
                <c:pt idx="44">
                  <c:v>1.90051E-4</c:v>
                </c:pt>
                <c:pt idx="45">
                  <c:v>1.84771E-4</c:v>
                </c:pt>
                <c:pt idx="46">
                  <c:v>1.8777600000000001E-4</c:v>
                </c:pt>
                <c:pt idx="47">
                  <c:v>1.8488200000000001E-4</c:v>
                </c:pt>
                <c:pt idx="48">
                  <c:v>1.8508199999999999E-4</c:v>
                </c:pt>
                <c:pt idx="49">
                  <c:v>1.8402100000000001E-4</c:v>
                </c:pt>
                <c:pt idx="50">
                  <c:v>1.83306E-4</c:v>
                </c:pt>
                <c:pt idx="51">
                  <c:v>1.7958000000000001E-4</c:v>
                </c:pt>
                <c:pt idx="52">
                  <c:v>1.8566200000000001E-4</c:v>
                </c:pt>
                <c:pt idx="53">
                  <c:v>1.8946100000000001E-4</c:v>
                </c:pt>
                <c:pt idx="54">
                  <c:v>1.8336000000000001E-4</c:v>
                </c:pt>
                <c:pt idx="55">
                  <c:v>1.8545700000000001E-4</c:v>
                </c:pt>
                <c:pt idx="56">
                  <c:v>1.9034299999999999E-4</c:v>
                </c:pt>
                <c:pt idx="57">
                  <c:v>1.86596E-4</c:v>
                </c:pt>
                <c:pt idx="58">
                  <c:v>1.8898999999999999E-4</c:v>
                </c:pt>
                <c:pt idx="59">
                  <c:v>1.9155100000000001E-4</c:v>
                </c:pt>
                <c:pt idx="60">
                  <c:v>1.89882E-4</c:v>
                </c:pt>
                <c:pt idx="61">
                  <c:v>1.8950999999999999E-4</c:v>
                </c:pt>
                <c:pt idx="62">
                  <c:v>1.8917599999999999E-4</c:v>
                </c:pt>
                <c:pt idx="63">
                  <c:v>1.91736E-4</c:v>
                </c:pt>
                <c:pt idx="64">
                  <c:v>1.9135199999999999E-4</c:v>
                </c:pt>
                <c:pt idx="65">
                  <c:v>1.8780199999999999E-4</c:v>
                </c:pt>
                <c:pt idx="66">
                  <c:v>1.88591E-4</c:v>
                </c:pt>
                <c:pt idx="67">
                  <c:v>1.8956299999999999E-4</c:v>
                </c:pt>
                <c:pt idx="68">
                  <c:v>2.5267799999999999E-5</c:v>
                </c:pt>
                <c:pt idx="69">
                  <c:v>2.5360399999999999E-5</c:v>
                </c:pt>
                <c:pt idx="70">
                  <c:v>2.52979E-5</c:v>
                </c:pt>
                <c:pt idx="71">
                  <c:v>2.52606E-5</c:v>
                </c:pt>
                <c:pt idx="72">
                  <c:v>2.5231500000000001E-5</c:v>
                </c:pt>
                <c:pt idx="73">
                  <c:v>2.5193000000000001E-5</c:v>
                </c:pt>
                <c:pt idx="74">
                  <c:v>2.5148999999999999E-5</c:v>
                </c:pt>
                <c:pt idx="75">
                  <c:v>2.50908E-5</c:v>
                </c:pt>
                <c:pt idx="76">
                  <c:v>2.5052799999999998E-5</c:v>
                </c:pt>
                <c:pt idx="77">
                  <c:v>2.5025099999999999E-5</c:v>
                </c:pt>
                <c:pt idx="78">
                  <c:v>1.9307499999999999E-4</c:v>
                </c:pt>
                <c:pt idx="79">
                  <c:v>2.0132400000000001E-4</c:v>
                </c:pt>
                <c:pt idx="80">
                  <c:v>1.9420099999999999E-4</c:v>
                </c:pt>
                <c:pt idx="81">
                  <c:v>1.89815E-4</c:v>
                </c:pt>
                <c:pt idx="82">
                  <c:v>1.9046800000000001E-4</c:v>
                </c:pt>
                <c:pt idx="83">
                  <c:v>1.92716E-4</c:v>
                </c:pt>
                <c:pt idx="84">
                  <c:v>1.9287500000000001E-4</c:v>
                </c:pt>
                <c:pt idx="85">
                  <c:v>1.9403000000000001E-4</c:v>
                </c:pt>
                <c:pt idx="86">
                  <c:v>1.9344300000000001E-4</c:v>
                </c:pt>
                <c:pt idx="87">
                  <c:v>1.9426E-4</c:v>
                </c:pt>
                <c:pt idx="88">
                  <c:v>1.9523199999999999E-4</c:v>
                </c:pt>
                <c:pt idx="89">
                  <c:v>1.9534700000000001E-4</c:v>
                </c:pt>
                <c:pt idx="90">
                  <c:v>1.9024800000000001E-4</c:v>
                </c:pt>
                <c:pt idx="91">
                  <c:v>1.9306E-4</c:v>
                </c:pt>
                <c:pt idx="92">
                  <c:v>1.9135800000000001E-4</c:v>
                </c:pt>
                <c:pt idx="93">
                  <c:v>1.9138599999999999E-4</c:v>
                </c:pt>
                <c:pt idx="94">
                  <c:v>1.9436099999999999E-4</c:v>
                </c:pt>
                <c:pt idx="95">
                  <c:v>1.9592599999999999E-4</c:v>
                </c:pt>
                <c:pt idx="96">
                  <c:v>1.9426600000000001E-4</c:v>
                </c:pt>
                <c:pt idx="97">
                  <c:v>1.9471500000000001E-4</c:v>
                </c:pt>
                <c:pt idx="98">
                  <c:v>1.9169799999999999E-4</c:v>
                </c:pt>
                <c:pt idx="99">
                  <c:v>1.93976E-4</c:v>
                </c:pt>
                <c:pt idx="100">
                  <c:v>1.9304700000000001E-4</c:v>
                </c:pt>
                <c:pt idx="101">
                  <c:v>1.95174E-4</c:v>
                </c:pt>
                <c:pt idx="102">
                  <c:v>1.9571200000000001E-4</c:v>
                </c:pt>
                <c:pt idx="103">
                  <c:v>1.9474600000000001E-4</c:v>
                </c:pt>
                <c:pt idx="104">
                  <c:v>1.96009E-4</c:v>
                </c:pt>
                <c:pt idx="105">
                  <c:v>1.9497899999999999E-4</c:v>
                </c:pt>
                <c:pt idx="106">
                  <c:v>1.95052E-4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BF-4E79-89CF-99AECFA89FBA}"/>
            </c:ext>
          </c:extLst>
        </c:ser>
        <c:ser>
          <c:idx val="3"/>
          <c:order val="3"/>
          <c:tx>
            <c:strRef>
              <c:f>'1250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BF-4E79-89CF-99AECFA8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50992"/>
        <c:axId val="1017155568"/>
      </c:scatterChart>
      <c:valAx>
        <c:axId val="101715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5568"/>
        <c:crosses val="autoZero"/>
        <c:crossBetween val="midCat"/>
      </c:valAx>
      <c:valAx>
        <c:axId val="1017155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100.65997313417709</c:v>
                </c:pt>
                <c:pt idx="2">
                  <c:v>101.03372656041475</c:v>
                </c:pt>
                <c:pt idx="3">
                  <c:v>101.52277229514542</c:v>
                </c:pt>
                <c:pt idx="4">
                  <c:v>101.89703874551631</c:v>
                </c:pt>
                <c:pt idx="5">
                  <c:v>101.97525408331921</c:v>
                </c:pt>
                <c:pt idx="6">
                  <c:v>102.34271429090907</c:v>
                </c:pt>
                <c:pt idx="7">
                  <c:v>102.46320899375375</c:v>
                </c:pt>
                <c:pt idx="8">
                  <c:v>102.69063059014104</c:v>
                </c:pt>
                <c:pt idx="9">
                  <c:v>103.11266405696675</c:v>
                </c:pt>
                <c:pt idx="10">
                  <c:v>103.21932857222038</c:v>
                </c:pt>
                <c:pt idx="11">
                  <c:v>103.51519714977708</c:v>
                </c:pt>
                <c:pt idx="12">
                  <c:v>103.8798800623609</c:v>
                </c:pt>
                <c:pt idx="13">
                  <c:v>104.09766060065525</c:v>
                </c:pt>
                <c:pt idx="14">
                  <c:v>104.32384845115722</c:v>
                </c:pt>
                <c:pt idx="15">
                  <c:v>104.57719202003294</c:v>
                </c:pt>
                <c:pt idx="16">
                  <c:v>104.86444450647852</c:v>
                </c:pt>
                <c:pt idx="17">
                  <c:v>105.17353478116672</c:v>
                </c:pt>
                <c:pt idx="18">
                  <c:v>105.3614470517945</c:v>
                </c:pt>
                <c:pt idx="19">
                  <c:v>105.52018050009406</c:v>
                </c:pt>
                <c:pt idx="20">
                  <c:v>105.81737270154031</c:v>
                </c:pt>
                <c:pt idx="21">
                  <c:v>105.88583978247931</c:v>
                </c:pt>
                <c:pt idx="22">
                  <c:v>106.18579254428181</c:v>
                </c:pt>
                <c:pt idx="23">
                  <c:v>106.63394113945081</c:v>
                </c:pt>
                <c:pt idx="24">
                  <c:v>106.73440456757956</c:v>
                </c:pt>
                <c:pt idx="25">
                  <c:v>106.82456095716634</c:v>
                </c:pt>
                <c:pt idx="26">
                  <c:v>107.40414769547543</c:v>
                </c:pt>
                <c:pt idx="27">
                  <c:v>107.38182871531376</c:v>
                </c:pt>
                <c:pt idx="28">
                  <c:v>107.51502705863516</c:v>
                </c:pt>
                <c:pt idx="29">
                  <c:v>0.2029073329359703</c:v>
                </c:pt>
                <c:pt idx="30">
                  <c:v>0.20467426225539032</c:v>
                </c:pt>
                <c:pt idx="31">
                  <c:v>0.20037155495204639</c:v>
                </c:pt>
                <c:pt idx="32">
                  <c:v>0.19787887854409969</c:v>
                </c:pt>
                <c:pt idx="33">
                  <c:v>0.19580120829304887</c:v>
                </c:pt>
                <c:pt idx="34">
                  <c:v>0.19429333471713528</c:v>
                </c:pt>
                <c:pt idx="35">
                  <c:v>0.19333135502690446</c:v>
                </c:pt>
                <c:pt idx="36">
                  <c:v>0.19234349856592942</c:v>
                </c:pt>
                <c:pt idx="37">
                  <c:v>0.19132028059755279</c:v>
                </c:pt>
                <c:pt idx="38">
                  <c:v>0.19044709739440047</c:v>
                </c:pt>
                <c:pt idx="39">
                  <c:v>70.28787444748977</c:v>
                </c:pt>
                <c:pt idx="40">
                  <c:v>72.434985663336619</c:v>
                </c:pt>
                <c:pt idx="41">
                  <c:v>73.850067920446023</c:v>
                </c:pt>
                <c:pt idx="42">
                  <c:v>74.941176515646703</c:v>
                </c:pt>
                <c:pt idx="43">
                  <c:v>75.881873397637065</c:v>
                </c:pt>
                <c:pt idx="44">
                  <c:v>76.672100959204244</c:v>
                </c:pt>
                <c:pt idx="45">
                  <c:v>77.310125654340965</c:v>
                </c:pt>
                <c:pt idx="46">
                  <c:v>77.791823713674574</c:v>
                </c:pt>
                <c:pt idx="47">
                  <c:v>78.111558391784953</c:v>
                </c:pt>
                <c:pt idx="48">
                  <c:v>78.531715684072708</c:v>
                </c:pt>
                <c:pt idx="49">
                  <c:v>78.885058779608443</c:v>
                </c:pt>
                <c:pt idx="50">
                  <c:v>79.126581309200645</c:v>
                </c:pt>
                <c:pt idx="51">
                  <c:v>79.56966542940205</c:v>
                </c:pt>
                <c:pt idx="52">
                  <c:v>79.913762145879446</c:v>
                </c:pt>
                <c:pt idx="53">
                  <c:v>80.199041762636242</c:v>
                </c:pt>
                <c:pt idx="54">
                  <c:v>80.496187620420756</c:v>
                </c:pt>
                <c:pt idx="55">
                  <c:v>80.839477102261668</c:v>
                </c:pt>
                <c:pt idx="56">
                  <c:v>80.962370630243413</c:v>
                </c:pt>
                <c:pt idx="57">
                  <c:v>81.437739689499324</c:v>
                </c:pt>
                <c:pt idx="58">
                  <c:v>81.542549124362296</c:v>
                </c:pt>
                <c:pt idx="59">
                  <c:v>81.773248226159467</c:v>
                </c:pt>
                <c:pt idx="60">
                  <c:v>82.158124848700979</c:v>
                </c:pt>
                <c:pt idx="61">
                  <c:v>82.307272505694783</c:v>
                </c:pt>
                <c:pt idx="62">
                  <c:v>82.44056742694363</c:v>
                </c:pt>
                <c:pt idx="63">
                  <c:v>82.859755457613929</c:v>
                </c:pt>
                <c:pt idx="64">
                  <c:v>82.970960802858315</c:v>
                </c:pt>
                <c:pt idx="65">
                  <c:v>83.138701686500212</c:v>
                </c:pt>
                <c:pt idx="66">
                  <c:v>83.384756678758293</c:v>
                </c:pt>
                <c:pt idx="67">
                  <c:v>83.543279094635722</c:v>
                </c:pt>
                <c:pt idx="68">
                  <c:v>0.18346129483277346</c:v>
                </c:pt>
                <c:pt idx="69">
                  <c:v>0.18619064983700936</c:v>
                </c:pt>
                <c:pt idx="70">
                  <c:v>0.18501417214641561</c:v>
                </c:pt>
                <c:pt idx="71">
                  <c:v>0.18458235414410723</c:v>
                </c:pt>
                <c:pt idx="72">
                  <c:v>0.18388187299139738</c:v>
                </c:pt>
                <c:pt idx="73">
                  <c:v>0.18337588650594483</c:v>
                </c:pt>
                <c:pt idx="74">
                  <c:v>0.18260066907433814</c:v>
                </c:pt>
                <c:pt idx="75">
                  <c:v>0.18184096215690976</c:v>
                </c:pt>
                <c:pt idx="76">
                  <c:v>0.18141180761154607</c:v>
                </c:pt>
                <c:pt idx="77">
                  <c:v>0.18075068838628566</c:v>
                </c:pt>
                <c:pt idx="78">
                  <c:v>69.889059969692653</c:v>
                </c:pt>
                <c:pt idx="79">
                  <c:v>72.186632635826669</c:v>
                </c:pt>
                <c:pt idx="80">
                  <c:v>73.503134866773763</c:v>
                </c:pt>
                <c:pt idx="81">
                  <c:v>74.700588313080033</c:v>
                </c:pt>
                <c:pt idx="82">
                  <c:v>75.528698121534745</c:v>
                </c:pt>
                <c:pt idx="83">
                  <c:v>76.82641824054835</c:v>
                </c:pt>
                <c:pt idx="84">
                  <c:v>77.507324560156803</c:v>
                </c:pt>
                <c:pt idx="85">
                  <c:v>78.148052091213572</c:v>
                </c:pt>
                <c:pt idx="86">
                  <c:v>78.592562557354569</c:v>
                </c:pt>
                <c:pt idx="87">
                  <c:v>79.016609093408192</c:v>
                </c:pt>
                <c:pt idx="88">
                  <c:v>79.435428133135503</c:v>
                </c:pt>
                <c:pt idx="89">
                  <c:v>79.82500805122595</c:v>
                </c:pt>
                <c:pt idx="90">
                  <c:v>80.254310550700296</c:v>
                </c:pt>
                <c:pt idx="91">
                  <c:v>80.647250596481115</c:v>
                </c:pt>
                <c:pt idx="92">
                  <c:v>81.050543468665069</c:v>
                </c:pt>
                <c:pt idx="93">
                  <c:v>80.965261793627207</c:v>
                </c:pt>
                <c:pt idx="94">
                  <c:v>81.211004729131162</c:v>
                </c:pt>
                <c:pt idx="95">
                  <c:v>81.520695682754635</c:v>
                </c:pt>
                <c:pt idx="96">
                  <c:v>81.71660996571191</c:v>
                </c:pt>
                <c:pt idx="97">
                  <c:v>81.955738702688564</c:v>
                </c:pt>
                <c:pt idx="98">
                  <c:v>82.524860413618455</c:v>
                </c:pt>
                <c:pt idx="99">
                  <c:v>82.415900381394792</c:v>
                </c:pt>
                <c:pt idx="100">
                  <c:v>82.81175897636912</c:v>
                </c:pt>
                <c:pt idx="101">
                  <c:v>83.089762304753521</c:v>
                </c:pt>
                <c:pt idx="102">
                  <c:v>82.98892096255635</c:v>
                </c:pt>
                <c:pt idx="103">
                  <c:v>83.293632286694972</c:v>
                </c:pt>
                <c:pt idx="104">
                  <c:v>83.350192927067127</c:v>
                </c:pt>
                <c:pt idx="105">
                  <c:v>83.656235686619596</c:v>
                </c:pt>
                <c:pt idx="106">
                  <c:v>84.10638728597354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D-4B1F-90CF-976ED841A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04944"/>
        <c:axId val="2036370864"/>
      </c:scatterChart>
      <c:valAx>
        <c:axId val="20534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70864"/>
        <c:crosses val="autoZero"/>
        <c:crossBetween val="midCat"/>
      </c:valAx>
      <c:valAx>
        <c:axId val="2036370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102.01359908322729</c:v>
                </c:pt>
                <c:pt idx="2">
                  <c:v>102.24115377885164</c:v>
                </c:pt>
                <c:pt idx="3">
                  <c:v>102.68249776753819</c:v>
                </c:pt>
                <c:pt idx="4">
                  <c:v>102.61483671966647</c:v>
                </c:pt>
                <c:pt idx="5">
                  <c:v>101.02117847017365</c:v>
                </c:pt>
                <c:pt idx="6">
                  <c:v>100.69164678110539</c:v>
                </c:pt>
                <c:pt idx="7">
                  <c:v>100.60319532915365</c:v>
                </c:pt>
                <c:pt idx="8">
                  <c:v>100.09563188726642</c:v>
                </c:pt>
                <c:pt idx="9">
                  <c:v>100.61873755293371</c:v>
                </c:pt>
                <c:pt idx="10">
                  <c:v>99.64475436995248</c:v>
                </c:pt>
                <c:pt idx="11">
                  <c:v>100.26552429986407</c:v>
                </c:pt>
                <c:pt idx="12">
                  <c:v>101.09561777737655</c:v>
                </c:pt>
                <c:pt idx="13">
                  <c:v>101.17487334478294</c:v>
                </c:pt>
                <c:pt idx="14">
                  <c:v>101.29258165340892</c:v>
                </c:pt>
                <c:pt idx="15">
                  <c:v>101.26554028914467</c:v>
                </c:pt>
                <c:pt idx="16">
                  <c:v>101.60403733820351</c:v>
                </c:pt>
                <c:pt idx="17">
                  <c:v>102.05507010499865</c:v>
                </c:pt>
                <c:pt idx="18">
                  <c:v>102.19667742291526</c:v>
                </c:pt>
                <c:pt idx="19">
                  <c:v>102.31572921528983</c:v>
                </c:pt>
                <c:pt idx="20">
                  <c:v>102.64965200627688</c:v>
                </c:pt>
                <c:pt idx="21">
                  <c:v>102.29707045358316</c:v>
                </c:pt>
                <c:pt idx="22">
                  <c:v>102.8569027817728</c:v>
                </c:pt>
                <c:pt idx="23">
                  <c:v>104.26847422963748</c:v>
                </c:pt>
                <c:pt idx="24">
                  <c:v>103.68317622575964</c:v>
                </c:pt>
                <c:pt idx="25">
                  <c:v>102.49360112216733</c:v>
                </c:pt>
                <c:pt idx="26">
                  <c:v>105.20987123705703</c:v>
                </c:pt>
                <c:pt idx="27">
                  <c:v>103.78310266784763</c:v>
                </c:pt>
                <c:pt idx="28">
                  <c:v>103.93996306404736</c:v>
                </c:pt>
                <c:pt idx="29">
                  <c:v>14.724739497402254</c:v>
                </c:pt>
                <c:pt idx="30">
                  <c:v>14.607072741948539</c:v>
                </c:pt>
                <c:pt idx="31">
                  <c:v>14.352626658113877</c:v>
                </c:pt>
                <c:pt idx="32">
                  <c:v>14.202256232458829</c:v>
                </c:pt>
                <c:pt idx="33">
                  <c:v>14.063657658046266</c:v>
                </c:pt>
                <c:pt idx="34">
                  <c:v>13.951776753079715</c:v>
                </c:pt>
                <c:pt idx="35">
                  <c:v>13.864162152369349</c:v>
                </c:pt>
                <c:pt idx="36">
                  <c:v>13.789634994909232</c:v>
                </c:pt>
                <c:pt idx="37">
                  <c:v>13.726824575175776</c:v>
                </c:pt>
                <c:pt idx="38">
                  <c:v>13.678255975036597</c:v>
                </c:pt>
                <c:pt idx="39">
                  <c:v>88.660691281386519</c:v>
                </c:pt>
                <c:pt idx="40">
                  <c:v>90.623160032373335</c:v>
                </c:pt>
                <c:pt idx="41">
                  <c:v>90.594814725777667</c:v>
                </c:pt>
                <c:pt idx="42">
                  <c:v>89.543187094001723</c:v>
                </c:pt>
                <c:pt idx="43">
                  <c:v>89.073034478527163</c:v>
                </c:pt>
                <c:pt idx="44">
                  <c:v>89.619497132663241</c:v>
                </c:pt>
                <c:pt idx="45">
                  <c:v>90.239721114687057</c:v>
                </c:pt>
                <c:pt idx="46">
                  <c:v>90.032286500070114</c:v>
                </c:pt>
                <c:pt idx="47">
                  <c:v>89.259194148284976</c:v>
                </c:pt>
                <c:pt idx="48">
                  <c:v>90.195292495783647</c:v>
                </c:pt>
                <c:pt idx="49">
                  <c:v>88.581354005005252</c:v>
                </c:pt>
                <c:pt idx="50">
                  <c:v>87.511196781057038</c:v>
                </c:pt>
                <c:pt idx="51">
                  <c:v>87.207934713149498</c:v>
                </c:pt>
                <c:pt idx="52">
                  <c:v>87.223347518069005</c:v>
                </c:pt>
                <c:pt idx="53">
                  <c:v>87.874859958619083</c:v>
                </c:pt>
                <c:pt idx="54">
                  <c:v>87.1700655694993</c:v>
                </c:pt>
                <c:pt idx="55">
                  <c:v>88.474378055993824</c:v>
                </c:pt>
                <c:pt idx="56">
                  <c:v>89.295398422457367</c:v>
                </c:pt>
                <c:pt idx="57">
                  <c:v>90.377295027306999</c:v>
                </c:pt>
                <c:pt idx="58">
                  <c:v>89.458312635418309</c:v>
                </c:pt>
                <c:pt idx="59">
                  <c:v>89.486427864674681</c:v>
                </c:pt>
                <c:pt idx="60">
                  <c:v>89.887059652596264</c:v>
                </c:pt>
                <c:pt idx="61">
                  <c:v>89.736540619823728</c:v>
                </c:pt>
                <c:pt idx="62">
                  <c:v>89.460108880502816</c:v>
                </c:pt>
                <c:pt idx="63">
                  <c:v>91.415825373521074</c:v>
                </c:pt>
                <c:pt idx="64">
                  <c:v>91.503703155228862</c:v>
                </c:pt>
                <c:pt idx="65">
                  <c:v>92.234886432008025</c:v>
                </c:pt>
                <c:pt idx="66">
                  <c:v>91.170141725030021</c:v>
                </c:pt>
                <c:pt idx="67">
                  <c:v>91.230856222687166</c:v>
                </c:pt>
                <c:pt idx="68">
                  <c:v>13.624404889530084</c:v>
                </c:pt>
                <c:pt idx="69">
                  <c:v>13.70897450578342</c:v>
                </c:pt>
                <c:pt idx="70">
                  <c:v>13.650884122923109</c:v>
                </c:pt>
                <c:pt idx="71">
                  <c:v>13.633426393203663</c:v>
                </c:pt>
                <c:pt idx="72">
                  <c:v>13.621949638495334</c:v>
                </c:pt>
                <c:pt idx="73">
                  <c:v>13.620807123219091</c:v>
                </c:pt>
                <c:pt idx="74">
                  <c:v>13.624739913401193</c:v>
                </c:pt>
                <c:pt idx="75">
                  <c:v>13.61459456591014</c:v>
                </c:pt>
                <c:pt idx="76">
                  <c:v>13.604128299908567</c:v>
                </c:pt>
                <c:pt idx="77">
                  <c:v>13.595108768697955</c:v>
                </c:pt>
                <c:pt idx="78">
                  <c:v>91.859831759288738</c:v>
                </c:pt>
                <c:pt idx="79">
                  <c:v>93.882993340130525</c:v>
                </c:pt>
                <c:pt idx="80">
                  <c:v>93.862105337354024</c:v>
                </c:pt>
                <c:pt idx="81">
                  <c:v>93.60964503122031</c:v>
                </c:pt>
                <c:pt idx="82">
                  <c:v>93.125961543388399</c:v>
                </c:pt>
                <c:pt idx="83">
                  <c:v>95.348156132491141</c:v>
                </c:pt>
                <c:pt idx="84">
                  <c:v>95.797364446766821</c:v>
                </c:pt>
                <c:pt idx="85">
                  <c:v>96.486317891484248</c:v>
                </c:pt>
                <c:pt idx="86">
                  <c:v>96.448350138259229</c:v>
                </c:pt>
                <c:pt idx="87">
                  <c:v>96.36659678691538</c:v>
                </c:pt>
                <c:pt idx="88">
                  <c:v>96.343988377790851</c:v>
                </c:pt>
                <c:pt idx="89">
                  <c:v>95.841515882829015</c:v>
                </c:pt>
                <c:pt idx="90">
                  <c:v>95.859883593729535</c:v>
                </c:pt>
                <c:pt idx="91">
                  <c:v>96.719361205715046</c:v>
                </c:pt>
                <c:pt idx="92">
                  <c:v>96.586224673953069</c:v>
                </c:pt>
                <c:pt idx="93">
                  <c:v>93.985557332410053</c:v>
                </c:pt>
                <c:pt idx="94">
                  <c:v>94.553410731627082</c:v>
                </c:pt>
                <c:pt idx="95">
                  <c:v>95.159636030372411</c:v>
                </c:pt>
                <c:pt idx="96">
                  <c:v>95.263662865057029</c:v>
                </c:pt>
                <c:pt idx="97">
                  <c:v>94.605676715315582</c:v>
                </c:pt>
                <c:pt idx="98">
                  <c:v>95.755012117682156</c:v>
                </c:pt>
                <c:pt idx="99">
                  <c:v>94.551941756083806</c:v>
                </c:pt>
                <c:pt idx="100">
                  <c:v>94.745987142759503</c:v>
                </c:pt>
                <c:pt idx="101">
                  <c:v>95.681769356809951</c:v>
                </c:pt>
                <c:pt idx="102">
                  <c:v>93.845196490355761</c:v>
                </c:pt>
                <c:pt idx="103">
                  <c:v>93.651786324627366</c:v>
                </c:pt>
                <c:pt idx="104">
                  <c:v>93.31314728966845</c:v>
                </c:pt>
                <c:pt idx="105">
                  <c:v>94.965146221571331</c:v>
                </c:pt>
                <c:pt idx="106">
                  <c:v>96.413904551647548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D-4175-85D0-DC54524C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770064"/>
        <c:axId val="2047414592"/>
      </c:scatterChart>
      <c:valAx>
        <c:axId val="204777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14592"/>
        <c:crosses val="autoZero"/>
        <c:crossBetween val="midCat"/>
      </c:valAx>
      <c:valAx>
        <c:axId val="2047414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7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hpi'!$B$3:$B$124</c:f>
              <c:numCache>
                <c:formatCode>General</c:formatCode>
                <c:ptCount val="122"/>
                <c:pt idx="0">
                  <c:v>1.6108800000000001E-3</c:v>
                </c:pt>
                <c:pt idx="1">
                  <c:v>1.62206E-3</c:v>
                </c:pt>
                <c:pt idx="2">
                  <c:v>1.63064E-3</c:v>
                </c:pt>
                <c:pt idx="3">
                  <c:v>1.6357100000000001E-3</c:v>
                </c:pt>
                <c:pt idx="4">
                  <c:v>1.6415399999999999E-3</c:v>
                </c:pt>
                <c:pt idx="5">
                  <c:v>1.64701E-3</c:v>
                </c:pt>
                <c:pt idx="6">
                  <c:v>1.6508899999999999E-3</c:v>
                </c:pt>
                <c:pt idx="7">
                  <c:v>1.6531199999999999E-3</c:v>
                </c:pt>
                <c:pt idx="8">
                  <c:v>1.6575100000000001E-3</c:v>
                </c:pt>
                <c:pt idx="9">
                  <c:v>1.6632400000000001E-3</c:v>
                </c:pt>
                <c:pt idx="10">
                  <c:v>1.6656799999999999E-3</c:v>
                </c:pt>
                <c:pt idx="11">
                  <c:v>1.66943E-3</c:v>
                </c:pt>
                <c:pt idx="12">
                  <c:v>1.6779799999999999E-3</c:v>
                </c:pt>
                <c:pt idx="13">
                  <c:v>1.6802500000000001E-3</c:v>
                </c:pt>
                <c:pt idx="14">
                  <c:v>1.68363E-3</c:v>
                </c:pt>
                <c:pt idx="15">
                  <c:v>1.6877800000000001E-3</c:v>
                </c:pt>
                <c:pt idx="16">
                  <c:v>1.6923800000000001E-3</c:v>
                </c:pt>
                <c:pt idx="17">
                  <c:v>1.6975E-3</c:v>
                </c:pt>
                <c:pt idx="18">
                  <c:v>1.7008399999999999E-3</c:v>
                </c:pt>
                <c:pt idx="19">
                  <c:v>1.7056E-3</c:v>
                </c:pt>
                <c:pt idx="20">
                  <c:v>1.71014E-3</c:v>
                </c:pt>
                <c:pt idx="21">
                  <c:v>1.71013E-3</c:v>
                </c:pt>
                <c:pt idx="22">
                  <c:v>1.7131200000000001E-3</c:v>
                </c:pt>
                <c:pt idx="23">
                  <c:v>1.7185900000000001E-3</c:v>
                </c:pt>
                <c:pt idx="24">
                  <c:v>1.7210400000000001E-3</c:v>
                </c:pt>
                <c:pt idx="25">
                  <c:v>1.7254E-3</c:v>
                </c:pt>
                <c:pt idx="26">
                  <c:v>1.72927E-3</c:v>
                </c:pt>
                <c:pt idx="27">
                  <c:v>1.7343199999999999E-3</c:v>
                </c:pt>
                <c:pt idx="28">
                  <c:v>1.73869E-3</c:v>
                </c:pt>
                <c:pt idx="29">
                  <c:v>2.8189600000000002E-6</c:v>
                </c:pt>
                <c:pt idx="30">
                  <c:v>2.86857E-6</c:v>
                </c:pt>
                <c:pt idx="31">
                  <c:v>2.8109500000000002E-6</c:v>
                </c:pt>
                <c:pt idx="32">
                  <c:v>2.77627E-6</c:v>
                </c:pt>
                <c:pt idx="33">
                  <c:v>2.7457299999999998E-6</c:v>
                </c:pt>
                <c:pt idx="34">
                  <c:v>2.7286699999999998E-6</c:v>
                </c:pt>
                <c:pt idx="35">
                  <c:v>2.7199800000000001E-6</c:v>
                </c:pt>
                <c:pt idx="36">
                  <c:v>2.7074800000000002E-6</c:v>
                </c:pt>
                <c:pt idx="37">
                  <c:v>2.6915200000000001E-6</c:v>
                </c:pt>
                <c:pt idx="38">
                  <c:v>2.6883000000000002E-6</c:v>
                </c:pt>
                <c:pt idx="39">
                  <c:v>1.0943700000000001E-3</c:v>
                </c:pt>
                <c:pt idx="40">
                  <c:v>1.12718E-3</c:v>
                </c:pt>
                <c:pt idx="41">
                  <c:v>1.14719E-3</c:v>
                </c:pt>
                <c:pt idx="42">
                  <c:v>1.16293E-3</c:v>
                </c:pt>
                <c:pt idx="43">
                  <c:v>1.1758000000000001E-3</c:v>
                </c:pt>
                <c:pt idx="44">
                  <c:v>1.18691E-3</c:v>
                </c:pt>
                <c:pt idx="45">
                  <c:v>1.19641E-3</c:v>
                </c:pt>
                <c:pt idx="46">
                  <c:v>1.2038800000000001E-3</c:v>
                </c:pt>
                <c:pt idx="47">
                  <c:v>1.20995E-3</c:v>
                </c:pt>
                <c:pt idx="48">
                  <c:v>1.2171300000000001E-3</c:v>
                </c:pt>
                <c:pt idx="49">
                  <c:v>1.2255899999999999E-3</c:v>
                </c:pt>
                <c:pt idx="50">
                  <c:v>1.2279299999999999E-3</c:v>
                </c:pt>
                <c:pt idx="51">
                  <c:v>1.2350200000000001E-3</c:v>
                </c:pt>
                <c:pt idx="52">
                  <c:v>1.2397599999999999E-3</c:v>
                </c:pt>
                <c:pt idx="53">
                  <c:v>1.2444800000000001E-3</c:v>
                </c:pt>
                <c:pt idx="54">
                  <c:v>1.2469600000000001E-3</c:v>
                </c:pt>
                <c:pt idx="55">
                  <c:v>1.25191E-3</c:v>
                </c:pt>
                <c:pt idx="56">
                  <c:v>1.2558300000000001E-3</c:v>
                </c:pt>
                <c:pt idx="57">
                  <c:v>1.25924E-3</c:v>
                </c:pt>
                <c:pt idx="58">
                  <c:v>1.2612400000000001E-3</c:v>
                </c:pt>
                <c:pt idx="59">
                  <c:v>1.2644900000000001E-3</c:v>
                </c:pt>
                <c:pt idx="60">
                  <c:v>1.2688E-3</c:v>
                </c:pt>
                <c:pt idx="61">
                  <c:v>1.2713500000000001E-3</c:v>
                </c:pt>
                <c:pt idx="62">
                  <c:v>1.27571E-3</c:v>
                </c:pt>
                <c:pt idx="63">
                  <c:v>1.2779E-3</c:v>
                </c:pt>
                <c:pt idx="64">
                  <c:v>1.2780999999999999E-3</c:v>
                </c:pt>
                <c:pt idx="65">
                  <c:v>1.2839500000000001E-3</c:v>
                </c:pt>
                <c:pt idx="66">
                  <c:v>1.28561E-3</c:v>
                </c:pt>
                <c:pt idx="67">
                  <c:v>1.2874E-3</c:v>
                </c:pt>
                <c:pt idx="68">
                  <c:v>2.5882000000000001E-6</c:v>
                </c:pt>
                <c:pt idx="69">
                  <c:v>2.6343599999999999E-6</c:v>
                </c:pt>
                <c:pt idx="70">
                  <c:v>2.6242400000000001E-6</c:v>
                </c:pt>
                <c:pt idx="71">
                  <c:v>2.6149300000000001E-6</c:v>
                </c:pt>
                <c:pt idx="72">
                  <c:v>2.60845E-6</c:v>
                </c:pt>
                <c:pt idx="73">
                  <c:v>2.6105700000000001E-6</c:v>
                </c:pt>
                <c:pt idx="74">
                  <c:v>2.6031900000000001E-6</c:v>
                </c:pt>
                <c:pt idx="75">
                  <c:v>2.5911699999999999E-6</c:v>
                </c:pt>
                <c:pt idx="76">
                  <c:v>2.5882000000000001E-6</c:v>
                </c:pt>
                <c:pt idx="77">
                  <c:v>2.57815E-6</c:v>
                </c:pt>
                <c:pt idx="78">
                  <c:v>1.0815499999999999E-3</c:v>
                </c:pt>
                <c:pt idx="79">
                  <c:v>1.1164199999999999E-3</c:v>
                </c:pt>
                <c:pt idx="80">
                  <c:v>1.1387700000000001E-3</c:v>
                </c:pt>
                <c:pt idx="81">
                  <c:v>1.15507E-3</c:v>
                </c:pt>
                <c:pt idx="82">
                  <c:v>1.16932E-3</c:v>
                </c:pt>
                <c:pt idx="83">
                  <c:v>1.18166E-3</c:v>
                </c:pt>
                <c:pt idx="84">
                  <c:v>1.1914899999999999E-3</c:v>
                </c:pt>
                <c:pt idx="85">
                  <c:v>1.19921E-3</c:v>
                </c:pt>
                <c:pt idx="86">
                  <c:v>1.2078799999999999E-3</c:v>
                </c:pt>
                <c:pt idx="87">
                  <c:v>1.2147499999999999E-3</c:v>
                </c:pt>
                <c:pt idx="88">
                  <c:v>1.2205600000000001E-3</c:v>
                </c:pt>
                <c:pt idx="89">
                  <c:v>1.2259E-3</c:v>
                </c:pt>
                <c:pt idx="90">
                  <c:v>1.2329000000000001E-3</c:v>
                </c:pt>
                <c:pt idx="91">
                  <c:v>1.23726E-3</c:v>
                </c:pt>
                <c:pt idx="92">
                  <c:v>1.2423600000000001E-3</c:v>
                </c:pt>
                <c:pt idx="93">
                  <c:v>1.2474400000000001E-3</c:v>
                </c:pt>
                <c:pt idx="94">
                  <c:v>1.2508599999999999E-3</c:v>
                </c:pt>
                <c:pt idx="95">
                  <c:v>1.25537E-3</c:v>
                </c:pt>
                <c:pt idx="96">
                  <c:v>1.2580499999999999E-3</c:v>
                </c:pt>
                <c:pt idx="97">
                  <c:v>1.2606799999999999E-3</c:v>
                </c:pt>
                <c:pt idx="98">
                  <c:v>1.2657600000000001E-3</c:v>
                </c:pt>
                <c:pt idx="99">
                  <c:v>1.2691200000000001E-3</c:v>
                </c:pt>
                <c:pt idx="100">
                  <c:v>1.2726300000000001E-3</c:v>
                </c:pt>
                <c:pt idx="101">
                  <c:v>1.2764600000000001E-3</c:v>
                </c:pt>
                <c:pt idx="102">
                  <c:v>1.2797799999999999E-3</c:v>
                </c:pt>
                <c:pt idx="103">
                  <c:v>1.28371E-3</c:v>
                </c:pt>
                <c:pt idx="104">
                  <c:v>1.2846800000000001E-3</c:v>
                </c:pt>
                <c:pt idx="105">
                  <c:v>1.2884299999999999E-3</c:v>
                </c:pt>
                <c:pt idx="106">
                  <c:v>1.29108E-3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B-4C7A-8E00-016999CC48AD}"/>
            </c:ext>
          </c:extLst>
        </c:ser>
        <c:ser>
          <c:idx val="1"/>
          <c:order val="1"/>
          <c:tx>
            <c:strRef>
              <c:f>'1250 P+ 72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hpi'!$G$3:$G$124</c:f>
              <c:numCache>
                <c:formatCode>General</c:formatCode>
                <c:ptCount val="122"/>
                <c:pt idx="0">
                  <c:v>1.2286E-3</c:v>
                </c:pt>
                <c:pt idx="1">
                  <c:v>1.2362899999999999E-3</c:v>
                </c:pt>
                <c:pt idx="2">
                  <c:v>1.2389300000000001E-3</c:v>
                </c:pt>
                <c:pt idx="3">
                  <c:v>1.24708E-3</c:v>
                </c:pt>
                <c:pt idx="4">
                  <c:v>1.25183E-3</c:v>
                </c:pt>
                <c:pt idx="5">
                  <c:v>1.2495799999999999E-3</c:v>
                </c:pt>
                <c:pt idx="6">
                  <c:v>1.2556500000000001E-3</c:v>
                </c:pt>
                <c:pt idx="7">
                  <c:v>1.25691E-3</c:v>
                </c:pt>
                <c:pt idx="8">
                  <c:v>1.2591499999999999E-3</c:v>
                </c:pt>
                <c:pt idx="9">
                  <c:v>1.26515E-3</c:v>
                </c:pt>
                <c:pt idx="10">
                  <c:v>1.2659100000000001E-3</c:v>
                </c:pt>
                <c:pt idx="11">
                  <c:v>1.2703199999999999E-3</c:v>
                </c:pt>
                <c:pt idx="12">
                  <c:v>1.27276E-3</c:v>
                </c:pt>
                <c:pt idx="13">
                  <c:v>1.2763799999999999E-3</c:v>
                </c:pt>
                <c:pt idx="14">
                  <c:v>1.27936E-3</c:v>
                </c:pt>
                <c:pt idx="15">
                  <c:v>1.28242E-3</c:v>
                </c:pt>
                <c:pt idx="16">
                  <c:v>1.28597E-3</c:v>
                </c:pt>
                <c:pt idx="17">
                  <c:v>1.28966E-3</c:v>
                </c:pt>
                <c:pt idx="18">
                  <c:v>1.29173E-3</c:v>
                </c:pt>
                <c:pt idx="19">
                  <c:v>1.292E-3</c:v>
                </c:pt>
                <c:pt idx="20">
                  <c:v>1.2958399999999999E-3</c:v>
                </c:pt>
                <c:pt idx="21">
                  <c:v>1.2975300000000001E-3</c:v>
                </c:pt>
                <c:pt idx="22">
                  <c:v>1.30262E-3</c:v>
                </c:pt>
                <c:pt idx="23">
                  <c:v>1.3094599999999999E-3</c:v>
                </c:pt>
                <c:pt idx="24">
                  <c:v>1.31006E-3</c:v>
                </c:pt>
                <c:pt idx="25">
                  <c:v>1.3089499999999999E-3</c:v>
                </c:pt>
                <c:pt idx="26">
                  <c:v>1.3202400000000001E-3</c:v>
                </c:pt>
                <c:pt idx="27">
                  <c:v>1.31584E-3</c:v>
                </c:pt>
                <c:pt idx="28">
                  <c:v>1.3157799999999999E-3</c:v>
                </c:pt>
                <c:pt idx="29">
                  <c:v>2.8358500000000001E-6</c:v>
                </c:pt>
                <c:pt idx="30">
                  <c:v>2.84143E-6</c:v>
                </c:pt>
                <c:pt idx="31">
                  <c:v>2.7796500000000001E-6</c:v>
                </c:pt>
                <c:pt idx="32">
                  <c:v>2.7448500000000001E-6</c:v>
                </c:pt>
                <c:pt idx="33">
                  <c:v>2.7170899999999999E-6</c:v>
                </c:pt>
                <c:pt idx="34">
                  <c:v>2.69305E-6</c:v>
                </c:pt>
                <c:pt idx="35">
                  <c:v>2.6760400000000001E-6</c:v>
                </c:pt>
                <c:pt idx="36">
                  <c:v>2.6612999999999998E-6</c:v>
                </c:pt>
                <c:pt idx="37">
                  <c:v>2.6483300000000001E-6</c:v>
                </c:pt>
                <c:pt idx="38">
                  <c:v>2.6293299999999999E-6</c:v>
                </c:pt>
                <c:pt idx="39">
                  <c:v>8.9245000000000004E-4</c:v>
                </c:pt>
                <c:pt idx="40">
                  <c:v>9.2018500000000001E-4</c:v>
                </c:pt>
                <c:pt idx="41">
                  <c:v>9.3969500000000005E-4</c:v>
                </c:pt>
                <c:pt idx="42">
                  <c:v>9.5450099999999996E-4</c:v>
                </c:pt>
                <c:pt idx="43">
                  <c:v>9.678E-4</c:v>
                </c:pt>
                <c:pt idx="44">
                  <c:v>9.7874399999999992E-4</c:v>
                </c:pt>
                <c:pt idx="45">
                  <c:v>9.8717599999999998E-4</c:v>
                </c:pt>
                <c:pt idx="46">
                  <c:v>9.9331500000000004E-4</c:v>
                </c:pt>
                <c:pt idx="47">
                  <c:v>9.96542E-4</c:v>
                </c:pt>
                <c:pt idx="48">
                  <c:v>1.00139E-3</c:v>
                </c:pt>
                <c:pt idx="49">
                  <c:v>1.00362E-3</c:v>
                </c:pt>
                <c:pt idx="50">
                  <c:v>1.0077700000000001E-3</c:v>
                </c:pt>
                <c:pt idx="51">
                  <c:v>1.01325E-3</c:v>
                </c:pt>
                <c:pt idx="52">
                  <c:v>1.0180899999999999E-3</c:v>
                </c:pt>
                <c:pt idx="53">
                  <c:v>1.0215000000000001E-3</c:v>
                </c:pt>
                <c:pt idx="54">
                  <c:v>1.02691E-3</c:v>
                </c:pt>
                <c:pt idx="55">
                  <c:v>1.0315700000000001E-3</c:v>
                </c:pt>
                <c:pt idx="56">
                  <c:v>1.0315999999999999E-3</c:v>
                </c:pt>
                <c:pt idx="57">
                  <c:v>1.04068E-3</c:v>
                </c:pt>
                <c:pt idx="58">
                  <c:v>1.04173E-3</c:v>
                </c:pt>
                <c:pt idx="59">
                  <c:v>1.04492E-3</c:v>
                </c:pt>
                <c:pt idx="60">
                  <c:v>1.05109E-3</c:v>
                </c:pt>
                <c:pt idx="61">
                  <c:v>1.0528099999999999E-3</c:v>
                </c:pt>
                <c:pt idx="62">
                  <c:v>1.05276E-3</c:v>
                </c:pt>
                <c:pt idx="63">
                  <c:v>1.0613899999999999E-3</c:v>
                </c:pt>
                <c:pt idx="64">
                  <c:v>1.06397E-3</c:v>
                </c:pt>
                <c:pt idx="65">
                  <c:v>1.0636300000000001E-3</c:v>
                </c:pt>
                <c:pt idx="66">
                  <c:v>1.0684100000000001E-3</c:v>
                </c:pt>
                <c:pt idx="67">
                  <c:v>1.07094E-3</c:v>
                </c:pt>
                <c:pt idx="68">
                  <c:v>2.5340199999999999E-6</c:v>
                </c:pt>
                <c:pt idx="69">
                  <c:v>2.5658800000000002E-6</c:v>
                </c:pt>
                <c:pt idx="70">
                  <c:v>2.5446900000000001E-6</c:v>
                </c:pt>
                <c:pt idx="71">
                  <c:v>2.5411800000000002E-6</c:v>
                </c:pt>
                <c:pt idx="72">
                  <c:v>2.5289099999999999E-6</c:v>
                </c:pt>
                <c:pt idx="73">
                  <c:v>2.51486E-6</c:v>
                </c:pt>
                <c:pt idx="74">
                  <c:v>2.5014400000000001E-6</c:v>
                </c:pt>
                <c:pt idx="75">
                  <c:v>2.4919400000000001E-6</c:v>
                </c:pt>
                <c:pt idx="76">
                  <c:v>2.4836600000000002E-6</c:v>
                </c:pt>
                <c:pt idx="77">
                  <c:v>2.4750800000000001E-6</c:v>
                </c:pt>
                <c:pt idx="78">
                  <c:v>8.9242800000000001E-4</c:v>
                </c:pt>
                <c:pt idx="79">
                  <c:v>9.2228899999999996E-4</c:v>
                </c:pt>
                <c:pt idx="80">
                  <c:v>9.37592E-4</c:v>
                </c:pt>
                <c:pt idx="81">
                  <c:v>9.5458399999999997E-4</c:v>
                </c:pt>
                <c:pt idx="82">
                  <c:v>9.6406400000000005E-4</c:v>
                </c:pt>
                <c:pt idx="83">
                  <c:v>9.8653999999999994E-4</c:v>
                </c:pt>
                <c:pt idx="84">
                  <c:v>9.9577400000000005E-4</c:v>
                </c:pt>
                <c:pt idx="85">
                  <c:v>1.00563E-3</c:v>
                </c:pt>
                <c:pt idx="86">
                  <c:v>1.00994E-3</c:v>
                </c:pt>
                <c:pt idx="87">
                  <c:v>1.01512E-3</c:v>
                </c:pt>
                <c:pt idx="88">
                  <c:v>1.0209800000000001E-3</c:v>
                </c:pt>
                <c:pt idx="89">
                  <c:v>1.02648E-3</c:v>
                </c:pt>
                <c:pt idx="90">
                  <c:v>1.03169E-3</c:v>
                </c:pt>
                <c:pt idx="91">
                  <c:v>1.03802E-3</c:v>
                </c:pt>
                <c:pt idx="92">
                  <c:v>1.04404E-3</c:v>
                </c:pt>
                <c:pt idx="93">
                  <c:v>1.0380700000000001E-3</c:v>
                </c:pt>
                <c:pt idx="94">
                  <c:v>1.0415000000000001E-3</c:v>
                </c:pt>
                <c:pt idx="95">
                  <c:v>1.0456700000000001E-3</c:v>
                </c:pt>
                <c:pt idx="96">
                  <c:v>1.0484400000000001E-3</c:v>
                </c:pt>
                <c:pt idx="97">
                  <c:v>1.0523100000000001E-3</c:v>
                </c:pt>
                <c:pt idx="98">
                  <c:v>1.0624199999999999E-3</c:v>
                </c:pt>
                <c:pt idx="99">
                  <c:v>1.05718E-3</c:v>
                </c:pt>
                <c:pt idx="100">
                  <c:v>1.06423E-3</c:v>
                </c:pt>
                <c:pt idx="101">
                  <c:v>1.06814E-3</c:v>
                </c:pt>
                <c:pt idx="102">
                  <c:v>1.06313E-3</c:v>
                </c:pt>
                <c:pt idx="103">
                  <c:v>1.06762E-3</c:v>
                </c:pt>
                <c:pt idx="104">
                  <c:v>1.0682700000000001E-3</c:v>
                </c:pt>
                <c:pt idx="105">
                  <c:v>1.0729299999999999E-3</c:v>
                </c:pt>
                <c:pt idx="106">
                  <c:v>1.08197E-3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B-4C7A-8E00-016999CC48AD}"/>
            </c:ext>
          </c:extLst>
        </c:ser>
        <c:ser>
          <c:idx val="2"/>
          <c:order val="2"/>
          <c:tx>
            <c:strRef>
              <c:f>'1250 P+ 72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B-4C7A-8E00-016999CC48AD}"/>
            </c:ext>
          </c:extLst>
        </c:ser>
        <c:ser>
          <c:idx val="3"/>
          <c:order val="3"/>
          <c:tx>
            <c:strRef>
              <c:f>'1250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CB-4C7A-8E00-016999CC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456496"/>
        <c:axId val="834454000"/>
      </c:scatterChart>
      <c:valAx>
        <c:axId val="834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4000"/>
        <c:crosses val="autoZero"/>
        <c:crossBetween val="midCat"/>
      </c:valAx>
      <c:valAx>
        <c:axId val="8344540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6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hpi'!$C$3:$C$124</c:f>
              <c:numCache>
                <c:formatCode>General</c:formatCode>
                <c:ptCount val="122"/>
                <c:pt idx="0">
                  <c:v>2.8016299999999999E-4</c:v>
                </c:pt>
                <c:pt idx="1">
                  <c:v>2.85531E-4</c:v>
                </c:pt>
                <c:pt idx="2">
                  <c:v>2.8698100000000001E-4</c:v>
                </c:pt>
                <c:pt idx="3">
                  <c:v>2.8625100000000001E-4</c:v>
                </c:pt>
                <c:pt idx="4">
                  <c:v>2.8575300000000003E-4</c:v>
                </c:pt>
                <c:pt idx="5">
                  <c:v>2.83947E-4</c:v>
                </c:pt>
                <c:pt idx="6">
                  <c:v>2.7936299999999997E-4</c:v>
                </c:pt>
                <c:pt idx="7">
                  <c:v>2.7891E-4</c:v>
                </c:pt>
                <c:pt idx="8">
                  <c:v>2.7833699999999997E-4</c:v>
                </c:pt>
                <c:pt idx="9">
                  <c:v>2.7703E-4</c:v>
                </c:pt>
                <c:pt idx="10">
                  <c:v>2.7688499999999999E-4</c:v>
                </c:pt>
                <c:pt idx="11">
                  <c:v>2.77877E-4</c:v>
                </c:pt>
                <c:pt idx="12">
                  <c:v>2.8084600000000001E-4</c:v>
                </c:pt>
                <c:pt idx="13">
                  <c:v>2.8079999999999999E-4</c:v>
                </c:pt>
                <c:pt idx="14">
                  <c:v>2.8131599999999999E-4</c:v>
                </c:pt>
                <c:pt idx="15">
                  <c:v>2.8044000000000002E-4</c:v>
                </c:pt>
                <c:pt idx="16">
                  <c:v>2.8175800000000001E-4</c:v>
                </c:pt>
                <c:pt idx="17">
                  <c:v>2.8213199999999999E-4</c:v>
                </c:pt>
                <c:pt idx="18">
                  <c:v>2.8351199999999998E-4</c:v>
                </c:pt>
                <c:pt idx="19">
                  <c:v>2.8460300000000003E-4</c:v>
                </c:pt>
                <c:pt idx="20">
                  <c:v>2.8649200000000001E-4</c:v>
                </c:pt>
                <c:pt idx="21">
                  <c:v>2.8117099999999998E-4</c:v>
                </c:pt>
                <c:pt idx="22">
                  <c:v>2.8291500000000001E-4</c:v>
                </c:pt>
                <c:pt idx="23">
                  <c:v>2.8261399999999999E-4</c:v>
                </c:pt>
                <c:pt idx="24">
                  <c:v>2.8082600000000002E-4</c:v>
                </c:pt>
                <c:pt idx="25">
                  <c:v>2.8078400000000001E-4</c:v>
                </c:pt>
                <c:pt idx="26">
                  <c:v>2.8374500000000002E-4</c:v>
                </c:pt>
                <c:pt idx="27">
                  <c:v>2.8347300000000001E-4</c:v>
                </c:pt>
                <c:pt idx="28">
                  <c:v>2.87242E-4</c:v>
                </c:pt>
                <c:pt idx="29">
                  <c:v>4.2874000000000003E-5</c:v>
                </c:pt>
                <c:pt idx="30">
                  <c:v>4.2608100000000003E-5</c:v>
                </c:pt>
                <c:pt idx="31">
                  <c:v>4.18279E-5</c:v>
                </c:pt>
                <c:pt idx="32">
                  <c:v>4.1323799999999999E-5</c:v>
                </c:pt>
                <c:pt idx="33">
                  <c:v>4.0885099999999999E-5</c:v>
                </c:pt>
                <c:pt idx="34">
                  <c:v>4.0534200000000002E-5</c:v>
                </c:pt>
                <c:pt idx="35">
                  <c:v>4.0241999999999999E-5</c:v>
                </c:pt>
                <c:pt idx="36">
                  <c:v>3.9977600000000002E-5</c:v>
                </c:pt>
                <c:pt idx="37">
                  <c:v>3.9727600000000002E-5</c:v>
                </c:pt>
                <c:pt idx="38">
                  <c:v>3.9517700000000003E-5</c:v>
                </c:pt>
                <c:pt idx="39">
                  <c:v>2.41053E-4</c:v>
                </c:pt>
                <c:pt idx="40">
                  <c:v>2.42465E-4</c:v>
                </c:pt>
                <c:pt idx="41">
                  <c:v>2.41843E-4</c:v>
                </c:pt>
                <c:pt idx="42">
                  <c:v>2.3817099999999999E-4</c:v>
                </c:pt>
                <c:pt idx="43">
                  <c:v>2.35014E-4</c:v>
                </c:pt>
                <c:pt idx="44">
                  <c:v>2.3695000000000001E-4</c:v>
                </c:pt>
                <c:pt idx="45">
                  <c:v>2.3756100000000001E-4</c:v>
                </c:pt>
                <c:pt idx="46">
                  <c:v>2.3853399999999999E-4</c:v>
                </c:pt>
                <c:pt idx="47">
                  <c:v>2.3700699999999999E-4</c:v>
                </c:pt>
                <c:pt idx="48">
                  <c:v>2.4068099999999999E-4</c:v>
                </c:pt>
                <c:pt idx="49">
                  <c:v>2.41112E-4</c:v>
                </c:pt>
                <c:pt idx="50">
                  <c:v>2.3687299999999999E-4</c:v>
                </c:pt>
                <c:pt idx="51">
                  <c:v>2.38204E-4</c:v>
                </c:pt>
                <c:pt idx="52">
                  <c:v>2.3445599999999999E-4</c:v>
                </c:pt>
                <c:pt idx="53">
                  <c:v>2.37538E-4</c:v>
                </c:pt>
                <c:pt idx="54">
                  <c:v>2.35178E-4</c:v>
                </c:pt>
                <c:pt idx="55">
                  <c:v>2.38984E-4</c:v>
                </c:pt>
                <c:pt idx="56">
                  <c:v>2.4099599999999999E-4</c:v>
                </c:pt>
                <c:pt idx="57">
                  <c:v>2.4100099999999999E-4</c:v>
                </c:pt>
                <c:pt idx="58">
                  <c:v>2.3607599999999999E-4</c:v>
                </c:pt>
                <c:pt idx="59">
                  <c:v>2.3676400000000001E-4</c:v>
                </c:pt>
                <c:pt idx="60">
                  <c:v>2.3468999999999999E-4</c:v>
                </c:pt>
                <c:pt idx="61">
                  <c:v>2.3559500000000001E-4</c:v>
                </c:pt>
                <c:pt idx="62">
                  <c:v>2.3718400000000001E-4</c:v>
                </c:pt>
                <c:pt idx="63">
                  <c:v>2.3936899999999999E-4</c:v>
                </c:pt>
                <c:pt idx="64">
                  <c:v>2.3871299999999999E-4</c:v>
                </c:pt>
                <c:pt idx="65">
                  <c:v>2.4289299999999999E-4</c:v>
                </c:pt>
                <c:pt idx="66">
                  <c:v>2.3759200000000001E-4</c:v>
                </c:pt>
                <c:pt idx="67">
                  <c:v>2.37118E-4</c:v>
                </c:pt>
                <c:pt idx="68">
                  <c:v>3.9386199999999999E-5</c:v>
                </c:pt>
                <c:pt idx="69">
                  <c:v>3.9641599999999997E-5</c:v>
                </c:pt>
                <c:pt idx="70">
                  <c:v>3.9409300000000002E-5</c:v>
                </c:pt>
                <c:pt idx="71">
                  <c:v>3.9356900000000003E-5</c:v>
                </c:pt>
                <c:pt idx="72">
                  <c:v>3.9322200000000001E-5</c:v>
                </c:pt>
                <c:pt idx="73">
                  <c:v>3.9323200000000003E-5</c:v>
                </c:pt>
                <c:pt idx="74">
                  <c:v>3.9344899999999997E-5</c:v>
                </c:pt>
                <c:pt idx="75">
                  <c:v>3.9368800000000002E-5</c:v>
                </c:pt>
                <c:pt idx="76">
                  <c:v>3.93835E-5</c:v>
                </c:pt>
                <c:pt idx="77">
                  <c:v>3.9392399999999999E-5</c:v>
                </c:pt>
                <c:pt idx="78">
                  <c:v>2.4010399999999999E-4</c:v>
                </c:pt>
                <c:pt idx="79">
                  <c:v>2.4339699999999999E-4</c:v>
                </c:pt>
                <c:pt idx="80">
                  <c:v>2.4518199999999998E-4</c:v>
                </c:pt>
                <c:pt idx="81">
                  <c:v>2.4461300000000002E-4</c:v>
                </c:pt>
                <c:pt idx="82">
                  <c:v>2.43234E-4</c:v>
                </c:pt>
                <c:pt idx="83">
                  <c:v>2.4061500000000001E-4</c:v>
                </c:pt>
                <c:pt idx="84">
                  <c:v>2.43501E-4</c:v>
                </c:pt>
                <c:pt idx="85">
                  <c:v>2.4293599999999999E-4</c:v>
                </c:pt>
                <c:pt idx="86">
                  <c:v>2.43284E-4</c:v>
                </c:pt>
                <c:pt idx="87">
                  <c:v>2.4267900000000001E-4</c:v>
                </c:pt>
                <c:pt idx="88">
                  <c:v>2.4273400000000001E-4</c:v>
                </c:pt>
                <c:pt idx="89">
                  <c:v>2.40163E-4</c:v>
                </c:pt>
                <c:pt idx="90">
                  <c:v>2.4183599999999999E-4</c:v>
                </c:pt>
                <c:pt idx="91">
                  <c:v>2.44059E-4</c:v>
                </c:pt>
                <c:pt idx="92">
                  <c:v>2.4231599999999999E-4</c:v>
                </c:pt>
                <c:pt idx="93">
                  <c:v>2.4411300000000001E-4</c:v>
                </c:pt>
                <c:pt idx="94">
                  <c:v>2.42413E-4</c:v>
                </c:pt>
                <c:pt idx="95">
                  <c:v>2.4424199999999998E-4</c:v>
                </c:pt>
                <c:pt idx="96">
                  <c:v>2.42675E-4</c:v>
                </c:pt>
                <c:pt idx="97">
                  <c:v>2.41544E-4</c:v>
                </c:pt>
                <c:pt idx="98">
                  <c:v>2.4292500000000001E-4</c:v>
                </c:pt>
                <c:pt idx="99">
                  <c:v>2.4273E-4</c:v>
                </c:pt>
                <c:pt idx="100">
                  <c:v>2.4227299999999999E-4</c:v>
                </c:pt>
                <c:pt idx="101">
                  <c:v>2.44143E-4</c:v>
                </c:pt>
                <c:pt idx="102">
                  <c:v>2.44291E-4</c:v>
                </c:pt>
                <c:pt idx="103">
                  <c:v>2.4457100000000001E-4</c:v>
                </c:pt>
                <c:pt idx="104">
                  <c:v>2.4427500000000002E-4</c:v>
                </c:pt>
                <c:pt idx="105">
                  <c:v>2.45338E-4</c:v>
                </c:pt>
                <c:pt idx="106">
                  <c:v>2.4448500000000001E-4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E-49BF-AB00-0103EB633C8B}"/>
            </c:ext>
          </c:extLst>
        </c:ser>
        <c:ser>
          <c:idx val="1"/>
          <c:order val="1"/>
          <c:tx>
            <c:strRef>
              <c:f>'1250 P+ 72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hpi'!$H$3:$H$124</c:f>
              <c:numCache>
                <c:formatCode>General</c:formatCode>
                <c:ptCount val="122"/>
                <c:pt idx="0">
                  <c:v>2.49814E-4</c:v>
                </c:pt>
                <c:pt idx="1">
                  <c:v>2.5508799999999999E-4</c:v>
                </c:pt>
                <c:pt idx="2">
                  <c:v>2.5493199999999998E-4</c:v>
                </c:pt>
                <c:pt idx="3">
                  <c:v>2.5778800000000001E-4</c:v>
                </c:pt>
                <c:pt idx="4">
                  <c:v>2.5789399999999999E-4</c:v>
                </c:pt>
                <c:pt idx="5">
                  <c:v>2.51542E-4</c:v>
                </c:pt>
                <c:pt idx="6">
                  <c:v>2.53983E-4</c:v>
                </c:pt>
                <c:pt idx="7">
                  <c:v>2.53945E-4</c:v>
                </c:pt>
                <c:pt idx="8">
                  <c:v>2.5191999999999999E-4</c:v>
                </c:pt>
                <c:pt idx="9">
                  <c:v>2.5569900000000002E-4</c:v>
                </c:pt>
                <c:pt idx="10">
                  <c:v>2.5096199999999997E-4</c:v>
                </c:pt>
                <c:pt idx="11">
                  <c:v>2.5317900000000002E-4</c:v>
                </c:pt>
                <c:pt idx="12">
                  <c:v>2.5467900000000001E-4</c:v>
                </c:pt>
                <c:pt idx="13">
                  <c:v>2.55116E-4</c:v>
                </c:pt>
                <c:pt idx="14">
                  <c:v>2.5524400000000001E-4</c:v>
                </c:pt>
                <c:pt idx="15">
                  <c:v>2.5588999999999999E-4</c:v>
                </c:pt>
                <c:pt idx="16">
                  <c:v>2.5640599999999998E-4</c:v>
                </c:pt>
                <c:pt idx="17">
                  <c:v>2.5832600000000002E-4</c:v>
                </c:pt>
                <c:pt idx="18">
                  <c:v>2.5780300000000003E-4</c:v>
                </c:pt>
                <c:pt idx="19">
                  <c:v>2.5742499999999998E-4</c:v>
                </c:pt>
                <c:pt idx="20">
                  <c:v>2.57409E-4</c:v>
                </c:pt>
                <c:pt idx="21">
                  <c:v>2.6039200000000002E-4</c:v>
                </c:pt>
                <c:pt idx="22">
                  <c:v>2.6163400000000001E-4</c:v>
                </c:pt>
                <c:pt idx="23">
                  <c:v>2.6895499999999998E-4</c:v>
                </c:pt>
                <c:pt idx="24">
                  <c:v>2.6762500000000001E-4</c:v>
                </c:pt>
                <c:pt idx="25">
                  <c:v>2.6171899999999999E-4</c:v>
                </c:pt>
                <c:pt idx="26">
                  <c:v>2.7264999999999999E-4</c:v>
                </c:pt>
                <c:pt idx="27">
                  <c:v>2.6576399999999999E-4</c:v>
                </c:pt>
                <c:pt idx="28">
                  <c:v>2.6318700000000001E-4</c:v>
                </c:pt>
                <c:pt idx="29">
                  <c:v>3.5339300000000002E-5</c:v>
                </c:pt>
                <c:pt idx="30">
                  <c:v>3.4988499999999999E-5</c:v>
                </c:pt>
                <c:pt idx="31">
                  <c:v>3.4412899999999997E-5</c:v>
                </c:pt>
                <c:pt idx="32">
                  <c:v>3.4111099999999999E-5</c:v>
                </c:pt>
                <c:pt idx="33">
                  <c:v>3.3809800000000003E-5</c:v>
                </c:pt>
                <c:pt idx="34">
                  <c:v>3.3563699999999999E-5</c:v>
                </c:pt>
                <c:pt idx="35">
                  <c:v>3.3386500000000003E-5</c:v>
                </c:pt>
                <c:pt idx="36">
                  <c:v>3.3249900000000002E-5</c:v>
                </c:pt>
                <c:pt idx="37">
                  <c:v>3.3158999999999999E-5</c:v>
                </c:pt>
                <c:pt idx="38">
                  <c:v>3.3103499999999999E-5</c:v>
                </c:pt>
                <c:pt idx="39">
                  <c:v>2.2803299999999999E-4</c:v>
                </c:pt>
                <c:pt idx="40">
                  <c:v>2.36579E-4</c:v>
                </c:pt>
                <c:pt idx="41">
                  <c:v>2.36992E-4</c:v>
                </c:pt>
                <c:pt idx="42">
                  <c:v>2.3501199999999999E-4</c:v>
                </c:pt>
                <c:pt idx="43">
                  <c:v>2.3547800000000001E-4</c:v>
                </c:pt>
                <c:pt idx="44">
                  <c:v>2.3648199999999999E-4</c:v>
                </c:pt>
                <c:pt idx="45">
                  <c:v>2.3903600000000001E-4</c:v>
                </c:pt>
                <c:pt idx="46">
                  <c:v>2.3713200000000001E-4</c:v>
                </c:pt>
                <c:pt idx="47">
                  <c:v>2.3463100000000001E-4</c:v>
                </c:pt>
                <c:pt idx="48">
                  <c:v>2.3603200000000001E-4</c:v>
                </c:pt>
                <c:pt idx="49">
                  <c:v>2.2758399999999999E-4</c:v>
                </c:pt>
                <c:pt idx="50">
                  <c:v>2.2601699999999999E-4</c:v>
                </c:pt>
                <c:pt idx="51">
                  <c:v>2.23315E-4</c:v>
                </c:pt>
                <c:pt idx="52">
                  <c:v>2.26734E-4</c:v>
                </c:pt>
                <c:pt idx="53">
                  <c:v>2.2724099999999999E-4</c:v>
                </c:pt>
                <c:pt idx="54">
                  <c:v>2.2582400000000001E-4</c:v>
                </c:pt>
                <c:pt idx="55">
                  <c:v>2.2894699999999999E-4</c:v>
                </c:pt>
                <c:pt idx="56">
                  <c:v>2.3125500000000001E-4</c:v>
                </c:pt>
                <c:pt idx="57">
                  <c:v>2.3665599999999999E-4</c:v>
                </c:pt>
                <c:pt idx="58">
                  <c:v>2.3645599999999999E-4</c:v>
                </c:pt>
                <c:pt idx="59">
                  <c:v>2.3598299999999999E-4</c:v>
                </c:pt>
                <c:pt idx="60">
                  <c:v>2.3983399999999999E-4</c:v>
                </c:pt>
                <c:pt idx="61">
                  <c:v>2.38275E-4</c:v>
                </c:pt>
                <c:pt idx="62">
                  <c:v>2.35477E-4</c:v>
                </c:pt>
                <c:pt idx="63">
                  <c:v>2.433E-4</c:v>
                </c:pt>
                <c:pt idx="64">
                  <c:v>2.4432399999999997E-4</c:v>
                </c:pt>
                <c:pt idx="65">
                  <c:v>2.4425E-4</c:v>
                </c:pt>
                <c:pt idx="66">
                  <c:v>2.4365699999999999E-4</c:v>
                </c:pt>
                <c:pt idx="67">
                  <c:v>2.4438299999999998E-4</c:v>
                </c:pt>
                <c:pt idx="68">
                  <c:v>3.2951699999999998E-5</c:v>
                </c:pt>
                <c:pt idx="69">
                  <c:v>3.3146499999999999E-5</c:v>
                </c:pt>
                <c:pt idx="70">
                  <c:v>3.3063399999999999E-5</c:v>
                </c:pt>
                <c:pt idx="71">
                  <c:v>3.3022899999999999E-5</c:v>
                </c:pt>
                <c:pt idx="72">
                  <c:v>3.2996500000000002E-5</c:v>
                </c:pt>
                <c:pt idx="73">
                  <c:v>3.2989900000000001E-5</c:v>
                </c:pt>
                <c:pt idx="74">
                  <c:v>3.2990200000000001E-5</c:v>
                </c:pt>
                <c:pt idx="75">
                  <c:v>3.2918199999999999E-5</c:v>
                </c:pt>
                <c:pt idx="76">
                  <c:v>3.2852799999999998E-5</c:v>
                </c:pt>
                <c:pt idx="77">
                  <c:v>3.2799799999999997E-5</c:v>
                </c:pt>
                <c:pt idx="78">
                  <c:v>2.44863E-4</c:v>
                </c:pt>
                <c:pt idx="79">
                  <c:v>2.5203500000000001E-4</c:v>
                </c:pt>
                <c:pt idx="80">
                  <c:v>2.5033899999999998E-4</c:v>
                </c:pt>
                <c:pt idx="81">
                  <c:v>2.4958499999999998E-4</c:v>
                </c:pt>
                <c:pt idx="82">
                  <c:v>2.4839799999999999E-4</c:v>
                </c:pt>
                <c:pt idx="83">
                  <c:v>2.6183599999999999E-4</c:v>
                </c:pt>
                <c:pt idx="84">
                  <c:v>2.6150700000000002E-4</c:v>
                </c:pt>
                <c:pt idx="85">
                  <c:v>2.6545300000000002E-4</c:v>
                </c:pt>
                <c:pt idx="86">
                  <c:v>2.6495300000000001E-4</c:v>
                </c:pt>
                <c:pt idx="87">
                  <c:v>2.6508400000000001E-4</c:v>
                </c:pt>
                <c:pt idx="88">
                  <c:v>2.6492200000000001E-4</c:v>
                </c:pt>
                <c:pt idx="89">
                  <c:v>2.6470399999999999E-4</c:v>
                </c:pt>
                <c:pt idx="90">
                  <c:v>2.6330400000000001E-4</c:v>
                </c:pt>
                <c:pt idx="91">
                  <c:v>2.6561599999999999E-4</c:v>
                </c:pt>
                <c:pt idx="92">
                  <c:v>2.66505E-4</c:v>
                </c:pt>
                <c:pt idx="93">
                  <c:v>2.5190899999999998E-4</c:v>
                </c:pt>
                <c:pt idx="94">
                  <c:v>2.5626199999999999E-4</c:v>
                </c:pt>
                <c:pt idx="95">
                  <c:v>2.5766E-4</c:v>
                </c:pt>
                <c:pt idx="96">
                  <c:v>2.5957699999999998E-4</c:v>
                </c:pt>
                <c:pt idx="97">
                  <c:v>2.5729799999999999E-4</c:v>
                </c:pt>
                <c:pt idx="98">
                  <c:v>2.61809E-4</c:v>
                </c:pt>
                <c:pt idx="99">
                  <c:v>2.5597199999999998E-4</c:v>
                </c:pt>
                <c:pt idx="100">
                  <c:v>2.5734899999999998E-4</c:v>
                </c:pt>
                <c:pt idx="101">
                  <c:v>2.6035700000000001E-4</c:v>
                </c:pt>
                <c:pt idx="102">
                  <c:v>2.5104899999999999E-4</c:v>
                </c:pt>
                <c:pt idx="103">
                  <c:v>2.4983299999999998E-4</c:v>
                </c:pt>
                <c:pt idx="104">
                  <c:v>2.4840499999999999E-4</c:v>
                </c:pt>
                <c:pt idx="105">
                  <c:v>2.5571099999999999E-4</c:v>
                </c:pt>
                <c:pt idx="106">
                  <c:v>2.6371000000000001E-4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E-49BF-AB00-0103EB633C8B}"/>
            </c:ext>
          </c:extLst>
        </c:ser>
        <c:ser>
          <c:idx val="2"/>
          <c:order val="2"/>
          <c:tx>
            <c:strRef>
              <c:f>'1250 P+ 72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E-49BF-AB00-0103EB633C8B}"/>
            </c:ext>
          </c:extLst>
        </c:ser>
        <c:ser>
          <c:idx val="3"/>
          <c:order val="3"/>
          <c:tx>
            <c:strRef>
              <c:f>'1250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'1250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E-49BF-AB00-0103EB633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50992"/>
        <c:axId val="1017155568"/>
      </c:scatterChart>
      <c:valAx>
        <c:axId val="101715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5568"/>
        <c:crosses val="autoZero"/>
        <c:crossBetween val="midCat"/>
      </c:valAx>
      <c:valAx>
        <c:axId val="1017155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P- 72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hpi'!$B$3:$B$116</c:f>
              <c:numCache>
                <c:formatCode>0.00E+00</c:formatCode>
                <c:ptCount val="114"/>
                <c:pt idx="0">
                  <c:v>7.8509000000000001E-4</c:v>
                </c:pt>
                <c:pt idx="1">
                  <c:v>7.9104999999999996E-4</c:v>
                </c:pt>
                <c:pt idx="2">
                  <c:v>7.9674599999999998E-4</c:v>
                </c:pt>
                <c:pt idx="3">
                  <c:v>8.0190199999999995E-4</c:v>
                </c:pt>
                <c:pt idx="4">
                  <c:v>8.0577800000000005E-4</c:v>
                </c:pt>
                <c:pt idx="5">
                  <c:v>8.1046600000000003E-4</c:v>
                </c:pt>
                <c:pt idx="6">
                  <c:v>8.1400400000000001E-4</c:v>
                </c:pt>
                <c:pt idx="7">
                  <c:v>8.19416E-4</c:v>
                </c:pt>
                <c:pt idx="8">
                  <c:v>8.2422400000000003E-4</c:v>
                </c:pt>
                <c:pt idx="9">
                  <c:v>8.2699499999999997E-4</c:v>
                </c:pt>
                <c:pt idx="10">
                  <c:v>8.3052400000000002E-4</c:v>
                </c:pt>
                <c:pt idx="11">
                  <c:v>8.3618099999999997E-4</c:v>
                </c:pt>
                <c:pt idx="12">
                  <c:v>8.3795600000000005E-4</c:v>
                </c:pt>
                <c:pt idx="13">
                  <c:v>8.4285100000000004E-4</c:v>
                </c:pt>
                <c:pt idx="14">
                  <c:v>8.4676399999999996E-4</c:v>
                </c:pt>
                <c:pt idx="15">
                  <c:v>8.4859499999999995E-4</c:v>
                </c:pt>
                <c:pt idx="16">
                  <c:v>8.5203399999999999E-4</c:v>
                </c:pt>
                <c:pt idx="17">
                  <c:v>8.5606500000000004E-4</c:v>
                </c:pt>
                <c:pt idx="18">
                  <c:v>8.5954300000000005E-4</c:v>
                </c:pt>
                <c:pt idx="19">
                  <c:v>8.6455699999999996E-4</c:v>
                </c:pt>
                <c:pt idx="20">
                  <c:v>8.6654099999999997E-4</c:v>
                </c:pt>
                <c:pt idx="21">
                  <c:v>8.6996199999999995E-4</c:v>
                </c:pt>
                <c:pt idx="22">
                  <c:v>8.7423100000000005E-4</c:v>
                </c:pt>
                <c:pt idx="23">
                  <c:v>8.7748999999999998E-4</c:v>
                </c:pt>
                <c:pt idx="24">
                  <c:v>8.8090399999999995E-4</c:v>
                </c:pt>
                <c:pt idx="25">
                  <c:v>8.8526200000000005E-4</c:v>
                </c:pt>
                <c:pt idx="26">
                  <c:v>8.8921099999999999E-4</c:v>
                </c:pt>
                <c:pt idx="27">
                  <c:v>8.9095600000000004E-4</c:v>
                </c:pt>
                <c:pt idx="28">
                  <c:v>8.9495799999999995E-4</c:v>
                </c:pt>
                <c:pt idx="29">
                  <c:v>6.4751199999999996E-7</c:v>
                </c:pt>
                <c:pt idx="30">
                  <c:v>6.1832699999999998E-7</c:v>
                </c:pt>
                <c:pt idx="31">
                  <c:v>6.0708099999999998E-7</c:v>
                </c:pt>
                <c:pt idx="32">
                  <c:v>5.9696599999999997E-7</c:v>
                </c:pt>
                <c:pt idx="33">
                  <c:v>5.85011E-7</c:v>
                </c:pt>
                <c:pt idx="34">
                  <c:v>5.8073399999999999E-7</c:v>
                </c:pt>
                <c:pt idx="35">
                  <c:v>5.82729E-7</c:v>
                </c:pt>
                <c:pt idx="36">
                  <c:v>5.86833E-7</c:v>
                </c:pt>
                <c:pt idx="37">
                  <c:v>5.6820199999999997E-7</c:v>
                </c:pt>
                <c:pt idx="38">
                  <c:v>5.4895899999999999E-7</c:v>
                </c:pt>
                <c:pt idx="39">
                  <c:v>6.4026800000000004E-4</c:v>
                </c:pt>
                <c:pt idx="40">
                  <c:v>6.6333600000000005E-4</c:v>
                </c:pt>
                <c:pt idx="41">
                  <c:v>6.77139E-4</c:v>
                </c:pt>
                <c:pt idx="42">
                  <c:v>6.9209999999999996E-4</c:v>
                </c:pt>
                <c:pt idx="43">
                  <c:v>7.0276500000000005E-4</c:v>
                </c:pt>
                <c:pt idx="44">
                  <c:v>7.1338900000000004E-4</c:v>
                </c:pt>
                <c:pt idx="45">
                  <c:v>7.21581E-4</c:v>
                </c:pt>
                <c:pt idx="46">
                  <c:v>7.2799500000000005E-4</c:v>
                </c:pt>
                <c:pt idx="47">
                  <c:v>7.339E-4</c:v>
                </c:pt>
                <c:pt idx="48">
                  <c:v>7.3673E-4</c:v>
                </c:pt>
                <c:pt idx="49">
                  <c:v>7.4009200000000003E-4</c:v>
                </c:pt>
                <c:pt idx="50">
                  <c:v>7.4390299999999997E-4</c:v>
                </c:pt>
                <c:pt idx="51">
                  <c:v>7.4812700000000002E-4</c:v>
                </c:pt>
                <c:pt idx="52">
                  <c:v>7.5372700000000004E-4</c:v>
                </c:pt>
                <c:pt idx="53">
                  <c:v>7.5924E-4</c:v>
                </c:pt>
                <c:pt idx="54">
                  <c:v>7.6230000000000004E-4</c:v>
                </c:pt>
                <c:pt idx="55">
                  <c:v>7.6437200000000003E-4</c:v>
                </c:pt>
                <c:pt idx="56">
                  <c:v>7.6857100000000001E-4</c:v>
                </c:pt>
                <c:pt idx="57">
                  <c:v>7.7011899999999999E-4</c:v>
                </c:pt>
                <c:pt idx="58">
                  <c:v>7.7234700000000005E-4</c:v>
                </c:pt>
                <c:pt idx="59">
                  <c:v>7.7446800000000005E-4</c:v>
                </c:pt>
                <c:pt idx="60">
                  <c:v>7.7802199999999996E-4</c:v>
                </c:pt>
                <c:pt idx="61">
                  <c:v>7.8150500000000005E-4</c:v>
                </c:pt>
                <c:pt idx="62">
                  <c:v>7.8487299999999995E-4</c:v>
                </c:pt>
                <c:pt idx="63">
                  <c:v>7.8669999999999999E-4</c:v>
                </c:pt>
                <c:pt idx="64">
                  <c:v>7.9212E-4</c:v>
                </c:pt>
                <c:pt idx="65">
                  <c:v>7.9289200000000001E-4</c:v>
                </c:pt>
                <c:pt idx="66">
                  <c:v>7.9353599999999996E-4</c:v>
                </c:pt>
                <c:pt idx="67">
                  <c:v>7.9643300000000004E-4</c:v>
                </c:pt>
                <c:pt idx="68">
                  <c:v>4.53307E-7</c:v>
                </c:pt>
                <c:pt idx="69">
                  <c:v>4.7394599999999997E-7</c:v>
                </c:pt>
                <c:pt idx="70">
                  <c:v>4.6608400000000001E-7</c:v>
                </c:pt>
                <c:pt idx="71">
                  <c:v>4.5446299999999998E-7</c:v>
                </c:pt>
                <c:pt idx="72">
                  <c:v>4.4525100000000002E-7</c:v>
                </c:pt>
                <c:pt idx="73">
                  <c:v>4.4713800000000002E-7</c:v>
                </c:pt>
                <c:pt idx="74">
                  <c:v>4.3782500000000002E-7</c:v>
                </c:pt>
                <c:pt idx="75">
                  <c:v>4.2826899999999998E-7</c:v>
                </c:pt>
                <c:pt idx="76">
                  <c:v>4.1592199999999998E-7</c:v>
                </c:pt>
                <c:pt idx="77">
                  <c:v>4.0254800000000001E-7</c:v>
                </c:pt>
                <c:pt idx="78">
                  <c:v>6.55139E-4</c:v>
                </c:pt>
                <c:pt idx="79">
                  <c:v>6.7531399999999999E-4</c:v>
                </c:pt>
                <c:pt idx="80">
                  <c:v>6.8971600000000005E-4</c:v>
                </c:pt>
                <c:pt idx="81">
                  <c:v>7.0347200000000002E-4</c:v>
                </c:pt>
                <c:pt idx="82">
                  <c:v>7.1615199999999996E-4</c:v>
                </c:pt>
                <c:pt idx="83">
                  <c:v>7.2515299999999997E-4</c:v>
                </c:pt>
                <c:pt idx="84">
                  <c:v>7.3241400000000003E-4</c:v>
                </c:pt>
                <c:pt idx="85">
                  <c:v>7.3719900000000001E-4</c:v>
                </c:pt>
                <c:pt idx="86">
                  <c:v>7.4254500000000005E-4</c:v>
                </c:pt>
                <c:pt idx="87">
                  <c:v>7.4600100000000004E-4</c:v>
                </c:pt>
                <c:pt idx="88">
                  <c:v>7.5003799999999996E-4</c:v>
                </c:pt>
                <c:pt idx="89">
                  <c:v>7.5234100000000001E-4</c:v>
                </c:pt>
                <c:pt idx="90">
                  <c:v>7.5779600000000003E-4</c:v>
                </c:pt>
                <c:pt idx="91">
                  <c:v>7.6144199999999998E-4</c:v>
                </c:pt>
                <c:pt idx="92">
                  <c:v>7.6734199999999996E-4</c:v>
                </c:pt>
                <c:pt idx="93">
                  <c:v>7.7110099999999995E-4</c:v>
                </c:pt>
                <c:pt idx="94">
                  <c:v>7.7358500000000003E-4</c:v>
                </c:pt>
                <c:pt idx="95">
                  <c:v>7.7479100000000004E-4</c:v>
                </c:pt>
                <c:pt idx="96">
                  <c:v>7.7543600000000001E-4</c:v>
                </c:pt>
                <c:pt idx="97">
                  <c:v>7.7806900000000005E-4</c:v>
                </c:pt>
                <c:pt idx="98">
                  <c:v>7.8119300000000001E-4</c:v>
                </c:pt>
                <c:pt idx="99">
                  <c:v>7.8457500000000003E-4</c:v>
                </c:pt>
                <c:pt idx="100">
                  <c:v>7.8711199999999997E-4</c:v>
                </c:pt>
                <c:pt idx="101">
                  <c:v>7.8964699999999998E-4</c:v>
                </c:pt>
                <c:pt idx="102">
                  <c:v>7.9177900000000005E-4</c:v>
                </c:pt>
                <c:pt idx="103">
                  <c:v>7.9298499999999996E-4</c:v>
                </c:pt>
                <c:pt idx="104">
                  <c:v>7.9551399999999999E-4</c:v>
                </c:pt>
                <c:pt idx="105">
                  <c:v>7.9571299999999998E-4</c:v>
                </c:pt>
                <c:pt idx="106">
                  <c:v>7.9622099999999995E-4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0-2E4A-9C40-B0DA79E132AF}"/>
            </c:ext>
          </c:extLst>
        </c:ser>
        <c:ser>
          <c:idx val="1"/>
          <c:order val="1"/>
          <c:tx>
            <c:strRef>
              <c:f>'1480 P- 72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hpi'!$G$3:$G$116</c:f>
              <c:numCache>
                <c:formatCode>0.00E+00</c:formatCode>
                <c:ptCount val="114"/>
                <c:pt idx="0">
                  <c:v>6.92412E-4</c:v>
                </c:pt>
                <c:pt idx="1">
                  <c:v>6.9768100000000002E-4</c:v>
                </c:pt>
                <c:pt idx="2">
                  <c:v>7.0299000000000002E-4</c:v>
                </c:pt>
                <c:pt idx="3">
                  <c:v>7.0701399999999995E-4</c:v>
                </c:pt>
                <c:pt idx="4">
                  <c:v>7.1148499999999998E-4</c:v>
                </c:pt>
                <c:pt idx="5">
                  <c:v>7.1597399999999997E-4</c:v>
                </c:pt>
                <c:pt idx="6">
                  <c:v>7.1863299999999999E-4</c:v>
                </c:pt>
                <c:pt idx="7">
                  <c:v>7.2495299999999997E-4</c:v>
                </c:pt>
                <c:pt idx="8">
                  <c:v>7.2639999999999998E-4</c:v>
                </c:pt>
                <c:pt idx="9">
                  <c:v>7.3068000000000004E-4</c:v>
                </c:pt>
                <c:pt idx="10">
                  <c:v>7.3426700000000004E-4</c:v>
                </c:pt>
                <c:pt idx="11">
                  <c:v>7.3714099999999997E-4</c:v>
                </c:pt>
                <c:pt idx="12">
                  <c:v>7.4012600000000002E-4</c:v>
                </c:pt>
                <c:pt idx="13">
                  <c:v>7.4309300000000001E-4</c:v>
                </c:pt>
                <c:pt idx="14">
                  <c:v>7.47052E-4</c:v>
                </c:pt>
                <c:pt idx="15">
                  <c:v>7.4981899999999998E-4</c:v>
                </c:pt>
                <c:pt idx="16">
                  <c:v>7.5392299999999998E-4</c:v>
                </c:pt>
                <c:pt idx="17">
                  <c:v>7.5509299999999998E-4</c:v>
                </c:pt>
                <c:pt idx="18">
                  <c:v>7.5871499999999998E-4</c:v>
                </c:pt>
                <c:pt idx="19">
                  <c:v>7.6106000000000004E-4</c:v>
                </c:pt>
                <c:pt idx="20">
                  <c:v>7.6345700000000005E-4</c:v>
                </c:pt>
                <c:pt idx="21">
                  <c:v>7.6699400000000001E-4</c:v>
                </c:pt>
                <c:pt idx="22">
                  <c:v>7.7106199999999998E-4</c:v>
                </c:pt>
                <c:pt idx="23">
                  <c:v>7.71965E-4</c:v>
                </c:pt>
                <c:pt idx="24">
                  <c:v>7.7509900000000001E-4</c:v>
                </c:pt>
                <c:pt idx="25">
                  <c:v>7.7825599999999996E-4</c:v>
                </c:pt>
                <c:pt idx="26">
                  <c:v>7.7993500000000005E-4</c:v>
                </c:pt>
                <c:pt idx="27">
                  <c:v>7.8389099999999999E-4</c:v>
                </c:pt>
                <c:pt idx="28">
                  <c:v>7.8529000000000001E-4</c:v>
                </c:pt>
                <c:pt idx="29">
                  <c:v>6.1961899999999996E-7</c:v>
                </c:pt>
                <c:pt idx="30">
                  <c:v>5.9329499999999997E-7</c:v>
                </c:pt>
                <c:pt idx="31">
                  <c:v>5.97431E-7</c:v>
                </c:pt>
                <c:pt idx="32">
                  <c:v>6.05885E-7</c:v>
                </c:pt>
                <c:pt idx="33">
                  <c:v>6.0937200000000001E-7</c:v>
                </c:pt>
                <c:pt idx="34">
                  <c:v>6.1272500000000003E-7</c:v>
                </c:pt>
                <c:pt idx="35">
                  <c:v>6.0931999999999995E-7</c:v>
                </c:pt>
                <c:pt idx="36">
                  <c:v>5.9908200000000004E-7</c:v>
                </c:pt>
                <c:pt idx="37">
                  <c:v>5.7727500000000001E-7</c:v>
                </c:pt>
                <c:pt idx="38">
                  <c:v>5.7077899999999995E-7</c:v>
                </c:pt>
                <c:pt idx="39">
                  <c:v>5.8701900000000004E-4</c:v>
                </c:pt>
                <c:pt idx="40">
                  <c:v>6.0839800000000001E-4</c:v>
                </c:pt>
                <c:pt idx="41">
                  <c:v>6.2293400000000001E-4</c:v>
                </c:pt>
                <c:pt idx="42">
                  <c:v>6.3268299999999999E-4</c:v>
                </c:pt>
                <c:pt idx="43">
                  <c:v>6.4227999999999996E-4</c:v>
                </c:pt>
                <c:pt idx="44">
                  <c:v>6.5081399999999999E-4</c:v>
                </c:pt>
                <c:pt idx="45">
                  <c:v>6.5751600000000002E-4</c:v>
                </c:pt>
                <c:pt idx="46">
                  <c:v>6.6282699999999995E-4</c:v>
                </c:pt>
                <c:pt idx="47">
                  <c:v>6.6783700000000001E-4</c:v>
                </c:pt>
                <c:pt idx="48">
                  <c:v>6.7165400000000004E-4</c:v>
                </c:pt>
                <c:pt idx="49">
                  <c:v>6.7470599999999996E-4</c:v>
                </c:pt>
                <c:pt idx="50">
                  <c:v>6.8050300000000005E-4</c:v>
                </c:pt>
                <c:pt idx="51">
                  <c:v>6.84204E-4</c:v>
                </c:pt>
                <c:pt idx="52">
                  <c:v>6.8934300000000003E-4</c:v>
                </c:pt>
                <c:pt idx="53">
                  <c:v>6.9329999999999999E-4</c:v>
                </c:pt>
                <c:pt idx="54">
                  <c:v>6.9607899999999995E-4</c:v>
                </c:pt>
                <c:pt idx="55">
                  <c:v>6.9939299999999998E-4</c:v>
                </c:pt>
                <c:pt idx="56">
                  <c:v>7.0204000000000002E-4</c:v>
                </c:pt>
                <c:pt idx="57">
                  <c:v>7.0271600000000004E-4</c:v>
                </c:pt>
                <c:pt idx="58">
                  <c:v>7.0644399999999997E-4</c:v>
                </c:pt>
                <c:pt idx="59">
                  <c:v>7.10336E-4</c:v>
                </c:pt>
                <c:pt idx="60">
                  <c:v>7.1162899999999997E-4</c:v>
                </c:pt>
                <c:pt idx="61">
                  <c:v>7.15762E-4</c:v>
                </c:pt>
                <c:pt idx="62">
                  <c:v>7.1619700000000001E-4</c:v>
                </c:pt>
                <c:pt idx="63">
                  <c:v>7.2016699999999996E-4</c:v>
                </c:pt>
                <c:pt idx="64">
                  <c:v>7.2093600000000004E-4</c:v>
                </c:pt>
                <c:pt idx="65">
                  <c:v>7.2163999999999996E-4</c:v>
                </c:pt>
                <c:pt idx="66">
                  <c:v>7.2502000000000005E-4</c:v>
                </c:pt>
                <c:pt idx="67">
                  <c:v>7.2723700000000004E-4</c:v>
                </c:pt>
                <c:pt idx="68">
                  <c:v>4.9053500000000002E-7</c:v>
                </c:pt>
                <c:pt idx="69">
                  <c:v>4.8551599999999996E-7</c:v>
                </c:pt>
                <c:pt idx="70">
                  <c:v>4.7164200000000001E-7</c:v>
                </c:pt>
                <c:pt idx="71">
                  <c:v>4.4111699999999999E-7</c:v>
                </c:pt>
                <c:pt idx="72">
                  <c:v>4.1388100000000003E-7</c:v>
                </c:pt>
                <c:pt idx="73">
                  <c:v>3.96278E-7</c:v>
                </c:pt>
                <c:pt idx="74">
                  <c:v>3.8068899999999998E-7</c:v>
                </c:pt>
                <c:pt idx="75">
                  <c:v>3.66584E-7</c:v>
                </c:pt>
                <c:pt idx="76">
                  <c:v>3.5836500000000002E-7</c:v>
                </c:pt>
                <c:pt idx="77">
                  <c:v>3.51669E-7</c:v>
                </c:pt>
                <c:pt idx="78">
                  <c:v>5.9209599999999996E-4</c:v>
                </c:pt>
                <c:pt idx="79">
                  <c:v>6.1038200000000003E-4</c:v>
                </c:pt>
                <c:pt idx="80">
                  <c:v>6.2334200000000004E-4</c:v>
                </c:pt>
                <c:pt idx="81">
                  <c:v>6.34977E-4</c:v>
                </c:pt>
                <c:pt idx="82">
                  <c:v>6.4529599999999996E-4</c:v>
                </c:pt>
                <c:pt idx="83">
                  <c:v>6.5461100000000004E-4</c:v>
                </c:pt>
                <c:pt idx="84">
                  <c:v>6.6023199999999996E-4</c:v>
                </c:pt>
                <c:pt idx="85">
                  <c:v>6.6656500000000004E-4</c:v>
                </c:pt>
                <c:pt idx="86">
                  <c:v>6.70322E-4</c:v>
                </c:pt>
                <c:pt idx="87">
                  <c:v>6.7247400000000005E-4</c:v>
                </c:pt>
                <c:pt idx="88">
                  <c:v>6.7486599999999999E-4</c:v>
                </c:pt>
                <c:pt idx="89">
                  <c:v>6.78537E-4</c:v>
                </c:pt>
                <c:pt idx="90">
                  <c:v>6.8232999999999998E-4</c:v>
                </c:pt>
                <c:pt idx="91">
                  <c:v>6.8730500000000003E-4</c:v>
                </c:pt>
                <c:pt idx="92">
                  <c:v>6.9164300000000003E-4</c:v>
                </c:pt>
                <c:pt idx="93">
                  <c:v>6.9335000000000002E-4</c:v>
                </c:pt>
                <c:pt idx="94">
                  <c:v>6.9594299999999997E-4</c:v>
                </c:pt>
                <c:pt idx="95">
                  <c:v>6.9757800000000002E-4</c:v>
                </c:pt>
                <c:pt idx="96">
                  <c:v>6.9752099999999999E-4</c:v>
                </c:pt>
                <c:pt idx="97">
                  <c:v>7.0149899999999996E-4</c:v>
                </c:pt>
                <c:pt idx="98">
                  <c:v>7.01522E-4</c:v>
                </c:pt>
                <c:pt idx="99">
                  <c:v>7.0452700000000004E-4</c:v>
                </c:pt>
                <c:pt idx="100">
                  <c:v>7.0862400000000004E-4</c:v>
                </c:pt>
                <c:pt idx="101">
                  <c:v>7.0991299999999995E-4</c:v>
                </c:pt>
                <c:pt idx="102">
                  <c:v>7.1345999999999996E-4</c:v>
                </c:pt>
                <c:pt idx="103">
                  <c:v>7.1384499999999995E-4</c:v>
                </c:pt>
                <c:pt idx="104">
                  <c:v>7.1509500000000001E-4</c:v>
                </c:pt>
                <c:pt idx="105">
                  <c:v>7.1728099999999995E-4</c:v>
                </c:pt>
                <c:pt idx="106">
                  <c:v>7.1640500000000004E-4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0-2E4A-9C40-B0DA79E132AF}"/>
            </c:ext>
          </c:extLst>
        </c:ser>
        <c:ser>
          <c:idx val="2"/>
          <c:order val="2"/>
          <c:tx>
            <c:strRef>
              <c:f>'1480 P- 72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hpi'!$L$3:$L$116</c:f>
              <c:numCache>
                <c:formatCode>0.00E+00</c:formatCode>
                <c:ptCount val="114"/>
                <c:pt idx="0">
                  <c:v>7.5824300000000002E-4</c:v>
                </c:pt>
                <c:pt idx="1">
                  <c:v>7.6362800000000003E-4</c:v>
                </c:pt>
                <c:pt idx="2">
                  <c:v>7.6899300000000004E-4</c:v>
                </c:pt>
                <c:pt idx="3">
                  <c:v>7.7507699999999999E-4</c:v>
                </c:pt>
                <c:pt idx="4">
                  <c:v>7.7641500000000003E-4</c:v>
                </c:pt>
                <c:pt idx="5">
                  <c:v>7.8024099999999999E-4</c:v>
                </c:pt>
                <c:pt idx="6">
                  <c:v>7.84656E-4</c:v>
                </c:pt>
                <c:pt idx="7">
                  <c:v>7.8821000000000002E-4</c:v>
                </c:pt>
                <c:pt idx="8">
                  <c:v>7.9240799999999998E-4</c:v>
                </c:pt>
                <c:pt idx="9">
                  <c:v>7.9691300000000001E-4</c:v>
                </c:pt>
                <c:pt idx="10">
                  <c:v>7.9789300000000004E-4</c:v>
                </c:pt>
                <c:pt idx="11">
                  <c:v>8.0238399999999995E-4</c:v>
                </c:pt>
                <c:pt idx="12">
                  <c:v>8.0548999999999996E-4</c:v>
                </c:pt>
                <c:pt idx="13">
                  <c:v>8.0660400000000004E-4</c:v>
                </c:pt>
                <c:pt idx="14">
                  <c:v>8.1118100000000001E-4</c:v>
                </c:pt>
                <c:pt idx="15">
                  <c:v>8.1515899999999998E-4</c:v>
                </c:pt>
                <c:pt idx="16">
                  <c:v>8.1839499999999997E-4</c:v>
                </c:pt>
                <c:pt idx="17">
                  <c:v>8.2113599999999998E-4</c:v>
                </c:pt>
                <c:pt idx="18">
                  <c:v>8.2243699999999997E-4</c:v>
                </c:pt>
                <c:pt idx="19">
                  <c:v>8.2568300000000002E-4</c:v>
                </c:pt>
                <c:pt idx="20">
                  <c:v>8.2902900000000001E-4</c:v>
                </c:pt>
                <c:pt idx="21">
                  <c:v>8.2996299999999997E-4</c:v>
                </c:pt>
                <c:pt idx="22">
                  <c:v>8.3229699999999996E-4</c:v>
                </c:pt>
                <c:pt idx="23">
                  <c:v>8.3626499999999999E-4</c:v>
                </c:pt>
                <c:pt idx="24">
                  <c:v>8.3832600000000002E-4</c:v>
                </c:pt>
                <c:pt idx="25">
                  <c:v>8.4044000000000002E-4</c:v>
                </c:pt>
                <c:pt idx="26">
                  <c:v>8.4317400000000003E-4</c:v>
                </c:pt>
                <c:pt idx="27">
                  <c:v>8.4480000000000004E-4</c:v>
                </c:pt>
                <c:pt idx="28">
                  <c:v>8.4865899999999998E-4</c:v>
                </c:pt>
                <c:pt idx="29">
                  <c:v>5.4309699999999996E-7</c:v>
                </c:pt>
                <c:pt idx="30">
                  <c:v>5.0452199999999997E-7</c:v>
                </c:pt>
                <c:pt idx="31">
                  <c:v>4.8352800000000004E-7</c:v>
                </c:pt>
                <c:pt idx="32">
                  <c:v>4.7806600000000004E-7</c:v>
                </c:pt>
                <c:pt idx="33">
                  <c:v>4.7779400000000005E-7</c:v>
                </c:pt>
                <c:pt idx="34">
                  <c:v>4.6461799999999999E-7</c:v>
                </c:pt>
                <c:pt idx="35">
                  <c:v>4.5159300000000001E-7</c:v>
                </c:pt>
                <c:pt idx="36">
                  <c:v>4.3974699999999997E-7</c:v>
                </c:pt>
                <c:pt idx="37">
                  <c:v>4.1974000000000002E-7</c:v>
                </c:pt>
                <c:pt idx="38">
                  <c:v>4.0131399999999999E-7</c:v>
                </c:pt>
                <c:pt idx="39">
                  <c:v>6.3639600000000001E-4</c:v>
                </c:pt>
                <c:pt idx="40">
                  <c:v>6.5836900000000001E-4</c:v>
                </c:pt>
                <c:pt idx="41">
                  <c:v>6.73276E-4</c:v>
                </c:pt>
                <c:pt idx="42">
                  <c:v>6.8446999999999996E-4</c:v>
                </c:pt>
                <c:pt idx="43">
                  <c:v>6.9834499999999996E-4</c:v>
                </c:pt>
                <c:pt idx="44">
                  <c:v>7.0833400000000003E-4</c:v>
                </c:pt>
                <c:pt idx="45">
                  <c:v>7.1440399999999997E-4</c:v>
                </c:pt>
                <c:pt idx="46">
                  <c:v>7.2020899999999998E-4</c:v>
                </c:pt>
                <c:pt idx="47">
                  <c:v>7.2595299999999999E-4</c:v>
                </c:pt>
                <c:pt idx="48">
                  <c:v>7.2908499999999998E-4</c:v>
                </c:pt>
                <c:pt idx="49">
                  <c:v>7.30849E-4</c:v>
                </c:pt>
                <c:pt idx="50">
                  <c:v>7.3728699999999999E-4</c:v>
                </c:pt>
                <c:pt idx="51">
                  <c:v>7.4068400000000003E-4</c:v>
                </c:pt>
                <c:pt idx="52">
                  <c:v>7.4732300000000004E-4</c:v>
                </c:pt>
                <c:pt idx="53">
                  <c:v>7.51438E-4</c:v>
                </c:pt>
                <c:pt idx="54">
                  <c:v>7.5442499999999997E-4</c:v>
                </c:pt>
                <c:pt idx="55">
                  <c:v>7.5766500000000003E-4</c:v>
                </c:pt>
                <c:pt idx="56">
                  <c:v>7.6149900000000001E-4</c:v>
                </c:pt>
                <c:pt idx="57">
                  <c:v>7.6344399999999995E-4</c:v>
                </c:pt>
                <c:pt idx="58">
                  <c:v>7.6310500000000003E-4</c:v>
                </c:pt>
                <c:pt idx="59">
                  <c:v>7.6628799999999995E-4</c:v>
                </c:pt>
                <c:pt idx="60">
                  <c:v>7.7043200000000004E-4</c:v>
                </c:pt>
                <c:pt idx="61">
                  <c:v>7.7074999999999995E-4</c:v>
                </c:pt>
                <c:pt idx="62">
                  <c:v>7.7682900000000004E-4</c:v>
                </c:pt>
                <c:pt idx="63">
                  <c:v>7.80903E-4</c:v>
                </c:pt>
                <c:pt idx="64">
                  <c:v>7.8321E-4</c:v>
                </c:pt>
                <c:pt idx="65">
                  <c:v>7.8591900000000005E-4</c:v>
                </c:pt>
                <c:pt idx="66">
                  <c:v>7.8517699999999997E-4</c:v>
                </c:pt>
                <c:pt idx="67">
                  <c:v>7.8861100000000004E-4</c:v>
                </c:pt>
                <c:pt idx="68">
                  <c:v>3.1944299999999998E-7</c:v>
                </c:pt>
                <c:pt idx="69">
                  <c:v>3.3279400000000001E-7</c:v>
                </c:pt>
                <c:pt idx="70">
                  <c:v>3.2034599999999998E-7</c:v>
                </c:pt>
                <c:pt idx="71">
                  <c:v>3.0693899999999999E-7</c:v>
                </c:pt>
                <c:pt idx="72">
                  <c:v>2.9210399999999998E-7</c:v>
                </c:pt>
                <c:pt idx="73">
                  <c:v>2.8193799999999999E-7</c:v>
                </c:pt>
                <c:pt idx="74">
                  <c:v>2.6631899999999999E-7</c:v>
                </c:pt>
                <c:pt idx="75">
                  <c:v>2.4928000000000002E-7</c:v>
                </c:pt>
                <c:pt idx="76">
                  <c:v>2.31823E-7</c:v>
                </c:pt>
                <c:pt idx="77">
                  <c:v>2.2280899999999999E-7</c:v>
                </c:pt>
                <c:pt idx="78">
                  <c:v>6.2749099999999999E-4</c:v>
                </c:pt>
                <c:pt idx="79">
                  <c:v>6.4931400000000001E-4</c:v>
                </c:pt>
                <c:pt idx="80">
                  <c:v>6.6525999999999998E-4</c:v>
                </c:pt>
                <c:pt idx="81">
                  <c:v>6.7702300000000001E-4</c:v>
                </c:pt>
                <c:pt idx="82">
                  <c:v>6.8729100000000003E-4</c:v>
                </c:pt>
                <c:pt idx="83">
                  <c:v>6.9482699999999997E-4</c:v>
                </c:pt>
                <c:pt idx="84">
                  <c:v>7.0173000000000002E-4</c:v>
                </c:pt>
                <c:pt idx="85">
                  <c:v>7.0716400000000003E-4</c:v>
                </c:pt>
                <c:pt idx="86">
                  <c:v>7.1121699999999999E-4</c:v>
                </c:pt>
                <c:pt idx="87">
                  <c:v>7.1644500000000002E-4</c:v>
                </c:pt>
                <c:pt idx="88">
                  <c:v>7.2019300000000005E-4</c:v>
                </c:pt>
                <c:pt idx="89">
                  <c:v>7.2264400000000004E-4</c:v>
                </c:pt>
                <c:pt idx="90">
                  <c:v>7.27916E-4</c:v>
                </c:pt>
                <c:pt idx="91">
                  <c:v>7.2977000000000003E-4</c:v>
                </c:pt>
                <c:pt idx="92">
                  <c:v>7.3267600000000003E-4</c:v>
                </c:pt>
                <c:pt idx="93">
                  <c:v>7.3641500000000003E-4</c:v>
                </c:pt>
                <c:pt idx="94">
                  <c:v>7.3929900000000001E-4</c:v>
                </c:pt>
                <c:pt idx="95">
                  <c:v>7.4183599999999995E-4</c:v>
                </c:pt>
                <c:pt idx="96">
                  <c:v>7.44277E-4</c:v>
                </c:pt>
                <c:pt idx="97">
                  <c:v>7.4512299999999999E-4</c:v>
                </c:pt>
                <c:pt idx="98">
                  <c:v>7.4923600000000002E-4</c:v>
                </c:pt>
                <c:pt idx="99">
                  <c:v>7.4966400000000004E-4</c:v>
                </c:pt>
                <c:pt idx="100">
                  <c:v>7.5379400000000001E-4</c:v>
                </c:pt>
                <c:pt idx="101">
                  <c:v>7.5682400000000002E-4</c:v>
                </c:pt>
                <c:pt idx="102">
                  <c:v>7.5818200000000004E-4</c:v>
                </c:pt>
                <c:pt idx="103">
                  <c:v>7.5942800000000003E-4</c:v>
                </c:pt>
                <c:pt idx="104">
                  <c:v>7.6202400000000003E-4</c:v>
                </c:pt>
                <c:pt idx="105">
                  <c:v>7.6360499999999999E-4</c:v>
                </c:pt>
                <c:pt idx="106">
                  <c:v>7.6523300000000004E-4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0-2E4A-9C40-B0DA79E132AF}"/>
            </c:ext>
          </c:extLst>
        </c:ser>
        <c:ser>
          <c:idx val="3"/>
          <c:order val="3"/>
          <c:tx>
            <c:strRef>
              <c:f>'NAD003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'NAD003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00-2E4A-9C40-B0DA79E1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P- 72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hpi'!$C$3:$C$116</c:f>
              <c:numCache>
                <c:formatCode>0.00E+00</c:formatCode>
                <c:ptCount val="114"/>
                <c:pt idx="0">
                  <c:v>1.7369799999999999E-4</c:v>
                </c:pt>
                <c:pt idx="1">
                  <c:v>1.7557900000000001E-4</c:v>
                </c:pt>
                <c:pt idx="2">
                  <c:v>1.74568E-4</c:v>
                </c:pt>
                <c:pt idx="3">
                  <c:v>1.73537E-4</c:v>
                </c:pt>
                <c:pt idx="4">
                  <c:v>1.7361699999999999E-4</c:v>
                </c:pt>
                <c:pt idx="5">
                  <c:v>1.7516400000000001E-4</c:v>
                </c:pt>
                <c:pt idx="6">
                  <c:v>1.7582000000000001E-4</c:v>
                </c:pt>
                <c:pt idx="7">
                  <c:v>1.7508700000000001E-4</c:v>
                </c:pt>
                <c:pt idx="8">
                  <c:v>1.7557900000000001E-4</c:v>
                </c:pt>
                <c:pt idx="9">
                  <c:v>1.7604099999999999E-4</c:v>
                </c:pt>
                <c:pt idx="10">
                  <c:v>1.7622499999999999E-4</c:v>
                </c:pt>
                <c:pt idx="11">
                  <c:v>1.7667E-4</c:v>
                </c:pt>
                <c:pt idx="12">
                  <c:v>1.7600600000000001E-4</c:v>
                </c:pt>
                <c:pt idx="13">
                  <c:v>1.76381E-4</c:v>
                </c:pt>
                <c:pt idx="14">
                  <c:v>1.77071E-4</c:v>
                </c:pt>
                <c:pt idx="15">
                  <c:v>1.7578599999999999E-4</c:v>
                </c:pt>
                <c:pt idx="16">
                  <c:v>1.7628500000000001E-4</c:v>
                </c:pt>
                <c:pt idx="17">
                  <c:v>1.7802000000000001E-4</c:v>
                </c:pt>
                <c:pt idx="18">
                  <c:v>1.8080900000000001E-4</c:v>
                </c:pt>
                <c:pt idx="19">
                  <c:v>1.81361E-4</c:v>
                </c:pt>
                <c:pt idx="20">
                  <c:v>1.8169799999999999E-4</c:v>
                </c:pt>
                <c:pt idx="21">
                  <c:v>1.81953E-4</c:v>
                </c:pt>
                <c:pt idx="22">
                  <c:v>1.82065E-4</c:v>
                </c:pt>
                <c:pt idx="23">
                  <c:v>1.80194E-4</c:v>
                </c:pt>
                <c:pt idx="24">
                  <c:v>1.8499200000000001E-4</c:v>
                </c:pt>
                <c:pt idx="25">
                  <c:v>1.8482000000000001E-4</c:v>
                </c:pt>
                <c:pt idx="26">
                  <c:v>1.83098E-4</c:v>
                </c:pt>
                <c:pt idx="27">
                  <c:v>1.83993E-4</c:v>
                </c:pt>
                <c:pt idx="28">
                  <c:v>1.8707000000000001E-4</c:v>
                </c:pt>
                <c:pt idx="29">
                  <c:v>2.13279E-5</c:v>
                </c:pt>
                <c:pt idx="30">
                  <c:v>2.1250599999999999E-5</c:v>
                </c:pt>
                <c:pt idx="31">
                  <c:v>2.11009E-5</c:v>
                </c:pt>
                <c:pt idx="32">
                  <c:v>2.0936300000000001E-5</c:v>
                </c:pt>
                <c:pt idx="33">
                  <c:v>2.0802399999999999E-5</c:v>
                </c:pt>
                <c:pt idx="34">
                  <c:v>2.07099E-5</c:v>
                </c:pt>
                <c:pt idx="35">
                  <c:v>2.0629099999999999E-5</c:v>
                </c:pt>
                <c:pt idx="36">
                  <c:v>2.0539499999999999E-5</c:v>
                </c:pt>
                <c:pt idx="37">
                  <c:v>2.0476199999999999E-5</c:v>
                </c:pt>
                <c:pt idx="38">
                  <c:v>2.0412400000000001E-5</c:v>
                </c:pt>
                <c:pt idx="39">
                  <c:v>1.7609400000000001E-4</c:v>
                </c:pt>
                <c:pt idx="40">
                  <c:v>1.8356399999999999E-4</c:v>
                </c:pt>
                <c:pt idx="41">
                  <c:v>1.80972E-4</c:v>
                </c:pt>
                <c:pt idx="42">
                  <c:v>1.7578900000000001E-4</c:v>
                </c:pt>
                <c:pt idx="43">
                  <c:v>1.77128E-4</c:v>
                </c:pt>
                <c:pt idx="44">
                  <c:v>1.78004E-4</c:v>
                </c:pt>
                <c:pt idx="45">
                  <c:v>1.7989300000000001E-4</c:v>
                </c:pt>
                <c:pt idx="46">
                  <c:v>1.8142700000000001E-4</c:v>
                </c:pt>
                <c:pt idx="47">
                  <c:v>1.82731E-4</c:v>
                </c:pt>
                <c:pt idx="48">
                  <c:v>1.82585E-4</c:v>
                </c:pt>
                <c:pt idx="49">
                  <c:v>1.8183199999999999E-4</c:v>
                </c:pt>
                <c:pt idx="50">
                  <c:v>1.81559E-4</c:v>
                </c:pt>
                <c:pt idx="51">
                  <c:v>1.7909800000000001E-4</c:v>
                </c:pt>
                <c:pt idx="52">
                  <c:v>1.79798E-4</c:v>
                </c:pt>
                <c:pt idx="53">
                  <c:v>1.79956E-4</c:v>
                </c:pt>
                <c:pt idx="54">
                  <c:v>1.7961799999999999E-4</c:v>
                </c:pt>
                <c:pt idx="55">
                  <c:v>1.8196600000000001E-4</c:v>
                </c:pt>
                <c:pt idx="56">
                  <c:v>1.84248E-4</c:v>
                </c:pt>
                <c:pt idx="57">
                  <c:v>1.85496E-4</c:v>
                </c:pt>
                <c:pt idx="58">
                  <c:v>1.8504200000000001E-4</c:v>
                </c:pt>
                <c:pt idx="59">
                  <c:v>1.8465300000000001E-4</c:v>
                </c:pt>
                <c:pt idx="60">
                  <c:v>1.83554E-4</c:v>
                </c:pt>
                <c:pt idx="61">
                  <c:v>1.8200599999999999E-4</c:v>
                </c:pt>
                <c:pt idx="62">
                  <c:v>1.83986E-4</c:v>
                </c:pt>
                <c:pt idx="63">
                  <c:v>1.8652999999999999E-4</c:v>
                </c:pt>
                <c:pt idx="64">
                  <c:v>1.8715100000000001E-4</c:v>
                </c:pt>
                <c:pt idx="65">
                  <c:v>1.9001099999999999E-4</c:v>
                </c:pt>
                <c:pt idx="66">
                  <c:v>1.9037899999999999E-4</c:v>
                </c:pt>
                <c:pt idx="67">
                  <c:v>1.8909299999999999E-4</c:v>
                </c:pt>
                <c:pt idx="68">
                  <c:v>2.0542399999999998E-5</c:v>
                </c:pt>
                <c:pt idx="69">
                  <c:v>2.0608300000000001E-5</c:v>
                </c:pt>
                <c:pt idx="70">
                  <c:v>2.0531799999999999E-5</c:v>
                </c:pt>
                <c:pt idx="71">
                  <c:v>2.0460100000000001E-5</c:v>
                </c:pt>
                <c:pt idx="72">
                  <c:v>2.04195E-5</c:v>
                </c:pt>
                <c:pt idx="73">
                  <c:v>2.0398799999999999E-5</c:v>
                </c:pt>
                <c:pt idx="74">
                  <c:v>2.03456E-5</c:v>
                </c:pt>
                <c:pt idx="75">
                  <c:v>2.02912E-5</c:v>
                </c:pt>
                <c:pt idx="76">
                  <c:v>2.0241199999999999E-5</c:v>
                </c:pt>
                <c:pt idx="77">
                  <c:v>2.0191600000000002E-5</c:v>
                </c:pt>
                <c:pt idx="78">
                  <c:v>1.72129E-4</c:v>
                </c:pt>
                <c:pt idx="79">
                  <c:v>1.79929E-4</c:v>
                </c:pt>
                <c:pt idx="80">
                  <c:v>1.76699E-4</c:v>
                </c:pt>
                <c:pt idx="81">
                  <c:v>1.7453E-4</c:v>
                </c:pt>
                <c:pt idx="82">
                  <c:v>1.7053899999999999E-4</c:v>
                </c:pt>
                <c:pt idx="83">
                  <c:v>1.7278500000000001E-4</c:v>
                </c:pt>
                <c:pt idx="84">
                  <c:v>1.7327E-4</c:v>
                </c:pt>
                <c:pt idx="85">
                  <c:v>1.74661E-4</c:v>
                </c:pt>
                <c:pt idx="86">
                  <c:v>1.7474299999999999E-4</c:v>
                </c:pt>
                <c:pt idx="87">
                  <c:v>1.75899E-4</c:v>
                </c:pt>
                <c:pt idx="88">
                  <c:v>1.7318600000000001E-4</c:v>
                </c:pt>
                <c:pt idx="89">
                  <c:v>1.7407499999999999E-4</c:v>
                </c:pt>
                <c:pt idx="90">
                  <c:v>1.73225E-4</c:v>
                </c:pt>
                <c:pt idx="91">
                  <c:v>1.7185200000000001E-4</c:v>
                </c:pt>
                <c:pt idx="92">
                  <c:v>1.7205399999999999E-4</c:v>
                </c:pt>
                <c:pt idx="93">
                  <c:v>1.7427100000000001E-4</c:v>
                </c:pt>
                <c:pt idx="94">
                  <c:v>1.7628899999999999E-4</c:v>
                </c:pt>
                <c:pt idx="95">
                  <c:v>1.7697200000000001E-4</c:v>
                </c:pt>
                <c:pt idx="96">
                  <c:v>1.77018E-4</c:v>
                </c:pt>
                <c:pt idx="97">
                  <c:v>1.7568099999999999E-4</c:v>
                </c:pt>
                <c:pt idx="98">
                  <c:v>1.73747E-4</c:v>
                </c:pt>
                <c:pt idx="99">
                  <c:v>1.75179E-4</c:v>
                </c:pt>
                <c:pt idx="100">
                  <c:v>1.7375800000000001E-4</c:v>
                </c:pt>
                <c:pt idx="101">
                  <c:v>1.7283899999999999E-4</c:v>
                </c:pt>
                <c:pt idx="102">
                  <c:v>1.74143E-4</c:v>
                </c:pt>
                <c:pt idx="103">
                  <c:v>1.7599799999999999E-4</c:v>
                </c:pt>
                <c:pt idx="104">
                  <c:v>1.7601199999999999E-4</c:v>
                </c:pt>
                <c:pt idx="105">
                  <c:v>1.7666099999999999E-4</c:v>
                </c:pt>
                <c:pt idx="106">
                  <c:v>1.73482E-4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9-6947-A3CB-765301FAC095}"/>
            </c:ext>
          </c:extLst>
        </c:ser>
        <c:ser>
          <c:idx val="1"/>
          <c:order val="1"/>
          <c:tx>
            <c:strRef>
              <c:f>'1480 P- 72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hpi'!$H$3:$H$116</c:f>
              <c:numCache>
                <c:formatCode>0.00E+00</c:formatCode>
                <c:ptCount val="114"/>
                <c:pt idx="0">
                  <c:v>1.54401E-4</c:v>
                </c:pt>
                <c:pt idx="1">
                  <c:v>1.5511100000000001E-4</c:v>
                </c:pt>
                <c:pt idx="2">
                  <c:v>1.54862E-4</c:v>
                </c:pt>
                <c:pt idx="3">
                  <c:v>1.55055E-4</c:v>
                </c:pt>
                <c:pt idx="4">
                  <c:v>1.55401E-4</c:v>
                </c:pt>
                <c:pt idx="5">
                  <c:v>1.5738500000000001E-4</c:v>
                </c:pt>
                <c:pt idx="6">
                  <c:v>1.57959E-4</c:v>
                </c:pt>
                <c:pt idx="7">
                  <c:v>1.5740400000000001E-4</c:v>
                </c:pt>
                <c:pt idx="8">
                  <c:v>1.57663E-4</c:v>
                </c:pt>
                <c:pt idx="9">
                  <c:v>1.59328E-4</c:v>
                </c:pt>
                <c:pt idx="10">
                  <c:v>1.57985E-4</c:v>
                </c:pt>
                <c:pt idx="11">
                  <c:v>1.5958500000000001E-4</c:v>
                </c:pt>
                <c:pt idx="12">
                  <c:v>1.6019499999999999E-4</c:v>
                </c:pt>
                <c:pt idx="13">
                  <c:v>1.5976599999999999E-4</c:v>
                </c:pt>
                <c:pt idx="14">
                  <c:v>1.6055600000000001E-4</c:v>
                </c:pt>
                <c:pt idx="15">
                  <c:v>1.6034600000000001E-4</c:v>
                </c:pt>
                <c:pt idx="16">
                  <c:v>1.6155400000000001E-4</c:v>
                </c:pt>
                <c:pt idx="17">
                  <c:v>1.6075900000000001E-4</c:v>
                </c:pt>
                <c:pt idx="18">
                  <c:v>1.62757E-4</c:v>
                </c:pt>
                <c:pt idx="19">
                  <c:v>1.6120199999999999E-4</c:v>
                </c:pt>
                <c:pt idx="20">
                  <c:v>1.58901E-4</c:v>
                </c:pt>
                <c:pt idx="21">
                  <c:v>1.5813700000000001E-4</c:v>
                </c:pt>
                <c:pt idx="22">
                  <c:v>1.5450500000000001E-4</c:v>
                </c:pt>
                <c:pt idx="23">
                  <c:v>1.6126899999999999E-4</c:v>
                </c:pt>
                <c:pt idx="24">
                  <c:v>1.6260800000000001E-4</c:v>
                </c:pt>
                <c:pt idx="25">
                  <c:v>1.6435500000000001E-4</c:v>
                </c:pt>
                <c:pt idx="26">
                  <c:v>1.6082999999999999E-4</c:v>
                </c:pt>
                <c:pt idx="27">
                  <c:v>1.54838E-4</c:v>
                </c:pt>
                <c:pt idx="28">
                  <c:v>1.6149900000000001E-4</c:v>
                </c:pt>
                <c:pt idx="29">
                  <c:v>1.9281699999999999E-5</c:v>
                </c:pt>
                <c:pt idx="30">
                  <c:v>1.92267E-5</c:v>
                </c:pt>
                <c:pt idx="31">
                  <c:v>1.9159699999999999E-5</c:v>
                </c:pt>
                <c:pt idx="32">
                  <c:v>1.90781E-5</c:v>
                </c:pt>
                <c:pt idx="33">
                  <c:v>1.8992400000000001E-5</c:v>
                </c:pt>
                <c:pt idx="34">
                  <c:v>1.8984600000000001E-5</c:v>
                </c:pt>
                <c:pt idx="35">
                  <c:v>1.89408E-5</c:v>
                </c:pt>
                <c:pt idx="36">
                  <c:v>1.8882500000000001E-5</c:v>
                </c:pt>
                <c:pt idx="37">
                  <c:v>1.8845999999999999E-5</c:v>
                </c:pt>
                <c:pt idx="38">
                  <c:v>1.8844200000000002E-5</c:v>
                </c:pt>
                <c:pt idx="39">
                  <c:v>1.5191099999999999E-4</c:v>
                </c:pt>
                <c:pt idx="40">
                  <c:v>1.5680300000000001E-4</c:v>
                </c:pt>
                <c:pt idx="41">
                  <c:v>1.5583599999999999E-4</c:v>
                </c:pt>
                <c:pt idx="42">
                  <c:v>1.5476699999999999E-4</c:v>
                </c:pt>
                <c:pt idx="43">
                  <c:v>1.53633E-4</c:v>
                </c:pt>
                <c:pt idx="44">
                  <c:v>1.5396600000000001E-4</c:v>
                </c:pt>
                <c:pt idx="45">
                  <c:v>1.54809E-4</c:v>
                </c:pt>
                <c:pt idx="46">
                  <c:v>1.54983E-4</c:v>
                </c:pt>
                <c:pt idx="47">
                  <c:v>1.5799600000000001E-4</c:v>
                </c:pt>
                <c:pt idx="48">
                  <c:v>1.58424E-4</c:v>
                </c:pt>
                <c:pt idx="49">
                  <c:v>1.5680699999999999E-4</c:v>
                </c:pt>
                <c:pt idx="50">
                  <c:v>1.54582E-4</c:v>
                </c:pt>
                <c:pt idx="51">
                  <c:v>1.5609099999999999E-4</c:v>
                </c:pt>
                <c:pt idx="52">
                  <c:v>1.57415E-4</c:v>
                </c:pt>
                <c:pt idx="53">
                  <c:v>1.594E-4</c:v>
                </c:pt>
                <c:pt idx="54">
                  <c:v>1.58973E-4</c:v>
                </c:pt>
                <c:pt idx="55">
                  <c:v>1.60006E-4</c:v>
                </c:pt>
                <c:pt idx="56">
                  <c:v>1.6134299999999999E-4</c:v>
                </c:pt>
                <c:pt idx="57">
                  <c:v>1.6235300000000001E-4</c:v>
                </c:pt>
                <c:pt idx="58">
                  <c:v>1.61094E-4</c:v>
                </c:pt>
                <c:pt idx="59">
                  <c:v>1.6194000000000001E-4</c:v>
                </c:pt>
                <c:pt idx="60">
                  <c:v>1.62325E-4</c:v>
                </c:pt>
                <c:pt idx="61">
                  <c:v>1.6299399999999999E-4</c:v>
                </c:pt>
                <c:pt idx="62">
                  <c:v>1.6491100000000001E-4</c:v>
                </c:pt>
                <c:pt idx="63">
                  <c:v>1.66319E-4</c:v>
                </c:pt>
                <c:pt idx="64">
                  <c:v>1.6706199999999999E-4</c:v>
                </c:pt>
                <c:pt idx="65">
                  <c:v>1.6788799999999999E-4</c:v>
                </c:pt>
                <c:pt idx="66">
                  <c:v>1.6782200000000001E-4</c:v>
                </c:pt>
                <c:pt idx="67">
                  <c:v>1.66572E-4</c:v>
                </c:pt>
                <c:pt idx="68">
                  <c:v>1.88604E-5</c:v>
                </c:pt>
                <c:pt idx="69">
                  <c:v>1.8865899999999998E-5</c:v>
                </c:pt>
                <c:pt idx="70">
                  <c:v>1.87942E-5</c:v>
                </c:pt>
                <c:pt idx="71">
                  <c:v>1.8686300000000001E-5</c:v>
                </c:pt>
                <c:pt idx="72">
                  <c:v>1.8592899999999999E-5</c:v>
                </c:pt>
                <c:pt idx="73">
                  <c:v>1.85265E-5</c:v>
                </c:pt>
                <c:pt idx="74">
                  <c:v>1.8461499999999999E-5</c:v>
                </c:pt>
                <c:pt idx="75">
                  <c:v>1.8416399999999999E-5</c:v>
                </c:pt>
                <c:pt idx="76">
                  <c:v>1.8387199999999999E-5</c:v>
                </c:pt>
                <c:pt idx="77">
                  <c:v>1.8365200000000002E-5</c:v>
                </c:pt>
                <c:pt idx="78">
                  <c:v>1.5762299999999999E-4</c:v>
                </c:pt>
                <c:pt idx="79">
                  <c:v>1.6259600000000001E-4</c:v>
                </c:pt>
                <c:pt idx="80">
                  <c:v>1.5952100000000001E-4</c:v>
                </c:pt>
                <c:pt idx="81">
                  <c:v>1.55181E-4</c:v>
                </c:pt>
                <c:pt idx="82">
                  <c:v>1.5550000000000001E-4</c:v>
                </c:pt>
                <c:pt idx="83">
                  <c:v>1.5618699999999999E-4</c:v>
                </c:pt>
                <c:pt idx="84">
                  <c:v>1.58319E-4</c:v>
                </c:pt>
                <c:pt idx="85">
                  <c:v>1.6113E-4</c:v>
                </c:pt>
                <c:pt idx="86">
                  <c:v>1.6050600000000001E-4</c:v>
                </c:pt>
                <c:pt idx="87">
                  <c:v>1.6178699999999999E-4</c:v>
                </c:pt>
                <c:pt idx="88">
                  <c:v>1.6019799999999999E-4</c:v>
                </c:pt>
                <c:pt idx="89">
                  <c:v>1.5843500000000001E-4</c:v>
                </c:pt>
                <c:pt idx="90">
                  <c:v>1.59512E-4</c:v>
                </c:pt>
                <c:pt idx="91">
                  <c:v>1.6178699999999999E-4</c:v>
                </c:pt>
                <c:pt idx="92">
                  <c:v>1.60684E-4</c:v>
                </c:pt>
                <c:pt idx="93">
                  <c:v>1.6003600000000001E-4</c:v>
                </c:pt>
                <c:pt idx="94">
                  <c:v>1.6399200000000001E-4</c:v>
                </c:pt>
                <c:pt idx="95">
                  <c:v>1.6572700000000001E-4</c:v>
                </c:pt>
                <c:pt idx="96">
                  <c:v>1.67591E-4</c:v>
                </c:pt>
                <c:pt idx="97">
                  <c:v>1.6815299999999999E-4</c:v>
                </c:pt>
                <c:pt idx="98">
                  <c:v>1.673E-4</c:v>
                </c:pt>
                <c:pt idx="99">
                  <c:v>1.6770899999999999E-4</c:v>
                </c:pt>
                <c:pt idx="100">
                  <c:v>1.65083E-4</c:v>
                </c:pt>
                <c:pt idx="101">
                  <c:v>1.6683E-4</c:v>
                </c:pt>
                <c:pt idx="102">
                  <c:v>1.6918099999999999E-4</c:v>
                </c:pt>
                <c:pt idx="103">
                  <c:v>1.69653E-4</c:v>
                </c:pt>
                <c:pt idx="104">
                  <c:v>1.7136199999999999E-4</c:v>
                </c:pt>
                <c:pt idx="105">
                  <c:v>1.72592E-4</c:v>
                </c:pt>
                <c:pt idx="106">
                  <c:v>1.7148700000000001E-4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29-6947-A3CB-765301FAC095}"/>
            </c:ext>
          </c:extLst>
        </c:ser>
        <c:ser>
          <c:idx val="2"/>
          <c:order val="2"/>
          <c:tx>
            <c:strRef>
              <c:f>'1480 P- 72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hpi'!$M$3:$M$116</c:f>
              <c:numCache>
                <c:formatCode>0.00E+00</c:formatCode>
                <c:ptCount val="114"/>
                <c:pt idx="0">
                  <c:v>1.61991E-4</c:v>
                </c:pt>
                <c:pt idx="1">
                  <c:v>1.6590299999999999E-4</c:v>
                </c:pt>
                <c:pt idx="2">
                  <c:v>1.64475E-4</c:v>
                </c:pt>
                <c:pt idx="3">
                  <c:v>1.67078E-4</c:v>
                </c:pt>
                <c:pt idx="4">
                  <c:v>1.6717300000000001E-4</c:v>
                </c:pt>
                <c:pt idx="5">
                  <c:v>1.6903299999999999E-4</c:v>
                </c:pt>
                <c:pt idx="6">
                  <c:v>1.6758699999999999E-4</c:v>
                </c:pt>
                <c:pt idx="7">
                  <c:v>1.6930299999999999E-4</c:v>
                </c:pt>
                <c:pt idx="8">
                  <c:v>1.69612E-4</c:v>
                </c:pt>
                <c:pt idx="9">
                  <c:v>1.7031300000000001E-4</c:v>
                </c:pt>
                <c:pt idx="10">
                  <c:v>1.72203E-4</c:v>
                </c:pt>
                <c:pt idx="11">
                  <c:v>1.70335E-4</c:v>
                </c:pt>
                <c:pt idx="12">
                  <c:v>1.7001599999999999E-4</c:v>
                </c:pt>
                <c:pt idx="13">
                  <c:v>1.7281800000000001E-4</c:v>
                </c:pt>
                <c:pt idx="14">
                  <c:v>1.7405099999999999E-4</c:v>
                </c:pt>
                <c:pt idx="15">
                  <c:v>1.7631299999999999E-4</c:v>
                </c:pt>
                <c:pt idx="16">
                  <c:v>1.75215E-4</c:v>
                </c:pt>
                <c:pt idx="17">
                  <c:v>1.7700800000000001E-4</c:v>
                </c:pt>
                <c:pt idx="18">
                  <c:v>1.7890700000000001E-4</c:v>
                </c:pt>
                <c:pt idx="19">
                  <c:v>1.7701300000000001E-4</c:v>
                </c:pt>
                <c:pt idx="20">
                  <c:v>1.7619700000000001E-4</c:v>
                </c:pt>
                <c:pt idx="21">
                  <c:v>1.7557799999999999E-4</c:v>
                </c:pt>
                <c:pt idx="22">
                  <c:v>1.7781700000000001E-4</c:v>
                </c:pt>
                <c:pt idx="23">
                  <c:v>1.7629399999999999E-4</c:v>
                </c:pt>
                <c:pt idx="24">
                  <c:v>1.74086E-4</c:v>
                </c:pt>
                <c:pt idx="25">
                  <c:v>1.7581699999999999E-4</c:v>
                </c:pt>
                <c:pt idx="26">
                  <c:v>1.7673600000000001E-4</c:v>
                </c:pt>
                <c:pt idx="27">
                  <c:v>1.77238E-4</c:v>
                </c:pt>
                <c:pt idx="28">
                  <c:v>1.7840799999999999E-4</c:v>
                </c:pt>
                <c:pt idx="29">
                  <c:v>2.0527399999999999E-5</c:v>
                </c:pt>
                <c:pt idx="30">
                  <c:v>2.0385900000000001E-5</c:v>
                </c:pt>
                <c:pt idx="31">
                  <c:v>2.0231999999999999E-5</c:v>
                </c:pt>
                <c:pt idx="32">
                  <c:v>2.0167299999999999E-5</c:v>
                </c:pt>
                <c:pt idx="33">
                  <c:v>2.0126400000000001E-5</c:v>
                </c:pt>
                <c:pt idx="34">
                  <c:v>2.00548E-5</c:v>
                </c:pt>
                <c:pt idx="35">
                  <c:v>1.9988199999999999E-5</c:v>
                </c:pt>
                <c:pt idx="36">
                  <c:v>1.99034E-5</c:v>
                </c:pt>
                <c:pt idx="37">
                  <c:v>1.97969E-5</c:v>
                </c:pt>
                <c:pt idx="38">
                  <c:v>1.9723200000000001E-5</c:v>
                </c:pt>
                <c:pt idx="39">
                  <c:v>1.79564E-4</c:v>
                </c:pt>
                <c:pt idx="40">
                  <c:v>1.85272E-4</c:v>
                </c:pt>
                <c:pt idx="41">
                  <c:v>1.83986E-4</c:v>
                </c:pt>
                <c:pt idx="42">
                  <c:v>1.8370499999999999E-4</c:v>
                </c:pt>
                <c:pt idx="43">
                  <c:v>1.84721E-4</c:v>
                </c:pt>
                <c:pt idx="44">
                  <c:v>1.8593099999999999E-4</c:v>
                </c:pt>
                <c:pt idx="45">
                  <c:v>1.8743699999999999E-4</c:v>
                </c:pt>
                <c:pt idx="46">
                  <c:v>1.8451200000000001E-4</c:v>
                </c:pt>
                <c:pt idx="47">
                  <c:v>1.9098100000000001E-4</c:v>
                </c:pt>
                <c:pt idx="48">
                  <c:v>1.9257599999999999E-4</c:v>
                </c:pt>
                <c:pt idx="49">
                  <c:v>1.89851E-4</c:v>
                </c:pt>
                <c:pt idx="50">
                  <c:v>1.9136199999999999E-4</c:v>
                </c:pt>
                <c:pt idx="51">
                  <c:v>1.90316E-4</c:v>
                </c:pt>
                <c:pt idx="52">
                  <c:v>1.8993600000000001E-4</c:v>
                </c:pt>
                <c:pt idx="53">
                  <c:v>1.9204500000000001E-4</c:v>
                </c:pt>
                <c:pt idx="54">
                  <c:v>1.91633E-4</c:v>
                </c:pt>
                <c:pt idx="55">
                  <c:v>1.94952E-4</c:v>
                </c:pt>
                <c:pt idx="56">
                  <c:v>1.9576500000000001E-4</c:v>
                </c:pt>
                <c:pt idx="57">
                  <c:v>1.96329E-4</c:v>
                </c:pt>
                <c:pt idx="58">
                  <c:v>1.96138E-4</c:v>
                </c:pt>
                <c:pt idx="59">
                  <c:v>1.9234699999999999E-4</c:v>
                </c:pt>
                <c:pt idx="60">
                  <c:v>1.96033E-4</c:v>
                </c:pt>
                <c:pt idx="61">
                  <c:v>1.9425000000000001E-4</c:v>
                </c:pt>
                <c:pt idx="62">
                  <c:v>1.97123E-4</c:v>
                </c:pt>
                <c:pt idx="63">
                  <c:v>1.9875900000000001E-4</c:v>
                </c:pt>
                <c:pt idx="64">
                  <c:v>1.9918099999999999E-4</c:v>
                </c:pt>
                <c:pt idx="65">
                  <c:v>2.0075900000000001E-4</c:v>
                </c:pt>
                <c:pt idx="66">
                  <c:v>2.0158099999999999E-4</c:v>
                </c:pt>
                <c:pt idx="67">
                  <c:v>2.0287199999999999E-4</c:v>
                </c:pt>
                <c:pt idx="68">
                  <c:v>1.9837500000000001E-5</c:v>
                </c:pt>
                <c:pt idx="69">
                  <c:v>1.9891600000000001E-5</c:v>
                </c:pt>
                <c:pt idx="70">
                  <c:v>1.9805300000000002E-5</c:v>
                </c:pt>
                <c:pt idx="71">
                  <c:v>1.9741999999999998E-5</c:v>
                </c:pt>
                <c:pt idx="72">
                  <c:v>1.9686599999999999E-5</c:v>
                </c:pt>
                <c:pt idx="73">
                  <c:v>1.963E-5</c:v>
                </c:pt>
                <c:pt idx="74">
                  <c:v>1.95867E-5</c:v>
                </c:pt>
                <c:pt idx="75">
                  <c:v>1.9542500000000001E-5</c:v>
                </c:pt>
                <c:pt idx="76">
                  <c:v>1.9488300000000001E-5</c:v>
                </c:pt>
                <c:pt idx="77">
                  <c:v>1.94463E-5</c:v>
                </c:pt>
                <c:pt idx="78">
                  <c:v>1.77424E-4</c:v>
                </c:pt>
                <c:pt idx="79">
                  <c:v>1.7377199999999999E-4</c:v>
                </c:pt>
                <c:pt idx="80">
                  <c:v>1.7303899999999999E-4</c:v>
                </c:pt>
                <c:pt idx="81">
                  <c:v>1.72936E-4</c:v>
                </c:pt>
                <c:pt idx="82">
                  <c:v>1.7285600000000001E-4</c:v>
                </c:pt>
                <c:pt idx="83">
                  <c:v>1.7571899999999999E-4</c:v>
                </c:pt>
                <c:pt idx="84">
                  <c:v>1.7446900000000001E-4</c:v>
                </c:pt>
                <c:pt idx="85">
                  <c:v>1.7191900000000001E-4</c:v>
                </c:pt>
                <c:pt idx="86">
                  <c:v>1.7169599999999999E-4</c:v>
                </c:pt>
                <c:pt idx="87">
                  <c:v>1.6986099999999999E-4</c:v>
                </c:pt>
                <c:pt idx="88">
                  <c:v>1.72516E-4</c:v>
                </c:pt>
                <c:pt idx="89">
                  <c:v>1.7139600000000001E-4</c:v>
                </c:pt>
                <c:pt idx="90">
                  <c:v>1.7025100000000001E-4</c:v>
                </c:pt>
                <c:pt idx="91">
                  <c:v>1.73442E-4</c:v>
                </c:pt>
                <c:pt idx="92">
                  <c:v>1.7382399999999999E-4</c:v>
                </c:pt>
                <c:pt idx="93">
                  <c:v>1.7344499999999999E-4</c:v>
                </c:pt>
                <c:pt idx="94">
                  <c:v>1.7502500000000001E-4</c:v>
                </c:pt>
                <c:pt idx="95">
                  <c:v>1.7826499999999999E-4</c:v>
                </c:pt>
                <c:pt idx="96">
                  <c:v>1.7510200000000001E-4</c:v>
                </c:pt>
                <c:pt idx="97">
                  <c:v>1.6805300000000001E-4</c:v>
                </c:pt>
                <c:pt idx="98">
                  <c:v>1.7471500000000001E-4</c:v>
                </c:pt>
                <c:pt idx="99">
                  <c:v>1.7437099999999999E-4</c:v>
                </c:pt>
                <c:pt idx="100">
                  <c:v>1.75921E-4</c:v>
                </c:pt>
                <c:pt idx="101">
                  <c:v>1.77579E-4</c:v>
                </c:pt>
                <c:pt idx="102">
                  <c:v>1.7410700000000001E-4</c:v>
                </c:pt>
                <c:pt idx="103">
                  <c:v>1.7310900000000001E-4</c:v>
                </c:pt>
                <c:pt idx="104">
                  <c:v>1.76198E-4</c:v>
                </c:pt>
                <c:pt idx="105">
                  <c:v>1.7586199999999999E-4</c:v>
                </c:pt>
                <c:pt idx="106">
                  <c:v>1.7501999999999999E-4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29-6947-A3CB-765301FAC095}"/>
            </c:ext>
          </c:extLst>
        </c:ser>
        <c:ser>
          <c:idx val="3"/>
          <c:order val="3"/>
          <c:tx>
            <c:strRef>
              <c:f>'NAD003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'NAD003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29-6947-A3CB-765301FAC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P- 72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100.74343541591425</c:v>
                </c:pt>
                <c:pt idx="2">
                  <c:v>101.47670833602676</c:v>
                </c:pt>
                <c:pt idx="3">
                  <c:v>102.15680105926616</c:v>
                </c:pt>
                <c:pt idx="4">
                  <c:v>102.59542631367303</c:v>
                </c:pt>
                <c:pt idx="5">
                  <c:v>103.17876964797686</c:v>
                </c:pt>
                <c:pt idx="6">
                  <c:v>103.65108166508769</c:v>
                </c:pt>
                <c:pt idx="7">
                  <c:v>104.34135308515495</c:v>
                </c:pt>
                <c:pt idx="8">
                  <c:v>104.79970037078469</c:v>
                </c:pt>
                <c:pt idx="9">
                  <c:v>105.32144002529496</c:v>
                </c:pt>
                <c:pt idx="10">
                  <c:v>105.68703767202111</c:v>
                </c:pt>
                <c:pt idx="11">
                  <c:v>106.26300949259299</c:v>
                </c:pt>
                <c:pt idx="12">
                  <c:v>106.61861671122695</c:v>
                </c:pt>
                <c:pt idx="13">
                  <c:v>107.01825541158996</c:v>
                </c:pt>
                <c:pt idx="14">
                  <c:v>107.57619406102047</c:v>
                </c:pt>
                <c:pt idx="15">
                  <c:v>107.96201844802367</c:v>
                </c:pt>
                <c:pt idx="16">
                  <c:v>108.44786036864836</c:v>
                </c:pt>
                <c:pt idx="17">
                  <c:v>108.79583119216244</c:v>
                </c:pt>
                <c:pt idx="18">
                  <c:v>109.17505998446534</c:v>
                </c:pt>
                <c:pt idx="19">
                  <c:v>109.64353299784928</c:v>
                </c:pt>
                <c:pt idx="20">
                  <c:v>109.99025779486762</c:v>
                </c:pt>
                <c:pt idx="21">
                  <c:v>110.34684071639784</c:v>
                </c:pt>
                <c:pt idx="22">
                  <c:v>110.82653661073805</c:v>
                </c:pt>
                <c:pt idx="23">
                  <c:v>111.18281674826973</c:v>
                </c:pt>
                <c:pt idx="24">
                  <c:v>111.56924604661326</c:v>
                </c:pt>
                <c:pt idx="25">
                  <c:v>111.99919286390794</c:v>
                </c:pt>
                <c:pt idx="26">
                  <c:v>112.36787811983986</c:v>
                </c:pt>
                <c:pt idx="27">
                  <c:v>112.70389371274416</c:v>
                </c:pt>
                <c:pt idx="28">
                  <c:v>113.11080623163622</c:v>
                </c:pt>
                <c:pt idx="29">
                  <c:v>8.1196302557120528E-2</c:v>
                </c:pt>
                <c:pt idx="30">
                  <c:v>7.6994099172613614E-2</c:v>
                </c:pt>
                <c:pt idx="31">
                  <c:v>7.5792804375992381E-2</c:v>
                </c:pt>
                <c:pt idx="32">
                  <c:v>7.5530208547117172E-2</c:v>
                </c:pt>
                <c:pt idx="33">
                  <c:v>7.5178533261733127E-2</c:v>
                </c:pt>
                <c:pt idx="34">
                  <c:v>7.457912307983415E-2</c:v>
                </c:pt>
                <c:pt idx="35">
                  <c:v>7.3927311316551281E-2</c:v>
                </c:pt>
                <c:pt idx="36">
                  <c:v>7.3087927042132003E-2</c:v>
                </c:pt>
                <c:pt idx="37">
                  <c:v>7.0367550630867637E-2</c:v>
                </c:pt>
                <c:pt idx="38">
                  <c:v>6.8427777964393574E-2</c:v>
                </c:pt>
                <c:pt idx="39">
                  <c:v>83.420887320294227</c:v>
                </c:pt>
                <c:pt idx="40">
                  <c:v>86.395473351227238</c:v>
                </c:pt>
                <c:pt idx="41">
                  <c:v>88.336627670146058</c:v>
                </c:pt>
                <c:pt idx="42">
                  <c:v>89.933269627600609</c:v>
                </c:pt>
                <c:pt idx="43">
                  <c:v>91.458054892358902</c:v>
                </c:pt>
                <c:pt idx="44">
                  <c:v>92.75909207209709</c:v>
                </c:pt>
                <c:pt idx="45">
                  <c:v>93.696393072833914</c:v>
                </c:pt>
                <c:pt idx="46">
                  <c:v>94.479590065869573</c:v>
                </c:pt>
                <c:pt idx="47">
                  <c:v>95.22400390101042</c:v>
                </c:pt>
                <c:pt idx="48">
                  <c:v>95.665600503479013</c:v>
                </c:pt>
                <c:pt idx="49">
                  <c:v>96.032817933267054</c:v>
                </c:pt>
                <c:pt idx="50">
                  <c:v>96.756720777197174</c:v>
                </c:pt>
                <c:pt idx="51">
                  <c:v>97.263569195471163</c:v>
                </c:pt>
                <c:pt idx="52">
                  <c:v>98.040588869198373</c:v>
                </c:pt>
                <c:pt idx="53">
                  <c:v>98.646053888720289</c:v>
                </c:pt>
                <c:pt idx="54">
                  <c:v>99.041071191325798</c:v>
                </c:pt>
                <c:pt idx="55">
                  <c:v>99.431017595230671</c:v>
                </c:pt>
                <c:pt idx="56">
                  <c:v>99.905275140478054</c:v>
                </c:pt>
                <c:pt idx="57">
                  <c:v>100.0890480250644</c:v>
                </c:pt>
                <c:pt idx="58">
                  <c:v>100.3482107804211</c:v>
                </c:pt>
                <c:pt idx="59">
                  <c:v>100.76555726947559</c:v>
                </c:pt>
                <c:pt idx="60">
                  <c:v>101.16087464470168</c:v>
                </c:pt>
                <c:pt idx="61">
                  <c:v>101.52170178530361</c:v>
                </c:pt>
                <c:pt idx="62">
                  <c:v>101.95288216700781</c:v>
                </c:pt>
                <c:pt idx="63">
                  <c:v>102.40067050163448</c:v>
                </c:pt>
                <c:pt idx="64">
                  <c:v>102.76923176083261</c:v>
                </c:pt>
                <c:pt idx="65">
                  <c:v>102.95499161858238</c:v>
                </c:pt>
                <c:pt idx="66">
                  <c:v>103.11243151048818</c:v>
                </c:pt>
                <c:pt idx="67">
                  <c:v>103.49312367231839</c:v>
                </c:pt>
                <c:pt idx="68">
                  <c:v>5.6904415546554531E-2</c:v>
                </c:pt>
                <c:pt idx="69">
                  <c:v>5.8126013644858116E-2</c:v>
                </c:pt>
                <c:pt idx="70">
                  <c:v>5.6577072230171777E-2</c:v>
                </c:pt>
                <c:pt idx="71">
                  <c:v>5.402477836965866E-2</c:v>
                </c:pt>
                <c:pt idx="72">
                  <c:v>5.1670324470867258E-2</c:v>
                </c:pt>
                <c:pt idx="73">
                  <c:v>5.0456108121385033E-2</c:v>
                </c:pt>
                <c:pt idx="74">
                  <c:v>4.8623597325988366E-2</c:v>
                </c:pt>
                <c:pt idx="75">
                  <c:v>4.6789785311648541E-2</c:v>
                </c:pt>
                <c:pt idx="76">
                  <c:v>4.5102454575078027E-2</c:v>
                </c:pt>
                <c:pt idx="77">
                  <c:v>4.3816003171501756E-2</c:v>
                </c:pt>
                <c:pt idx="78">
                  <c:v>83.905216018698638</c:v>
                </c:pt>
                <c:pt idx="79">
                  <c:v>86.60147714145586</c:v>
                </c:pt>
                <c:pt idx="80">
                  <c:v>88.537869508942094</c:v>
                </c:pt>
                <c:pt idx="81">
                  <c:v>90.199157300366139</c:v>
                </c:pt>
                <c:pt idx="82">
                  <c:v>91.685684775999562</c:v>
                </c:pt>
                <c:pt idx="83">
                  <c:v>92.847573676181995</c:v>
                </c:pt>
                <c:pt idx="84">
                  <c:v>93.729925739513064</c:v>
                </c:pt>
                <c:pt idx="85">
                  <c:v>94.476849047144597</c:v>
                </c:pt>
                <c:pt idx="86">
                  <c:v>95.062869806086198</c:v>
                </c:pt>
                <c:pt idx="87">
                  <c:v>95.543033356519388</c:v>
                </c:pt>
                <c:pt idx="88">
                  <c:v>95.994356111116019</c:v>
                </c:pt>
                <c:pt idx="89">
                  <c:v>96.376611156801786</c:v>
                </c:pt>
                <c:pt idx="90">
                  <c:v>97.022581708604676</c:v>
                </c:pt>
                <c:pt idx="91">
                  <c:v>97.498388660113122</c:v>
                </c:pt>
                <c:pt idx="92">
                  <c:v>98.085477409461646</c:v>
                </c:pt>
                <c:pt idx="93">
                  <c:v>98.491624681845806</c:v>
                </c:pt>
                <c:pt idx="94">
                  <c:v>98.848703971210952</c:v>
                </c:pt>
                <c:pt idx="95">
                  <c:v>99.090148423969524</c:v>
                </c:pt>
                <c:pt idx="96">
                  <c:v>99.222099274361099</c:v>
                </c:pt>
                <c:pt idx="97">
                  <c:v>99.56258685180569</c:v>
                </c:pt>
                <c:pt idx="98">
                  <c:v>99.87714556057955</c:v>
                </c:pt>
                <c:pt idx="99">
                  <c:v>100.18421725688567</c:v>
                </c:pt>
                <c:pt idx="100">
                  <c:v>100.67072648070837</c:v>
                </c:pt>
                <c:pt idx="101">
                  <c:v>100.97361374691268</c:v>
                </c:pt>
                <c:pt idx="102">
                  <c:v>101.29458932776019</c:v>
                </c:pt>
                <c:pt idx="103">
                  <c:v>101.41910364853352</c:v>
                </c:pt>
                <c:pt idx="104">
                  <c:v>101.70077947616512</c:v>
                </c:pt>
                <c:pt idx="105">
                  <c:v>101.88396739465372</c:v>
                </c:pt>
                <c:pt idx="106">
                  <c:v>101.93493358804854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E6-554D-8F72-8B6B5090F05B}"/>
            </c:ext>
          </c:extLst>
        </c:ser>
        <c:ser>
          <c:idx val="1"/>
          <c:order val="1"/>
          <c:tx>
            <c:strRef>
              <c:f>'1480 P- 72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P- 72 hpi'!$A$3:$A$124</c:f>
              <c:numCache>
                <c:formatCode>General</c:formatCode>
                <c:ptCount val="122"/>
                <c:pt idx="0">
                  <c:v>6.0990200000000003</c:v>
                </c:pt>
                <c:pt idx="1">
                  <c:v>12.444100000000001</c:v>
                </c:pt>
                <c:pt idx="2">
                  <c:v>18.657</c:v>
                </c:pt>
                <c:pt idx="3">
                  <c:v>24.842700000000001</c:v>
                </c:pt>
                <c:pt idx="4">
                  <c:v>31.046900000000001</c:v>
                </c:pt>
                <c:pt idx="5">
                  <c:v>37.143900000000002</c:v>
                </c:pt>
                <c:pt idx="6">
                  <c:v>43.364899999999999</c:v>
                </c:pt>
                <c:pt idx="7">
                  <c:v>49.609099999999998</c:v>
                </c:pt>
                <c:pt idx="8">
                  <c:v>55.872999999999998</c:v>
                </c:pt>
                <c:pt idx="9">
                  <c:v>62.003399999999999</c:v>
                </c:pt>
                <c:pt idx="10">
                  <c:v>68.266199999999998</c:v>
                </c:pt>
                <c:pt idx="11">
                  <c:v>74.369799999999998</c:v>
                </c:pt>
                <c:pt idx="12">
                  <c:v>80.683999999999997</c:v>
                </c:pt>
                <c:pt idx="13">
                  <c:v>86.883899999999997</c:v>
                </c:pt>
                <c:pt idx="14">
                  <c:v>93.152100000000004</c:v>
                </c:pt>
                <c:pt idx="15">
                  <c:v>99.296199999999999</c:v>
                </c:pt>
                <c:pt idx="16">
                  <c:v>105.44</c:v>
                </c:pt>
                <c:pt idx="17">
                  <c:v>111.748</c:v>
                </c:pt>
                <c:pt idx="18">
                  <c:v>117.976</c:v>
                </c:pt>
                <c:pt idx="19">
                  <c:v>124.21299999999999</c:v>
                </c:pt>
                <c:pt idx="20">
                  <c:v>130.339</c:v>
                </c:pt>
                <c:pt idx="21">
                  <c:v>136.51400000000001</c:v>
                </c:pt>
                <c:pt idx="22">
                  <c:v>142.72999999999999</c:v>
                </c:pt>
                <c:pt idx="23">
                  <c:v>149.00700000000001</c:v>
                </c:pt>
                <c:pt idx="24">
                  <c:v>155.268</c:v>
                </c:pt>
                <c:pt idx="25">
                  <c:v>161.42699999999999</c:v>
                </c:pt>
                <c:pt idx="26">
                  <c:v>167.62</c:v>
                </c:pt>
                <c:pt idx="27">
                  <c:v>173.833</c:v>
                </c:pt>
                <c:pt idx="28">
                  <c:v>179.90100000000001</c:v>
                </c:pt>
                <c:pt idx="29">
                  <c:v>193.15199999999999</c:v>
                </c:pt>
                <c:pt idx="30">
                  <c:v>199.35499999999999</c:v>
                </c:pt>
                <c:pt idx="31">
                  <c:v>205.6</c:v>
                </c:pt>
                <c:pt idx="32">
                  <c:v>211.679</c:v>
                </c:pt>
                <c:pt idx="33">
                  <c:v>217.96899999999999</c:v>
                </c:pt>
                <c:pt idx="34">
                  <c:v>224.15899999999999</c:v>
                </c:pt>
                <c:pt idx="35">
                  <c:v>230.37799999999999</c:v>
                </c:pt>
                <c:pt idx="36">
                  <c:v>236.678</c:v>
                </c:pt>
                <c:pt idx="37">
                  <c:v>242.821</c:v>
                </c:pt>
                <c:pt idx="38">
                  <c:v>249.15799999999999</c:v>
                </c:pt>
                <c:pt idx="39">
                  <c:v>262.31900000000002</c:v>
                </c:pt>
                <c:pt idx="40">
                  <c:v>268.40899999999999</c:v>
                </c:pt>
                <c:pt idx="41">
                  <c:v>274.76100000000002</c:v>
                </c:pt>
                <c:pt idx="42">
                  <c:v>280.85500000000002</c:v>
                </c:pt>
                <c:pt idx="43">
                  <c:v>287.06200000000001</c:v>
                </c:pt>
                <c:pt idx="44">
                  <c:v>293.27199999999999</c:v>
                </c:pt>
                <c:pt idx="45">
                  <c:v>299.61900000000003</c:v>
                </c:pt>
                <c:pt idx="46">
                  <c:v>305.72500000000002</c:v>
                </c:pt>
                <c:pt idx="47">
                  <c:v>312.08699999999999</c:v>
                </c:pt>
                <c:pt idx="48">
                  <c:v>318.18900000000002</c:v>
                </c:pt>
                <c:pt idx="49">
                  <c:v>324.435</c:v>
                </c:pt>
                <c:pt idx="50">
                  <c:v>330.709</c:v>
                </c:pt>
                <c:pt idx="51">
                  <c:v>336.78800000000001</c:v>
                </c:pt>
                <c:pt idx="52">
                  <c:v>343.13499999999999</c:v>
                </c:pt>
                <c:pt idx="53">
                  <c:v>349.267</c:v>
                </c:pt>
                <c:pt idx="54">
                  <c:v>355.55900000000003</c:v>
                </c:pt>
                <c:pt idx="55">
                  <c:v>361.702</c:v>
                </c:pt>
                <c:pt idx="56">
                  <c:v>367.85</c:v>
                </c:pt>
                <c:pt idx="57">
                  <c:v>374.05900000000003</c:v>
                </c:pt>
                <c:pt idx="58">
                  <c:v>380.30599999999998</c:v>
                </c:pt>
                <c:pt idx="59">
                  <c:v>386.613</c:v>
                </c:pt>
                <c:pt idx="60">
                  <c:v>392.71100000000001</c:v>
                </c:pt>
                <c:pt idx="61">
                  <c:v>399.05700000000002</c:v>
                </c:pt>
                <c:pt idx="62">
                  <c:v>405.13299999999998</c:v>
                </c:pt>
                <c:pt idx="63">
                  <c:v>411.40199999999999</c:v>
                </c:pt>
                <c:pt idx="64">
                  <c:v>417.62299999999999</c:v>
                </c:pt>
                <c:pt idx="65">
                  <c:v>423.78100000000001</c:v>
                </c:pt>
                <c:pt idx="66">
                  <c:v>429.93200000000002</c:v>
                </c:pt>
                <c:pt idx="67">
                  <c:v>436.23500000000001</c:v>
                </c:pt>
                <c:pt idx="68">
                  <c:v>449.41500000000002</c:v>
                </c:pt>
                <c:pt idx="69">
                  <c:v>455.67</c:v>
                </c:pt>
                <c:pt idx="70">
                  <c:v>461.959</c:v>
                </c:pt>
                <c:pt idx="71">
                  <c:v>468.24799999999999</c:v>
                </c:pt>
                <c:pt idx="72">
                  <c:v>474.43900000000002</c:v>
                </c:pt>
                <c:pt idx="73">
                  <c:v>480.51799999999997</c:v>
                </c:pt>
                <c:pt idx="74">
                  <c:v>486.79199999999997</c:v>
                </c:pt>
                <c:pt idx="75">
                  <c:v>493.08600000000001</c:v>
                </c:pt>
                <c:pt idx="76">
                  <c:v>499.2</c:v>
                </c:pt>
                <c:pt idx="77">
                  <c:v>505.45100000000002</c:v>
                </c:pt>
                <c:pt idx="78">
                  <c:v>518.71</c:v>
                </c:pt>
                <c:pt idx="79">
                  <c:v>524.85799999999995</c:v>
                </c:pt>
                <c:pt idx="80">
                  <c:v>531.15700000000004</c:v>
                </c:pt>
                <c:pt idx="81">
                  <c:v>537.36500000000001</c:v>
                </c:pt>
                <c:pt idx="82">
                  <c:v>543.48299999999995</c:v>
                </c:pt>
                <c:pt idx="83">
                  <c:v>549.77599999999995</c:v>
                </c:pt>
                <c:pt idx="84">
                  <c:v>555.86800000000005</c:v>
                </c:pt>
                <c:pt idx="85">
                  <c:v>562.19299999999998</c:v>
                </c:pt>
                <c:pt idx="86">
                  <c:v>568.33199999999999</c:v>
                </c:pt>
                <c:pt idx="87">
                  <c:v>574.577</c:v>
                </c:pt>
                <c:pt idx="88">
                  <c:v>580.88099999999997</c:v>
                </c:pt>
                <c:pt idx="89">
                  <c:v>586.971</c:v>
                </c:pt>
                <c:pt idx="90">
                  <c:v>593.14599999999996</c:v>
                </c:pt>
                <c:pt idx="91">
                  <c:v>599.44500000000005</c:v>
                </c:pt>
                <c:pt idx="92">
                  <c:v>605.70299999999997</c:v>
                </c:pt>
                <c:pt idx="93">
                  <c:v>611.80399999999997</c:v>
                </c:pt>
                <c:pt idx="94">
                  <c:v>618.12300000000005</c:v>
                </c:pt>
                <c:pt idx="95">
                  <c:v>624.23299999999995</c:v>
                </c:pt>
                <c:pt idx="96">
                  <c:v>630.39700000000005</c:v>
                </c:pt>
                <c:pt idx="97">
                  <c:v>636.76</c:v>
                </c:pt>
                <c:pt idx="98">
                  <c:v>642.91800000000001</c:v>
                </c:pt>
                <c:pt idx="99">
                  <c:v>649.14400000000001</c:v>
                </c:pt>
                <c:pt idx="100">
                  <c:v>655.38400000000001</c:v>
                </c:pt>
                <c:pt idx="101">
                  <c:v>661.52099999999996</c:v>
                </c:pt>
                <c:pt idx="102">
                  <c:v>667.82100000000003</c:v>
                </c:pt>
                <c:pt idx="103">
                  <c:v>673.91700000000003</c:v>
                </c:pt>
                <c:pt idx="104">
                  <c:v>680.09400000000005</c:v>
                </c:pt>
                <c:pt idx="105">
                  <c:v>686.39300000000003</c:v>
                </c:pt>
                <c:pt idx="106">
                  <c:v>692.51599999999996</c:v>
                </c:pt>
              </c:numCache>
            </c:numRef>
          </c:xVal>
          <c:yVal>
            <c:numRef>
              <c:f>'1480 P- 72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101.31923486105785</c:v>
                </c:pt>
                <c:pt idx="2">
                  <c:v>100.77762034798032</c:v>
                </c:pt>
                <c:pt idx="3">
                  <c:v>101.15706023109038</c:v>
                </c:pt>
                <c:pt idx="4">
                  <c:v>101.2666582296477</c:v>
                </c:pt>
                <c:pt idx="5">
                  <c:v>102.37459288565339</c:v>
                </c:pt>
                <c:pt idx="6">
                  <c:v>102.32685423620876</c:v>
                </c:pt>
                <c:pt idx="7">
                  <c:v>102.41947679645598</c:v>
                </c:pt>
                <c:pt idx="8">
                  <c:v>102.63339233129459</c:v>
                </c:pt>
                <c:pt idx="9">
                  <c:v>103.22575228623879</c:v>
                </c:pt>
                <c:pt idx="10">
                  <c:v>103.36003543603813</c:v>
                </c:pt>
                <c:pt idx="11">
                  <c:v>103.40647010802957</c:v>
                </c:pt>
                <c:pt idx="12">
                  <c:v>103.34509609495062</c:v>
                </c:pt>
                <c:pt idx="13">
                  <c:v>103.90101933978417</c:v>
                </c:pt>
                <c:pt idx="14">
                  <c:v>104.45770244091848</c:v>
                </c:pt>
                <c:pt idx="15">
                  <c:v>104.63122732118275</c:v>
                </c:pt>
                <c:pt idx="16">
                  <c:v>104.76184170127461</c:v>
                </c:pt>
                <c:pt idx="17">
                  <c:v>105.29211459042715</c:v>
                </c:pt>
                <c:pt idx="18">
                  <c:v>106.64944152979866</c:v>
                </c:pt>
                <c:pt idx="19">
                  <c:v>106.02993298425513</c:v>
                </c:pt>
                <c:pt idx="20">
                  <c:v>105.42993561377999</c:v>
                </c:pt>
                <c:pt idx="21">
                  <c:v>105.18655930840085</c:v>
                </c:pt>
                <c:pt idx="22">
                  <c:v>104.88467227878084</c:v>
                </c:pt>
                <c:pt idx="23">
                  <c:v>105.67249496184672</c:v>
                </c:pt>
                <c:pt idx="24">
                  <c:v>106.42797803403236</c:v>
                </c:pt>
                <c:pt idx="25">
                  <c:v>107.12831963352444</c:v>
                </c:pt>
                <c:pt idx="26">
                  <c:v>106.22596074359576</c:v>
                </c:pt>
                <c:pt idx="27">
                  <c:v>105.20741141037553</c:v>
                </c:pt>
                <c:pt idx="28">
                  <c:v>107.47668440866734</c:v>
                </c:pt>
                <c:pt idx="29">
                  <c:v>12.479576831753489</c:v>
                </c:pt>
                <c:pt idx="30">
                  <c:v>12.423751968372358</c:v>
                </c:pt>
                <c:pt idx="31">
                  <c:v>12.34889101970343</c:v>
                </c:pt>
                <c:pt idx="32">
                  <c:v>12.286373665505991</c:v>
                </c:pt>
                <c:pt idx="33">
                  <c:v>12.233760013101742</c:v>
                </c:pt>
                <c:pt idx="34">
                  <c:v>12.199591641456335</c:v>
                </c:pt>
                <c:pt idx="35">
                  <c:v>12.160925439449718</c:v>
                </c:pt>
                <c:pt idx="36">
                  <c:v>12.113695041642766</c:v>
                </c:pt>
                <c:pt idx="37">
                  <c:v>12.071752809076132</c:v>
                </c:pt>
                <c:pt idx="38">
                  <c:v>12.043955286591169</c:v>
                </c:pt>
                <c:pt idx="39">
                  <c:v>103.53828510589209</c:v>
                </c:pt>
                <c:pt idx="40">
                  <c:v>107.20248292666913</c:v>
                </c:pt>
                <c:pt idx="41">
                  <c:v>106.23168035797192</c:v>
                </c:pt>
                <c:pt idx="42">
                  <c:v>104.94843566918375</c:v>
                </c:pt>
                <c:pt idx="43">
                  <c:v>105.16964311156865</c:v>
                </c:pt>
                <c:pt idx="44">
                  <c:v>105.65862672895759</c:v>
                </c:pt>
                <c:pt idx="45">
                  <c:v>106.51302070113552</c:v>
                </c:pt>
                <c:pt idx="46">
                  <c:v>106.24308060312092</c:v>
                </c:pt>
                <c:pt idx="47">
                  <c:v>108.47493801684107</c:v>
                </c:pt>
                <c:pt idx="48">
                  <c:v>108.86752766584199</c:v>
                </c:pt>
                <c:pt idx="49">
                  <c:v>107.81320224356141</c:v>
                </c:pt>
                <c:pt idx="50">
                  <c:v>107.59138413923112</c:v>
                </c:pt>
                <c:pt idx="51">
                  <c:v>107.22964530073978</c:v>
                </c:pt>
                <c:pt idx="52">
                  <c:v>107.57162022522709</c:v>
                </c:pt>
                <c:pt idx="53">
                  <c:v>108.46445358896695</c:v>
                </c:pt>
                <c:pt idx="54">
                  <c:v>108.22262747507524</c:v>
                </c:pt>
                <c:pt idx="55">
                  <c:v>109.57919008900073</c:v>
                </c:pt>
                <c:pt idx="56">
                  <c:v>110.47305050578667</c:v>
                </c:pt>
                <c:pt idx="57">
                  <c:v>111.04664942004115</c:v>
                </c:pt>
                <c:pt idx="58">
                  <c:v>110.6484193535173</c:v>
                </c:pt>
                <c:pt idx="59">
                  <c:v>109.97632552851506</c:v>
                </c:pt>
                <c:pt idx="60">
                  <c:v>110.60701833819678</c:v>
                </c:pt>
                <c:pt idx="61">
                  <c:v>110.08748731992523</c:v>
                </c:pt>
                <c:pt idx="62">
                  <c:v>111.47249968281812</c:v>
                </c:pt>
                <c:pt idx="63">
                  <c:v>112.60131796093657</c:v>
                </c:pt>
                <c:pt idx="64">
                  <c:v>112.9677312508055</c:v>
                </c:pt>
                <c:pt idx="65">
                  <c:v>114.01960950494799</c:v>
                </c:pt>
                <c:pt idx="66">
                  <c:v>114.2451267477674</c:v>
                </c:pt>
                <c:pt idx="67">
                  <c:v>113.99413079608642</c:v>
                </c:pt>
                <c:pt idx="68">
                  <c:v>12.095920012709655</c:v>
                </c:pt>
                <c:pt idx="69">
                  <c:v>12.120886173473187</c:v>
                </c:pt>
                <c:pt idx="70">
                  <c:v>12.07296815827643</c:v>
                </c:pt>
                <c:pt idx="71">
                  <c:v>12.02288890728588</c:v>
                </c:pt>
                <c:pt idx="72">
                  <c:v>11.983533851000894</c:v>
                </c:pt>
                <c:pt idx="73">
                  <c:v>11.953579733931646</c:v>
                </c:pt>
                <c:pt idx="74">
                  <c:v>11.920427759145879</c:v>
                </c:pt>
                <c:pt idx="75">
                  <c:v>11.891156476659669</c:v>
                </c:pt>
                <c:pt idx="76">
                  <c:v>11.864104464347591</c:v>
                </c:pt>
                <c:pt idx="77">
                  <c:v>11.841194035229675</c:v>
                </c:pt>
                <c:pt idx="78">
                  <c:v>103.57018487353763</c:v>
                </c:pt>
                <c:pt idx="79">
                  <c:v>105.3891650053839</c:v>
                </c:pt>
                <c:pt idx="80">
                  <c:v>103.95462799896677</c:v>
                </c:pt>
                <c:pt idx="81">
                  <c:v>102.58023951750452</c:v>
                </c:pt>
                <c:pt idx="82">
                  <c:v>101.8667573027471</c:v>
                </c:pt>
                <c:pt idx="83">
                  <c:v>103.03521606880754</c:v>
                </c:pt>
                <c:pt idx="84">
                  <c:v>103.33134690902789</c:v>
                </c:pt>
                <c:pt idx="85">
                  <c:v>103.68042615705694</c:v>
                </c:pt>
                <c:pt idx="86">
                  <c:v>103.51556080507738</c:v>
                </c:pt>
                <c:pt idx="87">
                  <c:v>103.63636139725895</c:v>
                </c:pt>
                <c:pt idx="88">
                  <c:v>103.31900647521822</c:v>
                </c:pt>
                <c:pt idx="89">
                  <c:v>102.87853295250125</c:v>
                </c:pt>
                <c:pt idx="90">
                  <c:v>102.71231624019192</c:v>
                </c:pt>
                <c:pt idx="91">
                  <c:v>103.59659830076403</c:v>
                </c:pt>
                <c:pt idx="92">
                  <c:v>103.47584355266777</c:v>
                </c:pt>
                <c:pt idx="93">
                  <c:v>103.68341128416368</c:v>
                </c:pt>
                <c:pt idx="94">
                  <c:v>105.24984760062114</c:v>
                </c:pt>
                <c:pt idx="95">
                  <c:v>106.4221875033944</c:v>
                </c:pt>
                <c:pt idx="96">
                  <c:v>106.1825712369404</c:v>
                </c:pt>
                <c:pt idx="97">
                  <c:v>104.59683263565439</c:v>
                </c:pt>
                <c:pt idx="98">
                  <c:v>105.41239591611172</c:v>
                </c:pt>
                <c:pt idx="99">
                  <c:v>105.70471477456152</c:v>
                </c:pt>
                <c:pt idx="100">
                  <c:v>105.18404495143919</c:v>
                </c:pt>
                <c:pt idx="101">
                  <c:v>105.72601288521339</c:v>
                </c:pt>
                <c:pt idx="102">
                  <c:v>105.76936550426113</c:v>
                </c:pt>
                <c:pt idx="103">
                  <c:v>106.02188530659608</c:v>
                </c:pt>
                <c:pt idx="104">
                  <c:v>107.02915668808903</c:v>
                </c:pt>
                <c:pt idx="105">
                  <c:v>107.35010503353008</c:v>
                </c:pt>
                <c:pt idx="106">
                  <c:v>106.32822538997691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E6-554D-8F72-8B6B5090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P- 72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hpi'!$B$3:$B$124</c:f>
              <c:numCache>
                <c:formatCode>General</c:formatCode>
                <c:ptCount val="122"/>
                <c:pt idx="0">
                  <c:v>8.3867100000000003E-4</c:v>
                </c:pt>
                <c:pt idx="1">
                  <c:v>8.4277099999999997E-4</c:v>
                </c:pt>
                <c:pt idx="2">
                  <c:v>8.4700800000000001E-4</c:v>
                </c:pt>
                <c:pt idx="3">
                  <c:v>8.4804200000000002E-4</c:v>
                </c:pt>
                <c:pt idx="4">
                  <c:v>8.5159099999999996E-4</c:v>
                </c:pt>
                <c:pt idx="5">
                  <c:v>8.5367500000000003E-4</c:v>
                </c:pt>
                <c:pt idx="6">
                  <c:v>8.5484000000000005E-4</c:v>
                </c:pt>
                <c:pt idx="7">
                  <c:v>8.5338000000000005E-4</c:v>
                </c:pt>
                <c:pt idx="8">
                  <c:v>8.5649900000000004E-4</c:v>
                </c:pt>
                <c:pt idx="9">
                  <c:v>8.5919900000000005E-4</c:v>
                </c:pt>
                <c:pt idx="10">
                  <c:v>8.6029599999999998E-4</c:v>
                </c:pt>
                <c:pt idx="11">
                  <c:v>8.6204800000000002E-4</c:v>
                </c:pt>
                <c:pt idx="12">
                  <c:v>8.6621699999999996E-4</c:v>
                </c:pt>
                <c:pt idx="13">
                  <c:v>8.6852299999999995E-4</c:v>
                </c:pt>
                <c:pt idx="14">
                  <c:v>8.6947999999999995E-4</c:v>
                </c:pt>
                <c:pt idx="15">
                  <c:v>8.7145899999999999E-4</c:v>
                </c:pt>
                <c:pt idx="16">
                  <c:v>8.7539900000000001E-4</c:v>
                </c:pt>
                <c:pt idx="17">
                  <c:v>8.76211E-4</c:v>
                </c:pt>
                <c:pt idx="18">
                  <c:v>8.7912899999999998E-4</c:v>
                </c:pt>
                <c:pt idx="19">
                  <c:v>8.8087899999999999E-4</c:v>
                </c:pt>
                <c:pt idx="20">
                  <c:v>8.8247200000000003E-4</c:v>
                </c:pt>
                <c:pt idx="21">
                  <c:v>8.8485099999999998E-4</c:v>
                </c:pt>
                <c:pt idx="22">
                  <c:v>8.8641100000000003E-4</c:v>
                </c:pt>
                <c:pt idx="23">
                  <c:v>8.8670000000000003E-4</c:v>
                </c:pt>
                <c:pt idx="24">
                  <c:v>8.8716499999999998E-4</c:v>
                </c:pt>
                <c:pt idx="25">
                  <c:v>8.8781000000000005E-4</c:v>
                </c:pt>
                <c:pt idx="26">
                  <c:v>8.9282000000000001E-4</c:v>
                </c:pt>
                <c:pt idx="27">
                  <c:v>8.9253300000000004E-4</c:v>
                </c:pt>
                <c:pt idx="28">
                  <c:v>8.9458199999999999E-4</c:v>
                </c:pt>
                <c:pt idx="29">
                  <c:v>1.3152299999999999E-6</c:v>
                </c:pt>
                <c:pt idx="30">
                  <c:v>1.29027E-6</c:v>
                </c:pt>
                <c:pt idx="31">
                  <c:v>1.26553E-6</c:v>
                </c:pt>
                <c:pt idx="32">
                  <c:v>1.24774E-6</c:v>
                </c:pt>
                <c:pt idx="33">
                  <c:v>1.2397899999999999E-6</c:v>
                </c:pt>
                <c:pt idx="34">
                  <c:v>1.2195200000000001E-6</c:v>
                </c:pt>
                <c:pt idx="35">
                  <c:v>1.1987799999999999E-6</c:v>
                </c:pt>
                <c:pt idx="36">
                  <c:v>1.18733E-6</c:v>
                </c:pt>
                <c:pt idx="37">
                  <c:v>1.1645199999999999E-6</c:v>
                </c:pt>
                <c:pt idx="38">
                  <c:v>1.15075E-6</c:v>
                </c:pt>
                <c:pt idx="39">
                  <c:v>6.8119999999999997E-4</c:v>
                </c:pt>
                <c:pt idx="40">
                  <c:v>7.0211799999999995E-4</c:v>
                </c:pt>
                <c:pt idx="41">
                  <c:v>7.1738399999999995E-4</c:v>
                </c:pt>
                <c:pt idx="42">
                  <c:v>7.3161799999999996E-4</c:v>
                </c:pt>
                <c:pt idx="43">
                  <c:v>7.4379700000000003E-4</c:v>
                </c:pt>
                <c:pt idx="44">
                  <c:v>7.5205699999999999E-4</c:v>
                </c:pt>
                <c:pt idx="45">
                  <c:v>7.6058699999999996E-4</c:v>
                </c:pt>
                <c:pt idx="46">
                  <c:v>7.6532800000000002E-4</c:v>
                </c:pt>
                <c:pt idx="47">
                  <c:v>7.7101399999999999E-4</c:v>
                </c:pt>
                <c:pt idx="48">
                  <c:v>7.7409500000000003E-4</c:v>
                </c:pt>
                <c:pt idx="49">
                  <c:v>7.7859000000000001E-4</c:v>
                </c:pt>
                <c:pt idx="50">
                  <c:v>7.8480800000000001E-4</c:v>
                </c:pt>
                <c:pt idx="51">
                  <c:v>7.8739800000000003E-4</c:v>
                </c:pt>
                <c:pt idx="52">
                  <c:v>7.8967299999999996E-4</c:v>
                </c:pt>
                <c:pt idx="53">
                  <c:v>7.9368400000000001E-4</c:v>
                </c:pt>
                <c:pt idx="54">
                  <c:v>7.9654900000000002E-4</c:v>
                </c:pt>
                <c:pt idx="55">
                  <c:v>7.9749599999999997E-4</c:v>
                </c:pt>
                <c:pt idx="56">
                  <c:v>8.0060799999999996E-4</c:v>
                </c:pt>
                <c:pt idx="57">
                  <c:v>8.0255500000000004E-4</c:v>
                </c:pt>
                <c:pt idx="58">
                  <c:v>8.04804E-4</c:v>
                </c:pt>
                <c:pt idx="59">
                  <c:v>8.09218E-4</c:v>
                </c:pt>
                <c:pt idx="60">
                  <c:v>8.1140599999999998E-4</c:v>
                </c:pt>
                <c:pt idx="61">
                  <c:v>8.1193300000000003E-4</c:v>
                </c:pt>
                <c:pt idx="62">
                  <c:v>8.1775800000000003E-4</c:v>
                </c:pt>
                <c:pt idx="63">
                  <c:v>8.1828900000000004E-4</c:v>
                </c:pt>
                <c:pt idx="64">
                  <c:v>8.1976399999999995E-4</c:v>
                </c:pt>
                <c:pt idx="65">
                  <c:v>8.2135499999999996E-4</c:v>
                </c:pt>
                <c:pt idx="66">
                  <c:v>8.2494600000000001E-4</c:v>
                </c:pt>
                <c:pt idx="67">
                  <c:v>8.26949E-4</c:v>
                </c:pt>
                <c:pt idx="68">
                  <c:v>1.0311200000000001E-6</c:v>
                </c:pt>
                <c:pt idx="69">
                  <c:v>1.0374E-6</c:v>
                </c:pt>
                <c:pt idx="70">
                  <c:v>1.03477E-6</c:v>
                </c:pt>
                <c:pt idx="71">
                  <c:v>1.01763E-6</c:v>
                </c:pt>
                <c:pt idx="72">
                  <c:v>1.0084599999999999E-6</c:v>
                </c:pt>
                <c:pt idx="73">
                  <c:v>9.9924600000000011E-7</c:v>
                </c:pt>
                <c:pt idx="74">
                  <c:v>9.8416900000000003E-7</c:v>
                </c:pt>
                <c:pt idx="75">
                  <c:v>9.6892399999999997E-7</c:v>
                </c:pt>
                <c:pt idx="76">
                  <c:v>9.5844800000000006E-7</c:v>
                </c:pt>
                <c:pt idx="77">
                  <c:v>9.5152700000000002E-7</c:v>
                </c:pt>
                <c:pt idx="78">
                  <c:v>6.9908999999999998E-4</c:v>
                </c:pt>
                <c:pt idx="79">
                  <c:v>7.1993100000000004E-4</c:v>
                </c:pt>
                <c:pt idx="80">
                  <c:v>7.3708200000000001E-4</c:v>
                </c:pt>
                <c:pt idx="81">
                  <c:v>7.5047899999999997E-4</c:v>
                </c:pt>
                <c:pt idx="82">
                  <c:v>7.5834999999999997E-4</c:v>
                </c:pt>
                <c:pt idx="83">
                  <c:v>7.6698200000000004E-4</c:v>
                </c:pt>
                <c:pt idx="84">
                  <c:v>7.7428100000000004E-4</c:v>
                </c:pt>
                <c:pt idx="85">
                  <c:v>7.8331600000000005E-4</c:v>
                </c:pt>
                <c:pt idx="86">
                  <c:v>7.8530699999999995E-4</c:v>
                </c:pt>
                <c:pt idx="87">
                  <c:v>7.8972999999999999E-4</c:v>
                </c:pt>
                <c:pt idx="88">
                  <c:v>7.9261800000000003E-4</c:v>
                </c:pt>
                <c:pt idx="89">
                  <c:v>7.9929700000000003E-4</c:v>
                </c:pt>
                <c:pt idx="90">
                  <c:v>8.0431700000000003E-4</c:v>
                </c:pt>
                <c:pt idx="91">
                  <c:v>8.0741600000000004E-4</c:v>
                </c:pt>
                <c:pt idx="92">
                  <c:v>8.1492900000000004E-4</c:v>
                </c:pt>
                <c:pt idx="93">
                  <c:v>8.1819300000000005E-4</c:v>
                </c:pt>
                <c:pt idx="94">
                  <c:v>8.1777399999999995E-4</c:v>
                </c:pt>
                <c:pt idx="95">
                  <c:v>8.2059400000000001E-4</c:v>
                </c:pt>
                <c:pt idx="96">
                  <c:v>8.2562E-4</c:v>
                </c:pt>
                <c:pt idx="97">
                  <c:v>8.2463899999999995E-4</c:v>
                </c:pt>
                <c:pt idx="98">
                  <c:v>8.2864799999999997E-4</c:v>
                </c:pt>
                <c:pt idx="99">
                  <c:v>8.3192200000000002E-4</c:v>
                </c:pt>
                <c:pt idx="100">
                  <c:v>8.3513599999999999E-4</c:v>
                </c:pt>
                <c:pt idx="101">
                  <c:v>8.4017800000000002E-4</c:v>
                </c:pt>
                <c:pt idx="102">
                  <c:v>8.3911000000000001E-4</c:v>
                </c:pt>
                <c:pt idx="103">
                  <c:v>8.4175700000000005E-4</c:v>
                </c:pt>
                <c:pt idx="104">
                  <c:v>8.4371399999999997E-4</c:v>
                </c:pt>
                <c:pt idx="105">
                  <c:v>8.4469299999999998E-4</c:v>
                </c:pt>
                <c:pt idx="106">
                  <c:v>8.4989199999999999E-4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4-40BF-B35B-E93024A01A04}"/>
            </c:ext>
          </c:extLst>
        </c:ser>
        <c:ser>
          <c:idx val="1"/>
          <c:order val="1"/>
          <c:tx>
            <c:strRef>
              <c:f>'NAD003 P- 72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hpi'!$G$3:$G$124</c:f>
              <c:numCache>
                <c:formatCode>General</c:formatCode>
                <c:ptCount val="122"/>
                <c:pt idx="0">
                  <c:v>8.7938399999999998E-4</c:v>
                </c:pt>
                <c:pt idx="1">
                  <c:v>8.8157700000000003E-4</c:v>
                </c:pt>
                <c:pt idx="2">
                  <c:v>8.8416700000000005E-4</c:v>
                </c:pt>
                <c:pt idx="3">
                  <c:v>8.8552699999999999E-4</c:v>
                </c:pt>
                <c:pt idx="4">
                  <c:v>8.8675600000000005E-4</c:v>
                </c:pt>
                <c:pt idx="5">
                  <c:v>8.8781799999999996E-4</c:v>
                </c:pt>
                <c:pt idx="6">
                  <c:v>8.9017700000000003E-4</c:v>
                </c:pt>
                <c:pt idx="7">
                  <c:v>8.9312599999999995E-4</c:v>
                </c:pt>
                <c:pt idx="8">
                  <c:v>8.9611599999999997E-4</c:v>
                </c:pt>
                <c:pt idx="9">
                  <c:v>8.9838199999999998E-4</c:v>
                </c:pt>
                <c:pt idx="10">
                  <c:v>9.0056200000000004E-4</c:v>
                </c:pt>
                <c:pt idx="11">
                  <c:v>9.0015600000000005E-4</c:v>
                </c:pt>
                <c:pt idx="12">
                  <c:v>9.0183899999999998E-4</c:v>
                </c:pt>
                <c:pt idx="13">
                  <c:v>9.0301300000000004E-4</c:v>
                </c:pt>
                <c:pt idx="14">
                  <c:v>9.04849E-4</c:v>
                </c:pt>
                <c:pt idx="15">
                  <c:v>9.0492399999999998E-4</c:v>
                </c:pt>
                <c:pt idx="16">
                  <c:v>9.0731799999999995E-4</c:v>
                </c:pt>
                <c:pt idx="17">
                  <c:v>9.08974E-4</c:v>
                </c:pt>
                <c:pt idx="18">
                  <c:v>9.1099900000000001E-4</c:v>
                </c:pt>
                <c:pt idx="19">
                  <c:v>9.1131999999999997E-4</c:v>
                </c:pt>
                <c:pt idx="20">
                  <c:v>9.1629899999999998E-4</c:v>
                </c:pt>
                <c:pt idx="21">
                  <c:v>9.1734300000000004E-4</c:v>
                </c:pt>
                <c:pt idx="22">
                  <c:v>9.1790700000000003E-4</c:v>
                </c:pt>
                <c:pt idx="23">
                  <c:v>9.1699000000000001E-4</c:v>
                </c:pt>
                <c:pt idx="24">
                  <c:v>9.1921899999999998E-4</c:v>
                </c:pt>
                <c:pt idx="25">
                  <c:v>9.2080600000000003E-4</c:v>
                </c:pt>
                <c:pt idx="26">
                  <c:v>9.2294600000000001E-4</c:v>
                </c:pt>
                <c:pt idx="27">
                  <c:v>9.2292700000000004E-4</c:v>
                </c:pt>
                <c:pt idx="28">
                  <c:v>9.2425899999999997E-4</c:v>
                </c:pt>
                <c:pt idx="29">
                  <c:v>1.32009E-6</c:v>
                </c:pt>
                <c:pt idx="30">
                  <c:v>1.27558E-6</c:v>
                </c:pt>
                <c:pt idx="31">
                  <c:v>1.23081E-6</c:v>
                </c:pt>
                <c:pt idx="32">
                  <c:v>1.1923E-6</c:v>
                </c:pt>
                <c:pt idx="33">
                  <c:v>1.1716999999999999E-6</c:v>
                </c:pt>
                <c:pt idx="34">
                  <c:v>1.1488699999999999E-6</c:v>
                </c:pt>
                <c:pt idx="35">
                  <c:v>1.13402E-6</c:v>
                </c:pt>
                <c:pt idx="36">
                  <c:v>1.1200099999999999E-6</c:v>
                </c:pt>
                <c:pt idx="37">
                  <c:v>1.1030300000000001E-6</c:v>
                </c:pt>
                <c:pt idx="38">
                  <c:v>1.0930299999999999E-6</c:v>
                </c:pt>
                <c:pt idx="39">
                  <c:v>6.9227199999999996E-4</c:v>
                </c:pt>
                <c:pt idx="40">
                  <c:v>7.1284899999999999E-4</c:v>
                </c:pt>
                <c:pt idx="41">
                  <c:v>7.29045E-4</c:v>
                </c:pt>
                <c:pt idx="42">
                  <c:v>7.4286899999999995E-4</c:v>
                </c:pt>
                <c:pt idx="43">
                  <c:v>7.5297700000000005E-4</c:v>
                </c:pt>
                <c:pt idx="44">
                  <c:v>7.6309100000000003E-4</c:v>
                </c:pt>
                <c:pt idx="45">
                  <c:v>7.6789299999999996E-4</c:v>
                </c:pt>
                <c:pt idx="46">
                  <c:v>7.7750900000000001E-4</c:v>
                </c:pt>
                <c:pt idx="47">
                  <c:v>7.8304399999999999E-4</c:v>
                </c:pt>
                <c:pt idx="48">
                  <c:v>7.8545799999999995E-4</c:v>
                </c:pt>
                <c:pt idx="49">
                  <c:v>7.9073900000000005E-4</c:v>
                </c:pt>
                <c:pt idx="50">
                  <c:v>7.95081E-4</c:v>
                </c:pt>
                <c:pt idx="51">
                  <c:v>7.9712700000000001E-4</c:v>
                </c:pt>
                <c:pt idx="52">
                  <c:v>8.0282400000000005E-4</c:v>
                </c:pt>
                <c:pt idx="53">
                  <c:v>8.09913E-4</c:v>
                </c:pt>
                <c:pt idx="54">
                  <c:v>8.1190699999999995E-4</c:v>
                </c:pt>
                <c:pt idx="55">
                  <c:v>8.1378099999999997E-4</c:v>
                </c:pt>
                <c:pt idx="56">
                  <c:v>8.1753700000000002E-4</c:v>
                </c:pt>
                <c:pt idx="57">
                  <c:v>8.2053900000000001E-4</c:v>
                </c:pt>
                <c:pt idx="58">
                  <c:v>8.24312E-4</c:v>
                </c:pt>
                <c:pt idx="59">
                  <c:v>8.2535599999999996E-4</c:v>
                </c:pt>
                <c:pt idx="60">
                  <c:v>8.2638799999999995E-4</c:v>
                </c:pt>
                <c:pt idx="61">
                  <c:v>8.3080000000000003E-4</c:v>
                </c:pt>
                <c:pt idx="62">
                  <c:v>8.3323999999999996E-4</c:v>
                </c:pt>
                <c:pt idx="63">
                  <c:v>8.3498700000000003E-4</c:v>
                </c:pt>
                <c:pt idx="64">
                  <c:v>8.3643200000000002E-4</c:v>
                </c:pt>
                <c:pt idx="65">
                  <c:v>8.3737600000000003E-4</c:v>
                </c:pt>
                <c:pt idx="66">
                  <c:v>8.3922200000000004E-4</c:v>
                </c:pt>
                <c:pt idx="67">
                  <c:v>8.4247100000000002E-4</c:v>
                </c:pt>
                <c:pt idx="68">
                  <c:v>9.78982E-7</c:v>
                </c:pt>
                <c:pt idx="69">
                  <c:v>9.826759999999999E-7</c:v>
                </c:pt>
                <c:pt idx="70">
                  <c:v>9.7835400000000003E-7</c:v>
                </c:pt>
                <c:pt idx="71">
                  <c:v>9.6750800000000006E-7</c:v>
                </c:pt>
                <c:pt idx="72">
                  <c:v>9.5963299999999995E-7</c:v>
                </c:pt>
                <c:pt idx="73">
                  <c:v>9.4330000000000004E-7</c:v>
                </c:pt>
                <c:pt idx="74">
                  <c:v>9.3222600000000003E-7</c:v>
                </c:pt>
                <c:pt idx="75">
                  <c:v>9.10051E-7</c:v>
                </c:pt>
                <c:pt idx="76">
                  <c:v>9.0396500000000003E-7</c:v>
                </c:pt>
                <c:pt idx="77">
                  <c:v>8.9925000000000001E-7</c:v>
                </c:pt>
                <c:pt idx="78">
                  <c:v>7.04256E-4</c:v>
                </c:pt>
                <c:pt idx="79">
                  <c:v>7.2744400000000005E-4</c:v>
                </c:pt>
                <c:pt idx="80">
                  <c:v>7.4328600000000001E-4</c:v>
                </c:pt>
                <c:pt idx="81">
                  <c:v>7.57346E-4</c:v>
                </c:pt>
                <c:pt idx="82">
                  <c:v>7.6711499999999996E-4</c:v>
                </c:pt>
                <c:pt idx="83">
                  <c:v>7.76792E-4</c:v>
                </c:pt>
                <c:pt idx="84">
                  <c:v>7.85E-4</c:v>
                </c:pt>
                <c:pt idx="85">
                  <c:v>7.9327900000000003E-4</c:v>
                </c:pt>
                <c:pt idx="86">
                  <c:v>7.9905899999999997E-4</c:v>
                </c:pt>
                <c:pt idx="87">
                  <c:v>8.0354700000000005E-4</c:v>
                </c:pt>
                <c:pt idx="88">
                  <c:v>8.0749499999999998E-4</c:v>
                </c:pt>
                <c:pt idx="89">
                  <c:v>8.1068600000000002E-4</c:v>
                </c:pt>
                <c:pt idx="90">
                  <c:v>8.12227E-4</c:v>
                </c:pt>
                <c:pt idx="91">
                  <c:v>8.1956200000000002E-4</c:v>
                </c:pt>
                <c:pt idx="92">
                  <c:v>8.2295000000000003E-4</c:v>
                </c:pt>
                <c:pt idx="93">
                  <c:v>8.2787900000000001E-4</c:v>
                </c:pt>
                <c:pt idx="94">
                  <c:v>8.2981899999999998E-4</c:v>
                </c:pt>
                <c:pt idx="95">
                  <c:v>8.2956000000000002E-4</c:v>
                </c:pt>
                <c:pt idx="96">
                  <c:v>8.3434999999999998E-4</c:v>
                </c:pt>
                <c:pt idx="97">
                  <c:v>8.3585799999999998E-4</c:v>
                </c:pt>
                <c:pt idx="98">
                  <c:v>8.3972099999999998E-4</c:v>
                </c:pt>
                <c:pt idx="99">
                  <c:v>8.42869E-4</c:v>
                </c:pt>
                <c:pt idx="100">
                  <c:v>8.4709200000000003E-4</c:v>
                </c:pt>
                <c:pt idx="101">
                  <c:v>8.4841599999999995E-4</c:v>
                </c:pt>
                <c:pt idx="102">
                  <c:v>8.5117799999999996E-4</c:v>
                </c:pt>
                <c:pt idx="103">
                  <c:v>8.5893500000000002E-4</c:v>
                </c:pt>
                <c:pt idx="104">
                  <c:v>8.6102499999999996E-4</c:v>
                </c:pt>
                <c:pt idx="105">
                  <c:v>8.5978499999999995E-4</c:v>
                </c:pt>
                <c:pt idx="106">
                  <c:v>8.5473400000000001E-4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4-40BF-B35B-E93024A01A04}"/>
            </c:ext>
          </c:extLst>
        </c:ser>
        <c:ser>
          <c:idx val="2"/>
          <c:order val="2"/>
          <c:tx>
            <c:strRef>
              <c:f>'NAD003 P- 72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hpi'!$L$3:$L$124</c:f>
              <c:numCache>
                <c:formatCode>0.00E+00</c:formatCode>
                <c:ptCount val="122"/>
                <c:pt idx="0">
                  <c:v>1.1967200000000001E-3</c:v>
                </c:pt>
                <c:pt idx="1">
                  <c:v>1.2029600000000001E-3</c:v>
                </c:pt>
                <c:pt idx="2">
                  <c:v>1.20718E-3</c:v>
                </c:pt>
                <c:pt idx="3">
                  <c:v>1.21108E-3</c:v>
                </c:pt>
                <c:pt idx="4">
                  <c:v>1.2149999999999999E-3</c:v>
                </c:pt>
                <c:pt idx="5">
                  <c:v>1.21773E-3</c:v>
                </c:pt>
                <c:pt idx="6">
                  <c:v>1.22196E-3</c:v>
                </c:pt>
                <c:pt idx="7">
                  <c:v>1.2260400000000001E-3</c:v>
                </c:pt>
                <c:pt idx="8">
                  <c:v>1.2294999999999999E-3</c:v>
                </c:pt>
                <c:pt idx="9">
                  <c:v>1.2333800000000001E-3</c:v>
                </c:pt>
                <c:pt idx="10">
                  <c:v>1.23712E-3</c:v>
                </c:pt>
                <c:pt idx="11">
                  <c:v>1.23919E-3</c:v>
                </c:pt>
                <c:pt idx="12">
                  <c:v>1.24244E-3</c:v>
                </c:pt>
                <c:pt idx="13">
                  <c:v>1.24347E-3</c:v>
                </c:pt>
                <c:pt idx="14">
                  <c:v>1.2476900000000001E-3</c:v>
                </c:pt>
                <c:pt idx="15">
                  <c:v>1.2499399999999999E-3</c:v>
                </c:pt>
                <c:pt idx="16">
                  <c:v>1.25237E-3</c:v>
                </c:pt>
                <c:pt idx="17">
                  <c:v>1.25486E-3</c:v>
                </c:pt>
                <c:pt idx="18">
                  <c:v>1.2577700000000001E-3</c:v>
                </c:pt>
                <c:pt idx="19">
                  <c:v>1.25998E-3</c:v>
                </c:pt>
                <c:pt idx="20">
                  <c:v>1.2634199999999999E-3</c:v>
                </c:pt>
                <c:pt idx="21">
                  <c:v>1.26567E-3</c:v>
                </c:pt>
                <c:pt idx="22">
                  <c:v>1.2664799999999999E-3</c:v>
                </c:pt>
                <c:pt idx="23">
                  <c:v>1.2687600000000001E-3</c:v>
                </c:pt>
                <c:pt idx="24">
                  <c:v>1.27119E-3</c:v>
                </c:pt>
                <c:pt idx="25">
                  <c:v>1.27414E-3</c:v>
                </c:pt>
                <c:pt idx="26">
                  <c:v>1.2757700000000001E-3</c:v>
                </c:pt>
                <c:pt idx="27">
                  <c:v>1.2783600000000001E-3</c:v>
                </c:pt>
                <c:pt idx="28">
                  <c:v>1.2802499999999999E-3</c:v>
                </c:pt>
                <c:pt idx="29">
                  <c:v>7.09759E-7</c:v>
                </c:pt>
                <c:pt idx="30">
                  <c:v>6.2792399999999998E-7</c:v>
                </c:pt>
                <c:pt idx="31">
                  <c:v>5.7830800000000005E-7</c:v>
                </c:pt>
                <c:pt idx="32">
                  <c:v>5.3215899999999999E-7</c:v>
                </c:pt>
                <c:pt idx="33">
                  <c:v>4.9457500000000005E-7</c:v>
                </c:pt>
                <c:pt idx="34">
                  <c:v>4.6975300000000001E-7</c:v>
                </c:pt>
                <c:pt idx="35">
                  <c:v>4.4808700000000001E-7</c:v>
                </c:pt>
                <c:pt idx="36">
                  <c:v>4.2026100000000001E-7</c:v>
                </c:pt>
                <c:pt idx="37">
                  <c:v>3.96401E-7</c:v>
                </c:pt>
                <c:pt idx="38">
                  <c:v>3.7636000000000002E-7</c:v>
                </c:pt>
                <c:pt idx="39">
                  <c:v>9.3022899999999997E-4</c:v>
                </c:pt>
                <c:pt idx="40">
                  <c:v>9.6198099999999999E-4</c:v>
                </c:pt>
                <c:pt idx="41">
                  <c:v>9.8294799999999998E-4</c:v>
                </c:pt>
                <c:pt idx="42">
                  <c:v>9.987380000000001E-4</c:v>
                </c:pt>
                <c:pt idx="43">
                  <c:v>1.01278E-3</c:v>
                </c:pt>
                <c:pt idx="44">
                  <c:v>1.0232399999999999E-3</c:v>
                </c:pt>
                <c:pt idx="45">
                  <c:v>1.0322700000000001E-3</c:v>
                </c:pt>
                <c:pt idx="46">
                  <c:v>1.0412500000000001E-3</c:v>
                </c:pt>
                <c:pt idx="47">
                  <c:v>1.0477500000000001E-3</c:v>
                </c:pt>
                <c:pt idx="48">
                  <c:v>1.0535399999999999E-3</c:v>
                </c:pt>
                <c:pt idx="49">
                  <c:v>1.0614400000000001E-3</c:v>
                </c:pt>
                <c:pt idx="50">
                  <c:v>1.06539E-3</c:v>
                </c:pt>
                <c:pt idx="51">
                  <c:v>1.0709700000000001E-3</c:v>
                </c:pt>
                <c:pt idx="52">
                  <c:v>1.07548E-3</c:v>
                </c:pt>
                <c:pt idx="53">
                  <c:v>1.08136E-3</c:v>
                </c:pt>
                <c:pt idx="54">
                  <c:v>1.0846E-3</c:v>
                </c:pt>
                <c:pt idx="55">
                  <c:v>1.0895E-3</c:v>
                </c:pt>
                <c:pt idx="56">
                  <c:v>1.09209E-3</c:v>
                </c:pt>
                <c:pt idx="57">
                  <c:v>1.09315E-3</c:v>
                </c:pt>
                <c:pt idx="58">
                  <c:v>1.09847E-3</c:v>
                </c:pt>
                <c:pt idx="59">
                  <c:v>1.10396E-3</c:v>
                </c:pt>
                <c:pt idx="60">
                  <c:v>1.1052799999999999E-3</c:v>
                </c:pt>
                <c:pt idx="61">
                  <c:v>1.10939E-3</c:v>
                </c:pt>
                <c:pt idx="62">
                  <c:v>1.11086E-3</c:v>
                </c:pt>
                <c:pt idx="63">
                  <c:v>1.11451E-3</c:v>
                </c:pt>
                <c:pt idx="64">
                  <c:v>1.11706E-3</c:v>
                </c:pt>
                <c:pt idx="65">
                  <c:v>1.1186900000000001E-3</c:v>
                </c:pt>
                <c:pt idx="66">
                  <c:v>1.12129E-3</c:v>
                </c:pt>
                <c:pt idx="67">
                  <c:v>1.1244600000000001E-3</c:v>
                </c:pt>
                <c:pt idx="68">
                  <c:v>2.7854299999999998E-7</c:v>
                </c:pt>
                <c:pt idx="69">
                  <c:v>2.5711800000000001E-7</c:v>
                </c:pt>
                <c:pt idx="70">
                  <c:v>2.57827E-7</c:v>
                </c:pt>
                <c:pt idx="71">
                  <c:v>2.5190900000000001E-7</c:v>
                </c:pt>
                <c:pt idx="72">
                  <c:v>2.4915999999999999E-7</c:v>
                </c:pt>
                <c:pt idx="73">
                  <c:v>2.36983E-7</c:v>
                </c:pt>
                <c:pt idx="74">
                  <c:v>2.2335700000000001E-7</c:v>
                </c:pt>
                <c:pt idx="75">
                  <c:v>2.07947E-7</c:v>
                </c:pt>
                <c:pt idx="76">
                  <c:v>1.909E-7</c:v>
                </c:pt>
                <c:pt idx="77">
                  <c:v>1.7013300000000001E-7</c:v>
                </c:pt>
                <c:pt idx="78">
                  <c:v>9.2939900000000002E-4</c:v>
                </c:pt>
                <c:pt idx="79">
                  <c:v>9.6002200000000005E-4</c:v>
                </c:pt>
                <c:pt idx="80">
                  <c:v>9.8216699999999994E-4</c:v>
                </c:pt>
                <c:pt idx="81">
                  <c:v>9.9691899999999997E-4</c:v>
                </c:pt>
                <c:pt idx="82">
                  <c:v>1.0107200000000001E-3</c:v>
                </c:pt>
                <c:pt idx="83">
                  <c:v>1.02059E-3</c:v>
                </c:pt>
                <c:pt idx="84">
                  <c:v>1.0316100000000001E-3</c:v>
                </c:pt>
                <c:pt idx="85">
                  <c:v>1.03921E-3</c:v>
                </c:pt>
                <c:pt idx="86">
                  <c:v>1.0463E-3</c:v>
                </c:pt>
                <c:pt idx="87">
                  <c:v>1.05156E-3</c:v>
                </c:pt>
                <c:pt idx="88">
                  <c:v>1.05747E-3</c:v>
                </c:pt>
                <c:pt idx="89">
                  <c:v>1.06167E-3</c:v>
                </c:pt>
                <c:pt idx="90">
                  <c:v>1.06784E-3</c:v>
                </c:pt>
                <c:pt idx="91">
                  <c:v>1.0738200000000001E-3</c:v>
                </c:pt>
                <c:pt idx="92">
                  <c:v>1.07799E-3</c:v>
                </c:pt>
                <c:pt idx="93">
                  <c:v>1.08142E-3</c:v>
                </c:pt>
                <c:pt idx="94">
                  <c:v>1.08607E-3</c:v>
                </c:pt>
                <c:pt idx="95">
                  <c:v>1.0890800000000001E-3</c:v>
                </c:pt>
                <c:pt idx="96">
                  <c:v>1.0920700000000001E-3</c:v>
                </c:pt>
                <c:pt idx="97">
                  <c:v>1.09526E-3</c:v>
                </c:pt>
                <c:pt idx="98">
                  <c:v>1.10008E-3</c:v>
                </c:pt>
                <c:pt idx="99">
                  <c:v>1.1021399999999999E-3</c:v>
                </c:pt>
                <c:pt idx="100">
                  <c:v>1.10574E-3</c:v>
                </c:pt>
                <c:pt idx="101">
                  <c:v>1.1110099999999999E-3</c:v>
                </c:pt>
                <c:pt idx="102">
                  <c:v>1.1116699999999999E-3</c:v>
                </c:pt>
                <c:pt idx="103">
                  <c:v>1.11557E-3</c:v>
                </c:pt>
                <c:pt idx="104">
                  <c:v>1.11593E-3</c:v>
                </c:pt>
                <c:pt idx="105">
                  <c:v>1.11754E-3</c:v>
                </c:pt>
                <c:pt idx="106">
                  <c:v>1.1212800000000001E-3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54-40BF-B35B-E93024A01A04}"/>
            </c:ext>
          </c:extLst>
        </c:ser>
        <c:ser>
          <c:idx val="3"/>
          <c:order val="3"/>
          <c:tx>
            <c:strRef>
              <c:f>'NAD003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54-40BF-B35B-E93024A0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P- 72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hpi'!$C$3:$C$124</c:f>
              <c:numCache>
                <c:formatCode>General</c:formatCode>
                <c:ptCount val="122"/>
                <c:pt idx="0">
                  <c:v>1.7873499999999999E-4</c:v>
                </c:pt>
                <c:pt idx="1">
                  <c:v>1.8032500000000001E-4</c:v>
                </c:pt>
                <c:pt idx="2">
                  <c:v>1.8387399999999999E-4</c:v>
                </c:pt>
                <c:pt idx="3">
                  <c:v>1.81814E-4</c:v>
                </c:pt>
                <c:pt idx="4">
                  <c:v>1.83635E-4</c:v>
                </c:pt>
                <c:pt idx="5">
                  <c:v>1.8387500000000001E-4</c:v>
                </c:pt>
                <c:pt idx="6">
                  <c:v>1.79254E-4</c:v>
                </c:pt>
                <c:pt idx="7">
                  <c:v>1.7754899999999999E-4</c:v>
                </c:pt>
                <c:pt idx="8">
                  <c:v>1.7851799999999999E-4</c:v>
                </c:pt>
                <c:pt idx="9">
                  <c:v>1.7989500000000001E-4</c:v>
                </c:pt>
                <c:pt idx="10">
                  <c:v>1.7880000000000001E-4</c:v>
                </c:pt>
                <c:pt idx="11">
                  <c:v>1.79474E-4</c:v>
                </c:pt>
                <c:pt idx="12">
                  <c:v>1.8337799999999999E-4</c:v>
                </c:pt>
                <c:pt idx="13">
                  <c:v>1.8552999999999999E-4</c:v>
                </c:pt>
                <c:pt idx="14">
                  <c:v>1.84916E-4</c:v>
                </c:pt>
                <c:pt idx="15">
                  <c:v>1.8546400000000001E-4</c:v>
                </c:pt>
                <c:pt idx="16">
                  <c:v>1.89101E-4</c:v>
                </c:pt>
                <c:pt idx="17">
                  <c:v>1.8678799999999999E-4</c:v>
                </c:pt>
                <c:pt idx="18">
                  <c:v>1.8632699999999999E-4</c:v>
                </c:pt>
                <c:pt idx="19">
                  <c:v>1.8811300000000001E-4</c:v>
                </c:pt>
                <c:pt idx="20">
                  <c:v>1.87715E-4</c:v>
                </c:pt>
                <c:pt idx="21">
                  <c:v>1.88211E-4</c:v>
                </c:pt>
                <c:pt idx="22">
                  <c:v>1.9055499999999999E-4</c:v>
                </c:pt>
                <c:pt idx="23">
                  <c:v>1.89075E-4</c:v>
                </c:pt>
                <c:pt idx="24">
                  <c:v>1.8794999999999999E-4</c:v>
                </c:pt>
                <c:pt idx="25">
                  <c:v>1.84687E-4</c:v>
                </c:pt>
                <c:pt idx="26">
                  <c:v>1.9212E-4</c:v>
                </c:pt>
                <c:pt idx="27">
                  <c:v>1.87546E-4</c:v>
                </c:pt>
                <c:pt idx="28">
                  <c:v>1.88137E-4</c:v>
                </c:pt>
                <c:pt idx="29">
                  <c:v>2.2890800000000001E-5</c:v>
                </c:pt>
                <c:pt idx="30">
                  <c:v>2.2750100000000001E-5</c:v>
                </c:pt>
                <c:pt idx="31">
                  <c:v>2.25921E-5</c:v>
                </c:pt>
                <c:pt idx="32">
                  <c:v>2.2510400000000001E-5</c:v>
                </c:pt>
                <c:pt idx="33">
                  <c:v>2.2439500000000001E-5</c:v>
                </c:pt>
                <c:pt idx="34">
                  <c:v>2.2373899999999999E-5</c:v>
                </c:pt>
                <c:pt idx="35">
                  <c:v>2.23109E-5</c:v>
                </c:pt>
                <c:pt idx="36">
                  <c:v>2.2236299999999999E-5</c:v>
                </c:pt>
                <c:pt idx="37">
                  <c:v>2.2180000000000001E-5</c:v>
                </c:pt>
                <c:pt idx="38">
                  <c:v>2.21238E-5</c:v>
                </c:pt>
                <c:pt idx="39">
                  <c:v>1.95222E-4</c:v>
                </c:pt>
                <c:pt idx="40">
                  <c:v>2.00359E-4</c:v>
                </c:pt>
                <c:pt idx="41">
                  <c:v>1.95117E-4</c:v>
                </c:pt>
                <c:pt idx="42">
                  <c:v>1.9004800000000001E-4</c:v>
                </c:pt>
                <c:pt idx="43">
                  <c:v>1.89583E-4</c:v>
                </c:pt>
                <c:pt idx="44">
                  <c:v>1.9014499999999999E-4</c:v>
                </c:pt>
                <c:pt idx="45">
                  <c:v>1.9198500000000001E-4</c:v>
                </c:pt>
                <c:pt idx="46">
                  <c:v>1.8970900000000001E-4</c:v>
                </c:pt>
                <c:pt idx="47">
                  <c:v>1.90354E-4</c:v>
                </c:pt>
                <c:pt idx="48">
                  <c:v>1.91273E-4</c:v>
                </c:pt>
                <c:pt idx="49">
                  <c:v>1.8974399999999999E-4</c:v>
                </c:pt>
                <c:pt idx="50">
                  <c:v>1.91857E-4</c:v>
                </c:pt>
                <c:pt idx="51">
                  <c:v>1.8593200000000001E-4</c:v>
                </c:pt>
                <c:pt idx="52">
                  <c:v>1.8644399999999999E-4</c:v>
                </c:pt>
                <c:pt idx="53">
                  <c:v>1.8513500000000001E-4</c:v>
                </c:pt>
                <c:pt idx="54">
                  <c:v>1.82158E-4</c:v>
                </c:pt>
                <c:pt idx="55">
                  <c:v>1.8029999999999999E-4</c:v>
                </c:pt>
                <c:pt idx="56">
                  <c:v>1.7898799999999999E-4</c:v>
                </c:pt>
                <c:pt idx="57">
                  <c:v>1.7682E-4</c:v>
                </c:pt>
                <c:pt idx="58">
                  <c:v>1.72103E-4</c:v>
                </c:pt>
                <c:pt idx="59">
                  <c:v>1.81977E-4</c:v>
                </c:pt>
                <c:pt idx="60">
                  <c:v>1.7887299999999999E-4</c:v>
                </c:pt>
                <c:pt idx="61">
                  <c:v>1.7280099999999999E-4</c:v>
                </c:pt>
                <c:pt idx="62">
                  <c:v>1.8065999999999999E-4</c:v>
                </c:pt>
                <c:pt idx="63">
                  <c:v>1.81989E-4</c:v>
                </c:pt>
                <c:pt idx="64">
                  <c:v>1.7666700000000001E-4</c:v>
                </c:pt>
                <c:pt idx="65">
                  <c:v>1.7471899999999999E-4</c:v>
                </c:pt>
                <c:pt idx="66">
                  <c:v>1.8280299999999999E-4</c:v>
                </c:pt>
                <c:pt idx="67">
                  <c:v>1.7963300000000001E-4</c:v>
                </c:pt>
                <c:pt idx="68">
                  <c:v>2.2133900000000002E-5</c:v>
                </c:pt>
                <c:pt idx="69">
                  <c:v>2.2192999999999999E-5</c:v>
                </c:pt>
                <c:pt idx="70">
                  <c:v>2.2141899999999999E-5</c:v>
                </c:pt>
                <c:pt idx="71">
                  <c:v>2.2086499999999999E-5</c:v>
                </c:pt>
                <c:pt idx="72">
                  <c:v>2.2053100000000001E-5</c:v>
                </c:pt>
                <c:pt idx="73">
                  <c:v>2.2005899999999999E-5</c:v>
                </c:pt>
                <c:pt idx="74">
                  <c:v>2.1965999999999999E-5</c:v>
                </c:pt>
                <c:pt idx="75">
                  <c:v>2.1928799999999999E-5</c:v>
                </c:pt>
                <c:pt idx="76">
                  <c:v>2.1891599999999999E-5</c:v>
                </c:pt>
                <c:pt idx="77">
                  <c:v>2.18506E-5</c:v>
                </c:pt>
                <c:pt idx="78">
                  <c:v>2.1290799999999999E-4</c:v>
                </c:pt>
                <c:pt idx="79">
                  <c:v>2.1291100000000001E-4</c:v>
                </c:pt>
                <c:pt idx="80">
                  <c:v>2.1072800000000001E-4</c:v>
                </c:pt>
                <c:pt idx="81">
                  <c:v>2.05355E-4</c:v>
                </c:pt>
                <c:pt idx="82">
                  <c:v>1.90576E-4</c:v>
                </c:pt>
                <c:pt idx="83">
                  <c:v>1.91731E-4</c:v>
                </c:pt>
                <c:pt idx="84">
                  <c:v>1.9212100000000001E-4</c:v>
                </c:pt>
                <c:pt idx="85">
                  <c:v>1.93494E-4</c:v>
                </c:pt>
                <c:pt idx="86">
                  <c:v>1.87691E-4</c:v>
                </c:pt>
                <c:pt idx="87">
                  <c:v>1.8742499999999999E-4</c:v>
                </c:pt>
                <c:pt idx="88">
                  <c:v>1.8652799999999999E-4</c:v>
                </c:pt>
                <c:pt idx="89">
                  <c:v>1.8754700000000001E-4</c:v>
                </c:pt>
                <c:pt idx="90">
                  <c:v>1.8718200000000001E-4</c:v>
                </c:pt>
                <c:pt idx="91">
                  <c:v>1.8313100000000001E-4</c:v>
                </c:pt>
                <c:pt idx="92">
                  <c:v>1.9338800000000001E-4</c:v>
                </c:pt>
                <c:pt idx="93">
                  <c:v>1.96374E-4</c:v>
                </c:pt>
                <c:pt idx="94">
                  <c:v>1.8278200000000001E-4</c:v>
                </c:pt>
                <c:pt idx="95">
                  <c:v>1.8249499999999999E-4</c:v>
                </c:pt>
                <c:pt idx="96">
                  <c:v>1.9372500000000001E-4</c:v>
                </c:pt>
                <c:pt idx="97">
                  <c:v>1.88362E-4</c:v>
                </c:pt>
                <c:pt idx="98">
                  <c:v>1.88424E-4</c:v>
                </c:pt>
                <c:pt idx="99">
                  <c:v>1.9078500000000001E-4</c:v>
                </c:pt>
                <c:pt idx="100">
                  <c:v>1.8939299999999999E-4</c:v>
                </c:pt>
                <c:pt idx="101">
                  <c:v>1.88362E-4</c:v>
                </c:pt>
                <c:pt idx="102">
                  <c:v>1.85785E-4</c:v>
                </c:pt>
                <c:pt idx="103">
                  <c:v>1.8703700000000001E-4</c:v>
                </c:pt>
                <c:pt idx="104">
                  <c:v>1.8511999999999999E-4</c:v>
                </c:pt>
                <c:pt idx="105">
                  <c:v>1.86892E-4</c:v>
                </c:pt>
                <c:pt idx="106">
                  <c:v>1.84883E-4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9E-47A6-8F5E-ED3CC51DBFA9}"/>
            </c:ext>
          </c:extLst>
        </c:ser>
        <c:ser>
          <c:idx val="1"/>
          <c:order val="1"/>
          <c:tx>
            <c:strRef>
              <c:f>'NAD003 P- 72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hpi'!$H$3:$H$124</c:f>
              <c:numCache>
                <c:formatCode>General</c:formatCode>
                <c:ptCount val="122"/>
                <c:pt idx="0">
                  <c:v>1.7554199999999999E-4</c:v>
                </c:pt>
                <c:pt idx="1">
                  <c:v>1.75207E-4</c:v>
                </c:pt>
                <c:pt idx="2">
                  <c:v>1.75935E-4</c:v>
                </c:pt>
                <c:pt idx="3">
                  <c:v>1.7364100000000001E-4</c:v>
                </c:pt>
                <c:pt idx="4">
                  <c:v>1.74988E-4</c:v>
                </c:pt>
                <c:pt idx="5">
                  <c:v>1.71674E-4</c:v>
                </c:pt>
                <c:pt idx="6">
                  <c:v>1.7416099999999999E-4</c:v>
                </c:pt>
                <c:pt idx="7">
                  <c:v>1.7432999999999999E-4</c:v>
                </c:pt>
                <c:pt idx="8">
                  <c:v>1.8047199999999999E-4</c:v>
                </c:pt>
                <c:pt idx="9">
                  <c:v>1.8356000000000001E-4</c:v>
                </c:pt>
                <c:pt idx="10">
                  <c:v>1.84105E-4</c:v>
                </c:pt>
                <c:pt idx="11">
                  <c:v>1.7836600000000001E-4</c:v>
                </c:pt>
                <c:pt idx="12">
                  <c:v>1.7856E-4</c:v>
                </c:pt>
                <c:pt idx="13">
                  <c:v>1.7936800000000001E-4</c:v>
                </c:pt>
                <c:pt idx="14">
                  <c:v>1.7803400000000001E-4</c:v>
                </c:pt>
                <c:pt idx="15">
                  <c:v>1.7729700000000001E-4</c:v>
                </c:pt>
                <c:pt idx="16">
                  <c:v>1.77541E-4</c:v>
                </c:pt>
                <c:pt idx="17">
                  <c:v>1.7883800000000001E-4</c:v>
                </c:pt>
                <c:pt idx="18">
                  <c:v>1.78011E-4</c:v>
                </c:pt>
                <c:pt idx="19">
                  <c:v>1.7966400000000001E-4</c:v>
                </c:pt>
                <c:pt idx="20">
                  <c:v>1.87276E-4</c:v>
                </c:pt>
                <c:pt idx="21">
                  <c:v>1.8645099999999999E-4</c:v>
                </c:pt>
                <c:pt idx="22">
                  <c:v>1.84821E-4</c:v>
                </c:pt>
                <c:pt idx="23">
                  <c:v>1.8167899999999999E-4</c:v>
                </c:pt>
                <c:pt idx="24">
                  <c:v>1.80077E-4</c:v>
                </c:pt>
                <c:pt idx="25">
                  <c:v>1.8410599999999999E-4</c:v>
                </c:pt>
                <c:pt idx="26">
                  <c:v>1.8543800000000001E-4</c:v>
                </c:pt>
                <c:pt idx="27">
                  <c:v>1.8047699999999999E-4</c:v>
                </c:pt>
                <c:pt idx="28">
                  <c:v>1.8020800000000001E-4</c:v>
                </c:pt>
                <c:pt idx="29">
                  <c:v>2.39983E-5</c:v>
                </c:pt>
                <c:pt idx="30">
                  <c:v>2.3801199999999998E-5</c:v>
                </c:pt>
                <c:pt idx="31">
                  <c:v>2.3568299999999999E-5</c:v>
                </c:pt>
                <c:pt idx="32">
                  <c:v>2.3401299999999999E-5</c:v>
                </c:pt>
                <c:pt idx="33">
                  <c:v>2.3294599999999999E-5</c:v>
                </c:pt>
                <c:pt idx="34">
                  <c:v>2.3213600000000001E-5</c:v>
                </c:pt>
                <c:pt idx="35">
                  <c:v>2.3109099999999999E-5</c:v>
                </c:pt>
                <c:pt idx="36">
                  <c:v>2.3038299999999999E-5</c:v>
                </c:pt>
                <c:pt idx="37">
                  <c:v>2.29583E-5</c:v>
                </c:pt>
                <c:pt idx="38">
                  <c:v>2.28855E-5</c:v>
                </c:pt>
                <c:pt idx="39">
                  <c:v>1.84129E-4</c:v>
                </c:pt>
                <c:pt idx="40">
                  <c:v>1.84267E-4</c:v>
                </c:pt>
                <c:pt idx="41">
                  <c:v>1.8299399999999999E-4</c:v>
                </c:pt>
                <c:pt idx="42">
                  <c:v>1.8210000000000001E-4</c:v>
                </c:pt>
                <c:pt idx="43">
                  <c:v>1.8285099999999999E-4</c:v>
                </c:pt>
                <c:pt idx="44">
                  <c:v>1.83504E-4</c:v>
                </c:pt>
                <c:pt idx="45">
                  <c:v>1.83072E-4</c:v>
                </c:pt>
                <c:pt idx="46">
                  <c:v>1.9091600000000001E-4</c:v>
                </c:pt>
                <c:pt idx="47">
                  <c:v>1.9259600000000001E-4</c:v>
                </c:pt>
                <c:pt idx="48">
                  <c:v>1.8982299999999999E-4</c:v>
                </c:pt>
                <c:pt idx="49">
                  <c:v>1.9176800000000001E-4</c:v>
                </c:pt>
                <c:pt idx="50">
                  <c:v>1.9066100000000001E-4</c:v>
                </c:pt>
                <c:pt idx="51">
                  <c:v>1.8650200000000001E-4</c:v>
                </c:pt>
                <c:pt idx="52">
                  <c:v>1.8857600000000001E-4</c:v>
                </c:pt>
                <c:pt idx="53">
                  <c:v>1.9388700000000001E-4</c:v>
                </c:pt>
                <c:pt idx="54">
                  <c:v>1.9364499999999999E-4</c:v>
                </c:pt>
                <c:pt idx="55">
                  <c:v>1.9641099999999999E-4</c:v>
                </c:pt>
                <c:pt idx="56">
                  <c:v>1.96489E-4</c:v>
                </c:pt>
                <c:pt idx="57">
                  <c:v>1.96474E-4</c:v>
                </c:pt>
                <c:pt idx="58">
                  <c:v>1.9610600000000001E-4</c:v>
                </c:pt>
                <c:pt idx="59">
                  <c:v>1.95971E-4</c:v>
                </c:pt>
                <c:pt idx="60">
                  <c:v>1.9550899999999999E-4</c:v>
                </c:pt>
                <c:pt idx="61">
                  <c:v>1.9716199999999999E-4</c:v>
                </c:pt>
                <c:pt idx="62">
                  <c:v>1.9803400000000001E-4</c:v>
                </c:pt>
                <c:pt idx="63">
                  <c:v>1.9776799999999999E-4</c:v>
                </c:pt>
                <c:pt idx="64">
                  <c:v>1.9816199999999999E-4</c:v>
                </c:pt>
                <c:pt idx="65">
                  <c:v>1.9741100000000001E-4</c:v>
                </c:pt>
                <c:pt idx="66">
                  <c:v>1.9842199999999999E-4</c:v>
                </c:pt>
                <c:pt idx="67">
                  <c:v>1.98438E-4</c:v>
                </c:pt>
                <c:pt idx="68">
                  <c:v>2.2816E-5</c:v>
                </c:pt>
                <c:pt idx="69">
                  <c:v>2.28996E-5</c:v>
                </c:pt>
                <c:pt idx="70">
                  <c:v>2.2878E-5</c:v>
                </c:pt>
                <c:pt idx="71">
                  <c:v>2.2873600000000001E-5</c:v>
                </c:pt>
                <c:pt idx="72">
                  <c:v>2.2855200000000001E-5</c:v>
                </c:pt>
                <c:pt idx="73">
                  <c:v>2.2818899999999999E-5</c:v>
                </c:pt>
                <c:pt idx="74">
                  <c:v>2.2781499999999999E-5</c:v>
                </c:pt>
                <c:pt idx="75">
                  <c:v>2.27437E-5</c:v>
                </c:pt>
                <c:pt idx="76">
                  <c:v>2.2719500000000002E-5</c:v>
                </c:pt>
                <c:pt idx="77">
                  <c:v>2.26908E-5</c:v>
                </c:pt>
                <c:pt idx="78">
                  <c:v>1.76885E-4</c:v>
                </c:pt>
                <c:pt idx="79">
                  <c:v>1.8280099999999999E-4</c:v>
                </c:pt>
                <c:pt idx="80">
                  <c:v>1.8290299999999999E-4</c:v>
                </c:pt>
                <c:pt idx="81">
                  <c:v>1.8510600000000001E-4</c:v>
                </c:pt>
                <c:pt idx="82">
                  <c:v>1.8562099999999999E-4</c:v>
                </c:pt>
                <c:pt idx="83">
                  <c:v>1.87126E-4</c:v>
                </c:pt>
                <c:pt idx="84">
                  <c:v>1.9383200000000001E-4</c:v>
                </c:pt>
                <c:pt idx="85">
                  <c:v>1.9607399999999999E-4</c:v>
                </c:pt>
                <c:pt idx="86">
                  <c:v>1.9678999999999999E-4</c:v>
                </c:pt>
                <c:pt idx="87">
                  <c:v>1.95992E-4</c:v>
                </c:pt>
                <c:pt idx="88">
                  <c:v>1.9737800000000001E-4</c:v>
                </c:pt>
                <c:pt idx="89">
                  <c:v>1.9612699999999999E-4</c:v>
                </c:pt>
                <c:pt idx="90">
                  <c:v>1.9042899999999999E-4</c:v>
                </c:pt>
                <c:pt idx="91">
                  <c:v>1.93353E-4</c:v>
                </c:pt>
                <c:pt idx="92">
                  <c:v>1.9612699999999999E-4</c:v>
                </c:pt>
                <c:pt idx="93">
                  <c:v>1.9850600000000001E-4</c:v>
                </c:pt>
                <c:pt idx="94">
                  <c:v>1.9791700000000001E-4</c:v>
                </c:pt>
                <c:pt idx="95">
                  <c:v>1.9693900000000001E-4</c:v>
                </c:pt>
                <c:pt idx="96">
                  <c:v>1.94806E-4</c:v>
                </c:pt>
                <c:pt idx="97">
                  <c:v>1.9488900000000001E-4</c:v>
                </c:pt>
                <c:pt idx="98">
                  <c:v>1.9327400000000001E-4</c:v>
                </c:pt>
                <c:pt idx="99">
                  <c:v>1.9468E-4</c:v>
                </c:pt>
                <c:pt idx="100">
                  <c:v>1.9701199999999999E-4</c:v>
                </c:pt>
                <c:pt idx="101">
                  <c:v>1.9757800000000001E-4</c:v>
                </c:pt>
                <c:pt idx="102">
                  <c:v>1.9748500000000001E-4</c:v>
                </c:pt>
                <c:pt idx="103">
                  <c:v>2.0933900000000001E-4</c:v>
                </c:pt>
                <c:pt idx="104">
                  <c:v>2.09454E-4</c:v>
                </c:pt>
                <c:pt idx="105">
                  <c:v>2.0383000000000001E-4</c:v>
                </c:pt>
                <c:pt idx="106">
                  <c:v>1.92881E-4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9E-47A6-8F5E-ED3CC51DBFA9}"/>
            </c:ext>
          </c:extLst>
        </c:ser>
        <c:ser>
          <c:idx val="2"/>
          <c:order val="2"/>
          <c:tx>
            <c:strRef>
              <c:f>'NAD003 P- 72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hpi'!$M$3:$M$124</c:f>
              <c:numCache>
                <c:formatCode>0.00E+00</c:formatCode>
                <c:ptCount val="122"/>
                <c:pt idx="0">
                  <c:v>2.1869700000000001E-4</c:v>
                </c:pt>
                <c:pt idx="1">
                  <c:v>2.1884699999999999E-4</c:v>
                </c:pt>
                <c:pt idx="2">
                  <c:v>2.2109699999999999E-4</c:v>
                </c:pt>
                <c:pt idx="3">
                  <c:v>2.1826899999999999E-4</c:v>
                </c:pt>
                <c:pt idx="4">
                  <c:v>2.19896E-4</c:v>
                </c:pt>
                <c:pt idx="5">
                  <c:v>2.17627E-4</c:v>
                </c:pt>
                <c:pt idx="6">
                  <c:v>2.1860400000000001E-4</c:v>
                </c:pt>
                <c:pt idx="7">
                  <c:v>2.17493E-4</c:v>
                </c:pt>
                <c:pt idx="8">
                  <c:v>2.17791E-4</c:v>
                </c:pt>
                <c:pt idx="9">
                  <c:v>2.1919100000000001E-4</c:v>
                </c:pt>
                <c:pt idx="10">
                  <c:v>2.1928400000000001E-4</c:v>
                </c:pt>
                <c:pt idx="11">
                  <c:v>2.1750200000000001E-4</c:v>
                </c:pt>
                <c:pt idx="12">
                  <c:v>2.1708799999999999E-4</c:v>
                </c:pt>
                <c:pt idx="13">
                  <c:v>2.1820699999999999E-4</c:v>
                </c:pt>
                <c:pt idx="14">
                  <c:v>2.1973300000000001E-4</c:v>
                </c:pt>
                <c:pt idx="15">
                  <c:v>2.1488400000000001E-4</c:v>
                </c:pt>
                <c:pt idx="16">
                  <c:v>2.1562099999999999E-4</c:v>
                </c:pt>
                <c:pt idx="17">
                  <c:v>2.1649199999999999E-4</c:v>
                </c:pt>
                <c:pt idx="18">
                  <c:v>2.2059299999999999E-4</c:v>
                </c:pt>
                <c:pt idx="19">
                  <c:v>2.1912799999999999E-4</c:v>
                </c:pt>
                <c:pt idx="20">
                  <c:v>2.21022E-4</c:v>
                </c:pt>
                <c:pt idx="21">
                  <c:v>2.19874E-4</c:v>
                </c:pt>
                <c:pt idx="22">
                  <c:v>2.2209399999999999E-4</c:v>
                </c:pt>
                <c:pt idx="23">
                  <c:v>2.2176800000000001E-4</c:v>
                </c:pt>
                <c:pt idx="24">
                  <c:v>2.24272E-4</c:v>
                </c:pt>
                <c:pt idx="25">
                  <c:v>2.2366700000000001E-4</c:v>
                </c:pt>
                <c:pt idx="26">
                  <c:v>2.2456399999999999E-4</c:v>
                </c:pt>
                <c:pt idx="27">
                  <c:v>2.24124E-4</c:v>
                </c:pt>
                <c:pt idx="28">
                  <c:v>2.2308899999999999E-4</c:v>
                </c:pt>
                <c:pt idx="29">
                  <c:v>3.0567500000000002E-5</c:v>
                </c:pt>
                <c:pt idx="30">
                  <c:v>3.0322299999999999E-5</c:v>
                </c:pt>
                <c:pt idx="31">
                  <c:v>2.9909699999999999E-5</c:v>
                </c:pt>
                <c:pt idx="32">
                  <c:v>2.95286E-5</c:v>
                </c:pt>
                <c:pt idx="33">
                  <c:v>2.9257100000000001E-5</c:v>
                </c:pt>
                <c:pt idx="34">
                  <c:v>2.9080800000000001E-5</c:v>
                </c:pt>
                <c:pt idx="35">
                  <c:v>2.89118E-5</c:v>
                </c:pt>
                <c:pt idx="36">
                  <c:v>2.8781799999999999E-5</c:v>
                </c:pt>
                <c:pt idx="37">
                  <c:v>2.8668100000000001E-5</c:v>
                </c:pt>
                <c:pt idx="38">
                  <c:v>2.8599299999999999E-5</c:v>
                </c:pt>
                <c:pt idx="39">
                  <c:v>2.12828E-4</c:v>
                </c:pt>
                <c:pt idx="40">
                  <c:v>2.1647300000000001E-4</c:v>
                </c:pt>
                <c:pt idx="41">
                  <c:v>2.1564899999999999E-4</c:v>
                </c:pt>
                <c:pt idx="42">
                  <c:v>2.1317100000000001E-4</c:v>
                </c:pt>
                <c:pt idx="43">
                  <c:v>2.1211600000000001E-4</c:v>
                </c:pt>
                <c:pt idx="44">
                  <c:v>2.1385299999999999E-4</c:v>
                </c:pt>
                <c:pt idx="45">
                  <c:v>2.1333999999999999E-4</c:v>
                </c:pt>
                <c:pt idx="46">
                  <c:v>2.16746E-4</c:v>
                </c:pt>
                <c:pt idx="47">
                  <c:v>2.17519E-4</c:v>
                </c:pt>
                <c:pt idx="48">
                  <c:v>2.0995700000000001E-4</c:v>
                </c:pt>
                <c:pt idx="49">
                  <c:v>2.2192100000000001E-4</c:v>
                </c:pt>
                <c:pt idx="50">
                  <c:v>2.2196600000000001E-4</c:v>
                </c:pt>
                <c:pt idx="51">
                  <c:v>2.21938E-4</c:v>
                </c:pt>
                <c:pt idx="52">
                  <c:v>2.2253099999999999E-4</c:v>
                </c:pt>
                <c:pt idx="53">
                  <c:v>2.22E-4</c:v>
                </c:pt>
                <c:pt idx="54">
                  <c:v>2.2323500000000001E-4</c:v>
                </c:pt>
                <c:pt idx="55">
                  <c:v>2.20616E-4</c:v>
                </c:pt>
                <c:pt idx="56">
                  <c:v>2.1938E-4</c:v>
                </c:pt>
                <c:pt idx="57">
                  <c:v>2.1997400000000001E-4</c:v>
                </c:pt>
                <c:pt idx="58">
                  <c:v>2.2449199999999999E-4</c:v>
                </c:pt>
                <c:pt idx="59">
                  <c:v>2.2433300000000001E-4</c:v>
                </c:pt>
                <c:pt idx="60">
                  <c:v>2.1966100000000001E-4</c:v>
                </c:pt>
                <c:pt idx="61">
                  <c:v>2.2043099999999999E-4</c:v>
                </c:pt>
                <c:pt idx="62">
                  <c:v>2.2042200000000001E-4</c:v>
                </c:pt>
                <c:pt idx="63">
                  <c:v>2.25045E-4</c:v>
                </c:pt>
                <c:pt idx="64">
                  <c:v>2.23038E-4</c:v>
                </c:pt>
                <c:pt idx="65">
                  <c:v>2.2238600000000001E-4</c:v>
                </c:pt>
                <c:pt idx="66">
                  <c:v>2.23697E-4</c:v>
                </c:pt>
                <c:pt idx="67">
                  <c:v>2.2598299999999999E-4</c:v>
                </c:pt>
                <c:pt idx="68">
                  <c:v>2.8464100000000001E-5</c:v>
                </c:pt>
                <c:pt idx="69">
                  <c:v>2.8528299999999999E-5</c:v>
                </c:pt>
                <c:pt idx="70">
                  <c:v>2.8449599999999999E-5</c:v>
                </c:pt>
                <c:pt idx="71">
                  <c:v>2.84218E-5</c:v>
                </c:pt>
                <c:pt idx="72">
                  <c:v>2.8379400000000001E-5</c:v>
                </c:pt>
                <c:pt idx="73">
                  <c:v>2.8308300000000001E-5</c:v>
                </c:pt>
                <c:pt idx="74">
                  <c:v>2.8274699999999999E-5</c:v>
                </c:pt>
                <c:pt idx="75">
                  <c:v>2.8205399999999999E-5</c:v>
                </c:pt>
                <c:pt idx="76">
                  <c:v>2.81423E-5</c:v>
                </c:pt>
                <c:pt idx="77">
                  <c:v>2.8076899999999999E-5</c:v>
                </c:pt>
                <c:pt idx="78">
                  <c:v>2.2139800000000001E-4</c:v>
                </c:pt>
                <c:pt idx="79">
                  <c:v>2.28874E-4</c:v>
                </c:pt>
                <c:pt idx="80">
                  <c:v>2.2707200000000001E-4</c:v>
                </c:pt>
                <c:pt idx="81">
                  <c:v>2.2098800000000001E-4</c:v>
                </c:pt>
                <c:pt idx="82">
                  <c:v>2.2146899999999999E-4</c:v>
                </c:pt>
                <c:pt idx="83">
                  <c:v>2.26107E-4</c:v>
                </c:pt>
                <c:pt idx="84">
                  <c:v>2.25522E-4</c:v>
                </c:pt>
                <c:pt idx="85">
                  <c:v>2.2374299999999999E-4</c:v>
                </c:pt>
                <c:pt idx="86">
                  <c:v>2.2418899999999999E-4</c:v>
                </c:pt>
                <c:pt idx="87">
                  <c:v>2.2359499999999999E-4</c:v>
                </c:pt>
                <c:pt idx="88">
                  <c:v>2.2394799999999999E-4</c:v>
                </c:pt>
                <c:pt idx="89">
                  <c:v>2.23532E-4</c:v>
                </c:pt>
                <c:pt idx="90">
                  <c:v>2.2416100000000001E-4</c:v>
                </c:pt>
                <c:pt idx="91">
                  <c:v>2.22745E-4</c:v>
                </c:pt>
                <c:pt idx="92">
                  <c:v>2.23198E-4</c:v>
                </c:pt>
                <c:pt idx="93">
                  <c:v>2.2193700000000001E-4</c:v>
                </c:pt>
                <c:pt idx="94">
                  <c:v>2.2514900000000001E-4</c:v>
                </c:pt>
                <c:pt idx="95">
                  <c:v>2.2306299999999999E-4</c:v>
                </c:pt>
                <c:pt idx="96">
                  <c:v>2.2206999999999999E-4</c:v>
                </c:pt>
                <c:pt idx="97">
                  <c:v>2.2178399999999999E-4</c:v>
                </c:pt>
                <c:pt idx="98">
                  <c:v>2.2357200000000001E-4</c:v>
                </c:pt>
                <c:pt idx="99">
                  <c:v>2.24866E-4</c:v>
                </c:pt>
                <c:pt idx="100">
                  <c:v>2.2180299999999999E-4</c:v>
                </c:pt>
                <c:pt idx="101">
                  <c:v>2.2656799999999999E-4</c:v>
                </c:pt>
                <c:pt idx="102">
                  <c:v>2.2771299999999999E-4</c:v>
                </c:pt>
                <c:pt idx="103">
                  <c:v>2.2933799999999999E-4</c:v>
                </c:pt>
                <c:pt idx="104">
                  <c:v>2.26457E-4</c:v>
                </c:pt>
                <c:pt idx="105">
                  <c:v>2.27693E-4</c:v>
                </c:pt>
                <c:pt idx="106">
                  <c:v>2.2488200000000001E-4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9E-47A6-8F5E-ED3CC51DBFA9}"/>
            </c:ext>
          </c:extLst>
        </c:ser>
        <c:ser>
          <c:idx val="3"/>
          <c:order val="3"/>
          <c:tx>
            <c:strRef>
              <c:f>'NAD003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9E-47A6-8F5E-ED3CC51DB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P- 72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100.41989101266849</c:v>
                </c:pt>
                <c:pt idx="2">
                  <c:v>100.80401065906976</c:v>
                </c:pt>
                <c:pt idx="3">
                  <c:v>101.00528891947231</c:v>
                </c:pt>
                <c:pt idx="4">
                  <c:v>101.30211839886771</c:v>
                </c:pt>
                <c:pt idx="5">
                  <c:v>101.50124449037234</c:v>
                </c:pt>
                <c:pt idx="6">
                  <c:v>101.75478860831544</c:v>
                </c:pt>
                <c:pt idx="7">
                  <c:v>101.92218704485931</c:v>
                </c:pt>
                <c:pt idx="8">
                  <c:v>102.25586446444346</c:v>
                </c:pt>
                <c:pt idx="9">
                  <c:v>102.55714374206644</c:v>
                </c:pt>
                <c:pt idx="10">
                  <c:v>102.78755170192068</c:v>
                </c:pt>
                <c:pt idx="11">
                  <c:v>102.89945371921101</c:v>
                </c:pt>
                <c:pt idx="12">
                  <c:v>103.21947225573014</c:v>
                </c:pt>
                <c:pt idx="13">
                  <c:v>103.38431557701013</c:v>
                </c:pt>
                <c:pt idx="14">
                  <c:v>103.60948962473157</c:v>
                </c:pt>
                <c:pt idx="15">
                  <c:v>103.75366001677253</c:v>
                </c:pt>
                <c:pt idx="16">
                  <c:v>104.06868732749349</c:v>
                </c:pt>
                <c:pt idx="17">
                  <c:v>104.23308806362665</c:v>
                </c:pt>
                <c:pt idx="18">
                  <c:v>104.50687836642474</c:v>
                </c:pt>
                <c:pt idx="19">
                  <c:v>104.65015760932836</c:v>
                </c:pt>
                <c:pt idx="20">
                  <c:v>104.99802012042998</c:v>
                </c:pt>
                <c:pt idx="21">
                  <c:v>105.19481893815275</c:v>
                </c:pt>
                <c:pt idx="22">
                  <c:v>105.30076206738379</c:v>
                </c:pt>
                <c:pt idx="23">
                  <c:v>105.34099623352159</c:v>
                </c:pt>
                <c:pt idx="24">
                  <c:v>105.51165382257676</c:v>
                </c:pt>
                <c:pt idx="25">
                  <c:v>105.67961440537141</c:v>
                </c:pt>
                <c:pt idx="26">
                  <c:v>106.00525823716465</c:v>
                </c:pt>
                <c:pt idx="27">
                  <c:v>106.06527273133327</c:v>
                </c:pt>
                <c:pt idx="28">
                  <c:v>106.24984488396446</c:v>
                </c:pt>
                <c:pt idx="29">
                  <c:v>0.12208237277499771</c:v>
                </c:pt>
                <c:pt idx="30">
                  <c:v>0.11712373628940731</c:v>
                </c:pt>
                <c:pt idx="31">
                  <c:v>0.11306141359756898</c:v>
                </c:pt>
                <c:pt idx="32">
                  <c:v>0.10960917841839578</c:v>
                </c:pt>
                <c:pt idx="33">
                  <c:v>0.10746549126231582</c:v>
                </c:pt>
                <c:pt idx="34">
                  <c:v>0.10510308325482727</c:v>
                </c:pt>
                <c:pt idx="35">
                  <c:v>0.10311238631075841</c:v>
                </c:pt>
                <c:pt idx="36">
                  <c:v>0.10135118471625892</c:v>
                </c:pt>
                <c:pt idx="37">
                  <c:v>9.9136364929855711E-2</c:v>
                </c:pt>
                <c:pt idx="38">
                  <c:v>9.7651796997900997E-2</c:v>
                </c:pt>
                <c:pt idx="39">
                  <c:v>79.225891208413302</c:v>
                </c:pt>
                <c:pt idx="40">
                  <c:v>81.721681168982769</c:v>
                </c:pt>
                <c:pt idx="41">
                  <c:v>83.526362348163318</c:v>
                </c:pt>
                <c:pt idx="42">
                  <c:v>85.055915126950467</c:v>
                </c:pt>
                <c:pt idx="43">
                  <c:v>86.314246249343071</c:v>
                </c:pt>
                <c:pt idx="44">
                  <c:v>87.317269780341576</c:v>
                </c:pt>
                <c:pt idx="45">
                  <c:v>88.089840413208435</c:v>
                </c:pt>
                <c:pt idx="46">
                  <c:v>88.892899162382818</c:v>
                </c:pt>
                <c:pt idx="47">
                  <c:v>89.509748017194241</c:v>
                </c:pt>
                <c:pt idx="48">
                  <c:v>89.884981259976897</c:v>
                </c:pt>
                <c:pt idx="49">
                  <c:v>90.483860841286386</c:v>
                </c:pt>
                <c:pt idx="50">
                  <c:v>91.005605737159087</c:v>
                </c:pt>
                <c:pt idx="51">
                  <c:v>91.341525497606824</c:v>
                </c:pt>
                <c:pt idx="52">
                  <c:v>91.773514093475839</c:v>
                </c:pt>
                <c:pt idx="53">
                  <c:v>92.365424809854758</c:v>
                </c:pt>
                <c:pt idx="54">
                  <c:v>92.645125331179443</c:v>
                </c:pt>
                <c:pt idx="55">
                  <c:v>92.890282986921932</c:v>
                </c:pt>
                <c:pt idx="56">
                  <c:v>93.228484761627428</c:v>
                </c:pt>
                <c:pt idx="57">
                  <c:v>93.449186021433206</c:v>
                </c:pt>
                <c:pt idx="58">
                  <c:v>93.829773066108928</c:v>
                </c:pt>
                <c:pt idx="59">
                  <c:v>94.197700493104378</c:v>
                </c:pt>
                <c:pt idx="60">
                  <c:v>94.360548933270522</c:v>
                </c:pt>
                <c:pt idx="61">
                  <c:v>94.663212627419099</c:v>
                </c:pt>
                <c:pt idx="62">
                  <c:v>95.028163949239499</c:v>
                </c:pt>
                <c:pt idx="63">
                  <c:v>95.217156143574542</c:v>
                </c:pt>
                <c:pt idx="64">
                  <c:v>95.401581306753883</c:v>
                </c:pt>
                <c:pt idx="65">
                  <c:v>95.546000773974356</c:v>
                </c:pt>
                <c:pt idx="66">
                  <c:v>95.831119980968936</c:v>
                </c:pt>
                <c:pt idx="67">
                  <c:v>96.122181352782675</c:v>
                </c:pt>
                <c:pt idx="68">
                  <c:v>8.584943988083181E-2</c:v>
                </c:pt>
                <c:pt idx="69">
                  <c:v>8.5642293332496941E-2</c:v>
                </c:pt>
                <c:pt idx="70">
                  <c:v>8.5393684494505351E-2</c:v>
                </c:pt>
                <c:pt idx="71">
                  <c:v>8.4136487382646619E-2</c:v>
                </c:pt>
                <c:pt idx="72">
                  <c:v>8.3396947046051731E-2</c:v>
                </c:pt>
                <c:pt idx="73">
                  <c:v>8.2072448020253555E-2</c:v>
                </c:pt>
                <c:pt idx="74">
                  <c:v>8.0673905349751801E-2</c:v>
                </c:pt>
                <c:pt idx="75">
                  <c:v>7.8798207094467818E-2</c:v>
                </c:pt>
                <c:pt idx="76">
                  <c:v>7.7676316625317252E-2</c:v>
                </c:pt>
                <c:pt idx="77">
                  <c:v>7.6644072777587766E-2</c:v>
                </c:pt>
                <c:pt idx="78">
                  <c:v>80.368075446372401</c:v>
                </c:pt>
                <c:pt idx="79">
                  <c:v>82.928328737682008</c:v>
                </c:pt>
                <c:pt idx="80">
                  <c:v>84.827323462756041</c:v>
                </c:pt>
                <c:pt idx="81">
                  <c:v>86.303642618257683</c:v>
                </c:pt>
                <c:pt idx="82">
                  <c:v>87.371187763239107</c:v>
                </c:pt>
                <c:pt idx="83">
                  <c:v>88.355998157946999</c:v>
                </c:pt>
                <c:pt idx="84">
                  <c:v>89.264176985441452</c:v>
                </c:pt>
                <c:pt idx="85">
                  <c:v>90.148784766068914</c:v>
                </c:pt>
                <c:pt idx="86">
                  <c:v>90.644494896059939</c:v>
                </c:pt>
                <c:pt idx="87">
                  <c:v>91.136919559748051</c:v>
                </c:pt>
                <c:pt idx="88">
                  <c:v>91.565971168722015</c:v>
                </c:pt>
                <c:pt idx="89">
                  <c:v>92.069373157206826</c:v>
                </c:pt>
                <c:pt idx="90">
                  <c:v>92.499165915172853</c:v>
                </c:pt>
                <c:pt idx="91">
                  <c:v>93.066938906418116</c:v>
                </c:pt>
                <c:pt idx="92">
                  <c:v>93.610120308369076</c:v>
                </c:pt>
                <c:pt idx="93">
                  <c:v>94.022223615468889</c:v>
                </c:pt>
                <c:pt idx="94">
                  <c:v>94.208627297188784</c:v>
                </c:pt>
                <c:pt idx="95">
                  <c:v>94.394732185207218</c:v>
                </c:pt>
                <c:pt idx="96">
                  <c:v>94.859342366065334</c:v>
                </c:pt>
                <c:pt idx="97">
                  <c:v>94.966367310107515</c:v>
                </c:pt>
                <c:pt idx="98">
                  <c:v>95.406390821635412</c:v>
                </c:pt>
                <c:pt idx="99">
                  <c:v>95.713222346014206</c:v>
                </c:pt>
                <c:pt idx="100">
                  <c:v>96.101312389937277</c:v>
                </c:pt>
                <c:pt idx="101">
                  <c:v>96.498685571789835</c:v>
                </c:pt>
                <c:pt idx="102">
                  <c:v>96.579315540492928</c:v>
                </c:pt>
                <c:pt idx="103">
                  <c:v>97.087183509880219</c:v>
                </c:pt>
                <c:pt idx="104">
                  <c:v>97.254214832347074</c:v>
                </c:pt>
                <c:pt idx="105">
                  <c:v>97.29096780030568</c:v>
                </c:pt>
                <c:pt idx="106">
                  <c:v>97.41031810322535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3-4EF7-9273-B059DE04019C}"/>
            </c:ext>
          </c:extLst>
        </c:ser>
        <c:ser>
          <c:idx val="1"/>
          <c:order val="1"/>
          <c:tx>
            <c:strRef>
              <c:f>'NAD003 P- 72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P- 72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P- 72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100.25577855537385</c:v>
                </c:pt>
                <c:pt idx="2">
                  <c:v>101.39883103363427</c:v>
                </c:pt>
                <c:pt idx="3">
                  <c:v>100.14800858741654</c:v>
                </c:pt>
                <c:pt idx="4">
                  <c:v>100.99138064183954</c:v>
                </c:pt>
                <c:pt idx="5">
                  <c:v>100.06101437347225</c:v>
                </c:pt>
                <c:pt idx="6">
                  <c:v>99.820381037762544</c:v>
                </c:pt>
                <c:pt idx="7">
                  <c:v>99.365160456224203</c:v>
                </c:pt>
                <c:pt idx="8">
                  <c:v>100.75758803747762</c:v>
                </c:pt>
                <c:pt idx="9">
                  <c:v>101.81415222872378</c:v>
                </c:pt>
                <c:pt idx="10">
                  <c:v>101.7276031542972</c:v>
                </c:pt>
                <c:pt idx="11">
                  <c:v>100.49192499312004</c:v>
                </c:pt>
                <c:pt idx="12">
                  <c:v>101.1937420234958</c:v>
                </c:pt>
                <c:pt idx="13">
                  <c:v>101.9190662411158</c:v>
                </c:pt>
                <c:pt idx="14">
                  <c:v>101.78383678533426</c:v>
                </c:pt>
                <c:pt idx="15">
                  <c:v>101.00701468354968</c:v>
                </c:pt>
                <c:pt idx="16">
                  <c:v>101.84396471067906</c:v>
                </c:pt>
                <c:pt idx="17">
                  <c:v>101.79164065501514</c:v>
                </c:pt>
                <c:pt idx="18">
                  <c:v>102.17369436247725</c:v>
                </c:pt>
                <c:pt idx="19">
                  <c:v>102.59736872686734</c:v>
                </c:pt>
                <c:pt idx="20">
                  <c:v>104.25725091536709</c:v>
                </c:pt>
                <c:pt idx="21">
                  <c:v>104.01811945683728</c:v>
                </c:pt>
                <c:pt idx="22">
                  <c:v>104.48411582314804</c:v>
                </c:pt>
                <c:pt idx="23">
                  <c:v>103.56178540868056</c:v>
                </c:pt>
                <c:pt idx="24">
                  <c:v>103.42943126269959</c:v>
                </c:pt>
                <c:pt idx="25">
                  <c:v>103.49374160440659</c:v>
                </c:pt>
                <c:pt idx="26">
                  <c:v>105.26961491878744</c:v>
                </c:pt>
                <c:pt idx="27">
                  <c:v>103.40748433035147</c:v>
                </c:pt>
                <c:pt idx="28">
                  <c:v>103.30887096930753</c:v>
                </c:pt>
                <c:pt idx="29">
                  <c:v>13.48506358233017</c:v>
                </c:pt>
                <c:pt idx="30">
                  <c:v>13.384023813141171</c:v>
                </c:pt>
                <c:pt idx="31">
                  <c:v>13.247444919429498</c:v>
                </c:pt>
                <c:pt idx="32">
                  <c:v>13.142410445764284</c:v>
                </c:pt>
                <c:pt idx="33">
                  <c:v>13.067545378118744</c:v>
                </c:pt>
                <c:pt idx="34">
                  <c:v>13.013059044338211</c:v>
                </c:pt>
                <c:pt idx="35">
                  <c:v>12.955707880385043</c:v>
                </c:pt>
                <c:pt idx="36">
                  <c:v>12.908536890384733</c:v>
                </c:pt>
                <c:pt idx="37">
                  <c:v>12.86551621531755</c:v>
                </c:pt>
                <c:pt idx="38">
                  <c:v>12.830724946869188</c:v>
                </c:pt>
                <c:pt idx="39">
                  <c:v>103.81078525479994</c:v>
                </c:pt>
                <c:pt idx="40">
                  <c:v>105.35058209828487</c:v>
                </c:pt>
                <c:pt idx="41">
                  <c:v>104.0056510636678</c:v>
                </c:pt>
                <c:pt idx="42">
                  <c:v>102.512852215802</c:v>
                </c:pt>
                <c:pt idx="43">
                  <c:v>102.4079367353786</c:v>
                </c:pt>
                <c:pt idx="44">
                  <c:v>102.90149417109268</c:v>
                </c:pt>
                <c:pt idx="45">
                  <c:v>103.08442448668974</c:v>
                </c:pt>
                <c:pt idx="46">
                  <c:v>104.66857736498814</c:v>
                </c:pt>
                <c:pt idx="47">
                  <c:v>105.22569817591675</c:v>
                </c:pt>
                <c:pt idx="48">
                  <c:v>103.71794418735099</c:v>
                </c:pt>
                <c:pt idx="49">
                  <c:v>105.62565189786119</c:v>
                </c:pt>
                <c:pt idx="50">
                  <c:v>105.81637030046993</c:v>
                </c:pt>
                <c:pt idx="51">
                  <c:v>103.91737024407648</c:v>
                </c:pt>
                <c:pt idx="52">
                  <c:v>104.49706779366953</c:v>
                </c:pt>
                <c:pt idx="53">
                  <c:v>105.18050644157347</c:v>
                </c:pt>
                <c:pt idx="54">
                  <c:v>104.76759150412381</c:v>
                </c:pt>
                <c:pt idx="55">
                  <c:v>104.54713023864217</c:v>
                </c:pt>
                <c:pt idx="56">
                  <c:v>104.12887047043175</c:v>
                </c:pt>
                <c:pt idx="57">
                  <c:v>103.81223539708999</c:v>
                </c:pt>
                <c:pt idx="58">
                  <c:v>103.55127970959596</c:v>
                </c:pt>
                <c:pt idx="59">
                  <c:v>105.34287026512062</c:v>
                </c:pt>
                <c:pt idx="60">
                  <c:v>103.96416255544692</c:v>
                </c:pt>
                <c:pt idx="61">
                  <c:v>103.26300660093409</c:v>
                </c:pt>
                <c:pt idx="62">
                  <c:v>104.8928880246345</c:v>
                </c:pt>
                <c:pt idx="63">
                  <c:v>105.79485862616868</c:v>
                </c:pt>
                <c:pt idx="64">
                  <c:v>104.57124100064652</c:v>
                </c:pt>
                <c:pt idx="65">
                  <c:v>103.96596470467978</c:v>
                </c:pt>
                <c:pt idx="66">
                  <c:v>105.86539373769763</c:v>
                </c:pt>
                <c:pt idx="67">
                  <c:v>105.62566742142837</c:v>
                </c:pt>
                <c:pt idx="68">
                  <c:v>12.798804435741234</c:v>
                </c:pt>
                <c:pt idx="69">
                  <c:v>12.835486211126161</c:v>
                </c:pt>
                <c:pt idx="70">
                  <c:v>12.809859404115636</c:v>
                </c:pt>
                <c:pt idx="71">
                  <c:v>12.794454810129409</c:v>
                </c:pt>
                <c:pt idx="72">
                  <c:v>12.778269390362816</c:v>
                </c:pt>
                <c:pt idx="73">
                  <c:v>12.751736938235091</c:v>
                </c:pt>
                <c:pt idx="74">
                  <c:v>12.732072699365318</c:v>
                </c:pt>
                <c:pt idx="75">
                  <c:v>12.707394725668356</c:v>
                </c:pt>
                <c:pt idx="76">
                  <c:v>12.686244220721472</c:v>
                </c:pt>
                <c:pt idx="77">
                  <c:v>12.663179974109687</c:v>
                </c:pt>
                <c:pt idx="78">
                  <c:v>107.03982260817294</c:v>
                </c:pt>
                <c:pt idx="79">
                  <c:v>109.30323605553495</c:v>
                </c:pt>
                <c:pt idx="80">
                  <c:v>108.64082720699146</c:v>
                </c:pt>
                <c:pt idx="81">
                  <c:v>107.12979812940084</c:v>
                </c:pt>
                <c:pt idx="82">
                  <c:v>104.5446815240266</c:v>
                </c:pt>
                <c:pt idx="83">
                  <c:v>105.75277990784819</c:v>
                </c:pt>
                <c:pt idx="84">
                  <c:v>107.00973828790751</c:v>
                </c:pt>
                <c:pt idx="85">
                  <c:v>107.42037473627931</c:v>
                </c:pt>
                <c:pt idx="86">
                  <c:v>106.54207763738971</c:v>
                </c:pt>
                <c:pt idx="87">
                  <c:v>106.25040283572598</c:v>
                </c:pt>
                <c:pt idx="88">
                  <c:v>106.40010446124825</c:v>
                </c:pt>
                <c:pt idx="89">
                  <c:v>106.28918789206541</c:v>
                </c:pt>
                <c:pt idx="90">
                  <c:v>105.23500547929</c:v>
                </c:pt>
                <c:pt idx="91">
                  <c:v>104.81891987195182</c:v>
                </c:pt>
                <c:pt idx="92">
                  <c:v>107.32760250067498</c:v>
                </c:pt>
                <c:pt idx="93">
                  <c:v>108.14402386263215</c:v>
                </c:pt>
                <c:pt idx="94">
                  <c:v>105.98689460804239</c:v>
                </c:pt>
                <c:pt idx="95">
                  <c:v>105.42971606088298</c:v>
                </c:pt>
                <c:pt idx="96">
                  <c:v>106.96768207410292</c:v>
                </c:pt>
                <c:pt idx="97">
                  <c:v>105.93967409971337</c:v>
                </c:pt>
                <c:pt idx="98">
                  <c:v>105.91709076375896</c:v>
                </c:pt>
                <c:pt idx="99">
                  <c:v>106.82161881220769</c:v>
                </c:pt>
                <c:pt idx="100">
                  <c:v>106.53797964063187</c:v>
                </c:pt>
                <c:pt idx="101">
                  <c:v>107.1794502897136</c:v>
                </c:pt>
                <c:pt idx="102">
                  <c:v>106.85570940147595</c:v>
                </c:pt>
                <c:pt idx="103">
                  <c:v>109.58781454537872</c:v>
                </c:pt>
                <c:pt idx="104">
                  <c:v>108.81302324071902</c:v>
                </c:pt>
                <c:pt idx="105">
                  <c:v>108.26395180222084</c:v>
                </c:pt>
                <c:pt idx="106">
                  <c:v>105.38175041553872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3-4EF7-9273-B059DE040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P+ 72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hpi'!$B$3:$B$124</c:f>
              <c:numCache>
                <c:formatCode>General</c:formatCode>
                <c:ptCount val="122"/>
                <c:pt idx="0">
                  <c:v>6.5088600000000004E-4</c:v>
                </c:pt>
                <c:pt idx="1">
                  <c:v>6.5257499999999996E-4</c:v>
                </c:pt>
                <c:pt idx="2">
                  <c:v>6.5627399999999998E-4</c:v>
                </c:pt>
                <c:pt idx="3">
                  <c:v>6.5759800000000001E-4</c:v>
                </c:pt>
                <c:pt idx="4">
                  <c:v>6.5927200000000003E-4</c:v>
                </c:pt>
                <c:pt idx="5">
                  <c:v>6.60386E-4</c:v>
                </c:pt>
                <c:pt idx="6">
                  <c:v>6.6276300000000002E-4</c:v>
                </c:pt>
                <c:pt idx="7">
                  <c:v>6.6434399999999998E-4</c:v>
                </c:pt>
                <c:pt idx="8">
                  <c:v>6.6785800000000002E-4</c:v>
                </c:pt>
                <c:pt idx="9">
                  <c:v>6.7013800000000003E-4</c:v>
                </c:pt>
                <c:pt idx="10">
                  <c:v>6.7150300000000005E-4</c:v>
                </c:pt>
                <c:pt idx="11">
                  <c:v>6.7326199999999999E-4</c:v>
                </c:pt>
                <c:pt idx="12">
                  <c:v>6.7548100000000002E-4</c:v>
                </c:pt>
                <c:pt idx="13">
                  <c:v>6.7214499999999997E-4</c:v>
                </c:pt>
                <c:pt idx="14">
                  <c:v>6.7445199999999997E-4</c:v>
                </c:pt>
                <c:pt idx="15">
                  <c:v>6.7958199999999997E-4</c:v>
                </c:pt>
                <c:pt idx="16">
                  <c:v>6.8271100000000002E-4</c:v>
                </c:pt>
                <c:pt idx="17">
                  <c:v>6.7828099999999998E-4</c:v>
                </c:pt>
                <c:pt idx="18">
                  <c:v>6.7990300000000004E-4</c:v>
                </c:pt>
                <c:pt idx="19">
                  <c:v>6.8137600000000003E-4</c:v>
                </c:pt>
                <c:pt idx="20">
                  <c:v>6.8351000000000002E-4</c:v>
                </c:pt>
                <c:pt idx="21">
                  <c:v>6.83302E-4</c:v>
                </c:pt>
                <c:pt idx="22">
                  <c:v>6.8552900000000004E-4</c:v>
                </c:pt>
                <c:pt idx="23">
                  <c:v>6.8903699999999998E-4</c:v>
                </c:pt>
                <c:pt idx="24">
                  <c:v>6.8962400000000001E-4</c:v>
                </c:pt>
                <c:pt idx="25">
                  <c:v>6.9098599999999999E-4</c:v>
                </c:pt>
                <c:pt idx="26">
                  <c:v>6.9180800000000003E-4</c:v>
                </c:pt>
                <c:pt idx="27">
                  <c:v>6.9869599999999995E-4</c:v>
                </c:pt>
                <c:pt idx="28">
                  <c:v>6.9742000000000003E-4</c:v>
                </c:pt>
                <c:pt idx="29">
                  <c:v>1.5966000000000001E-6</c:v>
                </c:pt>
                <c:pt idx="30">
                  <c:v>1.58288E-6</c:v>
                </c:pt>
                <c:pt idx="31">
                  <c:v>1.55665E-6</c:v>
                </c:pt>
                <c:pt idx="32">
                  <c:v>1.5241599999999999E-6</c:v>
                </c:pt>
                <c:pt idx="33">
                  <c:v>1.5046599999999999E-6</c:v>
                </c:pt>
                <c:pt idx="34">
                  <c:v>1.4818999999999999E-6</c:v>
                </c:pt>
                <c:pt idx="35">
                  <c:v>1.4616999999999999E-6</c:v>
                </c:pt>
                <c:pt idx="36">
                  <c:v>1.43997E-6</c:v>
                </c:pt>
                <c:pt idx="37">
                  <c:v>1.4254200000000001E-6</c:v>
                </c:pt>
                <c:pt idx="38">
                  <c:v>1.4168600000000001E-6</c:v>
                </c:pt>
                <c:pt idx="39">
                  <c:v>5.5284599999999996E-4</c:v>
                </c:pt>
                <c:pt idx="40">
                  <c:v>5.7306399999999997E-4</c:v>
                </c:pt>
                <c:pt idx="41">
                  <c:v>5.8430699999999995E-4</c:v>
                </c:pt>
                <c:pt idx="42">
                  <c:v>5.9776800000000004E-4</c:v>
                </c:pt>
                <c:pt idx="43">
                  <c:v>6.0853199999999995E-4</c:v>
                </c:pt>
                <c:pt idx="44">
                  <c:v>6.15827E-4</c:v>
                </c:pt>
                <c:pt idx="45">
                  <c:v>6.2640500000000002E-4</c:v>
                </c:pt>
                <c:pt idx="46">
                  <c:v>6.2889399999999996E-4</c:v>
                </c:pt>
                <c:pt idx="47">
                  <c:v>6.2912799999999996E-4</c:v>
                </c:pt>
                <c:pt idx="48">
                  <c:v>6.3263399999999997E-4</c:v>
                </c:pt>
                <c:pt idx="49">
                  <c:v>6.3595100000000005E-4</c:v>
                </c:pt>
                <c:pt idx="50">
                  <c:v>6.4148999999999999E-4</c:v>
                </c:pt>
                <c:pt idx="51">
                  <c:v>6.3892899999999999E-4</c:v>
                </c:pt>
                <c:pt idx="52">
                  <c:v>6.4320100000000004E-4</c:v>
                </c:pt>
                <c:pt idx="53">
                  <c:v>6.4769199999999995E-4</c:v>
                </c:pt>
                <c:pt idx="54">
                  <c:v>6.5089499999999997E-4</c:v>
                </c:pt>
                <c:pt idx="55">
                  <c:v>6.5209700000000003E-4</c:v>
                </c:pt>
                <c:pt idx="56">
                  <c:v>6.55304E-4</c:v>
                </c:pt>
                <c:pt idx="57">
                  <c:v>6.6126100000000001E-4</c:v>
                </c:pt>
                <c:pt idx="58">
                  <c:v>6.66611E-4</c:v>
                </c:pt>
                <c:pt idx="59">
                  <c:v>6.6381999999999997E-4</c:v>
                </c:pt>
                <c:pt idx="60">
                  <c:v>6.6817899999999997E-4</c:v>
                </c:pt>
                <c:pt idx="61">
                  <c:v>6.75266E-4</c:v>
                </c:pt>
                <c:pt idx="62">
                  <c:v>6.8117999999999998E-4</c:v>
                </c:pt>
                <c:pt idx="63">
                  <c:v>6.8121700000000002E-4</c:v>
                </c:pt>
                <c:pt idx="64">
                  <c:v>6.8584799999999997E-4</c:v>
                </c:pt>
                <c:pt idx="65">
                  <c:v>6.8756999999999998E-4</c:v>
                </c:pt>
                <c:pt idx="66">
                  <c:v>6.8871600000000002E-4</c:v>
                </c:pt>
                <c:pt idx="67">
                  <c:v>6.8983100000000002E-4</c:v>
                </c:pt>
                <c:pt idx="68">
                  <c:v>1.3217899999999999E-6</c:v>
                </c:pt>
                <c:pt idx="69">
                  <c:v>1.3300200000000001E-6</c:v>
                </c:pt>
                <c:pt idx="70">
                  <c:v>1.3184900000000001E-6</c:v>
                </c:pt>
                <c:pt idx="71">
                  <c:v>1.30098E-6</c:v>
                </c:pt>
                <c:pt idx="72">
                  <c:v>1.29436E-6</c:v>
                </c:pt>
                <c:pt idx="73">
                  <c:v>1.2865600000000001E-6</c:v>
                </c:pt>
                <c:pt idx="74">
                  <c:v>1.27618E-6</c:v>
                </c:pt>
                <c:pt idx="75">
                  <c:v>1.26612E-6</c:v>
                </c:pt>
                <c:pt idx="76">
                  <c:v>1.2558900000000001E-6</c:v>
                </c:pt>
                <c:pt idx="77">
                  <c:v>1.24551E-6</c:v>
                </c:pt>
                <c:pt idx="78">
                  <c:v>5.6203799999999995E-4</c:v>
                </c:pt>
                <c:pt idx="79">
                  <c:v>5.7788399999999997E-4</c:v>
                </c:pt>
                <c:pt idx="80">
                  <c:v>5.9251300000000002E-4</c:v>
                </c:pt>
                <c:pt idx="81">
                  <c:v>6.1055199999999999E-4</c:v>
                </c:pt>
                <c:pt idx="82">
                  <c:v>6.1920300000000003E-4</c:v>
                </c:pt>
                <c:pt idx="83">
                  <c:v>6.2683300000000003E-4</c:v>
                </c:pt>
                <c:pt idx="84">
                  <c:v>6.3152800000000002E-4</c:v>
                </c:pt>
                <c:pt idx="85">
                  <c:v>6.3576799999999999E-4</c:v>
                </c:pt>
                <c:pt idx="86">
                  <c:v>6.4212000000000004E-4</c:v>
                </c:pt>
                <c:pt idx="87">
                  <c:v>6.4672899999999997E-4</c:v>
                </c:pt>
                <c:pt idx="88">
                  <c:v>6.4881900000000002E-4</c:v>
                </c:pt>
                <c:pt idx="89">
                  <c:v>6.5232599999999995E-4</c:v>
                </c:pt>
                <c:pt idx="90">
                  <c:v>6.5651800000000003E-4</c:v>
                </c:pt>
                <c:pt idx="91">
                  <c:v>6.6067299999999997E-4</c:v>
                </c:pt>
                <c:pt idx="92">
                  <c:v>6.6425499999999999E-4</c:v>
                </c:pt>
                <c:pt idx="93">
                  <c:v>6.6817099999999996E-4</c:v>
                </c:pt>
                <c:pt idx="94">
                  <c:v>6.6704999999999998E-4</c:v>
                </c:pt>
                <c:pt idx="95">
                  <c:v>6.7162099999999996E-4</c:v>
                </c:pt>
                <c:pt idx="96">
                  <c:v>6.7285900000000004E-4</c:v>
                </c:pt>
                <c:pt idx="97">
                  <c:v>6.7540600000000003E-4</c:v>
                </c:pt>
                <c:pt idx="98">
                  <c:v>6.7657700000000004E-4</c:v>
                </c:pt>
                <c:pt idx="99">
                  <c:v>6.8209399999999995E-4</c:v>
                </c:pt>
                <c:pt idx="100">
                  <c:v>6.8442899999999996E-4</c:v>
                </c:pt>
                <c:pt idx="101">
                  <c:v>6.8661799999999995E-4</c:v>
                </c:pt>
                <c:pt idx="102">
                  <c:v>6.8790099999999999E-4</c:v>
                </c:pt>
                <c:pt idx="103">
                  <c:v>6.9006999999999998E-4</c:v>
                </c:pt>
                <c:pt idx="104">
                  <c:v>6.9194199999999997E-4</c:v>
                </c:pt>
                <c:pt idx="105">
                  <c:v>6.8664699999999997E-4</c:v>
                </c:pt>
                <c:pt idx="106">
                  <c:v>6.9414499999999996E-4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3-4119-9601-8420761C4F82}"/>
            </c:ext>
          </c:extLst>
        </c:ser>
        <c:ser>
          <c:idx val="1"/>
          <c:order val="1"/>
          <c:tx>
            <c:strRef>
              <c:f>'NAD003 P+ 72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hpi'!$G$3:$G$124</c:f>
              <c:numCache>
                <c:formatCode>General</c:formatCode>
                <c:ptCount val="122"/>
                <c:pt idx="0">
                  <c:v>6.7394199999999997E-4</c:v>
                </c:pt>
                <c:pt idx="1">
                  <c:v>6.76788E-4</c:v>
                </c:pt>
                <c:pt idx="2">
                  <c:v>6.8401400000000004E-4</c:v>
                </c:pt>
                <c:pt idx="3">
                  <c:v>6.8804599999999999E-4</c:v>
                </c:pt>
                <c:pt idx="4">
                  <c:v>6.8622799999999999E-4</c:v>
                </c:pt>
                <c:pt idx="5">
                  <c:v>6.9168099999999998E-4</c:v>
                </c:pt>
                <c:pt idx="6">
                  <c:v>6.9638999999999996E-4</c:v>
                </c:pt>
                <c:pt idx="7">
                  <c:v>6.9977799999999997E-4</c:v>
                </c:pt>
                <c:pt idx="8">
                  <c:v>7.0228200000000004E-4</c:v>
                </c:pt>
                <c:pt idx="9">
                  <c:v>7.03946E-4</c:v>
                </c:pt>
                <c:pt idx="10">
                  <c:v>7.06962E-4</c:v>
                </c:pt>
                <c:pt idx="11">
                  <c:v>7.0964699999999999E-4</c:v>
                </c:pt>
                <c:pt idx="12">
                  <c:v>7.1131999999999999E-4</c:v>
                </c:pt>
                <c:pt idx="13">
                  <c:v>7.1199999999999996E-4</c:v>
                </c:pt>
                <c:pt idx="14">
                  <c:v>7.1332800000000005E-4</c:v>
                </c:pt>
                <c:pt idx="15">
                  <c:v>7.1365299999999997E-4</c:v>
                </c:pt>
                <c:pt idx="16">
                  <c:v>7.1708000000000004E-4</c:v>
                </c:pt>
                <c:pt idx="17">
                  <c:v>7.1730600000000002E-4</c:v>
                </c:pt>
                <c:pt idx="18">
                  <c:v>7.1972799999999999E-4</c:v>
                </c:pt>
                <c:pt idx="19">
                  <c:v>7.2169499999999995E-4</c:v>
                </c:pt>
                <c:pt idx="20">
                  <c:v>7.2499399999999996E-4</c:v>
                </c:pt>
                <c:pt idx="21">
                  <c:v>7.2615199999999998E-4</c:v>
                </c:pt>
                <c:pt idx="22">
                  <c:v>7.2604799999999997E-4</c:v>
                </c:pt>
                <c:pt idx="23">
                  <c:v>7.2941900000000003E-4</c:v>
                </c:pt>
                <c:pt idx="24">
                  <c:v>7.2905699999999997E-4</c:v>
                </c:pt>
                <c:pt idx="25">
                  <c:v>7.3059700000000004E-4</c:v>
                </c:pt>
                <c:pt idx="26">
                  <c:v>7.3270099999999999E-4</c:v>
                </c:pt>
                <c:pt idx="27">
                  <c:v>7.3552899999999996E-4</c:v>
                </c:pt>
                <c:pt idx="28">
                  <c:v>7.3729500000000001E-4</c:v>
                </c:pt>
                <c:pt idx="29">
                  <c:v>1.57863E-6</c:v>
                </c:pt>
                <c:pt idx="30">
                  <c:v>1.55699E-6</c:v>
                </c:pt>
                <c:pt idx="31">
                  <c:v>1.5316399999999999E-6</c:v>
                </c:pt>
                <c:pt idx="32">
                  <c:v>1.50411E-6</c:v>
                </c:pt>
                <c:pt idx="33">
                  <c:v>1.48938E-6</c:v>
                </c:pt>
                <c:pt idx="34">
                  <c:v>1.4818200000000001E-6</c:v>
                </c:pt>
                <c:pt idx="35">
                  <c:v>1.47367E-6</c:v>
                </c:pt>
                <c:pt idx="36">
                  <c:v>1.4574400000000001E-6</c:v>
                </c:pt>
                <c:pt idx="37">
                  <c:v>1.4407700000000001E-6</c:v>
                </c:pt>
                <c:pt idx="38">
                  <c:v>1.42841E-6</c:v>
                </c:pt>
                <c:pt idx="39">
                  <c:v>5.5601299999999995E-4</c:v>
                </c:pt>
                <c:pt idx="40">
                  <c:v>5.7255700000000001E-4</c:v>
                </c:pt>
                <c:pt idx="41">
                  <c:v>5.8651299999999999E-4</c:v>
                </c:pt>
                <c:pt idx="42">
                  <c:v>5.9758900000000004E-4</c:v>
                </c:pt>
                <c:pt idx="43">
                  <c:v>6.0873500000000001E-4</c:v>
                </c:pt>
                <c:pt idx="44">
                  <c:v>6.1875400000000001E-4</c:v>
                </c:pt>
                <c:pt idx="45">
                  <c:v>6.2824699999999996E-4</c:v>
                </c:pt>
                <c:pt idx="46">
                  <c:v>6.33207E-4</c:v>
                </c:pt>
                <c:pt idx="47">
                  <c:v>6.3839699999999997E-4</c:v>
                </c:pt>
                <c:pt idx="48">
                  <c:v>6.44094E-4</c:v>
                </c:pt>
                <c:pt idx="49">
                  <c:v>6.4853399999999998E-4</c:v>
                </c:pt>
                <c:pt idx="50">
                  <c:v>6.5320199999999997E-4</c:v>
                </c:pt>
                <c:pt idx="51">
                  <c:v>6.5989399999999995E-4</c:v>
                </c:pt>
                <c:pt idx="52">
                  <c:v>6.6306799999999995E-4</c:v>
                </c:pt>
                <c:pt idx="53">
                  <c:v>6.6531499999999998E-4</c:v>
                </c:pt>
                <c:pt idx="54">
                  <c:v>6.73166E-4</c:v>
                </c:pt>
                <c:pt idx="55">
                  <c:v>6.7390899999999999E-4</c:v>
                </c:pt>
                <c:pt idx="56">
                  <c:v>6.7735500000000004E-4</c:v>
                </c:pt>
                <c:pt idx="57">
                  <c:v>6.7984700000000003E-4</c:v>
                </c:pt>
                <c:pt idx="58">
                  <c:v>6.8481300000000004E-4</c:v>
                </c:pt>
                <c:pt idx="59">
                  <c:v>6.868E-4</c:v>
                </c:pt>
                <c:pt idx="60">
                  <c:v>6.9097199999999998E-4</c:v>
                </c:pt>
                <c:pt idx="61">
                  <c:v>6.9564300000000002E-4</c:v>
                </c:pt>
                <c:pt idx="62">
                  <c:v>6.9793999999999998E-4</c:v>
                </c:pt>
                <c:pt idx="63">
                  <c:v>7.0136500000000002E-4</c:v>
                </c:pt>
                <c:pt idx="64">
                  <c:v>7.0245799999999999E-4</c:v>
                </c:pt>
                <c:pt idx="65">
                  <c:v>7.0385900000000004E-4</c:v>
                </c:pt>
                <c:pt idx="66">
                  <c:v>7.0794900000000003E-4</c:v>
                </c:pt>
                <c:pt idx="67">
                  <c:v>7.06019E-4</c:v>
                </c:pt>
                <c:pt idx="68">
                  <c:v>1.3083499999999999E-6</c:v>
                </c:pt>
                <c:pt idx="69">
                  <c:v>1.3166400000000001E-6</c:v>
                </c:pt>
                <c:pt idx="70">
                  <c:v>1.31356E-6</c:v>
                </c:pt>
                <c:pt idx="71">
                  <c:v>1.31083E-6</c:v>
                </c:pt>
                <c:pt idx="72">
                  <c:v>1.3063099999999999E-6</c:v>
                </c:pt>
                <c:pt idx="73">
                  <c:v>1.2962800000000001E-6</c:v>
                </c:pt>
                <c:pt idx="74">
                  <c:v>1.28372E-6</c:v>
                </c:pt>
                <c:pt idx="75">
                  <c:v>1.2712899999999999E-6</c:v>
                </c:pt>
                <c:pt idx="76">
                  <c:v>1.2632499999999999E-6</c:v>
                </c:pt>
                <c:pt idx="77">
                  <c:v>1.2472300000000001E-6</c:v>
                </c:pt>
                <c:pt idx="78">
                  <c:v>5.6585399999999997E-4</c:v>
                </c:pt>
                <c:pt idx="79">
                  <c:v>5.8744199999999998E-4</c:v>
                </c:pt>
                <c:pt idx="80">
                  <c:v>6.0080799999999998E-4</c:v>
                </c:pt>
                <c:pt idx="81">
                  <c:v>6.1665999999999999E-4</c:v>
                </c:pt>
                <c:pt idx="82">
                  <c:v>6.2790899999999995E-4</c:v>
                </c:pt>
                <c:pt idx="83">
                  <c:v>6.3550800000000001E-4</c:v>
                </c:pt>
                <c:pt idx="84">
                  <c:v>6.4232799999999995E-4</c:v>
                </c:pt>
                <c:pt idx="85">
                  <c:v>6.4855499999999999E-4</c:v>
                </c:pt>
                <c:pt idx="86">
                  <c:v>6.5377100000000004E-4</c:v>
                </c:pt>
                <c:pt idx="87">
                  <c:v>6.5920499999999995E-4</c:v>
                </c:pt>
                <c:pt idx="88">
                  <c:v>6.65929E-4</c:v>
                </c:pt>
                <c:pt idx="89">
                  <c:v>6.6839899999999997E-4</c:v>
                </c:pt>
                <c:pt idx="90">
                  <c:v>6.73097E-4</c:v>
                </c:pt>
                <c:pt idx="91">
                  <c:v>6.7561900000000002E-4</c:v>
                </c:pt>
                <c:pt idx="92">
                  <c:v>6.7896500000000002E-4</c:v>
                </c:pt>
                <c:pt idx="93">
                  <c:v>6.8300299999999995E-4</c:v>
                </c:pt>
                <c:pt idx="94">
                  <c:v>6.8884199999999995E-4</c:v>
                </c:pt>
                <c:pt idx="95">
                  <c:v>6.8819599999999997E-4</c:v>
                </c:pt>
                <c:pt idx="96">
                  <c:v>6.9324700000000003E-4</c:v>
                </c:pt>
                <c:pt idx="97">
                  <c:v>6.9893500000000003E-4</c:v>
                </c:pt>
                <c:pt idx="98">
                  <c:v>7.0270399999999996E-4</c:v>
                </c:pt>
                <c:pt idx="99">
                  <c:v>7.0571800000000004E-4</c:v>
                </c:pt>
                <c:pt idx="100">
                  <c:v>7.0990799999999998E-4</c:v>
                </c:pt>
                <c:pt idx="101">
                  <c:v>7.1246600000000003E-4</c:v>
                </c:pt>
                <c:pt idx="102">
                  <c:v>7.1457499999999995E-4</c:v>
                </c:pt>
                <c:pt idx="103">
                  <c:v>7.1693600000000005E-4</c:v>
                </c:pt>
                <c:pt idx="104">
                  <c:v>7.2010499999999996E-4</c:v>
                </c:pt>
                <c:pt idx="105">
                  <c:v>7.2871500000000001E-4</c:v>
                </c:pt>
                <c:pt idx="106">
                  <c:v>7.30553E-4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3-4119-9601-8420761C4F82}"/>
            </c:ext>
          </c:extLst>
        </c:ser>
        <c:ser>
          <c:idx val="2"/>
          <c:order val="2"/>
          <c:tx>
            <c:strRef>
              <c:f>'NAD003 P+ 72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3-4119-9601-8420761C4F82}"/>
            </c:ext>
          </c:extLst>
        </c:ser>
        <c:ser>
          <c:idx val="3"/>
          <c:order val="3"/>
          <c:tx>
            <c:strRef>
              <c:f>'NAD003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3-4119-9601-8420761C4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P+ 72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hpi'!$C$3:$C$124</c:f>
              <c:numCache>
                <c:formatCode>General</c:formatCode>
                <c:ptCount val="122"/>
                <c:pt idx="0">
                  <c:v>1.60722E-4</c:v>
                </c:pt>
                <c:pt idx="1">
                  <c:v>1.6004499999999999E-4</c:v>
                </c:pt>
                <c:pt idx="2">
                  <c:v>1.6248900000000001E-4</c:v>
                </c:pt>
                <c:pt idx="3">
                  <c:v>1.6255299999999999E-4</c:v>
                </c:pt>
                <c:pt idx="4">
                  <c:v>1.62468E-4</c:v>
                </c:pt>
                <c:pt idx="5">
                  <c:v>1.6146500000000001E-4</c:v>
                </c:pt>
                <c:pt idx="6">
                  <c:v>1.61853E-4</c:v>
                </c:pt>
                <c:pt idx="7">
                  <c:v>1.6231000000000001E-4</c:v>
                </c:pt>
                <c:pt idx="8">
                  <c:v>1.6319699999999999E-4</c:v>
                </c:pt>
                <c:pt idx="9">
                  <c:v>1.64816E-4</c:v>
                </c:pt>
                <c:pt idx="10">
                  <c:v>1.6366199999999999E-4</c:v>
                </c:pt>
                <c:pt idx="11">
                  <c:v>1.6669100000000001E-4</c:v>
                </c:pt>
                <c:pt idx="12">
                  <c:v>1.6711300000000001E-4</c:v>
                </c:pt>
                <c:pt idx="13">
                  <c:v>1.5584999999999999E-4</c:v>
                </c:pt>
                <c:pt idx="14">
                  <c:v>1.5994499999999999E-4</c:v>
                </c:pt>
                <c:pt idx="15">
                  <c:v>1.6456000000000001E-4</c:v>
                </c:pt>
                <c:pt idx="16">
                  <c:v>1.6528699999999999E-4</c:v>
                </c:pt>
                <c:pt idx="17">
                  <c:v>1.57372E-4</c:v>
                </c:pt>
                <c:pt idx="18">
                  <c:v>1.5698E-4</c:v>
                </c:pt>
                <c:pt idx="19">
                  <c:v>1.5824200000000001E-4</c:v>
                </c:pt>
                <c:pt idx="20">
                  <c:v>1.49455E-4</c:v>
                </c:pt>
                <c:pt idx="21">
                  <c:v>1.5132000000000001E-4</c:v>
                </c:pt>
                <c:pt idx="22">
                  <c:v>1.55117E-4</c:v>
                </c:pt>
                <c:pt idx="23">
                  <c:v>1.58245E-4</c:v>
                </c:pt>
                <c:pt idx="24">
                  <c:v>1.5817300000000001E-4</c:v>
                </c:pt>
                <c:pt idx="25">
                  <c:v>1.5895699999999999E-4</c:v>
                </c:pt>
                <c:pt idx="26">
                  <c:v>1.57851E-4</c:v>
                </c:pt>
                <c:pt idx="27">
                  <c:v>1.6506800000000001E-4</c:v>
                </c:pt>
                <c:pt idx="28">
                  <c:v>1.64396E-4</c:v>
                </c:pt>
                <c:pt idx="29">
                  <c:v>2.0757699999999999E-5</c:v>
                </c:pt>
                <c:pt idx="30">
                  <c:v>2.07177E-5</c:v>
                </c:pt>
                <c:pt idx="31">
                  <c:v>2.0602500000000001E-5</c:v>
                </c:pt>
                <c:pt idx="32">
                  <c:v>2.0510299999999999E-5</c:v>
                </c:pt>
                <c:pt idx="33">
                  <c:v>2.04568E-5</c:v>
                </c:pt>
                <c:pt idx="34">
                  <c:v>2.0395E-5</c:v>
                </c:pt>
                <c:pt idx="35">
                  <c:v>2.0333899999999999E-5</c:v>
                </c:pt>
                <c:pt idx="36">
                  <c:v>2.0272299999999999E-5</c:v>
                </c:pt>
                <c:pt idx="37">
                  <c:v>2.02374E-5</c:v>
                </c:pt>
                <c:pt idx="38">
                  <c:v>2.0228700000000002E-5</c:v>
                </c:pt>
                <c:pt idx="39">
                  <c:v>1.81449E-4</c:v>
                </c:pt>
                <c:pt idx="40">
                  <c:v>1.91447E-4</c:v>
                </c:pt>
                <c:pt idx="41">
                  <c:v>1.9136700000000001E-4</c:v>
                </c:pt>
                <c:pt idx="42">
                  <c:v>1.8921300000000001E-4</c:v>
                </c:pt>
                <c:pt idx="43">
                  <c:v>1.9082999999999999E-4</c:v>
                </c:pt>
                <c:pt idx="44">
                  <c:v>1.93041E-4</c:v>
                </c:pt>
                <c:pt idx="45">
                  <c:v>1.9685899999999999E-4</c:v>
                </c:pt>
                <c:pt idx="46">
                  <c:v>1.97741E-4</c:v>
                </c:pt>
                <c:pt idx="47">
                  <c:v>1.92824E-4</c:v>
                </c:pt>
                <c:pt idx="48">
                  <c:v>1.94052E-4</c:v>
                </c:pt>
                <c:pt idx="49">
                  <c:v>1.9646400000000001E-4</c:v>
                </c:pt>
                <c:pt idx="50">
                  <c:v>1.9729700000000001E-4</c:v>
                </c:pt>
                <c:pt idx="51">
                  <c:v>1.89972E-4</c:v>
                </c:pt>
                <c:pt idx="52">
                  <c:v>1.9054400000000001E-4</c:v>
                </c:pt>
                <c:pt idx="53">
                  <c:v>1.91795E-4</c:v>
                </c:pt>
                <c:pt idx="54">
                  <c:v>1.9326099999999999E-4</c:v>
                </c:pt>
                <c:pt idx="55">
                  <c:v>1.9239999999999999E-4</c:v>
                </c:pt>
                <c:pt idx="56">
                  <c:v>1.95365E-4</c:v>
                </c:pt>
                <c:pt idx="57">
                  <c:v>2.0012400000000001E-4</c:v>
                </c:pt>
                <c:pt idx="58">
                  <c:v>2.05224E-4</c:v>
                </c:pt>
                <c:pt idx="59">
                  <c:v>1.9849099999999999E-4</c:v>
                </c:pt>
                <c:pt idx="60">
                  <c:v>1.9960299999999999E-4</c:v>
                </c:pt>
                <c:pt idx="61">
                  <c:v>2.0528199999999999E-4</c:v>
                </c:pt>
                <c:pt idx="62">
                  <c:v>2.09705E-4</c:v>
                </c:pt>
                <c:pt idx="63">
                  <c:v>2.0659899999999999E-4</c:v>
                </c:pt>
                <c:pt idx="64">
                  <c:v>2.1018E-4</c:v>
                </c:pt>
                <c:pt idx="65">
                  <c:v>2.14918E-4</c:v>
                </c:pt>
                <c:pt idx="66">
                  <c:v>2.1400499999999999E-4</c:v>
                </c:pt>
                <c:pt idx="67">
                  <c:v>2.1329500000000001E-4</c:v>
                </c:pt>
                <c:pt idx="68">
                  <c:v>2.03993E-5</c:v>
                </c:pt>
                <c:pt idx="69">
                  <c:v>2.04457E-5</c:v>
                </c:pt>
                <c:pt idx="70">
                  <c:v>2.0368900000000001E-5</c:v>
                </c:pt>
                <c:pt idx="71">
                  <c:v>2.0305E-5</c:v>
                </c:pt>
                <c:pt idx="72">
                  <c:v>2.02666E-5</c:v>
                </c:pt>
                <c:pt idx="73">
                  <c:v>2.02358E-5</c:v>
                </c:pt>
                <c:pt idx="74">
                  <c:v>2.01953E-5</c:v>
                </c:pt>
                <c:pt idx="75">
                  <c:v>2.0166500000000001E-5</c:v>
                </c:pt>
                <c:pt idx="76">
                  <c:v>2.0145599999999999E-5</c:v>
                </c:pt>
                <c:pt idx="77">
                  <c:v>2.0103799999999999E-5</c:v>
                </c:pt>
                <c:pt idx="78">
                  <c:v>1.6662099999999999E-4</c:v>
                </c:pt>
                <c:pt idx="79">
                  <c:v>1.66601E-4</c:v>
                </c:pt>
                <c:pt idx="80">
                  <c:v>1.6530000000000001E-4</c:v>
                </c:pt>
                <c:pt idx="81">
                  <c:v>1.8296600000000001E-4</c:v>
                </c:pt>
                <c:pt idx="82">
                  <c:v>1.82812E-4</c:v>
                </c:pt>
                <c:pt idx="83">
                  <c:v>1.8423499999999999E-4</c:v>
                </c:pt>
                <c:pt idx="84">
                  <c:v>1.8379900000000001E-4</c:v>
                </c:pt>
                <c:pt idx="85">
                  <c:v>1.8449499999999999E-4</c:v>
                </c:pt>
                <c:pt idx="86">
                  <c:v>1.87519E-4</c:v>
                </c:pt>
                <c:pt idx="87">
                  <c:v>1.8760200000000001E-4</c:v>
                </c:pt>
                <c:pt idx="88">
                  <c:v>1.8754500000000001E-4</c:v>
                </c:pt>
                <c:pt idx="89">
                  <c:v>1.8808400000000001E-4</c:v>
                </c:pt>
                <c:pt idx="90">
                  <c:v>1.8795199999999999E-4</c:v>
                </c:pt>
                <c:pt idx="91">
                  <c:v>1.8810100000000001E-4</c:v>
                </c:pt>
                <c:pt idx="92">
                  <c:v>1.8895699999999999E-4</c:v>
                </c:pt>
                <c:pt idx="93">
                  <c:v>1.90063E-4</c:v>
                </c:pt>
                <c:pt idx="94">
                  <c:v>1.8633300000000001E-4</c:v>
                </c:pt>
                <c:pt idx="95">
                  <c:v>1.90144E-4</c:v>
                </c:pt>
                <c:pt idx="96">
                  <c:v>1.9083500000000001E-4</c:v>
                </c:pt>
                <c:pt idx="97">
                  <c:v>1.92456E-4</c:v>
                </c:pt>
                <c:pt idx="98">
                  <c:v>1.9034100000000001E-4</c:v>
                </c:pt>
                <c:pt idx="99">
                  <c:v>1.95002E-4</c:v>
                </c:pt>
                <c:pt idx="100">
                  <c:v>1.9388000000000001E-4</c:v>
                </c:pt>
                <c:pt idx="101">
                  <c:v>1.94181E-4</c:v>
                </c:pt>
                <c:pt idx="102">
                  <c:v>1.93761E-4</c:v>
                </c:pt>
                <c:pt idx="103">
                  <c:v>1.9604299999999999E-4</c:v>
                </c:pt>
                <c:pt idx="104">
                  <c:v>1.9518000000000001E-4</c:v>
                </c:pt>
                <c:pt idx="105">
                  <c:v>1.9270800000000001E-4</c:v>
                </c:pt>
                <c:pt idx="106">
                  <c:v>1.9692000000000001E-4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A-49AB-969D-C106AA0AD383}"/>
            </c:ext>
          </c:extLst>
        </c:ser>
        <c:ser>
          <c:idx val="1"/>
          <c:order val="1"/>
          <c:tx>
            <c:strRef>
              <c:f>'NAD003 P+ 72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hpi'!$H$3:$H$124</c:f>
              <c:numCache>
                <c:formatCode>General</c:formatCode>
                <c:ptCount val="122"/>
                <c:pt idx="0">
                  <c:v>1.8338999999999999E-4</c:v>
                </c:pt>
                <c:pt idx="1">
                  <c:v>1.7728000000000001E-4</c:v>
                </c:pt>
                <c:pt idx="2">
                  <c:v>1.84826E-4</c:v>
                </c:pt>
                <c:pt idx="3">
                  <c:v>1.9269400000000001E-4</c:v>
                </c:pt>
                <c:pt idx="4">
                  <c:v>1.9081E-4</c:v>
                </c:pt>
                <c:pt idx="5">
                  <c:v>1.92146E-4</c:v>
                </c:pt>
                <c:pt idx="6">
                  <c:v>1.9529000000000001E-4</c:v>
                </c:pt>
                <c:pt idx="7">
                  <c:v>1.9696899999999999E-4</c:v>
                </c:pt>
                <c:pt idx="8">
                  <c:v>1.9765599999999999E-4</c:v>
                </c:pt>
                <c:pt idx="9">
                  <c:v>1.9744399999999999E-4</c:v>
                </c:pt>
                <c:pt idx="10">
                  <c:v>1.9993800000000001E-4</c:v>
                </c:pt>
                <c:pt idx="11">
                  <c:v>2.00337E-4</c:v>
                </c:pt>
                <c:pt idx="12">
                  <c:v>1.9938700000000001E-4</c:v>
                </c:pt>
                <c:pt idx="13">
                  <c:v>1.98388E-4</c:v>
                </c:pt>
                <c:pt idx="14">
                  <c:v>1.9757100000000001E-4</c:v>
                </c:pt>
                <c:pt idx="15">
                  <c:v>1.9743699999999999E-4</c:v>
                </c:pt>
                <c:pt idx="16">
                  <c:v>1.98424E-4</c:v>
                </c:pt>
                <c:pt idx="17">
                  <c:v>1.9825600000000001E-4</c:v>
                </c:pt>
                <c:pt idx="18">
                  <c:v>2.00185E-4</c:v>
                </c:pt>
                <c:pt idx="19">
                  <c:v>2.0044099999999999E-4</c:v>
                </c:pt>
                <c:pt idx="20">
                  <c:v>2.01366E-4</c:v>
                </c:pt>
                <c:pt idx="21">
                  <c:v>2.0230399999999999E-4</c:v>
                </c:pt>
                <c:pt idx="22">
                  <c:v>2.0127200000000001E-4</c:v>
                </c:pt>
                <c:pt idx="23">
                  <c:v>2.0123600000000001E-4</c:v>
                </c:pt>
                <c:pt idx="24">
                  <c:v>2.0048E-4</c:v>
                </c:pt>
                <c:pt idx="25">
                  <c:v>1.99762E-4</c:v>
                </c:pt>
                <c:pt idx="26">
                  <c:v>1.9993300000000001E-4</c:v>
                </c:pt>
                <c:pt idx="27">
                  <c:v>2.01299E-4</c:v>
                </c:pt>
                <c:pt idx="28">
                  <c:v>2.0140300000000001E-4</c:v>
                </c:pt>
                <c:pt idx="29">
                  <c:v>2.0962699999999998E-5</c:v>
                </c:pt>
                <c:pt idx="30">
                  <c:v>2.0846600000000001E-5</c:v>
                </c:pt>
                <c:pt idx="31">
                  <c:v>2.0713600000000001E-5</c:v>
                </c:pt>
                <c:pt idx="32">
                  <c:v>2.0642E-5</c:v>
                </c:pt>
                <c:pt idx="33">
                  <c:v>2.0582899999999999E-5</c:v>
                </c:pt>
                <c:pt idx="34">
                  <c:v>2.0528999999999999E-5</c:v>
                </c:pt>
                <c:pt idx="35">
                  <c:v>2.04952E-5</c:v>
                </c:pt>
                <c:pt idx="36">
                  <c:v>2.0442299999999999E-5</c:v>
                </c:pt>
                <c:pt idx="37">
                  <c:v>2.0404400000000001E-5</c:v>
                </c:pt>
                <c:pt idx="38">
                  <c:v>2.0373900000000002E-5</c:v>
                </c:pt>
                <c:pt idx="39">
                  <c:v>2.0412100000000001E-4</c:v>
                </c:pt>
                <c:pt idx="40">
                  <c:v>2.09345E-4</c:v>
                </c:pt>
                <c:pt idx="41">
                  <c:v>2.0900199999999999E-4</c:v>
                </c:pt>
                <c:pt idx="42">
                  <c:v>2.0883800000000001E-4</c:v>
                </c:pt>
                <c:pt idx="43">
                  <c:v>2.08667E-4</c:v>
                </c:pt>
                <c:pt idx="44">
                  <c:v>2.1053000000000001E-4</c:v>
                </c:pt>
                <c:pt idx="45">
                  <c:v>2.14195E-4</c:v>
                </c:pt>
                <c:pt idx="46">
                  <c:v>2.14685E-4</c:v>
                </c:pt>
                <c:pt idx="47">
                  <c:v>2.16145E-4</c:v>
                </c:pt>
                <c:pt idx="48">
                  <c:v>2.1746999999999999E-4</c:v>
                </c:pt>
                <c:pt idx="49">
                  <c:v>2.18335E-4</c:v>
                </c:pt>
                <c:pt idx="50">
                  <c:v>2.1872499999999999E-4</c:v>
                </c:pt>
                <c:pt idx="51">
                  <c:v>2.1947399999999999E-4</c:v>
                </c:pt>
                <c:pt idx="52">
                  <c:v>2.19566E-4</c:v>
                </c:pt>
                <c:pt idx="53">
                  <c:v>2.18917E-4</c:v>
                </c:pt>
                <c:pt idx="54">
                  <c:v>2.2204399999999999E-4</c:v>
                </c:pt>
                <c:pt idx="55">
                  <c:v>2.2179599999999999E-4</c:v>
                </c:pt>
                <c:pt idx="56">
                  <c:v>2.23248E-4</c:v>
                </c:pt>
                <c:pt idx="57">
                  <c:v>2.2377000000000001E-4</c:v>
                </c:pt>
                <c:pt idx="58">
                  <c:v>2.2457999999999999E-4</c:v>
                </c:pt>
                <c:pt idx="59">
                  <c:v>2.24009E-4</c:v>
                </c:pt>
                <c:pt idx="60">
                  <c:v>2.2556400000000001E-4</c:v>
                </c:pt>
                <c:pt idx="61">
                  <c:v>2.2586000000000001E-4</c:v>
                </c:pt>
                <c:pt idx="62">
                  <c:v>2.26763E-4</c:v>
                </c:pt>
                <c:pt idx="63">
                  <c:v>2.2769199999999999E-4</c:v>
                </c:pt>
                <c:pt idx="64">
                  <c:v>2.2793299999999999E-4</c:v>
                </c:pt>
                <c:pt idx="65">
                  <c:v>2.2836800000000001E-4</c:v>
                </c:pt>
                <c:pt idx="66">
                  <c:v>2.2902099999999999E-4</c:v>
                </c:pt>
                <c:pt idx="67">
                  <c:v>2.2587099999999999E-4</c:v>
                </c:pt>
                <c:pt idx="68">
                  <c:v>2.0418999999999999E-5</c:v>
                </c:pt>
                <c:pt idx="69">
                  <c:v>2.0492900000000002E-5</c:v>
                </c:pt>
                <c:pt idx="70">
                  <c:v>2.0456199999999999E-5</c:v>
                </c:pt>
                <c:pt idx="71">
                  <c:v>2.0437000000000001E-5</c:v>
                </c:pt>
                <c:pt idx="72">
                  <c:v>2.0428099999999998E-5</c:v>
                </c:pt>
                <c:pt idx="73">
                  <c:v>2.0412400000000001E-5</c:v>
                </c:pt>
                <c:pt idx="74">
                  <c:v>2.03761E-5</c:v>
                </c:pt>
                <c:pt idx="75">
                  <c:v>2.03409E-5</c:v>
                </c:pt>
                <c:pt idx="76">
                  <c:v>2.03004E-5</c:v>
                </c:pt>
                <c:pt idx="77">
                  <c:v>2.0275000000000002E-5</c:v>
                </c:pt>
                <c:pt idx="78">
                  <c:v>1.96524E-4</c:v>
                </c:pt>
                <c:pt idx="79">
                  <c:v>1.93575E-4</c:v>
                </c:pt>
                <c:pt idx="80">
                  <c:v>1.91893E-4</c:v>
                </c:pt>
                <c:pt idx="81">
                  <c:v>1.9815499999999999E-4</c:v>
                </c:pt>
                <c:pt idx="82">
                  <c:v>2.0002099999999999E-4</c:v>
                </c:pt>
                <c:pt idx="83">
                  <c:v>2.02296E-4</c:v>
                </c:pt>
                <c:pt idx="84">
                  <c:v>2.0365100000000001E-4</c:v>
                </c:pt>
                <c:pt idx="85">
                  <c:v>2.0428800000000001E-4</c:v>
                </c:pt>
                <c:pt idx="86">
                  <c:v>2.0572200000000001E-4</c:v>
                </c:pt>
                <c:pt idx="87">
                  <c:v>2.0718900000000001E-4</c:v>
                </c:pt>
                <c:pt idx="88">
                  <c:v>2.0955799999999999E-4</c:v>
                </c:pt>
                <c:pt idx="89">
                  <c:v>2.1043099999999999E-4</c:v>
                </c:pt>
                <c:pt idx="90">
                  <c:v>2.1107E-4</c:v>
                </c:pt>
                <c:pt idx="91">
                  <c:v>2.1137799999999999E-4</c:v>
                </c:pt>
                <c:pt idx="92">
                  <c:v>2.11685E-4</c:v>
                </c:pt>
                <c:pt idx="93">
                  <c:v>2.1257099999999999E-4</c:v>
                </c:pt>
                <c:pt idx="94">
                  <c:v>2.1557600000000001E-4</c:v>
                </c:pt>
                <c:pt idx="95">
                  <c:v>2.1578499999999999E-4</c:v>
                </c:pt>
                <c:pt idx="96">
                  <c:v>2.1449300000000001E-4</c:v>
                </c:pt>
                <c:pt idx="97">
                  <c:v>2.1713900000000001E-4</c:v>
                </c:pt>
                <c:pt idx="98">
                  <c:v>2.17562E-4</c:v>
                </c:pt>
                <c:pt idx="99">
                  <c:v>2.1904100000000001E-4</c:v>
                </c:pt>
                <c:pt idx="100">
                  <c:v>2.19533E-4</c:v>
                </c:pt>
                <c:pt idx="101">
                  <c:v>2.2085099999999999E-4</c:v>
                </c:pt>
                <c:pt idx="102">
                  <c:v>2.21232E-4</c:v>
                </c:pt>
                <c:pt idx="103">
                  <c:v>2.2026599999999999E-4</c:v>
                </c:pt>
                <c:pt idx="104">
                  <c:v>2.21926E-4</c:v>
                </c:pt>
                <c:pt idx="105">
                  <c:v>2.2584300000000001E-4</c:v>
                </c:pt>
                <c:pt idx="106">
                  <c:v>2.2662100000000001E-4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A-49AB-969D-C106AA0AD383}"/>
            </c:ext>
          </c:extLst>
        </c:ser>
        <c:ser>
          <c:idx val="2"/>
          <c:order val="2"/>
          <c:tx>
            <c:strRef>
              <c:f>'NAD003 P+ 72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4A-49AB-969D-C106AA0AD383}"/>
            </c:ext>
          </c:extLst>
        </c:ser>
        <c:ser>
          <c:idx val="3"/>
          <c:order val="3"/>
          <c:tx>
            <c:strRef>
              <c:f>'NAD003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4A-49AB-969D-C106AA0AD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P+ 72 hpi'!$T$1:$T$2</c:f>
              <c:strCache>
                <c:ptCount val="2"/>
                <c:pt idx="0">
                  <c:v>Average storage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hpi'!$T$3:$T$132</c:f>
              <c:numCache>
                <c:formatCode>General</c:formatCode>
                <c:ptCount val="130"/>
                <c:pt idx="0">
                  <c:v>100</c:v>
                </c:pt>
                <c:pt idx="1">
                  <c:v>100.34089198909375</c:v>
                </c:pt>
                <c:pt idx="2">
                  <c:v>101.16114267642655</c:v>
                </c:pt>
                <c:pt idx="3">
                  <c:v>101.56198572901945</c:v>
                </c:pt>
                <c:pt idx="4">
                  <c:v>101.55570160078526</c:v>
                </c:pt>
                <c:pt idx="5">
                  <c:v>102.04583729859181</c:v>
                </c:pt>
                <c:pt idx="6">
                  <c:v>102.57779696636804</c:v>
                </c:pt>
                <c:pt idx="7">
                  <c:v>102.95060374720565</c:v>
                </c:pt>
                <c:pt idx="8">
                  <c:v>103.40631615380758</c:v>
                </c:pt>
                <c:pt idx="9">
                  <c:v>103.70491479191739</c:v>
                </c:pt>
                <c:pt idx="10">
                  <c:v>104.03352999121671</c:v>
                </c:pt>
                <c:pt idx="11">
                  <c:v>104.3678546179852</c:v>
                </c:pt>
                <c:pt idx="12">
                  <c:v>104.66243504891807</c:v>
                </c:pt>
                <c:pt idx="13">
                  <c:v>104.45661841987912</c:v>
                </c:pt>
                <c:pt idx="14">
                  <c:v>104.73236319275374</c:v>
                </c:pt>
                <c:pt idx="15">
                  <c:v>105.15055328562713</c:v>
                </c:pt>
                <c:pt idx="16">
                  <c:v>105.64516832354016</c:v>
                </c:pt>
                <c:pt idx="17">
                  <c:v>105.32162997665981</c:v>
                </c:pt>
                <c:pt idx="18">
                  <c:v>105.62591842223355</c:v>
                </c:pt>
                <c:pt idx="19">
                  <c:v>105.8850043169674</c:v>
                </c:pt>
                <c:pt idx="20">
                  <c:v>106.29368871298323</c:v>
                </c:pt>
                <c:pt idx="21">
                  <c:v>106.36362293009563</c:v>
                </c:pt>
                <c:pt idx="22">
                  <c:v>106.52698163719211</c:v>
                </c:pt>
                <c:pt idx="23">
                  <c:v>107.04655617622427</c:v>
                </c:pt>
                <c:pt idx="24">
                  <c:v>107.06479164745778</c:v>
                </c:pt>
                <c:pt idx="25">
                  <c:v>107.28367141941638</c:v>
                </c:pt>
                <c:pt idx="26">
                  <c:v>107.5029126362578</c:v>
                </c:pt>
                <c:pt idx="27">
                  <c:v>108.24184789190386</c:v>
                </c:pt>
                <c:pt idx="28">
                  <c:v>108.27484783168357</c:v>
                </c:pt>
                <c:pt idx="29">
                  <c:v>0.23976733462238442</c:v>
                </c:pt>
                <c:pt idx="30">
                  <c:v>0.23710790721592898</c:v>
                </c:pt>
                <c:pt idx="31">
                  <c:v>0.2332122357932539</c:v>
                </c:pt>
                <c:pt idx="32">
                  <c:v>0.2286739464034378</c:v>
                </c:pt>
                <c:pt idx="33">
                  <c:v>0.22608316422408625</c:v>
                </c:pt>
                <c:pt idx="34">
                  <c:v>0.22377389905189216</c:v>
                </c:pt>
                <c:pt idx="35">
                  <c:v>0.22161751658794929</c:v>
                </c:pt>
                <c:pt idx="36">
                  <c:v>0.2187441439080044</c:v>
                </c:pt>
                <c:pt idx="37">
                  <c:v>0.21638968334861469</c:v>
                </c:pt>
                <c:pt idx="38">
                  <c:v>0.2148151252651867</c:v>
                </c:pt>
                <c:pt idx="39">
                  <c:v>83.719532207971042</c:v>
                </c:pt>
                <c:pt idx="40">
                  <c:v>86.500051289363341</c:v>
                </c:pt>
                <c:pt idx="41">
                  <c:v>88.399120868515041</c:v>
                </c:pt>
                <c:pt idx="42">
                  <c:v>90.254905348443771</c:v>
                </c:pt>
                <c:pt idx="43">
                  <c:v>91.908704016253665</c:v>
                </c:pt>
                <c:pt idx="44">
                  <c:v>93.212407230541785</c:v>
                </c:pt>
                <c:pt idx="45">
                  <c:v>94.729281015918758</c:v>
                </c:pt>
                <c:pt idx="46">
                  <c:v>95.288466121373133</c:v>
                </c:pt>
                <c:pt idx="47">
                  <c:v>95.691489590873772</c:v>
                </c:pt>
                <c:pt idx="48">
                  <c:v>96.383477271914344</c:v>
                </c:pt>
                <c:pt idx="49">
                  <c:v>96.967688998214811</c:v>
                </c:pt>
                <c:pt idx="50">
                  <c:v>97.739506539491316</c:v>
                </c:pt>
                <c:pt idx="51">
                  <c:v>98.039256593222206</c:v>
                </c:pt>
                <c:pt idx="52">
                  <c:v>98.602904864047503</c:v>
                </c:pt>
                <c:pt idx="53">
                  <c:v>99.114601893101209</c:v>
                </c:pt>
                <c:pt idx="54">
                  <c:v>99.943119645486604</c:v>
                </c:pt>
                <c:pt idx="55">
                  <c:v>100.09057876123849</c:v>
                </c:pt>
                <c:pt idx="56">
                  <c:v>100.592595248674</c:v>
                </c:pt>
                <c:pt idx="57">
                  <c:v>101.2350846429442</c:v>
                </c:pt>
                <c:pt idx="58">
                  <c:v>102.01449224020556</c:v>
                </c:pt>
                <c:pt idx="59">
                  <c:v>101.9475084227946</c:v>
                </c:pt>
                <c:pt idx="60">
                  <c:v>102.59188187147291</c:v>
                </c:pt>
                <c:pt idx="61">
                  <c:v>103.48283681684346</c:v>
                </c:pt>
                <c:pt idx="62">
                  <c:v>104.10755590099176</c:v>
                </c:pt>
                <c:pt idx="63">
                  <c:v>104.36450016562947</c:v>
                </c:pt>
                <c:pt idx="64">
                  <c:v>104.80133609001777</c:v>
                </c:pt>
                <c:pt idx="65">
                  <c:v>105.03755801418212</c:v>
                </c:pt>
                <c:pt idx="66">
                  <c:v>105.42903043826047</c:v>
                </c:pt>
                <c:pt idx="67">
                  <c:v>105.37149552216297</c:v>
                </c:pt>
                <c:pt idx="68">
                  <c:v>0.19860470836643968</c:v>
                </c:pt>
                <c:pt idx="69">
                  <c:v>0.19985196162094571</c:v>
                </c:pt>
                <c:pt idx="70">
                  <c:v>0.19873773953212817</c:v>
                </c:pt>
                <c:pt idx="71">
                  <c:v>0.19719011023139668</c:v>
                </c:pt>
                <c:pt idx="72">
                  <c:v>0.19634623220813535</c:v>
                </c:pt>
                <c:pt idx="73">
                  <c:v>0.19500291962425331</c:v>
                </c:pt>
                <c:pt idx="74">
                  <c:v>0.19327371403971261</c:v>
                </c:pt>
                <c:pt idx="75">
                  <c:v>0.19157873507967454</c:v>
                </c:pt>
                <c:pt idx="76">
                  <c:v>0.19019639268015937</c:v>
                </c:pt>
                <c:pt idx="77">
                  <c:v>0.18821048844796057</c:v>
                </c:pt>
                <c:pt idx="78">
                  <c:v>85.155753981370566</c:v>
                </c:pt>
                <c:pt idx="79">
                  <c:v>87.974639338547973</c:v>
                </c:pt>
                <c:pt idx="80">
                  <c:v>90.090043597571068</c:v>
                </c:pt>
                <c:pt idx="81">
                  <c:v>92.651835726477188</c:v>
                </c:pt>
                <c:pt idx="82">
                  <c:v>94.150958790734023</c:v>
                </c:pt>
                <c:pt idx="83">
                  <c:v>95.300855485521595</c:v>
                </c:pt>
                <c:pt idx="84">
                  <c:v>96.16749598056154</c:v>
                </c:pt>
                <c:pt idx="85">
                  <c:v>96.955189234520333</c:v>
                </c:pt>
                <c:pt idx="86">
                  <c:v>97.83011642624453</c:v>
                </c:pt>
                <c:pt idx="87">
                  <c:v>98.587322701888269</c:v>
                </c:pt>
                <c:pt idx="88">
                  <c:v>99.246729074767927</c:v>
                </c:pt>
                <c:pt idx="89">
                  <c:v>99.699381280536556</c:v>
                </c:pt>
                <c:pt idx="90">
                  <c:v>100.36995019150208</c:v>
                </c:pt>
                <c:pt idx="91">
                  <c:v>100.87623859821282</c:v>
                </c:pt>
                <c:pt idx="92">
                  <c:v>101.39964293743095</c:v>
                </c:pt>
                <c:pt idx="93">
                  <c:v>102.00004434095209</c:v>
                </c:pt>
                <c:pt idx="94">
                  <c:v>102.34712846640929</c:v>
                </c:pt>
                <c:pt idx="95">
                  <c:v>102.65033825166844</c:v>
                </c:pt>
                <c:pt idx="96">
                  <c:v>103.1201749020957</c:v>
                </c:pt>
                <c:pt idx="97">
                  <c:v>103.7378260553827</c:v>
                </c:pt>
                <c:pt idx="98">
                  <c:v>104.10740383289956</c:v>
                </c:pt>
                <c:pt idx="99">
                  <c:v>104.75482051366549</c:v>
                </c:pt>
                <c:pt idx="100">
                  <c:v>105.24504901285471</c:v>
                </c:pt>
                <c:pt idx="101">
                  <c:v>105.60298336188663</c:v>
                </c:pt>
                <c:pt idx="102">
                  <c:v>105.85800879798492</c:v>
                </c:pt>
                <c:pt idx="103">
                  <c:v>106.1997912786281</c:v>
                </c:pt>
                <c:pt idx="104">
                  <c:v>106.57870451546091</c:v>
                </c:pt>
                <c:pt idx="105">
                  <c:v>106.8107302638518</c:v>
                </c:pt>
                <c:pt idx="106">
                  <c:v>107.52307626673213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0-4055-BE5D-678735D1BF70}"/>
            </c:ext>
          </c:extLst>
        </c:ser>
        <c:ser>
          <c:idx val="1"/>
          <c:order val="1"/>
          <c:tx>
            <c:strRef>
              <c:f>'NAD003 P+ 72 hpi'!$U$1:$U$2</c:f>
              <c:strCache>
                <c:ptCount val="2"/>
                <c:pt idx="0">
                  <c:v>Average loss modulus/initial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P+ 72 hpi'!$A$3:$A$132</c:f>
              <c:numCache>
                <c:formatCode>General</c:formatCode>
                <c:ptCount val="130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'NAD003 P+ 72 hpi'!$U$3:$U$132</c:f>
              <c:numCache>
                <c:formatCode>General</c:formatCode>
                <c:ptCount val="130"/>
                <c:pt idx="0">
                  <c:v>100</c:v>
                </c:pt>
                <c:pt idx="1">
                  <c:v>98.123539149496295</c:v>
                </c:pt>
                <c:pt idx="2">
                  <c:v>100.94122229720084</c:v>
                </c:pt>
                <c:pt idx="3">
                  <c:v>103.1062875864922</c:v>
                </c:pt>
                <c:pt idx="4">
                  <c:v>102.56618499695733</c:v>
                </c:pt>
                <c:pt idx="5">
                  <c:v>102.61840657960285</c:v>
                </c:pt>
                <c:pt idx="6">
                  <c:v>103.59630149280181</c:v>
                </c:pt>
                <c:pt idx="7">
                  <c:v>104.19624004547956</c:v>
                </c:pt>
                <c:pt idx="8">
                  <c:v>104.65948809766581</c:v>
                </c:pt>
                <c:pt idx="9">
                  <c:v>105.1053524943826</c:v>
                </c:pt>
                <c:pt idx="10">
                  <c:v>105.42631914952776</c:v>
                </c:pt>
                <c:pt idx="11">
                  <c:v>106.47741403168814</c:v>
                </c:pt>
                <c:pt idx="12">
                  <c:v>106.3496857678214</c:v>
                </c:pt>
                <c:pt idx="13">
                  <c:v>102.57343915118444</c:v>
                </c:pt>
                <c:pt idx="14">
                  <c:v>103.62462867009495</c:v>
                </c:pt>
                <c:pt idx="15">
                  <c:v>105.02380337167921</c:v>
                </c:pt>
                <c:pt idx="16">
                  <c:v>105.5190689356826</c:v>
                </c:pt>
                <c:pt idx="17">
                  <c:v>103.01093865868759</c:v>
                </c:pt>
                <c:pt idx="18">
                  <c:v>103.414917306137</c:v>
                </c:pt>
                <c:pt idx="19">
                  <c:v>103.87731729171819</c:v>
                </c:pt>
                <c:pt idx="20">
                  <c:v>101.39590994744673</c:v>
                </c:pt>
                <c:pt idx="21">
                  <c:v>102.23184345551546</c:v>
                </c:pt>
                <c:pt idx="22">
                  <c:v>103.13170806796495</c:v>
                </c:pt>
                <c:pt idx="23">
                  <c:v>104.09500176625073</c:v>
                </c:pt>
                <c:pt idx="24">
                  <c:v>103.86648473245097</c:v>
                </c:pt>
                <c:pt idx="25">
                  <c:v>103.9146264614902</c:v>
                </c:pt>
                <c:pt idx="26">
                  <c:v>103.61717604128971</c:v>
                </c:pt>
                <c:pt idx="27">
                  <c:v>106.23478750119801</c:v>
                </c:pt>
                <c:pt idx="28">
                  <c:v>106.05408574138011</c:v>
                </c:pt>
                <c:pt idx="29">
                  <c:v>12.172974586726717</c:v>
                </c:pt>
                <c:pt idx="30">
                  <c:v>12.128876887141328</c:v>
                </c:pt>
                <c:pt idx="31">
                  <c:v>12.056777088211954</c:v>
                </c:pt>
                <c:pt idx="32">
                  <c:v>12.008572781664959</c:v>
                </c:pt>
                <c:pt idx="33">
                  <c:v>11.97581593474138</c:v>
                </c:pt>
                <c:pt idx="34">
                  <c:v>11.941894733142819</c:v>
                </c:pt>
                <c:pt idx="35">
                  <c:v>11.91367142319441</c:v>
                </c:pt>
                <c:pt idx="36">
                  <c:v>11.880085083832801</c:v>
                </c:pt>
                <c:pt idx="37">
                  <c:v>11.85889465745581</c:v>
                </c:pt>
                <c:pt idx="38">
                  <c:v>11.847872509164656</c:v>
                </c:pt>
                <c:pt idx="39">
                  <c:v>112.10025255065636</c:v>
                </c:pt>
                <c:pt idx="40">
                  <c:v>116.63487918179652</c:v>
                </c:pt>
                <c:pt idx="41">
                  <c:v>116.51647493808679</c:v>
                </c:pt>
                <c:pt idx="42">
                  <c:v>115.80166031740384</c:v>
                </c:pt>
                <c:pt idx="43">
                  <c:v>116.25808088481506</c:v>
                </c:pt>
                <c:pt idx="44">
                  <c:v>117.45384844680299</c:v>
                </c:pt>
                <c:pt idx="45">
                  <c:v>119.64085025589164</c:v>
                </c:pt>
                <c:pt idx="46">
                  <c:v>120.04883215593836</c:v>
                </c:pt>
                <c:pt idx="47">
                  <c:v>118.91723102811179</c:v>
                </c:pt>
                <c:pt idx="48">
                  <c:v>119.66050911196484</c:v>
                </c:pt>
                <c:pt idx="49">
                  <c:v>120.64670929057853</c:v>
                </c:pt>
                <c:pt idx="50">
                  <c:v>121.0121831777536</c:v>
                </c:pt>
                <c:pt idx="51">
                  <c:v>118.93761327822043</c:v>
                </c:pt>
                <c:pt idx="52">
                  <c:v>119.14064344843469</c:v>
                </c:pt>
                <c:pt idx="53">
                  <c:v>119.35287945991742</c:v>
                </c:pt>
                <c:pt idx="54">
                  <c:v>120.66150112251216</c:v>
                </c:pt>
                <c:pt idx="55">
                  <c:v>120.32603184851733</c:v>
                </c:pt>
                <c:pt idx="56">
                  <c:v>121.6443096555747</c:v>
                </c:pt>
                <c:pt idx="57">
                  <c:v>123.2671360156849</c:v>
                </c:pt>
                <c:pt idx="58">
                  <c:v>125.07456735702294</c:v>
                </c:pt>
                <c:pt idx="59">
                  <c:v>122.82427763350304</c:v>
                </c:pt>
                <c:pt idx="60">
                  <c:v>123.5941764509392</c:v>
                </c:pt>
                <c:pt idx="61">
                  <c:v>125.44159397698093</c:v>
                </c:pt>
                <c:pt idx="62">
                  <c:v>127.06376900459483</c:v>
                </c:pt>
                <c:pt idx="63">
                  <c:v>126.35078962235586</c:v>
                </c:pt>
                <c:pt idx="64">
                  <c:v>127.53053200084707</c:v>
                </c:pt>
                <c:pt idx="65">
                  <c:v>129.1231054000998</c:v>
                </c:pt>
                <c:pt idx="66">
                  <c:v>129.01711046895323</c:v>
                </c:pt>
                <c:pt idx="67">
                  <c:v>127.93740672827153</c:v>
                </c:pt>
                <c:pt idx="68">
                  <c:v>11.913241716572387</c:v>
                </c:pt>
                <c:pt idx="69">
                  <c:v>11.947824897047218</c:v>
                </c:pt>
                <c:pt idx="70">
                  <c:v>11.913926712392808</c:v>
                </c:pt>
                <c:pt idx="71">
                  <c:v>11.888812920962927</c:v>
                </c:pt>
                <c:pt idx="72">
                  <c:v>11.874440304997574</c:v>
                </c:pt>
                <c:pt idx="73">
                  <c:v>11.860578047580251</c:v>
                </c:pt>
                <c:pt idx="74">
                  <c:v>11.838081711405696</c:v>
                </c:pt>
                <c:pt idx="75">
                  <c:v>11.819525107820908</c:v>
                </c:pt>
                <c:pt idx="76">
                  <c:v>11.801981156139577</c:v>
                </c:pt>
                <c:pt idx="77">
                  <c:v>11.78205220364665</c:v>
                </c:pt>
                <c:pt idx="78">
                  <c:v>105.41604953541142</c:v>
                </c:pt>
                <c:pt idx="79">
                  <c:v>104.60580340114302</c:v>
                </c:pt>
                <c:pt idx="80">
                  <c:v>103.74248174481212</c:v>
                </c:pt>
                <c:pt idx="81">
                  <c:v>110.94559730795027</c:v>
                </c:pt>
                <c:pt idx="82">
                  <c:v>111.40644033680236</c:v>
                </c:pt>
                <c:pt idx="83">
                  <c:v>112.46939302665329</c:v>
                </c:pt>
                <c:pt idx="84">
                  <c:v>112.70318635952907</c:v>
                </c:pt>
                <c:pt idx="85">
                  <c:v>113.09338289156017</c:v>
                </c:pt>
                <c:pt idx="86">
                  <c:v>114.42510779912614</c:v>
                </c:pt>
                <c:pt idx="87">
                  <c:v>114.85089606478104</c:v>
                </c:pt>
                <c:pt idx="88">
                  <c:v>115.47905485257795</c:v>
                </c:pt>
                <c:pt idx="89">
                  <c:v>115.88475303288138</c:v>
                </c:pt>
                <c:pt idx="90">
                  <c:v>116.01790721512151</c:v>
                </c:pt>
                <c:pt idx="91">
                  <c:v>116.14823459010348</c:v>
                </c:pt>
                <c:pt idx="92">
                  <c:v>116.49823432027983</c:v>
                </c:pt>
                <c:pt idx="93">
                  <c:v>117.08386839280598</c:v>
                </c:pt>
                <c:pt idx="94">
                  <c:v>116.74277186579008</c:v>
                </c:pt>
                <c:pt idx="95">
                  <c:v>117.98534178929489</c:v>
                </c:pt>
                <c:pt idx="96">
                  <c:v>117.84805449101427</c:v>
                </c:pt>
                <c:pt idx="97">
                  <c:v>119.07375477767242</c:v>
                </c:pt>
                <c:pt idx="98">
                  <c:v>118.53111434968696</c:v>
                </c:pt>
                <c:pt idx="99">
                  <c:v>120.38437263650493</c:v>
                </c:pt>
                <c:pt idx="100">
                  <c:v>120.1694630808511</c:v>
                </c:pt>
                <c:pt idx="101">
                  <c:v>120.62244650623093</c:v>
                </c:pt>
                <c:pt idx="102">
                  <c:v>120.59566309474107</c:v>
                </c:pt>
                <c:pt idx="103">
                  <c:v>121.0422114348541</c:v>
                </c:pt>
                <c:pt idx="104">
                  <c:v>121.22632281489521</c:v>
                </c:pt>
                <c:pt idx="105">
                  <c:v>121.52523569756923</c:v>
                </c:pt>
                <c:pt idx="106">
                  <c:v>123.04768905636399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0-4055-BE5D-678735D1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comparison'!$C$1:$C$1</c:f>
              <c:strCache>
                <c:ptCount val="1"/>
                <c:pt idx="0">
                  <c:v>WT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comparison'!$C$2:$C$108</c:f>
              <c:numCache>
                <c:formatCode>General</c:formatCode>
                <c:ptCount val="107"/>
                <c:pt idx="0">
                  <c:v>100</c:v>
                </c:pt>
                <c:pt idx="1">
                  <c:v>100.19083469769494</c:v>
                </c:pt>
                <c:pt idx="2">
                  <c:v>99.472807166342989</c:v>
                </c:pt>
                <c:pt idx="3">
                  <c:v>99.878398173010396</c:v>
                </c:pt>
                <c:pt idx="4">
                  <c:v>100.27962353749734</c:v>
                </c:pt>
                <c:pt idx="5">
                  <c:v>99.303121289982002</c:v>
                </c:pt>
                <c:pt idx="6">
                  <c:v>99.258295902985878</c:v>
                </c:pt>
                <c:pt idx="7">
                  <c:v>99.15990530819829</c:v>
                </c:pt>
                <c:pt idx="8">
                  <c:v>99.434367865280635</c:v>
                </c:pt>
                <c:pt idx="9">
                  <c:v>99.675585767971143</c:v>
                </c:pt>
                <c:pt idx="10">
                  <c:v>99.285037462351326</c:v>
                </c:pt>
                <c:pt idx="11">
                  <c:v>99.523552508168692</c:v>
                </c:pt>
                <c:pt idx="12">
                  <c:v>100.08283692721515</c:v>
                </c:pt>
                <c:pt idx="13">
                  <c:v>99.476282803079698</c:v>
                </c:pt>
                <c:pt idx="14">
                  <c:v>99.289541074404909</c:v>
                </c:pt>
                <c:pt idx="15">
                  <c:v>98.76290232020726</c:v>
                </c:pt>
                <c:pt idx="16">
                  <c:v>100.33681298697174</c:v>
                </c:pt>
                <c:pt idx="17">
                  <c:v>100.1103792151081</c:v>
                </c:pt>
                <c:pt idx="18">
                  <c:v>99.995231410770955</c:v>
                </c:pt>
                <c:pt idx="19">
                  <c:v>99.644035660424422</c:v>
                </c:pt>
                <c:pt idx="20">
                  <c:v>99.588763094850933</c:v>
                </c:pt>
                <c:pt idx="21">
                  <c:v>98.782699785700686</c:v>
                </c:pt>
                <c:pt idx="22">
                  <c:v>99.387144297027177</c:v>
                </c:pt>
                <c:pt idx="23">
                  <c:v>99.925705770491518</c:v>
                </c:pt>
                <c:pt idx="24">
                  <c:v>99.930192749739021</c:v>
                </c:pt>
                <c:pt idx="25">
                  <c:v>100.26660729640777</c:v>
                </c:pt>
                <c:pt idx="26">
                  <c:v>99.591913981903531</c:v>
                </c:pt>
                <c:pt idx="27">
                  <c:v>99.577887501310514</c:v>
                </c:pt>
                <c:pt idx="28">
                  <c:v>101.72757196165685</c:v>
                </c:pt>
                <c:pt idx="29">
                  <c:v>14.463086291823403</c:v>
                </c:pt>
                <c:pt idx="30">
                  <c:v>14.395368829645037</c:v>
                </c:pt>
                <c:pt idx="31">
                  <c:v>14.279977982485965</c:v>
                </c:pt>
                <c:pt idx="32">
                  <c:v>14.186599773175585</c:v>
                </c:pt>
                <c:pt idx="33">
                  <c:v>14.101866328864</c:v>
                </c:pt>
                <c:pt idx="34">
                  <c:v>14.023628565787144</c:v>
                </c:pt>
                <c:pt idx="35">
                  <c:v>13.965535800142556</c:v>
                </c:pt>
                <c:pt idx="36">
                  <c:v>13.898397947333274</c:v>
                </c:pt>
                <c:pt idx="37">
                  <c:v>13.847283026157982</c:v>
                </c:pt>
                <c:pt idx="38">
                  <c:v>13.803333554969177</c:v>
                </c:pt>
                <c:pt idx="39">
                  <c:v>101.40552590093289</c:v>
                </c:pt>
                <c:pt idx="40">
                  <c:v>104.53290818501641</c:v>
                </c:pt>
                <c:pt idx="41">
                  <c:v>101.96462934336789</c:v>
                </c:pt>
                <c:pt idx="42">
                  <c:v>101.02554708846652</c:v>
                </c:pt>
                <c:pt idx="43">
                  <c:v>100.57326265769365</c:v>
                </c:pt>
                <c:pt idx="44">
                  <c:v>100.23017608460488</c:v>
                </c:pt>
                <c:pt idx="45">
                  <c:v>101.2789625682862</c:v>
                </c:pt>
                <c:pt idx="46">
                  <c:v>103.35504427098154</c:v>
                </c:pt>
                <c:pt idx="47">
                  <c:v>102.29522415116537</c:v>
                </c:pt>
                <c:pt idx="48">
                  <c:v>101.5323327086257</c:v>
                </c:pt>
                <c:pt idx="49">
                  <c:v>101.39555359444593</c:v>
                </c:pt>
                <c:pt idx="50">
                  <c:v>101.47285667828959</c:v>
                </c:pt>
                <c:pt idx="51">
                  <c:v>100.45883071957643</c:v>
                </c:pt>
                <c:pt idx="52">
                  <c:v>100.4879140685735</c:v>
                </c:pt>
                <c:pt idx="53">
                  <c:v>101.57721665748032</c:v>
                </c:pt>
                <c:pt idx="54">
                  <c:v>101.75972468521961</c:v>
                </c:pt>
                <c:pt idx="55">
                  <c:v>101.53874174179843</c:v>
                </c:pt>
                <c:pt idx="56">
                  <c:v>101.23380723078606</c:v>
                </c:pt>
                <c:pt idx="57">
                  <c:v>101.76959579703066</c:v>
                </c:pt>
                <c:pt idx="58">
                  <c:v>100.51046557332108</c:v>
                </c:pt>
                <c:pt idx="59">
                  <c:v>98.43011567940745</c:v>
                </c:pt>
                <c:pt idx="60">
                  <c:v>98.621312201616391</c:v>
                </c:pt>
                <c:pt idx="61">
                  <c:v>98.526690858678577</c:v>
                </c:pt>
                <c:pt idx="62">
                  <c:v>98.565729838650455</c:v>
                </c:pt>
                <c:pt idx="63">
                  <c:v>99.818181904094828</c:v>
                </c:pt>
                <c:pt idx="64">
                  <c:v>98.899270445294633</c:v>
                </c:pt>
                <c:pt idx="65">
                  <c:v>98.722740631015384</c:v>
                </c:pt>
                <c:pt idx="66">
                  <c:v>99.623377856859705</c:v>
                </c:pt>
                <c:pt idx="67">
                  <c:v>100.1096646421416</c:v>
                </c:pt>
                <c:pt idx="68">
                  <c:v>13.675051136495973</c:v>
                </c:pt>
                <c:pt idx="69">
                  <c:v>13.708895771827196</c:v>
                </c:pt>
                <c:pt idx="70">
                  <c:v>13.667380663405565</c:v>
                </c:pt>
                <c:pt idx="71">
                  <c:v>13.634736873456049</c:v>
                </c:pt>
                <c:pt idx="72">
                  <c:v>13.619006574323988</c:v>
                </c:pt>
                <c:pt idx="73">
                  <c:v>13.602155594612597</c:v>
                </c:pt>
                <c:pt idx="74">
                  <c:v>13.590716905514839</c:v>
                </c:pt>
                <c:pt idx="75">
                  <c:v>13.567912927846775</c:v>
                </c:pt>
                <c:pt idx="76">
                  <c:v>13.540932436556064</c:v>
                </c:pt>
                <c:pt idx="77">
                  <c:v>13.517457390162596</c:v>
                </c:pt>
                <c:pt idx="78">
                  <c:v>105.71384263007774</c:v>
                </c:pt>
                <c:pt idx="79">
                  <c:v>107.38194026021741</c:v>
                </c:pt>
                <c:pt idx="80">
                  <c:v>107.7145648092782</c:v>
                </c:pt>
                <c:pt idx="81">
                  <c:v>105.46838216179185</c:v>
                </c:pt>
                <c:pt idx="82">
                  <c:v>105.52843515626955</c:v>
                </c:pt>
                <c:pt idx="83">
                  <c:v>105.00389690315559</c:v>
                </c:pt>
                <c:pt idx="84">
                  <c:v>104.54169271125419</c:v>
                </c:pt>
                <c:pt idx="85">
                  <c:v>105.96914241694326</c:v>
                </c:pt>
                <c:pt idx="86">
                  <c:v>105.55857961396906</c:v>
                </c:pt>
                <c:pt idx="87">
                  <c:v>106.22622400829552</c:v>
                </c:pt>
                <c:pt idx="88">
                  <c:v>106.0748278786448</c:v>
                </c:pt>
                <c:pt idx="89">
                  <c:v>106.27828149756044</c:v>
                </c:pt>
                <c:pt idx="90">
                  <c:v>105.3188747276082</c:v>
                </c:pt>
                <c:pt idx="91">
                  <c:v>103.02930178828412</c:v>
                </c:pt>
                <c:pt idx="92">
                  <c:v>104.07520757709908</c:v>
                </c:pt>
                <c:pt idx="93">
                  <c:v>104.53183527177084</c:v>
                </c:pt>
                <c:pt idx="94">
                  <c:v>104.9376043202456</c:v>
                </c:pt>
                <c:pt idx="95">
                  <c:v>105.09194163439338</c:v>
                </c:pt>
                <c:pt idx="96">
                  <c:v>104.2706508521657</c:v>
                </c:pt>
                <c:pt idx="97">
                  <c:v>103.25342301905884</c:v>
                </c:pt>
                <c:pt idx="98">
                  <c:v>103.15979660603354</c:v>
                </c:pt>
                <c:pt idx="99">
                  <c:v>103.83325498364145</c:v>
                </c:pt>
                <c:pt idx="100">
                  <c:v>104.29203806428968</c:v>
                </c:pt>
                <c:pt idx="101">
                  <c:v>104.00914161593262</c:v>
                </c:pt>
                <c:pt idx="102">
                  <c:v>104.5350292477447</c:v>
                </c:pt>
                <c:pt idx="103">
                  <c:v>105.33318170383889</c:v>
                </c:pt>
                <c:pt idx="104">
                  <c:v>104.8321514626853</c:v>
                </c:pt>
                <c:pt idx="105">
                  <c:v>104.66523913514054</c:v>
                </c:pt>
                <c:pt idx="106">
                  <c:v>104.32828927481263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2-4817-9A2D-D8F9F354852D}"/>
            </c:ext>
          </c:extLst>
        </c:ser>
        <c:ser>
          <c:idx val="1"/>
          <c:order val="1"/>
          <c:tx>
            <c:strRef>
              <c:f>'Average comparison'!$F$1:$F$1</c:f>
              <c:strCache>
                <c:ptCount val="1"/>
                <c:pt idx="0">
                  <c:v>WT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comparison'!$F$2:$F$108</c:f>
              <c:numCache>
                <c:formatCode>General</c:formatCode>
                <c:ptCount val="107"/>
                <c:pt idx="0">
                  <c:v>100</c:v>
                </c:pt>
                <c:pt idx="1">
                  <c:v>99.334106148280711</c:v>
                </c:pt>
                <c:pt idx="2">
                  <c:v>95.951760120392521</c:v>
                </c:pt>
                <c:pt idx="3">
                  <c:v>94.566865413223951</c:v>
                </c:pt>
                <c:pt idx="4">
                  <c:v>92.927137738497862</c:v>
                </c:pt>
                <c:pt idx="5">
                  <c:v>95.016349511953209</c:v>
                </c:pt>
                <c:pt idx="6">
                  <c:v>93.16419068770449</c:v>
                </c:pt>
                <c:pt idx="7">
                  <c:v>93.602744534955534</c:v>
                </c:pt>
                <c:pt idx="8">
                  <c:v>95.230051525048026</c:v>
                </c:pt>
                <c:pt idx="9">
                  <c:v>93.809751270906361</c:v>
                </c:pt>
                <c:pt idx="10">
                  <c:v>96.265536684214709</c:v>
                </c:pt>
                <c:pt idx="11">
                  <c:v>95.352392608043175</c:v>
                </c:pt>
                <c:pt idx="12">
                  <c:v>95.152858476657727</c:v>
                </c:pt>
                <c:pt idx="13">
                  <c:v>97.181138713062865</c:v>
                </c:pt>
                <c:pt idx="14">
                  <c:v>96.160362380574867</c:v>
                </c:pt>
                <c:pt idx="15">
                  <c:v>96.958224875677772</c:v>
                </c:pt>
                <c:pt idx="16">
                  <c:v>95.684108152567603</c:v>
                </c:pt>
                <c:pt idx="17">
                  <c:v>99.626708308820668</c:v>
                </c:pt>
                <c:pt idx="18">
                  <c:v>96.113753585088205</c:v>
                </c:pt>
                <c:pt idx="19">
                  <c:v>95.341763905670916</c:v>
                </c:pt>
                <c:pt idx="20">
                  <c:v>97.568166434654628</c:v>
                </c:pt>
                <c:pt idx="21">
                  <c:v>99.471094274837284</c:v>
                </c:pt>
                <c:pt idx="22">
                  <c:v>98.973115722216306</c:v>
                </c:pt>
                <c:pt idx="23">
                  <c:v>99.343269040669696</c:v>
                </c:pt>
                <c:pt idx="24">
                  <c:v>100.39916707481534</c:v>
                </c:pt>
                <c:pt idx="25">
                  <c:v>97.577704062735194</c:v>
                </c:pt>
                <c:pt idx="26">
                  <c:v>99.24605033408244</c:v>
                </c:pt>
                <c:pt idx="27">
                  <c:v>99.835334507606689</c:v>
                </c:pt>
                <c:pt idx="28">
                  <c:v>99.950500411354767</c:v>
                </c:pt>
                <c:pt idx="29">
                  <c:v>13.111402848433933</c:v>
                </c:pt>
                <c:pt idx="30">
                  <c:v>13.053379230871531</c:v>
                </c:pt>
                <c:pt idx="31">
                  <c:v>12.979168070731335</c:v>
                </c:pt>
                <c:pt idx="32">
                  <c:v>12.93313905440375</c:v>
                </c:pt>
                <c:pt idx="33">
                  <c:v>12.891751957209109</c:v>
                </c:pt>
                <c:pt idx="34">
                  <c:v>12.854107909554013</c:v>
                </c:pt>
                <c:pt idx="35">
                  <c:v>12.809871447544559</c:v>
                </c:pt>
                <c:pt idx="36">
                  <c:v>12.766661237422355</c:v>
                </c:pt>
                <c:pt idx="37">
                  <c:v>12.737220769758503</c:v>
                </c:pt>
                <c:pt idx="38">
                  <c:v>12.716676438648605</c:v>
                </c:pt>
                <c:pt idx="39">
                  <c:v>102.17400163463307</c:v>
                </c:pt>
                <c:pt idx="40">
                  <c:v>104.76768984304576</c:v>
                </c:pt>
                <c:pt idx="41">
                  <c:v>102.69443372297414</c:v>
                </c:pt>
                <c:pt idx="42">
                  <c:v>99.486026970123149</c:v>
                </c:pt>
                <c:pt idx="43">
                  <c:v>102.00992321205233</c:v>
                </c:pt>
                <c:pt idx="44">
                  <c:v>102.19182647256164</c:v>
                </c:pt>
                <c:pt idx="45">
                  <c:v>103.08650463706124</c:v>
                </c:pt>
                <c:pt idx="46">
                  <c:v>103.33072957686734</c:v>
                </c:pt>
                <c:pt idx="47">
                  <c:v>103.83264488420832</c:v>
                </c:pt>
                <c:pt idx="48">
                  <c:v>102.74290530442011</c:v>
                </c:pt>
                <c:pt idx="49">
                  <c:v>102.03777524273292</c:v>
                </c:pt>
                <c:pt idx="50">
                  <c:v>103.19586362218584</c:v>
                </c:pt>
                <c:pt idx="51">
                  <c:v>101.67247273831418</c:v>
                </c:pt>
                <c:pt idx="52">
                  <c:v>101.49198725827245</c:v>
                </c:pt>
                <c:pt idx="53">
                  <c:v>98.360830864306223</c:v>
                </c:pt>
                <c:pt idx="54">
                  <c:v>99.66996411119851</c:v>
                </c:pt>
                <c:pt idx="55">
                  <c:v>99.452885777261997</c:v>
                </c:pt>
                <c:pt idx="56">
                  <c:v>98.653636045233895</c:v>
                </c:pt>
                <c:pt idx="57">
                  <c:v>99.214406125270443</c:v>
                </c:pt>
                <c:pt idx="58">
                  <c:v>100.37014987923416</c:v>
                </c:pt>
                <c:pt idx="59">
                  <c:v>99.91383590378355</c:v>
                </c:pt>
                <c:pt idx="60">
                  <c:v>99.531812529524615</c:v>
                </c:pt>
                <c:pt idx="61">
                  <c:v>99.404903074281322</c:v>
                </c:pt>
                <c:pt idx="62">
                  <c:v>97.725256897620127</c:v>
                </c:pt>
                <c:pt idx="63">
                  <c:v>98.63397248932985</c:v>
                </c:pt>
                <c:pt idx="64">
                  <c:v>99.974064769035905</c:v>
                </c:pt>
                <c:pt idx="65">
                  <c:v>101.43222769577696</c:v>
                </c:pt>
                <c:pt idx="66">
                  <c:v>102.03363150597218</c:v>
                </c:pt>
                <c:pt idx="67">
                  <c:v>100.8789283483879</c:v>
                </c:pt>
                <c:pt idx="68">
                  <c:v>12.706640119191352</c:v>
                </c:pt>
                <c:pt idx="69">
                  <c:v>12.751907006007411</c:v>
                </c:pt>
                <c:pt idx="70">
                  <c:v>12.733759530990593</c:v>
                </c:pt>
                <c:pt idx="71">
                  <c:v>12.720904851443821</c:v>
                </c:pt>
                <c:pt idx="72">
                  <c:v>12.70195793220549</c:v>
                </c:pt>
                <c:pt idx="73">
                  <c:v>12.67626231164644</c:v>
                </c:pt>
                <c:pt idx="74">
                  <c:v>12.656839741671366</c:v>
                </c:pt>
                <c:pt idx="75">
                  <c:v>12.628571269033767</c:v>
                </c:pt>
                <c:pt idx="76">
                  <c:v>12.603138358477734</c:v>
                </c:pt>
                <c:pt idx="77">
                  <c:v>12.585315318933283</c:v>
                </c:pt>
                <c:pt idx="78">
                  <c:v>102.55200746199867</c:v>
                </c:pt>
                <c:pt idx="79">
                  <c:v>102.67076341441204</c:v>
                </c:pt>
                <c:pt idx="80">
                  <c:v>101.88052775320513</c:v>
                </c:pt>
                <c:pt idx="81">
                  <c:v>100.428250339436</c:v>
                </c:pt>
                <c:pt idx="82">
                  <c:v>99.851085519256515</c:v>
                </c:pt>
                <c:pt idx="83">
                  <c:v>100.07106074032055</c:v>
                </c:pt>
                <c:pt idx="84">
                  <c:v>101.2768829166308</c:v>
                </c:pt>
                <c:pt idx="85">
                  <c:v>102.81600888201626</c:v>
                </c:pt>
                <c:pt idx="86">
                  <c:v>101.03250306128794</c:v>
                </c:pt>
                <c:pt idx="87">
                  <c:v>102.65560176866305</c:v>
                </c:pt>
                <c:pt idx="88">
                  <c:v>98.997873208925967</c:v>
                </c:pt>
                <c:pt idx="89">
                  <c:v>102.95691290360924</c:v>
                </c:pt>
                <c:pt idx="90">
                  <c:v>99.537179817664736</c:v>
                </c:pt>
                <c:pt idx="91">
                  <c:v>99.117471231244195</c:v>
                </c:pt>
                <c:pt idx="92">
                  <c:v>103.01657862618865</c:v>
                </c:pt>
                <c:pt idx="93">
                  <c:v>101.14380698549336</c:v>
                </c:pt>
                <c:pt idx="94">
                  <c:v>101.62348446494551</c:v>
                </c:pt>
                <c:pt idx="95">
                  <c:v>100.94513286691095</c:v>
                </c:pt>
                <c:pt idx="96">
                  <c:v>103.43950688847815</c:v>
                </c:pt>
                <c:pt idx="97">
                  <c:v>102.53532643797004</c:v>
                </c:pt>
                <c:pt idx="98">
                  <c:v>101.22561729545234</c:v>
                </c:pt>
                <c:pt idx="99">
                  <c:v>102.00490180291661</c:v>
                </c:pt>
                <c:pt idx="100">
                  <c:v>104.04433242703546</c:v>
                </c:pt>
                <c:pt idx="101">
                  <c:v>103.90125965179931</c:v>
                </c:pt>
                <c:pt idx="102">
                  <c:v>105.33418294768424</c:v>
                </c:pt>
                <c:pt idx="103">
                  <c:v>104.63976640606685</c:v>
                </c:pt>
                <c:pt idx="104">
                  <c:v>104.45721672956026</c:v>
                </c:pt>
                <c:pt idx="105">
                  <c:v>103.20924078153371</c:v>
                </c:pt>
                <c:pt idx="106">
                  <c:v>104.43136758061623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72-4817-9A2D-D8F9F354852D}"/>
            </c:ext>
          </c:extLst>
        </c:ser>
        <c:ser>
          <c:idx val="2"/>
          <c:order val="2"/>
          <c:tx>
            <c:strRef>
              <c:f>'Average comparison'!$I$1:$I$1</c:f>
              <c:strCache>
                <c:ptCount val="1"/>
                <c:pt idx="0">
                  <c:v>Spore-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98.757699188263089</c:v>
                </c:pt>
                <c:pt idx="2">
                  <c:v>98.248508562296237</c:v>
                </c:pt>
                <c:pt idx="3">
                  <c:v>100.279212857</c:v>
                </c:pt>
                <c:pt idx="4">
                  <c:v>99.232834655667489</c:v>
                </c:pt>
                <c:pt idx="5">
                  <c:v>99.747518719457275</c:v>
                </c:pt>
                <c:pt idx="6">
                  <c:v>98.357453515693336</c:v>
                </c:pt>
                <c:pt idx="7">
                  <c:v>99.771946161201171</c:v>
                </c:pt>
                <c:pt idx="8">
                  <c:v>100.00556208949956</c:v>
                </c:pt>
                <c:pt idx="9">
                  <c:v>99.85794992819315</c:v>
                </c:pt>
                <c:pt idx="10">
                  <c:v>100.45539723334673</c:v>
                </c:pt>
                <c:pt idx="11">
                  <c:v>100.13079662355655</c:v>
                </c:pt>
                <c:pt idx="12">
                  <c:v>100.61049908388758</c:v>
                </c:pt>
                <c:pt idx="13">
                  <c:v>99.174245514804582</c:v>
                </c:pt>
                <c:pt idx="14">
                  <c:v>98.693284544295011</c:v>
                </c:pt>
                <c:pt idx="15">
                  <c:v>99.808938904114214</c:v>
                </c:pt>
                <c:pt idx="16">
                  <c:v>100.39027222387413</c:v>
                </c:pt>
                <c:pt idx="17">
                  <c:v>100.1453638053958</c:v>
                </c:pt>
                <c:pt idx="18">
                  <c:v>100.97523617591638</c:v>
                </c:pt>
                <c:pt idx="19">
                  <c:v>102.20855717900893</c:v>
                </c:pt>
                <c:pt idx="20">
                  <c:v>100.87406255483461</c:v>
                </c:pt>
                <c:pt idx="21">
                  <c:v>101.44144811618641</c:v>
                </c:pt>
                <c:pt idx="22">
                  <c:v>101.34870128506869</c:v>
                </c:pt>
                <c:pt idx="23">
                  <c:v>101.04743125537436</c:v>
                </c:pt>
                <c:pt idx="24">
                  <c:v>101.95727961013544</c:v>
                </c:pt>
                <c:pt idx="25">
                  <c:v>103.52688719329761</c:v>
                </c:pt>
                <c:pt idx="26">
                  <c:v>101.46352656962377</c:v>
                </c:pt>
                <c:pt idx="27">
                  <c:v>104.49385876320798</c:v>
                </c:pt>
                <c:pt idx="28">
                  <c:v>104.59736609056897</c:v>
                </c:pt>
                <c:pt idx="29">
                  <c:v>37.347752683454587</c:v>
                </c:pt>
                <c:pt idx="30">
                  <c:v>35.902627824515442</c:v>
                </c:pt>
                <c:pt idx="31">
                  <c:v>34.863131441636959</c:v>
                </c:pt>
                <c:pt idx="32">
                  <c:v>34.008028424084173</c:v>
                </c:pt>
                <c:pt idx="33">
                  <c:v>33.286972423428011</c:v>
                </c:pt>
                <c:pt idx="34">
                  <c:v>32.783079871765416</c:v>
                </c:pt>
                <c:pt idx="35">
                  <c:v>32.276272281049692</c:v>
                </c:pt>
                <c:pt idx="36">
                  <c:v>31.814186731462826</c:v>
                </c:pt>
                <c:pt idx="37">
                  <c:v>31.364319866395515</c:v>
                </c:pt>
                <c:pt idx="38">
                  <c:v>30.940599102424397</c:v>
                </c:pt>
                <c:pt idx="39">
                  <c:v>100.98002291106575</c:v>
                </c:pt>
                <c:pt idx="40">
                  <c:v>101.21936529513174</c:v>
                </c:pt>
                <c:pt idx="41">
                  <c:v>102.25104634991823</c:v>
                </c:pt>
                <c:pt idx="42">
                  <c:v>100.3398160051175</c:v>
                </c:pt>
                <c:pt idx="43">
                  <c:v>98.509138901798295</c:v>
                </c:pt>
                <c:pt idx="44">
                  <c:v>96.206790094765253</c:v>
                </c:pt>
                <c:pt idx="45">
                  <c:v>94.828416773789016</c:v>
                </c:pt>
                <c:pt idx="46">
                  <c:v>94.378563509324991</c:v>
                </c:pt>
                <c:pt idx="47">
                  <c:v>91.730430654479434</c:v>
                </c:pt>
                <c:pt idx="48">
                  <c:v>94.370184244777818</c:v>
                </c:pt>
                <c:pt idx="49">
                  <c:v>96.219676675512389</c:v>
                </c:pt>
                <c:pt idx="50">
                  <c:v>96.902036110771235</c:v>
                </c:pt>
                <c:pt idx="51">
                  <c:v>95.352941850670462</c:v>
                </c:pt>
                <c:pt idx="52">
                  <c:v>93.54393683811098</c:v>
                </c:pt>
                <c:pt idx="53">
                  <c:v>95.991650068796375</c:v>
                </c:pt>
                <c:pt idx="54">
                  <c:v>96.211336172566561</c:v>
                </c:pt>
                <c:pt idx="55">
                  <c:v>95.883073114990154</c:v>
                </c:pt>
                <c:pt idx="56">
                  <c:v>95.183058087664037</c:v>
                </c:pt>
                <c:pt idx="57">
                  <c:v>95.802695765177262</c:v>
                </c:pt>
                <c:pt idx="58">
                  <c:v>95.933361857644059</c:v>
                </c:pt>
                <c:pt idx="59">
                  <c:v>95.454626028636028</c:v>
                </c:pt>
                <c:pt idx="60">
                  <c:v>96.08589845852724</c:v>
                </c:pt>
                <c:pt idx="61">
                  <c:v>98.379602028263378</c:v>
                </c:pt>
                <c:pt idx="62">
                  <c:v>98.371925958121437</c:v>
                </c:pt>
                <c:pt idx="63">
                  <c:v>98.516922600305051</c:v>
                </c:pt>
                <c:pt idx="64">
                  <c:v>96.771279298161133</c:v>
                </c:pt>
                <c:pt idx="65">
                  <c:v>96.76153966040583</c:v>
                </c:pt>
                <c:pt idx="66">
                  <c:v>97.489725257528221</c:v>
                </c:pt>
                <c:pt idx="67">
                  <c:v>97.05264458116784</c:v>
                </c:pt>
                <c:pt idx="68">
                  <c:v>30.138111135929282</c:v>
                </c:pt>
                <c:pt idx="69">
                  <c:v>29.860155107816485</c:v>
                </c:pt>
                <c:pt idx="70">
                  <c:v>29.499610131771615</c:v>
                </c:pt>
                <c:pt idx="71">
                  <c:v>29.183463734601048</c:v>
                </c:pt>
                <c:pt idx="72">
                  <c:v>28.894316664073362</c:v>
                </c:pt>
                <c:pt idx="73">
                  <c:v>28.64399870759647</c:v>
                </c:pt>
                <c:pt idx="74">
                  <c:v>28.394846531717917</c:v>
                </c:pt>
                <c:pt idx="75">
                  <c:v>28.175269534492418</c:v>
                </c:pt>
                <c:pt idx="76">
                  <c:v>27.95899936559162</c:v>
                </c:pt>
                <c:pt idx="77">
                  <c:v>27.762324955929447</c:v>
                </c:pt>
                <c:pt idx="78">
                  <c:v>95.553286399227247</c:v>
                </c:pt>
                <c:pt idx="79">
                  <c:v>97.085227886094685</c:v>
                </c:pt>
                <c:pt idx="80">
                  <c:v>96.085974024388932</c:v>
                </c:pt>
                <c:pt idx="81">
                  <c:v>95.372103929796594</c:v>
                </c:pt>
                <c:pt idx="82">
                  <c:v>93.359211875435349</c:v>
                </c:pt>
                <c:pt idx="83">
                  <c:v>90.846096178665945</c:v>
                </c:pt>
                <c:pt idx="84">
                  <c:v>88.560084053609089</c:v>
                </c:pt>
                <c:pt idx="85">
                  <c:v>88.072198794925654</c:v>
                </c:pt>
                <c:pt idx="86">
                  <c:v>87.563824001524424</c:v>
                </c:pt>
                <c:pt idx="87">
                  <c:v>89.868910301582787</c:v>
                </c:pt>
                <c:pt idx="88">
                  <c:v>89.464252973416777</c:v>
                </c:pt>
                <c:pt idx="89">
                  <c:v>90.172918636832449</c:v>
                </c:pt>
                <c:pt idx="90">
                  <c:v>89.216099395221065</c:v>
                </c:pt>
                <c:pt idx="91">
                  <c:v>92.591903392856651</c:v>
                </c:pt>
                <c:pt idx="92">
                  <c:v>94.197846140881097</c:v>
                </c:pt>
                <c:pt idx="93">
                  <c:v>92.742388415686648</c:v>
                </c:pt>
                <c:pt idx="94">
                  <c:v>90.699204851009299</c:v>
                </c:pt>
                <c:pt idx="95">
                  <c:v>92.328190872436082</c:v>
                </c:pt>
                <c:pt idx="96">
                  <c:v>94.500526603297274</c:v>
                </c:pt>
                <c:pt idx="97">
                  <c:v>93.858212407016296</c:v>
                </c:pt>
                <c:pt idx="98">
                  <c:v>95.702695405835172</c:v>
                </c:pt>
                <c:pt idx="99">
                  <c:v>95.000403804891548</c:v>
                </c:pt>
                <c:pt idx="100">
                  <c:v>95.493896125609197</c:v>
                </c:pt>
                <c:pt idx="101">
                  <c:v>96.093323960786662</c:v>
                </c:pt>
                <c:pt idx="102">
                  <c:v>95.330146942088405</c:v>
                </c:pt>
                <c:pt idx="103">
                  <c:v>95.958146113024384</c:v>
                </c:pt>
                <c:pt idx="104">
                  <c:v>96.2115835916088</c:v>
                </c:pt>
                <c:pt idx="105">
                  <c:v>96.543238062802558</c:v>
                </c:pt>
                <c:pt idx="106">
                  <c:v>97.415628227794741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72-4817-9A2D-D8F9F354852D}"/>
            </c:ext>
          </c:extLst>
        </c:ser>
        <c:ser>
          <c:idx val="3"/>
          <c:order val="3"/>
          <c:tx>
            <c:strRef>
              <c:f>'Average comparison'!$L$1:$L$1</c:f>
              <c:strCache>
                <c:ptCount val="1"/>
                <c:pt idx="0">
                  <c:v>Spore-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comparison'!$L$2:$L$108</c:f>
              <c:numCache>
                <c:formatCode>General</c:formatCode>
                <c:ptCount val="107"/>
                <c:pt idx="0">
                  <c:v>100</c:v>
                </c:pt>
                <c:pt idx="1">
                  <c:v>100.10300518998542</c:v>
                </c:pt>
                <c:pt idx="2">
                  <c:v>98.746946024556848</c:v>
                </c:pt>
                <c:pt idx="3">
                  <c:v>99.93972079840853</c:v>
                </c:pt>
                <c:pt idx="4">
                  <c:v>98.145265466118929</c:v>
                </c:pt>
                <c:pt idx="5">
                  <c:v>101.38505547012193</c:v>
                </c:pt>
                <c:pt idx="6">
                  <c:v>103.51158043174912</c:v>
                </c:pt>
                <c:pt idx="7">
                  <c:v>102.84267840412073</c:v>
                </c:pt>
                <c:pt idx="8">
                  <c:v>101.05471380983022</c:v>
                </c:pt>
                <c:pt idx="9">
                  <c:v>102.44139015543908</c:v>
                </c:pt>
                <c:pt idx="10">
                  <c:v>101.98750304999564</c:v>
                </c:pt>
                <c:pt idx="11">
                  <c:v>103.3584033566016</c:v>
                </c:pt>
                <c:pt idx="12">
                  <c:v>103.54201815785765</c:v>
                </c:pt>
                <c:pt idx="13">
                  <c:v>101.76374263623242</c:v>
                </c:pt>
                <c:pt idx="14">
                  <c:v>100.07452698656381</c:v>
                </c:pt>
                <c:pt idx="15">
                  <c:v>100.71471346828858</c:v>
                </c:pt>
                <c:pt idx="16">
                  <c:v>100.92335777092575</c:v>
                </c:pt>
                <c:pt idx="17">
                  <c:v>102.07180449462983</c:v>
                </c:pt>
                <c:pt idx="18">
                  <c:v>101.19761279773819</c:v>
                </c:pt>
                <c:pt idx="19">
                  <c:v>102.21949230127561</c:v>
                </c:pt>
                <c:pt idx="20">
                  <c:v>103.44503046811755</c:v>
                </c:pt>
                <c:pt idx="21">
                  <c:v>103.23450045051656</c:v>
                </c:pt>
                <c:pt idx="22">
                  <c:v>102.40545881919802</c:v>
                </c:pt>
                <c:pt idx="23">
                  <c:v>101.78234797128619</c:v>
                </c:pt>
                <c:pt idx="24">
                  <c:v>103.42579849102282</c:v>
                </c:pt>
                <c:pt idx="25">
                  <c:v>99.296861319340564</c:v>
                </c:pt>
                <c:pt idx="26">
                  <c:v>98.908851224759573</c:v>
                </c:pt>
                <c:pt idx="27">
                  <c:v>99.46773632871124</c:v>
                </c:pt>
                <c:pt idx="28">
                  <c:v>98.123571784378413</c:v>
                </c:pt>
                <c:pt idx="29">
                  <c:v>38.823551783932672</c:v>
                </c:pt>
                <c:pt idx="30">
                  <c:v>37.560410753003765</c:v>
                </c:pt>
                <c:pt idx="31">
                  <c:v>36.590381174920545</c:v>
                </c:pt>
                <c:pt idx="32">
                  <c:v>35.9238185626713</c:v>
                </c:pt>
                <c:pt idx="33">
                  <c:v>35.379123934165825</c:v>
                </c:pt>
                <c:pt idx="34">
                  <c:v>34.869739933422537</c:v>
                </c:pt>
                <c:pt idx="35">
                  <c:v>34.465616310406922</c:v>
                </c:pt>
                <c:pt idx="36">
                  <c:v>34.119489059524632</c:v>
                </c:pt>
                <c:pt idx="37">
                  <c:v>33.797918651153729</c:v>
                </c:pt>
                <c:pt idx="38">
                  <c:v>33.45259821998927</c:v>
                </c:pt>
                <c:pt idx="39">
                  <c:v>90.219284192440767</c:v>
                </c:pt>
                <c:pt idx="40">
                  <c:v>90.823744841780851</c:v>
                </c:pt>
                <c:pt idx="41">
                  <c:v>90.356155549631652</c:v>
                </c:pt>
                <c:pt idx="42">
                  <c:v>89.740081037985505</c:v>
                </c:pt>
                <c:pt idx="43">
                  <c:v>89.511230785751223</c:v>
                </c:pt>
                <c:pt idx="44">
                  <c:v>89.098888745132655</c:v>
                </c:pt>
                <c:pt idx="45">
                  <c:v>88.816924429285393</c:v>
                </c:pt>
                <c:pt idx="46">
                  <c:v>84.57179219334266</c:v>
                </c:pt>
                <c:pt idx="47">
                  <c:v>88.000545887708654</c:v>
                </c:pt>
                <c:pt idx="48">
                  <c:v>86.39580100627424</c:v>
                </c:pt>
                <c:pt idx="49">
                  <c:v>83.614044365098749</c:v>
                </c:pt>
                <c:pt idx="50">
                  <c:v>79.728902785966582</c:v>
                </c:pt>
                <c:pt idx="51">
                  <c:v>79.653908350490013</c:v>
                </c:pt>
                <c:pt idx="52">
                  <c:v>79.08666560730876</c:v>
                </c:pt>
                <c:pt idx="53">
                  <c:v>77.798660056967989</c:v>
                </c:pt>
                <c:pt idx="54">
                  <c:v>81.230693129774522</c:v>
                </c:pt>
                <c:pt idx="55">
                  <c:v>83.658544633266786</c:v>
                </c:pt>
                <c:pt idx="56">
                  <c:v>84.04002202075128</c:v>
                </c:pt>
                <c:pt idx="57">
                  <c:v>81.772065542415859</c:v>
                </c:pt>
                <c:pt idx="58">
                  <c:v>82.777914297945273</c:v>
                </c:pt>
                <c:pt idx="59">
                  <c:v>82.795652754055595</c:v>
                </c:pt>
                <c:pt idx="60">
                  <c:v>83.062825133874185</c:v>
                </c:pt>
                <c:pt idx="61">
                  <c:v>85.430520448646774</c:v>
                </c:pt>
                <c:pt idx="62">
                  <c:v>83.562258840500931</c:v>
                </c:pt>
                <c:pt idx="63">
                  <c:v>87.765455264849606</c:v>
                </c:pt>
                <c:pt idx="64">
                  <c:v>83.41818616507517</c:v>
                </c:pt>
                <c:pt idx="65">
                  <c:v>87.725395037747589</c:v>
                </c:pt>
                <c:pt idx="66">
                  <c:v>88.109603310985534</c:v>
                </c:pt>
                <c:pt idx="67">
                  <c:v>87.257307905270252</c:v>
                </c:pt>
                <c:pt idx="68">
                  <c:v>32.9854519188995</c:v>
                </c:pt>
                <c:pt idx="69">
                  <c:v>32.753492335429762</c:v>
                </c:pt>
                <c:pt idx="70">
                  <c:v>32.502605557345277</c:v>
                </c:pt>
                <c:pt idx="71">
                  <c:v>32.307311769321636</c:v>
                </c:pt>
                <c:pt idx="72">
                  <c:v>32.123060629715923</c:v>
                </c:pt>
                <c:pt idx="73">
                  <c:v>31.967975842008634</c:v>
                </c:pt>
                <c:pt idx="74">
                  <c:v>31.79083238613422</c:v>
                </c:pt>
                <c:pt idx="75">
                  <c:v>31.606962441709992</c:v>
                </c:pt>
                <c:pt idx="76">
                  <c:v>31.500659927876832</c:v>
                </c:pt>
                <c:pt idx="77">
                  <c:v>31.332255306413487</c:v>
                </c:pt>
                <c:pt idx="78">
                  <c:v>88.112884136636339</c:v>
                </c:pt>
                <c:pt idx="79">
                  <c:v>88.11453685074892</c:v>
                </c:pt>
                <c:pt idx="80">
                  <c:v>88.629937628132382</c:v>
                </c:pt>
                <c:pt idx="81">
                  <c:v>89.052599725087958</c:v>
                </c:pt>
                <c:pt idx="82">
                  <c:v>88.446230205419909</c:v>
                </c:pt>
                <c:pt idx="83">
                  <c:v>86.772482338969652</c:v>
                </c:pt>
                <c:pt idx="84">
                  <c:v>85.812869056705466</c:v>
                </c:pt>
                <c:pt idx="85">
                  <c:v>82.273204062724417</c:v>
                </c:pt>
                <c:pt idx="86">
                  <c:v>80.786670209437389</c:v>
                </c:pt>
                <c:pt idx="87">
                  <c:v>79.924302220338916</c:v>
                </c:pt>
                <c:pt idx="88">
                  <c:v>80.680770598939546</c:v>
                </c:pt>
                <c:pt idx="89">
                  <c:v>81.120137843882489</c:v>
                </c:pt>
                <c:pt idx="90">
                  <c:v>82.480690597156581</c:v>
                </c:pt>
                <c:pt idx="91">
                  <c:v>81.996823084045587</c:v>
                </c:pt>
                <c:pt idx="92">
                  <c:v>81.115212987380616</c:v>
                </c:pt>
                <c:pt idx="93">
                  <c:v>84.354018888409371</c:v>
                </c:pt>
                <c:pt idx="94">
                  <c:v>85.416413043069269</c:v>
                </c:pt>
                <c:pt idx="95">
                  <c:v>83.438581699215888</c:v>
                </c:pt>
                <c:pt idx="96">
                  <c:v>82.669419839458072</c:v>
                </c:pt>
                <c:pt idx="97">
                  <c:v>79.636292907251487</c:v>
                </c:pt>
                <c:pt idx="98">
                  <c:v>80.858152265622138</c:v>
                </c:pt>
                <c:pt idx="99">
                  <c:v>82.495398594990405</c:v>
                </c:pt>
                <c:pt idx="100">
                  <c:v>88.257728175128648</c:v>
                </c:pt>
                <c:pt idx="101">
                  <c:v>88.953156119543053</c:v>
                </c:pt>
                <c:pt idx="102">
                  <c:v>88.763986925323678</c:v>
                </c:pt>
                <c:pt idx="103">
                  <c:v>84.484110065549942</c:v>
                </c:pt>
                <c:pt idx="104">
                  <c:v>88.091597120977809</c:v>
                </c:pt>
                <c:pt idx="105">
                  <c:v>85.801013510286637</c:v>
                </c:pt>
                <c:pt idx="106">
                  <c:v>87.171695288143894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72-4817-9A2D-D8F9F354852D}"/>
            </c:ext>
          </c:extLst>
        </c:ser>
        <c:ser>
          <c:idx val="4"/>
          <c:order val="4"/>
          <c:tx>
            <c:strRef>
              <c:f>'Average comparison'!$O$1:$O$1</c:f>
              <c:strCache>
                <c:ptCount val="1"/>
                <c:pt idx="0">
                  <c:v>PGA-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comparison'!$O$2:$O$108</c:f>
              <c:numCache>
                <c:formatCode>General</c:formatCode>
                <c:ptCount val="107"/>
                <c:pt idx="0">
                  <c:v>100</c:v>
                </c:pt>
                <c:pt idx="1">
                  <c:v>100.83277775917439</c:v>
                </c:pt>
                <c:pt idx="2">
                  <c:v>101.73844626071291</c:v>
                </c:pt>
                <c:pt idx="3">
                  <c:v>102.27918913479509</c:v>
                </c:pt>
                <c:pt idx="4">
                  <c:v>101.07598236429152</c:v>
                </c:pt>
                <c:pt idx="5">
                  <c:v>101.12882703544555</c:v>
                </c:pt>
                <c:pt idx="6">
                  <c:v>102.41138000359551</c:v>
                </c:pt>
                <c:pt idx="7">
                  <c:v>103.90081963233884</c:v>
                </c:pt>
                <c:pt idx="8">
                  <c:v>103.47980863660844</c:v>
                </c:pt>
                <c:pt idx="9">
                  <c:v>106.237766134092</c:v>
                </c:pt>
                <c:pt idx="10">
                  <c:v>106.99217588458232</c:v>
                </c:pt>
                <c:pt idx="11">
                  <c:v>107.5339886128517</c:v>
                </c:pt>
                <c:pt idx="12">
                  <c:v>106.55433844113641</c:v>
                </c:pt>
                <c:pt idx="13">
                  <c:v>106.86697638110486</c:v>
                </c:pt>
                <c:pt idx="14">
                  <c:v>106.40812435813672</c:v>
                </c:pt>
                <c:pt idx="15">
                  <c:v>105.9240766662591</c:v>
                </c:pt>
                <c:pt idx="16">
                  <c:v>106.56067134434404</c:v>
                </c:pt>
                <c:pt idx="17">
                  <c:v>106.26537034849848</c:v>
                </c:pt>
                <c:pt idx="18">
                  <c:v>107.89448513221043</c:v>
                </c:pt>
                <c:pt idx="19">
                  <c:v>106.77050341817507</c:v>
                </c:pt>
                <c:pt idx="20">
                  <c:v>106.0778965467848</c:v>
                </c:pt>
                <c:pt idx="21">
                  <c:v>106.91243833136171</c:v>
                </c:pt>
                <c:pt idx="22">
                  <c:v>105.4469099391584</c:v>
                </c:pt>
                <c:pt idx="23">
                  <c:v>106.22702106534126</c:v>
                </c:pt>
                <c:pt idx="24">
                  <c:v>105.47038137822371</c:v>
                </c:pt>
                <c:pt idx="25">
                  <c:v>104.98756293055328</c:v>
                </c:pt>
                <c:pt idx="26">
                  <c:v>105.63537572076457</c:v>
                </c:pt>
                <c:pt idx="27">
                  <c:v>106.27258360317883</c:v>
                </c:pt>
                <c:pt idx="28">
                  <c:v>106.94023954539564</c:v>
                </c:pt>
                <c:pt idx="29">
                  <c:v>13.43879474152393</c:v>
                </c:pt>
                <c:pt idx="30">
                  <c:v>13.318727858211536</c:v>
                </c:pt>
                <c:pt idx="31">
                  <c:v>13.172307645909322</c:v>
                </c:pt>
                <c:pt idx="32">
                  <c:v>13.083431883690062</c:v>
                </c:pt>
                <c:pt idx="33">
                  <c:v>13.007931327142531</c:v>
                </c:pt>
                <c:pt idx="34">
                  <c:v>12.948606574450734</c:v>
                </c:pt>
                <c:pt idx="35">
                  <c:v>12.914241788534625</c:v>
                </c:pt>
                <c:pt idx="36">
                  <c:v>12.894545903677491</c:v>
                </c:pt>
                <c:pt idx="37">
                  <c:v>12.866046447150012</c:v>
                </c:pt>
                <c:pt idx="38">
                  <c:v>12.828324003778334</c:v>
                </c:pt>
                <c:pt idx="39">
                  <c:v>104.12797539913959</c:v>
                </c:pt>
                <c:pt idx="40">
                  <c:v>105.86123417454097</c:v>
                </c:pt>
                <c:pt idx="41">
                  <c:v>105.30503179547229</c:v>
                </c:pt>
                <c:pt idx="42">
                  <c:v>103.49777090062742</c:v>
                </c:pt>
                <c:pt idx="43">
                  <c:v>103.52452187716453</c:v>
                </c:pt>
                <c:pt idx="44">
                  <c:v>102.74108621187138</c:v>
                </c:pt>
                <c:pt idx="45">
                  <c:v>102.279767400361</c:v>
                </c:pt>
                <c:pt idx="46">
                  <c:v>101.8294998137488</c:v>
                </c:pt>
                <c:pt idx="47">
                  <c:v>101.87368874653805</c:v>
                </c:pt>
                <c:pt idx="48">
                  <c:v>101.86671478649862</c:v>
                </c:pt>
                <c:pt idx="49">
                  <c:v>102.39771616684597</c:v>
                </c:pt>
                <c:pt idx="50">
                  <c:v>102.08733705486988</c:v>
                </c:pt>
                <c:pt idx="51">
                  <c:v>101.41544582201347</c:v>
                </c:pt>
                <c:pt idx="52">
                  <c:v>102.57635676620244</c:v>
                </c:pt>
                <c:pt idx="53">
                  <c:v>103.91902044011984</c:v>
                </c:pt>
                <c:pt idx="54">
                  <c:v>103.06061442334094</c:v>
                </c:pt>
                <c:pt idx="55">
                  <c:v>104.18167388852976</c:v>
                </c:pt>
                <c:pt idx="56">
                  <c:v>105.00094544654684</c:v>
                </c:pt>
                <c:pt idx="57">
                  <c:v>103.70807985612424</c:v>
                </c:pt>
                <c:pt idx="58">
                  <c:v>104.85729387026788</c:v>
                </c:pt>
                <c:pt idx="59">
                  <c:v>104.69526847042754</c:v>
                </c:pt>
                <c:pt idx="60">
                  <c:v>105.05528900500762</c:v>
                </c:pt>
                <c:pt idx="61">
                  <c:v>105.18191359818358</c:v>
                </c:pt>
                <c:pt idx="62">
                  <c:v>104.93485063368219</c:v>
                </c:pt>
                <c:pt idx="63">
                  <c:v>106.10003789165553</c:v>
                </c:pt>
                <c:pt idx="64">
                  <c:v>106.34479205364251</c:v>
                </c:pt>
                <c:pt idx="65">
                  <c:v>105.94868355417607</c:v>
                </c:pt>
                <c:pt idx="66">
                  <c:v>105.93649629658493</c:v>
                </c:pt>
                <c:pt idx="67">
                  <c:v>104.34837980760101</c:v>
                </c:pt>
                <c:pt idx="68">
                  <c:v>12.76880373336482</c:v>
                </c:pt>
                <c:pt idx="69">
                  <c:v>12.815273656678116</c:v>
                </c:pt>
                <c:pt idx="70">
                  <c:v>12.799672969836593</c:v>
                </c:pt>
                <c:pt idx="71">
                  <c:v>12.784064390339344</c:v>
                </c:pt>
                <c:pt idx="72">
                  <c:v>12.765983320162766</c:v>
                </c:pt>
                <c:pt idx="73">
                  <c:v>12.74247885465963</c:v>
                </c:pt>
                <c:pt idx="74">
                  <c:v>12.721926020989136</c:v>
                </c:pt>
                <c:pt idx="75">
                  <c:v>12.70481744415553</c:v>
                </c:pt>
                <c:pt idx="76">
                  <c:v>12.688858097745749</c:v>
                </c:pt>
                <c:pt idx="77">
                  <c:v>12.673864740192988</c:v>
                </c:pt>
                <c:pt idx="78">
                  <c:v>104.1919977742911</c:v>
                </c:pt>
                <c:pt idx="79">
                  <c:v>106.01582643273814</c:v>
                </c:pt>
                <c:pt idx="80">
                  <c:v>103.0094153346103</c:v>
                </c:pt>
                <c:pt idx="81">
                  <c:v>101.80561837180625</c:v>
                </c:pt>
                <c:pt idx="82">
                  <c:v>101.19811456654418</c:v>
                </c:pt>
                <c:pt idx="83">
                  <c:v>102.01970090307221</c:v>
                </c:pt>
                <c:pt idx="84">
                  <c:v>101.45903531571217</c:v>
                </c:pt>
                <c:pt idx="85">
                  <c:v>102.52277611165918</c:v>
                </c:pt>
                <c:pt idx="86">
                  <c:v>102.35670392463744</c:v>
                </c:pt>
                <c:pt idx="87">
                  <c:v>102.17730449213377</c:v>
                </c:pt>
                <c:pt idx="88">
                  <c:v>102.30699796513811</c:v>
                </c:pt>
                <c:pt idx="89">
                  <c:v>102.29620144210935</c:v>
                </c:pt>
                <c:pt idx="90">
                  <c:v>101.81387415602326</c:v>
                </c:pt>
                <c:pt idx="91">
                  <c:v>101.55003200045469</c:v>
                </c:pt>
                <c:pt idx="92">
                  <c:v>101.38663463707682</c:v>
                </c:pt>
                <c:pt idx="93">
                  <c:v>101.15683613330776</c:v>
                </c:pt>
                <c:pt idx="94">
                  <c:v>101.86473170447924</c:v>
                </c:pt>
                <c:pt idx="95">
                  <c:v>103.00569441880442</c:v>
                </c:pt>
                <c:pt idx="96">
                  <c:v>102.09019540756178</c:v>
                </c:pt>
                <c:pt idx="97">
                  <c:v>100.70738918379602</c:v>
                </c:pt>
                <c:pt idx="98">
                  <c:v>100.78244128220986</c:v>
                </c:pt>
                <c:pt idx="99">
                  <c:v>101.60282852326607</c:v>
                </c:pt>
                <c:pt idx="100">
                  <c:v>100.73960793300252</c:v>
                </c:pt>
                <c:pt idx="101">
                  <c:v>100.46988950447496</c:v>
                </c:pt>
                <c:pt idx="102">
                  <c:v>99.693594192227224</c:v>
                </c:pt>
                <c:pt idx="103">
                  <c:v>100.2567387805373</c:v>
                </c:pt>
                <c:pt idx="104">
                  <c:v>100.35491517060156</c:v>
                </c:pt>
                <c:pt idx="105">
                  <c:v>100.35872991274597</c:v>
                </c:pt>
                <c:pt idx="106">
                  <c:v>100.02893001472462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72-4817-9A2D-D8F9F354852D}"/>
            </c:ext>
          </c:extLst>
        </c:ser>
        <c:ser>
          <c:idx val="5"/>
          <c:order val="5"/>
          <c:tx>
            <c:strRef>
              <c:f>'Average comparison'!$R$1:$R$1</c:f>
              <c:strCache>
                <c:ptCount val="1"/>
                <c:pt idx="0">
                  <c:v>PGA-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comparison'!$R$2:$R$108</c:f>
              <c:numCache>
                <c:formatCode>General</c:formatCode>
                <c:ptCount val="107"/>
                <c:pt idx="0">
                  <c:v>100</c:v>
                </c:pt>
                <c:pt idx="1">
                  <c:v>102.01359908322729</c:v>
                </c:pt>
                <c:pt idx="2">
                  <c:v>102.24115377885164</c:v>
                </c:pt>
                <c:pt idx="3">
                  <c:v>102.68249776753819</c:v>
                </c:pt>
                <c:pt idx="4">
                  <c:v>102.61483671966647</c:v>
                </c:pt>
                <c:pt idx="5">
                  <c:v>101.02117847017365</c:v>
                </c:pt>
                <c:pt idx="6">
                  <c:v>100.69164678110539</c:v>
                </c:pt>
                <c:pt idx="7">
                  <c:v>100.60319532915365</c:v>
                </c:pt>
                <c:pt idx="8">
                  <c:v>100.09563188726642</c:v>
                </c:pt>
                <c:pt idx="9">
                  <c:v>100.61873755293371</c:v>
                </c:pt>
                <c:pt idx="10">
                  <c:v>99.64475436995248</c:v>
                </c:pt>
                <c:pt idx="11">
                  <c:v>100.26552429986407</c:v>
                </c:pt>
                <c:pt idx="12">
                  <c:v>101.09561777737655</c:v>
                </c:pt>
                <c:pt idx="13">
                  <c:v>101.17487334478294</c:v>
                </c:pt>
                <c:pt idx="14">
                  <c:v>101.29258165340892</c:v>
                </c:pt>
                <c:pt idx="15">
                  <c:v>101.26554028914467</c:v>
                </c:pt>
                <c:pt idx="16">
                  <c:v>101.60403733820351</c:v>
                </c:pt>
                <c:pt idx="17">
                  <c:v>102.05507010499865</c:v>
                </c:pt>
                <c:pt idx="18">
                  <c:v>102.19667742291526</c:v>
                </c:pt>
                <c:pt idx="19">
                  <c:v>102.31572921528983</c:v>
                </c:pt>
                <c:pt idx="20">
                  <c:v>102.64965200627688</c:v>
                </c:pt>
                <c:pt idx="21">
                  <c:v>102.29707045358316</c:v>
                </c:pt>
                <c:pt idx="22">
                  <c:v>102.8569027817728</c:v>
                </c:pt>
                <c:pt idx="23">
                  <c:v>104.26847422963748</c:v>
                </c:pt>
                <c:pt idx="24">
                  <c:v>103.68317622575964</c:v>
                </c:pt>
                <c:pt idx="25">
                  <c:v>102.49360112216733</c:v>
                </c:pt>
                <c:pt idx="26">
                  <c:v>105.20987123705703</c:v>
                </c:pt>
                <c:pt idx="27">
                  <c:v>103.78310266784763</c:v>
                </c:pt>
                <c:pt idx="28">
                  <c:v>103.93996306404736</c:v>
                </c:pt>
                <c:pt idx="29">
                  <c:v>14.724739497402254</c:v>
                </c:pt>
                <c:pt idx="30">
                  <c:v>14.607072741948539</c:v>
                </c:pt>
                <c:pt idx="31">
                  <c:v>14.352626658113877</c:v>
                </c:pt>
                <c:pt idx="32">
                  <c:v>14.202256232458829</c:v>
                </c:pt>
                <c:pt idx="33">
                  <c:v>14.063657658046266</c:v>
                </c:pt>
                <c:pt idx="34">
                  <c:v>13.951776753079715</c:v>
                </c:pt>
                <c:pt idx="35">
                  <c:v>13.864162152369349</c:v>
                </c:pt>
                <c:pt idx="36">
                  <c:v>13.789634994909232</c:v>
                </c:pt>
                <c:pt idx="37">
                  <c:v>13.726824575175776</c:v>
                </c:pt>
                <c:pt idx="38">
                  <c:v>13.678255975036597</c:v>
                </c:pt>
                <c:pt idx="39">
                  <c:v>88.660691281386519</c:v>
                </c:pt>
                <c:pt idx="40">
                  <c:v>90.623160032373335</c:v>
                </c:pt>
                <c:pt idx="41">
                  <c:v>90.594814725777667</c:v>
                </c:pt>
                <c:pt idx="42">
                  <c:v>89.543187094001723</c:v>
                </c:pt>
                <c:pt idx="43">
                  <c:v>89.073034478527163</c:v>
                </c:pt>
                <c:pt idx="44">
                  <c:v>89.619497132663241</c:v>
                </c:pt>
                <c:pt idx="45">
                  <c:v>90.239721114687057</c:v>
                </c:pt>
                <c:pt idx="46">
                  <c:v>90.032286500070114</c:v>
                </c:pt>
                <c:pt idx="47">
                  <c:v>89.259194148284976</c:v>
                </c:pt>
                <c:pt idx="48">
                  <c:v>90.195292495783647</c:v>
                </c:pt>
                <c:pt idx="49">
                  <c:v>88.581354005005252</c:v>
                </c:pt>
                <c:pt idx="50">
                  <c:v>87.511196781057038</c:v>
                </c:pt>
                <c:pt idx="51">
                  <c:v>87.207934713149498</c:v>
                </c:pt>
                <c:pt idx="52">
                  <c:v>87.223347518069005</c:v>
                </c:pt>
                <c:pt idx="53">
                  <c:v>87.874859958619083</c:v>
                </c:pt>
                <c:pt idx="54">
                  <c:v>87.1700655694993</c:v>
                </c:pt>
                <c:pt idx="55">
                  <c:v>88.474378055993824</c:v>
                </c:pt>
                <c:pt idx="56">
                  <c:v>89.295398422457367</c:v>
                </c:pt>
                <c:pt idx="57">
                  <c:v>90.377295027306999</c:v>
                </c:pt>
                <c:pt idx="58">
                  <c:v>89.458312635418309</c:v>
                </c:pt>
                <c:pt idx="59">
                  <c:v>89.486427864674681</c:v>
                </c:pt>
                <c:pt idx="60">
                  <c:v>89.887059652596264</c:v>
                </c:pt>
                <c:pt idx="61">
                  <c:v>89.736540619823728</c:v>
                </c:pt>
                <c:pt idx="62">
                  <c:v>89.460108880502816</c:v>
                </c:pt>
                <c:pt idx="63">
                  <c:v>91.415825373521074</c:v>
                </c:pt>
                <c:pt idx="64">
                  <c:v>91.503703155228862</c:v>
                </c:pt>
                <c:pt idx="65">
                  <c:v>92.234886432008025</c:v>
                </c:pt>
                <c:pt idx="66">
                  <c:v>91.170141725030021</c:v>
                </c:pt>
                <c:pt idx="67">
                  <c:v>91.230856222687166</c:v>
                </c:pt>
                <c:pt idx="68">
                  <c:v>13.624404889530084</c:v>
                </c:pt>
                <c:pt idx="69">
                  <c:v>13.70897450578342</c:v>
                </c:pt>
                <c:pt idx="70">
                  <c:v>13.650884122923109</c:v>
                </c:pt>
                <c:pt idx="71">
                  <c:v>13.633426393203663</c:v>
                </c:pt>
                <c:pt idx="72">
                  <c:v>13.621949638495334</c:v>
                </c:pt>
                <c:pt idx="73">
                  <c:v>13.620807123219091</c:v>
                </c:pt>
                <c:pt idx="74">
                  <c:v>13.624739913401193</c:v>
                </c:pt>
                <c:pt idx="75">
                  <c:v>13.61459456591014</c:v>
                </c:pt>
                <c:pt idx="76">
                  <c:v>13.604128299908567</c:v>
                </c:pt>
                <c:pt idx="77">
                  <c:v>13.595108768697955</c:v>
                </c:pt>
                <c:pt idx="78">
                  <c:v>91.859831759288738</c:v>
                </c:pt>
                <c:pt idx="79">
                  <c:v>93.882993340130525</c:v>
                </c:pt>
                <c:pt idx="80">
                  <c:v>93.862105337354024</c:v>
                </c:pt>
                <c:pt idx="81">
                  <c:v>93.60964503122031</c:v>
                </c:pt>
                <c:pt idx="82">
                  <c:v>93.125961543388399</c:v>
                </c:pt>
                <c:pt idx="83">
                  <c:v>95.348156132491141</c:v>
                </c:pt>
                <c:pt idx="84">
                  <c:v>95.797364446766821</c:v>
                </c:pt>
                <c:pt idx="85">
                  <c:v>96.486317891484248</c:v>
                </c:pt>
                <c:pt idx="86">
                  <c:v>96.448350138259229</c:v>
                </c:pt>
                <c:pt idx="87">
                  <c:v>96.36659678691538</c:v>
                </c:pt>
                <c:pt idx="88">
                  <c:v>96.343988377790851</c:v>
                </c:pt>
                <c:pt idx="89">
                  <c:v>95.841515882829015</c:v>
                </c:pt>
                <c:pt idx="90">
                  <c:v>95.859883593729535</c:v>
                </c:pt>
                <c:pt idx="91">
                  <c:v>96.719361205715046</c:v>
                </c:pt>
                <c:pt idx="92">
                  <c:v>96.586224673953069</c:v>
                </c:pt>
                <c:pt idx="93">
                  <c:v>93.985557332410053</c:v>
                </c:pt>
                <c:pt idx="94">
                  <c:v>94.553410731627082</c:v>
                </c:pt>
                <c:pt idx="95">
                  <c:v>95.159636030372411</c:v>
                </c:pt>
                <c:pt idx="96">
                  <c:v>95.263662865057029</c:v>
                </c:pt>
                <c:pt idx="97">
                  <c:v>94.605676715315582</c:v>
                </c:pt>
                <c:pt idx="98">
                  <c:v>95.755012117682156</c:v>
                </c:pt>
                <c:pt idx="99">
                  <c:v>94.551941756083806</c:v>
                </c:pt>
                <c:pt idx="100">
                  <c:v>94.745987142759503</c:v>
                </c:pt>
                <c:pt idx="101">
                  <c:v>95.681769356809951</c:v>
                </c:pt>
                <c:pt idx="102">
                  <c:v>93.845196490355761</c:v>
                </c:pt>
                <c:pt idx="103">
                  <c:v>93.651786324627366</c:v>
                </c:pt>
                <c:pt idx="104">
                  <c:v>93.31314728966845</c:v>
                </c:pt>
                <c:pt idx="105">
                  <c:v>94.965146221571331</c:v>
                </c:pt>
                <c:pt idx="106">
                  <c:v>96.413904551647548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72-4817-9A2D-D8F9F354852D}"/>
            </c:ext>
          </c:extLst>
        </c:ser>
        <c:ser>
          <c:idx val="6"/>
          <c:order val="6"/>
          <c:tx>
            <c:strRef>
              <c:f>'Average comparison'!$U$1:$U$1</c:f>
              <c:strCache>
                <c:ptCount val="1"/>
                <c:pt idx="0">
                  <c:v>EPS-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comparison'!$U$2:$U$108</c:f>
              <c:numCache>
                <c:formatCode>General</c:formatCode>
                <c:ptCount val="107"/>
                <c:pt idx="0">
                  <c:v>100</c:v>
                </c:pt>
                <c:pt idx="1">
                  <c:v>101.31923486105785</c:v>
                </c:pt>
                <c:pt idx="2">
                  <c:v>100.77762034798032</c:v>
                </c:pt>
                <c:pt idx="3">
                  <c:v>101.15706023109038</c:v>
                </c:pt>
                <c:pt idx="4">
                  <c:v>101.2666582296477</c:v>
                </c:pt>
                <c:pt idx="5">
                  <c:v>102.37459288565339</c:v>
                </c:pt>
                <c:pt idx="6">
                  <c:v>102.32685423620876</c:v>
                </c:pt>
                <c:pt idx="7">
                  <c:v>102.41947679645598</c:v>
                </c:pt>
                <c:pt idx="8">
                  <c:v>102.63339233129459</c:v>
                </c:pt>
                <c:pt idx="9">
                  <c:v>103.22575228623879</c:v>
                </c:pt>
                <c:pt idx="10">
                  <c:v>103.36003543603813</c:v>
                </c:pt>
                <c:pt idx="11">
                  <c:v>103.40647010802957</c:v>
                </c:pt>
                <c:pt idx="12">
                  <c:v>103.34509609495062</c:v>
                </c:pt>
                <c:pt idx="13">
                  <c:v>103.90101933978417</c:v>
                </c:pt>
                <c:pt idx="14">
                  <c:v>104.45770244091848</c:v>
                </c:pt>
                <c:pt idx="15">
                  <c:v>104.63122732118275</c:v>
                </c:pt>
                <c:pt idx="16">
                  <c:v>104.76184170127461</c:v>
                </c:pt>
                <c:pt idx="17">
                  <c:v>105.29211459042715</c:v>
                </c:pt>
                <c:pt idx="18">
                  <c:v>106.64944152979866</c:v>
                </c:pt>
                <c:pt idx="19">
                  <c:v>106.02993298425513</c:v>
                </c:pt>
                <c:pt idx="20">
                  <c:v>105.42993561377999</c:v>
                </c:pt>
                <c:pt idx="21">
                  <c:v>105.18655930840085</c:v>
                </c:pt>
                <c:pt idx="22">
                  <c:v>104.88467227878084</c:v>
                </c:pt>
                <c:pt idx="23">
                  <c:v>105.67249496184672</c:v>
                </c:pt>
                <c:pt idx="24">
                  <c:v>106.42797803403236</c:v>
                </c:pt>
                <c:pt idx="25">
                  <c:v>107.12831963352444</c:v>
                </c:pt>
                <c:pt idx="26">
                  <c:v>106.22596074359576</c:v>
                </c:pt>
                <c:pt idx="27">
                  <c:v>105.20741141037553</c:v>
                </c:pt>
                <c:pt idx="28">
                  <c:v>107.47668440866734</c:v>
                </c:pt>
                <c:pt idx="29">
                  <c:v>12.479576831753489</c:v>
                </c:pt>
                <c:pt idx="30">
                  <c:v>12.423751968372358</c:v>
                </c:pt>
                <c:pt idx="31">
                  <c:v>12.34889101970343</c:v>
                </c:pt>
                <c:pt idx="32">
                  <c:v>12.286373665505991</c:v>
                </c:pt>
                <c:pt idx="33">
                  <c:v>12.233760013101742</c:v>
                </c:pt>
                <c:pt idx="34">
                  <c:v>12.199591641456335</c:v>
                </c:pt>
                <c:pt idx="35">
                  <c:v>12.160925439449718</c:v>
                </c:pt>
                <c:pt idx="36">
                  <c:v>12.113695041642766</c:v>
                </c:pt>
                <c:pt idx="37">
                  <c:v>12.071752809076132</c:v>
                </c:pt>
                <c:pt idx="38">
                  <c:v>12.043955286591169</c:v>
                </c:pt>
                <c:pt idx="39">
                  <c:v>103.53828510589209</c:v>
                </c:pt>
                <c:pt idx="40">
                  <c:v>107.20248292666913</c:v>
                </c:pt>
                <c:pt idx="41">
                  <c:v>106.23168035797192</c:v>
                </c:pt>
                <c:pt idx="42">
                  <c:v>104.94843566918375</c:v>
                </c:pt>
                <c:pt idx="43">
                  <c:v>105.16964311156865</c:v>
                </c:pt>
                <c:pt idx="44">
                  <c:v>105.65862672895759</c:v>
                </c:pt>
                <c:pt idx="45">
                  <c:v>106.51302070113552</c:v>
                </c:pt>
                <c:pt idx="46">
                  <c:v>106.24308060312092</c:v>
                </c:pt>
                <c:pt idx="47">
                  <c:v>108.47493801684107</c:v>
                </c:pt>
                <c:pt idx="48">
                  <c:v>108.86752766584199</c:v>
                </c:pt>
                <c:pt idx="49">
                  <c:v>107.81320224356141</c:v>
                </c:pt>
                <c:pt idx="50">
                  <c:v>107.59138413923112</c:v>
                </c:pt>
                <c:pt idx="51">
                  <c:v>107.22964530073978</c:v>
                </c:pt>
                <c:pt idx="52">
                  <c:v>107.57162022522709</c:v>
                </c:pt>
                <c:pt idx="53">
                  <c:v>108.46445358896695</c:v>
                </c:pt>
                <c:pt idx="54">
                  <c:v>108.22262747507524</c:v>
                </c:pt>
                <c:pt idx="55">
                  <c:v>109.57919008900073</c:v>
                </c:pt>
                <c:pt idx="56">
                  <c:v>110.47305050578667</c:v>
                </c:pt>
                <c:pt idx="57">
                  <c:v>111.04664942004115</c:v>
                </c:pt>
                <c:pt idx="58">
                  <c:v>110.6484193535173</c:v>
                </c:pt>
                <c:pt idx="59">
                  <c:v>109.97632552851506</c:v>
                </c:pt>
                <c:pt idx="60">
                  <c:v>110.60701833819678</c:v>
                </c:pt>
                <c:pt idx="61">
                  <c:v>110.08748731992523</c:v>
                </c:pt>
                <c:pt idx="62">
                  <c:v>111.47249968281812</c:v>
                </c:pt>
                <c:pt idx="63">
                  <c:v>112.60131796093657</c:v>
                </c:pt>
                <c:pt idx="64">
                  <c:v>112.9677312508055</c:v>
                </c:pt>
                <c:pt idx="65">
                  <c:v>114.01960950494799</c:v>
                </c:pt>
                <c:pt idx="66">
                  <c:v>114.2451267477674</c:v>
                </c:pt>
                <c:pt idx="67">
                  <c:v>113.99413079608642</c:v>
                </c:pt>
                <c:pt idx="68">
                  <c:v>12.095920012709655</c:v>
                </c:pt>
                <c:pt idx="69">
                  <c:v>12.120886173473187</c:v>
                </c:pt>
                <c:pt idx="70">
                  <c:v>12.07296815827643</c:v>
                </c:pt>
                <c:pt idx="71">
                  <c:v>12.02288890728588</c:v>
                </c:pt>
                <c:pt idx="72">
                  <c:v>11.983533851000894</c:v>
                </c:pt>
                <c:pt idx="73">
                  <c:v>11.953579733931646</c:v>
                </c:pt>
                <c:pt idx="74">
                  <c:v>11.920427759145879</c:v>
                </c:pt>
                <c:pt idx="75">
                  <c:v>11.891156476659669</c:v>
                </c:pt>
                <c:pt idx="76">
                  <c:v>11.864104464347591</c:v>
                </c:pt>
                <c:pt idx="77">
                  <c:v>11.841194035229675</c:v>
                </c:pt>
                <c:pt idx="78">
                  <c:v>103.57018487353763</c:v>
                </c:pt>
                <c:pt idx="79">
                  <c:v>105.3891650053839</c:v>
                </c:pt>
                <c:pt idx="80">
                  <c:v>103.95462799896677</c:v>
                </c:pt>
                <c:pt idx="81">
                  <c:v>102.58023951750452</c:v>
                </c:pt>
                <c:pt idx="82">
                  <c:v>101.8667573027471</c:v>
                </c:pt>
                <c:pt idx="83">
                  <c:v>103.03521606880754</c:v>
                </c:pt>
                <c:pt idx="84">
                  <c:v>103.33134690902789</c:v>
                </c:pt>
                <c:pt idx="85">
                  <c:v>103.68042615705694</c:v>
                </c:pt>
                <c:pt idx="86">
                  <c:v>103.51556080507738</c:v>
                </c:pt>
                <c:pt idx="87">
                  <c:v>103.63636139725895</c:v>
                </c:pt>
                <c:pt idx="88">
                  <c:v>103.31900647521822</c:v>
                </c:pt>
                <c:pt idx="89">
                  <c:v>102.87853295250125</c:v>
                </c:pt>
                <c:pt idx="90">
                  <c:v>102.71231624019192</c:v>
                </c:pt>
                <c:pt idx="91">
                  <c:v>103.59659830076403</c:v>
                </c:pt>
                <c:pt idx="92">
                  <c:v>103.47584355266777</c:v>
                </c:pt>
                <c:pt idx="93">
                  <c:v>103.68341128416368</c:v>
                </c:pt>
                <c:pt idx="94">
                  <c:v>105.24984760062114</c:v>
                </c:pt>
                <c:pt idx="95">
                  <c:v>106.4221875033944</c:v>
                </c:pt>
                <c:pt idx="96">
                  <c:v>106.1825712369404</c:v>
                </c:pt>
                <c:pt idx="97">
                  <c:v>104.59683263565439</c:v>
                </c:pt>
                <c:pt idx="98">
                  <c:v>105.41239591611172</c:v>
                </c:pt>
                <c:pt idx="99">
                  <c:v>105.70471477456152</c:v>
                </c:pt>
                <c:pt idx="100">
                  <c:v>105.18404495143919</c:v>
                </c:pt>
                <c:pt idx="101">
                  <c:v>105.72601288521339</c:v>
                </c:pt>
                <c:pt idx="102">
                  <c:v>105.76936550426113</c:v>
                </c:pt>
                <c:pt idx="103">
                  <c:v>106.02188530659608</c:v>
                </c:pt>
                <c:pt idx="104">
                  <c:v>107.02915668808903</c:v>
                </c:pt>
                <c:pt idx="105">
                  <c:v>107.35010503353008</c:v>
                </c:pt>
                <c:pt idx="106">
                  <c:v>106.32822538997691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72-4817-9A2D-D8F9F354852D}"/>
            </c:ext>
          </c:extLst>
        </c:ser>
        <c:ser>
          <c:idx val="7"/>
          <c:order val="7"/>
          <c:tx>
            <c:strRef>
              <c:f>'Average comparison'!$X$1:$X$1</c:f>
              <c:strCache>
                <c:ptCount val="1"/>
                <c:pt idx="0">
                  <c:v>EPS-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comparison'!$X$2:$X$108</c:f>
              <c:numCache>
                <c:formatCode>General</c:formatCode>
                <c:ptCount val="107"/>
                <c:pt idx="0">
                  <c:v>100</c:v>
                </c:pt>
                <c:pt idx="1">
                  <c:v>98.123539149496295</c:v>
                </c:pt>
                <c:pt idx="2">
                  <c:v>100.94122229720084</c:v>
                </c:pt>
                <c:pt idx="3">
                  <c:v>103.1062875864922</c:v>
                </c:pt>
                <c:pt idx="4">
                  <c:v>102.56618499695733</c:v>
                </c:pt>
                <c:pt idx="5">
                  <c:v>102.61840657960285</c:v>
                </c:pt>
                <c:pt idx="6">
                  <c:v>103.59630149280181</c:v>
                </c:pt>
                <c:pt idx="7">
                  <c:v>104.19624004547956</c:v>
                </c:pt>
                <c:pt idx="8">
                  <c:v>104.65948809766581</c:v>
                </c:pt>
                <c:pt idx="9">
                  <c:v>105.1053524943826</c:v>
                </c:pt>
                <c:pt idx="10">
                  <c:v>105.42631914952776</c:v>
                </c:pt>
                <c:pt idx="11">
                  <c:v>106.47741403168814</c:v>
                </c:pt>
                <c:pt idx="12">
                  <c:v>106.3496857678214</c:v>
                </c:pt>
                <c:pt idx="13">
                  <c:v>102.57343915118444</c:v>
                </c:pt>
                <c:pt idx="14">
                  <c:v>103.62462867009495</c:v>
                </c:pt>
                <c:pt idx="15">
                  <c:v>105.02380337167921</c:v>
                </c:pt>
                <c:pt idx="16">
                  <c:v>105.5190689356826</c:v>
                </c:pt>
                <c:pt idx="17">
                  <c:v>103.01093865868759</c:v>
                </c:pt>
                <c:pt idx="18">
                  <c:v>103.414917306137</c:v>
                </c:pt>
                <c:pt idx="19">
                  <c:v>103.87731729171819</c:v>
                </c:pt>
                <c:pt idx="20">
                  <c:v>101.39590994744673</c:v>
                </c:pt>
                <c:pt idx="21">
                  <c:v>102.23184345551546</c:v>
                </c:pt>
                <c:pt idx="22">
                  <c:v>103.13170806796495</c:v>
                </c:pt>
                <c:pt idx="23">
                  <c:v>104.09500176625073</c:v>
                </c:pt>
                <c:pt idx="24">
                  <c:v>103.86648473245097</c:v>
                </c:pt>
                <c:pt idx="25">
                  <c:v>103.9146264614902</c:v>
                </c:pt>
                <c:pt idx="26">
                  <c:v>103.61717604128971</c:v>
                </c:pt>
                <c:pt idx="27">
                  <c:v>106.23478750119801</c:v>
                </c:pt>
                <c:pt idx="28">
                  <c:v>106.05408574138011</c:v>
                </c:pt>
                <c:pt idx="29">
                  <c:v>12.172974586726717</c:v>
                </c:pt>
                <c:pt idx="30">
                  <c:v>12.128876887141328</c:v>
                </c:pt>
                <c:pt idx="31">
                  <c:v>12.056777088211954</c:v>
                </c:pt>
                <c:pt idx="32">
                  <c:v>12.008572781664959</c:v>
                </c:pt>
                <c:pt idx="33">
                  <c:v>11.97581593474138</c:v>
                </c:pt>
                <c:pt idx="34">
                  <c:v>11.941894733142819</c:v>
                </c:pt>
                <c:pt idx="35">
                  <c:v>11.91367142319441</c:v>
                </c:pt>
                <c:pt idx="36">
                  <c:v>11.880085083832801</c:v>
                </c:pt>
                <c:pt idx="37">
                  <c:v>11.85889465745581</c:v>
                </c:pt>
                <c:pt idx="38">
                  <c:v>11.847872509164656</c:v>
                </c:pt>
                <c:pt idx="39">
                  <c:v>112.10025255065636</c:v>
                </c:pt>
                <c:pt idx="40">
                  <c:v>116.63487918179652</c:v>
                </c:pt>
                <c:pt idx="41">
                  <c:v>116.51647493808679</c:v>
                </c:pt>
                <c:pt idx="42">
                  <c:v>115.80166031740384</c:v>
                </c:pt>
                <c:pt idx="43">
                  <c:v>116.25808088481506</c:v>
                </c:pt>
                <c:pt idx="44">
                  <c:v>117.45384844680299</c:v>
                </c:pt>
                <c:pt idx="45">
                  <c:v>119.64085025589164</c:v>
                </c:pt>
                <c:pt idx="46">
                  <c:v>120.04883215593836</c:v>
                </c:pt>
                <c:pt idx="47">
                  <c:v>118.91723102811179</c:v>
                </c:pt>
                <c:pt idx="48">
                  <c:v>119.66050911196484</c:v>
                </c:pt>
                <c:pt idx="49">
                  <c:v>120.64670929057853</c:v>
                </c:pt>
                <c:pt idx="50">
                  <c:v>121.0121831777536</c:v>
                </c:pt>
                <c:pt idx="51">
                  <c:v>118.93761327822043</c:v>
                </c:pt>
                <c:pt idx="52">
                  <c:v>119.14064344843469</c:v>
                </c:pt>
                <c:pt idx="53">
                  <c:v>119.35287945991742</c:v>
                </c:pt>
                <c:pt idx="54">
                  <c:v>120.66150112251216</c:v>
                </c:pt>
                <c:pt idx="55">
                  <c:v>120.32603184851733</c:v>
                </c:pt>
                <c:pt idx="56">
                  <c:v>121.6443096555747</c:v>
                </c:pt>
                <c:pt idx="57">
                  <c:v>123.2671360156849</c:v>
                </c:pt>
                <c:pt idx="58">
                  <c:v>125.07456735702294</c:v>
                </c:pt>
                <c:pt idx="59">
                  <c:v>122.82427763350304</c:v>
                </c:pt>
                <c:pt idx="60">
                  <c:v>123.5941764509392</c:v>
                </c:pt>
                <c:pt idx="61">
                  <c:v>125.44159397698093</c:v>
                </c:pt>
                <c:pt idx="62">
                  <c:v>127.06376900459483</c:v>
                </c:pt>
                <c:pt idx="63">
                  <c:v>126.35078962235586</c:v>
                </c:pt>
                <c:pt idx="64">
                  <c:v>127.53053200084707</c:v>
                </c:pt>
                <c:pt idx="65">
                  <c:v>129.1231054000998</c:v>
                </c:pt>
                <c:pt idx="66">
                  <c:v>129.01711046895323</c:v>
                </c:pt>
                <c:pt idx="67">
                  <c:v>127.93740672827153</c:v>
                </c:pt>
                <c:pt idx="68">
                  <c:v>11.913241716572387</c:v>
                </c:pt>
                <c:pt idx="69">
                  <c:v>11.947824897047218</c:v>
                </c:pt>
                <c:pt idx="70">
                  <c:v>11.913926712392808</c:v>
                </c:pt>
                <c:pt idx="71">
                  <c:v>11.888812920962927</c:v>
                </c:pt>
                <c:pt idx="72">
                  <c:v>11.874440304997574</c:v>
                </c:pt>
                <c:pt idx="73">
                  <c:v>11.860578047580251</c:v>
                </c:pt>
                <c:pt idx="74">
                  <c:v>11.838081711405696</c:v>
                </c:pt>
                <c:pt idx="75">
                  <c:v>11.819525107820908</c:v>
                </c:pt>
                <c:pt idx="76">
                  <c:v>11.801981156139577</c:v>
                </c:pt>
                <c:pt idx="77">
                  <c:v>11.78205220364665</c:v>
                </c:pt>
                <c:pt idx="78">
                  <c:v>105.41604953541142</c:v>
                </c:pt>
                <c:pt idx="79">
                  <c:v>104.60580340114302</c:v>
                </c:pt>
                <c:pt idx="80">
                  <c:v>103.74248174481212</c:v>
                </c:pt>
                <c:pt idx="81">
                  <c:v>110.94559730795027</c:v>
                </c:pt>
                <c:pt idx="82">
                  <c:v>111.40644033680236</c:v>
                </c:pt>
                <c:pt idx="83">
                  <c:v>112.46939302665329</c:v>
                </c:pt>
                <c:pt idx="84">
                  <c:v>112.70318635952907</c:v>
                </c:pt>
                <c:pt idx="85">
                  <c:v>113.09338289156017</c:v>
                </c:pt>
                <c:pt idx="86">
                  <c:v>114.42510779912614</c:v>
                </c:pt>
                <c:pt idx="87">
                  <c:v>114.85089606478104</c:v>
                </c:pt>
                <c:pt idx="88">
                  <c:v>115.47905485257795</c:v>
                </c:pt>
                <c:pt idx="89">
                  <c:v>115.88475303288138</c:v>
                </c:pt>
                <c:pt idx="90">
                  <c:v>116.01790721512151</c:v>
                </c:pt>
                <c:pt idx="91">
                  <c:v>116.14823459010348</c:v>
                </c:pt>
                <c:pt idx="92">
                  <c:v>116.49823432027983</c:v>
                </c:pt>
                <c:pt idx="93">
                  <c:v>117.08386839280598</c:v>
                </c:pt>
                <c:pt idx="94">
                  <c:v>116.74277186579008</c:v>
                </c:pt>
                <c:pt idx="95">
                  <c:v>117.98534178929489</c:v>
                </c:pt>
                <c:pt idx="96">
                  <c:v>117.84805449101427</c:v>
                </c:pt>
                <c:pt idx="97">
                  <c:v>119.07375477767242</c:v>
                </c:pt>
                <c:pt idx="98">
                  <c:v>118.53111434968696</c:v>
                </c:pt>
                <c:pt idx="99">
                  <c:v>120.38437263650493</c:v>
                </c:pt>
                <c:pt idx="100">
                  <c:v>120.1694630808511</c:v>
                </c:pt>
                <c:pt idx="101">
                  <c:v>120.62244650623093</c:v>
                </c:pt>
                <c:pt idx="102">
                  <c:v>120.59566309474107</c:v>
                </c:pt>
                <c:pt idx="103">
                  <c:v>121.0422114348541</c:v>
                </c:pt>
                <c:pt idx="104">
                  <c:v>121.22632281489521</c:v>
                </c:pt>
                <c:pt idx="105">
                  <c:v>121.52523569756923</c:v>
                </c:pt>
                <c:pt idx="106">
                  <c:v>123.04768905636399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E72-4817-9A2D-D8F9F3548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539215"/>
        <c:axId val="364532143"/>
      </c:scatterChart>
      <c:valAx>
        <c:axId val="3645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32143"/>
        <c:crosses val="autoZero"/>
        <c:crossBetween val="midCat"/>
      </c:valAx>
      <c:valAx>
        <c:axId val="3645321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3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comparison'!$B$1</c:f>
              <c:strCache>
                <c:ptCount val="1"/>
                <c:pt idx="0">
                  <c:v>WT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comparison'!$B$2:$B$108</c:f>
              <c:numCache>
                <c:formatCode>General</c:formatCode>
                <c:ptCount val="107"/>
                <c:pt idx="0">
                  <c:v>100</c:v>
                </c:pt>
                <c:pt idx="1">
                  <c:v>100.32009850514538</c:v>
                </c:pt>
                <c:pt idx="2">
                  <c:v>100.63628905047183</c:v>
                </c:pt>
                <c:pt idx="3">
                  <c:v>100.98047089592421</c:v>
                </c:pt>
                <c:pt idx="4">
                  <c:v>101.31310916889367</c:v>
                </c:pt>
                <c:pt idx="5">
                  <c:v>101.5630605000599</c:v>
                </c:pt>
                <c:pt idx="6">
                  <c:v>101.73394096753402</c:v>
                </c:pt>
                <c:pt idx="7">
                  <c:v>102.08124286136996</c:v>
                </c:pt>
                <c:pt idx="8">
                  <c:v>102.27097798713346</c:v>
                </c:pt>
                <c:pt idx="9">
                  <c:v>102.5254171588639</c:v>
                </c:pt>
                <c:pt idx="10">
                  <c:v>102.7559589780593</c:v>
                </c:pt>
                <c:pt idx="11">
                  <c:v>102.86727923672068</c:v>
                </c:pt>
                <c:pt idx="12">
                  <c:v>103.17205489077389</c:v>
                </c:pt>
                <c:pt idx="13">
                  <c:v>103.34332383472683</c:v>
                </c:pt>
                <c:pt idx="14">
                  <c:v>103.46442205102421</c:v>
                </c:pt>
                <c:pt idx="15">
                  <c:v>103.67654072489223</c:v>
                </c:pt>
                <c:pt idx="16">
                  <c:v>103.90457662807016</c:v>
                </c:pt>
                <c:pt idx="17">
                  <c:v>104.01613011234865</c:v>
                </c:pt>
                <c:pt idx="18">
                  <c:v>104.24887066877075</c:v>
                </c:pt>
                <c:pt idx="19">
                  <c:v>104.42633386285605</c:v>
                </c:pt>
                <c:pt idx="20">
                  <c:v>104.57481899132165</c:v>
                </c:pt>
                <c:pt idx="21">
                  <c:v>104.75117346965061</c:v>
                </c:pt>
                <c:pt idx="22">
                  <c:v>104.89413444740649</c:v>
                </c:pt>
                <c:pt idx="23">
                  <c:v>105.01457446042834</c:v>
                </c:pt>
                <c:pt idx="24">
                  <c:v>105.18679000273362</c:v>
                </c:pt>
                <c:pt idx="25">
                  <c:v>105.34994691436611</c:v>
                </c:pt>
                <c:pt idx="26">
                  <c:v>105.55437568427705</c:v>
                </c:pt>
                <c:pt idx="27">
                  <c:v>105.64906027539915</c:v>
                </c:pt>
                <c:pt idx="28">
                  <c:v>105.84630345279588</c:v>
                </c:pt>
                <c:pt idx="29">
                  <c:v>0.16655764944939913</c:v>
                </c:pt>
                <c:pt idx="30">
                  <c:v>0.16351195255257231</c:v>
                </c:pt>
                <c:pt idx="31">
                  <c:v>0.16052297461631349</c:v>
                </c:pt>
                <c:pt idx="32">
                  <c:v>0.15801663130685475</c:v>
                </c:pt>
                <c:pt idx="33">
                  <c:v>0.15625405303424852</c:v>
                </c:pt>
                <c:pt idx="34">
                  <c:v>0.15386975075527579</c:v>
                </c:pt>
                <c:pt idx="35">
                  <c:v>0.15084806543478774</c:v>
                </c:pt>
                <c:pt idx="36">
                  <c:v>0.14774312620621868</c:v>
                </c:pt>
                <c:pt idx="37">
                  <c:v>0.14448921196095435</c:v>
                </c:pt>
                <c:pt idx="38">
                  <c:v>0.14196143275642228</c:v>
                </c:pt>
                <c:pt idx="39">
                  <c:v>79.970479149610512</c:v>
                </c:pt>
                <c:pt idx="40">
                  <c:v>82.485360115943394</c:v>
                </c:pt>
                <c:pt idx="41">
                  <c:v>84.15219337572907</c:v>
                </c:pt>
                <c:pt idx="42">
                  <c:v>85.569844660916331</c:v>
                </c:pt>
                <c:pt idx="43">
                  <c:v>86.972755734783618</c:v>
                </c:pt>
                <c:pt idx="44">
                  <c:v>88.043002753812516</c:v>
                </c:pt>
                <c:pt idx="45">
                  <c:v>88.778026986715716</c:v>
                </c:pt>
                <c:pt idx="46">
                  <c:v>89.401569671519042</c:v>
                </c:pt>
                <c:pt idx="47">
                  <c:v>89.881134870068038</c:v>
                </c:pt>
                <c:pt idx="48">
                  <c:v>90.254419333945251</c:v>
                </c:pt>
                <c:pt idx="49">
                  <c:v>90.589584229723812</c:v>
                </c:pt>
                <c:pt idx="50">
                  <c:v>90.981031024327294</c:v>
                </c:pt>
                <c:pt idx="51">
                  <c:v>91.512978755428165</c:v>
                </c:pt>
                <c:pt idx="52">
                  <c:v>92.080260991161708</c:v>
                </c:pt>
                <c:pt idx="53">
                  <c:v>92.529440535621134</c:v>
                </c:pt>
                <c:pt idx="54">
                  <c:v>92.936286796070604</c:v>
                </c:pt>
                <c:pt idx="55">
                  <c:v>93.121571835083202</c:v>
                </c:pt>
                <c:pt idx="56">
                  <c:v>93.333369752626695</c:v>
                </c:pt>
                <c:pt idx="57">
                  <c:v>93.615779708016063</c:v>
                </c:pt>
                <c:pt idx="58">
                  <c:v>93.697254244909189</c:v>
                </c:pt>
                <c:pt idx="59">
                  <c:v>93.906409117946339</c:v>
                </c:pt>
                <c:pt idx="60">
                  <c:v>94.250302223267127</c:v>
                </c:pt>
                <c:pt idx="61">
                  <c:v>94.540484011220357</c:v>
                </c:pt>
                <c:pt idx="62">
                  <c:v>94.746889323183282</c:v>
                </c:pt>
                <c:pt idx="63">
                  <c:v>95.139776093187223</c:v>
                </c:pt>
                <c:pt idx="64">
                  <c:v>95.105342816339927</c:v>
                </c:pt>
                <c:pt idx="65">
                  <c:v>95.291105923444889</c:v>
                </c:pt>
                <c:pt idx="66">
                  <c:v>95.386106659370213</c:v>
                </c:pt>
                <c:pt idx="67">
                  <c:v>95.700194736901565</c:v>
                </c:pt>
                <c:pt idx="68">
                  <c:v>0.13067853350714201</c:v>
                </c:pt>
                <c:pt idx="69">
                  <c:v>0.13062547130339031</c:v>
                </c:pt>
                <c:pt idx="70">
                  <c:v>0.12908224578113944</c:v>
                </c:pt>
                <c:pt idx="71">
                  <c:v>0.12676280821169841</c:v>
                </c:pt>
                <c:pt idx="72">
                  <c:v>0.12504684963649212</c:v>
                </c:pt>
                <c:pt idx="73">
                  <c:v>0.12342716868473717</c:v>
                </c:pt>
                <c:pt idx="74">
                  <c:v>0.12215730585743474</c:v>
                </c:pt>
                <c:pt idx="75">
                  <c:v>0.12064883965049354</c:v>
                </c:pt>
                <c:pt idx="76">
                  <c:v>0.11886324264344</c:v>
                </c:pt>
                <c:pt idx="77">
                  <c:v>0.11740692779621731</c:v>
                </c:pt>
                <c:pt idx="78">
                  <c:v>80.501747198650307</c:v>
                </c:pt>
                <c:pt idx="79">
                  <c:v>83.142069659544319</c:v>
                </c:pt>
                <c:pt idx="80">
                  <c:v>84.924434230086831</c:v>
                </c:pt>
                <c:pt idx="81">
                  <c:v>86.41540918063977</c:v>
                </c:pt>
                <c:pt idx="82">
                  <c:v>87.801502455917742</c:v>
                </c:pt>
                <c:pt idx="83">
                  <c:v>88.825453663556189</c:v>
                </c:pt>
                <c:pt idx="84">
                  <c:v>89.594592025123191</c:v>
                </c:pt>
                <c:pt idx="85">
                  <c:v>90.225898354271109</c:v>
                </c:pt>
                <c:pt idx="86">
                  <c:v>90.74255021017116</c:v>
                </c:pt>
                <c:pt idx="87">
                  <c:v>91.204978594974932</c:v>
                </c:pt>
                <c:pt idx="88">
                  <c:v>91.719028143587352</c:v>
                </c:pt>
                <c:pt idx="89">
                  <c:v>92.148303693577205</c:v>
                </c:pt>
                <c:pt idx="90">
                  <c:v>92.636940641336821</c:v>
                </c:pt>
                <c:pt idx="91">
                  <c:v>93.077403267711318</c:v>
                </c:pt>
                <c:pt idx="92">
                  <c:v>93.623057199463801</c:v>
                </c:pt>
                <c:pt idx="93">
                  <c:v>93.895076580325338</c:v>
                </c:pt>
                <c:pt idx="94">
                  <c:v>94.311576777264577</c:v>
                </c:pt>
                <c:pt idx="95">
                  <c:v>94.664135162461562</c:v>
                </c:pt>
                <c:pt idx="96">
                  <c:v>94.764443582012731</c:v>
                </c:pt>
                <c:pt idx="97">
                  <c:v>94.878252069091261</c:v>
                </c:pt>
                <c:pt idx="98">
                  <c:v>95.169764873005803</c:v>
                </c:pt>
                <c:pt idx="99">
                  <c:v>95.392042829293516</c:v>
                </c:pt>
                <c:pt idx="100">
                  <c:v>95.832606710530328</c:v>
                </c:pt>
                <c:pt idx="101">
                  <c:v>96.083619443312685</c:v>
                </c:pt>
                <c:pt idx="102">
                  <c:v>96.217239368938763</c:v>
                </c:pt>
                <c:pt idx="103">
                  <c:v>96.508214826566942</c:v>
                </c:pt>
                <c:pt idx="104">
                  <c:v>96.674573651039964</c:v>
                </c:pt>
                <c:pt idx="105">
                  <c:v>96.721292003055154</c:v>
                </c:pt>
                <c:pt idx="106">
                  <c:v>96.987355141822562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1-8940-A7D7-F723420392E4}"/>
            </c:ext>
          </c:extLst>
        </c:ser>
        <c:ser>
          <c:idx val="1"/>
          <c:order val="1"/>
          <c:tx>
            <c:strRef>
              <c:f>'Average comparison'!$E$1</c:f>
              <c:strCache>
                <c:ptCount val="1"/>
                <c:pt idx="0">
                  <c:v>WT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comparison'!$E$2:$E$108</c:f>
              <c:numCache>
                <c:formatCode>General</c:formatCode>
                <c:ptCount val="107"/>
                <c:pt idx="0">
                  <c:v>100</c:v>
                </c:pt>
                <c:pt idx="1">
                  <c:v>100.02844006380715</c:v>
                </c:pt>
                <c:pt idx="2">
                  <c:v>100.09667046325328</c:v>
                </c:pt>
                <c:pt idx="3">
                  <c:v>100.30815431785214</c:v>
                </c:pt>
                <c:pt idx="4">
                  <c:v>100.40575661717664</c:v>
                </c:pt>
                <c:pt idx="5">
                  <c:v>100.76169269711131</c:v>
                </c:pt>
                <c:pt idx="6">
                  <c:v>101.0032579916668</c:v>
                </c:pt>
                <c:pt idx="7">
                  <c:v>101.15947012006451</c:v>
                </c:pt>
                <c:pt idx="8">
                  <c:v>101.52483269406491</c:v>
                </c:pt>
                <c:pt idx="9">
                  <c:v>101.67243638915886</c:v>
                </c:pt>
                <c:pt idx="10">
                  <c:v>101.92861037865521</c:v>
                </c:pt>
                <c:pt idx="11">
                  <c:v>102.21777235526659</c:v>
                </c:pt>
                <c:pt idx="12">
                  <c:v>102.3821058414546</c:v>
                </c:pt>
                <c:pt idx="13">
                  <c:v>102.62107500695103</c:v>
                </c:pt>
                <c:pt idx="14">
                  <c:v>102.61940227776012</c:v>
                </c:pt>
                <c:pt idx="15">
                  <c:v>102.97904831575312</c:v>
                </c:pt>
                <c:pt idx="16">
                  <c:v>103.09728681126714</c:v>
                </c:pt>
                <c:pt idx="17">
                  <c:v>103.58808301531057</c:v>
                </c:pt>
                <c:pt idx="18">
                  <c:v>103.5055876039909</c:v>
                </c:pt>
                <c:pt idx="19">
                  <c:v>103.65909221913606</c:v>
                </c:pt>
                <c:pt idx="20">
                  <c:v>104.17611449329075</c:v>
                </c:pt>
                <c:pt idx="21">
                  <c:v>104.38517745775283</c:v>
                </c:pt>
                <c:pt idx="22">
                  <c:v>104.54595511116878</c:v>
                </c:pt>
                <c:pt idx="23">
                  <c:v>104.7276294650884</c:v>
                </c:pt>
                <c:pt idx="24">
                  <c:v>105.10138977379427</c:v>
                </c:pt>
                <c:pt idx="25">
                  <c:v>105.07719784610669</c:v>
                </c:pt>
                <c:pt idx="26">
                  <c:v>105.59250822306095</c:v>
                </c:pt>
                <c:pt idx="27">
                  <c:v>105.558597990864</c:v>
                </c:pt>
                <c:pt idx="28">
                  <c:v>105.79096057313635</c:v>
                </c:pt>
                <c:pt idx="29">
                  <c:v>0.2048295180739767</c:v>
                </c:pt>
                <c:pt idx="30">
                  <c:v>0.20264758718611189</c:v>
                </c:pt>
                <c:pt idx="31">
                  <c:v>0.20065065951543848</c:v>
                </c:pt>
                <c:pt idx="32">
                  <c:v>0.1988218632289554</c:v>
                </c:pt>
                <c:pt idx="33">
                  <c:v>0.19654028555186775</c:v>
                </c:pt>
                <c:pt idx="34">
                  <c:v>0.19502357548524402</c:v>
                </c:pt>
                <c:pt idx="35">
                  <c:v>0.19286687237557623</c:v>
                </c:pt>
                <c:pt idx="36">
                  <c:v>0.19059477326707114</c:v>
                </c:pt>
                <c:pt idx="37">
                  <c:v>0.18904705750286324</c:v>
                </c:pt>
                <c:pt idx="38">
                  <c:v>0.188002119601407</c:v>
                </c:pt>
                <c:pt idx="39">
                  <c:v>80.495270625469857</c:v>
                </c:pt>
                <c:pt idx="40">
                  <c:v>82.982490614079495</c:v>
                </c:pt>
                <c:pt idx="41">
                  <c:v>84.778032289953188</c:v>
                </c:pt>
                <c:pt idx="42">
                  <c:v>86.425148704840524</c:v>
                </c:pt>
                <c:pt idx="43">
                  <c:v>87.966983730125975</c:v>
                </c:pt>
                <c:pt idx="44">
                  <c:v>89.133608378487239</c:v>
                </c:pt>
                <c:pt idx="45">
                  <c:v>90.100392179582201</c:v>
                </c:pt>
                <c:pt idx="46">
                  <c:v>90.611249516790792</c:v>
                </c:pt>
                <c:pt idx="47">
                  <c:v>90.985995735694843</c:v>
                </c:pt>
                <c:pt idx="48">
                  <c:v>91.410518609552355</c:v>
                </c:pt>
                <c:pt idx="49">
                  <c:v>91.760136053391761</c:v>
                </c:pt>
                <c:pt idx="50">
                  <c:v>92.285015972264063</c:v>
                </c:pt>
                <c:pt idx="51">
                  <c:v>92.667952003101561</c:v>
                </c:pt>
                <c:pt idx="52">
                  <c:v>93.180558730118065</c:v>
                </c:pt>
                <c:pt idx="53">
                  <c:v>93.298923570305107</c:v>
                </c:pt>
                <c:pt idx="54">
                  <c:v>94.05085982188362</c:v>
                </c:pt>
                <c:pt idx="55">
                  <c:v>94.378380835347883</c:v>
                </c:pt>
                <c:pt idx="56">
                  <c:v>94.35312146013473</c:v>
                </c:pt>
                <c:pt idx="57">
                  <c:v>94.572034254311802</c:v>
                </c:pt>
                <c:pt idx="58">
                  <c:v>95.042157377202599</c:v>
                </c:pt>
                <c:pt idx="59">
                  <c:v>95.324640824251816</c:v>
                </c:pt>
                <c:pt idx="60">
                  <c:v>95.632021031583179</c:v>
                </c:pt>
                <c:pt idx="61">
                  <c:v>95.993890161481602</c:v>
                </c:pt>
                <c:pt idx="62">
                  <c:v>96.172194491960042</c:v>
                </c:pt>
                <c:pt idx="63">
                  <c:v>96.441545742360773</c:v>
                </c:pt>
                <c:pt idx="64">
                  <c:v>96.710512230412988</c:v>
                </c:pt>
                <c:pt idx="65">
                  <c:v>97.07272243612428</c:v>
                </c:pt>
                <c:pt idx="66">
                  <c:v>97.328729575334506</c:v>
                </c:pt>
                <c:pt idx="67">
                  <c:v>97.451309503466774</c:v>
                </c:pt>
                <c:pt idx="68">
                  <c:v>0.17710097591168267</c:v>
                </c:pt>
                <c:pt idx="69">
                  <c:v>0.17836236060601141</c:v>
                </c:pt>
                <c:pt idx="70">
                  <c:v>0.17795145357327841</c:v>
                </c:pt>
                <c:pt idx="71">
                  <c:v>0.17721426809866436</c:v>
                </c:pt>
                <c:pt idx="72">
                  <c:v>0.17559377264757278</c:v>
                </c:pt>
                <c:pt idx="73">
                  <c:v>0.17419993586647195</c:v>
                </c:pt>
                <c:pt idx="74">
                  <c:v>0.17337158598894775</c:v>
                </c:pt>
                <c:pt idx="75">
                  <c:v>0.17131010631384674</c:v>
                </c:pt>
                <c:pt idx="76">
                  <c:v>0.16933456967277122</c:v>
                </c:pt>
                <c:pt idx="77">
                  <c:v>0.1680054067426307</c:v>
                </c:pt>
                <c:pt idx="78">
                  <c:v>81.297092796235262</c:v>
                </c:pt>
                <c:pt idx="79">
                  <c:v>83.67652107257743</c:v>
                </c:pt>
                <c:pt idx="80">
                  <c:v>85.57360079336685</c:v>
                </c:pt>
                <c:pt idx="81">
                  <c:v>87.054428334348387</c:v>
                </c:pt>
                <c:pt idx="82">
                  <c:v>88.466508066864805</c:v>
                </c:pt>
                <c:pt idx="83">
                  <c:v>89.669603447579348</c:v>
                </c:pt>
                <c:pt idx="84">
                  <c:v>90.643524195646521</c:v>
                </c:pt>
                <c:pt idx="85">
                  <c:v>91.190102800635273</c:v>
                </c:pt>
                <c:pt idx="86">
                  <c:v>91.541349793500245</c:v>
                </c:pt>
                <c:pt idx="87">
                  <c:v>92.147359652063955</c:v>
                </c:pt>
                <c:pt idx="88">
                  <c:v>92.384317896452202</c:v>
                </c:pt>
                <c:pt idx="89">
                  <c:v>93.446314088656408</c:v>
                </c:pt>
                <c:pt idx="90">
                  <c:v>93.6079412027876</c:v>
                </c:pt>
                <c:pt idx="91">
                  <c:v>94.15219502394082</c:v>
                </c:pt>
                <c:pt idx="92">
                  <c:v>94.70376542785479</c:v>
                </c:pt>
                <c:pt idx="93">
                  <c:v>95.017685020327434</c:v>
                </c:pt>
                <c:pt idx="94">
                  <c:v>95.433497350264304</c:v>
                </c:pt>
                <c:pt idx="95">
                  <c:v>95.500006072563053</c:v>
                </c:pt>
                <c:pt idx="96">
                  <c:v>96.172821515946595</c:v>
                </c:pt>
                <c:pt idx="97">
                  <c:v>96.179270556437501</c:v>
                </c:pt>
                <c:pt idx="98">
                  <c:v>96.475751277196252</c:v>
                </c:pt>
                <c:pt idx="99">
                  <c:v>96.858410174633264</c:v>
                </c:pt>
                <c:pt idx="100">
                  <c:v>97.463037033951338</c:v>
                </c:pt>
                <c:pt idx="101">
                  <c:v>97.913167957664342</c:v>
                </c:pt>
                <c:pt idx="102">
                  <c:v>98.227227538726723</c:v>
                </c:pt>
                <c:pt idx="103">
                  <c:v>98.146369990975813</c:v>
                </c:pt>
                <c:pt idx="104">
                  <c:v>98.365622807453505</c:v>
                </c:pt>
                <c:pt idx="105">
                  <c:v>98.320819046087678</c:v>
                </c:pt>
                <c:pt idx="106">
                  <c:v>98.7329202767705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11-8940-A7D7-F723420392E4}"/>
            </c:ext>
          </c:extLst>
        </c:ser>
        <c:ser>
          <c:idx val="2"/>
          <c:order val="2"/>
          <c:tx>
            <c:strRef>
              <c:f>'Average comparison'!$H$1</c:f>
              <c:strCache>
                <c:ptCount val="1"/>
                <c:pt idx="0">
                  <c:v>Spore-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comparison'!$H$2:$H$108</c:f>
              <c:numCache>
                <c:formatCode>General</c:formatCode>
                <c:ptCount val="107"/>
                <c:pt idx="0">
                  <c:v>100</c:v>
                </c:pt>
                <c:pt idx="1">
                  <c:v>100.41557163890462</c:v>
                </c:pt>
                <c:pt idx="2">
                  <c:v>100.59193732954334</c:v>
                </c:pt>
                <c:pt idx="3">
                  <c:v>100.94826230234628</c:v>
                </c:pt>
                <c:pt idx="4">
                  <c:v>101.1917194848715</c:v>
                </c:pt>
                <c:pt idx="5">
                  <c:v>101.42106692640948</c:v>
                </c:pt>
                <c:pt idx="6">
                  <c:v>101.67670324873642</c:v>
                </c:pt>
                <c:pt idx="7">
                  <c:v>101.94833901943093</c:v>
                </c:pt>
                <c:pt idx="8">
                  <c:v>102.05226856251329</c:v>
                </c:pt>
                <c:pt idx="9">
                  <c:v>102.34144084394681</c:v>
                </c:pt>
                <c:pt idx="10">
                  <c:v>102.56016996606247</c:v>
                </c:pt>
                <c:pt idx="11">
                  <c:v>102.81519449419106</c:v>
                </c:pt>
                <c:pt idx="12">
                  <c:v>102.95103590156104</c:v>
                </c:pt>
                <c:pt idx="13">
                  <c:v>103.22435514063754</c:v>
                </c:pt>
                <c:pt idx="14">
                  <c:v>103.41559247027114</c:v>
                </c:pt>
                <c:pt idx="15">
                  <c:v>103.7083161456945</c:v>
                </c:pt>
                <c:pt idx="16">
                  <c:v>103.91549710159431</c:v>
                </c:pt>
                <c:pt idx="17">
                  <c:v>104.22099865263603</c:v>
                </c:pt>
                <c:pt idx="18">
                  <c:v>104.48545038668094</c:v>
                </c:pt>
                <c:pt idx="19">
                  <c:v>104.83438513362866</c:v>
                </c:pt>
                <c:pt idx="20">
                  <c:v>105.08453389816616</c:v>
                </c:pt>
                <c:pt idx="21">
                  <c:v>105.30133353011443</c:v>
                </c:pt>
                <c:pt idx="22">
                  <c:v>105.64724244756921</c:v>
                </c:pt>
                <c:pt idx="23">
                  <c:v>105.81574978236858</c:v>
                </c:pt>
                <c:pt idx="24">
                  <c:v>106.07390560014984</c:v>
                </c:pt>
                <c:pt idx="25">
                  <c:v>106.48650156014703</c:v>
                </c:pt>
                <c:pt idx="26">
                  <c:v>106.78627571890566</c:v>
                </c:pt>
                <c:pt idx="27">
                  <c:v>107.03059733298919</c:v>
                </c:pt>
                <c:pt idx="28">
                  <c:v>107.41159823527011</c:v>
                </c:pt>
                <c:pt idx="29">
                  <c:v>1.9508238720439077</c:v>
                </c:pt>
                <c:pt idx="30">
                  <c:v>1.9243117153344291</c:v>
                </c:pt>
                <c:pt idx="31">
                  <c:v>1.8829449566594736</c:v>
                </c:pt>
                <c:pt idx="32">
                  <c:v>1.8333440552787881</c:v>
                </c:pt>
                <c:pt idx="33">
                  <c:v>1.7890860993479674</c:v>
                </c:pt>
                <c:pt idx="34">
                  <c:v>1.754236782939343</c:v>
                </c:pt>
                <c:pt idx="35">
                  <c:v>1.7158520174900076</c:v>
                </c:pt>
                <c:pt idx="36">
                  <c:v>1.6769465526839147</c:v>
                </c:pt>
                <c:pt idx="37">
                  <c:v>1.6359071652932722</c:v>
                </c:pt>
                <c:pt idx="38">
                  <c:v>1.5977685416248024</c:v>
                </c:pt>
                <c:pt idx="39">
                  <c:v>56.509809362838674</c:v>
                </c:pt>
                <c:pt idx="40">
                  <c:v>58.385910154830668</c:v>
                </c:pt>
                <c:pt idx="41">
                  <c:v>59.659660083329271</c:v>
                </c:pt>
                <c:pt idx="42">
                  <c:v>60.524314719078312</c:v>
                </c:pt>
                <c:pt idx="43">
                  <c:v>61.1320828794696</c:v>
                </c:pt>
                <c:pt idx="44">
                  <c:v>61.477319669080011</c:v>
                </c:pt>
                <c:pt idx="45">
                  <c:v>61.950109724402942</c:v>
                </c:pt>
                <c:pt idx="46">
                  <c:v>62.285671162330935</c:v>
                </c:pt>
                <c:pt idx="47">
                  <c:v>62.477466874932162</c:v>
                </c:pt>
                <c:pt idx="48">
                  <c:v>62.875553031750833</c:v>
                </c:pt>
                <c:pt idx="49">
                  <c:v>63.405220495077423</c:v>
                </c:pt>
                <c:pt idx="50">
                  <c:v>63.729563771829753</c:v>
                </c:pt>
                <c:pt idx="51">
                  <c:v>63.736646071412771</c:v>
                </c:pt>
                <c:pt idx="52">
                  <c:v>63.899458186947903</c:v>
                </c:pt>
                <c:pt idx="53">
                  <c:v>64.340583619348038</c:v>
                </c:pt>
                <c:pt idx="54">
                  <c:v>64.611631173172739</c:v>
                </c:pt>
                <c:pt idx="55">
                  <c:v>64.749762958765288</c:v>
                </c:pt>
                <c:pt idx="56">
                  <c:v>64.966924149165649</c:v>
                </c:pt>
                <c:pt idx="57">
                  <c:v>65.144938356154128</c:v>
                </c:pt>
                <c:pt idx="58">
                  <c:v>65.310407693792229</c:v>
                </c:pt>
                <c:pt idx="59">
                  <c:v>65.513611873447317</c:v>
                </c:pt>
                <c:pt idx="60">
                  <c:v>65.599047052097077</c:v>
                </c:pt>
                <c:pt idx="61">
                  <c:v>65.927061757346664</c:v>
                </c:pt>
                <c:pt idx="62">
                  <c:v>66.077611021629892</c:v>
                </c:pt>
                <c:pt idx="63">
                  <c:v>66.300424418654586</c:v>
                </c:pt>
                <c:pt idx="64">
                  <c:v>66.350163236636817</c:v>
                </c:pt>
                <c:pt idx="65">
                  <c:v>66.417402257965435</c:v>
                </c:pt>
                <c:pt idx="66">
                  <c:v>66.558538237666269</c:v>
                </c:pt>
                <c:pt idx="67">
                  <c:v>66.660808441096421</c:v>
                </c:pt>
                <c:pt idx="68">
                  <c:v>1.5281531216421922</c:v>
                </c:pt>
                <c:pt idx="69">
                  <c:v>1.5020273371819781</c:v>
                </c:pt>
                <c:pt idx="70">
                  <c:v>1.4676682647108121</c:v>
                </c:pt>
                <c:pt idx="71">
                  <c:v>1.4363038342911805</c:v>
                </c:pt>
                <c:pt idx="72">
                  <c:v>1.4081420431405343</c:v>
                </c:pt>
                <c:pt idx="73">
                  <c:v>1.3840777744286916</c:v>
                </c:pt>
                <c:pt idx="74">
                  <c:v>1.3591684241889386</c:v>
                </c:pt>
                <c:pt idx="75">
                  <c:v>1.3348700314196915</c:v>
                </c:pt>
                <c:pt idx="76">
                  <c:v>1.3091723049179844</c:v>
                </c:pt>
                <c:pt idx="77">
                  <c:v>1.2864284909390042</c:v>
                </c:pt>
                <c:pt idx="78">
                  <c:v>54.138746164652765</c:v>
                </c:pt>
                <c:pt idx="79">
                  <c:v>55.983179314102358</c:v>
                </c:pt>
                <c:pt idx="80">
                  <c:v>57.02643102851858</c:v>
                </c:pt>
                <c:pt idx="81">
                  <c:v>57.82000966296345</c:v>
                </c:pt>
                <c:pt idx="82">
                  <c:v>58.368169930460773</c:v>
                </c:pt>
                <c:pt idx="83">
                  <c:v>58.650477387770543</c:v>
                </c:pt>
                <c:pt idx="84">
                  <c:v>59.058313405913992</c:v>
                </c:pt>
                <c:pt idx="85">
                  <c:v>59.494088167481188</c:v>
                </c:pt>
                <c:pt idx="86">
                  <c:v>59.807905458329436</c:v>
                </c:pt>
                <c:pt idx="87">
                  <c:v>60.169617714743502</c:v>
                </c:pt>
                <c:pt idx="88">
                  <c:v>60.416226447388645</c:v>
                </c:pt>
                <c:pt idx="89">
                  <c:v>60.645680182112677</c:v>
                </c:pt>
                <c:pt idx="90">
                  <c:v>60.85731691692974</c:v>
                </c:pt>
                <c:pt idx="91">
                  <c:v>61.192263573034467</c:v>
                </c:pt>
                <c:pt idx="92">
                  <c:v>61.379151560343281</c:v>
                </c:pt>
                <c:pt idx="93">
                  <c:v>61.622849512144818</c:v>
                </c:pt>
                <c:pt idx="94">
                  <c:v>61.800083601750856</c:v>
                </c:pt>
                <c:pt idx="95">
                  <c:v>62.132083902066775</c:v>
                </c:pt>
                <c:pt idx="96">
                  <c:v>62.360114146699694</c:v>
                </c:pt>
                <c:pt idx="97">
                  <c:v>62.327300845201883</c:v>
                </c:pt>
                <c:pt idx="98">
                  <c:v>62.706134162165164</c:v>
                </c:pt>
                <c:pt idx="99">
                  <c:v>62.75051416018389</c:v>
                </c:pt>
                <c:pt idx="100">
                  <c:v>62.873181131070844</c:v>
                </c:pt>
                <c:pt idx="101">
                  <c:v>63.195710201545573</c:v>
                </c:pt>
                <c:pt idx="102">
                  <c:v>63.426239386828776</c:v>
                </c:pt>
                <c:pt idx="103">
                  <c:v>63.522822735676407</c:v>
                </c:pt>
                <c:pt idx="104">
                  <c:v>63.664450131109191</c:v>
                </c:pt>
                <c:pt idx="105">
                  <c:v>63.695685836885993</c:v>
                </c:pt>
                <c:pt idx="106">
                  <c:v>63.915416568485433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11-8940-A7D7-F723420392E4}"/>
            </c:ext>
          </c:extLst>
        </c:ser>
        <c:ser>
          <c:idx val="3"/>
          <c:order val="3"/>
          <c:tx>
            <c:strRef>
              <c:f>'Average comparison'!$K$1</c:f>
              <c:strCache>
                <c:ptCount val="1"/>
                <c:pt idx="0">
                  <c:v>Spore-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comparison'!$K$2:$K$108</c:f>
              <c:numCache>
                <c:formatCode>General</c:formatCode>
                <c:ptCount val="107"/>
                <c:pt idx="0">
                  <c:v>100</c:v>
                </c:pt>
                <c:pt idx="1">
                  <c:v>100.19601105611795</c:v>
                </c:pt>
                <c:pt idx="2">
                  <c:v>100.23291655197097</c:v>
                </c:pt>
                <c:pt idx="3">
                  <c:v>100.41439598157643</c:v>
                </c:pt>
                <c:pt idx="4">
                  <c:v>100.57086203282532</c:v>
                </c:pt>
                <c:pt idx="5">
                  <c:v>100.62533509224284</c:v>
                </c:pt>
                <c:pt idx="6">
                  <c:v>100.79518650920261</c:v>
                </c:pt>
                <c:pt idx="7">
                  <c:v>100.9366785000902</c:v>
                </c:pt>
                <c:pt idx="8">
                  <c:v>101.05851187335381</c:v>
                </c:pt>
                <c:pt idx="9">
                  <c:v>101.19143836200357</c:v>
                </c:pt>
                <c:pt idx="10">
                  <c:v>101.10067623171852</c:v>
                </c:pt>
                <c:pt idx="11">
                  <c:v>101.36183235915992</c:v>
                </c:pt>
                <c:pt idx="12">
                  <c:v>101.4141932146558</c:v>
                </c:pt>
                <c:pt idx="13">
                  <c:v>101.40407444839005</c:v>
                </c:pt>
                <c:pt idx="14">
                  <c:v>101.22244181649705</c:v>
                </c:pt>
                <c:pt idx="15">
                  <c:v>101.49971609591131</c:v>
                </c:pt>
                <c:pt idx="16">
                  <c:v>101.54546141199299</c:v>
                </c:pt>
                <c:pt idx="17">
                  <c:v>101.65744202175327</c:v>
                </c:pt>
                <c:pt idx="18">
                  <c:v>101.64852682035573</c:v>
                </c:pt>
                <c:pt idx="19">
                  <c:v>101.89511354044691</c:v>
                </c:pt>
                <c:pt idx="20">
                  <c:v>102.00550265355665</c:v>
                </c:pt>
                <c:pt idx="21">
                  <c:v>102.04843329463742</c:v>
                </c:pt>
                <c:pt idx="22">
                  <c:v>102.04698108104569</c:v>
                </c:pt>
                <c:pt idx="23">
                  <c:v>102.11278786010415</c:v>
                </c:pt>
                <c:pt idx="24">
                  <c:v>102.35069094476081</c:v>
                </c:pt>
                <c:pt idx="25">
                  <c:v>102.15556819115075</c:v>
                </c:pt>
                <c:pt idx="26">
                  <c:v>102.17157869486408</c:v>
                </c:pt>
                <c:pt idx="27">
                  <c:v>102.34692307102026</c:v>
                </c:pt>
                <c:pt idx="28">
                  <c:v>102.38697811771677</c:v>
                </c:pt>
                <c:pt idx="29">
                  <c:v>1.9617839223925104</c:v>
                </c:pt>
                <c:pt idx="30">
                  <c:v>1.9323095647329409</c:v>
                </c:pt>
                <c:pt idx="31">
                  <c:v>1.8853120820171556</c:v>
                </c:pt>
                <c:pt idx="32">
                  <c:v>1.8426025810677547</c:v>
                </c:pt>
                <c:pt idx="33">
                  <c:v>1.8036189792019495</c:v>
                </c:pt>
                <c:pt idx="34">
                  <c:v>1.7640261598605793</c:v>
                </c:pt>
                <c:pt idx="35">
                  <c:v>1.7260891894130106</c:v>
                </c:pt>
                <c:pt idx="36">
                  <c:v>1.6887315172521546</c:v>
                </c:pt>
                <c:pt idx="37">
                  <c:v>1.6531203120489044</c:v>
                </c:pt>
                <c:pt idx="38">
                  <c:v>1.619684519569367</c:v>
                </c:pt>
                <c:pt idx="39">
                  <c:v>59.402341938442994</c:v>
                </c:pt>
                <c:pt idx="40">
                  <c:v>60.958163200180508</c:v>
                </c:pt>
                <c:pt idx="41">
                  <c:v>61.82620903821082</c:v>
                </c:pt>
                <c:pt idx="42">
                  <c:v>62.504527294668435</c:v>
                </c:pt>
                <c:pt idx="43">
                  <c:v>62.972075207074646</c:v>
                </c:pt>
                <c:pt idx="44">
                  <c:v>63.401177519871425</c:v>
                </c:pt>
                <c:pt idx="45">
                  <c:v>63.820688760467583</c:v>
                </c:pt>
                <c:pt idx="46">
                  <c:v>63.942313823487432</c:v>
                </c:pt>
                <c:pt idx="47">
                  <c:v>64.342334806675666</c:v>
                </c:pt>
                <c:pt idx="48">
                  <c:v>64.606854751244015</c:v>
                </c:pt>
                <c:pt idx="49">
                  <c:v>64.606363500608722</c:v>
                </c:pt>
                <c:pt idx="50">
                  <c:v>64.730120327191656</c:v>
                </c:pt>
                <c:pt idx="51">
                  <c:v>64.851160690797244</c:v>
                </c:pt>
                <c:pt idx="52">
                  <c:v>65.031634796732178</c:v>
                </c:pt>
                <c:pt idx="53">
                  <c:v>65.15851829791788</c:v>
                </c:pt>
                <c:pt idx="54">
                  <c:v>65.472392997044494</c:v>
                </c:pt>
                <c:pt idx="55">
                  <c:v>65.63297705503166</c:v>
                </c:pt>
                <c:pt idx="56">
                  <c:v>65.890796435354119</c:v>
                </c:pt>
                <c:pt idx="57">
                  <c:v>65.711138540955744</c:v>
                </c:pt>
                <c:pt idx="58">
                  <c:v>66.011151049109202</c:v>
                </c:pt>
                <c:pt idx="59">
                  <c:v>66.065113135690382</c:v>
                </c:pt>
                <c:pt idx="60">
                  <c:v>66.315021752662915</c:v>
                </c:pt>
                <c:pt idx="61">
                  <c:v>66.517897096145234</c:v>
                </c:pt>
                <c:pt idx="62">
                  <c:v>66.492556262578233</c:v>
                </c:pt>
                <c:pt idx="63">
                  <c:v>66.898668760272955</c:v>
                </c:pt>
                <c:pt idx="64">
                  <c:v>66.765895709295307</c:v>
                </c:pt>
                <c:pt idx="65">
                  <c:v>67.173107937887494</c:v>
                </c:pt>
                <c:pt idx="66">
                  <c:v>67.346528761497666</c:v>
                </c:pt>
                <c:pt idx="67">
                  <c:v>67.416936798846933</c:v>
                </c:pt>
                <c:pt idx="68">
                  <c:v>1.5754432654515509</c:v>
                </c:pt>
                <c:pt idx="69">
                  <c:v>1.5496568795786643</c:v>
                </c:pt>
                <c:pt idx="70">
                  <c:v>1.5167797387685518</c:v>
                </c:pt>
                <c:pt idx="71">
                  <c:v>1.4846818275645002</c:v>
                </c:pt>
                <c:pt idx="72">
                  <c:v>1.4602666008629812</c:v>
                </c:pt>
                <c:pt idx="73">
                  <c:v>1.4358042764191983</c:v>
                </c:pt>
                <c:pt idx="74">
                  <c:v>1.4125969069419773</c:v>
                </c:pt>
                <c:pt idx="75">
                  <c:v>1.3892568678472117</c:v>
                </c:pt>
                <c:pt idx="76">
                  <c:v>1.3686995536538826</c:v>
                </c:pt>
                <c:pt idx="77">
                  <c:v>1.3483831557892771</c:v>
                </c:pt>
                <c:pt idx="78">
                  <c:v>58.748424277074832</c:v>
                </c:pt>
                <c:pt idx="79">
                  <c:v>60.190359724886733</c:v>
                </c:pt>
                <c:pt idx="80">
                  <c:v>61.251599557925026</c:v>
                </c:pt>
                <c:pt idx="81">
                  <c:v>61.838840575323388</c:v>
                </c:pt>
                <c:pt idx="82">
                  <c:v>62.484121329095856</c:v>
                </c:pt>
                <c:pt idx="83">
                  <c:v>62.807874000234797</c:v>
                </c:pt>
                <c:pt idx="84">
                  <c:v>63.192576303292284</c:v>
                </c:pt>
                <c:pt idx="85">
                  <c:v>63.177768677796351</c:v>
                </c:pt>
                <c:pt idx="86">
                  <c:v>63.357813690660471</c:v>
                </c:pt>
                <c:pt idx="87">
                  <c:v>63.571785828178548</c:v>
                </c:pt>
                <c:pt idx="88">
                  <c:v>63.878577472198934</c:v>
                </c:pt>
                <c:pt idx="89">
                  <c:v>64.189187578510854</c:v>
                </c:pt>
                <c:pt idx="90">
                  <c:v>64.504534529575906</c:v>
                </c:pt>
                <c:pt idx="91">
                  <c:v>64.54696124794728</c:v>
                </c:pt>
                <c:pt idx="92">
                  <c:v>64.72949715925148</c:v>
                </c:pt>
                <c:pt idx="93">
                  <c:v>65.113681439345712</c:v>
                </c:pt>
                <c:pt idx="94">
                  <c:v>65.27941975742452</c:v>
                </c:pt>
                <c:pt idx="95">
                  <c:v>65.343451206060848</c:v>
                </c:pt>
                <c:pt idx="96">
                  <c:v>65.445975579580434</c:v>
                </c:pt>
                <c:pt idx="97">
                  <c:v>65.353880516828298</c:v>
                </c:pt>
                <c:pt idx="98">
                  <c:v>65.508254122250435</c:v>
                </c:pt>
                <c:pt idx="99">
                  <c:v>65.587216815887359</c:v>
                </c:pt>
                <c:pt idx="100">
                  <c:v>66.253969334437414</c:v>
                </c:pt>
                <c:pt idx="101">
                  <c:v>66.5065571666143</c:v>
                </c:pt>
                <c:pt idx="102">
                  <c:v>66.511550442254673</c:v>
                </c:pt>
                <c:pt idx="103">
                  <c:v>66.24823011262653</c:v>
                </c:pt>
                <c:pt idx="104">
                  <c:v>66.778395085782336</c:v>
                </c:pt>
                <c:pt idx="105">
                  <c:v>66.714961822469647</c:v>
                </c:pt>
                <c:pt idx="106">
                  <c:v>66.795015054607447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11-8940-A7D7-F723420392E4}"/>
            </c:ext>
          </c:extLst>
        </c:ser>
        <c:ser>
          <c:idx val="4"/>
          <c:order val="4"/>
          <c:tx>
            <c:strRef>
              <c:f>'Average comparison'!$N$1</c:f>
              <c:strCache>
                <c:ptCount val="1"/>
                <c:pt idx="0">
                  <c:v>PGA-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comparison'!$N$2:$N$108</c:f>
              <c:numCache>
                <c:formatCode>General</c:formatCode>
                <c:ptCount val="107"/>
                <c:pt idx="0">
                  <c:v>100</c:v>
                </c:pt>
                <c:pt idx="1">
                  <c:v>100.38443599204329</c:v>
                </c:pt>
                <c:pt idx="2">
                  <c:v>100.80114672167919</c:v>
                </c:pt>
                <c:pt idx="3">
                  <c:v>101.20934276842512</c:v>
                </c:pt>
                <c:pt idx="4">
                  <c:v>101.38638928717239</c:v>
                </c:pt>
                <c:pt idx="5">
                  <c:v>101.7035480774822</c:v>
                </c:pt>
                <c:pt idx="6">
                  <c:v>102.02338079281513</c:v>
                </c:pt>
                <c:pt idx="7">
                  <c:v>102.46101143820202</c:v>
                </c:pt>
                <c:pt idx="8">
                  <c:v>102.64345800857672</c:v>
                </c:pt>
                <c:pt idx="9">
                  <c:v>103.19364413266766</c:v>
                </c:pt>
                <c:pt idx="10">
                  <c:v>103.52602668568504</c:v>
                </c:pt>
                <c:pt idx="11">
                  <c:v>103.75910880197476</c:v>
                </c:pt>
                <c:pt idx="12">
                  <c:v>104.00517586646811</c:v>
                </c:pt>
                <c:pt idx="13">
                  <c:v>103.9867338945598</c:v>
                </c:pt>
                <c:pt idx="14">
                  <c:v>104.31902349025727</c:v>
                </c:pt>
                <c:pt idx="15">
                  <c:v>104.40743357566792</c:v>
                </c:pt>
                <c:pt idx="16">
                  <c:v>104.6337589059833</c:v>
                </c:pt>
                <c:pt idx="17">
                  <c:v>104.7796923588197</c:v>
                </c:pt>
                <c:pt idx="18">
                  <c:v>105.19350580075702</c:v>
                </c:pt>
                <c:pt idx="19">
                  <c:v>105.33243300090435</c:v>
                </c:pt>
                <c:pt idx="20">
                  <c:v>105.3798781459418</c:v>
                </c:pt>
                <c:pt idx="21">
                  <c:v>105.66564125422967</c:v>
                </c:pt>
                <c:pt idx="22">
                  <c:v>105.6823666793328</c:v>
                </c:pt>
                <c:pt idx="23">
                  <c:v>105.86238580922026</c:v>
                </c:pt>
                <c:pt idx="24">
                  <c:v>105.98458281343933</c:v>
                </c:pt>
                <c:pt idx="25">
                  <c:v>106.13536865309754</c:v>
                </c:pt>
                <c:pt idx="26">
                  <c:v>106.34279726886085</c:v>
                </c:pt>
                <c:pt idx="27">
                  <c:v>106.72072107443618</c:v>
                </c:pt>
                <c:pt idx="28">
                  <c:v>106.89423859545742</c:v>
                </c:pt>
                <c:pt idx="29">
                  <c:v>0.15502238436248297</c:v>
                </c:pt>
                <c:pt idx="30">
                  <c:v>0.15060429971304348</c:v>
                </c:pt>
                <c:pt idx="31">
                  <c:v>0.14658207134914455</c:v>
                </c:pt>
                <c:pt idx="32">
                  <c:v>0.14228448915228081</c:v>
                </c:pt>
                <c:pt idx="33">
                  <c:v>0.13877123815827885</c:v>
                </c:pt>
                <c:pt idx="34">
                  <c:v>0.13622612528304379</c:v>
                </c:pt>
                <c:pt idx="35">
                  <c:v>0.13427014334241719</c:v>
                </c:pt>
                <c:pt idx="36">
                  <c:v>0.13262180731393397</c:v>
                </c:pt>
                <c:pt idx="37">
                  <c:v>0.13026494659740109</c:v>
                </c:pt>
                <c:pt idx="38">
                  <c:v>0.12802245027402981</c:v>
                </c:pt>
                <c:pt idx="39">
                  <c:v>79.457059395866736</c:v>
                </c:pt>
                <c:pt idx="40">
                  <c:v>81.898652032908601</c:v>
                </c:pt>
                <c:pt idx="41">
                  <c:v>83.691274127196095</c:v>
                </c:pt>
                <c:pt idx="42">
                  <c:v>85.113311617985786</c:v>
                </c:pt>
                <c:pt idx="43">
                  <c:v>86.530802897849455</c:v>
                </c:pt>
                <c:pt idx="44">
                  <c:v>87.523035238234456</c:v>
                </c:pt>
                <c:pt idx="45">
                  <c:v>88.40151858549423</c:v>
                </c:pt>
                <c:pt idx="46">
                  <c:v>88.958258759866951</c:v>
                </c:pt>
                <c:pt idx="47">
                  <c:v>89.627390240172176</c:v>
                </c:pt>
                <c:pt idx="48">
                  <c:v>90.085376259566587</c:v>
                </c:pt>
                <c:pt idx="49">
                  <c:v>90.592458661440375</c:v>
                </c:pt>
                <c:pt idx="50">
                  <c:v>91.140865966160163</c:v>
                </c:pt>
                <c:pt idx="51">
                  <c:v>91.616516615846081</c:v>
                </c:pt>
                <c:pt idx="52">
                  <c:v>92.145103311728178</c:v>
                </c:pt>
                <c:pt idx="53">
                  <c:v>92.640905925058703</c:v>
                </c:pt>
                <c:pt idx="54">
                  <c:v>93.006964949438213</c:v>
                </c:pt>
                <c:pt idx="55">
                  <c:v>93.464102372039306</c:v>
                </c:pt>
                <c:pt idx="56">
                  <c:v>93.691461870367732</c:v>
                </c:pt>
                <c:pt idx="57">
                  <c:v>93.896065095982976</c:v>
                </c:pt>
                <c:pt idx="58">
                  <c:v>94.194762557794391</c:v>
                </c:pt>
                <c:pt idx="59">
                  <c:v>94.433110026496706</c:v>
                </c:pt>
                <c:pt idx="60">
                  <c:v>94.899728474550628</c:v>
                </c:pt>
                <c:pt idx="61">
                  <c:v>95.192437643537289</c:v>
                </c:pt>
                <c:pt idx="62">
                  <c:v>95.482830498372138</c:v>
                </c:pt>
                <c:pt idx="63">
                  <c:v>95.823906695627443</c:v>
                </c:pt>
                <c:pt idx="64">
                  <c:v>96.034077821835993</c:v>
                </c:pt>
                <c:pt idx="65">
                  <c:v>96.224718218102495</c:v>
                </c:pt>
                <c:pt idx="66">
                  <c:v>96.441845122180595</c:v>
                </c:pt>
                <c:pt idx="67">
                  <c:v>96.287457773225171</c:v>
                </c:pt>
                <c:pt idx="68">
                  <c:v>0.11448939580051166</c:v>
                </c:pt>
                <c:pt idx="69">
                  <c:v>0.11495337914482173</c:v>
                </c:pt>
                <c:pt idx="70">
                  <c:v>0.11403513182933821</c:v>
                </c:pt>
                <c:pt idx="71">
                  <c:v>0.11306407085875179</c:v>
                </c:pt>
                <c:pt idx="72">
                  <c:v>0.11165688285674213</c:v>
                </c:pt>
                <c:pt idx="73">
                  <c:v>0.11025321867987752</c:v>
                </c:pt>
                <c:pt idx="74">
                  <c:v>0.10911274750940975</c:v>
                </c:pt>
                <c:pt idx="75">
                  <c:v>0.10799837202488544</c:v>
                </c:pt>
                <c:pt idx="76">
                  <c:v>0.10623230396634697</c:v>
                </c:pt>
                <c:pt idx="77">
                  <c:v>0.10528989663520127</c:v>
                </c:pt>
                <c:pt idx="78">
                  <c:v>81.035086442964783</c:v>
                </c:pt>
                <c:pt idx="79">
                  <c:v>83.631222011185457</c:v>
                </c:pt>
                <c:pt idx="80">
                  <c:v>85.346288994139584</c:v>
                </c:pt>
                <c:pt idx="81">
                  <c:v>87.041831077190935</c:v>
                </c:pt>
                <c:pt idx="82">
                  <c:v>88.355790874786692</c:v>
                </c:pt>
                <c:pt idx="83">
                  <c:v>89.531461335312613</c:v>
                </c:pt>
                <c:pt idx="84">
                  <c:v>90.420996813129975</c:v>
                </c:pt>
                <c:pt idx="85">
                  <c:v>91.206623260828167</c:v>
                </c:pt>
                <c:pt idx="86">
                  <c:v>91.716320909983793</c:v>
                </c:pt>
                <c:pt idx="87">
                  <c:v>92.165475350532191</c:v>
                </c:pt>
                <c:pt idx="88">
                  <c:v>92.66402224777606</c:v>
                </c:pt>
                <c:pt idx="89">
                  <c:v>93.238583627001233</c:v>
                </c:pt>
                <c:pt idx="90">
                  <c:v>93.748601041205703</c:v>
                </c:pt>
                <c:pt idx="91">
                  <c:v>94.179303357557501</c:v>
                </c:pt>
                <c:pt idx="92">
                  <c:v>94.593325553941028</c:v>
                </c:pt>
                <c:pt idx="93">
                  <c:v>94.932799526124271</c:v>
                </c:pt>
                <c:pt idx="94">
                  <c:v>95.240874980267975</c:v>
                </c:pt>
                <c:pt idx="95">
                  <c:v>95.57794739126831</c:v>
                </c:pt>
                <c:pt idx="96">
                  <c:v>95.833747030483536</c:v>
                </c:pt>
                <c:pt idx="97">
                  <c:v>96.029299052341074</c:v>
                </c:pt>
                <c:pt idx="98">
                  <c:v>96.363823281801999</c:v>
                </c:pt>
                <c:pt idx="99">
                  <c:v>96.707460407535009</c:v>
                </c:pt>
                <c:pt idx="100">
                  <c:v>97.034132822479137</c:v>
                </c:pt>
                <c:pt idx="101">
                  <c:v>97.180390425077846</c:v>
                </c:pt>
                <c:pt idx="102">
                  <c:v>97.393901183267914</c:v>
                </c:pt>
                <c:pt idx="103">
                  <c:v>97.598551199027725</c:v>
                </c:pt>
                <c:pt idx="104">
                  <c:v>97.743477931266554</c:v>
                </c:pt>
                <c:pt idx="105">
                  <c:v>97.917351736031165</c:v>
                </c:pt>
                <c:pt idx="106">
                  <c:v>98.091121467552554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11-8940-A7D7-F723420392E4}"/>
            </c:ext>
          </c:extLst>
        </c:ser>
        <c:ser>
          <c:idx val="5"/>
          <c:order val="5"/>
          <c:tx>
            <c:strRef>
              <c:f>'Average comparison'!$Q$1</c:f>
              <c:strCache>
                <c:ptCount val="1"/>
                <c:pt idx="0">
                  <c:v>PGA-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comparison'!$Q$2:$Q$108</c:f>
              <c:numCache>
                <c:formatCode>General</c:formatCode>
                <c:ptCount val="107"/>
                <c:pt idx="0">
                  <c:v>100</c:v>
                </c:pt>
                <c:pt idx="1">
                  <c:v>100.65997313417709</c:v>
                </c:pt>
                <c:pt idx="2">
                  <c:v>101.03372656041475</c:v>
                </c:pt>
                <c:pt idx="3">
                  <c:v>101.52277229514542</c:v>
                </c:pt>
                <c:pt idx="4">
                  <c:v>101.89703874551631</c:v>
                </c:pt>
                <c:pt idx="5">
                  <c:v>101.97525408331921</c:v>
                </c:pt>
                <c:pt idx="6">
                  <c:v>102.34271429090907</c:v>
                </c:pt>
                <c:pt idx="7">
                  <c:v>102.46320899375375</c:v>
                </c:pt>
                <c:pt idx="8">
                  <c:v>102.69063059014104</c:v>
                </c:pt>
                <c:pt idx="9">
                  <c:v>103.11266405696675</c:v>
                </c:pt>
                <c:pt idx="10">
                  <c:v>103.21932857222038</c:v>
                </c:pt>
                <c:pt idx="11">
                  <c:v>103.51519714977708</c:v>
                </c:pt>
                <c:pt idx="12">
                  <c:v>103.8798800623609</c:v>
                </c:pt>
                <c:pt idx="13">
                  <c:v>104.09766060065525</c:v>
                </c:pt>
                <c:pt idx="14">
                  <c:v>104.32384845115722</c:v>
                </c:pt>
                <c:pt idx="15">
                  <c:v>104.57719202003294</c:v>
                </c:pt>
                <c:pt idx="16">
                  <c:v>104.86444450647852</c:v>
                </c:pt>
                <c:pt idx="17">
                  <c:v>105.17353478116672</c:v>
                </c:pt>
                <c:pt idx="18">
                  <c:v>105.3614470517945</c:v>
                </c:pt>
                <c:pt idx="19">
                  <c:v>105.52018050009406</c:v>
                </c:pt>
                <c:pt idx="20">
                  <c:v>105.81737270154031</c:v>
                </c:pt>
                <c:pt idx="21">
                  <c:v>105.88583978247931</c:v>
                </c:pt>
                <c:pt idx="22">
                  <c:v>106.18579254428181</c:v>
                </c:pt>
                <c:pt idx="23">
                  <c:v>106.63394113945081</c:v>
                </c:pt>
                <c:pt idx="24">
                  <c:v>106.73440456757956</c:v>
                </c:pt>
                <c:pt idx="25">
                  <c:v>106.82456095716634</c:v>
                </c:pt>
                <c:pt idx="26">
                  <c:v>107.40414769547543</c:v>
                </c:pt>
                <c:pt idx="27">
                  <c:v>107.38182871531376</c:v>
                </c:pt>
                <c:pt idx="28">
                  <c:v>107.51502705863516</c:v>
                </c:pt>
                <c:pt idx="29">
                  <c:v>0.2029073329359703</c:v>
                </c:pt>
                <c:pt idx="30">
                  <c:v>0.20467426225539032</c:v>
                </c:pt>
                <c:pt idx="31">
                  <c:v>0.20037155495204639</c:v>
                </c:pt>
                <c:pt idx="32">
                  <c:v>0.19787887854409969</c:v>
                </c:pt>
                <c:pt idx="33">
                  <c:v>0.19580120829304887</c:v>
                </c:pt>
                <c:pt idx="34">
                  <c:v>0.19429333471713528</c:v>
                </c:pt>
                <c:pt idx="35">
                  <c:v>0.19333135502690446</c:v>
                </c:pt>
                <c:pt idx="36">
                  <c:v>0.19234349856592942</c:v>
                </c:pt>
                <c:pt idx="37">
                  <c:v>0.19132028059755279</c:v>
                </c:pt>
                <c:pt idx="38">
                  <c:v>0.19044709739440047</c:v>
                </c:pt>
                <c:pt idx="39">
                  <c:v>70.28787444748977</c:v>
                </c:pt>
                <c:pt idx="40">
                  <c:v>72.434985663336619</c:v>
                </c:pt>
                <c:pt idx="41">
                  <c:v>73.850067920446023</c:v>
                </c:pt>
                <c:pt idx="42">
                  <c:v>74.941176515646703</c:v>
                </c:pt>
                <c:pt idx="43">
                  <c:v>75.881873397637065</c:v>
                </c:pt>
                <c:pt idx="44">
                  <c:v>76.672100959204244</c:v>
                </c:pt>
                <c:pt idx="45">
                  <c:v>77.310125654340965</c:v>
                </c:pt>
                <c:pt idx="46">
                  <c:v>77.791823713674574</c:v>
                </c:pt>
                <c:pt idx="47">
                  <c:v>78.111558391784953</c:v>
                </c:pt>
                <c:pt idx="48">
                  <c:v>78.531715684072708</c:v>
                </c:pt>
                <c:pt idx="49">
                  <c:v>78.885058779608443</c:v>
                </c:pt>
                <c:pt idx="50">
                  <c:v>79.126581309200645</c:v>
                </c:pt>
                <c:pt idx="51">
                  <c:v>79.56966542940205</c:v>
                </c:pt>
                <c:pt idx="52">
                  <c:v>79.913762145879446</c:v>
                </c:pt>
                <c:pt idx="53">
                  <c:v>80.199041762636242</c:v>
                </c:pt>
                <c:pt idx="54">
                  <c:v>80.496187620420756</c:v>
                </c:pt>
                <c:pt idx="55">
                  <c:v>80.839477102261668</c:v>
                </c:pt>
                <c:pt idx="56">
                  <c:v>80.962370630243413</c:v>
                </c:pt>
                <c:pt idx="57">
                  <c:v>81.437739689499324</c:v>
                </c:pt>
                <c:pt idx="58">
                  <c:v>81.542549124362296</c:v>
                </c:pt>
                <c:pt idx="59">
                  <c:v>81.773248226159467</c:v>
                </c:pt>
                <c:pt idx="60">
                  <c:v>82.158124848700979</c:v>
                </c:pt>
                <c:pt idx="61">
                  <c:v>82.307272505694783</c:v>
                </c:pt>
                <c:pt idx="62">
                  <c:v>82.44056742694363</c:v>
                </c:pt>
                <c:pt idx="63">
                  <c:v>82.859755457613929</c:v>
                </c:pt>
                <c:pt idx="64">
                  <c:v>82.970960802858315</c:v>
                </c:pt>
                <c:pt idx="65">
                  <c:v>83.138701686500212</c:v>
                </c:pt>
                <c:pt idx="66">
                  <c:v>83.384756678758293</c:v>
                </c:pt>
                <c:pt idx="67">
                  <c:v>83.543279094635722</c:v>
                </c:pt>
                <c:pt idx="68">
                  <c:v>0.18346129483277346</c:v>
                </c:pt>
                <c:pt idx="69">
                  <c:v>0.18619064983700936</c:v>
                </c:pt>
                <c:pt idx="70">
                  <c:v>0.18501417214641561</c:v>
                </c:pt>
                <c:pt idx="71">
                  <c:v>0.18458235414410723</c:v>
                </c:pt>
                <c:pt idx="72">
                  <c:v>0.18388187299139738</c:v>
                </c:pt>
                <c:pt idx="73">
                  <c:v>0.18337588650594483</c:v>
                </c:pt>
                <c:pt idx="74">
                  <c:v>0.18260066907433814</c:v>
                </c:pt>
                <c:pt idx="75">
                  <c:v>0.18184096215690976</c:v>
                </c:pt>
                <c:pt idx="76">
                  <c:v>0.18141180761154607</c:v>
                </c:pt>
                <c:pt idx="77">
                  <c:v>0.18075068838628566</c:v>
                </c:pt>
                <c:pt idx="78">
                  <c:v>69.889059969692653</c:v>
                </c:pt>
                <c:pt idx="79">
                  <c:v>72.186632635826669</c:v>
                </c:pt>
                <c:pt idx="80">
                  <c:v>73.503134866773763</c:v>
                </c:pt>
                <c:pt idx="81">
                  <c:v>74.700588313080033</c:v>
                </c:pt>
                <c:pt idx="82">
                  <c:v>75.528698121534745</c:v>
                </c:pt>
                <c:pt idx="83">
                  <c:v>76.82641824054835</c:v>
                </c:pt>
                <c:pt idx="84">
                  <c:v>77.507324560156803</c:v>
                </c:pt>
                <c:pt idx="85">
                  <c:v>78.148052091213572</c:v>
                </c:pt>
                <c:pt idx="86">
                  <c:v>78.592562557354569</c:v>
                </c:pt>
                <c:pt idx="87">
                  <c:v>79.016609093408192</c:v>
                </c:pt>
                <c:pt idx="88">
                  <c:v>79.435428133135503</c:v>
                </c:pt>
                <c:pt idx="89">
                  <c:v>79.82500805122595</c:v>
                </c:pt>
                <c:pt idx="90">
                  <c:v>80.254310550700296</c:v>
                </c:pt>
                <c:pt idx="91">
                  <c:v>80.647250596481115</c:v>
                </c:pt>
                <c:pt idx="92">
                  <c:v>81.050543468665069</c:v>
                </c:pt>
                <c:pt idx="93">
                  <c:v>80.965261793627207</c:v>
                </c:pt>
                <c:pt idx="94">
                  <c:v>81.211004729131162</c:v>
                </c:pt>
                <c:pt idx="95">
                  <c:v>81.520695682754635</c:v>
                </c:pt>
                <c:pt idx="96">
                  <c:v>81.71660996571191</c:v>
                </c:pt>
                <c:pt idx="97">
                  <c:v>81.955738702688564</c:v>
                </c:pt>
                <c:pt idx="98">
                  <c:v>82.524860413618455</c:v>
                </c:pt>
                <c:pt idx="99">
                  <c:v>82.415900381394792</c:v>
                </c:pt>
                <c:pt idx="100">
                  <c:v>82.81175897636912</c:v>
                </c:pt>
                <c:pt idx="101">
                  <c:v>83.089762304753521</c:v>
                </c:pt>
                <c:pt idx="102">
                  <c:v>82.98892096255635</c:v>
                </c:pt>
                <c:pt idx="103">
                  <c:v>83.293632286694972</c:v>
                </c:pt>
                <c:pt idx="104">
                  <c:v>83.350192927067127</c:v>
                </c:pt>
                <c:pt idx="105">
                  <c:v>83.656235686619596</c:v>
                </c:pt>
                <c:pt idx="106">
                  <c:v>84.10638728597354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11-8940-A7D7-F723420392E4}"/>
            </c:ext>
          </c:extLst>
        </c:ser>
        <c:ser>
          <c:idx val="6"/>
          <c:order val="6"/>
          <c:tx>
            <c:strRef>
              <c:f>'Average comparison'!$T$1</c:f>
              <c:strCache>
                <c:ptCount val="1"/>
                <c:pt idx="0">
                  <c:v>EPS-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comparison'!$T$2:$T$108</c:f>
              <c:numCache>
                <c:formatCode>General</c:formatCode>
                <c:ptCount val="107"/>
                <c:pt idx="0">
                  <c:v>100</c:v>
                </c:pt>
                <c:pt idx="1">
                  <c:v>100.74343541591425</c:v>
                </c:pt>
                <c:pt idx="2">
                  <c:v>101.47670833602676</c:v>
                </c:pt>
                <c:pt idx="3">
                  <c:v>102.15680105926616</c:v>
                </c:pt>
                <c:pt idx="4">
                  <c:v>102.59542631367303</c:v>
                </c:pt>
                <c:pt idx="5">
                  <c:v>103.17876964797686</c:v>
                </c:pt>
                <c:pt idx="6">
                  <c:v>103.65108166508769</c:v>
                </c:pt>
                <c:pt idx="7">
                  <c:v>104.34135308515495</c:v>
                </c:pt>
                <c:pt idx="8">
                  <c:v>104.79970037078469</c:v>
                </c:pt>
                <c:pt idx="9">
                  <c:v>105.32144002529496</c:v>
                </c:pt>
                <c:pt idx="10">
                  <c:v>105.68703767202111</c:v>
                </c:pt>
                <c:pt idx="11">
                  <c:v>106.26300949259299</c:v>
                </c:pt>
                <c:pt idx="12">
                  <c:v>106.61861671122695</c:v>
                </c:pt>
                <c:pt idx="13">
                  <c:v>107.01825541158996</c:v>
                </c:pt>
                <c:pt idx="14">
                  <c:v>107.57619406102047</c:v>
                </c:pt>
                <c:pt idx="15">
                  <c:v>107.96201844802367</c:v>
                </c:pt>
                <c:pt idx="16">
                  <c:v>108.44786036864836</c:v>
                </c:pt>
                <c:pt idx="17">
                  <c:v>108.79583119216244</c:v>
                </c:pt>
                <c:pt idx="18">
                  <c:v>109.17505998446534</c:v>
                </c:pt>
                <c:pt idx="19">
                  <c:v>109.64353299784928</c:v>
                </c:pt>
                <c:pt idx="20">
                  <c:v>109.99025779486762</c:v>
                </c:pt>
                <c:pt idx="21">
                  <c:v>110.34684071639784</c:v>
                </c:pt>
                <c:pt idx="22">
                  <c:v>110.82653661073805</c:v>
                </c:pt>
                <c:pt idx="23">
                  <c:v>111.18281674826973</c:v>
                </c:pt>
                <c:pt idx="24">
                  <c:v>111.56924604661326</c:v>
                </c:pt>
                <c:pt idx="25">
                  <c:v>111.99919286390794</c:v>
                </c:pt>
                <c:pt idx="26">
                  <c:v>112.36787811983986</c:v>
                </c:pt>
                <c:pt idx="27">
                  <c:v>112.70389371274416</c:v>
                </c:pt>
                <c:pt idx="28">
                  <c:v>113.11080623163622</c:v>
                </c:pt>
                <c:pt idx="29">
                  <c:v>8.1196302557120528E-2</c:v>
                </c:pt>
                <c:pt idx="30">
                  <c:v>7.6994099172613614E-2</c:v>
                </c:pt>
                <c:pt idx="31">
                  <c:v>7.5792804375992381E-2</c:v>
                </c:pt>
                <c:pt idx="32">
                  <c:v>7.5530208547117172E-2</c:v>
                </c:pt>
                <c:pt idx="33">
                  <c:v>7.5178533261733127E-2</c:v>
                </c:pt>
                <c:pt idx="34">
                  <c:v>7.457912307983415E-2</c:v>
                </c:pt>
                <c:pt idx="35">
                  <c:v>7.3927311316551281E-2</c:v>
                </c:pt>
                <c:pt idx="36">
                  <c:v>7.3087927042132003E-2</c:v>
                </c:pt>
                <c:pt idx="37">
                  <c:v>7.0367550630867637E-2</c:v>
                </c:pt>
                <c:pt idx="38">
                  <c:v>6.8427777964393574E-2</c:v>
                </c:pt>
                <c:pt idx="39">
                  <c:v>83.420887320294227</c:v>
                </c:pt>
                <c:pt idx="40">
                  <c:v>86.395473351227238</c:v>
                </c:pt>
                <c:pt idx="41">
                  <c:v>88.336627670146058</c:v>
                </c:pt>
                <c:pt idx="42">
                  <c:v>89.933269627600609</c:v>
                </c:pt>
                <c:pt idx="43">
                  <c:v>91.458054892358902</c:v>
                </c:pt>
                <c:pt idx="44">
                  <c:v>92.75909207209709</c:v>
                </c:pt>
                <c:pt idx="45">
                  <c:v>93.696393072833914</c:v>
                </c:pt>
                <c:pt idx="46">
                  <c:v>94.479590065869573</c:v>
                </c:pt>
                <c:pt idx="47">
                  <c:v>95.22400390101042</c:v>
                </c:pt>
                <c:pt idx="48">
                  <c:v>95.665600503479013</c:v>
                </c:pt>
                <c:pt idx="49">
                  <c:v>96.032817933267054</c:v>
                </c:pt>
                <c:pt idx="50">
                  <c:v>96.756720777197174</c:v>
                </c:pt>
                <c:pt idx="51">
                  <c:v>97.263569195471163</c:v>
                </c:pt>
                <c:pt idx="52">
                  <c:v>98.040588869198373</c:v>
                </c:pt>
                <c:pt idx="53">
                  <c:v>98.646053888720289</c:v>
                </c:pt>
                <c:pt idx="54">
                  <c:v>99.041071191325798</c:v>
                </c:pt>
                <c:pt idx="55">
                  <c:v>99.431017595230671</c:v>
                </c:pt>
                <c:pt idx="56">
                  <c:v>99.905275140478054</c:v>
                </c:pt>
                <c:pt idx="57">
                  <c:v>100.0890480250644</c:v>
                </c:pt>
                <c:pt idx="58">
                  <c:v>100.3482107804211</c:v>
                </c:pt>
                <c:pt idx="59">
                  <c:v>100.76555726947559</c:v>
                </c:pt>
                <c:pt idx="60">
                  <c:v>101.16087464470168</c:v>
                </c:pt>
                <c:pt idx="61">
                  <c:v>101.52170178530361</c:v>
                </c:pt>
                <c:pt idx="62">
                  <c:v>101.95288216700781</c:v>
                </c:pt>
                <c:pt idx="63">
                  <c:v>102.40067050163448</c:v>
                </c:pt>
                <c:pt idx="64">
                  <c:v>102.76923176083261</c:v>
                </c:pt>
                <c:pt idx="65">
                  <c:v>102.95499161858238</c:v>
                </c:pt>
                <c:pt idx="66">
                  <c:v>103.11243151048818</c:v>
                </c:pt>
                <c:pt idx="67">
                  <c:v>103.49312367231839</c:v>
                </c:pt>
                <c:pt idx="68">
                  <c:v>5.6904415546554531E-2</c:v>
                </c:pt>
                <c:pt idx="69">
                  <c:v>5.8126013644858116E-2</c:v>
                </c:pt>
                <c:pt idx="70">
                  <c:v>5.6577072230171777E-2</c:v>
                </c:pt>
                <c:pt idx="71">
                  <c:v>5.402477836965866E-2</c:v>
                </c:pt>
                <c:pt idx="72">
                  <c:v>5.1670324470867258E-2</c:v>
                </c:pt>
                <c:pt idx="73">
                  <c:v>5.0456108121385033E-2</c:v>
                </c:pt>
                <c:pt idx="74">
                  <c:v>4.8623597325988366E-2</c:v>
                </c:pt>
                <c:pt idx="75">
                  <c:v>4.6789785311648541E-2</c:v>
                </c:pt>
                <c:pt idx="76">
                  <c:v>4.5102454575078027E-2</c:v>
                </c:pt>
                <c:pt idx="77">
                  <c:v>4.3816003171501756E-2</c:v>
                </c:pt>
                <c:pt idx="78">
                  <c:v>83.905216018698638</c:v>
                </c:pt>
                <c:pt idx="79">
                  <c:v>86.60147714145586</c:v>
                </c:pt>
                <c:pt idx="80">
                  <c:v>88.537869508942094</c:v>
                </c:pt>
                <c:pt idx="81">
                  <c:v>90.199157300366139</c:v>
                </c:pt>
                <c:pt idx="82">
                  <c:v>91.685684775999562</c:v>
                </c:pt>
                <c:pt idx="83">
                  <c:v>92.847573676181995</c:v>
                </c:pt>
                <c:pt idx="84">
                  <c:v>93.729925739513064</c:v>
                </c:pt>
                <c:pt idx="85">
                  <c:v>94.476849047144597</c:v>
                </c:pt>
                <c:pt idx="86">
                  <c:v>95.062869806086198</c:v>
                </c:pt>
                <c:pt idx="87">
                  <c:v>95.543033356519388</c:v>
                </c:pt>
                <c:pt idx="88">
                  <c:v>95.994356111116019</c:v>
                </c:pt>
                <c:pt idx="89">
                  <c:v>96.376611156801786</c:v>
                </c:pt>
                <c:pt idx="90">
                  <c:v>97.022581708604676</c:v>
                </c:pt>
                <c:pt idx="91">
                  <c:v>97.498388660113122</c:v>
                </c:pt>
                <c:pt idx="92">
                  <c:v>98.085477409461646</c:v>
                </c:pt>
                <c:pt idx="93">
                  <c:v>98.491624681845806</c:v>
                </c:pt>
                <c:pt idx="94">
                  <c:v>98.848703971210952</c:v>
                </c:pt>
                <c:pt idx="95">
                  <c:v>99.090148423969524</c:v>
                </c:pt>
                <c:pt idx="96">
                  <c:v>99.222099274361099</c:v>
                </c:pt>
                <c:pt idx="97">
                  <c:v>99.56258685180569</c:v>
                </c:pt>
                <c:pt idx="98">
                  <c:v>99.87714556057955</c:v>
                </c:pt>
                <c:pt idx="99">
                  <c:v>100.18421725688567</c:v>
                </c:pt>
                <c:pt idx="100">
                  <c:v>100.67072648070837</c:v>
                </c:pt>
                <c:pt idx="101">
                  <c:v>100.97361374691268</c:v>
                </c:pt>
                <c:pt idx="102">
                  <c:v>101.29458932776019</c:v>
                </c:pt>
                <c:pt idx="103">
                  <c:v>101.41910364853352</c:v>
                </c:pt>
                <c:pt idx="104">
                  <c:v>101.70077947616512</c:v>
                </c:pt>
                <c:pt idx="105">
                  <c:v>101.88396739465372</c:v>
                </c:pt>
                <c:pt idx="106">
                  <c:v>101.93493358804854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11-8940-A7D7-F723420392E4}"/>
            </c:ext>
          </c:extLst>
        </c:ser>
        <c:ser>
          <c:idx val="7"/>
          <c:order val="7"/>
          <c:tx>
            <c:strRef>
              <c:f>'Average comparison'!$W$1</c:f>
              <c:strCache>
                <c:ptCount val="1"/>
                <c:pt idx="0">
                  <c:v>EPS-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6.2718699999999998</c:v>
                </c:pt>
                <c:pt idx="1">
                  <c:v>12.437099999999999</c:v>
                </c:pt>
                <c:pt idx="2">
                  <c:v>18.545500000000001</c:v>
                </c:pt>
                <c:pt idx="3">
                  <c:v>24.791399999999999</c:v>
                </c:pt>
                <c:pt idx="4">
                  <c:v>31.106999999999999</c:v>
                </c:pt>
                <c:pt idx="5">
                  <c:v>37.192399999999999</c:v>
                </c:pt>
                <c:pt idx="6">
                  <c:v>43.526200000000003</c:v>
                </c:pt>
                <c:pt idx="7">
                  <c:v>49.688299999999998</c:v>
                </c:pt>
                <c:pt idx="8">
                  <c:v>55.8005</c:v>
                </c:pt>
                <c:pt idx="9">
                  <c:v>62.111400000000003</c:v>
                </c:pt>
                <c:pt idx="10">
                  <c:v>68.338800000000006</c:v>
                </c:pt>
                <c:pt idx="11">
                  <c:v>74.508499999999998</c:v>
                </c:pt>
                <c:pt idx="12">
                  <c:v>80.784599999999998</c:v>
                </c:pt>
                <c:pt idx="13">
                  <c:v>86.936599999999999</c:v>
                </c:pt>
                <c:pt idx="14">
                  <c:v>93.113100000000003</c:v>
                </c:pt>
                <c:pt idx="15">
                  <c:v>99.351399999999998</c:v>
                </c:pt>
                <c:pt idx="16">
                  <c:v>105.571</c:v>
                </c:pt>
                <c:pt idx="17">
                  <c:v>111.708</c:v>
                </c:pt>
                <c:pt idx="18">
                  <c:v>118.009</c:v>
                </c:pt>
                <c:pt idx="19">
                  <c:v>124.221</c:v>
                </c:pt>
                <c:pt idx="20">
                  <c:v>130.28700000000001</c:v>
                </c:pt>
                <c:pt idx="21">
                  <c:v>136.62799999999999</c:v>
                </c:pt>
                <c:pt idx="22">
                  <c:v>142.79400000000001</c:v>
                </c:pt>
                <c:pt idx="23">
                  <c:v>149.03399999999999</c:v>
                </c:pt>
                <c:pt idx="24">
                  <c:v>155.125</c:v>
                </c:pt>
                <c:pt idx="25">
                  <c:v>161.47300000000001</c:v>
                </c:pt>
                <c:pt idx="26">
                  <c:v>167.614</c:v>
                </c:pt>
                <c:pt idx="27">
                  <c:v>173.85</c:v>
                </c:pt>
                <c:pt idx="28">
                  <c:v>179.93600000000001</c:v>
                </c:pt>
                <c:pt idx="29">
                  <c:v>193.119</c:v>
                </c:pt>
                <c:pt idx="30">
                  <c:v>199.374</c:v>
                </c:pt>
                <c:pt idx="31">
                  <c:v>205.643</c:v>
                </c:pt>
                <c:pt idx="32">
                  <c:v>211.75800000000001</c:v>
                </c:pt>
                <c:pt idx="33">
                  <c:v>218.077</c:v>
                </c:pt>
                <c:pt idx="34">
                  <c:v>224.21</c:v>
                </c:pt>
                <c:pt idx="35">
                  <c:v>230.48099999999999</c:v>
                </c:pt>
                <c:pt idx="36">
                  <c:v>236.60900000000001</c:v>
                </c:pt>
                <c:pt idx="37">
                  <c:v>242.952</c:v>
                </c:pt>
                <c:pt idx="38">
                  <c:v>249.15899999999999</c:v>
                </c:pt>
                <c:pt idx="39">
                  <c:v>262.24700000000001</c:v>
                </c:pt>
                <c:pt idx="40">
                  <c:v>268.46699999999998</c:v>
                </c:pt>
                <c:pt idx="41">
                  <c:v>274.76</c:v>
                </c:pt>
                <c:pt idx="42">
                  <c:v>280.99099999999999</c:v>
                </c:pt>
                <c:pt idx="43">
                  <c:v>287.21100000000001</c:v>
                </c:pt>
                <c:pt idx="44">
                  <c:v>293.38900000000001</c:v>
                </c:pt>
                <c:pt idx="45">
                  <c:v>299.65600000000001</c:v>
                </c:pt>
                <c:pt idx="46">
                  <c:v>305.76400000000001</c:v>
                </c:pt>
                <c:pt idx="47">
                  <c:v>311.92599999999999</c:v>
                </c:pt>
                <c:pt idx="48">
                  <c:v>318.20600000000002</c:v>
                </c:pt>
                <c:pt idx="49">
                  <c:v>324.48599999999999</c:v>
                </c:pt>
                <c:pt idx="50">
                  <c:v>330.68</c:v>
                </c:pt>
                <c:pt idx="51">
                  <c:v>336.81799999999998</c:v>
                </c:pt>
                <c:pt idx="52">
                  <c:v>343.04300000000001</c:v>
                </c:pt>
                <c:pt idx="53">
                  <c:v>349.23899999999998</c:v>
                </c:pt>
                <c:pt idx="54">
                  <c:v>355.53699999999998</c:v>
                </c:pt>
                <c:pt idx="55">
                  <c:v>361.666</c:v>
                </c:pt>
                <c:pt idx="56">
                  <c:v>367.87200000000001</c:v>
                </c:pt>
                <c:pt idx="57">
                  <c:v>374.14400000000001</c:v>
                </c:pt>
                <c:pt idx="58">
                  <c:v>380.34899999999999</c:v>
                </c:pt>
                <c:pt idx="59">
                  <c:v>386.57</c:v>
                </c:pt>
                <c:pt idx="60">
                  <c:v>392.74099999999999</c:v>
                </c:pt>
                <c:pt idx="61">
                  <c:v>399.01299999999998</c:v>
                </c:pt>
                <c:pt idx="62">
                  <c:v>405.089</c:v>
                </c:pt>
                <c:pt idx="63">
                  <c:v>411.38600000000002</c:v>
                </c:pt>
                <c:pt idx="64">
                  <c:v>417.61700000000002</c:v>
                </c:pt>
                <c:pt idx="65">
                  <c:v>423.72800000000001</c:v>
                </c:pt>
                <c:pt idx="66">
                  <c:v>429.99799999999999</c:v>
                </c:pt>
                <c:pt idx="67">
                  <c:v>436.13900000000001</c:v>
                </c:pt>
                <c:pt idx="68">
                  <c:v>449.34300000000002</c:v>
                </c:pt>
                <c:pt idx="69">
                  <c:v>455.57600000000002</c:v>
                </c:pt>
                <c:pt idx="70">
                  <c:v>461.834</c:v>
                </c:pt>
                <c:pt idx="71">
                  <c:v>468.06400000000002</c:v>
                </c:pt>
                <c:pt idx="72">
                  <c:v>474.19400000000002</c:v>
                </c:pt>
                <c:pt idx="73">
                  <c:v>480.49299999999999</c:v>
                </c:pt>
                <c:pt idx="74">
                  <c:v>486.74799999999999</c:v>
                </c:pt>
                <c:pt idx="75">
                  <c:v>492.90800000000002</c:v>
                </c:pt>
                <c:pt idx="76">
                  <c:v>499.07900000000001</c:v>
                </c:pt>
                <c:pt idx="77">
                  <c:v>505.34300000000002</c:v>
                </c:pt>
                <c:pt idx="78">
                  <c:v>518.67100000000005</c:v>
                </c:pt>
                <c:pt idx="79">
                  <c:v>524.91800000000001</c:v>
                </c:pt>
                <c:pt idx="80">
                  <c:v>531.04899999999998</c:v>
                </c:pt>
                <c:pt idx="81">
                  <c:v>537.19200000000001</c:v>
                </c:pt>
                <c:pt idx="82">
                  <c:v>543.55200000000002</c:v>
                </c:pt>
                <c:pt idx="83">
                  <c:v>549.649</c:v>
                </c:pt>
                <c:pt idx="84">
                  <c:v>555.86300000000006</c:v>
                </c:pt>
                <c:pt idx="85">
                  <c:v>562.19600000000003</c:v>
                </c:pt>
                <c:pt idx="86">
                  <c:v>568.34699999999998</c:v>
                </c:pt>
                <c:pt idx="87">
                  <c:v>574.55200000000002</c:v>
                </c:pt>
                <c:pt idx="88">
                  <c:v>580.73699999999997</c:v>
                </c:pt>
                <c:pt idx="89">
                  <c:v>587.00400000000002</c:v>
                </c:pt>
                <c:pt idx="90">
                  <c:v>593.21</c:v>
                </c:pt>
                <c:pt idx="91">
                  <c:v>599.31799999999998</c:v>
                </c:pt>
                <c:pt idx="92">
                  <c:v>605.59400000000005</c:v>
                </c:pt>
                <c:pt idx="93">
                  <c:v>611.76900000000001</c:v>
                </c:pt>
                <c:pt idx="94">
                  <c:v>617.947</c:v>
                </c:pt>
                <c:pt idx="95">
                  <c:v>624.12199999999996</c:v>
                </c:pt>
                <c:pt idx="96">
                  <c:v>630.39800000000002</c:v>
                </c:pt>
                <c:pt idx="97">
                  <c:v>636.58100000000002</c:v>
                </c:pt>
                <c:pt idx="98">
                  <c:v>642.83500000000004</c:v>
                </c:pt>
                <c:pt idx="99">
                  <c:v>649.06100000000004</c:v>
                </c:pt>
                <c:pt idx="100">
                  <c:v>655.28099999999995</c:v>
                </c:pt>
                <c:pt idx="101">
                  <c:v>661.45299999999997</c:v>
                </c:pt>
                <c:pt idx="102">
                  <c:v>667.70500000000004</c:v>
                </c:pt>
                <c:pt idx="103">
                  <c:v>673.85199999999998</c:v>
                </c:pt>
                <c:pt idx="104">
                  <c:v>680.23400000000004</c:v>
                </c:pt>
                <c:pt idx="105">
                  <c:v>686.39200000000005</c:v>
                </c:pt>
                <c:pt idx="106">
                  <c:v>692.49400000000003</c:v>
                </c:pt>
              </c:numCache>
            </c:numRef>
          </c:xVal>
          <c:yVal>
            <c:numRef>
              <c:f>'Average comparison'!$W$2:$W$108</c:f>
              <c:numCache>
                <c:formatCode>General</c:formatCode>
                <c:ptCount val="107"/>
                <c:pt idx="0">
                  <c:v>100</c:v>
                </c:pt>
                <c:pt idx="1">
                  <c:v>100.34089198909375</c:v>
                </c:pt>
                <c:pt idx="2">
                  <c:v>101.16114267642655</c:v>
                </c:pt>
                <c:pt idx="3">
                  <c:v>101.56198572901945</c:v>
                </c:pt>
                <c:pt idx="4">
                  <c:v>101.55570160078526</c:v>
                </c:pt>
                <c:pt idx="5">
                  <c:v>102.04583729859181</c:v>
                </c:pt>
                <c:pt idx="6">
                  <c:v>102.57779696636804</c:v>
                </c:pt>
                <c:pt idx="7">
                  <c:v>102.95060374720565</c:v>
                </c:pt>
                <c:pt idx="8">
                  <c:v>103.40631615380758</c:v>
                </c:pt>
                <c:pt idx="9">
                  <c:v>103.70491479191739</c:v>
                </c:pt>
                <c:pt idx="10">
                  <c:v>104.03352999121671</c:v>
                </c:pt>
                <c:pt idx="11">
                  <c:v>104.3678546179852</c:v>
                </c:pt>
                <c:pt idx="12">
                  <c:v>104.66243504891807</c:v>
                </c:pt>
                <c:pt idx="13">
                  <c:v>104.45661841987912</c:v>
                </c:pt>
                <c:pt idx="14">
                  <c:v>104.73236319275374</c:v>
                </c:pt>
                <c:pt idx="15">
                  <c:v>105.15055328562713</c:v>
                </c:pt>
                <c:pt idx="16">
                  <c:v>105.64516832354016</c:v>
                </c:pt>
                <c:pt idx="17">
                  <c:v>105.32162997665981</c:v>
                </c:pt>
                <c:pt idx="18">
                  <c:v>105.62591842223355</c:v>
                </c:pt>
                <c:pt idx="19">
                  <c:v>105.8850043169674</c:v>
                </c:pt>
                <c:pt idx="20">
                  <c:v>106.29368871298323</c:v>
                </c:pt>
                <c:pt idx="21">
                  <c:v>106.36362293009563</c:v>
                </c:pt>
                <c:pt idx="22">
                  <c:v>106.52698163719211</c:v>
                </c:pt>
                <c:pt idx="23">
                  <c:v>107.04655617622427</c:v>
                </c:pt>
                <c:pt idx="24">
                  <c:v>107.06479164745778</c:v>
                </c:pt>
                <c:pt idx="25">
                  <c:v>107.28367141941638</c:v>
                </c:pt>
                <c:pt idx="26">
                  <c:v>107.5029126362578</c:v>
                </c:pt>
                <c:pt idx="27">
                  <c:v>108.24184789190386</c:v>
                </c:pt>
                <c:pt idx="28">
                  <c:v>108.27484783168357</c:v>
                </c:pt>
                <c:pt idx="29">
                  <c:v>0.23976733462238442</c:v>
                </c:pt>
                <c:pt idx="30">
                  <c:v>0.23710790721592898</c:v>
                </c:pt>
                <c:pt idx="31">
                  <c:v>0.2332122357932539</c:v>
                </c:pt>
                <c:pt idx="32">
                  <c:v>0.2286739464034378</c:v>
                </c:pt>
                <c:pt idx="33">
                  <c:v>0.22608316422408625</c:v>
                </c:pt>
                <c:pt idx="34">
                  <c:v>0.22377389905189216</c:v>
                </c:pt>
                <c:pt idx="35">
                  <c:v>0.22161751658794929</c:v>
                </c:pt>
                <c:pt idx="36">
                  <c:v>0.2187441439080044</c:v>
                </c:pt>
                <c:pt idx="37">
                  <c:v>0.21638968334861469</c:v>
                </c:pt>
                <c:pt idx="38">
                  <c:v>0.2148151252651867</c:v>
                </c:pt>
                <c:pt idx="39">
                  <c:v>83.719532207971042</c:v>
                </c:pt>
                <c:pt idx="40">
                  <c:v>86.500051289363341</c:v>
                </c:pt>
                <c:pt idx="41">
                  <c:v>88.399120868515041</c:v>
                </c:pt>
                <c:pt idx="42">
                  <c:v>90.254905348443771</c:v>
                </c:pt>
                <c:pt idx="43">
                  <c:v>91.908704016253665</c:v>
                </c:pt>
                <c:pt idx="44">
                  <c:v>93.212407230541785</c:v>
                </c:pt>
                <c:pt idx="45">
                  <c:v>94.729281015918758</c:v>
                </c:pt>
                <c:pt idx="46">
                  <c:v>95.288466121373133</c:v>
                </c:pt>
                <c:pt idx="47">
                  <c:v>95.691489590873772</c:v>
                </c:pt>
                <c:pt idx="48">
                  <c:v>96.383477271914344</c:v>
                </c:pt>
                <c:pt idx="49">
                  <c:v>96.967688998214811</c:v>
                </c:pt>
                <c:pt idx="50">
                  <c:v>97.739506539491316</c:v>
                </c:pt>
                <c:pt idx="51">
                  <c:v>98.039256593222206</c:v>
                </c:pt>
                <c:pt idx="52">
                  <c:v>98.602904864047503</c:v>
                </c:pt>
                <c:pt idx="53">
                  <c:v>99.114601893101209</c:v>
                </c:pt>
                <c:pt idx="54">
                  <c:v>99.943119645486604</c:v>
                </c:pt>
                <c:pt idx="55">
                  <c:v>100.09057876123849</c:v>
                </c:pt>
                <c:pt idx="56">
                  <c:v>100.592595248674</c:v>
                </c:pt>
                <c:pt idx="57">
                  <c:v>101.2350846429442</c:v>
                </c:pt>
                <c:pt idx="58">
                  <c:v>102.01449224020556</c:v>
                </c:pt>
                <c:pt idx="59">
                  <c:v>101.9475084227946</c:v>
                </c:pt>
                <c:pt idx="60">
                  <c:v>102.59188187147291</c:v>
                </c:pt>
                <c:pt idx="61">
                  <c:v>103.48283681684346</c:v>
                </c:pt>
                <c:pt idx="62">
                  <c:v>104.10755590099176</c:v>
                </c:pt>
                <c:pt idx="63">
                  <c:v>104.36450016562947</c:v>
                </c:pt>
                <c:pt idx="64">
                  <c:v>104.80133609001777</c:v>
                </c:pt>
                <c:pt idx="65">
                  <c:v>105.03755801418212</c:v>
                </c:pt>
                <c:pt idx="66">
                  <c:v>105.42903043826047</c:v>
                </c:pt>
                <c:pt idx="67">
                  <c:v>105.37149552216297</c:v>
                </c:pt>
                <c:pt idx="68">
                  <c:v>0.19860470836643968</c:v>
                </c:pt>
                <c:pt idx="69">
                  <c:v>0.19985196162094571</c:v>
                </c:pt>
                <c:pt idx="70">
                  <c:v>0.19873773953212817</c:v>
                </c:pt>
                <c:pt idx="71">
                  <c:v>0.19719011023139668</c:v>
                </c:pt>
                <c:pt idx="72">
                  <c:v>0.19634623220813535</c:v>
                </c:pt>
                <c:pt idx="73">
                  <c:v>0.19500291962425331</c:v>
                </c:pt>
                <c:pt idx="74">
                  <c:v>0.19327371403971261</c:v>
                </c:pt>
                <c:pt idx="75">
                  <c:v>0.19157873507967454</c:v>
                </c:pt>
                <c:pt idx="76">
                  <c:v>0.19019639268015937</c:v>
                </c:pt>
                <c:pt idx="77">
                  <c:v>0.18821048844796057</c:v>
                </c:pt>
                <c:pt idx="78">
                  <c:v>85.155753981370566</c:v>
                </c:pt>
                <c:pt idx="79">
                  <c:v>87.974639338547973</c:v>
                </c:pt>
                <c:pt idx="80">
                  <c:v>90.090043597571068</c:v>
                </c:pt>
                <c:pt idx="81">
                  <c:v>92.651835726477188</c:v>
                </c:pt>
                <c:pt idx="82">
                  <c:v>94.150958790734023</c:v>
                </c:pt>
                <c:pt idx="83">
                  <c:v>95.300855485521595</c:v>
                </c:pt>
                <c:pt idx="84">
                  <c:v>96.16749598056154</c:v>
                </c:pt>
                <c:pt idx="85">
                  <c:v>96.955189234520333</c:v>
                </c:pt>
                <c:pt idx="86">
                  <c:v>97.83011642624453</c:v>
                </c:pt>
                <c:pt idx="87">
                  <c:v>98.587322701888269</c:v>
                </c:pt>
                <c:pt idx="88">
                  <c:v>99.246729074767927</c:v>
                </c:pt>
                <c:pt idx="89">
                  <c:v>99.699381280536556</c:v>
                </c:pt>
                <c:pt idx="90">
                  <c:v>100.36995019150208</c:v>
                </c:pt>
                <c:pt idx="91">
                  <c:v>100.87623859821282</c:v>
                </c:pt>
                <c:pt idx="92">
                  <c:v>101.39964293743095</c:v>
                </c:pt>
                <c:pt idx="93">
                  <c:v>102.00004434095209</c:v>
                </c:pt>
                <c:pt idx="94">
                  <c:v>102.34712846640929</c:v>
                </c:pt>
                <c:pt idx="95">
                  <c:v>102.65033825166844</c:v>
                </c:pt>
                <c:pt idx="96">
                  <c:v>103.1201749020957</c:v>
                </c:pt>
                <c:pt idx="97">
                  <c:v>103.7378260553827</c:v>
                </c:pt>
                <c:pt idx="98">
                  <c:v>104.10740383289956</c:v>
                </c:pt>
                <c:pt idx="99">
                  <c:v>104.75482051366549</c:v>
                </c:pt>
                <c:pt idx="100">
                  <c:v>105.24504901285471</c:v>
                </c:pt>
                <c:pt idx="101">
                  <c:v>105.60298336188663</c:v>
                </c:pt>
                <c:pt idx="102">
                  <c:v>105.85800879798492</c:v>
                </c:pt>
                <c:pt idx="103">
                  <c:v>106.1997912786281</c:v>
                </c:pt>
                <c:pt idx="104">
                  <c:v>106.57870451546091</c:v>
                </c:pt>
                <c:pt idx="105">
                  <c:v>106.8107302638518</c:v>
                </c:pt>
                <c:pt idx="106">
                  <c:v>107.52307626673213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11-8940-A7D7-F72342039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86608"/>
        <c:axId val="502450464"/>
      </c:scatterChart>
      <c:valAx>
        <c:axId val="50298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50464"/>
        <c:crosses val="autoZero"/>
        <c:crossBetween val="midCat"/>
      </c:valAx>
      <c:valAx>
        <c:axId val="5024504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98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6350</xdr:colOff>
      <xdr:row>0</xdr:row>
      <xdr:rowOff>146050</xdr:rowOff>
    </xdr:from>
    <xdr:to>
      <xdr:col>35</xdr:col>
      <xdr:colOff>203200</xdr:colOff>
      <xdr:row>23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826B1F-B088-CBE1-13D7-76F480F05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63500</xdr:colOff>
      <xdr:row>25</xdr:row>
      <xdr:rowOff>152400</xdr:rowOff>
    </xdr:from>
    <xdr:to>
      <xdr:col>35</xdr:col>
      <xdr:colOff>298450</xdr:colOff>
      <xdr:row>43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F85E83-2F23-9378-AEA0-F69F6E680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492124</xdr:colOff>
      <xdr:row>0</xdr:row>
      <xdr:rowOff>149224</xdr:rowOff>
    </xdr:from>
    <xdr:to>
      <xdr:col>47</xdr:col>
      <xdr:colOff>82549</xdr:colOff>
      <xdr:row>23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851CE-B700-4AB8-8C71-2DE98BF5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536574</xdr:colOff>
      <xdr:row>25</xdr:row>
      <xdr:rowOff>117474</xdr:rowOff>
    </xdr:from>
    <xdr:to>
      <xdr:col>47</xdr:col>
      <xdr:colOff>349249</xdr:colOff>
      <xdr:row>43</xdr:row>
      <xdr:rowOff>63499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1BD27-4638-4056-A51B-4CA0B41C1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514350</xdr:colOff>
      <xdr:row>1</xdr:row>
      <xdr:rowOff>127000</xdr:rowOff>
    </xdr:from>
    <xdr:to>
      <xdr:col>38</xdr:col>
      <xdr:colOff>514350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68E43-2E06-4BFB-A4C8-8BE0E412A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406400</xdr:colOff>
      <xdr:row>26</xdr:row>
      <xdr:rowOff>82550</xdr:rowOff>
    </xdr:from>
    <xdr:to>
      <xdr:col>38</xdr:col>
      <xdr:colOff>444500</xdr:colOff>
      <xdr:row>47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3CB146-33C5-46D3-909E-46148E57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219074</xdr:colOff>
      <xdr:row>1</xdr:row>
      <xdr:rowOff>168274</xdr:rowOff>
    </xdr:from>
    <xdr:to>
      <xdr:col>50</xdr:col>
      <xdr:colOff>425449</xdr:colOff>
      <xdr:row>24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2C890-B10D-45FE-B98C-E846959F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136524</xdr:colOff>
      <xdr:row>26</xdr:row>
      <xdr:rowOff>85724</xdr:rowOff>
    </xdr:from>
    <xdr:to>
      <xdr:col>50</xdr:col>
      <xdr:colOff>565149</xdr:colOff>
      <xdr:row>48</xdr:row>
      <xdr:rowOff>31749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9E3BBF-95EE-48FD-B02C-AC3ABDA79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184150</xdr:colOff>
      <xdr:row>1</xdr:row>
      <xdr:rowOff>57150</xdr:rowOff>
    </xdr:from>
    <xdr:to>
      <xdr:col>37</xdr:col>
      <xdr:colOff>317500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AB1470-14E5-42C2-1EAC-249D6F7C1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171450</xdr:colOff>
      <xdr:row>28</xdr:row>
      <xdr:rowOff>133350</xdr:rowOff>
    </xdr:from>
    <xdr:to>
      <xdr:col>37</xdr:col>
      <xdr:colOff>292100</xdr:colOff>
      <xdr:row>50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F24BCC-5B85-6845-FA60-E7A5F0018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587374</xdr:colOff>
      <xdr:row>1</xdr:row>
      <xdr:rowOff>111124</xdr:rowOff>
    </xdr:from>
    <xdr:to>
      <xdr:col>49</xdr:col>
      <xdr:colOff>514349</xdr:colOff>
      <xdr:row>26</xdr:row>
      <xdr:rowOff>139699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4D22C-9D76-4E4A-85B1-77A2F8348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66674</xdr:colOff>
      <xdr:row>28</xdr:row>
      <xdr:rowOff>123824</xdr:rowOff>
    </xdr:from>
    <xdr:to>
      <xdr:col>50</xdr:col>
      <xdr:colOff>25399</xdr:colOff>
      <xdr:row>50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0B3EE-617E-4542-94FA-E00F63153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184150</xdr:colOff>
      <xdr:row>1</xdr:row>
      <xdr:rowOff>57150</xdr:rowOff>
    </xdr:from>
    <xdr:to>
      <xdr:col>37</xdr:col>
      <xdr:colOff>317500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C4913-49CF-4E73-8E80-B775BA6A3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171450</xdr:colOff>
      <xdr:row>28</xdr:row>
      <xdr:rowOff>133350</xdr:rowOff>
    </xdr:from>
    <xdr:to>
      <xdr:col>37</xdr:col>
      <xdr:colOff>292100</xdr:colOff>
      <xdr:row>50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8CBCF-C20D-4708-B9FE-DCFA8A16D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587374</xdr:colOff>
      <xdr:row>1</xdr:row>
      <xdr:rowOff>111124</xdr:rowOff>
    </xdr:from>
    <xdr:to>
      <xdr:col>49</xdr:col>
      <xdr:colOff>514349</xdr:colOff>
      <xdr:row>26</xdr:row>
      <xdr:rowOff>139699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3584CD-1F35-4A98-92AD-B0F3DCC06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66674</xdr:colOff>
      <xdr:row>28</xdr:row>
      <xdr:rowOff>123824</xdr:rowOff>
    </xdr:from>
    <xdr:to>
      <xdr:col>50</xdr:col>
      <xdr:colOff>25399</xdr:colOff>
      <xdr:row>50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AD6897-0DB1-48A4-A786-4DF632F49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666750</xdr:colOff>
      <xdr:row>1</xdr:row>
      <xdr:rowOff>44450</xdr:rowOff>
    </xdr:from>
    <xdr:to>
      <xdr:col>36</xdr:col>
      <xdr:colOff>546100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42ACC4-F5E8-F472-791A-772F26A4E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57150</xdr:colOff>
      <xdr:row>26</xdr:row>
      <xdr:rowOff>171450</xdr:rowOff>
    </xdr:from>
    <xdr:to>
      <xdr:col>36</xdr:col>
      <xdr:colOff>558800</xdr:colOff>
      <xdr:row>48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C52039-C816-8AC5-2291-82EC0ADDB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142874</xdr:colOff>
      <xdr:row>1</xdr:row>
      <xdr:rowOff>92074</xdr:rowOff>
    </xdr:from>
    <xdr:to>
      <xdr:col>48</xdr:col>
      <xdr:colOff>146049</xdr:colOff>
      <xdr:row>24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841C9-715C-44C9-830E-F46058C2A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155574</xdr:colOff>
      <xdr:row>26</xdr:row>
      <xdr:rowOff>161924</xdr:rowOff>
    </xdr:from>
    <xdr:to>
      <xdr:col>48</xdr:col>
      <xdr:colOff>253999</xdr:colOff>
      <xdr:row>46</xdr:row>
      <xdr:rowOff>133349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0161CB-FBB2-42F6-AD46-AE5CBDFC6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666750</xdr:colOff>
      <xdr:row>1</xdr:row>
      <xdr:rowOff>44450</xdr:rowOff>
    </xdr:from>
    <xdr:to>
      <xdr:col>36</xdr:col>
      <xdr:colOff>546100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9BF84-868D-4733-B29A-57576409C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57150</xdr:colOff>
      <xdr:row>26</xdr:row>
      <xdr:rowOff>171450</xdr:rowOff>
    </xdr:from>
    <xdr:to>
      <xdr:col>36</xdr:col>
      <xdr:colOff>558800</xdr:colOff>
      <xdr:row>48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F71ED5-76E6-4027-BCD9-22AEF0B64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142874</xdr:colOff>
      <xdr:row>1</xdr:row>
      <xdr:rowOff>92074</xdr:rowOff>
    </xdr:from>
    <xdr:to>
      <xdr:col>48</xdr:col>
      <xdr:colOff>146049</xdr:colOff>
      <xdr:row>24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DC50B8-9446-4421-A64F-289B4B67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155574</xdr:colOff>
      <xdr:row>26</xdr:row>
      <xdr:rowOff>161924</xdr:rowOff>
    </xdr:from>
    <xdr:to>
      <xdr:col>48</xdr:col>
      <xdr:colOff>253999</xdr:colOff>
      <xdr:row>46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3B85B2-C177-44C5-9768-5002CDF32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406400</xdr:colOff>
      <xdr:row>0</xdr:row>
      <xdr:rowOff>330200</xdr:rowOff>
    </xdr:from>
    <xdr:to>
      <xdr:col>46</xdr:col>
      <xdr:colOff>476250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08CC8-1CDE-929F-FBD1-A90038E55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406400</xdr:colOff>
      <xdr:row>25</xdr:row>
      <xdr:rowOff>171450</xdr:rowOff>
    </xdr:from>
    <xdr:to>
      <xdr:col>46</xdr:col>
      <xdr:colOff>457200</xdr:colOff>
      <xdr:row>47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9DA35-633C-F41F-79DD-B4A26C25E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254000</xdr:colOff>
      <xdr:row>4</xdr:row>
      <xdr:rowOff>120650</xdr:rowOff>
    </xdr:from>
    <xdr:to>
      <xdr:col>35</xdr:col>
      <xdr:colOff>292100</xdr:colOff>
      <xdr:row>24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2CF06-D3B0-4CF2-58D9-7A697F0AB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406400</xdr:colOff>
      <xdr:row>0</xdr:row>
      <xdr:rowOff>330200</xdr:rowOff>
    </xdr:from>
    <xdr:to>
      <xdr:col>46</xdr:col>
      <xdr:colOff>476250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E5583-1B07-4289-9604-35F023B60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406400</xdr:colOff>
      <xdr:row>25</xdr:row>
      <xdr:rowOff>171450</xdr:rowOff>
    </xdr:from>
    <xdr:to>
      <xdr:col>46</xdr:col>
      <xdr:colOff>457200</xdr:colOff>
      <xdr:row>47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91FBD-CDC8-45B8-B6C9-4410989FD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254000</xdr:colOff>
      <xdr:row>4</xdr:row>
      <xdr:rowOff>120650</xdr:rowOff>
    </xdr:from>
    <xdr:to>
      <xdr:col>35</xdr:col>
      <xdr:colOff>292100</xdr:colOff>
      <xdr:row>24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7CEE1A-EA77-49AF-8C51-B7D607883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158750</xdr:colOff>
      <xdr:row>0</xdr:row>
      <xdr:rowOff>311150</xdr:rowOff>
    </xdr:from>
    <xdr:to>
      <xdr:col>44</xdr:col>
      <xdr:colOff>228600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4C6F3-1621-44C8-AD51-D7F6F57F7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279400</xdr:colOff>
      <xdr:row>27</xdr:row>
      <xdr:rowOff>146050</xdr:rowOff>
    </xdr:from>
    <xdr:to>
      <xdr:col>44</xdr:col>
      <xdr:colOff>330200</xdr:colOff>
      <xdr:row>49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6E9DEF-CCEB-4AC1-8A81-2CE7E1DCD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381000</xdr:colOff>
      <xdr:row>4</xdr:row>
      <xdr:rowOff>165100</xdr:rowOff>
    </xdr:from>
    <xdr:to>
      <xdr:col>33</xdr:col>
      <xdr:colOff>419100</xdr:colOff>
      <xdr:row>24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FF9E59-9022-4239-B034-1EC3805F4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521804</xdr:colOff>
      <xdr:row>29</xdr:row>
      <xdr:rowOff>66812</xdr:rowOff>
    </xdr:from>
    <xdr:to>
      <xdr:col>37</xdr:col>
      <xdr:colOff>171174</xdr:colOff>
      <xdr:row>49</xdr:row>
      <xdr:rowOff>165651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CB44DF-67D0-4D41-8446-31075A8D1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596349</xdr:colOff>
      <xdr:row>2</xdr:row>
      <xdr:rowOff>152400</xdr:rowOff>
    </xdr:from>
    <xdr:to>
      <xdr:col>36</xdr:col>
      <xdr:colOff>386522</xdr:colOff>
      <xdr:row>25</xdr:row>
      <xdr:rowOff>11044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860E5A-C45C-BF74-C168-E474BAD74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AEF8-2B69-4C1C-9240-C2387B62EE60}">
  <dimension ref="A1:X109"/>
  <sheetViews>
    <sheetView topLeftCell="M1" zoomScaleNormal="100" workbookViewId="0">
      <selection activeCell="S10" sqref="S10"/>
    </sheetView>
  </sheetViews>
  <sheetFormatPr defaultColWidth="8.81640625" defaultRowHeight="14.5" x14ac:dyDescent="0.35"/>
  <cols>
    <col min="1" max="1" width="9.453125" bestFit="1" customWidth="1"/>
    <col min="2" max="3" width="12.453125" bestFit="1" customWidth="1"/>
    <col min="4" max="5" width="12.453125" customWidth="1"/>
    <col min="7" max="8" width="12.1796875" bestFit="1" customWidth="1"/>
    <col min="9" max="10" width="12.1796875" customWidth="1"/>
    <col min="12" max="13" width="11.81640625" bestFit="1" customWidth="1"/>
    <col min="14" max="15" width="11.81640625" customWidth="1"/>
    <col min="16" max="16" width="8.6328125" style="1"/>
    <col min="20" max="21" width="11.81640625" bestFit="1" customWidth="1"/>
    <col min="23" max="24" width="9.453125" bestFit="1" customWidth="1"/>
    <col min="26" max="27" width="11.816406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8.3219700000000001E-4</v>
      </c>
      <c r="C3">
        <v>1.5370800000000001E-4</v>
      </c>
      <c r="D3">
        <f>B3/$B$3*100</f>
        <v>100</v>
      </c>
      <c r="E3">
        <f>C3/$C$3*100</f>
        <v>100</v>
      </c>
      <c r="G3">
        <v>8.4802100000000002E-4</v>
      </c>
      <c r="H3">
        <v>1.77818E-4</v>
      </c>
      <c r="I3">
        <f>G3/$G$3*100</f>
        <v>100</v>
      </c>
      <c r="J3">
        <f>H3/$H$3*100</f>
        <v>100</v>
      </c>
      <c r="L3" s="4">
        <v>9.8549300000000005E-4</v>
      </c>
      <c r="M3" s="4">
        <v>1.9363E-4</v>
      </c>
      <c r="N3" s="3">
        <f>L3/$L$3*100</f>
        <v>100</v>
      </c>
      <c r="O3" s="3">
        <f>M3/$M$3*100</f>
        <v>100</v>
      </c>
      <c r="Q3">
        <f t="shared" ref="Q3:Q66" si="0">AVERAGE(B3,G3,L3)</f>
        <v>8.8857033333333347E-4</v>
      </c>
      <c r="R3">
        <f t="shared" ref="R3:R66" si="1">AVERAGE(C3,H3,M3)</f>
        <v>1.75052E-4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8.3523699999999996E-4</v>
      </c>
      <c r="C4">
        <v>1.5369299999999999E-4</v>
      </c>
      <c r="D4">
        <f t="shared" ref="D4:D67" si="2">B4/$B$3*100</f>
        <v>100.36529812051714</v>
      </c>
      <c r="E4">
        <f t="shared" ref="E4:E67" si="3">C4/$C$3*100</f>
        <v>99.990241236630482</v>
      </c>
      <c r="G4">
        <v>8.50912E-4</v>
      </c>
      <c r="H4">
        <v>1.7887999999999999E-4</v>
      </c>
      <c r="I4">
        <f t="shared" ref="I4:I67" si="4">G4/$G$3*100</f>
        <v>100.34091136894014</v>
      </c>
      <c r="J4">
        <f t="shared" ref="J4:J67" si="5">H4/$H$3*100</f>
        <v>100.59723987447839</v>
      </c>
      <c r="L4" s="4">
        <v>9.8799700000000001E-4</v>
      </c>
      <c r="M4" s="4">
        <v>1.9360100000000001E-4</v>
      </c>
      <c r="N4" s="3">
        <f t="shared" ref="N4:N67" si="6">L4/$L$3*100</f>
        <v>100.25408602597888</v>
      </c>
      <c r="O4" s="3">
        <f t="shared" ref="O4:O67" si="7">M4/$M$3*100</f>
        <v>99.985022981975931</v>
      </c>
      <c r="Q4">
        <f t="shared" si="0"/>
        <v>8.9138200000000003E-4</v>
      </c>
      <c r="R4">
        <f t="shared" si="1"/>
        <v>1.753913333333333E-4</v>
      </c>
      <c r="T4">
        <f t="shared" ref="T4:T67" si="8">AVERAGE(D4,I4,N4)</f>
        <v>100.32009850514538</v>
      </c>
      <c r="U4">
        <f t="shared" ref="U4:U67" si="9">AVERAGE(E4,J4,O4)</f>
        <v>100.19083469769494</v>
      </c>
      <c r="W4">
        <f t="shared" ref="W4:W67" si="10">_xlfn.STDEV.P(D4,I4,N4)</f>
        <v>4.7727797402918007E-2</v>
      </c>
      <c r="X4">
        <f t="shared" ref="X4:X67" si="11">_xlfn.STDEV.P(E4,J4,O4)</f>
        <v>0.28737975263021354</v>
      </c>
    </row>
    <row r="5" spans="1:24" x14ac:dyDescent="0.35">
      <c r="A5">
        <v>18.545500000000001</v>
      </c>
      <c r="B5">
        <v>8.3674499999999996E-4</v>
      </c>
      <c r="C5">
        <v>1.53005E-4</v>
      </c>
      <c r="D5">
        <f t="shared" si="2"/>
        <v>100.54650521451049</v>
      </c>
      <c r="E5">
        <f t="shared" si="3"/>
        <v>99.542639290082491</v>
      </c>
      <c r="G5">
        <v>8.5296199999999997E-4</v>
      </c>
      <c r="H5">
        <v>1.7580699999999999E-4</v>
      </c>
      <c r="I5">
        <f t="shared" si="4"/>
        <v>100.58265066549059</v>
      </c>
      <c r="J5">
        <f t="shared" si="5"/>
        <v>98.869068373280541</v>
      </c>
      <c r="L5" s="4">
        <v>9.9317700000000004E-4</v>
      </c>
      <c r="M5" s="4">
        <v>1.9364299999999999E-4</v>
      </c>
      <c r="N5" s="3">
        <f t="shared" si="6"/>
        <v>100.77971127141441</v>
      </c>
      <c r="O5" s="3">
        <f t="shared" si="7"/>
        <v>100.00671383566595</v>
      </c>
      <c r="Q5">
        <f t="shared" si="0"/>
        <v>8.9429466666666665E-4</v>
      </c>
      <c r="R5">
        <f t="shared" si="1"/>
        <v>1.7415166666666666E-4</v>
      </c>
      <c r="T5">
        <f t="shared" si="8"/>
        <v>100.63628905047183</v>
      </c>
      <c r="U5">
        <f t="shared" si="9"/>
        <v>99.472807166342989</v>
      </c>
      <c r="W5">
        <f t="shared" si="10"/>
        <v>0.10248275790497949</v>
      </c>
      <c r="X5">
        <f t="shared" si="11"/>
        <v>0.46705937784611723</v>
      </c>
    </row>
    <row r="6" spans="1:24" x14ac:dyDescent="0.35">
      <c r="A6">
        <v>24.791399999999999</v>
      </c>
      <c r="B6">
        <v>8.3934099999999996E-4</v>
      </c>
      <c r="C6">
        <v>1.53585E-4</v>
      </c>
      <c r="D6">
        <f t="shared" si="2"/>
        <v>100.85845058321527</v>
      </c>
      <c r="E6">
        <f t="shared" si="3"/>
        <v>99.919978140370048</v>
      </c>
      <c r="G6">
        <v>8.5644400000000004E-4</v>
      </c>
      <c r="H6">
        <v>1.7835299999999999E-4</v>
      </c>
      <c r="I6">
        <f t="shared" si="4"/>
        <v>100.99325370480213</v>
      </c>
      <c r="J6">
        <f t="shared" si="5"/>
        <v>100.30086942829183</v>
      </c>
      <c r="L6" s="4">
        <v>9.9623200000000011E-4</v>
      </c>
      <c r="M6" s="4">
        <v>1.9249600000000001E-4</v>
      </c>
      <c r="N6" s="3">
        <f t="shared" si="6"/>
        <v>101.08970839975527</v>
      </c>
      <c r="O6" s="3">
        <f t="shared" si="7"/>
        <v>99.414346950369264</v>
      </c>
      <c r="Q6">
        <f t="shared" si="0"/>
        <v>8.9733900000000004E-4</v>
      </c>
      <c r="R6">
        <f t="shared" si="1"/>
        <v>1.7481133333333335E-4</v>
      </c>
      <c r="T6">
        <f t="shared" si="8"/>
        <v>100.98047089592421</v>
      </c>
      <c r="U6">
        <f t="shared" si="9"/>
        <v>99.878398173010396</v>
      </c>
      <c r="W6">
        <f t="shared" si="10"/>
        <v>9.4842306241529839E-2</v>
      </c>
      <c r="X6">
        <f t="shared" si="11"/>
        <v>0.36311356922200516</v>
      </c>
    </row>
    <row r="7" spans="1:24" x14ac:dyDescent="0.35">
      <c r="A7">
        <v>31.106999999999999</v>
      </c>
      <c r="B7">
        <v>8.4102500000000002E-4</v>
      </c>
      <c r="C7">
        <v>1.53344E-4</v>
      </c>
      <c r="D7">
        <f t="shared" si="2"/>
        <v>101.0608065157649</v>
      </c>
      <c r="E7">
        <f t="shared" si="3"/>
        <v>99.763187342233323</v>
      </c>
      <c r="G7">
        <v>8.59733E-4</v>
      </c>
      <c r="H7">
        <v>1.81831E-4</v>
      </c>
      <c r="I7">
        <f t="shared" si="4"/>
        <v>101.38109787375549</v>
      </c>
      <c r="J7">
        <f t="shared" si="5"/>
        <v>102.25680189857044</v>
      </c>
      <c r="L7" s="4">
        <v>1.0002500000000001E-3</v>
      </c>
      <c r="M7" s="4">
        <v>1.9134299999999999E-4</v>
      </c>
      <c r="N7" s="3">
        <f t="shared" si="6"/>
        <v>101.49742311716065</v>
      </c>
      <c r="O7" s="3">
        <f t="shared" si="7"/>
        <v>98.818881371688263</v>
      </c>
      <c r="Q7">
        <f t="shared" si="0"/>
        <v>9.0033600000000017E-4</v>
      </c>
      <c r="R7">
        <f t="shared" si="1"/>
        <v>1.75506E-4</v>
      </c>
      <c r="T7">
        <f t="shared" si="8"/>
        <v>101.31310916889367</v>
      </c>
      <c r="U7">
        <f t="shared" si="9"/>
        <v>100.27962353749734</v>
      </c>
      <c r="W7">
        <f t="shared" si="10"/>
        <v>0.18461737394800282</v>
      </c>
      <c r="X7">
        <f t="shared" si="11"/>
        <v>1.4502538042525628</v>
      </c>
    </row>
    <row r="8" spans="1:24" x14ac:dyDescent="0.35">
      <c r="A8">
        <v>37.192399999999999</v>
      </c>
      <c r="B8">
        <v>8.4330600000000005E-4</v>
      </c>
      <c r="C8">
        <v>1.5270600000000001E-4</v>
      </c>
      <c r="D8">
        <f t="shared" si="2"/>
        <v>101.33490027000818</v>
      </c>
      <c r="E8">
        <f t="shared" si="3"/>
        <v>99.348114606917022</v>
      </c>
      <c r="G8">
        <v>8.6044599999999995E-4</v>
      </c>
      <c r="H8">
        <v>1.7623399999999999E-4</v>
      </c>
      <c r="I8">
        <f t="shared" si="4"/>
        <v>101.4651759803118</v>
      </c>
      <c r="J8">
        <f t="shared" si="5"/>
        <v>99.10920154315086</v>
      </c>
      <c r="L8" s="4">
        <v>1.0041099999999999E-3</v>
      </c>
      <c r="M8" s="4">
        <v>1.9256899999999999E-4</v>
      </c>
      <c r="N8" s="3">
        <f t="shared" si="6"/>
        <v>101.8891052498597</v>
      </c>
      <c r="O8" s="3">
        <f t="shared" si="7"/>
        <v>99.452047719878109</v>
      </c>
      <c r="Q8">
        <f t="shared" si="0"/>
        <v>9.0262066666666667E-4</v>
      </c>
      <c r="R8">
        <f t="shared" si="1"/>
        <v>1.7383633333333331E-4</v>
      </c>
      <c r="T8">
        <f t="shared" si="8"/>
        <v>101.5630605000599</v>
      </c>
      <c r="U8">
        <f t="shared" si="9"/>
        <v>99.303121289982002</v>
      </c>
      <c r="W8">
        <f t="shared" si="10"/>
        <v>0.23660350001326658</v>
      </c>
      <c r="X8">
        <f t="shared" si="11"/>
        <v>0.14353669484545245</v>
      </c>
    </row>
    <row r="9" spans="1:24" x14ac:dyDescent="0.35">
      <c r="A9">
        <v>43.526200000000003</v>
      </c>
      <c r="B9">
        <v>8.4447999999999999E-4</v>
      </c>
      <c r="C9">
        <v>1.5195000000000001E-4</v>
      </c>
      <c r="D9">
        <f t="shared" si="2"/>
        <v>101.47597263628685</v>
      </c>
      <c r="E9">
        <f t="shared" si="3"/>
        <v>98.856272933093919</v>
      </c>
      <c r="G9">
        <v>8.6191900000000005E-4</v>
      </c>
      <c r="H9">
        <v>1.7789800000000001E-4</v>
      </c>
      <c r="I9">
        <f t="shared" si="4"/>
        <v>101.63887450900391</v>
      </c>
      <c r="J9">
        <f t="shared" si="5"/>
        <v>100.04498982105299</v>
      </c>
      <c r="L9" s="4">
        <v>1.00606E-3</v>
      </c>
      <c r="M9" s="4">
        <v>1.91449E-4</v>
      </c>
      <c r="N9" s="3">
        <f t="shared" si="6"/>
        <v>102.08697575731132</v>
      </c>
      <c r="O9" s="3">
        <f t="shared" si="7"/>
        <v>98.873624954810722</v>
      </c>
      <c r="Q9">
        <f t="shared" si="0"/>
        <v>9.0415299999999999E-4</v>
      </c>
      <c r="R9">
        <f t="shared" si="1"/>
        <v>1.7376566666666666E-4</v>
      </c>
      <c r="T9">
        <f t="shared" si="8"/>
        <v>101.73394096753402</v>
      </c>
      <c r="U9">
        <f t="shared" si="9"/>
        <v>99.258295902985878</v>
      </c>
      <c r="W9">
        <f t="shared" si="10"/>
        <v>0.25834012093685566</v>
      </c>
      <c r="X9">
        <f t="shared" si="11"/>
        <v>0.55632170771191791</v>
      </c>
    </row>
    <row r="10" spans="1:24" x14ac:dyDescent="0.35">
      <c r="A10">
        <v>49.688299999999998</v>
      </c>
      <c r="B10">
        <v>8.4721199999999997E-4</v>
      </c>
      <c r="C10">
        <v>1.5185700000000001E-4</v>
      </c>
      <c r="D10">
        <f t="shared" si="2"/>
        <v>101.80426028933051</v>
      </c>
      <c r="E10">
        <f t="shared" si="3"/>
        <v>98.795768600202976</v>
      </c>
      <c r="G10">
        <v>8.6484699999999997E-4</v>
      </c>
      <c r="H10">
        <v>1.7896200000000001E-4</v>
      </c>
      <c r="I10">
        <f t="shared" si="4"/>
        <v>101.98414897744277</v>
      </c>
      <c r="J10">
        <f t="shared" si="5"/>
        <v>100.64335444105772</v>
      </c>
      <c r="L10" s="4">
        <v>1.0096899999999999E-3</v>
      </c>
      <c r="M10" s="4">
        <v>1.89836E-4</v>
      </c>
      <c r="N10" s="3">
        <f t="shared" si="6"/>
        <v>102.4553193173366</v>
      </c>
      <c r="O10" s="3">
        <f t="shared" si="7"/>
        <v>98.040592883334199</v>
      </c>
      <c r="Q10">
        <f t="shared" si="0"/>
        <v>9.0724966666666659E-4</v>
      </c>
      <c r="R10">
        <f t="shared" si="1"/>
        <v>1.7355166666666665E-4</v>
      </c>
      <c r="T10">
        <f t="shared" si="8"/>
        <v>102.08124286136996</v>
      </c>
      <c r="U10">
        <f t="shared" si="9"/>
        <v>99.15990530819829</v>
      </c>
      <c r="W10">
        <f t="shared" si="10"/>
        <v>0.2745176147464351</v>
      </c>
      <c r="X10">
        <f t="shared" si="11"/>
        <v>1.0933247727834889</v>
      </c>
    </row>
    <row r="11" spans="1:24" x14ac:dyDescent="0.35">
      <c r="A11">
        <v>55.8005</v>
      </c>
      <c r="B11">
        <v>8.4869899999999996E-4</v>
      </c>
      <c r="C11">
        <v>1.51321E-4</v>
      </c>
      <c r="D11">
        <f t="shared" si="2"/>
        <v>101.98294394235981</v>
      </c>
      <c r="E11">
        <f t="shared" si="3"/>
        <v>98.447055455799287</v>
      </c>
      <c r="G11">
        <v>8.6593E-4</v>
      </c>
      <c r="H11">
        <v>1.78462E-4</v>
      </c>
      <c r="I11">
        <f t="shared" si="4"/>
        <v>102.11185807898624</v>
      </c>
      <c r="J11">
        <f t="shared" si="5"/>
        <v>100.36216805947656</v>
      </c>
      <c r="L11" s="4">
        <v>1.01228E-3</v>
      </c>
      <c r="M11" s="4">
        <v>1.9264999999999999E-4</v>
      </c>
      <c r="N11" s="3">
        <f t="shared" si="6"/>
        <v>102.71813194005436</v>
      </c>
      <c r="O11" s="3">
        <f t="shared" si="7"/>
        <v>99.493880080566015</v>
      </c>
      <c r="Q11">
        <f t="shared" si="0"/>
        <v>9.0896966666666667E-4</v>
      </c>
      <c r="R11">
        <f t="shared" si="1"/>
        <v>1.7414433333333334E-4</v>
      </c>
      <c r="T11">
        <f t="shared" si="8"/>
        <v>102.27097798713346</v>
      </c>
      <c r="U11">
        <f t="shared" si="9"/>
        <v>99.434367865280635</v>
      </c>
      <c r="W11">
        <f t="shared" si="10"/>
        <v>0.32053570457919145</v>
      </c>
      <c r="X11">
        <f t="shared" si="11"/>
        <v>0.78297311533965064</v>
      </c>
    </row>
    <row r="12" spans="1:24" x14ac:dyDescent="0.35">
      <c r="A12">
        <v>62.111400000000003</v>
      </c>
      <c r="B12">
        <v>8.5013000000000005E-4</v>
      </c>
      <c r="C12">
        <v>1.5173300000000001E-4</v>
      </c>
      <c r="D12">
        <f t="shared" si="2"/>
        <v>102.15489841948482</v>
      </c>
      <c r="E12">
        <f t="shared" si="3"/>
        <v>98.715096156348395</v>
      </c>
      <c r="G12">
        <v>8.6841499999999999E-4</v>
      </c>
      <c r="H12">
        <v>1.7922899999999999E-4</v>
      </c>
      <c r="I12">
        <f t="shared" si="4"/>
        <v>102.40489327504861</v>
      </c>
      <c r="J12">
        <f t="shared" si="5"/>
        <v>100.79350796882206</v>
      </c>
      <c r="L12" s="4">
        <v>1.0152200000000001E-3</v>
      </c>
      <c r="M12" s="4">
        <v>1.92697E-4</v>
      </c>
      <c r="N12" s="3">
        <f t="shared" si="6"/>
        <v>103.01645978205831</v>
      </c>
      <c r="O12" s="3">
        <f t="shared" si="7"/>
        <v>99.518153178742963</v>
      </c>
      <c r="Q12">
        <f t="shared" si="0"/>
        <v>9.1125500000000003E-4</v>
      </c>
      <c r="R12">
        <f t="shared" si="1"/>
        <v>1.7455300000000001E-4</v>
      </c>
      <c r="T12">
        <f t="shared" si="8"/>
        <v>102.5254171588639</v>
      </c>
      <c r="U12">
        <f t="shared" si="9"/>
        <v>99.675585767971143</v>
      </c>
      <c r="W12">
        <f t="shared" si="10"/>
        <v>0.36190836805036036</v>
      </c>
      <c r="X12">
        <f t="shared" si="11"/>
        <v>0.8557794422516537</v>
      </c>
    </row>
    <row r="13" spans="1:24" x14ac:dyDescent="0.35">
      <c r="A13">
        <v>68.338800000000006</v>
      </c>
      <c r="B13">
        <v>8.5203799999999995E-4</v>
      </c>
      <c r="C13">
        <v>1.51624E-4</v>
      </c>
      <c r="D13">
        <f t="shared" si="2"/>
        <v>102.38417105565148</v>
      </c>
      <c r="E13">
        <f t="shared" si="3"/>
        <v>98.644182475863317</v>
      </c>
      <c r="G13">
        <v>8.7054600000000004E-4</v>
      </c>
      <c r="H13">
        <v>1.7885399999999999E-4</v>
      </c>
      <c r="I13">
        <f t="shared" si="4"/>
        <v>102.65618422185301</v>
      </c>
      <c r="J13">
        <f t="shared" si="5"/>
        <v>100.58261818263618</v>
      </c>
      <c r="L13" s="4">
        <v>1.0173000000000001E-3</v>
      </c>
      <c r="M13" s="4">
        <v>1.90974E-4</v>
      </c>
      <c r="N13" s="3">
        <f t="shared" si="6"/>
        <v>103.22752165667337</v>
      </c>
      <c r="O13" s="3">
        <f t="shared" si="7"/>
        <v>98.628311728554465</v>
      </c>
      <c r="Q13">
        <f t="shared" si="0"/>
        <v>9.1329466666666668E-4</v>
      </c>
      <c r="R13">
        <f t="shared" si="1"/>
        <v>1.7381733333333331E-4</v>
      </c>
      <c r="T13">
        <f t="shared" si="8"/>
        <v>102.7559589780593</v>
      </c>
      <c r="U13">
        <f t="shared" si="9"/>
        <v>99.285037462351326</v>
      </c>
      <c r="W13">
        <f t="shared" si="10"/>
        <v>0.35145062293586848</v>
      </c>
      <c r="X13">
        <f t="shared" si="11"/>
        <v>0.91755100290438663</v>
      </c>
    </row>
    <row r="14" spans="1:24" x14ac:dyDescent="0.35">
      <c r="A14">
        <v>74.508499999999998</v>
      </c>
      <c r="B14">
        <v>8.5288599999999997E-4</v>
      </c>
      <c r="C14">
        <v>1.51607E-4</v>
      </c>
      <c r="D14">
        <f t="shared" si="2"/>
        <v>102.48607000505889</v>
      </c>
      <c r="E14">
        <f t="shared" si="3"/>
        <v>98.633122544044554</v>
      </c>
      <c r="G14">
        <v>8.7092199999999999E-4</v>
      </c>
      <c r="H14">
        <v>1.78617E-4</v>
      </c>
      <c r="I14">
        <f t="shared" si="4"/>
        <v>102.70052274648857</v>
      </c>
      <c r="J14">
        <f t="shared" si="5"/>
        <v>100.44933583776671</v>
      </c>
      <c r="L14" s="4">
        <v>1.0191499999999999E-3</v>
      </c>
      <c r="M14" s="4">
        <v>1.9263900000000001E-4</v>
      </c>
      <c r="N14" s="3">
        <f t="shared" si="6"/>
        <v>103.41524495861461</v>
      </c>
      <c r="O14" s="3">
        <f t="shared" si="7"/>
        <v>99.488199142694839</v>
      </c>
      <c r="Q14">
        <f t="shared" si="0"/>
        <v>9.1431933333333329E-4</v>
      </c>
      <c r="R14">
        <f t="shared" si="1"/>
        <v>1.7428766666666669E-4</v>
      </c>
      <c r="T14">
        <f t="shared" si="8"/>
        <v>102.86727923672068</v>
      </c>
      <c r="U14">
        <f t="shared" si="9"/>
        <v>99.523552508168692</v>
      </c>
      <c r="W14">
        <f t="shared" si="10"/>
        <v>0.39723823150574467</v>
      </c>
      <c r="X14">
        <f t="shared" si="11"/>
        <v>0.74188726790127091</v>
      </c>
    </row>
    <row r="15" spans="1:24" x14ac:dyDescent="0.35">
      <c r="A15">
        <v>80.784599999999998</v>
      </c>
      <c r="B15">
        <v>8.5431099999999996E-4</v>
      </c>
      <c r="C15">
        <v>1.5152899999999999E-4</v>
      </c>
      <c r="D15">
        <f t="shared" si="2"/>
        <v>102.6573034990513</v>
      </c>
      <c r="E15">
        <f t="shared" si="3"/>
        <v>98.582376974523115</v>
      </c>
      <c r="G15">
        <v>8.7451300000000005E-4</v>
      </c>
      <c r="H15">
        <v>1.81182E-4</v>
      </c>
      <c r="I15">
        <f t="shared" si="4"/>
        <v>103.12397924108012</v>
      </c>
      <c r="J15">
        <f t="shared" si="5"/>
        <v>101.89182197527809</v>
      </c>
      <c r="L15" s="4">
        <v>1.0223000000000001E-3</v>
      </c>
      <c r="M15" s="4">
        <v>1.9319300000000001E-4</v>
      </c>
      <c r="N15" s="3">
        <f t="shared" si="6"/>
        <v>103.73488193219029</v>
      </c>
      <c r="O15" s="3">
        <f t="shared" si="7"/>
        <v>99.774311831844244</v>
      </c>
      <c r="Q15">
        <f t="shared" si="0"/>
        <v>9.1704133333333322E-4</v>
      </c>
      <c r="R15">
        <f t="shared" si="1"/>
        <v>1.7530133333333334E-4</v>
      </c>
      <c r="T15">
        <f t="shared" si="8"/>
        <v>103.17205489077389</v>
      </c>
      <c r="U15">
        <f t="shared" si="9"/>
        <v>100.08283692721515</v>
      </c>
      <c r="W15">
        <f t="shared" si="10"/>
        <v>0.44123105886574715</v>
      </c>
      <c r="X15">
        <f t="shared" si="11"/>
        <v>1.368575257731131</v>
      </c>
    </row>
    <row r="16" spans="1:24" x14ac:dyDescent="0.35">
      <c r="A16">
        <v>86.936599999999999</v>
      </c>
      <c r="B16">
        <v>8.5578599999999998E-4</v>
      </c>
      <c r="C16">
        <v>1.5106599999999999E-4</v>
      </c>
      <c r="D16">
        <f t="shared" si="2"/>
        <v>102.83454518581539</v>
      </c>
      <c r="E16">
        <f t="shared" si="3"/>
        <v>98.281156478517701</v>
      </c>
      <c r="G16">
        <v>8.7575800000000003E-4</v>
      </c>
      <c r="H16">
        <v>1.7842499999999999E-4</v>
      </c>
      <c r="I16">
        <f t="shared" si="4"/>
        <v>103.27079164313149</v>
      </c>
      <c r="J16">
        <f t="shared" si="5"/>
        <v>100.34136026723952</v>
      </c>
      <c r="L16" s="4">
        <v>1.02417E-3</v>
      </c>
      <c r="M16" s="4">
        <v>1.9325500000000001E-4</v>
      </c>
      <c r="N16" s="3">
        <f t="shared" si="6"/>
        <v>103.92463467523361</v>
      </c>
      <c r="O16" s="3">
        <f t="shared" si="7"/>
        <v>99.806331663481899</v>
      </c>
      <c r="Q16">
        <f t="shared" si="0"/>
        <v>9.1857133333333345E-4</v>
      </c>
      <c r="R16">
        <f t="shared" si="1"/>
        <v>1.7424866666666667E-4</v>
      </c>
      <c r="T16">
        <f t="shared" si="8"/>
        <v>103.34332383472683</v>
      </c>
      <c r="U16">
        <f t="shared" si="9"/>
        <v>99.476282803079698</v>
      </c>
      <c r="W16">
        <f t="shared" si="10"/>
        <v>0.44797281379434573</v>
      </c>
      <c r="X16">
        <f t="shared" si="11"/>
        <v>0.87285321425599227</v>
      </c>
    </row>
    <row r="17" spans="1:24" x14ac:dyDescent="0.35">
      <c r="A17">
        <v>93.113100000000003</v>
      </c>
      <c r="B17">
        <v>8.5646699999999997E-4</v>
      </c>
      <c r="C17">
        <v>1.5081799999999999E-4</v>
      </c>
      <c r="D17">
        <f t="shared" si="2"/>
        <v>102.91637677136542</v>
      </c>
      <c r="E17">
        <f t="shared" si="3"/>
        <v>98.119811590808538</v>
      </c>
      <c r="G17">
        <v>8.7598500000000002E-4</v>
      </c>
      <c r="H17">
        <v>1.7787E-4</v>
      </c>
      <c r="I17">
        <f t="shared" si="4"/>
        <v>103.29755984816413</v>
      </c>
      <c r="J17">
        <f t="shared" si="5"/>
        <v>100.02924338368445</v>
      </c>
      <c r="L17" s="4">
        <v>1.0266800000000001E-3</v>
      </c>
      <c r="M17" s="4">
        <v>1.9308699999999999E-4</v>
      </c>
      <c r="N17" s="3">
        <f t="shared" si="6"/>
        <v>104.17932953354313</v>
      </c>
      <c r="O17" s="3">
        <f t="shared" si="7"/>
        <v>99.719568248721785</v>
      </c>
      <c r="Q17">
        <f t="shared" si="0"/>
        <v>9.1971066666666666E-4</v>
      </c>
      <c r="R17">
        <f t="shared" si="1"/>
        <v>1.7392499999999999E-4</v>
      </c>
      <c r="T17">
        <f t="shared" si="8"/>
        <v>103.46442205102421</v>
      </c>
      <c r="U17">
        <f t="shared" si="9"/>
        <v>99.289541074404909</v>
      </c>
      <c r="W17">
        <f t="shared" si="10"/>
        <v>0.52892637542514143</v>
      </c>
      <c r="X17">
        <f t="shared" si="11"/>
        <v>0.83672973370518866</v>
      </c>
    </row>
    <row r="18" spans="1:24" x14ac:dyDescent="0.35">
      <c r="A18">
        <v>99.351399999999998</v>
      </c>
      <c r="B18">
        <v>8.5779699999999999E-4</v>
      </c>
      <c r="C18">
        <v>1.5087799999999999E-4</v>
      </c>
      <c r="D18">
        <f t="shared" si="2"/>
        <v>103.07619469909169</v>
      </c>
      <c r="E18">
        <f t="shared" si="3"/>
        <v>98.158846644286555</v>
      </c>
      <c r="G18">
        <v>8.7841700000000004E-4</v>
      </c>
      <c r="H18">
        <v>1.75286E-4</v>
      </c>
      <c r="I18">
        <f t="shared" si="4"/>
        <v>103.58434519899862</v>
      </c>
      <c r="J18">
        <f t="shared" si="5"/>
        <v>98.576072163672961</v>
      </c>
      <c r="L18" s="4">
        <v>1.02855E-3</v>
      </c>
      <c r="M18" s="4">
        <v>1.92766E-4</v>
      </c>
      <c r="N18" s="3">
        <f t="shared" si="6"/>
        <v>104.36908227658644</v>
      </c>
      <c r="O18" s="3">
        <f t="shared" si="7"/>
        <v>99.553788152662293</v>
      </c>
      <c r="Q18">
        <f t="shared" si="0"/>
        <v>9.2158800000000009E-4</v>
      </c>
      <c r="R18">
        <f t="shared" si="1"/>
        <v>1.7297666666666667E-4</v>
      </c>
      <c r="T18">
        <f t="shared" si="8"/>
        <v>103.67654072489223</v>
      </c>
      <c r="U18">
        <f t="shared" si="9"/>
        <v>98.76290232020726</v>
      </c>
      <c r="W18">
        <f t="shared" si="10"/>
        <v>0.53182991219384212</v>
      </c>
      <c r="X18">
        <f t="shared" si="11"/>
        <v>0.58460504245195033</v>
      </c>
    </row>
    <row r="19" spans="1:24" x14ac:dyDescent="0.35">
      <c r="A19">
        <v>105.571</v>
      </c>
      <c r="B19">
        <v>8.5913600000000004E-4</v>
      </c>
      <c r="C19">
        <v>1.50624E-4</v>
      </c>
      <c r="D19">
        <f t="shared" si="2"/>
        <v>103.23709410151682</v>
      </c>
      <c r="E19">
        <f t="shared" si="3"/>
        <v>97.993598251229599</v>
      </c>
      <c r="G19">
        <v>8.8060799999999996E-4</v>
      </c>
      <c r="H19">
        <v>1.81726E-4</v>
      </c>
      <c r="I19">
        <f t="shared" si="4"/>
        <v>103.84271144228738</v>
      </c>
      <c r="J19">
        <f t="shared" si="5"/>
        <v>102.19775275843841</v>
      </c>
      <c r="L19" s="4">
        <v>1.0311599999999999E-3</v>
      </c>
      <c r="M19" s="4">
        <v>1.9521600000000001E-4</v>
      </c>
      <c r="N19" s="3">
        <f t="shared" si="6"/>
        <v>104.63392434040625</v>
      </c>
      <c r="O19" s="3">
        <f t="shared" si="7"/>
        <v>100.81908795124723</v>
      </c>
      <c r="Q19">
        <f t="shared" si="0"/>
        <v>9.2363466666666675E-4</v>
      </c>
      <c r="R19">
        <f t="shared" si="1"/>
        <v>1.7585533333333334E-4</v>
      </c>
      <c r="T19">
        <f t="shared" si="8"/>
        <v>103.90457662807016</v>
      </c>
      <c r="U19">
        <f t="shared" si="9"/>
        <v>100.33681298697174</v>
      </c>
      <c r="W19">
        <f t="shared" si="10"/>
        <v>0.57192899033471623</v>
      </c>
      <c r="X19">
        <f t="shared" si="11"/>
        <v>1.7498896414719471</v>
      </c>
    </row>
    <row r="20" spans="1:24" x14ac:dyDescent="0.35">
      <c r="A20">
        <v>111.708</v>
      </c>
      <c r="B20">
        <v>8.5977500000000001E-4</v>
      </c>
      <c r="C20">
        <v>1.51001E-4</v>
      </c>
      <c r="D20">
        <f t="shared" si="2"/>
        <v>103.3138788051387</v>
      </c>
      <c r="E20">
        <f t="shared" si="3"/>
        <v>98.238868503916507</v>
      </c>
      <c r="G20">
        <v>8.8170200000000005E-4</v>
      </c>
      <c r="H20">
        <v>1.8029499999999999E-4</v>
      </c>
      <c r="I20">
        <f t="shared" si="4"/>
        <v>103.97171768151969</v>
      </c>
      <c r="J20">
        <f t="shared" si="5"/>
        <v>101.3929973343531</v>
      </c>
      <c r="L20" s="4">
        <v>1.03243E-3</v>
      </c>
      <c r="M20" s="4">
        <v>1.9498399999999999E-4</v>
      </c>
      <c r="N20" s="3">
        <f t="shared" si="6"/>
        <v>104.76279385038755</v>
      </c>
      <c r="O20" s="3">
        <f t="shared" si="7"/>
        <v>100.69927180705469</v>
      </c>
      <c r="Q20">
        <f t="shared" si="0"/>
        <v>9.2463566666666668E-4</v>
      </c>
      <c r="R20">
        <f t="shared" si="1"/>
        <v>1.7542666666666668E-4</v>
      </c>
      <c r="T20">
        <f t="shared" si="8"/>
        <v>104.01613011234865</v>
      </c>
      <c r="U20">
        <f t="shared" si="9"/>
        <v>100.1103792151081</v>
      </c>
      <c r="W20">
        <f t="shared" si="10"/>
        <v>0.59235014988108969</v>
      </c>
      <c r="X20">
        <f t="shared" si="11"/>
        <v>1.3533238177132632</v>
      </c>
    </row>
    <row r="21" spans="1:24" x14ac:dyDescent="0.35">
      <c r="A21">
        <v>118.009</v>
      </c>
      <c r="B21">
        <v>8.6090099999999996E-4</v>
      </c>
      <c r="C21">
        <v>1.5061799999999999E-4</v>
      </c>
      <c r="D21">
        <f t="shared" si="2"/>
        <v>103.44918330635655</v>
      </c>
      <c r="E21">
        <f t="shared" si="3"/>
        <v>97.989694745881778</v>
      </c>
      <c r="G21">
        <v>8.8433299999999995E-4</v>
      </c>
      <c r="H21">
        <v>1.8274200000000001E-4</v>
      </c>
      <c r="I21">
        <f t="shared" si="4"/>
        <v>104.28196943236074</v>
      </c>
      <c r="J21">
        <f t="shared" si="5"/>
        <v>102.76912348581133</v>
      </c>
      <c r="L21" s="4">
        <v>1.0349199999999999E-3</v>
      </c>
      <c r="M21" s="4">
        <v>1.9213300000000001E-4</v>
      </c>
      <c r="N21" s="3">
        <f t="shared" si="6"/>
        <v>105.01545926759499</v>
      </c>
      <c r="O21" s="3">
        <f t="shared" si="7"/>
        <v>99.22687600061974</v>
      </c>
      <c r="Q21">
        <f t="shared" si="0"/>
        <v>9.2671799999999999E-4</v>
      </c>
      <c r="R21">
        <f t="shared" si="1"/>
        <v>1.7516433333333335E-4</v>
      </c>
      <c r="T21">
        <f t="shared" si="8"/>
        <v>104.24887066877075</v>
      </c>
      <c r="U21">
        <f t="shared" si="9"/>
        <v>99.995231410770955</v>
      </c>
      <c r="W21">
        <f t="shared" si="10"/>
        <v>0.63985766271452582</v>
      </c>
      <c r="X21">
        <f t="shared" si="11"/>
        <v>2.025423790592582</v>
      </c>
    </row>
    <row r="22" spans="1:24" x14ac:dyDescent="0.35">
      <c r="A22">
        <v>124.221</v>
      </c>
      <c r="B22">
        <v>8.629E-4</v>
      </c>
      <c r="C22">
        <v>1.5034400000000001E-4</v>
      </c>
      <c r="D22">
        <f t="shared" si="2"/>
        <v>103.68939085336766</v>
      </c>
      <c r="E22">
        <f t="shared" si="3"/>
        <v>97.811434668332168</v>
      </c>
      <c r="G22">
        <v>8.8482299999999997E-4</v>
      </c>
      <c r="H22">
        <v>1.7921199999999999E-4</v>
      </c>
      <c r="I22">
        <f t="shared" si="4"/>
        <v>104.33975102031671</v>
      </c>
      <c r="J22">
        <f t="shared" si="5"/>
        <v>100.78394763184828</v>
      </c>
      <c r="L22" s="4">
        <v>1.0372300000000001E-3</v>
      </c>
      <c r="M22" s="4">
        <v>1.9428199999999999E-4</v>
      </c>
      <c r="N22" s="3">
        <f t="shared" si="6"/>
        <v>105.24985971488383</v>
      </c>
      <c r="O22" s="3">
        <f t="shared" si="7"/>
        <v>100.3367246810928</v>
      </c>
      <c r="Q22">
        <f t="shared" si="0"/>
        <v>9.2831766666666676E-4</v>
      </c>
      <c r="R22">
        <f t="shared" si="1"/>
        <v>1.7461266666666666E-4</v>
      </c>
      <c r="T22">
        <f t="shared" si="8"/>
        <v>104.42633386285605</v>
      </c>
      <c r="U22">
        <f t="shared" si="9"/>
        <v>99.644035660424422</v>
      </c>
      <c r="W22">
        <f t="shared" si="10"/>
        <v>0.63999385851586588</v>
      </c>
      <c r="X22">
        <f t="shared" si="11"/>
        <v>1.3086435443067828</v>
      </c>
    </row>
    <row r="23" spans="1:24" x14ac:dyDescent="0.35">
      <c r="A23">
        <v>130.28700000000001</v>
      </c>
      <c r="B23">
        <v>8.6353199999999997E-4</v>
      </c>
      <c r="C23">
        <v>1.50841E-4</v>
      </c>
      <c r="D23">
        <f t="shared" si="2"/>
        <v>103.76533441000146</v>
      </c>
      <c r="E23">
        <f t="shared" si="3"/>
        <v>98.134775027975124</v>
      </c>
      <c r="G23">
        <v>8.8738E-4</v>
      </c>
      <c r="H23">
        <v>1.83821E-4</v>
      </c>
      <c r="I23">
        <f t="shared" si="4"/>
        <v>104.64127657216036</v>
      </c>
      <c r="J23">
        <f t="shared" si="5"/>
        <v>103.37592369726349</v>
      </c>
      <c r="L23" s="4">
        <v>1.0379E-3</v>
      </c>
      <c r="M23" s="4">
        <v>1.88316E-4</v>
      </c>
      <c r="N23" s="3">
        <f t="shared" si="6"/>
        <v>105.3178459918031</v>
      </c>
      <c r="O23" s="3">
        <f t="shared" si="7"/>
        <v>97.255590559314157</v>
      </c>
      <c r="Q23">
        <f t="shared" si="0"/>
        <v>9.29604E-4</v>
      </c>
      <c r="R23">
        <f t="shared" si="1"/>
        <v>1.7432600000000001E-4</v>
      </c>
      <c r="T23">
        <f t="shared" si="8"/>
        <v>104.57481899132165</v>
      </c>
      <c r="U23">
        <f t="shared" si="9"/>
        <v>99.588763094850933</v>
      </c>
      <c r="W23">
        <f t="shared" si="10"/>
        <v>0.63554989861550004</v>
      </c>
      <c r="X23">
        <f t="shared" si="11"/>
        <v>2.7018734739476722</v>
      </c>
    </row>
    <row r="24" spans="1:24" x14ac:dyDescent="0.35">
      <c r="A24">
        <v>136.62799999999999</v>
      </c>
      <c r="B24">
        <v>8.6462300000000002E-4</v>
      </c>
      <c r="C24">
        <v>1.5037699999999999E-4</v>
      </c>
      <c r="D24">
        <f t="shared" si="2"/>
        <v>103.89643317627917</v>
      </c>
      <c r="E24">
        <f t="shared" si="3"/>
        <v>97.832903947745052</v>
      </c>
      <c r="G24">
        <v>8.8798399999999997E-4</v>
      </c>
      <c r="H24">
        <v>1.8364299999999999E-4</v>
      </c>
      <c r="I24">
        <f t="shared" si="4"/>
        <v>104.71250122343667</v>
      </c>
      <c r="J24">
        <f t="shared" si="5"/>
        <v>103.2758213454206</v>
      </c>
      <c r="L24" s="4">
        <v>1.04112E-3</v>
      </c>
      <c r="M24" s="4">
        <v>1.8441200000000001E-4</v>
      </c>
      <c r="N24" s="3">
        <f t="shared" si="6"/>
        <v>105.64458600923598</v>
      </c>
      <c r="O24" s="3">
        <f t="shared" si="7"/>
        <v>95.239374063936381</v>
      </c>
      <c r="Q24">
        <f t="shared" si="0"/>
        <v>9.3124233333333336E-4</v>
      </c>
      <c r="R24">
        <f t="shared" si="1"/>
        <v>1.7281066666666666E-4</v>
      </c>
      <c r="T24">
        <f t="shared" si="8"/>
        <v>104.75117346965061</v>
      </c>
      <c r="U24">
        <f t="shared" si="9"/>
        <v>98.782699785700686</v>
      </c>
      <c r="W24">
        <f t="shared" si="10"/>
        <v>0.71420409725985612</v>
      </c>
      <c r="X24">
        <f t="shared" si="11"/>
        <v>3.3489008472798081</v>
      </c>
    </row>
    <row r="25" spans="1:24" x14ac:dyDescent="0.35">
      <c r="A25">
        <v>142.79400000000001</v>
      </c>
      <c r="B25">
        <v>8.6564699999999999E-4</v>
      </c>
      <c r="C25">
        <v>1.5081599999999999E-4</v>
      </c>
      <c r="D25">
        <f t="shared" si="2"/>
        <v>104.01948096424283</v>
      </c>
      <c r="E25">
        <f t="shared" si="3"/>
        <v>98.118510422359265</v>
      </c>
      <c r="G25">
        <v>8.9032800000000002E-4</v>
      </c>
      <c r="H25">
        <v>1.8311600000000001E-4</v>
      </c>
      <c r="I25">
        <f t="shared" si="4"/>
        <v>104.9889094727607</v>
      </c>
      <c r="J25">
        <f t="shared" si="5"/>
        <v>102.97945089923405</v>
      </c>
      <c r="L25" s="4">
        <v>1.04141E-3</v>
      </c>
      <c r="M25" s="4">
        <v>1.87944E-4</v>
      </c>
      <c r="N25" s="3">
        <f t="shared" si="6"/>
        <v>105.67401290521596</v>
      </c>
      <c r="O25" s="3">
        <f t="shared" si="7"/>
        <v>97.0634715694882</v>
      </c>
      <c r="Q25">
        <f t="shared" si="0"/>
        <v>9.3246166666666663E-4</v>
      </c>
      <c r="R25">
        <f t="shared" si="1"/>
        <v>1.7395866666666666E-4</v>
      </c>
      <c r="T25">
        <f t="shared" si="8"/>
        <v>104.89413444740649</v>
      </c>
      <c r="U25">
        <f t="shared" si="9"/>
        <v>99.387144297027177</v>
      </c>
      <c r="W25">
        <f t="shared" si="10"/>
        <v>0.67877621005170985</v>
      </c>
      <c r="X25">
        <f t="shared" si="11"/>
        <v>2.5764027620516718</v>
      </c>
    </row>
    <row r="26" spans="1:24" x14ac:dyDescent="0.35">
      <c r="A26">
        <v>149.03399999999999</v>
      </c>
      <c r="B26">
        <v>8.6651199999999995E-4</v>
      </c>
      <c r="C26">
        <v>1.4993100000000001E-4</v>
      </c>
      <c r="D26">
        <f t="shared" si="2"/>
        <v>104.12342269919262</v>
      </c>
      <c r="E26">
        <f t="shared" si="3"/>
        <v>97.542743383558445</v>
      </c>
      <c r="G26">
        <v>8.9110800000000005E-4</v>
      </c>
      <c r="H26">
        <v>1.84334E-4</v>
      </c>
      <c r="I26">
        <f t="shared" si="4"/>
        <v>105.08088832705793</v>
      </c>
      <c r="J26">
        <f t="shared" si="5"/>
        <v>103.66442092476578</v>
      </c>
      <c r="L26" s="4">
        <v>1.0430400000000001E-3</v>
      </c>
      <c r="M26" s="4">
        <v>1.9086099999999999E-4</v>
      </c>
      <c r="N26" s="3">
        <f t="shared" si="6"/>
        <v>105.83941235503448</v>
      </c>
      <c r="O26" s="3">
        <f t="shared" si="7"/>
        <v>98.569953003150331</v>
      </c>
      <c r="Q26">
        <f t="shared" si="0"/>
        <v>9.3355333333333332E-4</v>
      </c>
      <c r="R26">
        <f t="shared" si="1"/>
        <v>1.7504200000000001E-4</v>
      </c>
      <c r="T26">
        <f t="shared" si="8"/>
        <v>105.01457446042834</v>
      </c>
      <c r="U26">
        <f t="shared" si="9"/>
        <v>99.925705770491518</v>
      </c>
      <c r="W26">
        <f t="shared" si="10"/>
        <v>0.70211740301253389</v>
      </c>
      <c r="X26">
        <f t="shared" si="11"/>
        <v>2.6767247591345074</v>
      </c>
    </row>
    <row r="27" spans="1:24" x14ac:dyDescent="0.35">
      <c r="A27">
        <v>155.125</v>
      </c>
      <c r="B27">
        <v>8.6718299999999999E-4</v>
      </c>
      <c r="C27">
        <v>1.5008400000000001E-4</v>
      </c>
      <c r="D27">
        <f t="shared" si="2"/>
        <v>104.20405264618834</v>
      </c>
      <c r="E27">
        <f t="shared" si="3"/>
        <v>97.642282769927391</v>
      </c>
      <c r="G27">
        <v>8.9222399999999995E-4</v>
      </c>
      <c r="H27">
        <v>1.85451E-4</v>
      </c>
      <c r="I27">
        <f t="shared" si="4"/>
        <v>105.21248884166783</v>
      </c>
      <c r="J27">
        <f t="shared" si="5"/>
        <v>104.29259130121811</v>
      </c>
      <c r="L27" s="4">
        <v>1.04604E-3</v>
      </c>
      <c r="M27" s="4">
        <v>1.89478E-4</v>
      </c>
      <c r="N27" s="3">
        <f t="shared" si="6"/>
        <v>106.14382852034463</v>
      </c>
      <c r="O27" s="3">
        <f t="shared" si="7"/>
        <v>97.855704178071576</v>
      </c>
      <c r="Q27">
        <f t="shared" si="0"/>
        <v>9.3514900000000003E-4</v>
      </c>
      <c r="R27">
        <f t="shared" si="1"/>
        <v>1.7500433333333333E-4</v>
      </c>
      <c r="T27">
        <f t="shared" si="8"/>
        <v>105.18679000273362</v>
      </c>
      <c r="U27">
        <f t="shared" si="9"/>
        <v>99.930192749739021</v>
      </c>
      <c r="W27">
        <f t="shared" si="10"/>
        <v>0.7921186498800199</v>
      </c>
      <c r="X27">
        <f t="shared" si="11"/>
        <v>3.0859118604634697</v>
      </c>
    </row>
    <row r="28" spans="1:24" x14ac:dyDescent="0.35">
      <c r="A28">
        <v>161.47300000000001</v>
      </c>
      <c r="B28">
        <v>8.6801999999999995E-4</v>
      </c>
      <c r="C28">
        <v>1.50517E-4</v>
      </c>
      <c r="D28">
        <f t="shared" si="2"/>
        <v>104.30462979318598</v>
      </c>
      <c r="E28">
        <f t="shared" si="3"/>
        <v>97.923985739193782</v>
      </c>
      <c r="G28">
        <v>8.9466999999999997E-4</v>
      </c>
      <c r="H28">
        <v>1.84897E-4</v>
      </c>
      <c r="I28">
        <f t="shared" si="4"/>
        <v>105.50092509501535</v>
      </c>
      <c r="J28">
        <f t="shared" si="5"/>
        <v>103.98103679042616</v>
      </c>
      <c r="L28" s="4">
        <v>1.04703E-3</v>
      </c>
      <c r="M28" s="4">
        <v>1.9149E-4</v>
      </c>
      <c r="N28" s="3">
        <f t="shared" si="6"/>
        <v>106.24428585489699</v>
      </c>
      <c r="O28" s="3">
        <f t="shared" si="7"/>
        <v>98.894799359603368</v>
      </c>
      <c r="Q28">
        <f t="shared" si="0"/>
        <v>9.3657333333333327E-4</v>
      </c>
      <c r="R28">
        <f t="shared" si="1"/>
        <v>1.7563466666666667E-4</v>
      </c>
      <c r="T28">
        <f t="shared" si="8"/>
        <v>105.34994691436611</v>
      </c>
      <c r="U28">
        <f t="shared" si="9"/>
        <v>100.26660729640777</v>
      </c>
      <c r="W28">
        <f t="shared" si="10"/>
        <v>0.79902533030652545</v>
      </c>
      <c r="X28">
        <f t="shared" si="11"/>
        <v>2.656232873942403</v>
      </c>
    </row>
    <row r="29" spans="1:24" x14ac:dyDescent="0.35">
      <c r="A29">
        <v>167.614</v>
      </c>
      <c r="B29">
        <v>8.6937400000000001E-4</v>
      </c>
      <c r="C29">
        <v>1.5033900000000001E-4</v>
      </c>
      <c r="D29">
        <f t="shared" si="2"/>
        <v>104.46733165344264</v>
      </c>
      <c r="E29">
        <f t="shared" si="3"/>
        <v>97.808181747208991</v>
      </c>
      <c r="G29">
        <v>8.9635699999999997E-4</v>
      </c>
      <c r="H29">
        <v>1.84391E-4</v>
      </c>
      <c r="I29">
        <f t="shared" si="4"/>
        <v>105.69985884783513</v>
      </c>
      <c r="J29">
        <f t="shared" si="5"/>
        <v>103.69647617226603</v>
      </c>
      <c r="L29" s="4">
        <v>1.04951E-3</v>
      </c>
      <c r="M29" s="4">
        <v>1.8834599999999999E-4</v>
      </c>
      <c r="N29" s="3">
        <f t="shared" si="6"/>
        <v>106.49593655155338</v>
      </c>
      <c r="O29" s="3">
        <f t="shared" si="7"/>
        <v>97.271084026235599</v>
      </c>
      <c r="Q29">
        <f t="shared" si="0"/>
        <v>9.3841366666666667E-4</v>
      </c>
      <c r="R29">
        <f t="shared" si="1"/>
        <v>1.7435866666666664E-4</v>
      </c>
      <c r="T29">
        <f t="shared" si="8"/>
        <v>105.55437568427705</v>
      </c>
      <c r="U29">
        <f t="shared" si="9"/>
        <v>99.591913981903531</v>
      </c>
      <c r="W29">
        <f t="shared" si="10"/>
        <v>0.83453918275052619</v>
      </c>
      <c r="X29">
        <f t="shared" si="11"/>
        <v>2.9106347041362763</v>
      </c>
    </row>
    <row r="30" spans="1:24" x14ac:dyDescent="0.35">
      <c r="A30">
        <v>173.85</v>
      </c>
      <c r="B30">
        <v>8.7042599999999999E-4</v>
      </c>
      <c r="C30">
        <v>1.5082800000000001E-4</v>
      </c>
      <c r="D30">
        <f t="shared" si="2"/>
        <v>104.59374402935843</v>
      </c>
      <c r="E30">
        <f t="shared" si="3"/>
        <v>98.126317433054894</v>
      </c>
      <c r="G30">
        <v>8.9627399999999996E-4</v>
      </c>
      <c r="H30">
        <v>1.83857E-4</v>
      </c>
      <c r="I30">
        <f t="shared" si="4"/>
        <v>105.69007135436503</v>
      </c>
      <c r="J30">
        <f t="shared" si="5"/>
        <v>103.39616911673734</v>
      </c>
      <c r="L30" s="4">
        <v>1.05116E-3</v>
      </c>
      <c r="M30" s="4">
        <v>1.8823000000000001E-4</v>
      </c>
      <c r="N30" s="3">
        <f t="shared" si="6"/>
        <v>106.66336544247397</v>
      </c>
      <c r="O30" s="3">
        <f t="shared" si="7"/>
        <v>97.211175954139335</v>
      </c>
      <c r="Q30">
        <f t="shared" si="0"/>
        <v>9.3928666666666675E-4</v>
      </c>
      <c r="R30">
        <f t="shared" si="1"/>
        <v>1.7430500000000003E-4</v>
      </c>
      <c r="T30">
        <f t="shared" si="8"/>
        <v>105.64906027539915</v>
      </c>
      <c r="U30">
        <f t="shared" si="9"/>
        <v>99.577887501310514</v>
      </c>
      <c r="W30">
        <f t="shared" si="10"/>
        <v>0.84541691090059323</v>
      </c>
      <c r="X30">
        <f t="shared" si="11"/>
        <v>2.7256591683037894</v>
      </c>
    </row>
    <row r="31" spans="1:24" x14ac:dyDescent="0.35">
      <c r="A31">
        <v>179.93600000000001</v>
      </c>
      <c r="B31">
        <v>8.7092400000000003E-4</v>
      </c>
      <c r="C31">
        <v>1.5081099999999999E-4</v>
      </c>
      <c r="D31">
        <f t="shared" si="2"/>
        <v>104.6535856293642</v>
      </c>
      <c r="E31">
        <f t="shared" si="3"/>
        <v>98.115257501236101</v>
      </c>
      <c r="G31">
        <v>8.9853000000000003E-4</v>
      </c>
      <c r="H31">
        <v>1.85372E-4</v>
      </c>
      <c r="I31">
        <f t="shared" si="4"/>
        <v>105.9561025021786</v>
      </c>
      <c r="J31">
        <f t="shared" si="5"/>
        <v>104.24816385292827</v>
      </c>
      <c r="L31" s="4">
        <v>1.05378E-3</v>
      </c>
      <c r="M31" s="4">
        <v>1.99089E-4</v>
      </c>
      <c r="N31" s="3">
        <f t="shared" si="6"/>
        <v>106.92922222684484</v>
      </c>
      <c r="O31" s="3">
        <f t="shared" si="7"/>
        <v>102.81929453080619</v>
      </c>
      <c r="Q31">
        <f t="shared" si="0"/>
        <v>9.4107800000000003E-4</v>
      </c>
      <c r="R31">
        <f t="shared" si="1"/>
        <v>1.7842400000000003E-4</v>
      </c>
      <c r="T31">
        <f t="shared" si="8"/>
        <v>105.84630345279588</v>
      </c>
      <c r="U31">
        <f t="shared" si="9"/>
        <v>101.72757196165685</v>
      </c>
      <c r="W31">
        <f t="shared" si="10"/>
        <v>0.93226332273749379</v>
      </c>
      <c r="X31">
        <f t="shared" si="11"/>
        <v>2.6200545421357244</v>
      </c>
    </row>
    <row r="32" spans="1:24" x14ac:dyDescent="0.35">
      <c r="A32">
        <v>193.119</v>
      </c>
      <c r="B32">
        <v>1.49034E-6</v>
      </c>
      <c r="C32">
        <v>2.3490699999999999E-5</v>
      </c>
      <c r="D32">
        <f t="shared" si="2"/>
        <v>0.17908500030641783</v>
      </c>
      <c r="E32">
        <f t="shared" si="3"/>
        <v>15.282678845603352</v>
      </c>
      <c r="G32">
        <v>1.5582200000000001E-6</v>
      </c>
      <c r="H32">
        <v>2.43445E-5</v>
      </c>
      <c r="I32">
        <f t="shared" si="4"/>
        <v>0.18374780813210995</v>
      </c>
      <c r="J32">
        <f t="shared" si="5"/>
        <v>13.690683732805454</v>
      </c>
      <c r="L32" s="4">
        <v>1.34855E-6</v>
      </c>
      <c r="M32" s="4">
        <v>2.79135E-5</v>
      </c>
      <c r="N32" s="3">
        <f t="shared" si="6"/>
        <v>0.13684013990966959</v>
      </c>
      <c r="O32" s="3">
        <f t="shared" si="7"/>
        <v>14.415896297061407</v>
      </c>
      <c r="Q32">
        <f t="shared" si="0"/>
        <v>1.4657033333333332E-6</v>
      </c>
      <c r="R32">
        <f t="shared" si="1"/>
        <v>2.5249566666666666E-5</v>
      </c>
      <c r="T32">
        <f t="shared" si="8"/>
        <v>0.16655764944939913</v>
      </c>
      <c r="U32">
        <f t="shared" si="9"/>
        <v>14.463086291823403</v>
      </c>
      <c r="W32">
        <f t="shared" si="10"/>
        <v>2.109949800568367E-2</v>
      </c>
      <c r="X32">
        <f t="shared" si="11"/>
        <v>0.65078531098836068</v>
      </c>
    </row>
    <row r="33" spans="1:24" x14ac:dyDescent="0.35">
      <c r="A33">
        <v>199.374</v>
      </c>
      <c r="B33">
        <v>1.4651200000000001E-6</v>
      </c>
      <c r="C33">
        <v>2.33182E-5</v>
      </c>
      <c r="D33">
        <f t="shared" si="2"/>
        <v>0.17605446787239079</v>
      </c>
      <c r="E33">
        <f t="shared" si="3"/>
        <v>15.170453066854034</v>
      </c>
      <c r="G33">
        <v>1.54243E-6</v>
      </c>
      <c r="H33">
        <v>2.4242600000000001E-5</v>
      </c>
      <c r="I33">
        <f t="shared" si="4"/>
        <v>0.18188582594063119</v>
      </c>
      <c r="J33">
        <f t="shared" si="5"/>
        <v>13.633377948239211</v>
      </c>
      <c r="L33" s="4">
        <v>1.30672E-6</v>
      </c>
      <c r="M33" s="4">
        <v>2.7848399999999999E-5</v>
      </c>
      <c r="N33" s="3">
        <f t="shared" si="6"/>
        <v>0.13259556384469498</v>
      </c>
      <c r="O33" s="3">
        <f t="shared" si="7"/>
        <v>14.382275473841863</v>
      </c>
      <c r="Q33">
        <f t="shared" si="0"/>
        <v>1.43809E-6</v>
      </c>
      <c r="R33">
        <f t="shared" si="1"/>
        <v>2.5136399999999999E-5</v>
      </c>
      <c r="T33">
        <f t="shared" si="8"/>
        <v>0.16351195255257231</v>
      </c>
      <c r="U33">
        <f t="shared" si="9"/>
        <v>14.395368829645037</v>
      </c>
      <c r="W33">
        <f t="shared" si="10"/>
        <v>2.1990429771189736E-2</v>
      </c>
      <c r="X33">
        <f t="shared" si="11"/>
        <v>0.62757658605189859</v>
      </c>
    </row>
    <row r="34" spans="1:24" x14ac:dyDescent="0.35">
      <c r="A34">
        <v>205.643</v>
      </c>
      <c r="B34">
        <v>1.43634E-6</v>
      </c>
      <c r="C34">
        <v>2.3113400000000001E-5</v>
      </c>
      <c r="D34">
        <f t="shared" si="2"/>
        <v>0.17259615211302129</v>
      </c>
      <c r="E34">
        <f t="shared" si="3"/>
        <v>15.037213417649047</v>
      </c>
      <c r="G34">
        <v>1.5121600000000001E-6</v>
      </c>
      <c r="H34">
        <v>2.4051400000000002E-5</v>
      </c>
      <c r="I34">
        <f t="shared" si="4"/>
        <v>0.17831633886424983</v>
      </c>
      <c r="J34">
        <f t="shared" si="5"/>
        <v>13.525852275922572</v>
      </c>
      <c r="L34" s="4">
        <v>1.28761E-6</v>
      </c>
      <c r="M34" s="4">
        <v>2.7644299999999999E-5</v>
      </c>
      <c r="N34" s="3">
        <f t="shared" si="6"/>
        <v>0.13065643287166931</v>
      </c>
      <c r="O34" s="3">
        <f t="shared" si="7"/>
        <v>14.276868253886278</v>
      </c>
      <c r="Q34">
        <f t="shared" si="0"/>
        <v>1.4120366666666666E-6</v>
      </c>
      <c r="R34">
        <f t="shared" si="1"/>
        <v>2.4936366666666667E-5</v>
      </c>
      <c r="T34">
        <f t="shared" si="8"/>
        <v>0.16052297461631349</v>
      </c>
      <c r="U34">
        <f t="shared" si="9"/>
        <v>14.279977982485965</v>
      </c>
      <c r="W34">
        <f t="shared" si="10"/>
        <v>2.12475546978259E-2</v>
      </c>
      <c r="X34">
        <f t="shared" si="11"/>
        <v>0.61701452062284623</v>
      </c>
    </row>
    <row r="35" spans="1:24" x14ac:dyDescent="0.35">
      <c r="A35">
        <v>211.75800000000001</v>
      </c>
      <c r="B35">
        <v>1.41411E-6</v>
      </c>
      <c r="C35">
        <v>2.3031400000000001E-5</v>
      </c>
      <c r="D35">
        <f t="shared" si="2"/>
        <v>0.16992490960673975</v>
      </c>
      <c r="E35">
        <f t="shared" si="3"/>
        <v>14.983865511229084</v>
      </c>
      <c r="G35">
        <v>1.49196E-6</v>
      </c>
      <c r="H35">
        <v>2.3904899999999999E-5</v>
      </c>
      <c r="I35">
        <f t="shared" si="4"/>
        <v>0.17593432238116746</v>
      </c>
      <c r="J35">
        <f t="shared" si="5"/>
        <v>13.44346466611929</v>
      </c>
      <c r="L35" s="4">
        <v>1.2633099999999999E-6</v>
      </c>
      <c r="M35" s="4">
        <v>2.7364699999999999E-5</v>
      </c>
      <c r="N35" s="3">
        <f t="shared" si="6"/>
        <v>0.12819066193265705</v>
      </c>
      <c r="O35" s="3">
        <f t="shared" si="7"/>
        <v>14.13246914217838</v>
      </c>
      <c r="Q35">
        <f t="shared" si="0"/>
        <v>1.3897933333333332E-6</v>
      </c>
      <c r="R35">
        <f t="shared" si="1"/>
        <v>2.4767000000000002E-5</v>
      </c>
      <c r="T35">
        <f t="shared" si="8"/>
        <v>0.15801663130685475</v>
      </c>
      <c r="U35">
        <f t="shared" si="9"/>
        <v>14.186599773175585</v>
      </c>
      <c r="W35">
        <f t="shared" si="10"/>
        <v>2.1232358909712916E-2</v>
      </c>
      <c r="X35">
        <f t="shared" si="11"/>
        <v>0.63002977962043372</v>
      </c>
    </row>
    <row r="36" spans="1:24" x14ac:dyDescent="0.35">
      <c r="A36">
        <v>218.077</v>
      </c>
      <c r="B36">
        <v>1.3904799999999999E-6</v>
      </c>
      <c r="C36">
        <v>2.29398E-5</v>
      </c>
      <c r="D36">
        <f t="shared" si="2"/>
        <v>0.16708543770285161</v>
      </c>
      <c r="E36">
        <f t="shared" si="3"/>
        <v>14.924271996252633</v>
      </c>
      <c r="G36">
        <v>1.4848200000000001E-6</v>
      </c>
      <c r="H36">
        <v>2.3790000000000001E-5</v>
      </c>
      <c r="I36">
        <f t="shared" si="4"/>
        <v>0.17509236209952347</v>
      </c>
      <c r="J36">
        <f t="shared" si="5"/>
        <v>13.378848035631938</v>
      </c>
      <c r="L36" s="4">
        <v>1.24748E-6</v>
      </c>
      <c r="M36" s="4">
        <v>2.7112999999999999E-5</v>
      </c>
      <c r="N36" s="3">
        <f t="shared" si="6"/>
        <v>0.12658435930037049</v>
      </c>
      <c r="O36" s="3">
        <f t="shared" si="7"/>
        <v>14.002478954707431</v>
      </c>
      <c r="Q36">
        <f t="shared" si="0"/>
        <v>1.3742600000000001E-6</v>
      </c>
      <c r="R36">
        <f t="shared" si="1"/>
        <v>2.4614266666666669E-5</v>
      </c>
      <c r="T36">
        <f t="shared" si="8"/>
        <v>0.15625405303424852</v>
      </c>
      <c r="U36">
        <f t="shared" si="9"/>
        <v>14.101866328864</v>
      </c>
      <c r="W36">
        <f t="shared" si="10"/>
        <v>2.1232769551962155E-2</v>
      </c>
      <c r="X36">
        <f t="shared" si="11"/>
        <v>0.63481871014300484</v>
      </c>
    </row>
    <row r="37" spans="1:24" x14ac:dyDescent="0.35">
      <c r="A37">
        <v>224.21</v>
      </c>
      <c r="B37">
        <v>1.3660699999999999E-6</v>
      </c>
      <c r="C37">
        <v>2.28439E-5</v>
      </c>
      <c r="D37">
        <f t="shared" si="2"/>
        <v>0.16415223799172551</v>
      </c>
      <c r="E37">
        <f t="shared" si="3"/>
        <v>14.861880969110262</v>
      </c>
      <c r="G37">
        <v>1.4654199999999999E-6</v>
      </c>
      <c r="H37">
        <v>2.3695900000000001E-5</v>
      </c>
      <c r="I37">
        <f t="shared" si="4"/>
        <v>0.1728046829028998</v>
      </c>
      <c r="J37">
        <f t="shared" si="5"/>
        <v>13.325928758618364</v>
      </c>
      <c r="L37" s="4">
        <v>1.22844E-6</v>
      </c>
      <c r="M37" s="4">
        <v>2.6881800000000001E-5</v>
      </c>
      <c r="N37" s="3">
        <f t="shared" si="6"/>
        <v>0.12465233137120202</v>
      </c>
      <c r="O37" s="3">
        <f t="shared" si="7"/>
        <v>13.883075969632804</v>
      </c>
      <c r="Q37">
        <f t="shared" si="0"/>
        <v>1.3533100000000001E-6</v>
      </c>
      <c r="R37">
        <f t="shared" si="1"/>
        <v>2.4473866666666666E-5</v>
      </c>
      <c r="T37">
        <f t="shared" si="8"/>
        <v>0.15386975075527579</v>
      </c>
      <c r="U37">
        <f t="shared" si="9"/>
        <v>14.023628565787144</v>
      </c>
      <c r="W37">
        <f t="shared" si="10"/>
        <v>2.0959634178325741E-2</v>
      </c>
      <c r="X37">
        <f t="shared" si="11"/>
        <v>0.6348771915066358</v>
      </c>
    </row>
    <row r="38" spans="1:24" x14ac:dyDescent="0.35">
      <c r="A38">
        <v>230.48099999999999</v>
      </c>
      <c r="B38">
        <v>1.3384500000000001E-6</v>
      </c>
      <c r="C38">
        <v>2.2821100000000001E-5</v>
      </c>
      <c r="D38">
        <f t="shared" si="2"/>
        <v>0.16083331230465864</v>
      </c>
      <c r="E38">
        <f t="shared" si="3"/>
        <v>14.84704764878861</v>
      </c>
      <c r="G38">
        <v>1.4477299999999999E-6</v>
      </c>
      <c r="H38">
        <v>2.36303E-5</v>
      </c>
      <c r="I38">
        <f t="shared" si="4"/>
        <v>0.17071864965608163</v>
      </c>
      <c r="J38">
        <f t="shared" si="5"/>
        <v>13.289037105354915</v>
      </c>
      <c r="L38" s="4">
        <v>1.19237E-6</v>
      </c>
      <c r="M38" s="4">
        <v>2.6644499999999999E-5</v>
      </c>
      <c r="N38" s="3">
        <f t="shared" si="6"/>
        <v>0.12099223434362293</v>
      </c>
      <c r="O38" s="3">
        <f t="shared" si="7"/>
        <v>13.760522646284148</v>
      </c>
      <c r="Q38">
        <f t="shared" si="0"/>
        <v>1.3261833333333334E-6</v>
      </c>
      <c r="R38">
        <f t="shared" si="1"/>
        <v>2.4365299999999999E-5</v>
      </c>
      <c r="T38">
        <f t="shared" si="8"/>
        <v>0.15084806543478774</v>
      </c>
      <c r="U38">
        <f t="shared" si="9"/>
        <v>13.965535800142556</v>
      </c>
      <c r="W38">
        <f t="shared" si="10"/>
        <v>2.1493533310370037E-2</v>
      </c>
      <c r="X38">
        <f t="shared" si="11"/>
        <v>0.65236595471349201</v>
      </c>
    </row>
    <row r="39" spans="1:24" x14ac:dyDescent="0.35">
      <c r="A39">
        <v>236.60900000000001</v>
      </c>
      <c r="B39">
        <v>1.3112799999999999E-6</v>
      </c>
      <c r="C39">
        <v>2.2739E-5</v>
      </c>
      <c r="D39">
        <f t="shared" si="2"/>
        <v>0.15756846035253669</v>
      </c>
      <c r="E39">
        <f t="shared" si="3"/>
        <v>14.793634683946182</v>
      </c>
      <c r="G39">
        <v>1.4291499999999999E-6</v>
      </c>
      <c r="H39">
        <v>2.3557499999999999E-5</v>
      </c>
      <c r="I39">
        <f t="shared" si="4"/>
        <v>0.16852766617807813</v>
      </c>
      <c r="J39">
        <f t="shared" si="5"/>
        <v>13.248096368196697</v>
      </c>
      <c r="L39" s="4">
        <v>1.1543399999999999E-6</v>
      </c>
      <c r="M39" s="4">
        <v>2.6437200000000002E-5</v>
      </c>
      <c r="N39" s="3">
        <f t="shared" si="6"/>
        <v>0.11713325208804121</v>
      </c>
      <c r="O39" s="3">
        <f t="shared" si="7"/>
        <v>13.653462789856944</v>
      </c>
      <c r="Q39">
        <f t="shared" si="0"/>
        <v>1.2982566666666667E-6</v>
      </c>
      <c r="R39">
        <f t="shared" si="1"/>
        <v>2.4244566666666668E-5</v>
      </c>
      <c r="T39">
        <f t="shared" si="8"/>
        <v>0.14774312620621868</v>
      </c>
      <c r="U39">
        <f t="shared" si="9"/>
        <v>13.898397947333274</v>
      </c>
      <c r="W39">
        <f t="shared" si="10"/>
        <v>2.2102026200172147E-2</v>
      </c>
      <c r="X39">
        <f t="shared" si="11"/>
        <v>0.65430222114269965</v>
      </c>
    </row>
    <row r="40" spans="1:24" x14ac:dyDescent="0.35">
      <c r="A40">
        <v>242.952</v>
      </c>
      <c r="B40">
        <v>1.2802499999999999E-6</v>
      </c>
      <c r="C40">
        <v>2.2683900000000001E-5</v>
      </c>
      <c r="D40">
        <f t="shared" si="2"/>
        <v>0.15383977591844239</v>
      </c>
      <c r="E40">
        <f t="shared" si="3"/>
        <v>14.757787493168864</v>
      </c>
      <c r="G40">
        <v>1.40802E-6</v>
      </c>
      <c r="H40">
        <v>2.3507899999999999E-5</v>
      </c>
      <c r="I40">
        <f t="shared" si="4"/>
        <v>0.16603598259948751</v>
      </c>
      <c r="J40">
        <f t="shared" si="5"/>
        <v>13.220202679143844</v>
      </c>
      <c r="L40" s="4">
        <v>1.1194400000000001E-6</v>
      </c>
      <c r="M40" s="4">
        <v>2.6263700000000001E-5</v>
      </c>
      <c r="N40" s="3">
        <f t="shared" si="6"/>
        <v>0.11359187736493309</v>
      </c>
      <c r="O40" s="3">
        <f t="shared" si="7"/>
        <v>13.563858906161236</v>
      </c>
      <c r="Q40">
        <f t="shared" si="0"/>
        <v>1.2692366666666667E-6</v>
      </c>
      <c r="R40">
        <f t="shared" si="1"/>
        <v>2.4151833333333335E-5</v>
      </c>
      <c r="T40">
        <f t="shared" si="8"/>
        <v>0.14448921196095435</v>
      </c>
      <c r="U40">
        <f t="shared" si="9"/>
        <v>13.847283026157982</v>
      </c>
      <c r="W40">
        <f t="shared" si="10"/>
        <v>2.2407897836931766E-2</v>
      </c>
      <c r="X40">
        <f t="shared" si="11"/>
        <v>0.65893281849115004</v>
      </c>
    </row>
    <row r="41" spans="1:24" x14ac:dyDescent="0.35">
      <c r="A41">
        <v>249.15899999999999</v>
      </c>
      <c r="B41">
        <v>1.25302E-6</v>
      </c>
      <c r="C41">
        <v>2.2595800000000001E-5</v>
      </c>
      <c r="D41">
        <f t="shared" si="2"/>
        <v>0.15056771413499448</v>
      </c>
      <c r="E41">
        <f t="shared" si="3"/>
        <v>14.700471022978634</v>
      </c>
      <c r="G41">
        <v>1.3931700000000001E-6</v>
      </c>
      <c r="H41">
        <v>2.3488600000000001E-5</v>
      </c>
      <c r="I41">
        <f t="shared" si="4"/>
        <v>0.16428484671959775</v>
      </c>
      <c r="J41">
        <f t="shared" si="5"/>
        <v>13.209348884814812</v>
      </c>
      <c r="L41" s="4">
        <v>1.0942099999999999E-6</v>
      </c>
      <c r="M41" s="4">
        <v>2.6140400000000001E-5</v>
      </c>
      <c r="N41" s="3">
        <f t="shared" si="6"/>
        <v>0.11103173741467467</v>
      </c>
      <c r="O41" s="3">
        <f t="shared" si="7"/>
        <v>13.500180757114084</v>
      </c>
      <c r="Q41">
        <f t="shared" si="0"/>
        <v>1.2468000000000001E-6</v>
      </c>
      <c r="R41">
        <f t="shared" si="1"/>
        <v>2.4074933333333336E-5</v>
      </c>
      <c r="T41">
        <f t="shared" si="8"/>
        <v>0.14196143275642228</v>
      </c>
      <c r="U41">
        <f t="shared" si="9"/>
        <v>13.803333554969177</v>
      </c>
      <c r="W41">
        <f t="shared" si="10"/>
        <v>2.2576159579460429E-2</v>
      </c>
      <c r="X41">
        <f t="shared" si="11"/>
        <v>0.64538749180425992</v>
      </c>
    </row>
    <row r="42" spans="1:24" x14ac:dyDescent="0.35">
      <c r="A42">
        <v>262.24700000000001</v>
      </c>
      <c r="B42">
        <v>6.6939500000000004E-4</v>
      </c>
      <c r="C42">
        <v>1.56856E-4</v>
      </c>
      <c r="D42">
        <f t="shared" si="2"/>
        <v>80.437084007752986</v>
      </c>
      <c r="E42">
        <f t="shared" si="3"/>
        <v>102.04803913914695</v>
      </c>
      <c r="G42">
        <v>6.7564700000000003E-4</v>
      </c>
      <c r="H42">
        <v>1.80044E-4</v>
      </c>
      <c r="I42">
        <f t="shared" si="4"/>
        <v>79.673380729958339</v>
      </c>
      <c r="J42">
        <f t="shared" si="5"/>
        <v>101.25184177079936</v>
      </c>
      <c r="L42" s="4">
        <v>7.8643300000000001E-4</v>
      </c>
      <c r="M42" s="4">
        <v>1.95405E-4</v>
      </c>
      <c r="N42" s="3">
        <f t="shared" si="6"/>
        <v>79.800972711120224</v>
      </c>
      <c r="O42" s="3">
        <f t="shared" si="7"/>
        <v>100.91669679285235</v>
      </c>
      <c r="Q42">
        <f t="shared" si="0"/>
        <v>7.1049166666666658E-4</v>
      </c>
      <c r="R42">
        <f t="shared" si="1"/>
        <v>1.7743500000000001E-4</v>
      </c>
      <c r="T42">
        <f t="shared" si="8"/>
        <v>79.970479149610512</v>
      </c>
      <c r="U42">
        <f t="shared" si="9"/>
        <v>101.40552590093289</v>
      </c>
      <c r="W42">
        <f t="shared" si="10"/>
        <v>0.33402594574455796</v>
      </c>
      <c r="X42">
        <f t="shared" si="11"/>
        <v>0.47448075831798703</v>
      </c>
    </row>
    <row r="43" spans="1:24" x14ac:dyDescent="0.35">
      <c r="A43">
        <v>268.46699999999998</v>
      </c>
      <c r="B43">
        <v>6.8926999999999997E-4</v>
      </c>
      <c r="C43">
        <v>1.63673E-4</v>
      </c>
      <c r="D43">
        <f t="shared" si="2"/>
        <v>82.82534063448918</v>
      </c>
      <c r="E43">
        <f t="shared" si="3"/>
        <v>106.48307179847502</v>
      </c>
      <c r="G43">
        <v>6.99346E-4</v>
      </c>
      <c r="H43">
        <v>1.86264E-4</v>
      </c>
      <c r="I43">
        <f t="shared" si="4"/>
        <v>82.468004919689491</v>
      </c>
      <c r="J43">
        <f t="shared" si="5"/>
        <v>104.74980035766907</v>
      </c>
      <c r="L43" s="4">
        <v>8.0970800000000002E-4</v>
      </c>
      <c r="M43" s="4">
        <v>1.98211E-4</v>
      </c>
      <c r="N43" s="3">
        <f t="shared" si="6"/>
        <v>82.162734793651509</v>
      </c>
      <c r="O43" s="3">
        <f t="shared" si="7"/>
        <v>102.36585239890512</v>
      </c>
      <c r="Q43">
        <f t="shared" si="0"/>
        <v>7.327746666666667E-4</v>
      </c>
      <c r="R43">
        <f t="shared" si="1"/>
        <v>1.82716E-4</v>
      </c>
      <c r="T43">
        <f t="shared" si="8"/>
        <v>82.485360115943394</v>
      </c>
      <c r="U43">
        <f t="shared" si="9"/>
        <v>104.53290818501641</v>
      </c>
      <c r="W43">
        <f t="shared" si="10"/>
        <v>0.27078592677095531</v>
      </c>
      <c r="X43">
        <f t="shared" si="11"/>
        <v>1.6878300777363398</v>
      </c>
    </row>
    <row r="44" spans="1:24" x14ac:dyDescent="0.35">
      <c r="A44">
        <v>274.76</v>
      </c>
      <c r="B44">
        <v>7.0384500000000003E-4</v>
      </c>
      <c r="C44">
        <v>1.6006399999999999E-4</v>
      </c>
      <c r="D44">
        <f t="shared" si="2"/>
        <v>84.576728827429079</v>
      </c>
      <c r="E44">
        <f t="shared" si="3"/>
        <v>104.13511333177192</v>
      </c>
      <c r="G44">
        <v>7.1190399999999997E-4</v>
      </c>
      <c r="H44">
        <v>1.7728399999999999E-4</v>
      </c>
      <c r="I44">
        <f t="shared" si="4"/>
        <v>83.948864473875048</v>
      </c>
      <c r="J44">
        <f t="shared" si="5"/>
        <v>99.699692944471309</v>
      </c>
      <c r="L44" s="4">
        <v>8.2713399999999999E-4</v>
      </c>
      <c r="M44" s="4">
        <v>1.97617E-4</v>
      </c>
      <c r="N44" s="3">
        <f t="shared" si="6"/>
        <v>83.930986825883082</v>
      </c>
      <c r="O44" s="3">
        <f t="shared" si="7"/>
        <v>102.05908175386045</v>
      </c>
      <c r="Q44">
        <f t="shared" si="0"/>
        <v>7.476276666666667E-4</v>
      </c>
      <c r="R44">
        <f t="shared" si="1"/>
        <v>1.7832166666666667E-4</v>
      </c>
      <c r="T44">
        <f t="shared" si="8"/>
        <v>84.15219337572907</v>
      </c>
      <c r="U44">
        <f t="shared" si="9"/>
        <v>101.96462934336789</v>
      </c>
      <c r="W44">
        <f t="shared" si="10"/>
        <v>0.30028060752905716</v>
      </c>
      <c r="X44">
        <f t="shared" si="11"/>
        <v>1.8119840776354088</v>
      </c>
    </row>
    <row r="45" spans="1:24" x14ac:dyDescent="0.35">
      <c r="A45">
        <v>280.99099999999999</v>
      </c>
      <c r="B45">
        <v>7.1665100000000001E-4</v>
      </c>
      <c r="C45">
        <v>1.5544199999999999E-4</v>
      </c>
      <c r="D45">
        <f t="shared" si="2"/>
        <v>86.115547160107525</v>
      </c>
      <c r="E45">
        <f t="shared" si="3"/>
        <v>101.12811304551485</v>
      </c>
      <c r="G45">
        <v>7.2069199999999999E-4</v>
      </c>
      <c r="H45">
        <v>1.73229E-4</v>
      </c>
      <c r="I45">
        <f t="shared" si="4"/>
        <v>84.98515956562396</v>
      </c>
      <c r="J45">
        <f t="shared" si="5"/>
        <v>97.419271389848049</v>
      </c>
      <c r="L45" s="4">
        <v>8.4366900000000002E-4</v>
      </c>
      <c r="M45" s="4">
        <v>2.0239999999999999E-4</v>
      </c>
      <c r="N45" s="3">
        <f t="shared" si="6"/>
        <v>85.608827257017552</v>
      </c>
      <c r="O45" s="3">
        <f t="shared" si="7"/>
        <v>104.52925683003667</v>
      </c>
      <c r="Q45">
        <f t="shared" si="0"/>
        <v>7.603373333333333E-4</v>
      </c>
      <c r="R45">
        <f t="shared" si="1"/>
        <v>1.7702366666666664E-4</v>
      </c>
      <c r="T45">
        <f t="shared" si="8"/>
        <v>85.569844660916331</v>
      </c>
      <c r="U45">
        <f t="shared" si="9"/>
        <v>101.02554708846652</v>
      </c>
      <c r="W45">
        <f t="shared" si="10"/>
        <v>0.46230131627159765</v>
      </c>
      <c r="X45">
        <f t="shared" si="11"/>
        <v>2.9035453123819144</v>
      </c>
    </row>
    <row r="46" spans="1:24" x14ac:dyDescent="0.35">
      <c r="A46">
        <v>287.21100000000001</v>
      </c>
      <c r="B46">
        <v>7.2787899999999996E-4</v>
      </c>
      <c r="C46">
        <v>1.5396499999999999E-4</v>
      </c>
      <c r="D46">
        <f t="shared" si="2"/>
        <v>87.464746928912263</v>
      </c>
      <c r="E46">
        <f t="shared" si="3"/>
        <v>100.16720014573086</v>
      </c>
      <c r="G46">
        <v>7.3111400000000005E-4</v>
      </c>
      <c r="H46">
        <v>1.7145600000000001E-4</v>
      </c>
      <c r="I46">
        <f t="shared" si="4"/>
        <v>86.214138564964784</v>
      </c>
      <c r="J46">
        <f t="shared" si="5"/>
        <v>96.422184480761231</v>
      </c>
      <c r="L46" s="4">
        <v>8.5973799999999997E-4</v>
      </c>
      <c r="M46" s="4">
        <v>2.0356399999999999E-4</v>
      </c>
      <c r="N46" s="3">
        <f t="shared" si="6"/>
        <v>87.239381710473836</v>
      </c>
      <c r="O46" s="3">
        <f t="shared" si="7"/>
        <v>105.13040334658885</v>
      </c>
      <c r="Q46">
        <f t="shared" si="0"/>
        <v>7.729103333333334E-4</v>
      </c>
      <c r="R46">
        <f t="shared" si="1"/>
        <v>1.7632833333333336E-4</v>
      </c>
      <c r="T46">
        <f t="shared" si="8"/>
        <v>86.972755734783618</v>
      </c>
      <c r="U46">
        <f t="shared" si="9"/>
        <v>100.57326265769365</v>
      </c>
      <c r="W46">
        <f t="shared" si="10"/>
        <v>0.54425629880196069</v>
      </c>
      <c r="X46">
        <f t="shared" si="11"/>
        <v>3.566691653479936</v>
      </c>
    </row>
    <row r="47" spans="1:24" x14ac:dyDescent="0.35">
      <c r="A47">
        <v>293.38900000000001</v>
      </c>
      <c r="B47">
        <v>7.3782700000000004E-4</v>
      </c>
      <c r="C47">
        <v>1.53738E-4</v>
      </c>
      <c r="D47">
        <f t="shared" si="2"/>
        <v>88.660136962762422</v>
      </c>
      <c r="E47">
        <f t="shared" si="3"/>
        <v>100.01951752673901</v>
      </c>
      <c r="G47">
        <v>7.3810399999999995E-4</v>
      </c>
      <c r="H47">
        <v>1.69533E-4</v>
      </c>
      <c r="I47">
        <f t="shared" si="4"/>
        <v>87.038410605397729</v>
      </c>
      <c r="J47">
        <f t="shared" si="5"/>
        <v>95.34074165720007</v>
      </c>
      <c r="L47" s="4">
        <v>8.7147600000000004E-4</v>
      </c>
      <c r="M47" s="4">
        <v>2.0395100000000001E-4</v>
      </c>
      <c r="N47" s="3">
        <f t="shared" si="6"/>
        <v>88.430460693277382</v>
      </c>
      <c r="O47" s="3">
        <f t="shared" si="7"/>
        <v>105.33026906987556</v>
      </c>
      <c r="Q47">
        <f t="shared" si="0"/>
        <v>7.8246900000000005E-4</v>
      </c>
      <c r="R47">
        <f t="shared" si="1"/>
        <v>1.7574066666666664E-4</v>
      </c>
      <c r="T47">
        <f t="shared" si="8"/>
        <v>88.043002753812516</v>
      </c>
      <c r="U47">
        <f t="shared" si="9"/>
        <v>100.23017608460488</v>
      </c>
      <c r="W47">
        <f t="shared" si="10"/>
        <v>0.71651556655972803</v>
      </c>
      <c r="X47">
        <f t="shared" si="11"/>
        <v>4.0809269578655236</v>
      </c>
    </row>
    <row r="48" spans="1:24" x14ac:dyDescent="0.35">
      <c r="A48">
        <v>299.65600000000001</v>
      </c>
      <c r="B48">
        <v>7.4328899999999995E-4</v>
      </c>
      <c r="C48">
        <v>1.54823E-4</v>
      </c>
      <c r="D48">
        <f t="shared" si="2"/>
        <v>89.316471941138929</v>
      </c>
      <c r="E48">
        <f t="shared" si="3"/>
        <v>100.7254014104666</v>
      </c>
      <c r="G48">
        <v>7.4526400000000004E-4</v>
      </c>
      <c r="H48">
        <v>1.7097799999999999E-4</v>
      </c>
      <c r="I48">
        <f t="shared" si="4"/>
        <v>87.882729319203179</v>
      </c>
      <c r="J48">
        <f t="shared" si="5"/>
        <v>96.153370299969637</v>
      </c>
      <c r="L48" s="4">
        <v>8.7841799999999995E-4</v>
      </c>
      <c r="M48" s="4">
        <v>2.0710300000000001E-4</v>
      </c>
      <c r="N48" s="3">
        <f t="shared" si="6"/>
        <v>89.134879699805055</v>
      </c>
      <c r="O48" s="3">
        <f t="shared" si="7"/>
        <v>106.95811599442236</v>
      </c>
      <c r="Q48">
        <f t="shared" si="0"/>
        <v>7.8899033333333331E-4</v>
      </c>
      <c r="R48">
        <f t="shared" si="1"/>
        <v>1.776346666666667E-4</v>
      </c>
      <c r="T48">
        <f t="shared" si="8"/>
        <v>88.778026986715716</v>
      </c>
      <c r="U48">
        <f t="shared" si="9"/>
        <v>101.2789625682862</v>
      </c>
      <c r="W48">
        <f t="shared" si="10"/>
        <v>0.63739698284936641</v>
      </c>
      <c r="X48">
        <f t="shared" si="11"/>
        <v>4.4283522027223308</v>
      </c>
    </row>
    <row r="49" spans="1:24" x14ac:dyDescent="0.35">
      <c r="A49">
        <v>305.76400000000001</v>
      </c>
      <c r="B49">
        <v>7.4909E-4</v>
      </c>
      <c r="C49">
        <v>1.552E-4</v>
      </c>
      <c r="D49">
        <f t="shared" si="2"/>
        <v>90.013542466507317</v>
      </c>
      <c r="E49">
        <f t="shared" si="3"/>
        <v>100.9706716631535</v>
      </c>
      <c r="G49">
        <v>7.4980000000000001E-4</v>
      </c>
      <c r="H49">
        <v>1.76644E-4</v>
      </c>
      <c r="I49">
        <f t="shared" si="4"/>
        <v>88.417621733424056</v>
      </c>
      <c r="J49">
        <f t="shared" si="5"/>
        <v>99.339774376047416</v>
      </c>
      <c r="L49" s="4">
        <v>8.8471199999999996E-4</v>
      </c>
      <c r="M49" s="4">
        <v>2.12518E-4</v>
      </c>
      <c r="N49" s="3">
        <f t="shared" si="6"/>
        <v>89.773544814625765</v>
      </c>
      <c r="O49" s="3">
        <f t="shared" si="7"/>
        <v>109.75468677374374</v>
      </c>
      <c r="Q49">
        <f t="shared" si="0"/>
        <v>7.9453400000000006E-4</v>
      </c>
      <c r="R49">
        <f t="shared" si="1"/>
        <v>1.8145399999999997E-4</v>
      </c>
      <c r="T49">
        <f t="shared" si="8"/>
        <v>89.401569671519042</v>
      </c>
      <c r="U49">
        <f t="shared" si="9"/>
        <v>103.35504427098154</v>
      </c>
      <c r="W49">
        <f t="shared" si="10"/>
        <v>0.7026212241258688</v>
      </c>
      <c r="X49">
        <f t="shared" si="11"/>
        <v>4.5739497601557115</v>
      </c>
    </row>
    <row r="50" spans="1:24" x14ac:dyDescent="0.35">
      <c r="A50">
        <v>311.92599999999999</v>
      </c>
      <c r="B50">
        <v>7.53077E-4</v>
      </c>
      <c r="C50">
        <v>1.5503199999999999E-4</v>
      </c>
      <c r="D50">
        <f t="shared" si="2"/>
        <v>90.492635758119761</v>
      </c>
      <c r="E50">
        <f t="shared" si="3"/>
        <v>100.86137351341502</v>
      </c>
      <c r="G50">
        <v>7.5485099999999996E-4</v>
      </c>
      <c r="H50">
        <v>1.7533100000000001E-4</v>
      </c>
      <c r="I50">
        <f t="shared" si="4"/>
        <v>89.013243775802721</v>
      </c>
      <c r="J50">
        <f t="shared" si="5"/>
        <v>98.601378938015287</v>
      </c>
      <c r="L50" s="4">
        <v>8.8829899999999995E-4</v>
      </c>
      <c r="M50" s="4">
        <v>2.0800300000000001E-4</v>
      </c>
      <c r="N50" s="3">
        <f t="shared" si="6"/>
        <v>90.137525076281605</v>
      </c>
      <c r="O50" s="3">
        <f t="shared" si="7"/>
        <v>107.42292000206579</v>
      </c>
      <c r="Q50">
        <f t="shared" si="0"/>
        <v>7.9874233333333334E-4</v>
      </c>
      <c r="R50">
        <f t="shared" si="1"/>
        <v>1.7945533333333332E-4</v>
      </c>
      <c r="T50">
        <f t="shared" si="8"/>
        <v>89.881134870068038</v>
      </c>
      <c r="U50">
        <f t="shared" si="9"/>
        <v>102.29522415116537</v>
      </c>
      <c r="W50">
        <f t="shared" si="10"/>
        <v>0.63058285879952114</v>
      </c>
      <c r="X50">
        <f t="shared" si="11"/>
        <v>3.741376077035039</v>
      </c>
    </row>
    <row r="51" spans="1:24" x14ac:dyDescent="0.35">
      <c r="A51">
        <v>318.20600000000002</v>
      </c>
      <c r="B51">
        <v>7.5571600000000003E-4</v>
      </c>
      <c r="C51">
        <v>1.54957E-4</v>
      </c>
      <c r="D51">
        <f t="shared" si="2"/>
        <v>90.809748172608167</v>
      </c>
      <c r="E51">
        <f t="shared" si="3"/>
        <v>100.81257969656751</v>
      </c>
      <c r="G51">
        <v>7.5976099999999997E-4</v>
      </c>
      <c r="H51">
        <v>1.76241E-4</v>
      </c>
      <c r="I51">
        <f t="shared" si="4"/>
        <v>89.59223887144303</v>
      </c>
      <c r="J51">
        <f t="shared" si="5"/>
        <v>99.113138152492994</v>
      </c>
      <c r="L51" s="4">
        <v>8.9050399999999997E-4</v>
      </c>
      <c r="M51" s="4">
        <v>2.0267500000000001E-4</v>
      </c>
      <c r="N51" s="3">
        <f t="shared" si="6"/>
        <v>90.361270957784583</v>
      </c>
      <c r="O51" s="3">
        <f t="shared" si="7"/>
        <v>104.6712802768166</v>
      </c>
      <c r="Q51">
        <f t="shared" si="0"/>
        <v>8.0199366666666662E-4</v>
      </c>
      <c r="R51">
        <f t="shared" si="1"/>
        <v>1.7795766666666669E-4</v>
      </c>
      <c r="T51">
        <f t="shared" si="8"/>
        <v>90.254419333945251</v>
      </c>
      <c r="U51">
        <f t="shared" si="9"/>
        <v>101.5323327086257</v>
      </c>
      <c r="W51">
        <f t="shared" si="10"/>
        <v>0.50275585641789078</v>
      </c>
      <c r="X51">
        <f t="shared" si="11"/>
        <v>2.3254776236750838</v>
      </c>
    </row>
    <row r="52" spans="1:24" x14ac:dyDescent="0.35">
      <c r="A52">
        <v>324.48599999999999</v>
      </c>
      <c r="B52">
        <v>7.5943600000000005E-4</v>
      </c>
      <c r="C52">
        <v>1.53671E-4</v>
      </c>
      <c r="D52">
        <f t="shared" si="2"/>
        <v>91.25675771481994</v>
      </c>
      <c r="E52">
        <f t="shared" si="3"/>
        <v>99.97592838368854</v>
      </c>
      <c r="G52">
        <v>7.5987099999999996E-4</v>
      </c>
      <c r="H52">
        <v>1.70421E-4</v>
      </c>
      <c r="I52">
        <f t="shared" si="4"/>
        <v>89.605210248331119</v>
      </c>
      <c r="J52">
        <f t="shared" si="5"/>
        <v>95.84012867088822</v>
      </c>
      <c r="L52" s="4">
        <v>8.9588000000000005E-4</v>
      </c>
      <c r="M52" s="4">
        <v>2.0983800000000001E-4</v>
      </c>
      <c r="N52" s="3">
        <f t="shared" si="6"/>
        <v>90.906784726020376</v>
      </c>
      <c r="O52" s="3">
        <f t="shared" si="7"/>
        <v>108.37060372876104</v>
      </c>
      <c r="Q52">
        <f t="shared" si="0"/>
        <v>8.0506233333333332E-4</v>
      </c>
      <c r="R52">
        <f t="shared" si="1"/>
        <v>1.7797666666666666E-4</v>
      </c>
      <c r="T52">
        <f t="shared" si="8"/>
        <v>90.589584229723812</v>
      </c>
      <c r="U52">
        <f t="shared" si="9"/>
        <v>101.39555359444593</v>
      </c>
      <c r="W52">
        <f t="shared" si="10"/>
        <v>0.71056990022305411</v>
      </c>
      <c r="X52">
        <f t="shared" si="11"/>
        <v>5.2131054787114302</v>
      </c>
    </row>
    <row r="53" spans="1:24" x14ac:dyDescent="0.35">
      <c r="A53">
        <v>330.68</v>
      </c>
      <c r="B53">
        <v>7.6287000000000002E-4</v>
      </c>
      <c r="C53">
        <v>1.5174000000000001E-4</v>
      </c>
      <c r="D53">
        <f t="shared" si="2"/>
        <v>91.669400394377774</v>
      </c>
      <c r="E53">
        <f t="shared" si="3"/>
        <v>98.719650245920832</v>
      </c>
      <c r="G53">
        <v>7.6514200000000001E-4</v>
      </c>
      <c r="H53">
        <v>1.7438600000000001E-4</v>
      </c>
      <c r="I53">
        <f t="shared" si="4"/>
        <v>90.226775044485933</v>
      </c>
      <c r="J53">
        <f t="shared" si="5"/>
        <v>98.06993667682687</v>
      </c>
      <c r="L53" s="4">
        <v>8.97261E-4</v>
      </c>
      <c r="M53" s="4">
        <v>2.08402E-4</v>
      </c>
      <c r="N53" s="3">
        <f t="shared" si="6"/>
        <v>91.046917634118145</v>
      </c>
      <c r="O53" s="3">
        <f t="shared" si="7"/>
        <v>107.62898311212106</v>
      </c>
      <c r="Q53">
        <f t="shared" si="0"/>
        <v>8.0842433333333334E-4</v>
      </c>
      <c r="R53">
        <f t="shared" si="1"/>
        <v>1.7817600000000002E-4</v>
      </c>
      <c r="T53">
        <f t="shared" si="8"/>
        <v>90.981031024327294</v>
      </c>
      <c r="U53">
        <f t="shared" si="9"/>
        <v>101.47285667828959</v>
      </c>
      <c r="W53">
        <f t="shared" si="10"/>
        <v>0.5907891665955175</v>
      </c>
      <c r="X53">
        <f t="shared" si="11"/>
        <v>4.3611123529404869</v>
      </c>
    </row>
    <row r="54" spans="1:24" x14ac:dyDescent="0.35">
      <c r="A54">
        <v>336.81799999999998</v>
      </c>
      <c r="B54">
        <v>7.67496E-4</v>
      </c>
      <c r="C54">
        <v>1.5048199999999999E-4</v>
      </c>
      <c r="D54">
        <f t="shared" si="2"/>
        <v>92.225278389612072</v>
      </c>
      <c r="E54">
        <f t="shared" si="3"/>
        <v>97.901215291331596</v>
      </c>
      <c r="G54">
        <v>7.7023599999999999E-4</v>
      </c>
      <c r="H54">
        <v>1.75852E-4</v>
      </c>
      <c r="I54">
        <f t="shared" si="4"/>
        <v>90.827467716011739</v>
      </c>
      <c r="J54">
        <f t="shared" si="5"/>
        <v>98.894375147622853</v>
      </c>
      <c r="L54" s="4">
        <v>9.0158999999999997E-4</v>
      </c>
      <c r="M54" s="4">
        <v>2.0249999999999999E-4</v>
      </c>
      <c r="N54" s="3">
        <f t="shared" si="6"/>
        <v>91.486190160660698</v>
      </c>
      <c r="O54" s="3">
        <f t="shared" si="7"/>
        <v>104.58090171977483</v>
      </c>
      <c r="Q54">
        <f t="shared" si="0"/>
        <v>8.1310733333333325E-4</v>
      </c>
      <c r="R54">
        <f t="shared" si="1"/>
        <v>1.7627799999999998E-4</v>
      </c>
      <c r="T54">
        <f t="shared" si="8"/>
        <v>91.512978755428165</v>
      </c>
      <c r="U54">
        <f t="shared" si="9"/>
        <v>100.45883071957643</v>
      </c>
      <c r="W54">
        <f t="shared" si="10"/>
        <v>0.5709681201929262</v>
      </c>
      <c r="X54">
        <f t="shared" si="11"/>
        <v>2.9428097257603563</v>
      </c>
    </row>
    <row r="55" spans="1:24" x14ac:dyDescent="0.35">
      <c r="A55">
        <v>343.04300000000001</v>
      </c>
      <c r="B55">
        <v>7.7116399999999996E-4</v>
      </c>
      <c r="C55">
        <v>1.5077800000000001E-4</v>
      </c>
      <c r="D55">
        <f t="shared" si="2"/>
        <v>92.666039411341288</v>
      </c>
      <c r="E55">
        <f t="shared" si="3"/>
        <v>98.093788221823203</v>
      </c>
      <c r="G55">
        <v>7.7548500000000002E-4</v>
      </c>
      <c r="H55">
        <v>1.7376100000000001E-4</v>
      </c>
      <c r="I55">
        <f t="shared" si="4"/>
        <v>91.44643823678895</v>
      </c>
      <c r="J55">
        <f t="shared" si="5"/>
        <v>97.718453699850414</v>
      </c>
      <c r="L55" s="4">
        <v>9.0791799999999996E-4</v>
      </c>
      <c r="M55" s="4">
        <v>2.0457299999999999E-4</v>
      </c>
      <c r="N55" s="3">
        <f t="shared" si="6"/>
        <v>92.128305325354916</v>
      </c>
      <c r="O55" s="3">
        <f t="shared" si="7"/>
        <v>105.65150028404689</v>
      </c>
      <c r="Q55">
        <f t="shared" si="0"/>
        <v>8.1818899999999998E-4</v>
      </c>
      <c r="R55">
        <f t="shared" si="1"/>
        <v>1.7637066666666666E-4</v>
      </c>
      <c r="T55">
        <f t="shared" si="8"/>
        <v>92.080260991161708</v>
      </c>
      <c r="U55">
        <f t="shared" si="9"/>
        <v>100.4879140685735</v>
      </c>
      <c r="W55">
        <f t="shared" si="10"/>
        <v>0.49905774534176656</v>
      </c>
      <c r="X55">
        <f t="shared" si="11"/>
        <v>3.6544206977591966</v>
      </c>
    </row>
    <row r="56" spans="1:24" x14ac:dyDescent="0.35">
      <c r="A56">
        <v>349.23899999999998</v>
      </c>
      <c r="B56">
        <v>7.74306E-4</v>
      </c>
      <c r="C56">
        <v>1.5141800000000001E-4</v>
      </c>
      <c r="D56">
        <f t="shared" si="2"/>
        <v>93.043594245112644</v>
      </c>
      <c r="E56">
        <f t="shared" si="3"/>
        <v>98.510162125588778</v>
      </c>
      <c r="G56">
        <v>7.7878599999999995E-4</v>
      </c>
      <c r="H56">
        <v>1.77162E-4</v>
      </c>
      <c r="I56">
        <f t="shared" si="4"/>
        <v>91.835697465039175</v>
      </c>
      <c r="J56">
        <f t="shared" si="5"/>
        <v>99.631083467365514</v>
      </c>
      <c r="L56" s="4">
        <v>9.1364099999999998E-4</v>
      </c>
      <c r="M56" s="4">
        <v>2.06391E-4</v>
      </c>
      <c r="N56" s="3">
        <f t="shared" si="6"/>
        <v>92.709029896711598</v>
      </c>
      <c r="O56" s="3">
        <f t="shared" si="7"/>
        <v>106.59040437948664</v>
      </c>
      <c r="Q56">
        <f t="shared" si="0"/>
        <v>8.2224433333333324E-4</v>
      </c>
      <c r="R56">
        <f t="shared" si="1"/>
        <v>1.7832366666666665E-4</v>
      </c>
      <c r="T56">
        <f t="shared" si="8"/>
        <v>92.529440535621134</v>
      </c>
      <c r="U56">
        <f t="shared" si="9"/>
        <v>101.57721665748032</v>
      </c>
      <c r="W56">
        <f t="shared" si="10"/>
        <v>0.50921044228008716</v>
      </c>
      <c r="X56">
        <f t="shared" si="11"/>
        <v>3.5742742401471204</v>
      </c>
    </row>
    <row r="57" spans="1:24" x14ac:dyDescent="0.35">
      <c r="A57">
        <v>355.53699999999998</v>
      </c>
      <c r="B57">
        <v>7.77336E-4</v>
      </c>
      <c r="C57">
        <v>1.51509E-4</v>
      </c>
      <c r="D57">
        <f t="shared" si="2"/>
        <v>93.407690727075448</v>
      </c>
      <c r="E57">
        <f t="shared" si="3"/>
        <v>98.569365290030447</v>
      </c>
      <c r="G57">
        <v>7.8306199999999995E-4</v>
      </c>
      <c r="H57">
        <v>1.77899E-4</v>
      </c>
      <c r="I57">
        <f t="shared" si="4"/>
        <v>92.339930261160973</v>
      </c>
      <c r="J57">
        <f t="shared" si="5"/>
        <v>100.04555219381615</v>
      </c>
      <c r="L57" s="4">
        <v>9.1711199999999998E-4</v>
      </c>
      <c r="M57" s="4">
        <v>2.06534E-4</v>
      </c>
      <c r="N57" s="3">
        <f t="shared" si="6"/>
        <v>93.061239399975435</v>
      </c>
      <c r="O57" s="3">
        <f t="shared" si="7"/>
        <v>106.66425657181222</v>
      </c>
      <c r="Q57">
        <f t="shared" si="0"/>
        <v>8.2583666666666668E-4</v>
      </c>
      <c r="R57">
        <f t="shared" si="1"/>
        <v>1.7864733333333333E-4</v>
      </c>
      <c r="T57">
        <f t="shared" si="8"/>
        <v>92.936286796070604</v>
      </c>
      <c r="U57">
        <f t="shared" si="9"/>
        <v>101.75972468521961</v>
      </c>
      <c r="W57">
        <f t="shared" si="10"/>
        <v>0.44477557491347591</v>
      </c>
      <c r="X57">
        <f t="shared" si="11"/>
        <v>3.5200006357650819</v>
      </c>
    </row>
    <row r="58" spans="1:24" x14ac:dyDescent="0.35">
      <c r="A58">
        <v>361.666</v>
      </c>
      <c r="B58">
        <v>7.7937600000000003E-4</v>
      </c>
      <c r="C58">
        <v>1.52366E-4</v>
      </c>
      <c r="D58">
        <f t="shared" si="2"/>
        <v>93.65282499215931</v>
      </c>
      <c r="E58">
        <f t="shared" si="3"/>
        <v>99.126915970541546</v>
      </c>
      <c r="G58">
        <v>7.8617800000000001E-4</v>
      </c>
      <c r="H58">
        <v>1.7830100000000001E-4</v>
      </c>
      <c r="I58">
        <f t="shared" si="4"/>
        <v>92.707373991917649</v>
      </c>
      <c r="J58">
        <f t="shared" si="5"/>
        <v>100.27162604460742</v>
      </c>
      <c r="L58" s="4">
        <v>9.1655299999999996E-4</v>
      </c>
      <c r="M58" s="4">
        <v>2.03733E-4</v>
      </c>
      <c r="N58" s="3">
        <f t="shared" si="6"/>
        <v>93.004516521172647</v>
      </c>
      <c r="O58" s="3">
        <f t="shared" si="7"/>
        <v>105.21768321024634</v>
      </c>
      <c r="Q58">
        <f t="shared" si="0"/>
        <v>8.27369E-4</v>
      </c>
      <c r="R58">
        <f t="shared" si="1"/>
        <v>1.7813333333333332E-4</v>
      </c>
      <c r="T58">
        <f t="shared" si="8"/>
        <v>93.121571835083202</v>
      </c>
      <c r="U58">
        <f t="shared" si="9"/>
        <v>101.53874174179843</v>
      </c>
      <c r="W58">
        <f t="shared" si="10"/>
        <v>0.39475381218384142</v>
      </c>
      <c r="X58">
        <f t="shared" si="11"/>
        <v>2.643047235624842</v>
      </c>
    </row>
    <row r="59" spans="1:24" x14ac:dyDescent="0.35">
      <c r="A59">
        <v>367.87200000000001</v>
      </c>
      <c r="B59">
        <v>7.8164800000000002E-4</v>
      </c>
      <c r="C59">
        <v>1.51595E-4</v>
      </c>
      <c r="D59">
        <f t="shared" si="2"/>
        <v>93.925837271703699</v>
      </c>
      <c r="E59">
        <f t="shared" si="3"/>
        <v>98.625315533348939</v>
      </c>
      <c r="G59">
        <v>7.8667299999999999E-4</v>
      </c>
      <c r="H59">
        <v>1.77749E-4</v>
      </c>
      <c r="I59">
        <f t="shared" si="4"/>
        <v>92.765745187913978</v>
      </c>
      <c r="J59">
        <f t="shared" si="5"/>
        <v>99.961196279341806</v>
      </c>
      <c r="L59" s="4">
        <v>9.1954899999999997E-4</v>
      </c>
      <c r="M59" s="4">
        <v>2.0353400000000001E-4</v>
      </c>
      <c r="N59" s="3">
        <f t="shared" si="6"/>
        <v>93.308526798262378</v>
      </c>
      <c r="O59" s="3">
        <f t="shared" si="7"/>
        <v>105.11490987966741</v>
      </c>
      <c r="Q59">
        <f t="shared" si="0"/>
        <v>8.2929E-4</v>
      </c>
      <c r="R59">
        <f t="shared" si="1"/>
        <v>1.7762599999999998E-4</v>
      </c>
      <c r="T59">
        <f t="shared" si="8"/>
        <v>93.333369752626695</v>
      </c>
      <c r="U59">
        <f t="shared" si="9"/>
        <v>101.23380723078606</v>
      </c>
      <c r="W59">
        <f t="shared" si="10"/>
        <v>0.47393128194148876</v>
      </c>
      <c r="X59">
        <f t="shared" si="11"/>
        <v>2.7980186644890974</v>
      </c>
    </row>
    <row r="60" spans="1:24" x14ac:dyDescent="0.35">
      <c r="A60">
        <v>374.14400000000001</v>
      </c>
      <c r="B60">
        <v>7.8319299999999995E-4</v>
      </c>
      <c r="C60">
        <v>1.52087E-4</v>
      </c>
      <c r="D60">
        <f t="shared" si="2"/>
        <v>94.111490428348091</v>
      </c>
      <c r="E60">
        <f t="shared" si="3"/>
        <v>98.945402971868717</v>
      </c>
      <c r="G60">
        <v>7.9110699999999999E-4</v>
      </c>
      <c r="H60">
        <v>1.79116E-4</v>
      </c>
      <c r="I60">
        <f t="shared" si="4"/>
        <v>93.288609598111364</v>
      </c>
      <c r="J60">
        <f t="shared" si="5"/>
        <v>100.72995984658471</v>
      </c>
      <c r="L60" s="4">
        <v>9.2091600000000003E-4</v>
      </c>
      <c r="M60" s="4">
        <v>2.0453800000000001E-4</v>
      </c>
      <c r="N60" s="3">
        <f t="shared" si="6"/>
        <v>93.447239097588721</v>
      </c>
      <c r="O60" s="3">
        <f t="shared" si="7"/>
        <v>105.63342457263853</v>
      </c>
      <c r="Q60">
        <f t="shared" si="0"/>
        <v>8.3173866666666658E-4</v>
      </c>
      <c r="R60">
        <f t="shared" si="1"/>
        <v>1.7858033333333331E-4</v>
      </c>
      <c r="T60">
        <f t="shared" si="8"/>
        <v>93.615779708016063</v>
      </c>
      <c r="U60">
        <f t="shared" si="9"/>
        <v>101.76959579703066</v>
      </c>
      <c r="W60">
        <f t="shared" si="10"/>
        <v>0.35645258517338696</v>
      </c>
      <c r="X60">
        <f t="shared" si="11"/>
        <v>2.8276068108544421</v>
      </c>
    </row>
    <row r="61" spans="1:24" x14ac:dyDescent="0.35">
      <c r="A61">
        <v>380.34899999999999</v>
      </c>
      <c r="B61">
        <v>7.8489599999999999E-4</v>
      </c>
      <c r="C61">
        <v>1.5138900000000001E-4</v>
      </c>
      <c r="D61">
        <f t="shared" si="2"/>
        <v>94.316129474150941</v>
      </c>
      <c r="E61">
        <f t="shared" si="3"/>
        <v>98.491295183074399</v>
      </c>
      <c r="G61">
        <v>7.9174900000000001E-4</v>
      </c>
      <c r="H61">
        <v>1.7960099999999999E-4</v>
      </c>
      <c r="I61">
        <f t="shared" si="4"/>
        <v>93.364315270494487</v>
      </c>
      <c r="J61">
        <f t="shared" si="5"/>
        <v>101.00271063671843</v>
      </c>
      <c r="L61" s="4">
        <v>9.2056199999999999E-4</v>
      </c>
      <c r="M61" s="4">
        <v>1.9757499999999999E-4</v>
      </c>
      <c r="N61" s="3">
        <f t="shared" si="6"/>
        <v>93.411317990082125</v>
      </c>
      <c r="O61" s="3">
        <f t="shared" si="7"/>
        <v>102.03739090017044</v>
      </c>
      <c r="Q61">
        <f t="shared" si="0"/>
        <v>8.3240233333333336E-4</v>
      </c>
      <c r="R61">
        <f t="shared" si="1"/>
        <v>1.7618833333333332E-4</v>
      </c>
      <c r="T61">
        <f t="shared" si="8"/>
        <v>93.697254244909189</v>
      </c>
      <c r="U61">
        <f t="shared" si="9"/>
        <v>100.51046557332108</v>
      </c>
      <c r="W61">
        <f t="shared" si="10"/>
        <v>0.43803137325914315</v>
      </c>
      <c r="X61">
        <f t="shared" si="11"/>
        <v>1.48894316223085</v>
      </c>
    </row>
    <row r="62" spans="1:24" x14ac:dyDescent="0.35">
      <c r="A62">
        <v>386.57</v>
      </c>
      <c r="B62">
        <v>7.8679800000000001E-4</v>
      </c>
      <c r="C62">
        <v>1.50741E-4</v>
      </c>
      <c r="D62">
        <f t="shared" si="2"/>
        <v>94.544681127185029</v>
      </c>
      <c r="E62">
        <f t="shared" si="3"/>
        <v>98.069716605511729</v>
      </c>
      <c r="G62">
        <v>7.9399600000000005E-4</v>
      </c>
      <c r="H62">
        <v>1.7835E-4</v>
      </c>
      <c r="I62">
        <f t="shared" si="4"/>
        <v>93.629285123835388</v>
      </c>
      <c r="J62">
        <f t="shared" si="5"/>
        <v>100.29918231000237</v>
      </c>
      <c r="L62" s="4">
        <v>9.2188199999999995E-4</v>
      </c>
      <c r="M62" s="4">
        <v>1.8766900000000001E-4</v>
      </c>
      <c r="N62" s="3">
        <f t="shared" si="6"/>
        <v>93.545261102818571</v>
      </c>
      <c r="O62" s="3">
        <f t="shared" si="7"/>
        <v>96.92144812270827</v>
      </c>
      <c r="Q62">
        <f t="shared" si="0"/>
        <v>8.3422533333333323E-4</v>
      </c>
      <c r="R62">
        <f t="shared" si="1"/>
        <v>1.7225333333333333E-4</v>
      </c>
      <c r="T62">
        <f t="shared" si="8"/>
        <v>93.906409117946339</v>
      </c>
      <c r="U62">
        <f t="shared" si="9"/>
        <v>98.43011567940745</v>
      </c>
      <c r="W62">
        <f t="shared" si="10"/>
        <v>0.45262816038492631</v>
      </c>
      <c r="X62">
        <f t="shared" si="11"/>
        <v>1.402304693317991</v>
      </c>
    </row>
    <row r="63" spans="1:24" x14ac:dyDescent="0.35">
      <c r="A63">
        <v>392.74099999999999</v>
      </c>
      <c r="B63">
        <v>7.8870299999999997E-4</v>
      </c>
      <c r="C63">
        <v>1.5011399999999999E-4</v>
      </c>
      <c r="D63">
        <f t="shared" si="2"/>
        <v>94.773593271785401</v>
      </c>
      <c r="E63">
        <f t="shared" si="3"/>
        <v>97.661800296666385</v>
      </c>
      <c r="G63">
        <v>7.9709400000000004E-4</v>
      </c>
      <c r="H63">
        <v>1.7837800000000001E-4</v>
      </c>
      <c r="I63">
        <f t="shared" si="4"/>
        <v>93.994606265646723</v>
      </c>
      <c r="J63">
        <f t="shared" si="5"/>
        <v>100.31492874737091</v>
      </c>
      <c r="L63" s="4">
        <v>9.2619299999999996E-4</v>
      </c>
      <c r="M63" s="4">
        <v>1.8953899999999999E-4</v>
      </c>
      <c r="N63" s="3">
        <f t="shared" si="6"/>
        <v>93.982707132369271</v>
      </c>
      <c r="O63" s="3">
        <f t="shared" si="7"/>
        <v>97.887207560811845</v>
      </c>
      <c r="Q63">
        <f t="shared" si="0"/>
        <v>8.3732999999999995E-4</v>
      </c>
      <c r="R63">
        <f t="shared" si="1"/>
        <v>1.7267699999999999E-4</v>
      </c>
      <c r="T63">
        <f t="shared" si="8"/>
        <v>94.250302223267127</v>
      </c>
      <c r="U63">
        <f t="shared" si="9"/>
        <v>98.621312201616391</v>
      </c>
      <c r="W63">
        <f t="shared" si="10"/>
        <v>0.3700545351140388</v>
      </c>
      <c r="X63">
        <f t="shared" si="11"/>
        <v>1.2010980703013723</v>
      </c>
    </row>
    <row r="64" spans="1:24" x14ac:dyDescent="0.35">
      <c r="A64">
        <v>399.01299999999998</v>
      </c>
      <c r="B64">
        <v>7.9170300000000005E-4</v>
      </c>
      <c r="C64">
        <v>1.50161E-4</v>
      </c>
      <c r="D64">
        <f t="shared" si="2"/>
        <v>95.134084838085215</v>
      </c>
      <c r="E64">
        <f t="shared" si="3"/>
        <v>97.692377755224186</v>
      </c>
      <c r="G64">
        <v>7.9957100000000001E-4</v>
      </c>
      <c r="H64">
        <v>1.78121E-4</v>
      </c>
      <c r="I64">
        <f t="shared" si="4"/>
        <v>94.286698088844503</v>
      </c>
      <c r="J64">
        <f t="shared" si="5"/>
        <v>100.17039894723818</v>
      </c>
      <c r="L64" s="4">
        <v>9.2834099999999995E-4</v>
      </c>
      <c r="M64" s="4">
        <v>1.8921000000000001E-4</v>
      </c>
      <c r="N64" s="3">
        <f t="shared" si="6"/>
        <v>94.20066910673134</v>
      </c>
      <c r="O64" s="3">
        <f t="shared" si="7"/>
        <v>97.71729587357332</v>
      </c>
      <c r="Q64">
        <f t="shared" si="0"/>
        <v>8.398716666666667E-4</v>
      </c>
      <c r="R64">
        <f t="shared" si="1"/>
        <v>1.7249733333333335E-4</v>
      </c>
      <c r="T64">
        <f t="shared" si="8"/>
        <v>94.540484011220357</v>
      </c>
      <c r="U64">
        <f t="shared" si="9"/>
        <v>98.526690858678577</v>
      </c>
      <c r="W64">
        <f t="shared" si="10"/>
        <v>0.42120596915827546</v>
      </c>
      <c r="X64">
        <f t="shared" si="11"/>
        <v>1.1623216532591871</v>
      </c>
    </row>
    <row r="65" spans="1:24" x14ac:dyDescent="0.35">
      <c r="A65">
        <v>405.089</v>
      </c>
      <c r="B65">
        <v>7.9421500000000003E-4</v>
      </c>
      <c r="C65">
        <v>1.5078300000000001E-4</v>
      </c>
      <c r="D65">
        <f t="shared" si="2"/>
        <v>95.435936442933595</v>
      </c>
      <c r="E65">
        <f t="shared" si="3"/>
        <v>98.097041142946367</v>
      </c>
      <c r="G65">
        <v>8.0093799999999995E-4</v>
      </c>
      <c r="H65">
        <v>1.78832E-4</v>
      </c>
      <c r="I65">
        <f t="shared" si="4"/>
        <v>94.447896927080805</v>
      </c>
      <c r="J65">
        <f t="shared" si="5"/>
        <v>100.57024598184661</v>
      </c>
      <c r="L65" s="4">
        <v>9.2988000000000001E-4</v>
      </c>
      <c r="M65" s="4">
        <v>1.8787900000000001E-4</v>
      </c>
      <c r="N65" s="3">
        <f t="shared" si="6"/>
        <v>94.35683459953546</v>
      </c>
      <c r="O65" s="3">
        <f t="shared" si="7"/>
        <v>97.029902391158402</v>
      </c>
      <c r="Q65">
        <f t="shared" si="0"/>
        <v>8.4167766666666663E-4</v>
      </c>
      <c r="R65">
        <f t="shared" si="1"/>
        <v>1.7249800000000001E-4</v>
      </c>
      <c r="T65">
        <f t="shared" si="8"/>
        <v>94.746889323183282</v>
      </c>
      <c r="U65">
        <f t="shared" si="9"/>
        <v>98.565729838650455</v>
      </c>
      <c r="W65">
        <f t="shared" si="10"/>
        <v>0.48864611380264472</v>
      </c>
      <c r="X65">
        <f t="shared" si="11"/>
        <v>1.4828486110956336</v>
      </c>
    </row>
    <row r="66" spans="1:24" x14ac:dyDescent="0.35">
      <c r="A66">
        <v>411.38600000000002</v>
      </c>
      <c r="B66">
        <v>7.9620500000000002E-4</v>
      </c>
      <c r="C66">
        <v>1.5117799999999999E-4</v>
      </c>
      <c r="D66">
        <f t="shared" si="2"/>
        <v>95.675062515245784</v>
      </c>
      <c r="E66">
        <f t="shared" si="3"/>
        <v>98.354021911676668</v>
      </c>
      <c r="G66">
        <v>8.0520699999999995E-4</v>
      </c>
      <c r="H66">
        <v>1.81461E-4</v>
      </c>
      <c r="I66">
        <f t="shared" si="4"/>
        <v>94.951304271946086</v>
      </c>
      <c r="J66">
        <f t="shared" si="5"/>
        <v>102.04872397620039</v>
      </c>
      <c r="L66" s="4">
        <v>9.3417800000000003E-4</v>
      </c>
      <c r="M66" s="4">
        <v>1.9179399999999999E-4</v>
      </c>
      <c r="N66" s="3">
        <f t="shared" si="6"/>
        <v>94.792961492369813</v>
      </c>
      <c r="O66" s="3">
        <f t="shared" si="7"/>
        <v>99.051799824407368</v>
      </c>
      <c r="Q66">
        <f t="shared" si="0"/>
        <v>8.4519666666666663E-4</v>
      </c>
      <c r="R66">
        <f t="shared" si="1"/>
        <v>1.74811E-4</v>
      </c>
      <c r="T66">
        <f t="shared" si="8"/>
        <v>95.139776093187223</v>
      </c>
      <c r="U66">
        <f t="shared" si="9"/>
        <v>99.818181904094828</v>
      </c>
      <c r="W66">
        <f t="shared" si="10"/>
        <v>0.38398504674980388</v>
      </c>
      <c r="X66">
        <f t="shared" si="11"/>
        <v>1.6027501272185265</v>
      </c>
    </row>
    <row r="67" spans="1:24" x14ac:dyDescent="0.35">
      <c r="A67">
        <v>417.61700000000002</v>
      </c>
      <c r="B67">
        <v>7.9716300000000004E-4</v>
      </c>
      <c r="C67">
        <v>1.51602E-4</v>
      </c>
      <c r="D67">
        <f t="shared" si="2"/>
        <v>95.790179488750866</v>
      </c>
      <c r="E67">
        <f t="shared" si="3"/>
        <v>98.629869622921376</v>
      </c>
      <c r="G67">
        <v>8.04618E-4</v>
      </c>
      <c r="H67">
        <v>1.79808E-4</v>
      </c>
      <c r="I67">
        <f t="shared" si="4"/>
        <v>94.881848444790876</v>
      </c>
      <c r="J67">
        <f t="shared" si="5"/>
        <v>101.11912179869304</v>
      </c>
      <c r="L67" s="4">
        <v>9.3271000000000001E-4</v>
      </c>
      <c r="M67" s="4">
        <v>1.87722E-4</v>
      </c>
      <c r="N67" s="3">
        <f t="shared" si="6"/>
        <v>94.644000515478027</v>
      </c>
      <c r="O67" s="3">
        <f t="shared" si="7"/>
        <v>96.948819914269478</v>
      </c>
      <c r="Q67">
        <f t="shared" ref="Q67:R109" si="12">AVERAGE(B67,G67,L67)</f>
        <v>8.4483033333333324E-4</v>
      </c>
      <c r="R67">
        <f t="shared" si="12"/>
        <v>1.7304399999999999E-4</v>
      </c>
      <c r="T67">
        <f t="shared" si="8"/>
        <v>95.105342816339927</v>
      </c>
      <c r="U67">
        <f t="shared" si="9"/>
        <v>98.899270445294633</v>
      </c>
      <c r="W67">
        <f t="shared" si="10"/>
        <v>0.49389193168733619</v>
      </c>
      <c r="X67">
        <f t="shared" si="11"/>
        <v>1.7131427366350664</v>
      </c>
    </row>
    <row r="68" spans="1:24" x14ac:dyDescent="0.35">
      <c r="A68">
        <v>423.72800000000001</v>
      </c>
      <c r="B68">
        <v>7.9807599999999999E-4</v>
      </c>
      <c r="C68">
        <v>1.51559E-4</v>
      </c>
      <c r="D68">
        <f t="shared" ref="D68:D109" si="13">B68/$B$3*100</f>
        <v>95.899889088761441</v>
      </c>
      <c r="E68">
        <f t="shared" ref="E68:E109" si="14">C68/$C$3*100</f>
        <v>98.601894501262137</v>
      </c>
      <c r="G68">
        <v>8.06622E-4</v>
      </c>
      <c r="H68">
        <v>1.7953500000000001E-4</v>
      </c>
      <c r="I68">
        <f t="shared" ref="I68:I109" si="15">G68/$G$3*100</f>
        <v>95.118163347369929</v>
      </c>
      <c r="J68">
        <f t="shared" ref="J68:J109" si="16">H68/$H$3*100</f>
        <v>100.96559403434972</v>
      </c>
      <c r="L68" s="4">
        <v>9.3479200000000004E-4</v>
      </c>
      <c r="M68" s="4">
        <v>1.8704799999999999E-4</v>
      </c>
      <c r="N68" s="3">
        <f t="shared" ref="N68:N109" si="17">L68/$L$3*100</f>
        <v>94.855265334203281</v>
      </c>
      <c r="O68" s="3">
        <f t="shared" ref="O68:O109" si="18">M68/$M$3*100</f>
        <v>96.600733357434279</v>
      </c>
      <c r="Q68">
        <f t="shared" si="12"/>
        <v>8.4649666666666672E-4</v>
      </c>
      <c r="R68">
        <f t="shared" si="12"/>
        <v>1.72714E-4</v>
      </c>
      <c r="T68">
        <f t="shared" ref="T68:U109" si="19">AVERAGE(D68,I68,N68)</f>
        <v>95.291105923444889</v>
      </c>
      <c r="U68">
        <f t="shared" si="19"/>
        <v>98.722740631015384</v>
      </c>
      <c r="W68">
        <f t="shared" ref="W68:X109" si="20">_xlfn.STDEV.P(D68,I68,N68)</f>
        <v>0.4436526780499791</v>
      </c>
      <c r="X68">
        <f t="shared" si="20"/>
        <v>1.7839945856659121</v>
      </c>
    </row>
    <row r="69" spans="1:24" x14ac:dyDescent="0.35">
      <c r="A69">
        <v>429.99799999999999</v>
      </c>
      <c r="B69">
        <v>7.9860100000000002E-4</v>
      </c>
      <c r="C69">
        <v>1.5166600000000001E-4</v>
      </c>
      <c r="D69">
        <f t="shared" si="13"/>
        <v>95.962975112863901</v>
      </c>
      <c r="E69">
        <f t="shared" si="14"/>
        <v>98.671507013297941</v>
      </c>
      <c r="G69">
        <v>8.0823799999999997E-4</v>
      </c>
      <c r="H69">
        <v>1.7783600000000001E-4</v>
      </c>
      <c r="I69">
        <f t="shared" si="15"/>
        <v>95.308724666016516</v>
      </c>
      <c r="J69">
        <f t="shared" si="16"/>
        <v>100.01012270973692</v>
      </c>
      <c r="L69" s="4">
        <v>9.3510100000000003E-4</v>
      </c>
      <c r="M69" s="4">
        <v>1.93995E-4</v>
      </c>
      <c r="N69" s="3">
        <f t="shared" si="17"/>
        <v>94.886620199230236</v>
      </c>
      <c r="O69" s="3">
        <f t="shared" si="18"/>
        <v>100.1885038475443</v>
      </c>
      <c r="Q69">
        <f t="shared" si="12"/>
        <v>8.4731333333333341E-4</v>
      </c>
      <c r="R69">
        <f t="shared" si="12"/>
        <v>1.7449900000000002E-4</v>
      </c>
      <c r="T69">
        <f t="shared" si="19"/>
        <v>95.386106659370213</v>
      </c>
      <c r="U69">
        <f t="shared" si="19"/>
        <v>99.623377856859705</v>
      </c>
      <c r="W69">
        <f t="shared" si="20"/>
        <v>0.44281369648899965</v>
      </c>
      <c r="X69">
        <f t="shared" si="20"/>
        <v>0.67700247892142018</v>
      </c>
    </row>
    <row r="70" spans="1:24" x14ac:dyDescent="0.35">
      <c r="A70">
        <v>436.13900000000001</v>
      </c>
      <c r="B70">
        <v>8.0136400000000005E-4</v>
      </c>
      <c r="C70">
        <v>1.5038700000000001E-4</v>
      </c>
      <c r="D70">
        <f t="shared" si="13"/>
        <v>96.294987845426022</v>
      </c>
      <c r="E70">
        <f t="shared" si="14"/>
        <v>97.839409789991407</v>
      </c>
      <c r="G70">
        <v>8.1105700000000001E-4</v>
      </c>
      <c r="H70">
        <v>1.79264E-4</v>
      </c>
      <c r="I70">
        <f t="shared" si="15"/>
        <v>95.641145679175395</v>
      </c>
      <c r="J70">
        <f t="shared" si="16"/>
        <v>100.81319101553274</v>
      </c>
      <c r="L70" s="4">
        <v>9.3783899999999999E-4</v>
      </c>
      <c r="M70" s="4">
        <v>1.9687599999999999E-4</v>
      </c>
      <c r="N70" s="3">
        <f t="shared" si="17"/>
        <v>95.164450686103294</v>
      </c>
      <c r="O70" s="3">
        <f t="shared" si="18"/>
        <v>101.67639312090068</v>
      </c>
      <c r="Q70">
        <f t="shared" si="12"/>
        <v>8.5008666666666676E-4</v>
      </c>
      <c r="R70">
        <f t="shared" si="12"/>
        <v>1.7550900000000002E-4</v>
      </c>
      <c r="T70">
        <f t="shared" si="19"/>
        <v>95.700194736901565</v>
      </c>
      <c r="U70">
        <f t="shared" si="19"/>
        <v>100.1096646421416</v>
      </c>
      <c r="W70">
        <f t="shared" si="20"/>
        <v>0.46342468684504179</v>
      </c>
      <c r="X70">
        <f t="shared" si="20"/>
        <v>1.643537300856817</v>
      </c>
    </row>
    <row r="71" spans="1:24" x14ac:dyDescent="0.35">
      <c r="A71">
        <v>449.34300000000002</v>
      </c>
      <c r="B71">
        <v>1.15597E-6</v>
      </c>
      <c r="C71">
        <v>2.24467E-5</v>
      </c>
      <c r="D71">
        <f t="shared" si="13"/>
        <v>0.13890581196519575</v>
      </c>
      <c r="E71">
        <f t="shared" si="14"/>
        <v>14.603468915085745</v>
      </c>
      <c r="G71">
        <v>1.2909899999999999E-6</v>
      </c>
      <c r="H71">
        <v>2.3319299999999999E-5</v>
      </c>
      <c r="I71">
        <f t="shared" si="15"/>
        <v>0.15223561680665926</v>
      </c>
      <c r="J71">
        <f t="shared" si="16"/>
        <v>13.114139176011427</v>
      </c>
      <c r="L71" s="4">
        <v>9.9430500000000009E-7</v>
      </c>
      <c r="M71" s="4">
        <v>2.57674E-5</v>
      </c>
      <c r="N71" s="3">
        <f t="shared" si="17"/>
        <v>0.10089417174957103</v>
      </c>
      <c r="O71" s="3">
        <f t="shared" si="18"/>
        <v>13.307545318390746</v>
      </c>
      <c r="Q71">
        <f t="shared" si="12"/>
        <v>1.1470883333333334E-6</v>
      </c>
      <c r="R71">
        <f t="shared" si="12"/>
        <v>2.3844466666666665E-5</v>
      </c>
      <c r="T71">
        <f t="shared" si="19"/>
        <v>0.13067853350714201</v>
      </c>
      <c r="U71">
        <f t="shared" si="19"/>
        <v>13.675051136495973</v>
      </c>
      <c r="W71">
        <f t="shared" si="20"/>
        <v>2.1752426351363957E-2</v>
      </c>
      <c r="X71">
        <f t="shared" si="20"/>
        <v>0.66122167875263949</v>
      </c>
    </row>
    <row r="72" spans="1:24" x14ac:dyDescent="0.35">
      <c r="A72">
        <v>455.57600000000002</v>
      </c>
      <c r="B72">
        <v>1.1569399999999999E-6</v>
      </c>
      <c r="C72">
        <v>2.25101E-5</v>
      </c>
      <c r="D72">
        <f t="shared" si="13"/>
        <v>0.139022370904966</v>
      </c>
      <c r="E72">
        <f t="shared" si="14"/>
        <v>14.644715954927523</v>
      </c>
      <c r="G72">
        <v>1.29087E-6</v>
      </c>
      <c r="H72">
        <v>2.33894E-5</v>
      </c>
      <c r="I72">
        <f t="shared" si="15"/>
        <v>0.15222146621369045</v>
      </c>
      <c r="J72">
        <f t="shared" si="16"/>
        <v>13.153561506709108</v>
      </c>
      <c r="L72" s="4">
        <v>9.9172700000000008E-7</v>
      </c>
      <c r="M72" s="4">
        <v>2.58078E-5</v>
      </c>
      <c r="N72" s="3">
        <f t="shared" si="17"/>
        <v>0.10063257679151451</v>
      </c>
      <c r="O72" s="3">
        <f t="shared" si="18"/>
        <v>13.328409853844963</v>
      </c>
      <c r="Q72">
        <f t="shared" si="12"/>
        <v>1.1465123333333334E-6</v>
      </c>
      <c r="R72">
        <f t="shared" si="12"/>
        <v>2.3902433333333333E-5</v>
      </c>
      <c r="T72">
        <f t="shared" si="19"/>
        <v>0.13062547130339031</v>
      </c>
      <c r="U72">
        <f t="shared" si="19"/>
        <v>13.708895771827196</v>
      </c>
      <c r="W72">
        <f t="shared" si="20"/>
        <v>2.1882021846599497E-2</v>
      </c>
      <c r="X72">
        <f t="shared" si="20"/>
        <v>0.66556369464661547</v>
      </c>
    </row>
    <row r="73" spans="1:24" x14ac:dyDescent="0.35">
      <c r="A73">
        <v>461.834</v>
      </c>
      <c r="B73">
        <v>1.1454300000000001E-6</v>
      </c>
      <c r="C73">
        <v>2.2458799999999999E-5</v>
      </c>
      <c r="D73">
        <f t="shared" si="13"/>
        <v>0.1376392849289291</v>
      </c>
      <c r="E73">
        <f t="shared" si="14"/>
        <v>14.611340984203814</v>
      </c>
      <c r="G73">
        <v>1.27564E-6</v>
      </c>
      <c r="H73">
        <v>2.3328300000000002E-5</v>
      </c>
      <c r="I73">
        <f t="shared" si="15"/>
        <v>0.1504255201227328</v>
      </c>
      <c r="J73">
        <f t="shared" si="16"/>
        <v>13.11920053087989</v>
      </c>
      <c r="L73" s="4">
        <v>9.7743099999999996E-7</v>
      </c>
      <c r="M73" s="4">
        <v>2.56978E-5</v>
      </c>
      <c r="N73" s="3">
        <f t="shared" si="17"/>
        <v>9.9181932291756494E-2</v>
      </c>
      <c r="O73" s="3">
        <f t="shared" si="18"/>
        <v>13.271600475132987</v>
      </c>
      <c r="Q73">
        <f t="shared" si="12"/>
        <v>1.1328336666666667E-6</v>
      </c>
      <c r="R73">
        <f t="shared" si="12"/>
        <v>2.38283E-5</v>
      </c>
      <c r="T73">
        <f t="shared" si="19"/>
        <v>0.12908224578113944</v>
      </c>
      <c r="U73">
        <f t="shared" si="19"/>
        <v>13.667380663405565</v>
      </c>
      <c r="W73">
        <f t="shared" si="20"/>
        <v>2.1777565102345606E-2</v>
      </c>
      <c r="X73">
        <f t="shared" si="20"/>
        <v>0.6703741498512793</v>
      </c>
    </row>
    <row r="74" spans="1:24" x14ac:dyDescent="0.35">
      <c r="A74">
        <v>468.06400000000002</v>
      </c>
      <c r="B74">
        <v>1.1300800000000001E-6</v>
      </c>
      <c r="C74">
        <v>2.2407899999999999E-5</v>
      </c>
      <c r="D74">
        <f t="shared" si="13"/>
        <v>0.13579476974802843</v>
      </c>
      <c r="E74">
        <f t="shared" si="14"/>
        <v>14.578226247169956</v>
      </c>
      <c r="G74">
        <v>1.2513100000000001E-6</v>
      </c>
      <c r="H74">
        <v>2.3261900000000002E-5</v>
      </c>
      <c r="I74">
        <f t="shared" si="15"/>
        <v>0.14755648739830735</v>
      </c>
      <c r="J74">
        <f t="shared" si="16"/>
        <v>13.081858979405911</v>
      </c>
      <c r="L74" s="4">
        <v>9.5530900000000002E-7</v>
      </c>
      <c r="M74" s="4">
        <v>2.5644599999999998E-5</v>
      </c>
      <c r="N74" s="3">
        <f t="shared" si="17"/>
        <v>9.6937167488759426E-2</v>
      </c>
      <c r="O74" s="3">
        <f t="shared" si="18"/>
        <v>13.244125393792283</v>
      </c>
      <c r="Q74">
        <f t="shared" si="12"/>
        <v>1.112233E-6</v>
      </c>
      <c r="R74">
        <f t="shared" si="12"/>
        <v>2.3771466666666668E-5</v>
      </c>
      <c r="T74">
        <f t="shared" si="19"/>
        <v>0.12676280821169841</v>
      </c>
      <c r="U74">
        <f t="shared" si="19"/>
        <v>13.634736873456049</v>
      </c>
      <c r="W74">
        <f t="shared" si="20"/>
        <v>2.1629626810181692E-2</v>
      </c>
      <c r="X74">
        <f t="shared" si="20"/>
        <v>0.67042859229140206</v>
      </c>
    </row>
    <row r="75" spans="1:24" x14ac:dyDescent="0.35">
      <c r="A75">
        <v>474.19400000000002</v>
      </c>
      <c r="B75">
        <v>1.11854E-6</v>
      </c>
      <c r="C75">
        <v>2.2367699999999999E-5</v>
      </c>
      <c r="D75">
        <f t="shared" si="13"/>
        <v>0.13440807885632849</v>
      </c>
      <c r="E75">
        <f t="shared" si="14"/>
        <v>14.552072761339682</v>
      </c>
      <c r="G75">
        <v>1.2425800000000001E-6</v>
      </c>
      <c r="H75">
        <v>2.3219900000000001E-5</v>
      </c>
      <c r="I75">
        <f t="shared" si="15"/>
        <v>0.1465270317598267</v>
      </c>
      <c r="J75">
        <f t="shared" si="16"/>
        <v>13.05823932335309</v>
      </c>
      <c r="L75" s="4">
        <v>9.2838799999999996E-7</v>
      </c>
      <c r="M75" s="4">
        <v>2.5649599999999999E-5</v>
      </c>
      <c r="N75" s="3">
        <f t="shared" si="17"/>
        <v>9.4205438293321203E-2</v>
      </c>
      <c r="O75" s="3">
        <f t="shared" si="18"/>
        <v>13.246707638279192</v>
      </c>
      <c r="Q75">
        <f t="shared" si="12"/>
        <v>1.0965026666666665E-6</v>
      </c>
      <c r="R75">
        <f t="shared" si="12"/>
        <v>2.3745733333333332E-5</v>
      </c>
      <c r="T75">
        <f t="shared" si="19"/>
        <v>0.12504684963649212</v>
      </c>
      <c r="U75">
        <f t="shared" si="19"/>
        <v>13.619006574323988</v>
      </c>
      <c r="W75">
        <f t="shared" si="20"/>
        <v>2.2362345510527497E-2</v>
      </c>
      <c r="X75">
        <f t="shared" si="20"/>
        <v>0.66424867755320638</v>
      </c>
    </row>
    <row r="76" spans="1:24" x14ac:dyDescent="0.35">
      <c r="A76">
        <v>480.49299999999999</v>
      </c>
      <c r="B76">
        <v>1.11158E-6</v>
      </c>
      <c r="C76">
        <v>2.2340800000000001E-5</v>
      </c>
      <c r="D76">
        <f t="shared" si="13"/>
        <v>0.13357173842251294</v>
      </c>
      <c r="E76">
        <f t="shared" si="14"/>
        <v>14.534572045697036</v>
      </c>
      <c r="G76">
        <v>1.22966E-6</v>
      </c>
      <c r="H76">
        <v>2.3182800000000001E-5</v>
      </c>
      <c r="I76">
        <f t="shared" si="15"/>
        <v>0.14500348458351858</v>
      </c>
      <c r="J76">
        <f t="shared" si="16"/>
        <v>13.037375293839769</v>
      </c>
      <c r="L76" s="4">
        <v>9.0375899999999996E-7</v>
      </c>
      <c r="M76" s="4">
        <v>2.5626000000000002E-5</v>
      </c>
      <c r="N76" s="3">
        <f t="shared" si="17"/>
        <v>9.1706283048179932E-2</v>
      </c>
      <c r="O76" s="3">
        <f t="shared" si="18"/>
        <v>13.234519444300988</v>
      </c>
      <c r="Q76">
        <f t="shared" si="12"/>
        <v>1.0816663333333334E-6</v>
      </c>
      <c r="R76">
        <f t="shared" si="12"/>
        <v>2.3716533333333336E-5</v>
      </c>
      <c r="T76">
        <f t="shared" si="19"/>
        <v>0.12342716868473717</v>
      </c>
      <c r="U76">
        <f t="shared" si="19"/>
        <v>13.602155594612597</v>
      </c>
      <c r="W76">
        <f t="shared" si="20"/>
        <v>2.291043640277023E-2</v>
      </c>
      <c r="X76">
        <f t="shared" si="20"/>
        <v>0.66421220640442069</v>
      </c>
    </row>
    <row r="77" spans="1:24" x14ac:dyDescent="0.35">
      <c r="A77">
        <v>486.74799999999999</v>
      </c>
      <c r="B77">
        <v>1.1024199999999999E-6</v>
      </c>
      <c r="C77">
        <v>2.2314899999999999E-5</v>
      </c>
      <c r="D77">
        <f t="shared" si="13"/>
        <v>0.13247103750674419</v>
      </c>
      <c r="E77">
        <f t="shared" si="14"/>
        <v>14.517721914279019</v>
      </c>
      <c r="G77">
        <v>1.2236400000000001E-6</v>
      </c>
      <c r="H77">
        <v>2.31376E-5</v>
      </c>
      <c r="I77">
        <f t="shared" si="15"/>
        <v>0.14429359650291679</v>
      </c>
      <c r="J77">
        <f t="shared" si="16"/>
        <v>13.011956044944831</v>
      </c>
      <c r="L77" s="4">
        <v>8.8405899999999996E-7</v>
      </c>
      <c r="M77" s="4">
        <v>2.5641400000000002E-5</v>
      </c>
      <c r="N77" s="3">
        <f t="shared" si="17"/>
        <v>8.9707283562643264E-2</v>
      </c>
      <c r="O77" s="3">
        <f t="shared" si="18"/>
        <v>13.242472757320664</v>
      </c>
      <c r="Q77">
        <f t="shared" si="12"/>
        <v>1.0700396666666668E-6</v>
      </c>
      <c r="R77">
        <f t="shared" si="12"/>
        <v>2.3697966666666666E-5</v>
      </c>
      <c r="T77">
        <f t="shared" si="19"/>
        <v>0.12215730585743474</v>
      </c>
      <c r="U77">
        <f t="shared" si="19"/>
        <v>13.590716905514839</v>
      </c>
      <c r="W77">
        <f t="shared" si="20"/>
        <v>2.3447760170271326E-2</v>
      </c>
      <c r="X77">
        <f t="shared" si="20"/>
        <v>0.66221255569318493</v>
      </c>
    </row>
    <row r="78" spans="1:24" x14ac:dyDescent="0.35">
      <c r="A78">
        <v>492.90800000000002</v>
      </c>
      <c r="B78">
        <v>1.0987200000000001E-6</v>
      </c>
      <c r="C78">
        <v>2.2293099999999998E-5</v>
      </c>
      <c r="D78">
        <f t="shared" si="13"/>
        <v>0.13202643124164112</v>
      </c>
      <c r="E78">
        <f t="shared" si="14"/>
        <v>14.503539178182004</v>
      </c>
      <c r="G78">
        <v>1.20841E-6</v>
      </c>
      <c r="H78">
        <v>2.3084699999999999E-5</v>
      </c>
      <c r="I78">
        <f t="shared" si="15"/>
        <v>0.14249765041195914</v>
      </c>
      <c r="J78">
        <f t="shared" si="16"/>
        <v>12.982206525773544</v>
      </c>
      <c r="L78" s="4">
        <v>8.6154200000000003E-7</v>
      </c>
      <c r="M78" s="4">
        <v>2.5593999999999999E-5</v>
      </c>
      <c r="N78" s="3">
        <f t="shared" si="17"/>
        <v>8.7422437297880351E-2</v>
      </c>
      <c r="O78" s="3">
        <f t="shared" si="18"/>
        <v>13.217993079584774</v>
      </c>
      <c r="Q78">
        <f t="shared" si="12"/>
        <v>1.056224E-6</v>
      </c>
      <c r="R78">
        <f t="shared" si="12"/>
        <v>2.3657266666666665E-5</v>
      </c>
      <c r="T78">
        <f t="shared" si="19"/>
        <v>0.12064883965049354</v>
      </c>
      <c r="U78">
        <f t="shared" si="19"/>
        <v>13.567912927846775</v>
      </c>
      <c r="W78">
        <f t="shared" si="20"/>
        <v>2.3880354097060824E-2</v>
      </c>
      <c r="X78">
        <f t="shared" si="20"/>
        <v>0.66855375499497238</v>
      </c>
    </row>
    <row r="79" spans="1:24" x14ac:dyDescent="0.35">
      <c r="A79">
        <v>499.07900000000001</v>
      </c>
      <c r="B79">
        <v>1.08773E-6</v>
      </c>
      <c r="C79">
        <v>2.2279399999999999E-5</v>
      </c>
      <c r="D79">
        <f t="shared" si="13"/>
        <v>0.13070583047042947</v>
      </c>
      <c r="E79">
        <f t="shared" si="14"/>
        <v>14.494626174304523</v>
      </c>
      <c r="G79">
        <v>1.19401E-6</v>
      </c>
      <c r="H79">
        <v>2.30232E-5</v>
      </c>
      <c r="I79">
        <f t="shared" si="15"/>
        <v>0.14079957925570238</v>
      </c>
      <c r="J79">
        <f t="shared" si="16"/>
        <v>12.947620600839061</v>
      </c>
      <c r="L79" s="4">
        <v>8.385E-7</v>
      </c>
      <c r="M79" s="4">
        <v>2.55215E-5</v>
      </c>
      <c r="N79" s="3">
        <f t="shared" si="17"/>
        <v>8.5084318204188158E-2</v>
      </c>
      <c r="O79" s="3">
        <f t="shared" si="18"/>
        <v>13.180550534524608</v>
      </c>
      <c r="Q79">
        <f t="shared" si="12"/>
        <v>1.0400800000000001E-6</v>
      </c>
      <c r="R79">
        <f t="shared" si="12"/>
        <v>2.3608033333333332E-5</v>
      </c>
      <c r="T79">
        <f t="shared" si="19"/>
        <v>0.11886324264344</v>
      </c>
      <c r="U79">
        <f t="shared" si="19"/>
        <v>13.540932436556064</v>
      </c>
      <c r="W79">
        <f t="shared" si="20"/>
        <v>2.4238161967437027E-2</v>
      </c>
      <c r="X79">
        <f t="shared" si="20"/>
        <v>0.68103494651750851</v>
      </c>
    </row>
    <row r="80" spans="1:24" x14ac:dyDescent="0.35">
      <c r="A80">
        <v>505.34300000000002</v>
      </c>
      <c r="B80">
        <v>1.07835E-6</v>
      </c>
      <c r="C80">
        <v>2.22415E-5</v>
      </c>
      <c r="D80">
        <f t="shared" si="13"/>
        <v>0.12957869350646542</v>
      </c>
      <c r="E80">
        <f t="shared" si="14"/>
        <v>14.469969032190907</v>
      </c>
      <c r="G80">
        <v>1.1813100000000001E-6</v>
      </c>
      <c r="H80">
        <v>2.30061E-5</v>
      </c>
      <c r="I80">
        <f t="shared" si="15"/>
        <v>0.13930197483317042</v>
      </c>
      <c r="J80">
        <f t="shared" si="16"/>
        <v>12.938004026588985</v>
      </c>
      <c r="L80" s="4">
        <v>8.2131099999999996E-7</v>
      </c>
      <c r="M80" s="4">
        <v>2.5451499999999998E-5</v>
      </c>
      <c r="N80" s="3">
        <f t="shared" si="17"/>
        <v>8.3340115049016075E-2</v>
      </c>
      <c r="O80" s="3">
        <f t="shared" si="18"/>
        <v>13.144399111707896</v>
      </c>
      <c r="Q80">
        <f t="shared" si="12"/>
        <v>1.0269903333333336E-6</v>
      </c>
      <c r="R80">
        <f t="shared" si="12"/>
        <v>2.3566366666666669E-5</v>
      </c>
      <c r="T80">
        <f t="shared" si="19"/>
        <v>0.11740692779621731</v>
      </c>
      <c r="U80">
        <f t="shared" si="19"/>
        <v>13.517457390162596</v>
      </c>
      <c r="W80">
        <f t="shared" si="20"/>
        <v>2.4413744052674043E-2</v>
      </c>
      <c r="X80">
        <f t="shared" si="20"/>
        <v>0.67877760419738487</v>
      </c>
    </row>
    <row r="81" spans="1:24" x14ac:dyDescent="0.35">
      <c r="A81">
        <v>518.67100000000005</v>
      </c>
      <c r="B81">
        <v>6.7796800000000004E-4</v>
      </c>
      <c r="C81">
        <v>1.55277E-4</v>
      </c>
      <c r="D81">
        <f t="shared" si="13"/>
        <v>81.467248740382388</v>
      </c>
      <c r="E81">
        <f t="shared" si="14"/>
        <v>101.02076664845031</v>
      </c>
      <c r="G81">
        <v>6.8626099999999997E-4</v>
      </c>
      <c r="H81">
        <v>2.01936E-4</v>
      </c>
      <c r="I81">
        <f t="shared" si="15"/>
        <v>80.925000678049244</v>
      </c>
      <c r="J81">
        <f t="shared" si="16"/>
        <v>113.5633063019492</v>
      </c>
      <c r="L81" s="4">
        <v>7.7965300000000005E-4</v>
      </c>
      <c r="M81" s="4">
        <v>1.9858199999999999E-4</v>
      </c>
      <c r="N81" s="3">
        <f t="shared" si="17"/>
        <v>79.112992177519274</v>
      </c>
      <c r="O81" s="3">
        <f t="shared" si="18"/>
        <v>102.5574549398337</v>
      </c>
      <c r="Q81">
        <f t="shared" si="12"/>
        <v>7.1462733333333339E-4</v>
      </c>
      <c r="R81">
        <f t="shared" si="12"/>
        <v>1.85265E-4</v>
      </c>
      <c r="T81">
        <f t="shared" si="19"/>
        <v>80.501747198650307</v>
      </c>
      <c r="U81">
        <f t="shared" si="19"/>
        <v>105.71384263007774</v>
      </c>
      <c r="W81">
        <f t="shared" si="20"/>
        <v>1.0066408236683344</v>
      </c>
      <c r="X81">
        <f t="shared" si="20"/>
        <v>5.5857504824473416</v>
      </c>
    </row>
    <row r="82" spans="1:24" x14ac:dyDescent="0.35">
      <c r="A82">
        <v>524.91800000000001</v>
      </c>
      <c r="B82">
        <v>7.0014299999999997E-4</v>
      </c>
      <c r="C82">
        <v>1.5976900000000001E-4</v>
      </c>
      <c r="D82">
        <f t="shared" si="13"/>
        <v>84.131882234615119</v>
      </c>
      <c r="E82">
        <f t="shared" si="14"/>
        <v>103.94319098550497</v>
      </c>
      <c r="G82">
        <v>7.0886799999999998E-4</v>
      </c>
      <c r="H82">
        <v>2.0425400000000001E-4</v>
      </c>
      <c r="I82">
        <f t="shared" si="15"/>
        <v>83.59085447176426</v>
      </c>
      <c r="J82">
        <f t="shared" si="16"/>
        <v>114.86688636695948</v>
      </c>
      <c r="L82" s="4">
        <v>8.0518199999999999E-4</v>
      </c>
      <c r="M82" s="4">
        <v>2.00089E-4</v>
      </c>
      <c r="N82" s="3">
        <f t="shared" si="17"/>
        <v>81.703472272253578</v>
      </c>
      <c r="O82" s="3">
        <f t="shared" si="18"/>
        <v>103.33574342818778</v>
      </c>
      <c r="Q82">
        <f t="shared" si="12"/>
        <v>7.3806433333333324E-4</v>
      </c>
      <c r="R82">
        <f t="shared" si="12"/>
        <v>1.8803733333333332E-4</v>
      </c>
      <c r="T82">
        <f t="shared" si="19"/>
        <v>83.142069659544319</v>
      </c>
      <c r="U82">
        <f t="shared" si="19"/>
        <v>107.38194026021741</v>
      </c>
      <c r="W82">
        <f t="shared" si="20"/>
        <v>1.0409449527820582</v>
      </c>
      <c r="X82">
        <f t="shared" si="20"/>
        <v>5.2984627833204341</v>
      </c>
    </row>
    <row r="83" spans="1:24" x14ac:dyDescent="0.35">
      <c r="A83">
        <v>531.04899999999998</v>
      </c>
      <c r="B83">
        <v>7.1471999999999996E-4</v>
      </c>
      <c r="C83">
        <v>1.5774300000000001E-4</v>
      </c>
      <c r="D83">
        <f t="shared" si="13"/>
        <v>85.883510755265874</v>
      </c>
      <c r="E83">
        <f t="shared" si="14"/>
        <v>102.62510734639707</v>
      </c>
      <c r="G83">
        <v>7.2410499999999995E-4</v>
      </c>
      <c r="H83">
        <v>2.0323499999999999E-4</v>
      </c>
      <c r="I83">
        <f t="shared" si="15"/>
        <v>85.387626013978419</v>
      </c>
      <c r="J83">
        <f t="shared" si="16"/>
        <v>114.29382852129706</v>
      </c>
      <c r="L83" s="4">
        <v>8.2290800000000002E-4</v>
      </c>
      <c r="M83" s="4">
        <v>2.0568299999999999E-4</v>
      </c>
      <c r="N83" s="3">
        <f t="shared" si="17"/>
        <v>83.502165921016186</v>
      </c>
      <c r="O83" s="3">
        <f t="shared" si="18"/>
        <v>106.22475856014046</v>
      </c>
      <c r="Q83">
        <f t="shared" si="12"/>
        <v>7.5391100000000001E-4</v>
      </c>
      <c r="R83">
        <f t="shared" si="12"/>
        <v>1.88887E-4</v>
      </c>
      <c r="T83">
        <f t="shared" si="19"/>
        <v>84.924434230086831</v>
      </c>
      <c r="U83">
        <f t="shared" si="19"/>
        <v>107.7145648092782</v>
      </c>
      <c r="W83">
        <f t="shared" si="20"/>
        <v>1.0258689898164144</v>
      </c>
      <c r="X83">
        <f t="shared" si="20"/>
        <v>4.8788253681507685</v>
      </c>
    </row>
    <row r="84" spans="1:24" x14ac:dyDescent="0.35">
      <c r="A84">
        <v>537.19200000000001</v>
      </c>
      <c r="B84">
        <v>7.2710699999999995E-4</v>
      </c>
      <c r="C84">
        <v>1.5581300000000001E-4</v>
      </c>
      <c r="D84">
        <f t="shared" si="13"/>
        <v>87.371980432517773</v>
      </c>
      <c r="E84">
        <f t="shared" si="14"/>
        <v>101.36947979285398</v>
      </c>
      <c r="G84">
        <v>7.3937000000000004E-4</v>
      </c>
      <c r="H84">
        <v>2.00552E-4</v>
      </c>
      <c r="I84">
        <f t="shared" si="15"/>
        <v>87.187699361218648</v>
      </c>
      <c r="J84">
        <f t="shared" si="16"/>
        <v>112.78498239773252</v>
      </c>
      <c r="L84" s="4">
        <v>8.3458000000000002E-4</v>
      </c>
      <c r="M84" s="4">
        <v>1.9798799999999999E-4</v>
      </c>
      <c r="N84" s="3">
        <f t="shared" si="17"/>
        <v>84.686547748182889</v>
      </c>
      <c r="O84" s="3">
        <f t="shared" si="18"/>
        <v>102.25068429478902</v>
      </c>
      <c r="Q84">
        <f t="shared" si="12"/>
        <v>7.6701899999999997E-4</v>
      </c>
      <c r="R84">
        <f t="shared" si="12"/>
        <v>1.8478433333333331E-4</v>
      </c>
      <c r="T84">
        <f t="shared" si="19"/>
        <v>86.41540918063977</v>
      </c>
      <c r="U84">
        <f t="shared" si="19"/>
        <v>105.46838216179185</v>
      </c>
      <c r="W84">
        <f t="shared" si="20"/>
        <v>1.2248023698505901</v>
      </c>
      <c r="X84">
        <f t="shared" si="20"/>
        <v>5.1861102702624855</v>
      </c>
    </row>
    <row r="85" spans="1:24" x14ac:dyDescent="0.35">
      <c r="A85">
        <v>543.55200000000002</v>
      </c>
      <c r="B85">
        <v>7.3743099999999998E-4</v>
      </c>
      <c r="C85">
        <v>1.55332E-4</v>
      </c>
      <c r="D85">
        <f t="shared" si="13"/>
        <v>88.612552076010843</v>
      </c>
      <c r="E85">
        <f t="shared" si="14"/>
        <v>101.05654878080514</v>
      </c>
      <c r="G85">
        <v>7.5367399999999997E-4</v>
      </c>
      <c r="H85">
        <v>2.02315E-4</v>
      </c>
      <c r="I85">
        <f t="shared" si="15"/>
        <v>88.874450043100339</v>
      </c>
      <c r="J85">
        <f t="shared" si="16"/>
        <v>113.77644557918771</v>
      </c>
      <c r="L85" s="4">
        <v>8.4671099999999999E-4</v>
      </c>
      <c r="M85" s="4">
        <v>1.97023E-4</v>
      </c>
      <c r="N85" s="3">
        <f t="shared" si="17"/>
        <v>85.917505248642044</v>
      </c>
      <c r="O85" s="3">
        <f t="shared" si="18"/>
        <v>101.75231110881577</v>
      </c>
      <c r="Q85">
        <f t="shared" si="12"/>
        <v>7.7927200000000002E-4</v>
      </c>
      <c r="R85">
        <f t="shared" si="12"/>
        <v>1.8488999999999997E-4</v>
      </c>
      <c r="T85">
        <f t="shared" si="19"/>
        <v>87.801502455917742</v>
      </c>
      <c r="U85">
        <f t="shared" si="19"/>
        <v>105.52843515626955</v>
      </c>
      <c r="W85">
        <f t="shared" si="20"/>
        <v>1.336470911033576</v>
      </c>
      <c r="X85">
        <f t="shared" si="20"/>
        <v>5.8391368230070171</v>
      </c>
    </row>
    <row r="86" spans="1:24" x14ac:dyDescent="0.35">
      <c r="A86">
        <v>549.649</v>
      </c>
      <c r="B86">
        <v>7.4571000000000001E-4</v>
      </c>
      <c r="C86">
        <v>1.5490400000000001E-4</v>
      </c>
      <c r="D86">
        <f t="shared" si="13"/>
        <v>89.607388635142883</v>
      </c>
      <c r="E86">
        <f t="shared" si="14"/>
        <v>100.77809873266193</v>
      </c>
      <c r="G86">
        <v>7.6248199999999998E-4</v>
      </c>
      <c r="H86">
        <v>2.0016899999999999E-4</v>
      </c>
      <c r="I86">
        <f t="shared" si="15"/>
        <v>89.913103567010722</v>
      </c>
      <c r="J86">
        <f t="shared" si="16"/>
        <v>112.56959362944133</v>
      </c>
      <c r="L86" s="4">
        <v>8.56944E-4</v>
      </c>
      <c r="M86" s="4">
        <v>1.9685199999999999E-4</v>
      </c>
      <c r="N86" s="3">
        <f t="shared" si="17"/>
        <v>86.955868788514977</v>
      </c>
      <c r="O86" s="3">
        <f t="shared" si="18"/>
        <v>101.66399834736353</v>
      </c>
      <c r="Q86">
        <f t="shared" si="12"/>
        <v>7.8837866666666659E-4</v>
      </c>
      <c r="R86">
        <f t="shared" si="12"/>
        <v>1.8397499999999999E-4</v>
      </c>
      <c r="T86">
        <f t="shared" si="19"/>
        <v>88.825453663556189</v>
      </c>
      <c r="U86">
        <f t="shared" si="19"/>
        <v>105.00389690315559</v>
      </c>
      <c r="W86">
        <f t="shared" si="20"/>
        <v>1.3278745193300212</v>
      </c>
      <c r="X86">
        <f t="shared" si="20"/>
        <v>5.3619666632949823</v>
      </c>
    </row>
    <row r="87" spans="1:24" x14ac:dyDescent="0.35">
      <c r="A87">
        <v>555.86300000000006</v>
      </c>
      <c r="B87">
        <v>7.5298699999999999E-4</v>
      </c>
      <c r="C87">
        <v>1.5526099999999999E-4</v>
      </c>
      <c r="D87">
        <f t="shared" si="13"/>
        <v>90.481821011130776</v>
      </c>
      <c r="E87">
        <f t="shared" si="14"/>
        <v>101.01035730085614</v>
      </c>
      <c r="G87">
        <v>7.6812600000000005E-4</v>
      </c>
      <c r="H87">
        <v>1.9956600000000001E-4</v>
      </c>
      <c r="I87">
        <f t="shared" si="15"/>
        <v>90.578653122976917</v>
      </c>
      <c r="J87">
        <f t="shared" si="16"/>
        <v>112.23048285325446</v>
      </c>
      <c r="L87" s="4">
        <v>8.6450700000000004E-4</v>
      </c>
      <c r="M87" s="4">
        <v>1.9437400000000001E-4</v>
      </c>
      <c r="N87" s="3">
        <f t="shared" si="17"/>
        <v>87.723301941261894</v>
      </c>
      <c r="O87" s="3">
        <f t="shared" si="18"/>
        <v>100.38423797965193</v>
      </c>
      <c r="Q87">
        <f t="shared" si="12"/>
        <v>7.9520666666666677E-4</v>
      </c>
      <c r="R87">
        <f t="shared" si="12"/>
        <v>1.83067E-4</v>
      </c>
      <c r="T87">
        <f t="shared" si="19"/>
        <v>89.594592025123191</v>
      </c>
      <c r="U87">
        <f t="shared" si="19"/>
        <v>104.54169271125419</v>
      </c>
      <c r="W87">
        <f t="shared" si="20"/>
        <v>1.3237922918492848</v>
      </c>
      <c r="X87">
        <f t="shared" si="20"/>
        <v>5.4428011622011221</v>
      </c>
    </row>
    <row r="88" spans="1:24" x14ac:dyDescent="0.35">
      <c r="A88">
        <v>562.19600000000003</v>
      </c>
      <c r="B88">
        <v>7.5779299999999999E-4</v>
      </c>
      <c r="C88">
        <v>1.55494E-4</v>
      </c>
      <c r="D88">
        <f t="shared" si="13"/>
        <v>91.059328500343057</v>
      </c>
      <c r="E88">
        <f t="shared" si="14"/>
        <v>101.16194342519582</v>
      </c>
      <c r="G88">
        <v>7.7562799999999999E-4</v>
      </c>
      <c r="H88">
        <v>2.03439E-4</v>
      </c>
      <c r="I88">
        <f t="shared" si="15"/>
        <v>91.463301026743437</v>
      </c>
      <c r="J88">
        <f t="shared" si="16"/>
        <v>114.40855256498217</v>
      </c>
      <c r="L88" s="4">
        <v>8.6876200000000003E-4</v>
      </c>
      <c r="M88" s="4">
        <v>1.9815499999999999E-4</v>
      </c>
      <c r="N88" s="3">
        <f t="shared" si="17"/>
        <v>88.155065535726777</v>
      </c>
      <c r="O88" s="3">
        <f t="shared" si="18"/>
        <v>102.33693126065175</v>
      </c>
      <c r="Q88">
        <f t="shared" si="12"/>
        <v>8.0072766666666663E-4</v>
      </c>
      <c r="R88">
        <f t="shared" si="12"/>
        <v>1.8569599999999998E-4</v>
      </c>
      <c r="T88">
        <f t="shared" si="19"/>
        <v>90.225898354271109</v>
      </c>
      <c r="U88">
        <f t="shared" si="19"/>
        <v>105.96914241694326</v>
      </c>
      <c r="W88">
        <f t="shared" si="20"/>
        <v>1.4735580233551973</v>
      </c>
      <c r="X88">
        <f t="shared" si="20"/>
        <v>5.9868122757988758</v>
      </c>
    </row>
    <row r="89" spans="1:24" x14ac:dyDescent="0.35">
      <c r="A89">
        <v>568.34699999999998</v>
      </c>
      <c r="B89">
        <v>7.6236299999999995E-4</v>
      </c>
      <c r="C89">
        <v>1.5601699999999999E-4</v>
      </c>
      <c r="D89">
        <f t="shared" si="13"/>
        <v>91.608477319673099</v>
      </c>
      <c r="E89">
        <f t="shared" si="14"/>
        <v>101.50219897467925</v>
      </c>
      <c r="G89">
        <v>7.7788499999999997E-4</v>
      </c>
      <c r="H89">
        <v>2.0478E-4</v>
      </c>
      <c r="I89">
        <f t="shared" si="15"/>
        <v>91.729450096165067</v>
      </c>
      <c r="J89">
        <f t="shared" si="16"/>
        <v>115.16269444038288</v>
      </c>
      <c r="L89" s="4">
        <v>8.7600199999999997E-4</v>
      </c>
      <c r="M89" s="4">
        <v>1.9365100000000001E-4</v>
      </c>
      <c r="N89" s="3">
        <f t="shared" si="17"/>
        <v>88.889723214675286</v>
      </c>
      <c r="O89" s="3">
        <f t="shared" si="18"/>
        <v>100.01084542684502</v>
      </c>
      <c r="Q89">
        <f t="shared" si="12"/>
        <v>8.0541666666666663E-4</v>
      </c>
      <c r="R89">
        <f t="shared" si="12"/>
        <v>1.84816E-4</v>
      </c>
      <c r="T89">
        <f t="shared" si="19"/>
        <v>90.74255021017116</v>
      </c>
      <c r="U89">
        <f t="shared" si="19"/>
        <v>105.55857961396906</v>
      </c>
      <c r="W89">
        <f t="shared" si="20"/>
        <v>1.311077040602298</v>
      </c>
      <c r="X89">
        <f t="shared" si="20"/>
        <v>6.8183722422274116</v>
      </c>
    </row>
    <row r="90" spans="1:24" x14ac:dyDescent="0.35">
      <c r="A90">
        <v>574.55200000000002</v>
      </c>
      <c r="B90">
        <v>7.6573799999999997E-4</v>
      </c>
      <c r="C90">
        <v>1.55857E-4</v>
      </c>
      <c r="D90">
        <f t="shared" si="13"/>
        <v>92.014030331760381</v>
      </c>
      <c r="E90">
        <f t="shared" si="14"/>
        <v>101.39810549873785</v>
      </c>
      <c r="G90">
        <v>7.8229500000000002E-4</v>
      </c>
      <c r="H90">
        <v>2.05183E-4</v>
      </c>
      <c r="I90">
        <f t="shared" si="15"/>
        <v>92.249484387768703</v>
      </c>
      <c r="J90">
        <f t="shared" si="16"/>
        <v>115.38933066393729</v>
      </c>
      <c r="L90" s="4">
        <v>8.8055200000000005E-4</v>
      </c>
      <c r="M90" s="4">
        <v>1.9729200000000001E-4</v>
      </c>
      <c r="N90" s="3">
        <f t="shared" si="17"/>
        <v>89.351421065395698</v>
      </c>
      <c r="O90" s="3">
        <f t="shared" si="18"/>
        <v>101.89123586221143</v>
      </c>
      <c r="Q90">
        <f t="shared" si="12"/>
        <v>8.0952833333333338E-4</v>
      </c>
      <c r="R90">
        <f t="shared" si="12"/>
        <v>1.8611066666666663E-4</v>
      </c>
      <c r="T90">
        <f t="shared" si="19"/>
        <v>91.204978594974932</v>
      </c>
      <c r="U90">
        <f t="shared" si="19"/>
        <v>106.22622400829552</v>
      </c>
      <c r="W90">
        <f t="shared" si="20"/>
        <v>1.3141832164802554</v>
      </c>
      <c r="X90">
        <f t="shared" si="20"/>
        <v>6.4824217221572731</v>
      </c>
    </row>
    <row r="91" spans="1:24" x14ac:dyDescent="0.35">
      <c r="A91">
        <v>580.73699999999997</v>
      </c>
      <c r="B91">
        <v>7.7065100000000002E-4</v>
      </c>
      <c r="C91">
        <v>1.5386299999999999E-4</v>
      </c>
      <c r="D91">
        <f t="shared" si="13"/>
        <v>92.604395353504046</v>
      </c>
      <c r="E91">
        <f t="shared" si="14"/>
        <v>100.10084055481821</v>
      </c>
      <c r="G91">
        <v>7.8629700000000004E-4</v>
      </c>
      <c r="H91">
        <v>2.0665000000000001E-4</v>
      </c>
      <c r="I91">
        <f t="shared" si="15"/>
        <v>92.721406663278387</v>
      </c>
      <c r="J91">
        <f t="shared" si="16"/>
        <v>116.21433150749642</v>
      </c>
      <c r="L91" s="4">
        <v>8.8528100000000002E-4</v>
      </c>
      <c r="M91" s="4">
        <v>1.9732699999999999E-4</v>
      </c>
      <c r="N91" s="3">
        <f t="shared" si="17"/>
        <v>89.831282413979594</v>
      </c>
      <c r="O91" s="3">
        <f t="shared" si="18"/>
        <v>101.90931157361977</v>
      </c>
      <c r="Q91">
        <f t="shared" si="12"/>
        <v>8.1407633333333343E-4</v>
      </c>
      <c r="R91">
        <f t="shared" si="12"/>
        <v>1.8594666666666665E-4</v>
      </c>
      <c r="T91">
        <f t="shared" si="19"/>
        <v>91.719028143587352</v>
      </c>
      <c r="U91">
        <f t="shared" si="19"/>
        <v>106.0748278786448</v>
      </c>
      <c r="W91">
        <f t="shared" si="20"/>
        <v>1.3356922964997078</v>
      </c>
      <c r="X91">
        <f t="shared" si="20"/>
        <v>7.2076252323994909</v>
      </c>
    </row>
    <row r="92" spans="1:24" x14ac:dyDescent="0.35">
      <c r="A92">
        <v>587.00400000000002</v>
      </c>
      <c r="B92">
        <v>7.7464700000000005E-4</v>
      </c>
      <c r="C92">
        <v>1.5346399999999999E-4</v>
      </c>
      <c r="D92">
        <f t="shared" si="13"/>
        <v>93.084570119815382</v>
      </c>
      <c r="E92">
        <f t="shared" si="14"/>
        <v>99.841257449189357</v>
      </c>
      <c r="G92">
        <v>7.9035200000000003E-4</v>
      </c>
      <c r="H92">
        <v>2.0682400000000001E-4</v>
      </c>
      <c r="I92">
        <f t="shared" si="15"/>
        <v>93.199578784015969</v>
      </c>
      <c r="J92">
        <f t="shared" si="16"/>
        <v>116.31218436828668</v>
      </c>
      <c r="L92" s="4">
        <v>8.8852799999999997E-4</v>
      </c>
      <c r="M92" s="4">
        <v>1.98822E-4</v>
      </c>
      <c r="N92" s="3">
        <f t="shared" si="17"/>
        <v>90.160762176900292</v>
      </c>
      <c r="O92" s="3">
        <f t="shared" si="18"/>
        <v>102.68140267520529</v>
      </c>
      <c r="Q92">
        <f t="shared" si="12"/>
        <v>8.1784233333333331E-4</v>
      </c>
      <c r="R92">
        <f t="shared" si="12"/>
        <v>1.8637000000000002E-4</v>
      </c>
      <c r="T92">
        <f t="shared" si="19"/>
        <v>92.148303693577205</v>
      </c>
      <c r="U92">
        <f t="shared" si="19"/>
        <v>106.27828149756044</v>
      </c>
      <c r="W92">
        <f t="shared" si="20"/>
        <v>1.4061881591963674</v>
      </c>
      <c r="X92">
        <f t="shared" si="20"/>
        <v>7.1891590301226671</v>
      </c>
    </row>
    <row r="93" spans="1:24" x14ac:dyDescent="0.35">
      <c r="A93">
        <v>593.21</v>
      </c>
      <c r="B93">
        <v>7.7811899999999997E-4</v>
      </c>
      <c r="C93">
        <v>1.5279700000000001E-4</v>
      </c>
      <c r="D93">
        <f t="shared" si="13"/>
        <v>93.501779025879685</v>
      </c>
      <c r="E93">
        <f t="shared" si="14"/>
        <v>99.407317771358677</v>
      </c>
      <c r="G93">
        <v>7.93559E-4</v>
      </c>
      <c r="H93">
        <v>2.0501499999999999E-4</v>
      </c>
      <c r="I93">
        <f t="shared" si="15"/>
        <v>93.577753381107314</v>
      </c>
      <c r="J93">
        <f t="shared" si="16"/>
        <v>115.29485203972601</v>
      </c>
      <c r="L93" s="4">
        <v>8.9513600000000004E-4</v>
      </c>
      <c r="M93" s="4">
        <v>1.96059E-4</v>
      </c>
      <c r="N93" s="3">
        <f t="shared" si="17"/>
        <v>90.831289517023464</v>
      </c>
      <c r="O93" s="3">
        <f t="shared" si="18"/>
        <v>101.25445437173993</v>
      </c>
      <c r="Q93">
        <f t="shared" si="12"/>
        <v>8.2227133333333334E-4</v>
      </c>
      <c r="R93">
        <f t="shared" si="12"/>
        <v>1.8462366666666669E-4</v>
      </c>
      <c r="T93">
        <f t="shared" si="19"/>
        <v>92.636940641336821</v>
      </c>
      <c r="U93">
        <f t="shared" si="19"/>
        <v>105.3188747276082</v>
      </c>
      <c r="W93">
        <f t="shared" si="20"/>
        <v>1.2771648321480491</v>
      </c>
      <c r="X93">
        <f t="shared" si="20"/>
        <v>7.0942733197997523</v>
      </c>
    </row>
    <row r="94" spans="1:24" x14ac:dyDescent="0.35">
      <c r="A94">
        <v>599.31799999999998</v>
      </c>
      <c r="B94">
        <v>7.8217499999999997E-4</v>
      </c>
      <c r="C94">
        <v>1.5312799999999999E-4</v>
      </c>
      <c r="D94">
        <f t="shared" si="13"/>
        <v>93.98916362351703</v>
      </c>
      <c r="E94">
        <f t="shared" si="14"/>
        <v>99.622661149712428</v>
      </c>
      <c r="G94">
        <v>7.9885199999999996E-4</v>
      </c>
      <c r="H94">
        <v>2.01609E-4</v>
      </c>
      <c r="I94">
        <f t="shared" si="15"/>
        <v>94.201912452639718</v>
      </c>
      <c r="J94">
        <f t="shared" si="16"/>
        <v>113.3794104083951</v>
      </c>
      <c r="L94" s="4">
        <v>8.9720399999999997E-4</v>
      </c>
      <c r="M94" s="4">
        <v>1.8605100000000001E-4</v>
      </c>
      <c r="N94" s="3">
        <f t="shared" si="17"/>
        <v>91.04113372697725</v>
      </c>
      <c r="O94" s="3">
        <f t="shared" si="18"/>
        <v>96.08583380674483</v>
      </c>
      <c r="Q94">
        <f t="shared" si="12"/>
        <v>8.2607700000000004E-4</v>
      </c>
      <c r="R94">
        <f t="shared" si="12"/>
        <v>1.8026266666666666E-4</v>
      </c>
      <c r="T94">
        <f t="shared" si="19"/>
        <v>93.077403267711318</v>
      </c>
      <c r="U94">
        <f t="shared" si="19"/>
        <v>103.02930178828412</v>
      </c>
      <c r="W94">
        <f t="shared" si="20"/>
        <v>1.4424772090549212</v>
      </c>
      <c r="X94">
        <f t="shared" si="20"/>
        <v>7.4597072440126651</v>
      </c>
    </row>
    <row r="95" spans="1:24" x14ac:dyDescent="0.35">
      <c r="A95">
        <v>605.59400000000005</v>
      </c>
      <c r="B95">
        <v>7.8514999999999998E-4</v>
      </c>
      <c r="C95">
        <v>1.5309899999999999E-4</v>
      </c>
      <c r="D95">
        <f t="shared" si="13"/>
        <v>94.346651093431007</v>
      </c>
      <c r="E95">
        <f t="shared" si="14"/>
        <v>99.60379420719805</v>
      </c>
      <c r="G95">
        <v>8.0405299999999999E-4</v>
      </c>
      <c r="H95">
        <v>2.0508500000000001E-4</v>
      </c>
      <c r="I95">
        <f t="shared" si="15"/>
        <v>94.815222736229416</v>
      </c>
      <c r="J95">
        <f t="shared" si="16"/>
        <v>115.33421813314737</v>
      </c>
      <c r="L95" s="4">
        <v>9.0376900000000001E-4</v>
      </c>
      <c r="M95" s="4">
        <v>1.88378E-4</v>
      </c>
      <c r="N95" s="3">
        <f t="shared" si="17"/>
        <v>91.707297768730982</v>
      </c>
      <c r="O95" s="3">
        <f t="shared" si="18"/>
        <v>97.287610390951812</v>
      </c>
      <c r="Q95">
        <f t="shared" si="12"/>
        <v>8.3099066666666662E-4</v>
      </c>
      <c r="R95">
        <f t="shared" si="12"/>
        <v>1.8218733333333334E-4</v>
      </c>
      <c r="T95">
        <f t="shared" si="19"/>
        <v>93.623057199463801</v>
      </c>
      <c r="U95">
        <f t="shared" si="19"/>
        <v>104.07520757709908</v>
      </c>
      <c r="W95">
        <f t="shared" si="20"/>
        <v>1.3680863748170295</v>
      </c>
      <c r="X95">
        <f t="shared" si="20"/>
        <v>8.0172799166785342</v>
      </c>
    </row>
    <row r="96" spans="1:24" x14ac:dyDescent="0.35">
      <c r="A96">
        <v>611.76900000000001</v>
      </c>
      <c r="B96">
        <v>7.88257E-4</v>
      </c>
      <c r="C96">
        <v>1.5363900000000001E-4</v>
      </c>
      <c r="D96">
        <f t="shared" si="13"/>
        <v>94.720000192262162</v>
      </c>
      <c r="E96">
        <f t="shared" si="14"/>
        <v>99.955109688500272</v>
      </c>
      <c r="G96">
        <v>8.0708099999999997E-4</v>
      </c>
      <c r="H96">
        <v>2.0399700000000001E-4</v>
      </c>
      <c r="I96">
        <f t="shared" si="15"/>
        <v>95.172289365475621</v>
      </c>
      <c r="J96">
        <f t="shared" si="16"/>
        <v>114.72235656682676</v>
      </c>
      <c r="L96" s="4">
        <v>9.0461299999999997E-4</v>
      </c>
      <c r="M96" s="4">
        <v>1.91535E-4</v>
      </c>
      <c r="N96" s="3">
        <f t="shared" si="17"/>
        <v>91.79294018323823</v>
      </c>
      <c r="O96" s="3">
        <f t="shared" si="18"/>
        <v>98.918039559985544</v>
      </c>
      <c r="Q96">
        <f t="shared" si="12"/>
        <v>8.3331699999999998E-4</v>
      </c>
      <c r="R96">
        <f t="shared" si="12"/>
        <v>1.8305700000000001E-4</v>
      </c>
      <c r="T96">
        <f t="shared" si="19"/>
        <v>93.895076580325338</v>
      </c>
      <c r="U96">
        <f t="shared" si="19"/>
        <v>104.53183527177084</v>
      </c>
      <c r="W96">
        <f t="shared" si="20"/>
        <v>1.4978594611467624</v>
      </c>
      <c r="X96">
        <f t="shared" si="20"/>
        <v>7.2182140825186236</v>
      </c>
    </row>
    <row r="97" spans="1:24" x14ac:dyDescent="0.35">
      <c r="A97">
        <v>617.947</v>
      </c>
      <c r="B97">
        <v>7.9004499999999996E-4</v>
      </c>
      <c r="C97">
        <v>1.5384200000000001E-4</v>
      </c>
      <c r="D97">
        <f t="shared" si="13"/>
        <v>94.934853165776843</v>
      </c>
      <c r="E97">
        <f t="shared" si="14"/>
        <v>100.08717828610092</v>
      </c>
      <c r="G97">
        <v>8.1266599999999997E-4</v>
      </c>
      <c r="H97">
        <v>2.07071E-4</v>
      </c>
      <c r="I97">
        <f t="shared" si="15"/>
        <v>95.830881546565479</v>
      </c>
      <c r="J97">
        <f t="shared" si="16"/>
        <v>116.45109044078777</v>
      </c>
      <c r="L97" s="4">
        <v>9.0831899999999999E-4</v>
      </c>
      <c r="M97" s="4">
        <v>1.9028900000000001E-4</v>
      </c>
      <c r="N97" s="3">
        <f t="shared" si="17"/>
        <v>92.16899561945138</v>
      </c>
      <c r="O97" s="3">
        <f t="shared" si="18"/>
        <v>98.274544233848061</v>
      </c>
      <c r="Q97">
        <f t="shared" si="12"/>
        <v>8.3701000000000001E-4</v>
      </c>
      <c r="R97">
        <f t="shared" si="12"/>
        <v>1.8373399999999999E-4</v>
      </c>
      <c r="T97">
        <f t="shared" si="19"/>
        <v>94.311576777264577</v>
      </c>
      <c r="U97">
        <f t="shared" si="19"/>
        <v>104.9376043202456</v>
      </c>
      <c r="W97">
        <f t="shared" si="20"/>
        <v>1.5585692644552247</v>
      </c>
      <c r="X97">
        <f t="shared" si="20"/>
        <v>8.1748265032674041</v>
      </c>
    </row>
    <row r="98" spans="1:24" x14ac:dyDescent="0.35">
      <c r="A98">
        <v>624.12199999999996</v>
      </c>
      <c r="B98">
        <v>7.9192100000000001E-4</v>
      </c>
      <c r="C98">
        <v>1.5417600000000001E-4</v>
      </c>
      <c r="D98">
        <f t="shared" si="13"/>
        <v>95.160280558569667</v>
      </c>
      <c r="E98">
        <f t="shared" si="14"/>
        <v>100.30447341712858</v>
      </c>
      <c r="G98">
        <v>8.16489E-4</v>
      </c>
      <c r="H98">
        <v>2.0850799999999999E-4</v>
      </c>
      <c r="I98">
        <f t="shared" si="15"/>
        <v>96.281695854230023</v>
      </c>
      <c r="J98">
        <f t="shared" si="16"/>
        <v>117.25922010145204</v>
      </c>
      <c r="L98" s="4">
        <v>9.1207799999999998E-4</v>
      </c>
      <c r="M98" s="4">
        <v>1.8919999999999999E-4</v>
      </c>
      <c r="N98" s="3">
        <f t="shared" si="17"/>
        <v>92.550429074584997</v>
      </c>
      <c r="O98" s="3">
        <f t="shared" si="18"/>
        <v>97.712131384599488</v>
      </c>
      <c r="Q98">
        <f t="shared" si="12"/>
        <v>8.4016266666666662E-4</v>
      </c>
      <c r="R98">
        <f t="shared" si="12"/>
        <v>1.8396133333333333E-4</v>
      </c>
      <c r="T98">
        <f t="shared" si="19"/>
        <v>94.664135162461562</v>
      </c>
      <c r="U98">
        <f t="shared" si="19"/>
        <v>105.09194163439338</v>
      </c>
      <c r="W98">
        <f t="shared" si="20"/>
        <v>1.5631609291816568</v>
      </c>
      <c r="X98">
        <f t="shared" si="20"/>
        <v>8.6684123219351825</v>
      </c>
    </row>
    <row r="99" spans="1:24" x14ac:dyDescent="0.35">
      <c r="A99">
        <v>630.39800000000002</v>
      </c>
      <c r="B99">
        <v>7.9440700000000001E-4</v>
      </c>
      <c r="C99">
        <v>1.5327099999999999E-4</v>
      </c>
      <c r="D99">
        <f t="shared" si="13"/>
        <v>95.459007903176769</v>
      </c>
      <c r="E99">
        <f t="shared" si="14"/>
        <v>99.715694693835047</v>
      </c>
      <c r="G99">
        <v>8.1575899999999999E-4</v>
      </c>
      <c r="H99">
        <v>2.0686899999999999E-4</v>
      </c>
      <c r="I99">
        <f t="shared" si="15"/>
        <v>96.195613080336457</v>
      </c>
      <c r="J99">
        <f t="shared" si="16"/>
        <v>116.33749114262896</v>
      </c>
      <c r="L99" s="4">
        <v>9.1294800000000001E-4</v>
      </c>
      <c r="M99" s="4">
        <v>1.8735400000000001E-4</v>
      </c>
      <c r="N99" s="3">
        <f t="shared" si="17"/>
        <v>92.638709762524954</v>
      </c>
      <c r="O99" s="3">
        <f t="shared" si="18"/>
        <v>96.758766720033051</v>
      </c>
      <c r="Q99">
        <f t="shared" si="12"/>
        <v>8.4103800000000001E-4</v>
      </c>
      <c r="R99">
        <f t="shared" si="12"/>
        <v>1.8249800000000001E-4</v>
      </c>
      <c r="T99">
        <f t="shared" si="19"/>
        <v>94.764443582012731</v>
      </c>
      <c r="U99">
        <f t="shared" si="19"/>
        <v>104.2706508521657</v>
      </c>
      <c r="W99">
        <f t="shared" si="20"/>
        <v>1.5329068247918549</v>
      </c>
      <c r="X99">
        <f t="shared" si="20"/>
        <v>8.617514402162767</v>
      </c>
    </row>
    <row r="100" spans="1:24" x14ac:dyDescent="0.35">
      <c r="A100">
        <v>636.58100000000002</v>
      </c>
      <c r="B100">
        <v>7.9651600000000004E-4</v>
      </c>
      <c r="C100">
        <v>1.5291999999999999E-4</v>
      </c>
      <c r="D100">
        <f t="shared" si="13"/>
        <v>95.712433474285547</v>
      </c>
      <c r="E100">
        <f t="shared" si="14"/>
        <v>99.487339630988615</v>
      </c>
      <c r="G100">
        <v>8.1391600000000003E-4</v>
      </c>
      <c r="H100">
        <v>2.0256399999999999E-4</v>
      </c>
      <c r="I100">
        <f t="shared" si="15"/>
        <v>95.978283556657203</v>
      </c>
      <c r="J100">
        <f t="shared" si="16"/>
        <v>113.91647639721513</v>
      </c>
      <c r="L100" s="4">
        <v>9.1595700000000001E-4</v>
      </c>
      <c r="M100" s="4">
        <v>1.8657499999999999E-4</v>
      </c>
      <c r="N100" s="3">
        <f t="shared" si="17"/>
        <v>92.944039176331032</v>
      </c>
      <c r="O100" s="3">
        <f t="shared" si="18"/>
        <v>96.35645302897278</v>
      </c>
      <c r="Q100">
        <f t="shared" si="12"/>
        <v>8.421296666666668E-4</v>
      </c>
      <c r="R100">
        <f t="shared" si="12"/>
        <v>1.8068633333333335E-4</v>
      </c>
      <c r="T100">
        <f t="shared" si="19"/>
        <v>94.878252069091261</v>
      </c>
      <c r="U100">
        <f t="shared" si="19"/>
        <v>103.25342301905884</v>
      </c>
      <c r="W100">
        <f t="shared" si="20"/>
        <v>1.3719945827065483</v>
      </c>
      <c r="X100">
        <f t="shared" si="20"/>
        <v>7.6474894894873087</v>
      </c>
    </row>
    <row r="101" spans="1:24" x14ac:dyDescent="0.35">
      <c r="A101">
        <v>642.83500000000004</v>
      </c>
      <c r="B101">
        <v>7.9896399999999999E-4</v>
      </c>
      <c r="C101">
        <v>1.5306799999999999E-4</v>
      </c>
      <c r="D101">
        <f t="shared" si="13"/>
        <v>96.006594592386179</v>
      </c>
      <c r="E101">
        <f t="shared" si="14"/>
        <v>99.583626096234397</v>
      </c>
      <c r="G101">
        <v>8.1678800000000004E-4</v>
      </c>
      <c r="H101">
        <v>1.9873699999999999E-4</v>
      </c>
      <c r="I101">
        <f t="shared" si="15"/>
        <v>96.316954415043966</v>
      </c>
      <c r="J101">
        <f t="shared" si="16"/>
        <v>111.76427583259287</v>
      </c>
      <c r="L101" s="4">
        <v>9.18339E-4</v>
      </c>
      <c r="M101" s="4">
        <v>1.9001200000000001E-4</v>
      </c>
      <c r="N101" s="3">
        <f t="shared" si="17"/>
        <v>93.185745611587294</v>
      </c>
      <c r="O101" s="3">
        <f t="shared" si="18"/>
        <v>98.131487889273359</v>
      </c>
      <c r="Q101">
        <f t="shared" si="12"/>
        <v>8.4469700000000005E-4</v>
      </c>
      <c r="R101">
        <f t="shared" si="12"/>
        <v>1.8060566666666666E-4</v>
      </c>
      <c r="T101">
        <f t="shared" si="19"/>
        <v>95.169764873005803</v>
      </c>
      <c r="U101">
        <f t="shared" si="19"/>
        <v>103.15979660603354</v>
      </c>
      <c r="W101">
        <f t="shared" si="20"/>
        <v>1.4086234716061892</v>
      </c>
      <c r="X101">
        <f t="shared" si="20"/>
        <v>6.1130992365164651</v>
      </c>
    </row>
    <row r="102" spans="1:24" x14ac:dyDescent="0.35">
      <c r="A102">
        <v>649.06100000000004</v>
      </c>
      <c r="B102">
        <v>8.0130100000000003E-4</v>
      </c>
      <c r="C102">
        <v>1.52516E-4</v>
      </c>
      <c r="D102">
        <f t="shared" si="13"/>
        <v>96.28741752253373</v>
      </c>
      <c r="E102">
        <f t="shared" si="14"/>
        <v>99.224503604236602</v>
      </c>
      <c r="G102">
        <v>8.1979899999999996E-4</v>
      </c>
      <c r="H102">
        <v>1.98708E-4</v>
      </c>
      <c r="I102">
        <f t="shared" si="15"/>
        <v>96.672016376952925</v>
      </c>
      <c r="J102">
        <f t="shared" si="16"/>
        <v>111.74796702246117</v>
      </c>
      <c r="L102" s="4">
        <v>9.1864400000000004E-4</v>
      </c>
      <c r="M102" s="4">
        <v>1.94651E-4</v>
      </c>
      <c r="N102" s="3">
        <f t="shared" si="17"/>
        <v>93.216694588393835</v>
      </c>
      <c r="O102" s="3">
        <f t="shared" si="18"/>
        <v>100.52729432422663</v>
      </c>
      <c r="Q102">
        <f t="shared" si="12"/>
        <v>8.4658133333333338E-4</v>
      </c>
      <c r="R102">
        <f t="shared" si="12"/>
        <v>1.8195833333333334E-4</v>
      </c>
      <c r="T102">
        <f t="shared" si="19"/>
        <v>95.392042829293516</v>
      </c>
      <c r="U102">
        <f t="shared" si="19"/>
        <v>103.83325498364145</v>
      </c>
      <c r="W102">
        <f t="shared" si="20"/>
        <v>1.5461962028569936</v>
      </c>
      <c r="X102">
        <f t="shared" si="20"/>
        <v>5.6217622330903305</v>
      </c>
    </row>
    <row r="103" spans="1:24" x14ac:dyDescent="0.35">
      <c r="A103">
        <v>655.28099999999995</v>
      </c>
      <c r="B103">
        <v>8.0328699999999997E-4</v>
      </c>
      <c r="C103">
        <v>1.5239299999999999E-4</v>
      </c>
      <c r="D103">
        <f t="shared" si="13"/>
        <v>96.526062939424193</v>
      </c>
      <c r="E103">
        <f t="shared" si="14"/>
        <v>99.144481744606637</v>
      </c>
      <c r="G103">
        <v>8.2502599999999997E-4</v>
      </c>
      <c r="H103">
        <v>2.00507E-4</v>
      </c>
      <c r="I103">
        <f t="shared" si="15"/>
        <v>97.288392622352504</v>
      </c>
      <c r="J103">
        <f t="shared" si="16"/>
        <v>112.75967562339019</v>
      </c>
      <c r="L103" s="4">
        <v>9.2324300000000002E-4</v>
      </c>
      <c r="M103" s="4">
        <v>1.9551200000000001E-4</v>
      </c>
      <c r="N103" s="3">
        <f t="shared" si="17"/>
        <v>93.683364569814302</v>
      </c>
      <c r="O103" s="3">
        <f t="shared" si="18"/>
        <v>100.97195682487219</v>
      </c>
      <c r="Q103">
        <f t="shared" si="12"/>
        <v>8.5051866666666662E-4</v>
      </c>
      <c r="R103">
        <f t="shared" si="12"/>
        <v>1.8280399999999998E-4</v>
      </c>
      <c r="T103">
        <f t="shared" si="19"/>
        <v>95.832606710530328</v>
      </c>
      <c r="U103">
        <f t="shared" si="19"/>
        <v>104.29203806428968</v>
      </c>
      <c r="W103">
        <f t="shared" si="20"/>
        <v>1.5512829036941471</v>
      </c>
      <c r="X103">
        <f t="shared" si="20"/>
        <v>6.0338257994114732</v>
      </c>
    </row>
    <row r="104" spans="1:24" x14ac:dyDescent="0.35">
      <c r="A104">
        <v>661.45299999999997</v>
      </c>
      <c r="B104">
        <v>8.0575199999999997E-4</v>
      </c>
      <c r="C104">
        <v>1.5261699999999999E-4</v>
      </c>
      <c r="D104">
        <f t="shared" si="13"/>
        <v>96.822266843067197</v>
      </c>
      <c r="E104">
        <f t="shared" si="14"/>
        <v>99.290212610924598</v>
      </c>
      <c r="G104">
        <v>8.2676600000000005E-4</v>
      </c>
      <c r="H104">
        <v>2.00299E-4</v>
      </c>
      <c r="I104">
        <f t="shared" si="15"/>
        <v>97.4935762204002</v>
      </c>
      <c r="J104">
        <f t="shared" si="16"/>
        <v>112.64270208865244</v>
      </c>
      <c r="L104" s="4">
        <v>9.2572300000000004E-4</v>
      </c>
      <c r="M104" s="4">
        <v>1.9381300000000001E-4</v>
      </c>
      <c r="N104" s="3">
        <f t="shared" si="17"/>
        <v>93.935015266470685</v>
      </c>
      <c r="O104" s="3">
        <f t="shared" si="18"/>
        <v>100.09451014822083</v>
      </c>
      <c r="Q104">
        <f t="shared" si="12"/>
        <v>8.5274700000000005E-4</v>
      </c>
      <c r="R104">
        <f t="shared" si="12"/>
        <v>1.8224300000000001E-4</v>
      </c>
      <c r="T104">
        <f t="shared" si="19"/>
        <v>96.083619443312685</v>
      </c>
      <c r="U104">
        <f t="shared" si="19"/>
        <v>104.00914161593262</v>
      </c>
      <c r="W104">
        <f t="shared" si="20"/>
        <v>1.543813244659902</v>
      </c>
      <c r="X104">
        <f t="shared" si="20"/>
        <v>6.113673116286571</v>
      </c>
    </row>
    <row r="105" spans="1:24" x14ac:dyDescent="0.35">
      <c r="A105">
        <v>667.70500000000004</v>
      </c>
      <c r="B105">
        <v>8.0748599999999995E-4</v>
      </c>
      <c r="C105">
        <v>1.5372500000000001E-4</v>
      </c>
      <c r="D105">
        <f t="shared" si="13"/>
        <v>97.030630968388493</v>
      </c>
      <c r="E105">
        <f t="shared" si="14"/>
        <v>100.01105993181878</v>
      </c>
      <c r="G105">
        <v>8.2719800000000002E-4</v>
      </c>
      <c r="H105">
        <v>1.9853399999999999E-4</v>
      </c>
      <c r="I105">
        <f t="shared" si="15"/>
        <v>97.544518355087902</v>
      </c>
      <c r="J105">
        <f t="shared" si="16"/>
        <v>111.65011416167093</v>
      </c>
      <c r="L105" s="4">
        <v>9.27118E-4</v>
      </c>
      <c r="M105" s="4">
        <v>1.9739399999999999E-4</v>
      </c>
      <c r="N105" s="3">
        <f t="shared" si="17"/>
        <v>94.076568783339908</v>
      </c>
      <c r="O105" s="3">
        <f t="shared" si="18"/>
        <v>101.94391364974436</v>
      </c>
      <c r="Q105">
        <f t="shared" si="12"/>
        <v>8.5393400000000009E-4</v>
      </c>
      <c r="R105">
        <f t="shared" si="12"/>
        <v>1.8321766666666667E-4</v>
      </c>
      <c r="T105">
        <f t="shared" si="19"/>
        <v>96.217239368938763</v>
      </c>
      <c r="U105">
        <f t="shared" si="19"/>
        <v>104.5350292477447</v>
      </c>
      <c r="W105">
        <f t="shared" si="20"/>
        <v>1.5281520383758309</v>
      </c>
      <c r="X105">
        <f t="shared" si="20"/>
        <v>5.0926290442174205</v>
      </c>
    </row>
    <row r="106" spans="1:24" x14ac:dyDescent="0.35">
      <c r="A106">
        <v>673.85199999999998</v>
      </c>
      <c r="B106">
        <v>8.0879300000000003E-4</v>
      </c>
      <c r="C106">
        <v>1.5329499999999999E-4</v>
      </c>
      <c r="D106">
        <f t="shared" si="13"/>
        <v>97.187685127439778</v>
      </c>
      <c r="E106">
        <f t="shared" si="14"/>
        <v>99.731308715226248</v>
      </c>
      <c r="G106">
        <v>8.3015200000000002E-4</v>
      </c>
      <c r="H106">
        <v>2.0128999999999999E-4</v>
      </c>
      <c r="I106">
        <f t="shared" si="15"/>
        <v>97.892858785336685</v>
      </c>
      <c r="J106">
        <f t="shared" si="16"/>
        <v>113.20001349694631</v>
      </c>
      <c r="L106" s="4">
        <v>9.3074E-4</v>
      </c>
      <c r="M106" s="4">
        <v>1.99571E-4</v>
      </c>
      <c r="N106" s="3">
        <f t="shared" si="17"/>
        <v>94.444100566924376</v>
      </c>
      <c r="O106" s="3">
        <f t="shared" si="18"/>
        <v>103.06822289934412</v>
      </c>
      <c r="Q106">
        <f t="shared" si="12"/>
        <v>8.5656166666666679E-4</v>
      </c>
      <c r="R106">
        <f t="shared" si="12"/>
        <v>1.8471866666666667E-4</v>
      </c>
      <c r="T106">
        <f t="shared" si="19"/>
        <v>96.508214826566942</v>
      </c>
      <c r="U106">
        <f t="shared" si="19"/>
        <v>105.33318170383889</v>
      </c>
      <c r="W106">
        <f t="shared" si="20"/>
        <v>1.4876700417303053</v>
      </c>
      <c r="X106">
        <f t="shared" si="20"/>
        <v>5.7270720217708702</v>
      </c>
    </row>
    <row r="107" spans="1:24" x14ac:dyDescent="0.35">
      <c r="A107">
        <v>680.23400000000004</v>
      </c>
      <c r="B107">
        <v>8.10774E-4</v>
      </c>
      <c r="C107">
        <v>1.5326200000000001E-4</v>
      </c>
      <c r="D107">
        <f t="shared" si="13"/>
        <v>97.425729725053074</v>
      </c>
      <c r="E107">
        <f t="shared" si="14"/>
        <v>99.709839435813365</v>
      </c>
      <c r="G107">
        <v>8.31845E-4</v>
      </c>
      <c r="H107">
        <v>2.0204500000000001E-4</v>
      </c>
      <c r="I107">
        <f t="shared" si="15"/>
        <v>98.09250006780492</v>
      </c>
      <c r="J107">
        <f t="shared" si="16"/>
        <v>113.6246049331339</v>
      </c>
      <c r="L107" s="4">
        <v>9.3134499999999998E-4</v>
      </c>
      <c r="M107" s="4">
        <v>1.9588E-4</v>
      </c>
      <c r="N107" s="3">
        <f t="shared" si="17"/>
        <v>94.505491160261911</v>
      </c>
      <c r="O107" s="3">
        <f t="shared" si="18"/>
        <v>101.16201001910861</v>
      </c>
      <c r="Q107">
        <f t="shared" si="12"/>
        <v>8.5798800000000007E-4</v>
      </c>
      <c r="R107">
        <f t="shared" si="12"/>
        <v>1.8372900000000002E-4</v>
      </c>
      <c r="T107">
        <f t="shared" si="19"/>
        <v>96.674573651039964</v>
      </c>
      <c r="U107">
        <f t="shared" si="19"/>
        <v>104.8321514626853</v>
      </c>
      <c r="W107">
        <f t="shared" si="20"/>
        <v>1.5577408452292503</v>
      </c>
      <c r="X107">
        <f t="shared" si="20"/>
        <v>6.2454051575671645</v>
      </c>
    </row>
    <row r="108" spans="1:24" x14ac:dyDescent="0.35">
      <c r="A108">
        <v>686.39200000000005</v>
      </c>
      <c r="B108">
        <v>8.11497E-4</v>
      </c>
      <c r="C108">
        <v>1.5417E-4</v>
      </c>
      <c r="D108">
        <f t="shared" si="13"/>
        <v>97.512608192531331</v>
      </c>
      <c r="E108">
        <f t="shared" si="14"/>
        <v>100.30056991178076</v>
      </c>
      <c r="G108">
        <v>8.3216599999999996E-4</v>
      </c>
      <c r="H108">
        <v>2.0311999999999999E-4</v>
      </c>
      <c r="I108">
        <f t="shared" si="15"/>
        <v>98.130352903996481</v>
      </c>
      <c r="J108">
        <f t="shared" si="16"/>
        <v>114.22915565353338</v>
      </c>
      <c r="L108" s="4">
        <v>9.3149699999999999E-4</v>
      </c>
      <c r="M108" s="4">
        <v>1.9259600000000001E-4</v>
      </c>
      <c r="N108" s="3">
        <f t="shared" si="17"/>
        <v>94.520914912637636</v>
      </c>
      <c r="O108" s="3">
        <f t="shared" si="18"/>
        <v>99.465991840107421</v>
      </c>
      <c r="Q108">
        <f t="shared" si="12"/>
        <v>8.5838666666666669E-4</v>
      </c>
      <c r="R108">
        <f t="shared" si="12"/>
        <v>1.8329533333333336E-4</v>
      </c>
      <c r="T108">
        <f t="shared" si="19"/>
        <v>96.721292003055154</v>
      </c>
      <c r="U108">
        <f t="shared" si="19"/>
        <v>104.66523913514054</v>
      </c>
      <c r="W108">
        <f t="shared" si="20"/>
        <v>1.5762078198768656</v>
      </c>
      <c r="X108">
        <f t="shared" si="20"/>
        <v>6.771287643056791</v>
      </c>
    </row>
    <row r="109" spans="1:24" x14ac:dyDescent="0.35">
      <c r="A109">
        <v>692.49400000000003</v>
      </c>
      <c r="B109">
        <v>8.1341599999999997E-4</v>
      </c>
      <c r="C109">
        <v>1.53578E-4</v>
      </c>
      <c r="D109">
        <f t="shared" si="13"/>
        <v>97.743202631107778</v>
      </c>
      <c r="E109">
        <f t="shared" si="14"/>
        <v>99.915424050797611</v>
      </c>
      <c r="G109">
        <v>8.3547000000000005E-4</v>
      </c>
      <c r="H109">
        <v>2.0394599999999999E-4</v>
      </c>
      <c r="I109">
        <f t="shared" si="15"/>
        <v>98.519965897070946</v>
      </c>
      <c r="J109">
        <f t="shared" si="16"/>
        <v>114.69367555590546</v>
      </c>
      <c r="L109" s="4">
        <v>9.3325099999999996E-4</v>
      </c>
      <c r="M109" s="4">
        <v>1.90485E-4</v>
      </c>
      <c r="N109" s="3">
        <f t="shared" si="17"/>
        <v>94.698896897288961</v>
      </c>
      <c r="O109" s="3">
        <f t="shared" si="18"/>
        <v>98.375768217734858</v>
      </c>
      <c r="Q109">
        <f t="shared" si="12"/>
        <v>8.6071233333333329E-4</v>
      </c>
      <c r="R109">
        <f t="shared" si="12"/>
        <v>1.8266966666666666E-4</v>
      </c>
      <c r="T109">
        <f t="shared" si="19"/>
        <v>96.987355141822562</v>
      </c>
      <c r="U109">
        <f t="shared" si="19"/>
        <v>104.32828927481263</v>
      </c>
      <c r="W109">
        <f t="shared" si="20"/>
        <v>1.6489635422627957</v>
      </c>
      <c r="X109">
        <f t="shared" si="20"/>
        <v>7.3563378383663789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AA16-117D-49B7-8E73-3A60EF6FE091}">
  <dimension ref="A1:X109"/>
  <sheetViews>
    <sheetView zoomScaleNormal="100" workbookViewId="0">
      <selection activeCell="I1" sqref="I1"/>
    </sheetView>
  </sheetViews>
  <sheetFormatPr defaultColWidth="8.81640625" defaultRowHeight="14.5" x14ac:dyDescent="0.35"/>
  <cols>
    <col min="1" max="1" width="9.453125" bestFit="1" customWidth="1"/>
    <col min="2" max="3" width="12.453125" bestFit="1" customWidth="1"/>
    <col min="4" max="5" width="12.453125" customWidth="1"/>
    <col min="7" max="8" width="12.36328125" bestFit="1" customWidth="1"/>
    <col min="9" max="10" width="12.1796875" customWidth="1"/>
    <col min="12" max="13" width="11.81640625" bestFit="1" customWidth="1"/>
    <col min="14" max="15" width="11.81640625" customWidth="1"/>
    <col min="16" max="16" width="8.81640625" style="1"/>
    <col min="17" max="18" width="8.81640625" bestFit="1" customWidth="1"/>
    <col min="20" max="21" width="11.81640625" bestFit="1" customWidth="1"/>
    <col min="23" max="24" width="9.453125" bestFit="1" customWidth="1"/>
    <col min="26" max="27" width="11.816406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t="s">
        <v>0</v>
      </c>
      <c r="M1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t="s">
        <v>2</v>
      </c>
      <c r="M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7.6261999999999999E-4</v>
      </c>
      <c r="C3">
        <v>1.7453299999999999E-4</v>
      </c>
      <c r="D3">
        <f>B3/$B$3*100</f>
        <v>100</v>
      </c>
      <c r="E3">
        <f>C3/$C$3*100</f>
        <v>100</v>
      </c>
      <c r="G3">
        <v>8.00817E-4</v>
      </c>
      <c r="H3">
        <v>1.7492500000000001E-4</v>
      </c>
      <c r="I3">
        <f>G3/$G$3*100</f>
        <v>100</v>
      </c>
      <c r="J3">
        <f>H3/$H$3*100</f>
        <v>100</v>
      </c>
      <c r="Q3">
        <f t="shared" ref="Q3:Q34" si="0">AVERAGE(B3,G3,L3)</f>
        <v>7.8171849999999999E-4</v>
      </c>
      <c r="R3">
        <f t="shared" ref="R3:R34" si="1">AVERAGE(C3,H3,M3)</f>
        <v>1.7472899999999999E-4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7.6095299999999998E-4</v>
      </c>
      <c r="C4">
        <v>1.7113600000000001E-4</v>
      </c>
      <c r="D4">
        <f t="shared" ref="D4:D67" si="2">B4/$B$3*100</f>
        <v>99.781411450001315</v>
      </c>
      <c r="E4">
        <f t="shared" ref="E4:E67" si="3">C4/$C$3*100</f>
        <v>98.053663204093226</v>
      </c>
      <c r="G4">
        <v>8.0302300000000004E-4</v>
      </c>
      <c r="H4">
        <v>1.76E-4</v>
      </c>
      <c r="I4">
        <f t="shared" ref="I4:I67" si="4">G4/$G$3*100</f>
        <v>100.27546867761299</v>
      </c>
      <c r="J4">
        <f t="shared" ref="J4:J67" si="5">H4/$H$3*100</f>
        <v>100.61454909246818</v>
      </c>
      <c r="Q4">
        <f t="shared" si="0"/>
        <v>7.8198799999999995E-4</v>
      </c>
      <c r="R4">
        <f t="shared" si="1"/>
        <v>1.73568E-4</v>
      </c>
      <c r="T4">
        <f t="shared" ref="T4:U67" si="6">AVERAGE(D4,I4,N4)</f>
        <v>100.02844006380715</v>
      </c>
      <c r="U4">
        <f t="shared" si="6"/>
        <v>99.334106148280711</v>
      </c>
      <c r="W4">
        <f t="shared" ref="W4:X67" si="7">_xlfn.STDEV.P(D4,I4,N4)</f>
        <v>0.2470286138058384</v>
      </c>
      <c r="X4">
        <f t="shared" si="7"/>
        <v>1.2804429441874774</v>
      </c>
    </row>
    <row r="5" spans="1:24" x14ac:dyDescent="0.35">
      <c r="A5">
        <v>18.545500000000001</v>
      </c>
      <c r="B5">
        <v>7.6039E-4</v>
      </c>
      <c r="C5">
        <v>1.6217E-4</v>
      </c>
      <c r="D5">
        <f t="shared" si="2"/>
        <v>99.707587002701217</v>
      </c>
      <c r="E5">
        <f t="shared" si="3"/>
        <v>92.916525814602409</v>
      </c>
      <c r="G5">
        <v>8.0470699999999999E-4</v>
      </c>
      <c r="H5">
        <v>1.73153E-4</v>
      </c>
      <c r="I5">
        <f t="shared" si="4"/>
        <v>100.48575392380532</v>
      </c>
      <c r="J5">
        <f t="shared" si="5"/>
        <v>98.986994426182633</v>
      </c>
      <c r="Q5">
        <f t="shared" si="0"/>
        <v>7.8254850000000005E-4</v>
      </c>
      <c r="R5">
        <f t="shared" si="1"/>
        <v>1.676615E-4</v>
      </c>
      <c r="T5">
        <f t="shared" si="6"/>
        <v>100.09667046325328</v>
      </c>
      <c r="U5">
        <f t="shared" si="6"/>
        <v>95.951760120392521</v>
      </c>
      <c r="W5">
        <f t="shared" si="7"/>
        <v>0.38908346055205101</v>
      </c>
      <c r="X5">
        <f t="shared" si="7"/>
        <v>3.0352343057901123</v>
      </c>
    </row>
    <row r="6" spans="1:24" x14ac:dyDescent="0.35">
      <c r="A6">
        <v>24.791399999999999</v>
      </c>
      <c r="B6">
        <v>7.6267000000000001E-4</v>
      </c>
      <c r="C6">
        <v>1.58584E-4</v>
      </c>
      <c r="D6">
        <f t="shared" si="2"/>
        <v>100.00655634523092</v>
      </c>
      <c r="E6">
        <f t="shared" si="3"/>
        <v>90.861900041825905</v>
      </c>
      <c r="G6">
        <v>8.0570000000000001E-4</v>
      </c>
      <c r="H6">
        <v>1.7190200000000001E-4</v>
      </c>
      <c r="I6">
        <f t="shared" si="4"/>
        <v>100.60975229047335</v>
      </c>
      <c r="J6">
        <f t="shared" si="5"/>
        <v>98.271830784621983</v>
      </c>
      <c r="Q6">
        <f t="shared" si="0"/>
        <v>7.8418499999999996E-4</v>
      </c>
      <c r="R6">
        <f t="shared" si="1"/>
        <v>1.65243E-4</v>
      </c>
      <c r="T6">
        <f t="shared" si="6"/>
        <v>100.30815431785214</v>
      </c>
      <c r="U6">
        <f t="shared" si="6"/>
        <v>94.566865413223951</v>
      </c>
      <c r="W6">
        <f t="shared" si="7"/>
        <v>0.30159797262121657</v>
      </c>
      <c r="X6">
        <f t="shared" si="7"/>
        <v>3.7049653713980391</v>
      </c>
    </row>
    <row r="7" spans="1:24" x14ac:dyDescent="0.35">
      <c r="A7">
        <v>31.106999999999999</v>
      </c>
      <c r="B7">
        <v>7.6361300000000001E-4</v>
      </c>
      <c r="C7">
        <v>1.5921300000000001E-4</v>
      </c>
      <c r="D7">
        <f t="shared" si="2"/>
        <v>100.13020901628596</v>
      </c>
      <c r="E7">
        <f t="shared" si="3"/>
        <v>91.222290340508678</v>
      </c>
      <c r="G7">
        <v>8.0627300000000004E-4</v>
      </c>
      <c r="H7">
        <v>1.6553499999999999E-4</v>
      </c>
      <c r="I7">
        <f t="shared" si="4"/>
        <v>100.68130421806731</v>
      </c>
      <c r="J7">
        <f t="shared" si="5"/>
        <v>94.631985136487046</v>
      </c>
      <c r="Q7">
        <f t="shared" si="0"/>
        <v>7.8494299999999997E-4</v>
      </c>
      <c r="R7">
        <f t="shared" si="1"/>
        <v>1.6237400000000001E-4</v>
      </c>
      <c r="T7">
        <f t="shared" si="6"/>
        <v>100.40575661717664</v>
      </c>
      <c r="U7">
        <f t="shared" si="6"/>
        <v>92.927137738497862</v>
      </c>
      <c r="W7">
        <f t="shared" si="7"/>
        <v>0.27554760089067543</v>
      </c>
      <c r="X7">
        <f t="shared" si="7"/>
        <v>1.7048473979891838</v>
      </c>
    </row>
    <row r="8" spans="1:24" x14ac:dyDescent="0.35">
      <c r="A8">
        <v>37.192399999999999</v>
      </c>
      <c r="B8">
        <v>7.6642400000000003E-4</v>
      </c>
      <c r="C8">
        <v>1.6148700000000001E-4</v>
      </c>
      <c r="D8">
        <f t="shared" si="2"/>
        <v>100.49880674516798</v>
      </c>
      <c r="E8">
        <f t="shared" si="3"/>
        <v>92.525195808242572</v>
      </c>
      <c r="G8">
        <v>8.0902199999999995E-4</v>
      </c>
      <c r="H8">
        <v>1.7056499999999999E-4</v>
      </c>
      <c r="I8">
        <f t="shared" si="4"/>
        <v>101.02457864905465</v>
      </c>
      <c r="J8">
        <f t="shared" si="5"/>
        <v>97.507503215663846</v>
      </c>
      <c r="Q8">
        <f t="shared" si="0"/>
        <v>7.8772299999999994E-4</v>
      </c>
      <c r="R8">
        <f t="shared" si="1"/>
        <v>1.66026E-4</v>
      </c>
      <c r="T8">
        <f t="shared" si="6"/>
        <v>100.76169269711131</v>
      </c>
      <c r="U8">
        <f t="shared" si="6"/>
        <v>95.016349511953209</v>
      </c>
      <c r="W8">
        <f t="shared" si="7"/>
        <v>0.26288595194333197</v>
      </c>
      <c r="X8">
        <f t="shared" si="7"/>
        <v>2.491153703710637</v>
      </c>
    </row>
    <row r="9" spans="1:24" x14ac:dyDescent="0.35">
      <c r="A9">
        <v>43.526200000000003</v>
      </c>
      <c r="B9">
        <v>7.6921900000000002E-4</v>
      </c>
      <c r="C9">
        <v>1.6158599999999999E-4</v>
      </c>
      <c r="D9">
        <f t="shared" si="2"/>
        <v>100.8653064435761</v>
      </c>
      <c r="E9">
        <f t="shared" si="3"/>
        <v>92.5819186056505</v>
      </c>
      <c r="G9">
        <v>8.0995600000000002E-4</v>
      </c>
      <c r="H9">
        <v>1.63986E-4</v>
      </c>
      <c r="I9">
        <f t="shared" si="4"/>
        <v>101.14120953975751</v>
      </c>
      <c r="J9">
        <f t="shared" si="5"/>
        <v>93.746462769758466</v>
      </c>
      <c r="Q9">
        <f t="shared" si="0"/>
        <v>7.8958749999999997E-4</v>
      </c>
      <c r="R9">
        <f t="shared" si="1"/>
        <v>1.62786E-4</v>
      </c>
      <c r="T9">
        <f t="shared" si="6"/>
        <v>101.0032579916668</v>
      </c>
      <c r="U9">
        <f t="shared" si="6"/>
        <v>93.16419068770449</v>
      </c>
      <c r="W9">
        <f t="shared" si="7"/>
        <v>0.13795154809070453</v>
      </c>
      <c r="X9">
        <f t="shared" si="7"/>
        <v>0.58227208205398284</v>
      </c>
    </row>
    <row r="10" spans="1:24" x14ac:dyDescent="0.35">
      <c r="A10">
        <v>49.688299999999998</v>
      </c>
      <c r="B10">
        <v>7.6975700000000004E-4</v>
      </c>
      <c r="C10">
        <v>1.5993E-4</v>
      </c>
      <c r="D10">
        <f t="shared" si="2"/>
        <v>100.93585271826073</v>
      </c>
      <c r="E10">
        <f t="shared" si="3"/>
        <v>91.633100903554052</v>
      </c>
      <c r="G10">
        <v>8.1189299999999995E-4</v>
      </c>
      <c r="H10">
        <v>1.6718000000000001E-4</v>
      </c>
      <c r="I10">
        <f t="shared" si="4"/>
        <v>101.38308752186829</v>
      </c>
      <c r="J10">
        <f t="shared" si="5"/>
        <v>95.572388166357015</v>
      </c>
      <c r="Q10">
        <f t="shared" si="0"/>
        <v>7.9082499999999999E-4</v>
      </c>
      <c r="R10">
        <f t="shared" si="1"/>
        <v>1.6355500000000002E-4</v>
      </c>
      <c r="T10">
        <f t="shared" si="6"/>
        <v>101.15947012006451</v>
      </c>
      <c r="U10">
        <f t="shared" si="6"/>
        <v>93.602744534955534</v>
      </c>
      <c r="W10">
        <f t="shared" si="7"/>
        <v>0.22361740180377865</v>
      </c>
      <c r="X10">
        <f t="shared" si="7"/>
        <v>1.9696436314014818</v>
      </c>
    </row>
    <row r="11" spans="1:24" x14ac:dyDescent="0.35">
      <c r="A11">
        <v>55.8005</v>
      </c>
      <c r="B11">
        <v>7.7462400000000002E-4</v>
      </c>
      <c r="C11">
        <v>1.66668E-4</v>
      </c>
      <c r="D11">
        <f t="shared" si="2"/>
        <v>101.57404736303795</v>
      </c>
      <c r="E11">
        <f t="shared" si="3"/>
        <v>95.493688872591434</v>
      </c>
      <c r="G11">
        <v>8.1263400000000001E-4</v>
      </c>
      <c r="H11">
        <v>1.6611999999999999E-4</v>
      </c>
      <c r="I11">
        <f t="shared" si="4"/>
        <v>101.47561802509189</v>
      </c>
      <c r="J11">
        <f t="shared" si="5"/>
        <v>94.966414177504632</v>
      </c>
      <c r="Q11">
        <f t="shared" si="0"/>
        <v>7.9362900000000001E-4</v>
      </c>
      <c r="R11">
        <f t="shared" si="1"/>
        <v>1.6639399999999999E-4</v>
      </c>
      <c r="T11">
        <f t="shared" si="6"/>
        <v>101.52483269406491</v>
      </c>
      <c r="U11">
        <f t="shared" si="6"/>
        <v>95.230051525048026</v>
      </c>
      <c r="W11">
        <f t="shared" si="7"/>
        <v>4.9214668973029063E-2</v>
      </c>
      <c r="X11">
        <f t="shared" si="7"/>
        <v>0.26363734754340129</v>
      </c>
    </row>
    <row r="12" spans="1:24" x14ac:dyDescent="0.35">
      <c r="A12">
        <v>62.111400000000003</v>
      </c>
      <c r="B12">
        <v>7.7544400000000002E-4</v>
      </c>
      <c r="C12">
        <v>1.6403199999999999E-4</v>
      </c>
      <c r="D12">
        <f t="shared" si="2"/>
        <v>101.68157142482495</v>
      </c>
      <c r="E12">
        <f t="shared" si="3"/>
        <v>93.983372771911334</v>
      </c>
      <c r="G12">
        <v>8.1413700000000004E-4</v>
      </c>
      <c r="H12">
        <v>1.63793E-4</v>
      </c>
      <c r="I12">
        <f t="shared" si="4"/>
        <v>101.66330135349276</v>
      </c>
      <c r="J12">
        <f t="shared" si="5"/>
        <v>93.636129769901373</v>
      </c>
      <c r="Q12">
        <f t="shared" si="0"/>
        <v>7.9479050000000003E-4</v>
      </c>
      <c r="R12">
        <f t="shared" si="1"/>
        <v>1.6391250000000001E-4</v>
      </c>
      <c r="T12">
        <f t="shared" si="6"/>
        <v>101.67243638915886</v>
      </c>
      <c r="U12">
        <f t="shared" si="6"/>
        <v>93.809751270906361</v>
      </c>
      <c r="W12">
        <f t="shared" si="7"/>
        <v>9.1350356660981902E-3</v>
      </c>
      <c r="X12">
        <f t="shared" si="7"/>
        <v>0.17362150100498042</v>
      </c>
    </row>
    <row r="13" spans="1:24" x14ac:dyDescent="0.35">
      <c r="A13">
        <v>68.338800000000006</v>
      </c>
      <c r="B13">
        <v>7.7971599999999996E-4</v>
      </c>
      <c r="C13">
        <v>1.7051699999999999E-4</v>
      </c>
      <c r="D13">
        <f t="shared" si="2"/>
        <v>102.24174556135428</v>
      </c>
      <c r="E13">
        <f t="shared" si="3"/>
        <v>97.699002480906188</v>
      </c>
      <c r="G13">
        <v>8.1375399999999997E-4</v>
      </c>
      <c r="H13">
        <v>1.65885E-4</v>
      </c>
      <c r="I13">
        <f t="shared" si="4"/>
        <v>101.61547519595612</v>
      </c>
      <c r="J13">
        <f t="shared" si="5"/>
        <v>94.83207088752323</v>
      </c>
      <c r="Q13">
        <f t="shared" si="0"/>
        <v>7.9673500000000002E-4</v>
      </c>
      <c r="R13">
        <f t="shared" si="1"/>
        <v>1.6820099999999998E-4</v>
      </c>
      <c r="T13">
        <f t="shared" si="6"/>
        <v>101.92861037865521</v>
      </c>
      <c r="U13">
        <f t="shared" si="6"/>
        <v>96.265536684214709</v>
      </c>
      <c r="W13">
        <f t="shared" si="7"/>
        <v>0.31313518269907803</v>
      </c>
      <c r="X13">
        <f t="shared" si="7"/>
        <v>1.433465796691479</v>
      </c>
    </row>
    <row r="14" spans="1:24" x14ac:dyDescent="0.35">
      <c r="A14">
        <v>74.508499999999998</v>
      </c>
      <c r="B14">
        <v>7.82218E-4</v>
      </c>
      <c r="C14">
        <v>1.6934400000000001E-4</v>
      </c>
      <c r="D14">
        <f t="shared" si="2"/>
        <v>102.56982507670924</v>
      </c>
      <c r="E14">
        <f t="shared" si="3"/>
        <v>97.026923275254546</v>
      </c>
      <c r="G14">
        <v>8.1575799999999998E-4</v>
      </c>
      <c r="H14">
        <v>1.6386600000000001E-4</v>
      </c>
      <c r="I14">
        <f t="shared" si="4"/>
        <v>101.86571963382396</v>
      </c>
      <c r="J14">
        <f t="shared" si="5"/>
        <v>93.677861940831789</v>
      </c>
      <c r="Q14">
        <f t="shared" si="0"/>
        <v>7.9898800000000004E-4</v>
      </c>
      <c r="R14">
        <f t="shared" si="1"/>
        <v>1.6660500000000001E-4</v>
      </c>
      <c r="T14">
        <f t="shared" si="6"/>
        <v>102.21777235526659</v>
      </c>
      <c r="U14">
        <f t="shared" si="6"/>
        <v>95.352392608043175</v>
      </c>
      <c r="W14">
        <f t="shared" si="7"/>
        <v>0.35205272144263944</v>
      </c>
      <c r="X14">
        <f t="shared" si="7"/>
        <v>1.6745306672113784</v>
      </c>
    </row>
    <row r="15" spans="1:24" x14ac:dyDescent="0.35">
      <c r="A15">
        <v>80.784599999999998</v>
      </c>
      <c r="B15">
        <v>7.83616E-4</v>
      </c>
      <c r="C15">
        <v>1.69758E-4</v>
      </c>
      <c r="D15">
        <f t="shared" si="2"/>
        <v>102.75314048936562</v>
      </c>
      <c r="E15">
        <f t="shared" si="3"/>
        <v>97.264127700778658</v>
      </c>
      <c r="G15">
        <v>8.1692199999999998E-4</v>
      </c>
      <c r="H15">
        <v>1.6275299999999999E-4</v>
      </c>
      <c r="I15">
        <f t="shared" si="4"/>
        <v>102.0110711935436</v>
      </c>
      <c r="J15">
        <f t="shared" si="5"/>
        <v>93.041589252536795</v>
      </c>
      <c r="Q15">
        <f t="shared" si="0"/>
        <v>8.0026899999999994E-4</v>
      </c>
      <c r="R15">
        <f t="shared" si="1"/>
        <v>1.6625549999999998E-4</v>
      </c>
      <c r="T15">
        <f t="shared" si="6"/>
        <v>102.3821058414546</v>
      </c>
      <c r="U15">
        <f t="shared" si="6"/>
        <v>95.152858476657727</v>
      </c>
      <c r="W15">
        <f t="shared" si="7"/>
        <v>0.37103464791101004</v>
      </c>
      <c r="X15">
        <f t="shared" si="7"/>
        <v>2.1112692241209317</v>
      </c>
    </row>
    <row r="16" spans="1:24" x14ac:dyDescent="0.35">
      <c r="A16">
        <v>86.936599999999999</v>
      </c>
      <c r="B16">
        <v>7.8548099999999998E-4</v>
      </c>
      <c r="C16">
        <v>1.7240199999999999E-4</v>
      </c>
      <c r="D16">
        <f t="shared" si="2"/>
        <v>102.99769216647871</v>
      </c>
      <c r="E16">
        <f t="shared" si="3"/>
        <v>98.77902746185535</v>
      </c>
      <c r="G16">
        <v>8.1879100000000003E-4</v>
      </c>
      <c r="H16">
        <v>1.6719900000000001E-4</v>
      </c>
      <c r="I16">
        <f t="shared" si="4"/>
        <v>102.24445784742333</v>
      </c>
      <c r="J16">
        <f t="shared" si="5"/>
        <v>95.583249964270394</v>
      </c>
      <c r="Q16">
        <f t="shared" si="0"/>
        <v>8.0213599999999995E-4</v>
      </c>
      <c r="R16">
        <f t="shared" si="1"/>
        <v>1.6980050000000002E-4</v>
      </c>
      <c r="T16">
        <f t="shared" si="6"/>
        <v>102.62107500695103</v>
      </c>
      <c r="U16">
        <f t="shared" si="6"/>
        <v>97.181138713062865</v>
      </c>
      <c r="W16">
        <f t="shared" si="7"/>
        <v>0.37661715952769015</v>
      </c>
      <c r="X16">
        <f t="shared" si="7"/>
        <v>1.597888748792478</v>
      </c>
    </row>
    <row r="17" spans="1:24" x14ac:dyDescent="0.35">
      <c r="A17">
        <v>93.113100000000003</v>
      </c>
      <c r="B17">
        <v>7.8558499999999999E-4</v>
      </c>
      <c r="C17">
        <v>1.7009300000000001E-4</v>
      </c>
      <c r="D17">
        <f t="shared" si="2"/>
        <v>103.01132936455902</v>
      </c>
      <c r="E17">
        <f t="shared" si="3"/>
        <v>97.456068479886341</v>
      </c>
      <c r="G17">
        <v>8.1865499999999995E-4</v>
      </c>
      <c r="H17">
        <v>1.65942E-4</v>
      </c>
      <c r="I17">
        <f t="shared" si="4"/>
        <v>102.22747519096123</v>
      </c>
      <c r="J17">
        <f t="shared" si="5"/>
        <v>94.864656281263393</v>
      </c>
      <c r="Q17">
        <f t="shared" si="0"/>
        <v>8.0211999999999992E-4</v>
      </c>
      <c r="R17">
        <f t="shared" si="1"/>
        <v>1.6801750000000002E-4</v>
      </c>
      <c r="T17">
        <f t="shared" si="6"/>
        <v>102.61940227776012</v>
      </c>
      <c r="U17">
        <f t="shared" si="6"/>
        <v>96.160362380574867</v>
      </c>
      <c r="W17">
        <f t="shared" si="7"/>
        <v>0.39192708679889421</v>
      </c>
      <c r="X17">
        <f t="shared" si="7"/>
        <v>1.2957060993114737</v>
      </c>
    </row>
    <row r="18" spans="1:24" x14ac:dyDescent="0.35">
      <c r="A18">
        <v>99.351399999999998</v>
      </c>
      <c r="B18">
        <v>7.8978200000000005E-4</v>
      </c>
      <c r="C18">
        <v>1.7335300000000001E-4</v>
      </c>
      <c r="D18">
        <f t="shared" si="2"/>
        <v>103.561668983242</v>
      </c>
      <c r="E18">
        <f t="shared" si="3"/>
        <v>99.323910091501332</v>
      </c>
      <c r="G18">
        <v>8.20008E-4</v>
      </c>
      <c r="H18">
        <v>1.6546599999999999E-4</v>
      </c>
      <c r="I18">
        <f t="shared" si="4"/>
        <v>102.39642764826422</v>
      </c>
      <c r="J18">
        <f t="shared" si="5"/>
        <v>94.592539659854211</v>
      </c>
      <c r="Q18">
        <f t="shared" si="0"/>
        <v>8.0489500000000002E-4</v>
      </c>
      <c r="R18">
        <f t="shared" si="1"/>
        <v>1.6940949999999998E-4</v>
      </c>
      <c r="T18">
        <f t="shared" si="6"/>
        <v>102.97904831575312</v>
      </c>
      <c r="U18">
        <f t="shared" si="6"/>
        <v>96.958224875677772</v>
      </c>
      <c r="W18">
        <f t="shared" si="7"/>
        <v>0.58262066748888941</v>
      </c>
      <c r="X18">
        <f t="shared" si="7"/>
        <v>2.3656852158235608</v>
      </c>
    </row>
    <row r="19" spans="1:24" x14ac:dyDescent="0.35">
      <c r="A19">
        <v>105.571</v>
      </c>
      <c r="B19">
        <v>7.9033599999999999E-4</v>
      </c>
      <c r="C19">
        <v>1.66453E-4</v>
      </c>
      <c r="D19">
        <f t="shared" si="2"/>
        <v>103.63431328840052</v>
      </c>
      <c r="E19">
        <f t="shared" si="3"/>
        <v>95.370502999432787</v>
      </c>
      <c r="G19">
        <v>8.2131999999999995E-4</v>
      </c>
      <c r="H19">
        <v>1.6792399999999999E-4</v>
      </c>
      <c r="I19">
        <f t="shared" si="4"/>
        <v>102.56026033413377</v>
      </c>
      <c r="J19">
        <f t="shared" si="5"/>
        <v>95.997713305702419</v>
      </c>
      <c r="Q19">
        <f t="shared" si="0"/>
        <v>8.0582799999999997E-4</v>
      </c>
      <c r="R19">
        <f t="shared" si="1"/>
        <v>1.6718849999999998E-4</v>
      </c>
      <c r="T19">
        <f t="shared" si="6"/>
        <v>103.09728681126714</v>
      </c>
      <c r="U19">
        <f t="shared" si="6"/>
        <v>95.684108152567603</v>
      </c>
      <c r="W19">
        <f t="shared" si="7"/>
        <v>0.5370264771333737</v>
      </c>
      <c r="X19">
        <f t="shared" si="7"/>
        <v>0.31360515313481585</v>
      </c>
    </row>
    <row r="20" spans="1:24" x14ac:dyDescent="0.35">
      <c r="A20">
        <v>111.708</v>
      </c>
      <c r="B20">
        <v>7.9390500000000002E-4</v>
      </c>
      <c r="C20">
        <v>1.7009800000000001E-4</v>
      </c>
      <c r="D20">
        <f t="shared" si="2"/>
        <v>104.1023052109832</v>
      </c>
      <c r="E20">
        <f t="shared" si="3"/>
        <v>97.458933267634208</v>
      </c>
      <c r="G20">
        <v>8.2543299999999998E-4</v>
      </c>
      <c r="H20">
        <v>1.7806399999999999E-4</v>
      </c>
      <c r="I20">
        <f t="shared" si="4"/>
        <v>103.07386081963794</v>
      </c>
      <c r="J20">
        <f t="shared" si="5"/>
        <v>101.79448335000714</v>
      </c>
      <c r="Q20">
        <f t="shared" si="0"/>
        <v>8.0966900000000006E-4</v>
      </c>
      <c r="R20">
        <f t="shared" si="1"/>
        <v>1.74081E-4</v>
      </c>
      <c r="T20">
        <f t="shared" si="6"/>
        <v>103.58808301531057</v>
      </c>
      <c r="U20">
        <f t="shared" si="6"/>
        <v>99.626708308820668</v>
      </c>
      <c r="W20">
        <f t="shared" si="7"/>
        <v>0.51422219567263028</v>
      </c>
      <c r="X20">
        <f t="shared" si="7"/>
        <v>2.1677750411864665</v>
      </c>
    </row>
    <row r="21" spans="1:24" x14ac:dyDescent="0.35">
      <c r="A21">
        <v>118.009</v>
      </c>
      <c r="B21">
        <v>7.9419899999999999E-4</v>
      </c>
      <c r="C21">
        <v>1.6650399999999999E-4</v>
      </c>
      <c r="D21">
        <f t="shared" si="2"/>
        <v>104.14085652094096</v>
      </c>
      <c r="E21">
        <f t="shared" si="3"/>
        <v>95.399723834461099</v>
      </c>
      <c r="G21">
        <v>8.2380300000000001E-4</v>
      </c>
      <c r="H21">
        <v>1.69376E-4</v>
      </c>
      <c r="I21">
        <f t="shared" si="4"/>
        <v>102.87031868704086</v>
      </c>
      <c r="J21">
        <f t="shared" si="5"/>
        <v>96.827783335715296</v>
      </c>
      <c r="Q21">
        <f t="shared" si="0"/>
        <v>8.0900099999999995E-4</v>
      </c>
      <c r="R21">
        <f t="shared" si="1"/>
        <v>1.6793999999999999E-4</v>
      </c>
      <c r="T21">
        <f t="shared" si="6"/>
        <v>103.5055876039909</v>
      </c>
      <c r="U21">
        <f t="shared" si="6"/>
        <v>96.113753585088205</v>
      </c>
      <c r="W21">
        <f t="shared" si="7"/>
        <v>0.6352689169500465</v>
      </c>
      <c r="X21">
        <f t="shared" si="7"/>
        <v>0.71402975062709828</v>
      </c>
    </row>
    <row r="22" spans="1:24" x14ac:dyDescent="0.35">
      <c r="A22">
        <v>124.221</v>
      </c>
      <c r="B22">
        <v>7.9456999999999998E-4</v>
      </c>
      <c r="C22">
        <v>1.63919E-4</v>
      </c>
      <c r="D22">
        <f t="shared" si="2"/>
        <v>104.18950460255436</v>
      </c>
      <c r="E22">
        <f t="shared" si="3"/>
        <v>93.918628568809339</v>
      </c>
      <c r="G22">
        <v>8.2587199999999996E-4</v>
      </c>
      <c r="H22">
        <v>1.69266E-4</v>
      </c>
      <c r="I22">
        <f t="shared" si="4"/>
        <v>103.12867983571776</v>
      </c>
      <c r="J22">
        <f t="shared" si="5"/>
        <v>96.764899242532508</v>
      </c>
      <c r="Q22">
        <f t="shared" si="0"/>
        <v>8.1022099999999997E-4</v>
      </c>
      <c r="R22">
        <f t="shared" si="1"/>
        <v>1.665925E-4</v>
      </c>
      <c r="T22">
        <f t="shared" si="6"/>
        <v>103.65909221913606</v>
      </c>
      <c r="U22">
        <f t="shared" si="6"/>
        <v>95.341763905670916</v>
      </c>
      <c r="W22">
        <f t="shared" si="7"/>
        <v>0.53041238341830166</v>
      </c>
      <c r="X22">
        <f t="shared" si="7"/>
        <v>1.4231353368615842</v>
      </c>
    </row>
    <row r="23" spans="1:24" x14ac:dyDescent="0.35">
      <c r="A23">
        <v>130.28700000000001</v>
      </c>
      <c r="B23">
        <v>8.0213300000000001E-4</v>
      </c>
      <c r="C23">
        <v>1.7552600000000001E-4</v>
      </c>
      <c r="D23">
        <f t="shared" si="2"/>
        <v>105.1812173821825</v>
      </c>
      <c r="E23">
        <f t="shared" si="3"/>
        <v>100.56894684672815</v>
      </c>
      <c r="G23">
        <v>8.2621099999999998E-4</v>
      </c>
      <c r="H23">
        <v>1.65422E-4</v>
      </c>
      <c r="I23">
        <f t="shared" si="4"/>
        <v>103.17101160439901</v>
      </c>
      <c r="J23">
        <f t="shared" si="5"/>
        <v>94.567386022581104</v>
      </c>
      <c r="Q23">
        <f t="shared" si="0"/>
        <v>8.1417199999999994E-4</v>
      </c>
      <c r="R23">
        <f t="shared" si="1"/>
        <v>1.7047399999999999E-4</v>
      </c>
      <c r="T23">
        <f t="shared" si="6"/>
        <v>104.17611449329075</v>
      </c>
      <c r="U23">
        <f t="shared" si="6"/>
        <v>97.568166434654628</v>
      </c>
      <c r="W23">
        <f t="shared" si="7"/>
        <v>1.0051028888917415</v>
      </c>
      <c r="X23">
        <f t="shared" si="7"/>
        <v>3.0007804120735244</v>
      </c>
    </row>
    <row r="24" spans="1:24" x14ac:dyDescent="0.35">
      <c r="A24">
        <v>136.62799999999999</v>
      </c>
      <c r="B24">
        <v>8.0413800000000003E-4</v>
      </c>
      <c r="C24">
        <v>1.75701E-4</v>
      </c>
      <c r="D24">
        <f t="shared" si="2"/>
        <v>105.44412682594215</v>
      </c>
      <c r="E24">
        <f t="shared" si="3"/>
        <v>100.6692144179038</v>
      </c>
      <c r="G24">
        <v>8.2745400000000004E-4</v>
      </c>
      <c r="H24">
        <v>1.7190400000000001E-4</v>
      </c>
      <c r="I24">
        <f t="shared" si="4"/>
        <v>103.32622808956353</v>
      </c>
      <c r="J24">
        <f t="shared" si="5"/>
        <v>98.272974131770766</v>
      </c>
      <c r="Q24">
        <f t="shared" si="0"/>
        <v>8.1579600000000003E-4</v>
      </c>
      <c r="R24">
        <f t="shared" si="1"/>
        <v>1.7380250000000001E-4</v>
      </c>
      <c r="T24">
        <f t="shared" si="6"/>
        <v>104.38517745775283</v>
      </c>
      <c r="U24">
        <f t="shared" si="6"/>
        <v>99.471094274837284</v>
      </c>
      <c r="W24">
        <f t="shared" si="7"/>
        <v>1.0589493681893103</v>
      </c>
      <c r="X24">
        <f t="shared" si="7"/>
        <v>1.198120143066518</v>
      </c>
    </row>
    <row r="25" spans="1:24" x14ac:dyDescent="0.35">
      <c r="A25">
        <v>142.79400000000001</v>
      </c>
      <c r="B25">
        <v>8.0667499999999997E-4</v>
      </c>
      <c r="C25">
        <v>1.7606699999999999E-4</v>
      </c>
      <c r="D25">
        <f t="shared" si="2"/>
        <v>105.77679578295876</v>
      </c>
      <c r="E25">
        <f t="shared" si="3"/>
        <v>100.87891688104828</v>
      </c>
      <c r="G25">
        <v>8.2736500000000004E-4</v>
      </c>
      <c r="H25">
        <v>1.6979500000000001E-4</v>
      </c>
      <c r="I25">
        <f t="shared" si="4"/>
        <v>103.3151144393788</v>
      </c>
      <c r="J25">
        <f t="shared" si="5"/>
        <v>97.067314563384315</v>
      </c>
      <c r="Q25">
        <f t="shared" si="0"/>
        <v>8.1702000000000001E-4</v>
      </c>
      <c r="R25">
        <f t="shared" si="1"/>
        <v>1.72931E-4</v>
      </c>
      <c r="T25">
        <f t="shared" si="6"/>
        <v>104.54595511116878</v>
      </c>
      <c r="U25">
        <f t="shared" si="6"/>
        <v>98.973115722216306</v>
      </c>
      <c r="W25">
        <f t="shared" si="7"/>
        <v>1.2308406717899771</v>
      </c>
      <c r="X25">
        <f t="shared" si="7"/>
        <v>1.9058011588319843</v>
      </c>
    </row>
    <row r="26" spans="1:24" x14ac:dyDescent="0.35">
      <c r="A26">
        <v>149.03399999999999</v>
      </c>
      <c r="B26">
        <v>8.0676999999999995E-4</v>
      </c>
      <c r="C26">
        <v>1.74723E-4</v>
      </c>
      <c r="D26">
        <f t="shared" si="2"/>
        <v>105.78925283889748</v>
      </c>
      <c r="E26">
        <f t="shared" si="3"/>
        <v>100.10886193441928</v>
      </c>
      <c r="G26">
        <v>8.3017500000000005E-4</v>
      </c>
      <c r="H26">
        <v>1.72437E-4</v>
      </c>
      <c r="I26">
        <f t="shared" si="4"/>
        <v>103.6660060912793</v>
      </c>
      <c r="J26">
        <f t="shared" si="5"/>
        <v>98.577676146920098</v>
      </c>
      <c r="Q26">
        <f t="shared" si="0"/>
        <v>8.1847249999999995E-4</v>
      </c>
      <c r="R26">
        <f t="shared" si="1"/>
        <v>1.7358E-4</v>
      </c>
      <c r="T26">
        <f t="shared" si="6"/>
        <v>104.7276294650884</v>
      </c>
      <c r="U26">
        <f t="shared" si="6"/>
        <v>99.343269040669696</v>
      </c>
      <c r="W26">
        <f t="shared" si="7"/>
        <v>1.0616233738090912</v>
      </c>
      <c r="X26">
        <f t="shared" si="7"/>
        <v>0.7655928937495915</v>
      </c>
    </row>
    <row r="27" spans="1:24" x14ac:dyDescent="0.35">
      <c r="A27">
        <v>155.125</v>
      </c>
      <c r="B27">
        <v>8.1222599999999999E-4</v>
      </c>
      <c r="C27">
        <v>1.7964700000000001E-4</v>
      </c>
      <c r="D27">
        <f t="shared" si="2"/>
        <v>106.50468123049488</v>
      </c>
      <c r="E27">
        <f t="shared" si="3"/>
        <v>102.93010490852734</v>
      </c>
      <c r="G27">
        <v>8.3043199999999998E-4</v>
      </c>
      <c r="H27">
        <v>1.7119600000000001E-4</v>
      </c>
      <c r="I27">
        <f t="shared" si="4"/>
        <v>103.69809831709367</v>
      </c>
      <c r="J27">
        <f t="shared" si="5"/>
        <v>97.868229241103336</v>
      </c>
      <c r="Q27">
        <f t="shared" si="0"/>
        <v>8.2132899999999998E-4</v>
      </c>
      <c r="R27">
        <f t="shared" si="1"/>
        <v>1.7542149999999999E-4</v>
      </c>
      <c r="T27">
        <f t="shared" si="6"/>
        <v>105.10138977379427</v>
      </c>
      <c r="U27">
        <f t="shared" si="6"/>
        <v>100.39916707481534</v>
      </c>
      <c r="W27">
        <f t="shared" si="7"/>
        <v>1.4032914567006074</v>
      </c>
      <c r="X27">
        <f t="shared" si="7"/>
        <v>2.5309378337120023</v>
      </c>
    </row>
    <row r="28" spans="1:24" x14ac:dyDescent="0.35">
      <c r="A28">
        <v>161.47300000000001</v>
      </c>
      <c r="B28">
        <v>8.1319499999999996E-4</v>
      </c>
      <c r="C28">
        <v>1.7836100000000001E-4</v>
      </c>
      <c r="D28">
        <f t="shared" si="2"/>
        <v>106.63174320106998</v>
      </c>
      <c r="E28">
        <f t="shared" si="3"/>
        <v>102.19328149977369</v>
      </c>
      <c r="G28">
        <v>8.2902699999999998E-4</v>
      </c>
      <c r="H28">
        <v>1.62614E-4</v>
      </c>
      <c r="I28">
        <f t="shared" si="4"/>
        <v>103.5226524911434</v>
      </c>
      <c r="J28">
        <f t="shared" si="5"/>
        <v>92.962126625696712</v>
      </c>
      <c r="Q28">
        <f t="shared" si="0"/>
        <v>8.2111100000000002E-4</v>
      </c>
      <c r="R28">
        <f t="shared" si="1"/>
        <v>1.7048749999999999E-4</v>
      </c>
      <c r="T28">
        <f t="shared" si="6"/>
        <v>105.07719784610669</v>
      </c>
      <c r="U28">
        <f t="shared" si="6"/>
        <v>97.577704062735194</v>
      </c>
      <c r="W28">
        <f t="shared" si="7"/>
        <v>1.5545453549632882</v>
      </c>
      <c r="X28">
        <f t="shared" si="7"/>
        <v>4.615577437038489</v>
      </c>
    </row>
    <row r="29" spans="1:24" x14ac:dyDescent="0.35">
      <c r="A29">
        <v>167.614</v>
      </c>
      <c r="B29">
        <v>8.1881300000000005E-4</v>
      </c>
      <c r="C29">
        <v>1.8268399999999999E-4</v>
      </c>
      <c r="D29">
        <f t="shared" si="2"/>
        <v>107.36841415121556</v>
      </c>
      <c r="E29">
        <f t="shared" si="3"/>
        <v>104.67017698658707</v>
      </c>
      <c r="G29">
        <v>8.3138099999999996E-4</v>
      </c>
      <c r="H29">
        <v>1.6411799999999999E-4</v>
      </c>
      <c r="I29">
        <f t="shared" si="4"/>
        <v>103.81660229490632</v>
      </c>
      <c r="J29">
        <f t="shared" si="5"/>
        <v>93.821923681577815</v>
      </c>
      <c r="Q29">
        <f t="shared" si="0"/>
        <v>8.25097E-4</v>
      </c>
      <c r="R29">
        <f t="shared" si="1"/>
        <v>1.73401E-4</v>
      </c>
      <c r="T29">
        <f t="shared" si="6"/>
        <v>105.59250822306095</v>
      </c>
      <c r="U29">
        <f t="shared" si="6"/>
        <v>99.24605033408244</v>
      </c>
      <c r="W29">
        <f t="shared" si="7"/>
        <v>1.7759059281546214</v>
      </c>
      <c r="X29">
        <f t="shared" si="7"/>
        <v>5.4241266525046257</v>
      </c>
    </row>
    <row r="30" spans="1:24" x14ac:dyDescent="0.35">
      <c r="A30">
        <v>173.85</v>
      </c>
      <c r="B30">
        <v>8.1687399999999999E-4</v>
      </c>
      <c r="C30">
        <v>1.7939400000000001E-4</v>
      </c>
      <c r="D30">
        <f t="shared" si="2"/>
        <v>107.11415908316069</v>
      </c>
      <c r="E30">
        <f t="shared" si="3"/>
        <v>102.78514664848481</v>
      </c>
      <c r="G30">
        <v>8.3287400000000005E-4</v>
      </c>
      <c r="H30">
        <v>1.6947699999999999E-4</v>
      </c>
      <c r="I30">
        <f t="shared" si="4"/>
        <v>104.00303689856733</v>
      </c>
      <c r="J30">
        <f t="shared" si="5"/>
        <v>96.88552236672858</v>
      </c>
      <c r="Q30">
        <f t="shared" si="0"/>
        <v>8.2487399999999996E-4</v>
      </c>
      <c r="R30">
        <f t="shared" si="1"/>
        <v>1.744355E-4</v>
      </c>
      <c r="T30">
        <f t="shared" si="6"/>
        <v>105.558597990864</v>
      </c>
      <c r="U30">
        <f t="shared" si="6"/>
        <v>99.835334507606689</v>
      </c>
      <c r="W30">
        <f t="shared" si="7"/>
        <v>1.5555610922966778</v>
      </c>
      <c r="X30">
        <f t="shared" si="7"/>
        <v>2.9498121408781159</v>
      </c>
    </row>
    <row r="31" spans="1:24" x14ac:dyDescent="0.35">
      <c r="A31">
        <v>179.93600000000001</v>
      </c>
      <c r="B31">
        <v>8.1974100000000002E-4</v>
      </c>
      <c r="C31">
        <v>1.7935299999999999E-4</v>
      </c>
      <c r="D31">
        <f t="shared" si="2"/>
        <v>107.49009991870133</v>
      </c>
      <c r="E31">
        <f t="shared" si="3"/>
        <v>102.76165538895224</v>
      </c>
      <c r="G31">
        <v>8.3358499999999997E-4</v>
      </c>
      <c r="H31">
        <v>1.6992099999999999E-4</v>
      </c>
      <c r="I31">
        <f t="shared" si="4"/>
        <v>104.09182122757134</v>
      </c>
      <c r="J31">
        <f t="shared" si="5"/>
        <v>97.139345433757313</v>
      </c>
      <c r="Q31">
        <f t="shared" si="0"/>
        <v>8.2666300000000005E-4</v>
      </c>
      <c r="R31">
        <f t="shared" si="1"/>
        <v>1.74637E-4</v>
      </c>
      <c r="T31">
        <f t="shared" si="6"/>
        <v>105.79096057313635</v>
      </c>
      <c r="U31">
        <f t="shared" si="6"/>
        <v>99.950500411354767</v>
      </c>
      <c r="W31">
        <f t="shared" si="7"/>
        <v>1.6991393455649941</v>
      </c>
      <c r="X31">
        <f t="shared" si="7"/>
        <v>2.8111549775974609</v>
      </c>
    </row>
    <row r="32" spans="1:24" x14ac:dyDescent="0.35">
      <c r="A32">
        <v>193.119</v>
      </c>
      <c r="B32">
        <v>1.64314E-6</v>
      </c>
      <c r="C32">
        <v>2.21919E-5</v>
      </c>
      <c r="D32">
        <f t="shared" si="2"/>
        <v>0.21545986205449638</v>
      </c>
      <c r="E32">
        <f t="shared" si="3"/>
        <v>12.715016644416815</v>
      </c>
      <c r="G32">
        <v>1.55518E-6</v>
      </c>
      <c r="H32">
        <v>2.3628499999999999E-5</v>
      </c>
      <c r="I32">
        <f t="shared" si="4"/>
        <v>0.19419917409345705</v>
      </c>
      <c r="J32">
        <f t="shared" si="5"/>
        <v>13.50778905245105</v>
      </c>
      <c r="Q32">
        <f t="shared" si="0"/>
        <v>1.59916E-6</v>
      </c>
      <c r="R32">
        <f t="shared" si="1"/>
        <v>2.29102E-5</v>
      </c>
      <c r="T32">
        <f t="shared" si="6"/>
        <v>0.2048295180739767</v>
      </c>
      <c r="U32">
        <f t="shared" si="6"/>
        <v>13.111402848433933</v>
      </c>
      <c r="W32">
        <f t="shared" si="7"/>
        <v>1.0630343980519666E-2</v>
      </c>
      <c r="X32">
        <f t="shared" si="7"/>
        <v>0.39638620401711755</v>
      </c>
    </row>
    <row r="33" spans="1:24" x14ac:dyDescent="0.35">
      <c r="A33">
        <v>199.374</v>
      </c>
      <c r="B33">
        <v>1.6368200000000001E-6</v>
      </c>
      <c r="C33">
        <v>2.2104799999999999E-5</v>
      </c>
      <c r="D33">
        <f t="shared" si="2"/>
        <v>0.21463114001730876</v>
      </c>
      <c r="E33">
        <f t="shared" si="3"/>
        <v>12.66511204184882</v>
      </c>
      <c r="G33">
        <v>1.52687E-6</v>
      </c>
      <c r="H33">
        <v>2.35128E-5</v>
      </c>
      <c r="I33">
        <f t="shared" si="4"/>
        <v>0.19066403435491502</v>
      </c>
      <c r="J33">
        <f t="shared" si="5"/>
        <v>13.441646419894241</v>
      </c>
      <c r="Q33">
        <f t="shared" si="0"/>
        <v>1.581845E-6</v>
      </c>
      <c r="R33">
        <f t="shared" si="1"/>
        <v>2.2808799999999998E-5</v>
      </c>
      <c r="T33">
        <f t="shared" si="6"/>
        <v>0.20264758718611189</v>
      </c>
      <c r="U33">
        <f t="shared" si="6"/>
        <v>13.053379230871531</v>
      </c>
      <c r="W33">
        <f t="shared" si="7"/>
        <v>1.198355283119687E-2</v>
      </c>
      <c r="X33">
        <f t="shared" si="7"/>
        <v>0.38826718902271029</v>
      </c>
    </row>
    <row r="34" spans="1:24" x14ac:dyDescent="0.35">
      <c r="A34">
        <v>205.643</v>
      </c>
      <c r="B34">
        <v>1.6313599999999999E-6</v>
      </c>
      <c r="C34">
        <v>2.20034E-5</v>
      </c>
      <c r="D34">
        <f t="shared" si="2"/>
        <v>0.21391518711809288</v>
      </c>
      <c r="E34">
        <f t="shared" si="3"/>
        <v>12.607014146321898</v>
      </c>
      <c r="G34">
        <v>1.50062E-6</v>
      </c>
      <c r="H34">
        <v>2.3354799999999999E-5</v>
      </c>
      <c r="I34">
        <f t="shared" si="4"/>
        <v>0.18738613191278408</v>
      </c>
      <c r="J34">
        <f t="shared" si="5"/>
        <v>13.351321995140772</v>
      </c>
      <c r="Q34">
        <f t="shared" si="0"/>
        <v>1.5659900000000001E-6</v>
      </c>
      <c r="R34">
        <f t="shared" si="1"/>
        <v>2.2679099999999998E-5</v>
      </c>
      <c r="T34">
        <f t="shared" si="6"/>
        <v>0.20065065951543848</v>
      </c>
      <c r="U34">
        <f t="shared" si="6"/>
        <v>12.979168070731335</v>
      </c>
      <c r="W34">
        <f t="shared" si="7"/>
        <v>1.3264527602654397E-2</v>
      </c>
      <c r="X34">
        <f t="shared" si="7"/>
        <v>0.37215392440943695</v>
      </c>
    </row>
    <row r="35" spans="1:24" x14ac:dyDescent="0.35">
      <c r="A35">
        <v>211.75800000000001</v>
      </c>
      <c r="B35">
        <v>1.62416E-6</v>
      </c>
      <c r="C35">
        <v>2.1944399999999999E-5</v>
      </c>
      <c r="D35">
        <f t="shared" si="2"/>
        <v>0.21297107340484123</v>
      </c>
      <c r="E35">
        <f t="shared" si="3"/>
        <v>12.573209650896967</v>
      </c>
      <c r="G35">
        <v>1.4788900000000001E-6</v>
      </c>
      <c r="H35">
        <v>2.3252899999999999E-5</v>
      </c>
      <c r="I35">
        <f t="shared" si="4"/>
        <v>0.18467265305306957</v>
      </c>
      <c r="J35">
        <f t="shared" si="5"/>
        <v>13.293068457910531</v>
      </c>
      <c r="Q35">
        <f t="shared" ref="Q35:Q66" si="8">AVERAGE(B35,G35,L35)</f>
        <v>1.5515249999999999E-6</v>
      </c>
      <c r="R35">
        <f t="shared" ref="R35:R66" si="9">AVERAGE(C35,H35,M35)</f>
        <v>2.2598650000000001E-5</v>
      </c>
      <c r="T35">
        <f t="shared" si="6"/>
        <v>0.1988218632289554</v>
      </c>
      <c r="U35">
        <f t="shared" si="6"/>
        <v>12.93313905440375</v>
      </c>
      <c r="W35">
        <f t="shared" si="7"/>
        <v>1.4149210175885829E-2</v>
      </c>
      <c r="X35">
        <f t="shared" si="7"/>
        <v>0.35992940350678193</v>
      </c>
    </row>
    <row r="36" spans="1:24" x14ac:dyDescent="0.35">
      <c r="A36">
        <v>218.077</v>
      </c>
      <c r="B36">
        <v>1.61233E-6</v>
      </c>
      <c r="C36">
        <v>2.19031E-5</v>
      </c>
      <c r="D36">
        <f t="shared" si="2"/>
        <v>0.21141984212320686</v>
      </c>
      <c r="E36">
        <f t="shared" si="3"/>
        <v>12.549546504099512</v>
      </c>
      <c r="G36">
        <v>1.45477E-6</v>
      </c>
      <c r="H36">
        <v>2.3149499999999999E-5</v>
      </c>
      <c r="I36">
        <f t="shared" si="4"/>
        <v>0.18166072898052862</v>
      </c>
      <c r="J36">
        <f t="shared" si="5"/>
        <v>13.233957410318705</v>
      </c>
      <c r="Q36">
        <f t="shared" si="8"/>
        <v>1.5335499999999999E-6</v>
      </c>
      <c r="R36">
        <f t="shared" si="9"/>
        <v>2.2526300000000001E-5</v>
      </c>
      <c r="T36">
        <f t="shared" si="6"/>
        <v>0.19654028555186775</v>
      </c>
      <c r="U36">
        <f t="shared" si="6"/>
        <v>12.891751957209109</v>
      </c>
      <c r="W36">
        <f t="shared" si="7"/>
        <v>1.4879556571339117E-2</v>
      </c>
      <c r="X36">
        <f t="shared" si="7"/>
        <v>0.34220545310959682</v>
      </c>
    </row>
    <row r="37" spans="1:24" x14ac:dyDescent="0.35">
      <c r="A37">
        <v>224.21</v>
      </c>
      <c r="B37">
        <v>1.5991099999999999E-6</v>
      </c>
      <c r="C37">
        <v>2.18596E-5</v>
      </c>
      <c r="D37">
        <f t="shared" si="2"/>
        <v>0.20968634444415304</v>
      </c>
      <c r="E37">
        <f t="shared" si="3"/>
        <v>12.524622850692992</v>
      </c>
      <c r="G37">
        <v>1.4443600000000001E-6</v>
      </c>
      <c r="H37">
        <v>2.3061399999999999E-5</v>
      </c>
      <c r="I37">
        <f t="shared" si="4"/>
        <v>0.18036080652633499</v>
      </c>
      <c r="J37">
        <f t="shared" si="5"/>
        <v>13.183592968415034</v>
      </c>
      <c r="Q37">
        <f t="shared" si="8"/>
        <v>1.5217350000000001E-6</v>
      </c>
      <c r="R37">
        <f t="shared" si="9"/>
        <v>2.24605E-5</v>
      </c>
      <c r="T37">
        <f t="shared" si="6"/>
        <v>0.19502357548524402</v>
      </c>
      <c r="U37">
        <f t="shared" si="6"/>
        <v>12.854107909554013</v>
      </c>
      <c r="W37">
        <f t="shared" si="7"/>
        <v>1.4662768958909028E-2</v>
      </c>
      <c r="X37">
        <f t="shared" si="7"/>
        <v>0.32948505886102097</v>
      </c>
    </row>
    <row r="38" spans="1:24" x14ac:dyDescent="0.35">
      <c r="A38">
        <v>230.48099999999999</v>
      </c>
      <c r="B38">
        <v>1.58189E-6</v>
      </c>
      <c r="C38">
        <v>2.1787799999999998E-5</v>
      </c>
      <c r="D38">
        <f t="shared" si="2"/>
        <v>0.20742833914662609</v>
      </c>
      <c r="E38">
        <f t="shared" si="3"/>
        <v>12.483484498633496</v>
      </c>
      <c r="G38">
        <v>1.4278999999999999E-6</v>
      </c>
      <c r="H38">
        <v>2.2978600000000001E-5</v>
      </c>
      <c r="I38">
        <f t="shared" si="4"/>
        <v>0.17830540560452637</v>
      </c>
      <c r="J38">
        <f t="shared" si="5"/>
        <v>13.136258396455624</v>
      </c>
      <c r="Q38">
        <f t="shared" si="8"/>
        <v>1.5048949999999998E-6</v>
      </c>
      <c r="R38">
        <f t="shared" si="9"/>
        <v>2.2383199999999999E-5</v>
      </c>
      <c r="T38">
        <f t="shared" si="6"/>
        <v>0.19286687237557623</v>
      </c>
      <c r="U38">
        <f t="shared" si="6"/>
        <v>12.809871447544559</v>
      </c>
      <c r="W38">
        <f t="shared" si="7"/>
        <v>1.4561466771049858E-2</v>
      </c>
      <c r="X38">
        <f t="shared" si="7"/>
        <v>0.32638694891106379</v>
      </c>
    </row>
    <row r="39" spans="1:24" x14ac:dyDescent="0.35">
      <c r="A39">
        <v>236.60900000000001</v>
      </c>
      <c r="B39">
        <v>1.5621099999999999E-6</v>
      </c>
      <c r="C39">
        <v>2.1711700000000001E-5</v>
      </c>
      <c r="D39">
        <f t="shared" si="2"/>
        <v>0.20483464897327633</v>
      </c>
      <c r="E39">
        <f t="shared" si="3"/>
        <v>12.439882429110828</v>
      </c>
      <c r="G39">
        <v>1.4122800000000001E-6</v>
      </c>
      <c r="H39">
        <v>2.2903699999999999E-5</v>
      </c>
      <c r="I39">
        <f t="shared" si="4"/>
        <v>0.17635489756086598</v>
      </c>
      <c r="J39">
        <f t="shared" si="5"/>
        <v>13.093440045733884</v>
      </c>
      <c r="Q39">
        <f t="shared" si="8"/>
        <v>1.487195E-6</v>
      </c>
      <c r="R39">
        <f t="shared" si="9"/>
        <v>2.23077E-5</v>
      </c>
      <c r="T39">
        <f t="shared" si="6"/>
        <v>0.19059477326707114</v>
      </c>
      <c r="U39">
        <f t="shared" si="6"/>
        <v>12.766661237422355</v>
      </c>
      <c r="W39">
        <f t="shared" si="7"/>
        <v>1.4239875706205177E-2</v>
      </c>
      <c r="X39">
        <f t="shared" si="7"/>
        <v>0.32677880831152795</v>
      </c>
    </row>
    <row r="40" spans="1:24" x14ac:dyDescent="0.35">
      <c r="A40">
        <v>242.952</v>
      </c>
      <c r="B40">
        <v>1.54776E-6</v>
      </c>
      <c r="C40">
        <v>2.1668300000000001E-5</v>
      </c>
      <c r="D40">
        <f t="shared" si="2"/>
        <v>0.20295297789200387</v>
      </c>
      <c r="E40">
        <f t="shared" si="3"/>
        <v>12.415016071459267</v>
      </c>
      <c r="G40">
        <v>1.4025600000000001E-6</v>
      </c>
      <c r="H40">
        <v>2.2844200000000001E-5</v>
      </c>
      <c r="I40">
        <f t="shared" si="4"/>
        <v>0.17514113711372262</v>
      </c>
      <c r="J40">
        <f t="shared" si="5"/>
        <v>13.059425468057739</v>
      </c>
      <c r="Q40">
        <f t="shared" si="8"/>
        <v>1.47516E-6</v>
      </c>
      <c r="R40">
        <f t="shared" si="9"/>
        <v>2.2256250000000002E-5</v>
      </c>
      <c r="T40">
        <f t="shared" si="6"/>
        <v>0.18904705750286324</v>
      </c>
      <c r="U40">
        <f t="shared" si="6"/>
        <v>12.737220769758503</v>
      </c>
      <c r="W40">
        <f t="shared" si="7"/>
        <v>1.3905920389140625E-2</v>
      </c>
      <c r="X40">
        <f t="shared" si="7"/>
        <v>0.32220469829923637</v>
      </c>
    </row>
    <row r="41" spans="1:24" x14ac:dyDescent="0.35">
      <c r="A41">
        <v>249.15899999999999</v>
      </c>
      <c r="B41">
        <v>1.5410500000000001E-6</v>
      </c>
      <c r="C41">
        <v>2.1635199999999999E-5</v>
      </c>
      <c r="D41">
        <f t="shared" si="2"/>
        <v>0.20207311636201516</v>
      </c>
      <c r="E41">
        <f t="shared" si="3"/>
        <v>12.396051176568328</v>
      </c>
      <c r="G41">
        <v>1.3928700000000001E-6</v>
      </c>
      <c r="H41">
        <v>2.28055E-5</v>
      </c>
      <c r="I41">
        <f t="shared" si="4"/>
        <v>0.17393112284079884</v>
      </c>
      <c r="J41">
        <f t="shared" si="5"/>
        <v>13.037301700728884</v>
      </c>
      <c r="Q41">
        <f t="shared" si="8"/>
        <v>1.4669600000000001E-6</v>
      </c>
      <c r="R41">
        <f t="shared" si="9"/>
        <v>2.2220349999999998E-5</v>
      </c>
      <c r="T41">
        <f t="shared" si="6"/>
        <v>0.188002119601407</v>
      </c>
      <c r="U41">
        <f t="shared" si="6"/>
        <v>12.716676438648605</v>
      </c>
      <c r="W41">
        <f t="shared" si="7"/>
        <v>1.4070996760608162E-2</v>
      </c>
      <c r="X41">
        <f t="shared" si="7"/>
        <v>0.32062526208027808</v>
      </c>
    </row>
    <row r="42" spans="1:24" x14ac:dyDescent="0.35">
      <c r="A42">
        <v>262.24700000000001</v>
      </c>
      <c r="B42">
        <v>6.2075800000000001E-4</v>
      </c>
      <c r="C42">
        <v>1.77536E-4</v>
      </c>
      <c r="D42">
        <f t="shared" si="2"/>
        <v>81.398075057040202</v>
      </c>
      <c r="E42">
        <f t="shared" si="3"/>
        <v>101.72059152137419</v>
      </c>
      <c r="G42">
        <v>6.3739000000000005E-4</v>
      </c>
      <c r="H42">
        <v>1.79521E-4</v>
      </c>
      <c r="I42">
        <f t="shared" si="4"/>
        <v>79.592466193899497</v>
      </c>
      <c r="J42">
        <f t="shared" si="5"/>
        <v>102.62741174789195</v>
      </c>
      <c r="Q42">
        <f t="shared" si="8"/>
        <v>6.2907400000000008E-4</v>
      </c>
      <c r="R42">
        <f t="shared" si="9"/>
        <v>1.7852850000000002E-4</v>
      </c>
      <c r="T42">
        <f t="shared" si="6"/>
        <v>80.495270625469857</v>
      </c>
      <c r="U42">
        <f t="shared" si="6"/>
        <v>102.17400163463307</v>
      </c>
      <c r="W42">
        <f t="shared" si="7"/>
        <v>0.90280443157035251</v>
      </c>
      <c r="X42">
        <f t="shared" si="7"/>
        <v>0.45341011325888303</v>
      </c>
    </row>
    <row r="43" spans="1:24" x14ac:dyDescent="0.35">
      <c r="A43">
        <v>268.46699999999998</v>
      </c>
      <c r="B43">
        <v>6.4110600000000001E-4</v>
      </c>
      <c r="C43">
        <v>1.81106E-4</v>
      </c>
      <c r="D43">
        <f t="shared" si="2"/>
        <v>84.066245312213155</v>
      </c>
      <c r="E43">
        <f t="shared" si="3"/>
        <v>103.76604997335748</v>
      </c>
      <c r="G43">
        <v>6.5585899999999996E-4</v>
      </c>
      <c r="H43">
        <v>1.8501699999999999E-4</v>
      </c>
      <c r="I43">
        <f t="shared" si="4"/>
        <v>81.898735915945835</v>
      </c>
      <c r="J43">
        <f t="shared" si="5"/>
        <v>105.76932971273403</v>
      </c>
      <c r="Q43">
        <f t="shared" si="8"/>
        <v>6.4848249999999998E-4</v>
      </c>
      <c r="R43">
        <f t="shared" si="9"/>
        <v>1.830615E-4</v>
      </c>
      <c r="T43">
        <f t="shared" si="6"/>
        <v>82.982490614079495</v>
      </c>
      <c r="U43">
        <f t="shared" si="6"/>
        <v>104.76768984304576</v>
      </c>
      <c r="W43">
        <f t="shared" si="7"/>
        <v>1.0837546981336601</v>
      </c>
      <c r="X43">
        <f t="shared" si="7"/>
        <v>1.001639869688276</v>
      </c>
    </row>
    <row r="44" spans="1:24" x14ac:dyDescent="0.35">
      <c r="A44">
        <v>274.76</v>
      </c>
      <c r="B44">
        <v>6.5446299999999998E-4</v>
      </c>
      <c r="C44">
        <v>1.78307E-4</v>
      </c>
      <c r="D44">
        <f t="shared" si="2"/>
        <v>85.817707377199653</v>
      </c>
      <c r="E44">
        <f t="shared" si="3"/>
        <v>102.16234179209663</v>
      </c>
      <c r="G44">
        <v>6.70591E-4</v>
      </c>
      <c r="H44">
        <v>1.80569E-4</v>
      </c>
      <c r="I44">
        <f t="shared" si="4"/>
        <v>83.738357202706737</v>
      </c>
      <c r="J44">
        <f t="shared" si="5"/>
        <v>103.22652565385164</v>
      </c>
      <c r="Q44">
        <f t="shared" si="8"/>
        <v>6.6252699999999999E-4</v>
      </c>
      <c r="R44">
        <f t="shared" si="9"/>
        <v>1.79438E-4</v>
      </c>
      <c r="T44">
        <f t="shared" si="6"/>
        <v>84.778032289953188</v>
      </c>
      <c r="U44">
        <f t="shared" si="6"/>
        <v>102.69443372297414</v>
      </c>
      <c r="W44">
        <f t="shared" si="7"/>
        <v>1.039675087246458</v>
      </c>
      <c r="X44">
        <f t="shared" si="7"/>
        <v>0.53209193087750606</v>
      </c>
    </row>
    <row r="45" spans="1:24" x14ac:dyDescent="0.35">
      <c r="A45">
        <v>280.99099999999999</v>
      </c>
      <c r="B45">
        <v>6.6921299999999999E-4</v>
      </c>
      <c r="C45">
        <v>1.7625400000000001E-4</v>
      </c>
      <c r="D45">
        <f t="shared" si="2"/>
        <v>87.751829220319422</v>
      </c>
      <c r="E45">
        <f t="shared" si="3"/>
        <v>100.98605994281884</v>
      </c>
      <c r="G45">
        <v>6.8148299999999998E-4</v>
      </c>
      <c r="H45">
        <v>1.71402E-4</v>
      </c>
      <c r="I45">
        <f t="shared" si="4"/>
        <v>85.098468189361611</v>
      </c>
      <c r="J45">
        <f t="shared" si="5"/>
        <v>97.985993997427457</v>
      </c>
      <c r="Q45">
        <f t="shared" si="8"/>
        <v>6.7534799999999999E-4</v>
      </c>
      <c r="R45">
        <f t="shared" si="9"/>
        <v>1.73828E-4</v>
      </c>
      <c r="T45">
        <f t="shared" si="6"/>
        <v>86.425148704840524</v>
      </c>
      <c r="U45">
        <f t="shared" si="6"/>
        <v>99.486026970123149</v>
      </c>
      <c r="W45">
        <f t="shared" si="7"/>
        <v>1.3266805154789054</v>
      </c>
      <c r="X45">
        <f t="shared" si="7"/>
        <v>1.500032972695692</v>
      </c>
    </row>
    <row r="46" spans="1:24" x14ac:dyDescent="0.35">
      <c r="A46">
        <v>287.21100000000001</v>
      </c>
      <c r="B46">
        <v>6.7619200000000005E-4</v>
      </c>
      <c r="C46">
        <v>1.7307100000000001E-4</v>
      </c>
      <c r="D46">
        <f t="shared" si="2"/>
        <v>88.666963887650468</v>
      </c>
      <c r="E46">
        <f t="shared" si="3"/>
        <v>99.162336062521135</v>
      </c>
      <c r="G46">
        <v>6.9884899999999998E-4</v>
      </c>
      <c r="H46">
        <v>1.8342200000000001E-4</v>
      </c>
      <c r="I46">
        <f t="shared" si="4"/>
        <v>87.267003572601482</v>
      </c>
      <c r="J46">
        <f t="shared" si="5"/>
        <v>104.85751036158352</v>
      </c>
      <c r="Q46">
        <f t="shared" si="8"/>
        <v>6.8752050000000001E-4</v>
      </c>
      <c r="R46">
        <f t="shared" si="9"/>
        <v>1.7824650000000002E-4</v>
      </c>
      <c r="T46">
        <f t="shared" si="6"/>
        <v>87.966983730125975</v>
      </c>
      <c r="U46">
        <f t="shared" si="6"/>
        <v>102.00992321205233</v>
      </c>
      <c r="W46">
        <f t="shared" si="7"/>
        <v>0.69998015752449305</v>
      </c>
      <c r="X46">
        <f t="shared" si="7"/>
        <v>2.8475871495311935</v>
      </c>
    </row>
    <row r="47" spans="1:24" x14ac:dyDescent="0.35">
      <c r="A47">
        <v>293.38900000000001</v>
      </c>
      <c r="B47">
        <v>6.8551699999999996E-4</v>
      </c>
      <c r="C47">
        <v>1.73244E-4</v>
      </c>
      <c r="D47">
        <f t="shared" si="2"/>
        <v>89.889722273216009</v>
      </c>
      <c r="E47">
        <f t="shared" si="3"/>
        <v>99.26145771859764</v>
      </c>
      <c r="G47">
        <v>7.0774200000000003E-4</v>
      </c>
      <c r="H47">
        <v>1.8388500000000001E-4</v>
      </c>
      <c r="I47">
        <f t="shared" si="4"/>
        <v>88.377494483758468</v>
      </c>
      <c r="J47">
        <f t="shared" si="5"/>
        <v>105.12219522652566</v>
      </c>
      <c r="Q47">
        <f t="shared" si="8"/>
        <v>6.966295E-4</v>
      </c>
      <c r="R47">
        <f t="shared" si="9"/>
        <v>1.7856449999999999E-4</v>
      </c>
      <c r="T47">
        <f t="shared" si="6"/>
        <v>89.133608378487239</v>
      </c>
      <c r="U47">
        <f t="shared" si="6"/>
        <v>102.19182647256164</v>
      </c>
      <c r="W47">
        <f t="shared" si="7"/>
        <v>0.75611389472877022</v>
      </c>
      <c r="X47">
        <f t="shared" si="7"/>
        <v>2.9303687539640104</v>
      </c>
    </row>
    <row r="48" spans="1:24" x14ac:dyDescent="0.35">
      <c r="A48">
        <v>299.65600000000001</v>
      </c>
      <c r="B48">
        <v>6.9231200000000005E-4</v>
      </c>
      <c r="C48">
        <v>1.7503899999999999E-4</v>
      </c>
      <c r="D48">
        <f t="shared" si="2"/>
        <v>90.780729590097309</v>
      </c>
      <c r="E48">
        <f t="shared" si="3"/>
        <v>100.28991652008503</v>
      </c>
      <c r="G48">
        <v>7.1609099999999997E-4</v>
      </c>
      <c r="H48">
        <v>1.8521600000000001E-4</v>
      </c>
      <c r="I48">
        <f t="shared" si="4"/>
        <v>89.420054769067093</v>
      </c>
      <c r="J48">
        <f t="shared" si="5"/>
        <v>105.88309275403745</v>
      </c>
      <c r="Q48">
        <f t="shared" si="8"/>
        <v>7.0420149999999996E-4</v>
      </c>
      <c r="R48">
        <f t="shared" si="9"/>
        <v>1.8012749999999999E-4</v>
      </c>
      <c r="T48">
        <f t="shared" si="6"/>
        <v>90.100392179582201</v>
      </c>
      <c r="U48">
        <f t="shared" si="6"/>
        <v>103.08650463706124</v>
      </c>
      <c r="W48">
        <f t="shared" si="7"/>
        <v>0.68033741051510788</v>
      </c>
      <c r="X48">
        <f t="shared" si="7"/>
        <v>2.7965881169762099</v>
      </c>
    </row>
    <row r="49" spans="1:24" x14ac:dyDescent="0.35">
      <c r="A49">
        <v>305.76400000000001</v>
      </c>
      <c r="B49">
        <v>6.9710499999999995E-4</v>
      </c>
      <c r="C49">
        <v>1.7255499999999999E-4</v>
      </c>
      <c r="D49">
        <f t="shared" si="2"/>
        <v>91.409220843932744</v>
      </c>
      <c r="E49">
        <f t="shared" si="3"/>
        <v>98.866689966940342</v>
      </c>
      <c r="G49">
        <v>7.1924000000000001E-4</v>
      </c>
      <c r="H49">
        <v>1.8856E-4</v>
      </c>
      <c r="I49">
        <f t="shared" si="4"/>
        <v>89.813278189648827</v>
      </c>
      <c r="J49">
        <f t="shared" si="5"/>
        <v>107.79476918679434</v>
      </c>
      <c r="Q49">
        <f t="shared" si="8"/>
        <v>7.0817249999999992E-4</v>
      </c>
      <c r="R49">
        <f t="shared" si="9"/>
        <v>1.8055749999999998E-4</v>
      </c>
      <c r="T49">
        <f t="shared" si="6"/>
        <v>90.611249516790792</v>
      </c>
      <c r="U49">
        <f t="shared" si="6"/>
        <v>103.33072957686734</v>
      </c>
      <c r="W49">
        <f t="shared" si="7"/>
        <v>0.7979713271419584</v>
      </c>
      <c r="X49">
        <f t="shared" si="7"/>
        <v>4.4640396099269992</v>
      </c>
    </row>
    <row r="50" spans="1:24" x14ac:dyDescent="0.35">
      <c r="A50">
        <v>311.92599999999999</v>
      </c>
      <c r="B50">
        <v>7.0072000000000005E-4</v>
      </c>
      <c r="C50">
        <v>1.7431400000000001E-4</v>
      </c>
      <c r="D50">
        <f t="shared" si="2"/>
        <v>91.883244604127881</v>
      </c>
      <c r="E50">
        <f t="shared" si="3"/>
        <v>99.87452229664305</v>
      </c>
      <c r="G50">
        <v>7.2144600000000004E-4</v>
      </c>
      <c r="H50">
        <v>1.88553E-4</v>
      </c>
      <c r="I50">
        <f t="shared" si="4"/>
        <v>90.088746867261818</v>
      </c>
      <c r="J50">
        <f t="shared" si="5"/>
        <v>107.79076747177361</v>
      </c>
      <c r="Q50">
        <f t="shared" si="8"/>
        <v>7.1108300000000005E-4</v>
      </c>
      <c r="R50">
        <f t="shared" si="9"/>
        <v>1.814335E-4</v>
      </c>
      <c r="T50">
        <f t="shared" si="6"/>
        <v>90.985995735694843</v>
      </c>
      <c r="U50">
        <f t="shared" si="6"/>
        <v>103.83264488420832</v>
      </c>
      <c r="W50">
        <f t="shared" si="7"/>
        <v>0.89724886843303153</v>
      </c>
      <c r="X50">
        <f t="shared" si="7"/>
        <v>3.9581225875652777</v>
      </c>
    </row>
    <row r="51" spans="1:24" x14ac:dyDescent="0.35">
      <c r="A51">
        <v>318.20600000000002</v>
      </c>
      <c r="B51">
        <v>7.0306199999999996E-4</v>
      </c>
      <c r="C51">
        <v>1.7055E-4</v>
      </c>
      <c r="D51">
        <f t="shared" si="2"/>
        <v>92.190343814743898</v>
      </c>
      <c r="E51">
        <f t="shared" si="3"/>
        <v>97.717910080042174</v>
      </c>
      <c r="G51">
        <v>7.2578599999999997E-4</v>
      </c>
      <c r="H51">
        <v>1.8851299999999999E-4</v>
      </c>
      <c r="I51">
        <f t="shared" si="4"/>
        <v>90.630693404360798</v>
      </c>
      <c r="J51">
        <f t="shared" si="5"/>
        <v>107.76790052879804</v>
      </c>
      <c r="Q51">
        <f t="shared" si="8"/>
        <v>7.1442399999999996E-4</v>
      </c>
      <c r="R51">
        <f t="shared" si="9"/>
        <v>1.7953149999999998E-4</v>
      </c>
      <c r="T51">
        <f t="shared" si="6"/>
        <v>91.410518609552355</v>
      </c>
      <c r="U51">
        <f t="shared" si="6"/>
        <v>102.74290530442011</v>
      </c>
      <c r="W51">
        <f t="shared" si="7"/>
        <v>0.77982520519154974</v>
      </c>
      <c r="X51">
        <f t="shared" si="7"/>
        <v>5.0249952243779319</v>
      </c>
    </row>
    <row r="52" spans="1:24" x14ac:dyDescent="0.35">
      <c r="A52">
        <v>324.48599999999999</v>
      </c>
      <c r="B52">
        <v>7.0932299999999998E-4</v>
      </c>
      <c r="C52">
        <v>1.75048E-4</v>
      </c>
      <c r="D52">
        <f t="shared" si="2"/>
        <v>93.011329364559018</v>
      </c>
      <c r="E52">
        <f t="shared" si="3"/>
        <v>100.29507313803121</v>
      </c>
      <c r="G52">
        <v>7.2481100000000001E-4</v>
      </c>
      <c r="H52">
        <v>1.81538E-4</v>
      </c>
      <c r="I52">
        <f t="shared" si="4"/>
        <v>90.508942742224505</v>
      </c>
      <c r="J52">
        <f t="shared" si="5"/>
        <v>103.78047734743461</v>
      </c>
      <c r="Q52">
        <f t="shared" si="8"/>
        <v>7.1706700000000005E-4</v>
      </c>
      <c r="R52">
        <f t="shared" si="9"/>
        <v>1.78293E-4</v>
      </c>
      <c r="T52">
        <f t="shared" si="6"/>
        <v>91.760136053391761</v>
      </c>
      <c r="U52">
        <f t="shared" si="6"/>
        <v>102.03777524273292</v>
      </c>
      <c r="W52">
        <f t="shared" si="7"/>
        <v>1.2511933111672562</v>
      </c>
      <c r="X52">
        <f t="shared" si="7"/>
        <v>1.7427021047016993</v>
      </c>
    </row>
    <row r="53" spans="1:24" x14ac:dyDescent="0.35">
      <c r="A53">
        <v>330.68</v>
      </c>
      <c r="B53">
        <v>7.1285000000000001E-4</v>
      </c>
      <c r="C53">
        <v>1.7574800000000001E-4</v>
      </c>
      <c r="D53">
        <f t="shared" si="2"/>
        <v>93.47381395714774</v>
      </c>
      <c r="E53">
        <f t="shared" si="3"/>
        <v>100.69614342273383</v>
      </c>
      <c r="G53">
        <v>7.2951400000000001E-4</v>
      </c>
      <c r="H53">
        <v>1.84888E-4</v>
      </c>
      <c r="I53">
        <f t="shared" si="4"/>
        <v>91.096217987380385</v>
      </c>
      <c r="J53">
        <f t="shared" si="5"/>
        <v>105.69558382163784</v>
      </c>
      <c r="Q53">
        <f t="shared" si="8"/>
        <v>7.2118200000000001E-4</v>
      </c>
      <c r="R53">
        <f t="shared" si="9"/>
        <v>1.80318E-4</v>
      </c>
      <c r="T53">
        <f t="shared" si="6"/>
        <v>92.285015972264063</v>
      </c>
      <c r="U53">
        <f t="shared" si="6"/>
        <v>103.19586362218584</v>
      </c>
      <c r="W53">
        <f t="shared" si="7"/>
        <v>1.1887979848836778</v>
      </c>
      <c r="X53">
        <f t="shared" si="7"/>
        <v>2.4997201994520069</v>
      </c>
    </row>
    <row r="54" spans="1:24" x14ac:dyDescent="0.35">
      <c r="A54">
        <v>336.81799999999998</v>
      </c>
      <c r="B54">
        <v>7.1555000000000002E-4</v>
      </c>
      <c r="C54">
        <v>1.72817E-4</v>
      </c>
      <c r="D54">
        <f t="shared" si="2"/>
        <v>93.827856599617107</v>
      </c>
      <c r="E54">
        <f t="shared" si="3"/>
        <v>99.016804844929041</v>
      </c>
      <c r="G54">
        <v>7.32812E-4</v>
      </c>
      <c r="H54">
        <v>1.8249600000000001E-4</v>
      </c>
      <c r="I54">
        <f t="shared" si="4"/>
        <v>91.50804740658603</v>
      </c>
      <c r="J54">
        <f t="shared" si="5"/>
        <v>104.32814063169931</v>
      </c>
      <c r="Q54">
        <f t="shared" si="8"/>
        <v>7.2418099999999996E-4</v>
      </c>
      <c r="R54">
        <f t="shared" si="9"/>
        <v>1.776565E-4</v>
      </c>
      <c r="T54">
        <f t="shared" si="6"/>
        <v>92.667952003101561</v>
      </c>
      <c r="U54">
        <f t="shared" si="6"/>
        <v>101.67247273831418</v>
      </c>
      <c r="W54">
        <f t="shared" si="7"/>
        <v>1.1599045965155383</v>
      </c>
      <c r="X54">
        <f t="shared" si="7"/>
        <v>2.6556678933851359</v>
      </c>
    </row>
    <row r="55" spans="1:24" x14ac:dyDescent="0.35">
      <c r="A55">
        <v>343.04300000000001</v>
      </c>
      <c r="B55">
        <v>7.19405E-4</v>
      </c>
      <c r="C55">
        <v>1.7218100000000001E-4</v>
      </c>
      <c r="D55">
        <f t="shared" si="2"/>
        <v>94.333350816920614</v>
      </c>
      <c r="E55">
        <f t="shared" si="3"/>
        <v>98.652403843399256</v>
      </c>
      <c r="G55">
        <v>7.3697400000000005E-4</v>
      </c>
      <c r="H55">
        <v>1.82502E-4</v>
      </c>
      <c r="I55">
        <f t="shared" si="4"/>
        <v>92.027766643315516</v>
      </c>
      <c r="J55">
        <f t="shared" si="5"/>
        <v>104.33157067314562</v>
      </c>
      <c r="Q55">
        <f t="shared" si="8"/>
        <v>7.2818950000000003E-4</v>
      </c>
      <c r="R55">
        <f t="shared" si="9"/>
        <v>1.773415E-4</v>
      </c>
      <c r="T55">
        <f t="shared" si="6"/>
        <v>93.180558730118065</v>
      </c>
      <c r="U55">
        <f t="shared" si="6"/>
        <v>101.49198725827245</v>
      </c>
      <c r="W55">
        <f t="shared" si="7"/>
        <v>1.152792086802549</v>
      </c>
      <c r="X55">
        <f t="shared" si="7"/>
        <v>2.8395834148731822</v>
      </c>
    </row>
    <row r="56" spans="1:24" x14ac:dyDescent="0.35">
      <c r="A56">
        <v>349.23899999999998</v>
      </c>
      <c r="B56">
        <v>7.1676499999999996E-4</v>
      </c>
      <c r="C56">
        <v>1.5911300000000001E-4</v>
      </c>
      <c r="D56">
        <f t="shared" si="2"/>
        <v>93.987175788728322</v>
      </c>
      <c r="E56">
        <f t="shared" si="3"/>
        <v>91.164994585551156</v>
      </c>
      <c r="G56">
        <v>7.4164200000000004E-4</v>
      </c>
      <c r="H56">
        <v>1.8464499999999999E-4</v>
      </c>
      <c r="I56">
        <f t="shared" si="4"/>
        <v>92.610671351881891</v>
      </c>
      <c r="J56">
        <f t="shared" si="5"/>
        <v>105.5566671430613</v>
      </c>
      <c r="Q56">
        <f t="shared" si="8"/>
        <v>7.2920350000000005E-4</v>
      </c>
      <c r="R56">
        <f t="shared" si="9"/>
        <v>1.71879E-4</v>
      </c>
      <c r="T56">
        <f t="shared" si="6"/>
        <v>93.298923570305107</v>
      </c>
      <c r="U56">
        <f t="shared" si="6"/>
        <v>98.360830864306223</v>
      </c>
      <c r="W56">
        <f t="shared" si="7"/>
        <v>0.68825221842321582</v>
      </c>
      <c r="X56">
        <f t="shared" si="7"/>
        <v>7.195836278755074</v>
      </c>
    </row>
    <row r="57" spans="1:24" x14ac:dyDescent="0.35">
      <c r="A57">
        <v>355.53699999999998</v>
      </c>
      <c r="B57">
        <v>7.20424E-4</v>
      </c>
      <c r="C57">
        <v>1.5688799999999999E-4</v>
      </c>
      <c r="D57">
        <f t="shared" si="2"/>
        <v>94.466969132726646</v>
      </c>
      <c r="E57">
        <f t="shared" si="3"/>
        <v>89.890164037746445</v>
      </c>
      <c r="G57">
        <v>7.4984300000000004E-4</v>
      </c>
      <c r="H57">
        <v>1.9145499999999999E-4</v>
      </c>
      <c r="I57">
        <f t="shared" si="4"/>
        <v>93.634750511040608</v>
      </c>
      <c r="J57">
        <f t="shared" si="5"/>
        <v>109.44976418465056</v>
      </c>
      <c r="Q57">
        <f t="shared" si="8"/>
        <v>7.3513349999999996E-4</v>
      </c>
      <c r="R57">
        <f t="shared" si="9"/>
        <v>1.7417149999999999E-4</v>
      </c>
      <c r="T57">
        <f t="shared" si="6"/>
        <v>94.05085982188362</v>
      </c>
      <c r="U57">
        <f t="shared" si="6"/>
        <v>99.66996411119851</v>
      </c>
      <c r="W57">
        <f t="shared" si="7"/>
        <v>0.41610931084301939</v>
      </c>
      <c r="X57">
        <f t="shared" si="7"/>
        <v>9.7798000734520585</v>
      </c>
    </row>
    <row r="58" spans="1:24" x14ac:dyDescent="0.35">
      <c r="A58">
        <v>361.666</v>
      </c>
      <c r="B58">
        <v>7.2317300000000002E-4</v>
      </c>
      <c r="C58">
        <v>1.5802399999999999E-4</v>
      </c>
      <c r="D58">
        <f t="shared" si="2"/>
        <v>94.82743699352234</v>
      </c>
      <c r="E58">
        <f t="shared" si="3"/>
        <v>90.541043814063812</v>
      </c>
      <c r="G58">
        <v>7.5220199999999999E-4</v>
      </c>
      <c r="H58">
        <v>1.89557E-4</v>
      </c>
      <c r="I58">
        <f t="shared" si="4"/>
        <v>93.929324677173426</v>
      </c>
      <c r="J58">
        <f t="shared" si="5"/>
        <v>108.3647277404602</v>
      </c>
      <c r="Q58">
        <f t="shared" si="8"/>
        <v>7.3768750000000006E-4</v>
      </c>
      <c r="R58">
        <f t="shared" si="9"/>
        <v>1.7379050000000001E-4</v>
      </c>
      <c r="T58">
        <f t="shared" si="6"/>
        <v>94.378380835347883</v>
      </c>
      <c r="U58">
        <f t="shared" si="6"/>
        <v>99.452885777261997</v>
      </c>
      <c r="W58">
        <f t="shared" si="7"/>
        <v>0.44905615817445721</v>
      </c>
      <c r="X58">
        <f t="shared" si="7"/>
        <v>8.9118419631981922</v>
      </c>
    </row>
    <row r="59" spans="1:24" x14ac:dyDescent="0.35">
      <c r="A59">
        <v>367.87200000000001</v>
      </c>
      <c r="B59">
        <v>7.2475899999999995E-4</v>
      </c>
      <c r="C59">
        <v>1.5794600000000001E-4</v>
      </c>
      <c r="D59">
        <f t="shared" si="2"/>
        <v>95.035404264246935</v>
      </c>
      <c r="E59">
        <f t="shared" si="3"/>
        <v>90.496353125196961</v>
      </c>
      <c r="G59">
        <v>7.5013200000000003E-4</v>
      </c>
      <c r="H59">
        <v>1.86839E-4</v>
      </c>
      <c r="I59">
        <f t="shared" si="4"/>
        <v>93.670838656022539</v>
      </c>
      <c r="J59">
        <f t="shared" si="5"/>
        <v>106.81091896527082</v>
      </c>
      <c r="Q59">
        <f t="shared" si="8"/>
        <v>7.3744549999999994E-4</v>
      </c>
      <c r="R59">
        <f t="shared" si="9"/>
        <v>1.7239250000000001E-4</v>
      </c>
      <c r="T59">
        <f t="shared" si="6"/>
        <v>94.35312146013473</v>
      </c>
      <c r="U59">
        <f t="shared" si="6"/>
        <v>98.653636045233895</v>
      </c>
      <c r="W59">
        <f t="shared" si="7"/>
        <v>0.68228280411219799</v>
      </c>
      <c r="X59">
        <f t="shared" si="7"/>
        <v>8.157282920036927</v>
      </c>
    </row>
    <row r="60" spans="1:24" x14ac:dyDescent="0.35">
      <c r="A60">
        <v>374.14400000000001</v>
      </c>
      <c r="B60">
        <v>7.2685899999999995E-4</v>
      </c>
      <c r="C60">
        <v>1.59662E-4</v>
      </c>
      <c r="D60">
        <f t="shared" si="2"/>
        <v>95.310770763945342</v>
      </c>
      <c r="E60">
        <f t="shared" si="3"/>
        <v>91.47954828026792</v>
      </c>
      <c r="G60">
        <v>7.5143300000000003E-4</v>
      </c>
      <c r="H60">
        <v>1.8708099999999999E-4</v>
      </c>
      <c r="I60">
        <f t="shared" si="4"/>
        <v>93.833297744678248</v>
      </c>
      <c r="J60">
        <f t="shared" si="5"/>
        <v>106.94926397027295</v>
      </c>
      <c r="Q60">
        <f t="shared" si="8"/>
        <v>7.3914599999999999E-4</v>
      </c>
      <c r="R60">
        <f t="shared" si="9"/>
        <v>1.733715E-4</v>
      </c>
      <c r="T60">
        <f t="shared" si="6"/>
        <v>94.572034254311802</v>
      </c>
      <c r="U60">
        <f t="shared" si="6"/>
        <v>99.214406125270443</v>
      </c>
      <c r="W60">
        <f t="shared" si="7"/>
        <v>0.7387365096335472</v>
      </c>
      <c r="X60">
        <f t="shared" si="7"/>
        <v>7.7348578450025158</v>
      </c>
    </row>
    <row r="61" spans="1:24" x14ac:dyDescent="0.35">
      <c r="A61">
        <v>380.34899999999999</v>
      </c>
      <c r="B61">
        <v>7.3034599999999999E-4</v>
      </c>
      <c r="C61">
        <v>1.60717E-4</v>
      </c>
      <c r="D61">
        <f t="shared" si="2"/>
        <v>95.76801028034933</v>
      </c>
      <c r="E61">
        <f t="shared" si="3"/>
        <v>92.084018495069714</v>
      </c>
      <c r="G61">
        <v>7.55301E-4</v>
      </c>
      <c r="H61">
        <v>1.9006700000000001E-4</v>
      </c>
      <c r="I61">
        <f t="shared" si="4"/>
        <v>94.316304474055869</v>
      </c>
      <c r="J61">
        <f t="shared" si="5"/>
        <v>108.6562812633986</v>
      </c>
      <c r="Q61">
        <f t="shared" si="8"/>
        <v>7.4282350000000005E-4</v>
      </c>
      <c r="R61">
        <f t="shared" si="9"/>
        <v>1.7539200000000002E-4</v>
      </c>
      <c r="T61">
        <f t="shared" si="6"/>
        <v>95.042157377202599</v>
      </c>
      <c r="U61">
        <f t="shared" si="6"/>
        <v>100.37014987923416</v>
      </c>
      <c r="W61">
        <f t="shared" si="7"/>
        <v>0.72585290314673045</v>
      </c>
      <c r="X61">
        <f t="shared" si="7"/>
        <v>8.2861313841644417</v>
      </c>
    </row>
    <row r="62" spans="1:24" x14ac:dyDescent="0.35">
      <c r="A62">
        <v>386.57</v>
      </c>
      <c r="B62">
        <v>7.3209000000000002E-4</v>
      </c>
      <c r="C62">
        <v>1.5964199999999999E-4</v>
      </c>
      <c r="D62">
        <f t="shared" si="2"/>
        <v>95.996695602003626</v>
      </c>
      <c r="E62">
        <f t="shared" si="3"/>
        <v>91.468089129276407</v>
      </c>
      <c r="G62">
        <v>7.5799400000000001E-4</v>
      </c>
      <c r="H62">
        <v>1.89548E-4</v>
      </c>
      <c r="I62">
        <f t="shared" si="4"/>
        <v>94.652586046500005</v>
      </c>
      <c r="J62">
        <f t="shared" si="5"/>
        <v>108.35958267829069</v>
      </c>
      <c r="Q62">
        <f t="shared" si="8"/>
        <v>7.4504200000000001E-4</v>
      </c>
      <c r="R62">
        <f t="shared" si="9"/>
        <v>1.7459499999999999E-4</v>
      </c>
      <c r="T62">
        <f t="shared" si="6"/>
        <v>95.324640824251816</v>
      </c>
      <c r="U62">
        <f t="shared" si="6"/>
        <v>99.91383590378355</v>
      </c>
      <c r="W62">
        <f t="shared" si="7"/>
        <v>0.67205477775181066</v>
      </c>
      <c r="X62">
        <f t="shared" si="7"/>
        <v>8.4457467745071426</v>
      </c>
    </row>
    <row r="63" spans="1:24" x14ac:dyDescent="0.35">
      <c r="A63">
        <v>392.74099999999999</v>
      </c>
      <c r="B63">
        <v>7.3504699999999996E-4</v>
      </c>
      <c r="C63">
        <v>1.5852499999999999E-4</v>
      </c>
      <c r="D63">
        <f t="shared" si="2"/>
        <v>96.384437858959899</v>
      </c>
      <c r="E63">
        <f t="shared" si="3"/>
        <v>90.828095546400959</v>
      </c>
      <c r="G63">
        <v>7.5981200000000001E-4</v>
      </c>
      <c r="H63">
        <v>1.8933099999999999E-4</v>
      </c>
      <c r="I63">
        <f t="shared" si="4"/>
        <v>94.879604204206458</v>
      </c>
      <c r="J63">
        <f t="shared" si="5"/>
        <v>108.23552951264827</v>
      </c>
      <c r="Q63">
        <f t="shared" si="8"/>
        <v>7.4742949999999993E-4</v>
      </c>
      <c r="R63">
        <f t="shared" si="9"/>
        <v>1.7392800000000001E-4</v>
      </c>
      <c r="T63">
        <f t="shared" si="6"/>
        <v>95.632021031583179</v>
      </c>
      <c r="U63">
        <f t="shared" si="6"/>
        <v>99.531812529524615</v>
      </c>
      <c r="W63">
        <f t="shared" si="7"/>
        <v>0.75241682737672022</v>
      </c>
      <c r="X63">
        <f t="shared" si="7"/>
        <v>8.7037169831236554</v>
      </c>
    </row>
    <row r="64" spans="1:24" x14ac:dyDescent="0.35">
      <c r="A64">
        <v>399.01299999999998</v>
      </c>
      <c r="B64">
        <v>7.3700000000000002E-4</v>
      </c>
      <c r="C64">
        <v>1.58083E-4</v>
      </c>
      <c r="D64">
        <f t="shared" si="2"/>
        <v>96.640528703679422</v>
      </c>
      <c r="E64">
        <f t="shared" si="3"/>
        <v>90.574848309488758</v>
      </c>
      <c r="G64">
        <v>7.6355699999999999E-4</v>
      </c>
      <c r="H64">
        <v>1.8933000000000001E-4</v>
      </c>
      <c r="I64">
        <f t="shared" si="4"/>
        <v>95.347251619283796</v>
      </c>
      <c r="J64">
        <f t="shared" si="5"/>
        <v>108.23495783907389</v>
      </c>
      <c r="Q64">
        <f t="shared" si="8"/>
        <v>7.5027850000000001E-4</v>
      </c>
      <c r="R64">
        <f t="shared" si="9"/>
        <v>1.7370649999999999E-4</v>
      </c>
      <c r="T64">
        <f t="shared" si="6"/>
        <v>95.993890161481602</v>
      </c>
      <c r="U64">
        <f t="shared" si="6"/>
        <v>99.404903074281322</v>
      </c>
      <c r="W64">
        <f t="shared" si="7"/>
        <v>0.64663854219781314</v>
      </c>
      <c r="X64">
        <f t="shared" si="7"/>
        <v>8.830054764792564</v>
      </c>
    </row>
    <row r="65" spans="1:24" x14ac:dyDescent="0.35">
      <c r="A65">
        <v>405.089</v>
      </c>
      <c r="B65">
        <v>7.3911199999999999E-4</v>
      </c>
      <c r="C65">
        <v>1.55749E-4</v>
      </c>
      <c r="D65">
        <f t="shared" si="2"/>
        <v>96.917468726233253</v>
      </c>
      <c r="E65">
        <f t="shared" si="3"/>
        <v>89.237565388780354</v>
      </c>
      <c r="G65">
        <v>7.6419499999999996E-4</v>
      </c>
      <c r="H65">
        <v>1.8579299999999999E-4</v>
      </c>
      <c r="I65">
        <f t="shared" si="4"/>
        <v>95.426920257686831</v>
      </c>
      <c r="J65">
        <f t="shared" si="5"/>
        <v>106.2129484064599</v>
      </c>
      <c r="Q65">
        <f t="shared" si="8"/>
        <v>7.5165349999999998E-4</v>
      </c>
      <c r="R65">
        <f t="shared" si="9"/>
        <v>1.7077100000000001E-4</v>
      </c>
      <c r="T65">
        <f t="shared" si="6"/>
        <v>96.172194491960042</v>
      </c>
      <c r="U65">
        <f t="shared" si="6"/>
        <v>97.725256897620127</v>
      </c>
      <c r="W65">
        <f t="shared" si="7"/>
        <v>0.74527423427321082</v>
      </c>
      <c r="X65">
        <f t="shared" si="7"/>
        <v>8.4876915088397737</v>
      </c>
    </row>
    <row r="66" spans="1:24" x14ac:dyDescent="0.35">
      <c r="A66">
        <v>411.38600000000002</v>
      </c>
      <c r="B66">
        <v>7.4166800000000001E-4</v>
      </c>
      <c r="C66">
        <v>1.5581199999999999E-4</v>
      </c>
      <c r="D66">
        <f t="shared" si="2"/>
        <v>97.252629094437609</v>
      </c>
      <c r="E66">
        <f t="shared" si="3"/>
        <v>89.273661714403588</v>
      </c>
      <c r="G66">
        <v>7.6582500000000003E-4</v>
      </c>
      <c r="H66">
        <v>1.8890899999999999E-4</v>
      </c>
      <c r="I66">
        <f t="shared" si="4"/>
        <v>95.630462390283924</v>
      </c>
      <c r="J66">
        <f t="shared" si="5"/>
        <v>107.99428326425611</v>
      </c>
      <c r="Q66">
        <f t="shared" si="8"/>
        <v>7.5374649999999997E-4</v>
      </c>
      <c r="R66">
        <f t="shared" si="9"/>
        <v>1.7236049999999999E-4</v>
      </c>
      <c r="T66">
        <f t="shared" si="6"/>
        <v>96.441545742360773</v>
      </c>
      <c r="U66">
        <f t="shared" si="6"/>
        <v>98.63397248932985</v>
      </c>
      <c r="W66">
        <f t="shared" si="7"/>
        <v>0.81108335207684235</v>
      </c>
      <c r="X66">
        <f t="shared" si="7"/>
        <v>9.360310774926262</v>
      </c>
    </row>
    <row r="67" spans="1:24" x14ac:dyDescent="0.35">
      <c r="A67">
        <v>417.61700000000002</v>
      </c>
      <c r="B67">
        <v>7.4350200000000005E-4</v>
      </c>
      <c r="C67">
        <v>1.5728699999999999E-4</v>
      </c>
      <c r="D67">
        <f t="shared" si="2"/>
        <v>97.493115837507546</v>
      </c>
      <c r="E67">
        <f t="shared" si="3"/>
        <v>90.118774100026926</v>
      </c>
      <c r="G67">
        <v>7.6820700000000003E-4</v>
      </c>
      <c r="H67">
        <v>1.9211900000000001E-4</v>
      </c>
      <c r="I67">
        <f t="shared" si="4"/>
        <v>95.92790862331843</v>
      </c>
      <c r="J67">
        <f t="shared" si="5"/>
        <v>109.82935543804489</v>
      </c>
      <c r="Q67">
        <f t="shared" ref="Q67:Q98" si="10">AVERAGE(B67,G67,L67)</f>
        <v>7.5585449999999998E-4</v>
      </c>
      <c r="R67">
        <f t="shared" ref="R67:R98" si="11">AVERAGE(C67,H67,M67)</f>
        <v>1.7470300000000001E-4</v>
      </c>
      <c r="T67">
        <f t="shared" si="6"/>
        <v>96.710512230412988</v>
      </c>
      <c r="U67">
        <f t="shared" si="6"/>
        <v>99.974064769035905</v>
      </c>
      <c r="W67">
        <f t="shared" si="7"/>
        <v>0.78260360709455767</v>
      </c>
      <c r="X67">
        <f t="shared" si="7"/>
        <v>9.8552906690089799</v>
      </c>
    </row>
    <row r="68" spans="1:24" x14ac:dyDescent="0.35">
      <c r="A68">
        <v>423.72800000000001</v>
      </c>
      <c r="B68">
        <v>7.4502499999999996E-4</v>
      </c>
      <c r="C68">
        <v>1.58348E-4</v>
      </c>
      <c r="D68">
        <f t="shared" ref="D68:D109" si="12">B68/$B$3*100</f>
        <v>97.692822113241192</v>
      </c>
      <c r="E68">
        <f t="shared" ref="E68:E109" si="13">C68/$C$3*100</f>
        <v>90.726682060126166</v>
      </c>
      <c r="G68">
        <v>7.7240900000000005E-4</v>
      </c>
      <c r="H68">
        <v>1.96157E-4</v>
      </c>
      <c r="I68">
        <f t="shared" ref="I68:I109" si="14">G68/$G$3*100</f>
        <v>96.452622759007369</v>
      </c>
      <c r="J68">
        <f t="shared" ref="J68:J109" si="15">H68/$H$3*100</f>
        <v>112.13777333142774</v>
      </c>
      <c r="Q68">
        <f t="shared" si="10"/>
        <v>7.5871700000000001E-4</v>
      </c>
      <c r="R68">
        <f t="shared" si="11"/>
        <v>1.7725249999999998E-4</v>
      </c>
      <c r="T68">
        <f t="shared" ref="T68:U109" si="16">AVERAGE(D68,I68,N68)</f>
        <v>97.07272243612428</v>
      </c>
      <c r="U68">
        <f t="shared" si="16"/>
        <v>101.43222769577696</v>
      </c>
      <c r="W68">
        <f t="shared" ref="W68:X109" si="17">_xlfn.STDEV.P(D68,I68,N68)</f>
        <v>0.62009967711691161</v>
      </c>
      <c r="X68">
        <f t="shared" si="17"/>
        <v>10.705545635650699</v>
      </c>
    </row>
    <row r="69" spans="1:24" x14ac:dyDescent="0.35">
      <c r="A69">
        <v>429.99799999999999</v>
      </c>
      <c r="B69">
        <v>7.46728E-4</v>
      </c>
      <c r="C69">
        <v>1.5835299999999999E-4</v>
      </c>
      <c r="D69">
        <f t="shared" si="12"/>
        <v>97.916131231806148</v>
      </c>
      <c r="E69">
        <f t="shared" si="13"/>
        <v>90.729546847874047</v>
      </c>
      <c r="G69">
        <v>7.7472100000000003E-4</v>
      </c>
      <c r="H69">
        <v>1.9825600000000001E-4</v>
      </c>
      <c r="I69">
        <f t="shared" si="14"/>
        <v>96.741327918862865</v>
      </c>
      <c r="J69">
        <f t="shared" si="15"/>
        <v>113.33771616407032</v>
      </c>
      <c r="Q69">
        <f t="shared" si="10"/>
        <v>7.6072450000000001E-4</v>
      </c>
      <c r="R69">
        <f t="shared" si="11"/>
        <v>1.7830450000000001E-4</v>
      </c>
      <c r="T69">
        <f t="shared" si="16"/>
        <v>97.328729575334506</v>
      </c>
      <c r="U69">
        <f t="shared" si="16"/>
        <v>102.03363150597218</v>
      </c>
      <c r="W69">
        <f t="shared" si="17"/>
        <v>0.58740165647164133</v>
      </c>
      <c r="X69">
        <f t="shared" si="17"/>
        <v>11.30408465809816</v>
      </c>
    </row>
    <row r="70" spans="1:24" x14ac:dyDescent="0.35">
      <c r="A70">
        <v>436.13900000000001</v>
      </c>
      <c r="B70">
        <v>7.4825100000000002E-4</v>
      </c>
      <c r="C70">
        <v>1.5535700000000001E-4</v>
      </c>
      <c r="D70">
        <f t="shared" si="12"/>
        <v>98.115837507539808</v>
      </c>
      <c r="E70">
        <f t="shared" si="13"/>
        <v>89.012966029346899</v>
      </c>
      <c r="G70">
        <v>7.7508500000000001E-4</v>
      </c>
      <c r="H70">
        <v>1.97219E-4</v>
      </c>
      <c r="I70">
        <f t="shared" si="14"/>
        <v>96.786781499393754</v>
      </c>
      <c r="J70">
        <f t="shared" si="15"/>
        <v>112.7448906674289</v>
      </c>
      <c r="Q70">
        <f t="shared" si="10"/>
        <v>7.6166800000000007E-4</v>
      </c>
      <c r="R70">
        <f t="shared" si="11"/>
        <v>1.76288E-4</v>
      </c>
      <c r="T70">
        <f t="shared" si="16"/>
        <v>97.451309503466774</v>
      </c>
      <c r="U70">
        <f t="shared" si="16"/>
        <v>100.8789283483879</v>
      </c>
      <c r="W70">
        <f t="shared" si="17"/>
        <v>0.66452800407302703</v>
      </c>
      <c r="X70">
        <f t="shared" si="17"/>
        <v>11.865962319041031</v>
      </c>
    </row>
    <row r="71" spans="1:24" x14ac:dyDescent="0.35">
      <c r="A71">
        <v>449.34300000000002</v>
      </c>
      <c r="B71">
        <v>1.4552700000000001E-6</v>
      </c>
      <c r="C71">
        <v>2.1763399999999999E-5</v>
      </c>
      <c r="D71">
        <f t="shared" si="12"/>
        <v>0.19082505048385828</v>
      </c>
      <c r="E71">
        <f t="shared" si="13"/>
        <v>12.469504334423863</v>
      </c>
      <c r="G71">
        <v>1.3083499999999999E-6</v>
      </c>
      <c r="H71">
        <v>2.2641900000000001E-5</v>
      </c>
      <c r="I71">
        <f t="shared" si="14"/>
        <v>0.16337690133950702</v>
      </c>
      <c r="J71">
        <f t="shared" si="15"/>
        <v>12.943775903958841</v>
      </c>
      <c r="Q71">
        <f t="shared" si="10"/>
        <v>1.3818099999999999E-6</v>
      </c>
      <c r="R71">
        <f t="shared" si="11"/>
        <v>2.220265E-5</v>
      </c>
      <c r="T71">
        <f t="shared" si="16"/>
        <v>0.17710097591168267</v>
      </c>
      <c r="U71">
        <f t="shared" si="16"/>
        <v>12.706640119191352</v>
      </c>
      <c r="W71">
        <f t="shared" si="17"/>
        <v>1.3724074572175629E-2</v>
      </c>
      <c r="X71">
        <f t="shared" si="17"/>
        <v>0.23713578476748864</v>
      </c>
    </row>
    <row r="72" spans="1:24" x14ac:dyDescent="0.35">
      <c r="A72">
        <v>455.57600000000002</v>
      </c>
      <c r="B72">
        <v>1.4698999999999999E-6</v>
      </c>
      <c r="C72">
        <v>2.1837399999999999E-5</v>
      </c>
      <c r="D72">
        <f t="shared" si="12"/>
        <v>0.19274343709842384</v>
      </c>
      <c r="E72">
        <f t="shared" si="13"/>
        <v>12.511903193092424</v>
      </c>
      <c r="G72">
        <v>1.3131899999999999E-6</v>
      </c>
      <c r="H72">
        <v>2.2726099999999999E-5</v>
      </c>
      <c r="I72">
        <f t="shared" si="14"/>
        <v>0.16398128411359897</v>
      </c>
      <c r="J72">
        <f t="shared" si="15"/>
        <v>12.991910818922396</v>
      </c>
      <c r="Q72">
        <f t="shared" si="10"/>
        <v>1.3915449999999999E-6</v>
      </c>
      <c r="R72">
        <f t="shared" si="11"/>
        <v>2.2281749999999997E-5</v>
      </c>
      <c r="T72">
        <f t="shared" si="16"/>
        <v>0.17836236060601141</v>
      </c>
      <c r="U72">
        <f t="shared" si="16"/>
        <v>12.751907006007411</v>
      </c>
      <c r="W72">
        <f t="shared" si="17"/>
        <v>1.4381076492412437E-2</v>
      </c>
      <c r="X72">
        <f t="shared" si="17"/>
        <v>0.24000381291498574</v>
      </c>
    </row>
    <row r="73" spans="1:24" x14ac:dyDescent="0.35">
      <c r="A73">
        <v>461.834</v>
      </c>
      <c r="B73">
        <v>1.46728E-6</v>
      </c>
      <c r="C73">
        <v>2.17978E-5</v>
      </c>
      <c r="D73">
        <f t="shared" si="12"/>
        <v>0.19239988460832394</v>
      </c>
      <c r="E73">
        <f t="shared" si="13"/>
        <v>12.489214074129249</v>
      </c>
      <c r="G73">
        <v>1.3093600000000001E-6</v>
      </c>
      <c r="H73">
        <v>2.2702300000000001E-5</v>
      </c>
      <c r="I73">
        <f t="shared" si="14"/>
        <v>0.16350302253823285</v>
      </c>
      <c r="J73">
        <f t="shared" si="15"/>
        <v>12.978304987851935</v>
      </c>
      <c r="Q73">
        <f t="shared" si="10"/>
        <v>1.38832E-6</v>
      </c>
      <c r="R73">
        <f t="shared" si="11"/>
        <v>2.2250050000000002E-5</v>
      </c>
      <c r="T73">
        <f t="shared" si="16"/>
        <v>0.17795145357327841</v>
      </c>
      <c r="U73">
        <f t="shared" si="16"/>
        <v>12.733759530990593</v>
      </c>
      <c r="W73">
        <f t="shared" si="17"/>
        <v>1.4448431035045547E-2</v>
      </c>
      <c r="X73">
        <f t="shared" si="17"/>
        <v>0.24454545686134299</v>
      </c>
    </row>
    <row r="74" spans="1:24" x14ac:dyDescent="0.35">
      <c r="A74">
        <v>468.06400000000002</v>
      </c>
      <c r="B74">
        <v>1.46135E-6</v>
      </c>
      <c r="C74">
        <v>2.1765700000000001E-5</v>
      </c>
      <c r="D74">
        <f t="shared" si="12"/>
        <v>0.19162230206393749</v>
      </c>
      <c r="E74">
        <f t="shared" si="13"/>
        <v>12.470822136787886</v>
      </c>
      <c r="G74">
        <v>1.30378E-6</v>
      </c>
      <c r="H74">
        <v>2.26895E-5</v>
      </c>
      <c r="I74">
        <f t="shared" si="14"/>
        <v>0.16280623413339126</v>
      </c>
      <c r="J74">
        <f t="shared" si="15"/>
        <v>12.970987566099756</v>
      </c>
      <c r="Q74">
        <f t="shared" si="10"/>
        <v>1.382565E-6</v>
      </c>
      <c r="R74">
        <f t="shared" si="11"/>
        <v>2.22276E-5</v>
      </c>
      <c r="T74">
        <f t="shared" si="16"/>
        <v>0.17721426809866436</v>
      </c>
      <c r="U74">
        <f t="shared" si="16"/>
        <v>12.720904851443821</v>
      </c>
      <c r="W74">
        <f t="shared" si="17"/>
        <v>1.4408033965273112E-2</v>
      </c>
      <c r="X74">
        <f t="shared" si="17"/>
        <v>0.25008271465593523</v>
      </c>
    </row>
    <row r="75" spans="1:24" x14ac:dyDescent="0.35">
      <c r="A75">
        <v>474.19400000000002</v>
      </c>
      <c r="B75">
        <v>1.45088E-6</v>
      </c>
      <c r="C75">
        <v>2.1727500000000002E-5</v>
      </c>
      <c r="D75">
        <f t="shared" si="12"/>
        <v>0.19024940337258398</v>
      </c>
      <c r="E75">
        <f t="shared" si="13"/>
        <v>12.448935158394116</v>
      </c>
      <c r="G75">
        <v>1.28882E-6</v>
      </c>
      <c r="H75">
        <v>2.26615E-5</v>
      </c>
      <c r="I75">
        <f t="shared" si="14"/>
        <v>0.16093814192256159</v>
      </c>
      <c r="J75">
        <f t="shared" si="15"/>
        <v>12.954980706016864</v>
      </c>
      <c r="Q75">
        <f t="shared" si="10"/>
        <v>1.3698500000000001E-6</v>
      </c>
      <c r="R75">
        <f t="shared" si="11"/>
        <v>2.2194499999999999E-5</v>
      </c>
      <c r="T75">
        <f t="shared" si="16"/>
        <v>0.17559377264757278</v>
      </c>
      <c r="U75">
        <f t="shared" si="16"/>
        <v>12.70195793220549</v>
      </c>
      <c r="W75">
        <f t="shared" si="17"/>
        <v>1.4655630725011193E-2</v>
      </c>
      <c r="X75">
        <f t="shared" si="17"/>
        <v>0.25302277381137372</v>
      </c>
    </row>
    <row r="76" spans="1:24" x14ac:dyDescent="0.35">
      <c r="A76">
        <v>480.49299999999999</v>
      </c>
      <c r="B76">
        <v>1.4432100000000001E-6</v>
      </c>
      <c r="C76">
        <v>2.1684699999999999E-5</v>
      </c>
      <c r="D76">
        <f t="shared" si="12"/>
        <v>0.18924366001416171</v>
      </c>
      <c r="E76">
        <f t="shared" si="13"/>
        <v>12.424412575272298</v>
      </c>
      <c r="G76">
        <v>1.2745499999999999E-6</v>
      </c>
      <c r="H76">
        <v>2.2614499999999998E-5</v>
      </c>
      <c r="I76">
        <f t="shared" si="14"/>
        <v>0.15915621171878219</v>
      </c>
      <c r="J76">
        <f t="shared" si="15"/>
        <v>12.92811204802058</v>
      </c>
      <c r="Q76">
        <f t="shared" si="10"/>
        <v>1.3588800000000001E-6</v>
      </c>
      <c r="R76">
        <f t="shared" si="11"/>
        <v>2.2149599999999999E-5</v>
      </c>
      <c r="T76">
        <f t="shared" si="16"/>
        <v>0.17419993586647195</v>
      </c>
      <c r="U76">
        <f t="shared" si="16"/>
        <v>12.67626231164644</v>
      </c>
      <c r="W76">
        <f t="shared" si="17"/>
        <v>1.5043724147689758E-2</v>
      </c>
      <c r="X76">
        <f t="shared" si="17"/>
        <v>0.25184973637414121</v>
      </c>
    </row>
    <row r="77" spans="1:24" x14ac:dyDescent="0.35">
      <c r="A77">
        <v>486.74799999999999</v>
      </c>
      <c r="B77">
        <v>1.4416699999999999E-6</v>
      </c>
      <c r="C77">
        <v>2.1662500000000001E-5</v>
      </c>
      <c r="D77">
        <f t="shared" si="12"/>
        <v>0.18904172458104954</v>
      </c>
      <c r="E77">
        <f t="shared" si="13"/>
        <v>12.411692917671731</v>
      </c>
      <c r="G77">
        <v>1.2629E-6</v>
      </c>
      <c r="H77">
        <v>2.25688E-5</v>
      </c>
      <c r="I77">
        <f t="shared" si="14"/>
        <v>0.157701447396846</v>
      </c>
      <c r="J77">
        <f t="shared" si="15"/>
        <v>12.901986565671001</v>
      </c>
      <c r="Q77">
        <f t="shared" si="10"/>
        <v>1.352285E-6</v>
      </c>
      <c r="R77">
        <f t="shared" si="11"/>
        <v>2.2115649999999999E-5</v>
      </c>
      <c r="T77">
        <f t="shared" si="16"/>
        <v>0.17337158598894775</v>
      </c>
      <c r="U77">
        <f t="shared" si="16"/>
        <v>12.656839741671366</v>
      </c>
      <c r="W77">
        <f t="shared" si="17"/>
        <v>1.5670138592101771E-2</v>
      </c>
      <c r="X77">
        <f t="shared" si="17"/>
        <v>0.24514682399963483</v>
      </c>
    </row>
    <row r="78" spans="1:24" x14ac:dyDescent="0.35">
      <c r="A78">
        <v>492.90800000000002</v>
      </c>
      <c r="B78">
        <v>1.43174E-6</v>
      </c>
      <c r="C78">
        <v>2.1619200000000001E-5</v>
      </c>
      <c r="D78">
        <f t="shared" si="12"/>
        <v>0.18773963441818992</v>
      </c>
      <c r="E78">
        <f t="shared" si="13"/>
        <v>12.386883855775126</v>
      </c>
      <c r="G78">
        <v>1.2403100000000001E-6</v>
      </c>
      <c r="H78">
        <v>2.25133E-5</v>
      </c>
      <c r="I78">
        <f t="shared" si="14"/>
        <v>0.15488057820950354</v>
      </c>
      <c r="J78">
        <f t="shared" si="15"/>
        <v>12.870258682292409</v>
      </c>
      <c r="Q78">
        <f t="shared" si="10"/>
        <v>1.3360250000000001E-6</v>
      </c>
      <c r="R78">
        <f t="shared" si="11"/>
        <v>2.2066249999999999E-5</v>
      </c>
      <c r="T78">
        <f t="shared" si="16"/>
        <v>0.17131010631384674</v>
      </c>
      <c r="U78">
        <f t="shared" si="16"/>
        <v>12.628571269033767</v>
      </c>
      <c r="W78">
        <f t="shared" si="17"/>
        <v>1.6429528104343186E-2</v>
      </c>
      <c r="X78">
        <f t="shared" si="17"/>
        <v>0.24168741325864129</v>
      </c>
    </row>
    <row r="79" spans="1:24" x14ac:dyDescent="0.35">
      <c r="A79">
        <v>499.07900000000001</v>
      </c>
      <c r="B79">
        <v>1.41595E-6</v>
      </c>
      <c r="C79">
        <v>2.1584900000000001E-5</v>
      </c>
      <c r="D79">
        <f t="shared" si="12"/>
        <v>0.18566914059426715</v>
      </c>
      <c r="E79">
        <f t="shared" si="13"/>
        <v>12.367231411824699</v>
      </c>
      <c r="G79">
        <v>1.22525E-6</v>
      </c>
      <c r="H79">
        <v>2.2458699999999999E-5</v>
      </c>
      <c r="I79">
        <f t="shared" si="14"/>
        <v>0.15299999875127529</v>
      </c>
      <c r="J79">
        <f t="shared" si="15"/>
        <v>12.839045305130769</v>
      </c>
      <c r="Q79">
        <f t="shared" si="10"/>
        <v>1.3206000000000001E-6</v>
      </c>
      <c r="R79">
        <f t="shared" si="11"/>
        <v>2.20218E-5</v>
      </c>
      <c r="T79">
        <f t="shared" si="16"/>
        <v>0.16933456967277122</v>
      </c>
      <c r="U79">
        <f t="shared" si="16"/>
        <v>12.603138358477734</v>
      </c>
      <c r="W79">
        <f t="shared" si="17"/>
        <v>1.6334570921495928E-2</v>
      </c>
      <c r="X79">
        <f t="shared" si="17"/>
        <v>0.23590694665303502</v>
      </c>
    </row>
    <row r="80" spans="1:24" x14ac:dyDescent="0.35">
      <c r="A80">
        <v>505.34300000000002</v>
      </c>
      <c r="B80">
        <v>1.4121899999999999E-6</v>
      </c>
      <c r="C80">
        <v>2.1560899999999999E-5</v>
      </c>
      <c r="D80">
        <f t="shared" si="12"/>
        <v>0.18517610343290236</v>
      </c>
      <c r="E80">
        <f t="shared" si="13"/>
        <v>12.353480430634894</v>
      </c>
      <c r="G80">
        <v>1.20791E-6</v>
      </c>
      <c r="H80">
        <v>2.24204E-5</v>
      </c>
      <c r="I80">
        <f t="shared" si="14"/>
        <v>0.15083471005235902</v>
      </c>
      <c r="J80">
        <f t="shared" si="15"/>
        <v>12.81715020723167</v>
      </c>
      <c r="Q80">
        <f t="shared" si="10"/>
        <v>1.3100499999999998E-6</v>
      </c>
      <c r="R80">
        <f t="shared" si="11"/>
        <v>2.1990649999999999E-5</v>
      </c>
      <c r="T80">
        <f t="shared" si="16"/>
        <v>0.1680054067426307</v>
      </c>
      <c r="U80">
        <f t="shared" si="16"/>
        <v>12.585315318933283</v>
      </c>
      <c r="W80">
        <f t="shared" si="17"/>
        <v>1.7170696690271596E-2</v>
      </c>
      <c r="X80">
        <f t="shared" si="17"/>
        <v>0.23183488829838783</v>
      </c>
    </row>
    <row r="81" spans="1:24" x14ac:dyDescent="0.35">
      <c r="A81">
        <v>518.67100000000005</v>
      </c>
      <c r="B81">
        <v>6.3469899999999996E-4</v>
      </c>
      <c r="C81">
        <v>1.81745E-4</v>
      </c>
      <c r="D81">
        <f t="shared" si="12"/>
        <v>83.226115234323771</v>
      </c>
      <c r="E81">
        <f t="shared" si="13"/>
        <v>104.13216984753599</v>
      </c>
      <c r="G81">
        <v>6.3559300000000005E-4</v>
      </c>
      <c r="H81">
        <v>1.76625E-4</v>
      </c>
      <c r="I81">
        <f t="shared" si="14"/>
        <v>79.368070358146753</v>
      </c>
      <c r="J81">
        <f t="shared" si="15"/>
        <v>100.97184507646134</v>
      </c>
      <c r="Q81">
        <f t="shared" si="10"/>
        <v>6.3514600000000006E-4</v>
      </c>
      <c r="R81">
        <f t="shared" si="11"/>
        <v>1.79185E-4</v>
      </c>
      <c r="T81">
        <f t="shared" si="16"/>
        <v>81.297092796235262</v>
      </c>
      <c r="U81">
        <f t="shared" si="16"/>
        <v>102.55200746199867</v>
      </c>
      <c r="W81">
        <f t="shared" si="17"/>
        <v>1.9290224380885093</v>
      </c>
      <c r="X81">
        <f t="shared" si="17"/>
        <v>1.5801623855373279</v>
      </c>
    </row>
    <row r="82" spans="1:24" x14ac:dyDescent="0.35">
      <c r="A82">
        <v>524.91800000000001</v>
      </c>
      <c r="B82">
        <v>6.5298199999999998E-4</v>
      </c>
      <c r="C82">
        <v>1.8150800000000001E-4</v>
      </c>
      <c r="D82">
        <f t="shared" si="12"/>
        <v>85.623508431459953</v>
      </c>
      <c r="E82">
        <f t="shared" si="13"/>
        <v>103.9963789082867</v>
      </c>
      <c r="G82">
        <v>6.5450399999999998E-4</v>
      </c>
      <c r="H82">
        <v>1.7727800000000001E-4</v>
      </c>
      <c r="I82">
        <f t="shared" si="14"/>
        <v>81.729533713694892</v>
      </c>
      <c r="J82">
        <f t="shared" si="15"/>
        <v>101.34514792053737</v>
      </c>
      <c r="Q82">
        <f t="shared" si="10"/>
        <v>6.5374300000000003E-4</v>
      </c>
      <c r="R82">
        <f t="shared" si="11"/>
        <v>1.7939300000000002E-4</v>
      </c>
      <c r="T82">
        <f t="shared" si="16"/>
        <v>83.67652107257743</v>
      </c>
      <c r="U82">
        <f t="shared" si="16"/>
        <v>102.67076341441204</v>
      </c>
      <c r="W82">
        <f t="shared" si="17"/>
        <v>1.9469873588825308</v>
      </c>
      <c r="X82">
        <f t="shared" si="17"/>
        <v>1.3256154938746647</v>
      </c>
    </row>
    <row r="83" spans="1:24" x14ac:dyDescent="0.35">
      <c r="A83">
        <v>531.04899999999998</v>
      </c>
      <c r="B83">
        <v>6.6712300000000004E-4</v>
      </c>
      <c r="C83">
        <v>1.82559E-4</v>
      </c>
      <c r="D83">
        <f t="shared" si="12"/>
        <v>87.477773989667213</v>
      </c>
      <c r="E83">
        <f t="shared" si="13"/>
        <v>104.59855729289018</v>
      </c>
      <c r="G83">
        <v>6.7003899999999999E-4</v>
      </c>
      <c r="H83">
        <v>1.7346000000000001E-4</v>
      </c>
      <c r="I83">
        <f t="shared" si="14"/>
        <v>83.669427597066488</v>
      </c>
      <c r="J83">
        <f t="shared" si="15"/>
        <v>99.162498213520081</v>
      </c>
      <c r="Q83">
        <f t="shared" si="10"/>
        <v>6.6858100000000001E-4</v>
      </c>
      <c r="R83">
        <f t="shared" si="11"/>
        <v>1.780095E-4</v>
      </c>
      <c r="T83">
        <f t="shared" si="16"/>
        <v>85.57360079336685</v>
      </c>
      <c r="U83">
        <f t="shared" si="16"/>
        <v>101.88052775320513</v>
      </c>
      <c r="W83">
        <f t="shared" si="17"/>
        <v>1.9041731963003627</v>
      </c>
      <c r="X83">
        <f t="shared" si="17"/>
        <v>2.7180295396850482</v>
      </c>
    </row>
    <row r="84" spans="1:24" x14ac:dyDescent="0.35">
      <c r="A84">
        <v>537.19200000000001</v>
      </c>
      <c r="B84">
        <v>6.7853200000000003E-4</v>
      </c>
      <c r="C84">
        <v>1.7819900000000001E-4</v>
      </c>
      <c r="D84">
        <f t="shared" si="12"/>
        <v>88.973800844457273</v>
      </c>
      <c r="E84">
        <f t="shared" si="13"/>
        <v>102.10046237674251</v>
      </c>
      <c r="G84">
        <v>6.8177600000000004E-4</v>
      </c>
      <c r="H84">
        <v>1.7274900000000001E-4</v>
      </c>
      <c r="I84">
        <f t="shared" si="14"/>
        <v>85.135055824239501</v>
      </c>
      <c r="J84">
        <f t="shared" si="15"/>
        <v>98.756038302129483</v>
      </c>
      <c r="Q84">
        <f t="shared" si="10"/>
        <v>6.8015400000000009E-4</v>
      </c>
      <c r="R84">
        <f t="shared" si="11"/>
        <v>1.7547400000000001E-4</v>
      </c>
      <c r="T84">
        <f t="shared" si="16"/>
        <v>87.054428334348387</v>
      </c>
      <c r="U84">
        <f t="shared" si="16"/>
        <v>100.428250339436</v>
      </c>
      <c r="W84">
        <f t="shared" si="17"/>
        <v>1.9193725101088859</v>
      </c>
      <c r="X84">
        <f t="shared" si="17"/>
        <v>1.6722120373065152</v>
      </c>
    </row>
    <row r="85" spans="1:24" x14ac:dyDescent="0.35">
      <c r="A85">
        <v>543.55200000000002</v>
      </c>
      <c r="B85">
        <v>6.88921E-4</v>
      </c>
      <c r="C85">
        <v>1.7810499999999999E-4</v>
      </c>
      <c r="D85">
        <f t="shared" si="12"/>
        <v>90.33607825653668</v>
      </c>
      <c r="E85">
        <f t="shared" si="13"/>
        <v>102.04660436708244</v>
      </c>
      <c r="G85">
        <v>6.9348299999999995E-4</v>
      </c>
      <c r="H85">
        <v>1.70824E-4</v>
      </c>
      <c r="I85">
        <f t="shared" si="14"/>
        <v>86.596937877192914</v>
      </c>
      <c r="J85">
        <f t="shared" si="15"/>
        <v>97.655566671430606</v>
      </c>
      <c r="Q85">
        <f t="shared" si="10"/>
        <v>6.9120199999999992E-4</v>
      </c>
      <c r="R85">
        <f t="shared" si="11"/>
        <v>1.744645E-4</v>
      </c>
      <c r="T85">
        <f t="shared" si="16"/>
        <v>88.466508066864805</v>
      </c>
      <c r="U85">
        <f t="shared" si="16"/>
        <v>99.851085519256515</v>
      </c>
      <c r="W85">
        <f t="shared" si="17"/>
        <v>1.869570189671883</v>
      </c>
      <c r="X85">
        <f t="shared" si="17"/>
        <v>2.195518847825916</v>
      </c>
    </row>
    <row r="86" spans="1:24" x14ac:dyDescent="0.35">
      <c r="A86">
        <v>549.649</v>
      </c>
      <c r="B86">
        <v>6.9740999999999998E-4</v>
      </c>
      <c r="C86">
        <v>1.7702899999999999E-4</v>
      </c>
      <c r="D86">
        <f t="shared" si="12"/>
        <v>91.449214549841344</v>
      </c>
      <c r="E86">
        <f t="shared" si="13"/>
        <v>101.43010204373957</v>
      </c>
      <c r="G86">
        <v>7.0383800000000003E-4</v>
      </c>
      <c r="H86">
        <v>1.7267199999999999E-4</v>
      </c>
      <c r="I86">
        <f t="shared" si="14"/>
        <v>87.889992345317353</v>
      </c>
      <c r="J86">
        <f t="shared" si="15"/>
        <v>98.712019436901528</v>
      </c>
      <c r="Q86">
        <f t="shared" si="10"/>
        <v>7.0062399999999995E-4</v>
      </c>
      <c r="R86">
        <f t="shared" si="11"/>
        <v>1.748505E-4</v>
      </c>
      <c r="T86">
        <f t="shared" si="16"/>
        <v>89.669603447579348</v>
      </c>
      <c r="U86">
        <f t="shared" si="16"/>
        <v>100.07106074032055</v>
      </c>
      <c r="W86">
        <f t="shared" si="17"/>
        <v>1.7796111022619954</v>
      </c>
      <c r="X86">
        <f t="shared" si="17"/>
        <v>1.3590413034190192</v>
      </c>
    </row>
    <row r="87" spans="1:24" x14ac:dyDescent="0.35">
      <c r="A87">
        <v>555.86300000000006</v>
      </c>
      <c r="B87">
        <v>7.0602800000000004E-4</v>
      </c>
      <c r="C87">
        <v>1.7861799999999999E-4</v>
      </c>
      <c r="D87">
        <f t="shared" si="12"/>
        <v>92.579266213841763</v>
      </c>
      <c r="E87">
        <f t="shared" si="13"/>
        <v>102.34053159001451</v>
      </c>
      <c r="G87">
        <v>7.1038700000000004E-4</v>
      </c>
      <c r="H87">
        <v>1.75298E-4</v>
      </c>
      <c r="I87">
        <f t="shared" si="14"/>
        <v>88.707782177451278</v>
      </c>
      <c r="J87">
        <f t="shared" si="15"/>
        <v>100.2132342432471</v>
      </c>
      <c r="Q87">
        <f t="shared" si="10"/>
        <v>7.0820750000000004E-4</v>
      </c>
      <c r="R87">
        <f t="shared" si="11"/>
        <v>1.7695800000000001E-4</v>
      </c>
      <c r="T87">
        <f t="shared" si="16"/>
        <v>90.643524195646521</v>
      </c>
      <c r="U87">
        <f t="shared" si="16"/>
        <v>101.2768829166308</v>
      </c>
      <c r="W87">
        <f t="shared" si="17"/>
        <v>1.9357420181952421</v>
      </c>
      <c r="X87">
        <f t="shared" si="17"/>
        <v>1.0636486733837032</v>
      </c>
    </row>
    <row r="88" spans="1:24" x14ac:dyDescent="0.35">
      <c r="A88">
        <v>562.19600000000003</v>
      </c>
      <c r="B88">
        <v>7.08787E-4</v>
      </c>
      <c r="C88">
        <v>1.78009E-4</v>
      </c>
      <c r="D88">
        <f t="shared" si="12"/>
        <v>92.941045343683612</v>
      </c>
      <c r="E88">
        <f t="shared" si="13"/>
        <v>101.99160044232323</v>
      </c>
      <c r="G88">
        <v>7.16244E-4</v>
      </c>
      <c r="H88">
        <v>1.8129299999999999E-4</v>
      </c>
      <c r="I88">
        <f t="shared" si="14"/>
        <v>89.439160257586934</v>
      </c>
      <c r="J88">
        <f t="shared" si="15"/>
        <v>103.64041732170929</v>
      </c>
      <c r="Q88">
        <f t="shared" si="10"/>
        <v>7.125155E-4</v>
      </c>
      <c r="R88">
        <f t="shared" si="11"/>
        <v>1.7965099999999999E-4</v>
      </c>
      <c r="T88">
        <f t="shared" si="16"/>
        <v>91.190102800635273</v>
      </c>
      <c r="U88">
        <f t="shared" si="16"/>
        <v>102.81600888201626</v>
      </c>
      <c r="W88">
        <f t="shared" si="17"/>
        <v>1.750942543048339</v>
      </c>
      <c r="X88">
        <f t="shared" si="17"/>
        <v>0.82440843969303046</v>
      </c>
    </row>
    <row r="89" spans="1:24" x14ac:dyDescent="0.35">
      <c r="A89">
        <v>568.34699999999998</v>
      </c>
      <c r="B89">
        <v>7.10997E-4</v>
      </c>
      <c r="C89">
        <v>1.70175E-4</v>
      </c>
      <c r="D89">
        <f t="shared" si="12"/>
        <v>93.230835802890027</v>
      </c>
      <c r="E89">
        <f t="shared" si="13"/>
        <v>97.503050998951494</v>
      </c>
      <c r="G89">
        <v>7.1954899999999999E-4</v>
      </c>
      <c r="H89">
        <v>1.82905E-4</v>
      </c>
      <c r="I89">
        <f t="shared" si="14"/>
        <v>89.851863784110478</v>
      </c>
      <c r="J89">
        <f t="shared" si="15"/>
        <v>104.5619551236244</v>
      </c>
      <c r="Q89">
        <f t="shared" si="10"/>
        <v>7.1527299999999999E-4</v>
      </c>
      <c r="R89">
        <f t="shared" si="11"/>
        <v>1.7653999999999999E-4</v>
      </c>
      <c r="T89">
        <f t="shared" si="16"/>
        <v>91.541349793500245</v>
      </c>
      <c r="U89">
        <f t="shared" si="16"/>
        <v>101.03250306128794</v>
      </c>
      <c r="W89">
        <f t="shared" si="17"/>
        <v>1.6894860093897748</v>
      </c>
      <c r="X89">
        <f t="shared" si="17"/>
        <v>3.5294520623364534</v>
      </c>
    </row>
    <row r="90" spans="1:24" x14ac:dyDescent="0.35">
      <c r="A90">
        <v>574.55200000000002</v>
      </c>
      <c r="B90">
        <v>7.1746699999999995E-4</v>
      </c>
      <c r="C90">
        <v>1.7614599999999999E-4</v>
      </c>
      <c r="D90">
        <f t="shared" si="12"/>
        <v>94.07922687577036</v>
      </c>
      <c r="E90">
        <f t="shared" si="13"/>
        <v>100.92418052746473</v>
      </c>
      <c r="G90">
        <v>7.2246099999999998E-4</v>
      </c>
      <c r="H90">
        <v>1.82599E-4</v>
      </c>
      <c r="I90">
        <f t="shared" si="14"/>
        <v>90.215492428357535</v>
      </c>
      <c r="J90">
        <f t="shared" si="15"/>
        <v>104.38702300986135</v>
      </c>
      <c r="Q90">
        <f t="shared" si="10"/>
        <v>7.1996400000000002E-4</v>
      </c>
      <c r="R90">
        <f t="shared" si="11"/>
        <v>1.793725E-4</v>
      </c>
      <c r="T90">
        <f t="shared" si="16"/>
        <v>92.147359652063955</v>
      </c>
      <c r="U90">
        <f t="shared" si="16"/>
        <v>102.65560176866305</v>
      </c>
      <c r="W90">
        <f t="shared" si="17"/>
        <v>1.9318672237064121</v>
      </c>
      <c r="X90">
        <f t="shared" si="17"/>
        <v>1.7314212411983121</v>
      </c>
    </row>
    <row r="91" spans="1:24" x14ac:dyDescent="0.35">
      <c r="A91">
        <v>580.73699999999997</v>
      </c>
      <c r="B91">
        <v>7.17511E-4</v>
      </c>
      <c r="C91">
        <v>1.6431900000000001E-4</v>
      </c>
      <c r="D91">
        <f t="shared" si="12"/>
        <v>94.084996459573574</v>
      </c>
      <c r="E91">
        <f t="shared" si="13"/>
        <v>94.147811588639414</v>
      </c>
      <c r="G91">
        <v>7.2621000000000003E-4</v>
      </c>
      <c r="H91">
        <v>1.8165600000000001E-4</v>
      </c>
      <c r="I91">
        <f t="shared" si="14"/>
        <v>90.683639333330831</v>
      </c>
      <c r="J91">
        <f t="shared" si="15"/>
        <v>103.84793482921253</v>
      </c>
      <c r="Q91">
        <f t="shared" si="10"/>
        <v>7.2186050000000001E-4</v>
      </c>
      <c r="R91">
        <f t="shared" si="11"/>
        <v>1.729875E-4</v>
      </c>
      <c r="T91">
        <f t="shared" si="16"/>
        <v>92.384317896452202</v>
      </c>
      <c r="U91">
        <f t="shared" si="16"/>
        <v>98.997873208925967</v>
      </c>
      <c r="W91">
        <f t="shared" si="17"/>
        <v>1.7006785631213717</v>
      </c>
      <c r="X91">
        <f t="shared" si="17"/>
        <v>4.8500616202865601</v>
      </c>
    </row>
    <row r="92" spans="1:24" x14ac:dyDescent="0.35">
      <c r="A92">
        <v>587.00400000000002</v>
      </c>
      <c r="B92">
        <v>7.2781899999999999E-4</v>
      </c>
      <c r="C92">
        <v>1.76207E-4</v>
      </c>
      <c r="D92">
        <f t="shared" si="12"/>
        <v>95.436652592378906</v>
      </c>
      <c r="E92">
        <f t="shared" si="13"/>
        <v>100.9591309379888</v>
      </c>
      <c r="G92">
        <v>7.3239500000000005E-4</v>
      </c>
      <c r="H92">
        <v>1.83592E-4</v>
      </c>
      <c r="I92">
        <f t="shared" si="14"/>
        <v>91.455975584933896</v>
      </c>
      <c r="J92">
        <f t="shared" si="15"/>
        <v>104.95469486922966</v>
      </c>
      <c r="Q92">
        <f t="shared" si="10"/>
        <v>7.3010700000000002E-4</v>
      </c>
      <c r="R92">
        <f t="shared" si="11"/>
        <v>1.798995E-4</v>
      </c>
      <c r="T92">
        <f t="shared" si="16"/>
        <v>93.446314088656408</v>
      </c>
      <c r="U92">
        <f t="shared" si="16"/>
        <v>102.95691290360924</v>
      </c>
      <c r="W92">
        <f t="shared" si="17"/>
        <v>1.990338503722505</v>
      </c>
      <c r="X92">
        <f t="shared" si="17"/>
        <v>1.9977819656204261</v>
      </c>
    </row>
    <row r="93" spans="1:24" x14ac:dyDescent="0.35">
      <c r="A93">
        <v>593.21</v>
      </c>
      <c r="B93">
        <v>7.2521700000000001E-4</v>
      </c>
      <c r="C93">
        <v>1.6421400000000001E-4</v>
      </c>
      <c r="D93">
        <f t="shared" si="12"/>
        <v>95.09546038656211</v>
      </c>
      <c r="E93">
        <f t="shared" si="13"/>
        <v>94.087651045934024</v>
      </c>
      <c r="G93">
        <v>7.3771600000000002E-4</v>
      </c>
      <c r="H93">
        <v>1.8364799999999999E-4</v>
      </c>
      <c r="I93">
        <f t="shared" si="14"/>
        <v>92.120422019013077</v>
      </c>
      <c r="J93">
        <f t="shared" si="15"/>
        <v>104.98670858939545</v>
      </c>
      <c r="Q93">
        <f t="shared" si="10"/>
        <v>7.3146650000000001E-4</v>
      </c>
      <c r="R93">
        <f t="shared" si="11"/>
        <v>1.73931E-4</v>
      </c>
      <c r="T93">
        <f t="shared" si="16"/>
        <v>93.6079412027876</v>
      </c>
      <c r="U93">
        <f t="shared" si="16"/>
        <v>99.537179817664736</v>
      </c>
      <c r="W93">
        <f t="shared" si="17"/>
        <v>1.4875191837745163</v>
      </c>
      <c r="X93">
        <f t="shared" si="17"/>
        <v>5.4495287717307122</v>
      </c>
    </row>
    <row r="94" spans="1:24" x14ac:dyDescent="0.35">
      <c r="A94">
        <v>599.31799999999998</v>
      </c>
      <c r="B94">
        <v>7.2988800000000004E-4</v>
      </c>
      <c r="C94">
        <v>1.6227700000000001E-4</v>
      </c>
      <c r="D94">
        <f t="shared" si="12"/>
        <v>95.707954158034141</v>
      </c>
      <c r="E94">
        <f t="shared" si="13"/>
        <v>92.977832272406943</v>
      </c>
      <c r="G94">
        <v>7.4152799999999998E-4</v>
      </c>
      <c r="H94">
        <v>1.8412100000000001E-4</v>
      </c>
      <c r="I94">
        <f t="shared" si="14"/>
        <v>92.596435889847498</v>
      </c>
      <c r="J94">
        <f t="shared" si="15"/>
        <v>105.25711019008146</v>
      </c>
      <c r="Q94">
        <f t="shared" si="10"/>
        <v>7.3570800000000007E-4</v>
      </c>
      <c r="R94">
        <f t="shared" si="11"/>
        <v>1.7319900000000002E-4</v>
      </c>
      <c r="T94">
        <f t="shared" si="16"/>
        <v>94.15219502394082</v>
      </c>
      <c r="U94">
        <f t="shared" si="16"/>
        <v>99.117471231244195</v>
      </c>
      <c r="W94">
        <f t="shared" si="17"/>
        <v>1.5557591340933214</v>
      </c>
      <c r="X94">
        <f t="shared" si="17"/>
        <v>6.13963895883726</v>
      </c>
    </row>
    <row r="95" spans="1:24" x14ac:dyDescent="0.35">
      <c r="A95">
        <v>605.59400000000005</v>
      </c>
      <c r="B95">
        <v>7.3496200000000003E-4</v>
      </c>
      <c r="C95">
        <v>1.7520099999999999E-4</v>
      </c>
      <c r="D95">
        <f t="shared" si="12"/>
        <v>96.373292072067358</v>
      </c>
      <c r="E95">
        <f t="shared" si="13"/>
        <v>100.38273564311619</v>
      </c>
      <c r="G95">
        <v>7.45034E-4</v>
      </c>
      <c r="H95">
        <v>1.84809E-4</v>
      </c>
      <c r="I95">
        <f t="shared" si="14"/>
        <v>93.034238783642209</v>
      </c>
      <c r="J95">
        <f t="shared" si="15"/>
        <v>105.6504216092611</v>
      </c>
      <c r="Q95">
        <f t="shared" si="10"/>
        <v>7.3999799999999996E-4</v>
      </c>
      <c r="R95">
        <f t="shared" si="11"/>
        <v>1.8000500000000001E-4</v>
      </c>
      <c r="T95">
        <f t="shared" si="16"/>
        <v>94.70376542785479</v>
      </c>
      <c r="U95">
        <f t="shared" si="16"/>
        <v>103.01657862618865</v>
      </c>
      <c r="W95">
        <f t="shared" si="17"/>
        <v>1.6695266442125742</v>
      </c>
      <c r="X95">
        <f t="shared" si="17"/>
        <v>2.633842983072455</v>
      </c>
    </row>
    <row r="96" spans="1:24" x14ac:dyDescent="0.35">
      <c r="A96">
        <v>611.76900000000001</v>
      </c>
      <c r="B96">
        <v>7.3545800000000003E-4</v>
      </c>
      <c r="C96">
        <v>1.6723500000000001E-4</v>
      </c>
      <c r="D96">
        <f t="shared" si="12"/>
        <v>96.438331016758028</v>
      </c>
      <c r="E96">
        <f t="shared" si="13"/>
        <v>95.818555803200539</v>
      </c>
      <c r="G96">
        <v>7.4954100000000005E-4</v>
      </c>
      <c r="H96">
        <v>1.8624099999999999E-4</v>
      </c>
      <c r="I96">
        <f t="shared" si="14"/>
        <v>93.597039023896855</v>
      </c>
      <c r="J96">
        <f t="shared" si="15"/>
        <v>106.46905816778617</v>
      </c>
      <c r="Q96">
        <f t="shared" si="10"/>
        <v>7.4249950000000004E-4</v>
      </c>
      <c r="R96">
        <f t="shared" si="11"/>
        <v>1.7673800000000001E-4</v>
      </c>
      <c r="T96">
        <f t="shared" si="16"/>
        <v>95.017685020327434</v>
      </c>
      <c r="U96">
        <f t="shared" si="16"/>
        <v>101.14380698549336</v>
      </c>
      <c r="W96">
        <f t="shared" si="17"/>
        <v>1.4206459964305864</v>
      </c>
      <c r="X96">
        <f t="shared" si="17"/>
        <v>5.325251182292817</v>
      </c>
    </row>
    <row r="97" spans="1:24" x14ac:dyDescent="0.35">
      <c r="A97">
        <v>617.947</v>
      </c>
      <c r="B97">
        <v>7.3882799999999997E-4</v>
      </c>
      <c r="C97">
        <v>1.6819299999999999E-4</v>
      </c>
      <c r="D97">
        <f t="shared" si="12"/>
        <v>96.880228685321654</v>
      </c>
      <c r="E97">
        <f t="shared" si="13"/>
        <v>96.367449135693533</v>
      </c>
      <c r="G97">
        <v>7.5266199999999997E-4</v>
      </c>
      <c r="H97">
        <v>1.86959E-4</v>
      </c>
      <c r="I97">
        <f t="shared" si="14"/>
        <v>93.986766015206967</v>
      </c>
      <c r="J97">
        <f t="shared" si="15"/>
        <v>106.87951979419749</v>
      </c>
      <c r="Q97">
        <f t="shared" si="10"/>
        <v>7.4574499999999991E-4</v>
      </c>
      <c r="R97">
        <f t="shared" si="11"/>
        <v>1.7757599999999998E-4</v>
      </c>
      <c r="T97">
        <f t="shared" si="16"/>
        <v>95.433497350264304</v>
      </c>
      <c r="U97">
        <f t="shared" si="16"/>
        <v>101.62348446494551</v>
      </c>
      <c r="W97">
        <f t="shared" si="17"/>
        <v>1.4467313350573434</v>
      </c>
      <c r="X97">
        <f t="shared" si="17"/>
        <v>5.2560353292519792</v>
      </c>
    </row>
    <row r="98" spans="1:24" x14ac:dyDescent="0.35">
      <c r="A98">
        <v>624.12199999999996</v>
      </c>
      <c r="B98">
        <v>7.3913199999999998E-4</v>
      </c>
      <c r="C98">
        <v>1.64091E-4</v>
      </c>
      <c r="D98">
        <f t="shared" si="12"/>
        <v>96.92009126432562</v>
      </c>
      <c r="E98">
        <f t="shared" si="13"/>
        <v>94.017177267336265</v>
      </c>
      <c r="G98">
        <v>7.5340800000000001E-4</v>
      </c>
      <c r="H98">
        <v>1.8869700000000001E-4</v>
      </c>
      <c r="I98">
        <f t="shared" si="14"/>
        <v>94.079920880800486</v>
      </c>
      <c r="J98">
        <f t="shared" si="15"/>
        <v>107.87308846648564</v>
      </c>
      <c r="Q98">
        <f t="shared" si="10"/>
        <v>7.4627000000000005E-4</v>
      </c>
      <c r="R98">
        <f t="shared" si="11"/>
        <v>1.7639400000000002E-4</v>
      </c>
      <c r="T98">
        <f t="shared" si="16"/>
        <v>95.500006072563053</v>
      </c>
      <c r="U98">
        <f t="shared" si="16"/>
        <v>100.94513286691095</v>
      </c>
      <c r="W98">
        <f t="shared" si="17"/>
        <v>1.420085191762567</v>
      </c>
      <c r="X98">
        <f t="shared" si="17"/>
        <v>6.9279555995746875</v>
      </c>
    </row>
    <row r="99" spans="1:24" x14ac:dyDescent="0.35">
      <c r="A99">
        <v>630.39800000000002</v>
      </c>
      <c r="B99">
        <v>7.4538200000000005E-4</v>
      </c>
      <c r="C99">
        <v>1.7057699999999999E-4</v>
      </c>
      <c r="D99">
        <f t="shared" si="12"/>
        <v>97.739634418189937</v>
      </c>
      <c r="E99">
        <f t="shared" si="13"/>
        <v>97.733379933880698</v>
      </c>
      <c r="G99">
        <v>7.5762099999999999E-4</v>
      </c>
      <c r="H99">
        <v>1.9092299999999999E-4</v>
      </c>
      <c r="I99">
        <f t="shared" si="14"/>
        <v>94.606008613703253</v>
      </c>
      <c r="J99">
        <f t="shared" si="15"/>
        <v>109.14563384307559</v>
      </c>
      <c r="Q99">
        <f t="shared" ref="Q99:Q109" si="18">AVERAGE(B99,G99,L99)</f>
        <v>7.5150150000000008E-4</v>
      </c>
      <c r="R99">
        <f t="shared" ref="R99:R109" si="19">AVERAGE(C99,H99,M99)</f>
        <v>1.8074999999999998E-4</v>
      </c>
      <c r="T99">
        <f t="shared" si="16"/>
        <v>96.172821515946595</v>
      </c>
      <c r="U99">
        <f t="shared" si="16"/>
        <v>103.43950688847815</v>
      </c>
      <c r="W99">
        <f t="shared" si="17"/>
        <v>1.5668129022433419</v>
      </c>
      <c r="X99">
        <f t="shared" si="17"/>
        <v>5.706126954597444</v>
      </c>
    </row>
    <row r="100" spans="1:24" x14ac:dyDescent="0.35">
      <c r="A100">
        <v>636.58100000000002</v>
      </c>
      <c r="B100">
        <v>7.4468899999999998E-4</v>
      </c>
      <c r="C100">
        <v>1.6778299999999999E-4</v>
      </c>
      <c r="D100">
        <f t="shared" si="12"/>
        <v>97.648763473289449</v>
      </c>
      <c r="E100">
        <f t="shared" si="13"/>
        <v>96.132536540367724</v>
      </c>
      <c r="G100">
        <v>7.5845199999999995E-4</v>
      </c>
      <c r="H100">
        <v>1.9055999999999999E-4</v>
      </c>
      <c r="I100">
        <f t="shared" si="14"/>
        <v>94.709777639585567</v>
      </c>
      <c r="J100">
        <f t="shared" si="15"/>
        <v>108.93811633557237</v>
      </c>
      <c r="Q100">
        <f t="shared" si="18"/>
        <v>7.5157049999999997E-4</v>
      </c>
      <c r="R100">
        <f t="shared" si="19"/>
        <v>1.791715E-4</v>
      </c>
      <c r="T100">
        <f t="shared" si="16"/>
        <v>96.179270556437501</v>
      </c>
      <c r="U100">
        <f t="shared" si="16"/>
        <v>102.53532643797004</v>
      </c>
      <c r="W100">
        <f t="shared" si="17"/>
        <v>1.4694929168519408</v>
      </c>
      <c r="X100">
        <f t="shared" si="17"/>
        <v>6.4027898976023252</v>
      </c>
    </row>
    <row r="101" spans="1:24" x14ac:dyDescent="0.35">
      <c r="A101">
        <v>642.83500000000004</v>
      </c>
      <c r="B101">
        <v>7.4799399999999998E-4</v>
      </c>
      <c r="C101">
        <v>1.6733000000000001E-4</v>
      </c>
      <c r="D101">
        <f t="shared" si="12"/>
        <v>98.082137893052902</v>
      </c>
      <c r="E101">
        <f t="shared" si="13"/>
        <v>95.872986770410193</v>
      </c>
      <c r="G101">
        <v>7.5973000000000002E-4</v>
      </c>
      <c r="H101">
        <v>1.8643199999999999E-4</v>
      </c>
      <c r="I101">
        <f t="shared" si="14"/>
        <v>94.869364661339603</v>
      </c>
      <c r="J101">
        <f t="shared" si="15"/>
        <v>106.5782478204945</v>
      </c>
      <c r="Q101">
        <f t="shared" si="18"/>
        <v>7.53862E-4</v>
      </c>
      <c r="R101">
        <f t="shared" si="19"/>
        <v>1.7688099999999999E-4</v>
      </c>
      <c r="T101">
        <f t="shared" si="16"/>
        <v>96.475751277196252</v>
      </c>
      <c r="U101">
        <f t="shared" si="16"/>
        <v>101.22561729545234</v>
      </c>
      <c r="W101">
        <f t="shared" si="17"/>
        <v>1.6063866158566498</v>
      </c>
      <c r="X101">
        <f t="shared" si="17"/>
        <v>5.3526305250421515</v>
      </c>
    </row>
    <row r="102" spans="1:24" x14ac:dyDescent="0.35">
      <c r="A102">
        <v>649.06100000000004</v>
      </c>
      <c r="B102">
        <v>7.50825E-4</v>
      </c>
      <c r="C102">
        <v>1.6836600000000001E-4</v>
      </c>
      <c r="D102">
        <f t="shared" si="12"/>
        <v>98.453358160027278</v>
      </c>
      <c r="E102">
        <f t="shared" si="13"/>
        <v>96.466570791770039</v>
      </c>
      <c r="G102">
        <v>7.6288599999999995E-4</v>
      </c>
      <c r="H102">
        <v>1.8812000000000001E-4</v>
      </c>
      <c r="I102">
        <f t="shared" si="14"/>
        <v>95.263462189239235</v>
      </c>
      <c r="J102">
        <f t="shared" si="15"/>
        <v>107.54323281406317</v>
      </c>
      <c r="Q102">
        <f t="shared" si="18"/>
        <v>7.5685550000000002E-4</v>
      </c>
      <c r="R102">
        <f t="shared" si="19"/>
        <v>1.7824300000000002E-4</v>
      </c>
      <c r="T102">
        <f t="shared" si="16"/>
        <v>96.858410174633264</v>
      </c>
      <c r="U102">
        <f t="shared" si="16"/>
        <v>102.00490180291661</v>
      </c>
      <c r="W102">
        <f t="shared" si="17"/>
        <v>1.5949479853940218</v>
      </c>
      <c r="X102">
        <f t="shared" si="17"/>
        <v>5.5383310111465676</v>
      </c>
    </row>
    <row r="103" spans="1:24" x14ac:dyDescent="0.35">
      <c r="A103">
        <v>655.28099999999995</v>
      </c>
      <c r="B103">
        <v>7.5555499999999999E-4</v>
      </c>
      <c r="C103">
        <v>1.7234999999999999E-4</v>
      </c>
      <c r="D103">
        <f t="shared" si="12"/>
        <v>99.073588418871779</v>
      </c>
      <c r="E103">
        <f t="shared" si="13"/>
        <v>98.74923366927743</v>
      </c>
      <c r="G103">
        <v>7.6760299999999995E-4</v>
      </c>
      <c r="H103">
        <v>1.9126200000000001E-4</v>
      </c>
      <c r="I103">
        <f t="shared" si="14"/>
        <v>95.852485649030911</v>
      </c>
      <c r="J103">
        <f t="shared" si="15"/>
        <v>109.33943118479348</v>
      </c>
      <c r="Q103">
        <f t="shared" si="18"/>
        <v>7.6157899999999997E-4</v>
      </c>
      <c r="R103">
        <f t="shared" si="19"/>
        <v>1.8180600000000001E-4</v>
      </c>
      <c r="T103">
        <f t="shared" si="16"/>
        <v>97.463037033951338</v>
      </c>
      <c r="U103">
        <f t="shared" si="16"/>
        <v>104.04433242703546</v>
      </c>
      <c r="W103">
        <f t="shared" si="17"/>
        <v>1.6105513849204343</v>
      </c>
      <c r="X103">
        <f t="shared" si="17"/>
        <v>5.2950987577580264</v>
      </c>
    </row>
    <row r="104" spans="1:24" x14ac:dyDescent="0.35">
      <c r="A104">
        <v>661.45299999999997</v>
      </c>
      <c r="B104">
        <v>7.6017599999999999E-4</v>
      </c>
      <c r="C104">
        <v>1.73E-4</v>
      </c>
      <c r="D104">
        <f t="shared" si="12"/>
        <v>99.679525845112906</v>
      </c>
      <c r="E104">
        <f t="shared" si="13"/>
        <v>99.121656076501296</v>
      </c>
      <c r="G104">
        <v>7.6995999999999998E-4</v>
      </c>
      <c r="H104">
        <v>1.9011000000000001E-4</v>
      </c>
      <c r="I104">
        <f t="shared" si="14"/>
        <v>96.146810070215793</v>
      </c>
      <c r="J104">
        <f t="shared" si="15"/>
        <v>108.68086322709733</v>
      </c>
      <c r="Q104">
        <f t="shared" si="18"/>
        <v>7.6506800000000004E-4</v>
      </c>
      <c r="R104">
        <f t="shared" si="19"/>
        <v>1.8155500000000002E-4</v>
      </c>
      <c r="T104">
        <f t="shared" si="16"/>
        <v>97.913167957664342</v>
      </c>
      <c r="U104">
        <f t="shared" si="16"/>
        <v>103.90125965179931</v>
      </c>
      <c r="W104">
        <f t="shared" si="17"/>
        <v>1.7663578874485566</v>
      </c>
      <c r="X104">
        <f t="shared" si="17"/>
        <v>4.7796035752980188</v>
      </c>
    </row>
    <row r="105" spans="1:24" x14ac:dyDescent="0.35">
      <c r="A105">
        <v>667.70500000000004</v>
      </c>
      <c r="B105">
        <v>7.6231400000000005E-4</v>
      </c>
      <c r="C105">
        <v>1.7570800000000001E-4</v>
      </c>
      <c r="D105">
        <f t="shared" si="12"/>
        <v>99.959875167186809</v>
      </c>
      <c r="E105">
        <f t="shared" si="13"/>
        <v>100.67322512075081</v>
      </c>
      <c r="G105">
        <v>7.7274500000000003E-4</v>
      </c>
      <c r="H105">
        <v>1.9240899999999999E-4</v>
      </c>
      <c r="I105">
        <f t="shared" si="14"/>
        <v>96.494579910266637</v>
      </c>
      <c r="J105">
        <f t="shared" si="15"/>
        <v>109.99514077461767</v>
      </c>
      <c r="Q105">
        <f t="shared" si="18"/>
        <v>7.6752950000000004E-4</v>
      </c>
      <c r="R105">
        <f t="shared" si="19"/>
        <v>1.840585E-4</v>
      </c>
      <c r="T105">
        <f t="shared" si="16"/>
        <v>98.227227538726723</v>
      </c>
      <c r="U105">
        <f t="shared" si="16"/>
        <v>105.33418294768424</v>
      </c>
      <c r="W105">
        <f t="shared" si="17"/>
        <v>1.7326476284600858</v>
      </c>
      <c r="X105">
        <f t="shared" si="17"/>
        <v>4.6609578269334264</v>
      </c>
    </row>
    <row r="106" spans="1:24" x14ac:dyDescent="0.35">
      <c r="A106">
        <v>673.85199999999998</v>
      </c>
      <c r="B106">
        <v>7.5951800000000004E-4</v>
      </c>
      <c r="C106">
        <v>1.72406E-4</v>
      </c>
      <c r="D106">
        <f t="shared" si="12"/>
        <v>99.593244341874083</v>
      </c>
      <c r="E106">
        <f t="shared" si="13"/>
        <v>98.781319292053666</v>
      </c>
      <c r="G106">
        <v>7.7438599999999995E-4</v>
      </c>
      <c r="H106">
        <v>1.93289E-4</v>
      </c>
      <c r="I106">
        <f t="shared" si="14"/>
        <v>96.699495640077558</v>
      </c>
      <c r="J106">
        <f t="shared" si="15"/>
        <v>110.49821352008003</v>
      </c>
      <c r="Q106">
        <f t="shared" si="18"/>
        <v>7.66952E-4</v>
      </c>
      <c r="R106">
        <f t="shared" si="19"/>
        <v>1.8284749999999999E-4</v>
      </c>
      <c r="T106">
        <f t="shared" si="16"/>
        <v>98.146369990975813</v>
      </c>
      <c r="U106">
        <f t="shared" si="16"/>
        <v>104.63976640606685</v>
      </c>
      <c r="W106">
        <f t="shared" si="17"/>
        <v>1.4468743508982627</v>
      </c>
      <c r="X106">
        <f t="shared" si="17"/>
        <v>5.8584471140131811</v>
      </c>
    </row>
    <row r="107" spans="1:24" x14ac:dyDescent="0.35">
      <c r="A107">
        <v>680.23400000000004</v>
      </c>
      <c r="B107">
        <v>7.6330400000000002E-4</v>
      </c>
      <c r="C107">
        <v>1.7478799999999999E-4</v>
      </c>
      <c r="D107">
        <f t="shared" si="12"/>
        <v>100.08969080275891</v>
      </c>
      <c r="E107">
        <f t="shared" si="13"/>
        <v>100.14610417514167</v>
      </c>
      <c r="G107">
        <v>7.7392200000000002E-4</v>
      </c>
      <c r="H107">
        <v>1.90263E-4</v>
      </c>
      <c r="I107">
        <f t="shared" si="14"/>
        <v>96.641554812148101</v>
      </c>
      <c r="J107">
        <f t="shared" si="15"/>
        <v>108.76832928397884</v>
      </c>
      <c r="Q107">
        <f t="shared" si="18"/>
        <v>7.6861300000000002E-4</v>
      </c>
      <c r="R107">
        <f t="shared" si="19"/>
        <v>1.8252550000000001E-4</v>
      </c>
      <c r="T107">
        <f t="shared" si="16"/>
        <v>98.365622807453505</v>
      </c>
      <c r="U107">
        <f t="shared" si="16"/>
        <v>104.45721672956026</v>
      </c>
      <c r="W107">
        <f t="shared" si="17"/>
        <v>1.7240679953054041</v>
      </c>
      <c r="X107">
        <f t="shared" si="17"/>
        <v>4.3111125544185853</v>
      </c>
    </row>
    <row r="108" spans="1:24" x14ac:dyDescent="0.35">
      <c r="A108">
        <v>686.39200000000005</v>
      </c>
      <c r="B108">
        <v>7.6397100000000001E-4</v>
      </c>
      <c r="C108">
        <v>1.73878E-4</v>
      </c>
      <c r="D108">
        <f t="shared" si="12"/>
        <v>100.17715244813931</v>
      </c>
      <c r="E108">
        <f t="shared" si="13"/>
        <v>99.624712805028281</v>
      </c>
      <c r="G108">
        <v>7.7250400000000003E-4</v>
      </c>
      <c r="H108">
        <v>1.8680899999999999E-4</v>
      </c>
      <c r="I108">
        <f t="shared" si="14"/>
        <v>96.464485644036031</v>
      </c>
      <c r="J108">
        <f t="shared" si="15"/>
        <v>106.79376875803914</v>
      </c>
      <c r="Q108">
        <f t="shared" si="18"/>
        <v>7.6823750000000002E-4</v>
      </c>
      <c r="R108">
        <f t="shared" si="19"/>
        <v>1.803435E-4</v>
      </c>
      <c r="T108">
        <f t="shared" si="16"/>
        <v>98.320819046087678</v>
      </c>
      <c r="U108">
        <f t="shared" si="16"/>
        <v>103.20924078153371</v>
      </c>
      <c r="W108">
        <f t="shared" si="17"/>
        <v>1.8563334020516393</v>
      </c>
      <c r="X108">
        <f t="shared" si="17"/>
        <v>3.5845279765054272</v>
      </c>
    </row>
    <row r="109" spans="1:24" x14ac:dyDescent="0.35">
      <c r="A109">
        <v>692.49400000000003</v>
      </c>
      <c r="B109">
        <v>7.6978799999999998E-4</v>
      </c>
      <c r="C109">
        <v>1.78157E-4</v>
      </c>
      <c r="D109">
        <f t="shared" si="12"/>
        <v>100.9399176523039</v>
      </c>
      <c r="E109">
        <f t="shared" si="13"/>
        <v>102.07639815966036</v>
      </c>
      <c r="G109">
        <v>7.7299599999999997E-4</v>
      </c>
      <c r="H109">
        <v>1.8679600000000001E-4</v>
      </c>
      <c r="I109">
        <f t="shared" si="14"/>
        <v>96.525922901237109</v>
      </c>
      <c r="J109">
        <f t="shared" si="15"/>
        <v>106.78633700157209</v>
      </c>
      <c r="Q109">
        <f t="shared" si="18"/>
        <v>7.7139199999999998E-4</v>
      </c>
      <c r="R109">
        <f t="shared" si="19"/>
        <v>1.824765E-4</v>
      </c>
      <c r="T109">
        <f t="shared" si="16"/>
        <v>98.7329202767705</v>
      </c>
      <c r="U109">
        <f t="shared" si="16"/>
        <v>104.43136758061623</v>
      </c>
      <c r="W109">
        <f t="shared" si="17"/>
        <v>2.2069973755333976</v>
      </c>
      <c r="X109">
        <f t="shared" si="17"/>
        <v>2.354969420955868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A546-1EFC-47D7-80C8-A852AA3E57B1}">
  <dimension ref="A1:X109"/>
  <sheetViews>
    <sheetView workbookViewId="0">
      <selection activeCell="V8" sqref="V8"/>
    </sheetView>
  </sheetViews>
  <sheetFormatPr defaultColWidth="8.81640625" defaultRowHeight="14.5" x14ac:dyDescent="0.35"/>
  <cols>
    <col min="1" max="1" width="9.453125" bestFit="1" customWidth="1"/>
    <col min="2" max="2" width="12.36328125" bestFit="1" customWidth="1"/>
    <col min="3" max="3" width="9.453125" bestFit="1" customWidth="1"/>
    <col min="4" max="5" width="12.453125" customWidth="1"/>
    <col min="7" max="7" width="12.36328125" bestFit="1" customWidth="1"/>
    <col min="8" max="8" width="11.81640625" bestFit="1" customWidth="1"/>
    <col min="9" max="10" width="12.1796875" customWidth="1"/>
    <col min="12" max="13" width="11.81640625" bestFit="1" customWidth="1"/>
    <col min="14" max="15" width="11.81640625" customWidth="1"/>
    <col min="16" max="16" width="8.63281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1.20768E-3</v>
      </c>
      <c r="C3">
        <v>1.4498000000000001E-4</v>
      </c>
      <c r="D3">
        <f>B3/$B$3*100</f>
        <v>100</v>
      </c>
      <c r="E3">
        <f>C3/$C$3*100</f>
        <v>100</v>
      </c>
      <c r="G3">
        <v>8.2021500000000001E-4</v>
      </c>
      <c r="H3">
        <v>1.21001E-4</v>
      </c>
      <c r="I3">
        <f>G3/$G$3*100</f>
        <v>100</v>
      </c>
      <c r="J3">
        <f>H3/$H$3*100</f>
        <v>100</v>
      </c>
      <c r="L3" s="4">
        <v>9.1907000000000002E-4</v>
      </c>
      <c r="M3" s="4">
        <v>1.27374E-4</v>
      </c>
      <c r="N3" s="3">
        <f>L3/$L$3*100</f>
        <v>100</v>
      </c>
      <c r="O3" s="3">
        <f>M3/$M$3*100</f>
        <v>100</v>
      </c>
      <c r="Q3">
        <f t="shared" ref="Q3:Q66" si="0">AVERAGE(B3,G3,L3)</f>
        <v>9.8232166666666672E-4</v>
      </c>
      <c r="R3">
        <f t="shared" ref="R3:R66" si="1">AVERAGE(C3,H3,M3)</f>
        <v>1.3111833333333332E-4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1.2099000000000001E-3</v>
      </c>
      <c r="C4">
        <v>1.4216700000000001E-4</v>
      </c>
      <c r="D4">
        <f t="shared" ref="D4:D67" si="2">B4/$B$3*100</f>
        <v>100.18382352941177</v>
      </c>
      <c r="E4">
        <f t="shared" ref="E4:E67" si="3">C4/$C$3*100</f>
        <v>98.059732376879566</v>
      </c>
      <c r="G4">
        <v>8.2295899999999995E-4</v>
      </c>
      <c r="H4">
        <v>1.21766E-4</v>
      </c>
      <c r="I4">
        <f t="shared" ref="I4:I67" si="4">G4/$G$3*100</f>
        <v>100.33454642989948</v>
      </c>
      <c r="J4">
        <f t="shared" ref="J4:J67" si="5">H4/$H$3*100</f>
        <v>100.63222617994892</v>
      </c>
      <c r="L4" s="4">
        <v>9.2576400000000004E-4</v>
      </c>
      <c r="M4" s="4">
        <v>1.2429300000000001E-4</v>
      </c>
      <c r="N4" s="3">
        <f t="shared" ref="N4:N67" si="6">L4/$L$3*100</f>
        <v>100.7283449574026</v>
      </c>
      <c r="O4" s="3">
        <f t="shared" ref="O4:O67" si="7">M4/$M$3*100</f>
        <v>97.581139007960815</v>
      </c>
      <c r="Q4">
        <f t="shared" si="0"/>
        <v>9.8620766666666676E-4</v>
      </c>
      <c r="R4">
        <f t="shared" si="1"/>
        <v>1.2940866666666666E-4</v>
      </c>
      <c r="T4">
        <f t="shared" ref="T4:T67" si="8">AVERAGE(D4,I4,N4)</f>
        <v>100.41557163890462</v>
      </c>
      <c r="U4">
        <f t="shared" ref="U4:U67" si="9">AVERAGE(E4,J4,O4)</f>
        <v>98.757699188263089</v>
      </c>
      <c r="W4">
        <f t="shared" ref="W4:W67" si="10">_xlfn.STDEV.P(D4,I4,N4)</f>
        <v>0.22956438422374073</v>
      </c>
      <c r="X4">
        <f t="shared" ref="X4:X67" si="11">_xlfn.STDEV.P(E4,J4,O4)</f>
        <v>1.3398137893285167</v>
      </c>
    </row>
    <row r="5" spans="1:24" x14ac:dyDescent="0.35">
      <c r="A5">
        <v>18.545500000000001</v>
      </c>
      <c r="B5">
        <v>1.2103299999999999E-3</v>
      </c>
      <c r="C5">
        <v>1.4084199999999999E-4</v>
      </c>
      <c r="D5">
        <f t="shared" si="2"/>
        <v>100.21942898781133</v>
      </c>
      <c r="E5">
        <f t="shared" si="3"/>
        <v>97.145813215615931</v>
      </c>
      <c r="G5">
        <v>8.2565999999999998E-4</v>
      </c>
      <c r="H5">
        <v>1.18887E-4</v>
      </c>
      <c r="I5">
        <f t="shared" si="4"/>
        <v>100.66385033192515</v>
      </c>
      <c r="J5">
        <f t="shared" si="5"/>
        <v>98.252907000768587</v>
      </c>
      <c r="L5" s="4">
        <v>9.2727300000000005E-4</v>
      </c>
      <c r="M5" s="4">
        <v>1.26542E-4</v>
      </c>
      <c r="N5" s="3">
        <f t="shared" si="6"/>
        <v>100.89253266889355</v>
      </c>
      <c r="O5" s="3">
        <f t="shared" si="7"/>
        <v>99.346805470504179</v>
      </c>
      <c r="Q5">
        <f t="shared" si="0"/>
        <v>9.8775433333333335E-4</v>
      </c>
      <c r="R5">
        <f t="shared" si="1"/>
        <v>1.2875699999999999E-4</v>
      </c>
      <c r="T5">
        <f t="shared" si="8"/>
        <v>100.59193732954334</v>
      </c>
      <c r="U5">
        <f t="shared" si="9"/>
        <v>98.248508562296237</v>
      </c>
      <c r="W5">
        <f t="shared" si="10"/>
        <v>0.2794587045286947</v>
      </c>
      <c r="X5">
        <f t="shared" si="11"/>
        <v>0.89855670799167731</v>
      </c>
    </row>
    <row r="6" spans="1:24" x14ac:dyDescent="0.35">
      <c r="A6">
        <v>24.791399999999999</v>
      </c>
      <c r="B6">
        <v>1.2124799999999999E-3</v>
      </c>
      <c r="C6">
        <v>1.4106599999999999E-4</v>
      </c>
      <c r="D6">
        <f t="shared" si="2"/>
        <v>100.39745627980921</v>
      </c>
      <c r="E6">
        <f t="shared" si="3"/>
        <v>97.300317285142768</v>
      </c>
      <c r="G6">
        <v>8.2679200000000002E-4</v>
      </c>
      <c r="H6">
        <v>1.23709E-4</v>
      </c>
      <c r="I6">
        <f t="shared" si="4"/>
        <v>100.80186292618399</v>
      </c>
      <c r="J6">
        <f t="shared" si="5"/>
        <v>102.23799803307412</v>
      </c>
      <c r="L6" s="4">
        <v>9.3419300000000005E-4</v>
      </c>
      <c r="M6" s="4">
        <v>1.2902899999999999E-4</v>
      </c>
      <c r="N6" s="3">
        <f t="shared" si="6"/>
        <v>101.64546770104563</v>
      </c>
      <c r="O6" s="3">
        <f t="shared" si="7"/>
        <v>101.29932325278313</v>
      </c>
      <c r="Q6">
        <f t="shared" si="0"/>
        <v>9.9115499999999986E-4</v>
      </c>
      <c r="R6">
        <f t="shared" si="1"/>
        <v>1.31268E-4</v>
      </c>
      <c r="T6">
        <f t="shared" si="8"/>
        <v>100.94826230234628</v>
      </c>
      <c r="U6">
        <f t="shared" si="9"/>
        <v>100.279212857</v>
      </c>
      <c r="W6">
        <f t="shared" si="10"/>
        <v>0.51990878038983723</v>
      </c>
      <c r="X6">
        <f t="shared" si="11"/>
        <v>2.1409720077278882</v>
      </c>
    </row>
    <row r="7" spans="1:24" x14ac:dyDescent="0.35">
      <c r="A7">
        <v>31.106999999999999</v>
      </c>
      <c r="B7">
        <v>1.21284E-3</v>
      </c>
      <c r="C7">
        <v>1.3862600000000001E-4</v>
      </c>
      <c r="D7">
        <f t="shared" si="2"/>
        <v>100.4272655007949</v>
      </c>
      <c r="E7">
        <f t="shared" si="3"/>
        <v>95.617326527796948</v>
      </c>
      <c r="G7">
        <v>8.2843200000000004E-4</v>
      </c>
      <c r="H7">
        <v>1.2198599999999999E-4</v>
      </c>
      <c r="I7">
        <f t="shared" si="4"/>
        <v>101.00181050090526</v>
      </c>
      <c r="J7">
        <f t="shared" si="5"/>
        <v>100.81404285914992</v>
      </c>
      <c r="L7" s="4">
        <v>9.3879399999999996E-4</v>
      </c>
      <c r="M7" s="4">
        <v>1.2898799999999999E-4</v>
      </c>
      <c r="N7" s="3">
        <f t="shared" si="6"/>
        <v>102.14608245291434</v>
      </c>
      <c r="O7" s="3">
        <f t="shared" si="7"/>
        <v>101.26713458005558</v>
      </c>
      <c r="Q7">
        <f t="shared" si="0"/>
        <v>9.9335533333333339E-4</v>
      </c>
      <c r="R7">
        <f t="shared" si="1"/>
        <v>1.2986666666666669E-4</v>
      </c>
      <c r="T7">
        <f t="shared" si="8"/>
        <v>101.1917194848715</v>
      </c>
      <c r="U7">
        <f t="shared" si="9"/>
        <v>99.232834655667489</v>
      </c>
      <c r="W7">
        <f t="shared" si="10"/>
        <v>0.71443777212882897</v>
      </c>
      <c r="X7">
        <f t="shared" si="11"/>
        <v>2.563233282908099</v>
      </c>
    </row>
    <row r="8" spans="1:24" x14ac:dyDescent="0.35">
      <c r="A8">
        <v>37.192399999999999</v>
      </c>
      <c r="B8">
        <v>1.2139200000000001E-3</v>
      </c>
      <c r="C8">
        <v>1.3807700000000001E-4</v>
      </c>
      <c r="D8">
        <f t="shared" si="2"/>
        <v>100.51669316375198</v>
      </c>
      <c r="E8">
        <f t="shared" si="3"/>
        <v>95.238653607394127</v>
      </c>
      <c r="G8">
        <v>8.3020499999999998E-4</v>
      </c>
      <c r="H8">
        <v>1.23373E-4</v>
      </c>
      <c r="I8">
        <f t="shared" si="4"/>
        <v>101.21797333625939</v>
      </c>
      <c r="J8">
        <f t="shared" si="5"/>
        <v>101.96031437756712</v>
      </c>
      <c r="L8" s="4">
        <v>9.4230900000000001E-4</v>
      </c>
      <c r="M8" s="4">
        <v>1.2997700000000001E-4</v>
      </c>
      <c r="N8" s="3">
        <f t="shared" si="6"/>
        <v>102.52853427921704</v>
      </c>
      <c r="O8" s="3">
        <f t="shared" si="7"/>
        <v>102.0435881734106</v>
      </c>
      <c r="Q8">
        <f t="shared" si="0"/>
        <v>9.9547799999999994E-4</v>
      </c>
      <c r="R8">
        <f t="shared" si="1"/>
        <v>1.3047566666666665E-4</v>
      </c>
      <c r="T8">
        <f t="shared" si="8"/>
        <v>101.42106692640948</v>
      </c>
      <c r="U8">
        <f t="shared" si="9"/>
        <v>99.747518719457275</v>
      </c>
      <c r="W8">
        <f t="shared" si="10"/>
        <v>0.8337911102264407</v>
      </c>
      <c r="X8">
        <f t="shared" si="11"/>
        <v>3.188430343220495</v>
      </c>
    </row>
    <row r="9" spans="1:24" x14ac:dyDescent="0.35">
      <c r="A9">
        <v>43.526200000000003</v>
      </c>
      <c r="B9">
        <v>1.21313E-3</v>
      </c>
      <c r="C9">
        <v>1.3789600000000001E-4</v>
      </c>
      <c r="D9">
        <f t="shared" si="2"/>
        <v>100.45127848436672</v>
      </c>
      <c r="E9">
        <f t="shared" si="3"/>
        <v>95.113808801213963</v>
      </c>
      <c r="G9">
        <v>8.3104000000000001E-4</v>
      </c>
      <c r="H9">
        <v>1.20872E-4</v>
      </c>
      <c r="I9">
        <f t="shared" si="4"/>
        <v>101.31977591241321</v>
      </c>
      <c r="J9">
        <f t="shared" si="5"/>
        <v>99.893389310832148</v>
      </c>
      <c r="L9" s="4">
        <v>9.4902300000000001E-4</v>
      </c>
      <c r="M9" s="4">
        <v>1.2745700000000001E-4</v>
      </c>
      <c r="N9" s="3">
        <f t="shared" si="6"/>
        <v>103.25905534942932</v>
      </c>
      <c r="O9" s="3">
        <f t="shared" si="7"/>
        <v>100.06516243503386</v>
      </c>
      <c r="Q9">
        <f t="shared" si="0"/>
        <v>9.9773099999999997E-4</v>
      </c>
      <c r="R9">
        <f t="shared" si="1"/>
        <v>1.2874166666666667E-4</v>
      </c>
      <c r="T9">
        <f t="shared" si="8"/>
        <v>101.67670324873642</v>
      </c>
      <c r="U9">
        <f t="shared" si="9"/>
        <v>98.357453515693336</v>
      </c>
      <c r="W9">
        <f t="shared" si="10"/>
        <v>1.1737264228533741</v>
      </c>
      <c r="X9">
        <f t="shared" si="11"/>
        <v>2.2946749627310203</v>
      </c>
    </row>
    <row r="10" spans="1:24" x14ac:dyDescent="0.35">
      <c r="A10">
        <v>49.688299999999998</v>
      </c>
      <c r="B10">
        <v>1.2153800000000001E-3</v>
      </c>
      <c r="C10">
        <v>1.3899800000000001E-4</v>
      </c>
      <c r="D10">
        <f t="shared" si="2"/>
        <v>100.63758611552728</v>
      </c>
      <c r="E10">
        <f t="shared" si="3"/>
        <v>95.873913643261147</v>
      </c>
      <c r="G10">
        <v>8.3293400000000002E-4</v>
      </c>
      <c r="H10">
        <v>1.22731E-4</v>
      </c>
      <c r="I10">
        <f t="shared" si="4"/>
        <v>101.55069097736569</v>
      </c>
      <c r="J10">
        <f t="shared" si="5"/>
        <v>101.42974025008058</v>
      </c>
      <c r="L10" s="4">
        <v>9.5267799999999999E-4</v>
      </c>
      <c r="M10" s="4">
        <v>1.29937E-4</v>
      </c>
      <c r="N10" s="3">
        <f t="shared" si="6"/>
        <v>103.65673996539981</v>
      </c>
      <c r="O10" s="3">
        <f t="shared" si="7"/>
        <v>102.01218459026175</v>
      </c>
      <c r="Q10">
        <f t="shared" si="0"/>
        <v>1.0003306666666668E-3</v>
      </c>
      <c r="R10">
        <f t="shared" si="1"/>
        <v>1.3055533333333335E-4</v>
      </c>
      <c r="T10">
        <f t="shared" si="8"/>
        <v>101.94833901943093</v>
      </c>
      <c r="U10">
        <f t="shared" si="9"/>
        <v>99.771946161201171</v>
      </c>
      <c r="W10">
        <f t="shared" si="10"/>
        <v>1.2642297961786213</v>
      </c>
      <c r="X10">
        <f t="shared" si="11"/>
        <v>2.7665626669859473</v>
      </c>
    </row>
    <row r="11" spans="1:24" x14ac:dyDescent="0.35">
      <c r="A11">
        <v>55.8005</v>
      </c>
      <c r="B11">
        <v>1.21503E-3</v>
      </c>
      <c r="C11">
        <v>1.3835E-4</v>
      </c>
      <c r="D11">
        <f t="shared" si="2"/>
        <v>100.60860492845786</v>
      </c>
      <c r="E11">
        <f t="shared" si="3"/>
        <v>95.426955442129952</v>
      </c>
      <c r="G11">
        <v>8.33456E-4</v>
      </c>
      <c r="H11">
        <v>1.2290200000000001E-4</v>
      </c>
      <c r="I11">
        <f t="shared" si="4"/>
        <v>101.61433282736843</v>
      </c>
      <c r="J11">
        <f t="shared" si="5"/>
        <v>101.57106139618681</v>
      </c>
      <c r="L11" s="4">
        <v>9.5522499999999998E-4</v>
      </c>
      <c r="M11" s="4">
        <v>1.3121899999999999E-4</v>
      </c>
      <c r="N11" s="3">
        <f t="shared" si="6"/>
        <v>103.93386793171358</v>
      </c>
      <c r="O11" s="3">
        <f t="shared" si="7"/>
        <v>103.01866943018196</v>
      </c>
      <c r="Q11">
        <f t="shared" si="0"/>
        <v>1.0012370000000001E-3</v>
      </c>
      <c r="R11">
        <f t="shared" si="1"/>
        <v>1.3082366666666669E-4</v>
      </c>
      <c r="T11">
        <f t="shared" si="8"/>
        <v>102.05226856251329</v>
      </c>
      <c r="U11">
        <f t="shared" si="9"/>
        <v>100.00556208949956</v>
      </c>
      <c r="W11">
        <f t="shared" si="10"/>
        <v>1.3924042256215099</v>
      </c>
      <c r="X11">
        <f t="shared" si="11"/>
        <v>3.2910607589372343</v>
      </c>
    </row>
    <row r="12" spans="1:24" x14ac:dyDescent="0.35">
      <c r="A12">
        <v>62.111400000000003</v>
      </c>
      <c r="B12">
        <v>1.2153400000000001E-3</v>
      </c>
      <c r="C12">
        <v>1.3673799999999999E-4</v>
      </c>
      <c r="D12">
        <f t="shared" si="2"/>
        <v>100.63427397986221</v>
      </c>
      <c r="E12">
        <f t="shared" si="3"/>
        <v>94.315077941785063</v>
      </c>
      <c r="G12">
        <v>8.3553999999999996E-4</v>
      </c>
      <c r="H12">
        <v>1.2360800000000001E-4</v>
      </c>
      <c r="I12">
        <f t="shared" si="4"/>
        <v>101.86841255036789</v>
      </c>
      <c r="J12">
        <f t="shared" si="5"/>
        <v>102.15452764853184</v>
      </c>
      <c r="L12" s="4">
        <v>9.6062700000000003E-4</v>
      </c>
      <c r="M12" s="4">
        <v>1.31328E-4</v>
      </c>
      <c r="N12" s="3">
        <f t="shared" si="6"/>
        <v>104.52163600161033</v>
      </c>
      <c r="O12" s="3">
        <f t="shared" si="7"/>
        <v>103.10424419426256</v>
      </c>
      <c r="Q12">
        <f t="shared" si="0"/>
        <v>1.0038356666666668E-3</v>
      </c>
      <c r="R12">
        <f t="shared" si="1"/>
        <v>1.3055799999999999E-4</v>
      </c>
      <c r="T12">
        <f t="shared" si="8"/>
        <v>102.34144084394681</v>
      </c>
      <c r="U12">
        <f t="shared" si="9"/>
        <v>99.85794992819315</v>
      </c>
      <c r="W12">
        <f t="shared" si="10"/>
        <v>1.6218739566577589</v>
      </c>
      <c r="X12">
        <f t="shared" si="11"/>
        <v>3.9385329563674989</v>
      </c>
    </row>
    <row r="13" spans="1:24" x14ac:dyDescent="0.35">
      <c r="A13">
        <v>68.338800000000006</v>
      </c>
      <c r="B13">
        <v>1.2151799999999999E-3</v>
      </c>
      <c r="C13">
        <v>1.36379E-4</v>
      </c>
      <c r="D13">
        <f t="shared" si="2"/>
        <v>100.62102543720191</v>
      </c>
      <c r="E13">
        <f t="shared" si="3"/>
        <v>94.067457580355907</v>
      </c>
      <c r="G13">
        <v>8.3627500000000004E-4</v>
      </c>
      <c r="H13">
        <v>1.22552E-4</v>
      </c>
      <c r="I13">
        <f t="shared" si="4"/>
        <v>101.95802320123381</v>
      </c>
      <c r="J13">
        <f t="shared" si="5"/>
        <v>101.28180758836704</v>
      </c>
      <c r="L13" s="4">
        <v>9.6595600000000002E-4</v>
      </c>
      <c r="M13" s="4">
        <v>1.35038E-4</v>
      </c>
      <c r="N13" s="3">
        <f t="shared" si="6"/>
        <v>105.1014612597517</v>
      </c>
      <c r="O13" s="3">
        <f t="shared" si="7"/>
        <v>106.01692653131722</v>
      </c>
      <c r="Q13">
        <f t="shared" si="0"/>
        <v>1.0058036666666665E-3</v>
      </c>
      <c r="R13">
        <f t="shared" si="1"/>
        <v>1.31323E-4</v>
      </c>
      <c r="T13">
        <f t="shared" si="8"/>
        <v>102.56016996606247</v>
      </c>
      <c r="U13">
        <f t="shared" si="9"/>
        <v>100.45539723334673</v>
      </c>
      <c r="W13">
        <f t="shared" si="10"/>
        <v>1.8780329842314765</v>
      </c>
      <c r="X13">
        <f t="shared" si="11"/>
        <v>4.9132248478747478</v>
      </c>
    </row>
    <row r="14" spans="1:24" x14ac:dyDescent="0.35">
      <c r="A14">
        <v>74.508499999999998</v>
      </c>
      <c r="B14">
        <v>1.21565E-3</v>
      </c>
      <c r="C14">
        <v>1.35871E-4</v>
      </c>
      <c r="D14">
        <f t="shared" si="2"/>
        <v>100.65994303126655</v>
      </c>
      <c r="E14">
        <f t="shared" si="3"/>
        <v>93.717064422678988</v>
      </c>
      <c r="G14">
        <v>8.3895400000000005E-4</v>
      </c>
      <c r="H14">
        <v>1.2374700000000001E-4</v>
      </c>
      <c r="I14">
        <f t="shared" si="4"/>
        <v>102.28464487969617</v>
      </c>
      <c r="J14">
        <f t="shared" si="5"/>
        <v>102.26940273220883</v>
      </c>
      <c r="L14" s="4">
        <v>9.6962800000000005E-4</v>
      </c>
      <c r="M14" s="4">
        <v>1.32986E-4</v>
      </c>
      <c r="N14" s="3">
        <f t="shared" si="6"/>
        <v>105.50099557161043</v>
      </c>
      <c r="O14" s="3">
        <f t="shared" si="7"/>
        <v>104.40592271578186</v>
      </c>
      <c r="Q14">
        <f t="shared" si="0"/>
        <v>1.0080773333333334E-3</v>
      </c>
      <c r="R14">
        <f t="shared" si="1"/>
        <v>1.3086799999999999E-4</v>
      </c>
      <c r="T14">
        <f t="shared" si="8"/>
        <v>102.81519449419106</v>
      </c>
      <c r="U14">
        <f t="shared" si="9"/>
        <v>100.13079662355655</v>
      </c>
      <c r="W14">
        <f t="shared" si="10"/>
        <v>2.0116427109326982</v>
      </c>
      <c r="X14">
        <f t="shared" si="11"/>
        <v>4.6183077686155496</v>
      </c>
    </row>
    <row r="15" spans="1:24" x14ac:dyDescent="0.35">
      <c r="A15">
        <v>80.784599999999998</v>
      </c>
      <c r="B15">
        <v>1.2166E-3</v>
      </c>
      <c r="C15">
        <v>1.3655000000000001E-4</v>
      </c>
      <c r="D15">
        <f t="shared" si="2"/>
        <v>100.73860625331213</v>
      </c>
      <c r="E15">
        <f t="shared" si="3"/>
        <v>94.185404883432199</v>
      </c>
      <c r="G15">
        <v>8.3907399999999998E-4</v>
      </c>
      <c r="H15">
        <v>1.23168E-4</v>
      </c>
      <c r="I15">
        <f t="shared" si="4"/>
        <v>102.29927519004163</v>
      </c>
      <c r="J15">
        <f t="shared" si="5"/>
        <v>101.79089429012981</v>
      </c>
      <c r="L15" s="4">
        <v>9.7251599999999998E-4</v>
      </c>
      <c r="M15" s="4">
        <v>1.3483200000000001E-4</v>
      </c>
      <c r="N15" s="3">
        <f t="shared" si="6"/>
        <v>105.81522626132937</v>
      </c>
      <c r="O15" s="3">
        <f t="shared" si="7"/>
        <v>105.85519807810071</v>
      </c>
      <c r="Q15">
        <f t="shared" si="0"/>
        <v>1.0093966666666666E-3</v>
      </c>
      <c r="R15">
        <f t="shared" si="1"/>
        <v>1.3151666666666667E-4</v>
      </c>
      <c r="T15">
        <f t="shared" si="8"/>
        <v>102.95103590156104</v>
      </c>
      <c r="U15">
        <f t="shared" si="9"/>
        <v>100.61049908388758</v>
      </c>
      <c r="W15">
        <f t="shared" si="10"/>
        <v>2.1231441614204267</v>
      </c>
      <c r="X15">
        <f t="shared" si="11"/>
        <v>4.836735671488408</v>
      </c>
    </row>
    <row r="16" spans="1:24" x14ac:dyDescent="0.35">
      <c r="A16">
        <v>86.936599999999999</v>
      </c>
      <c r="B16">
        <v>1.21787E-3</v>
      </c>
      <c r="C16">
        <v>1.3495599999999999E-4</v>
      </c>
      <c r="D16">
        <f t="shared" si="2"/>
        <v>100.84376656067833</v>
      </c>
      <c r="E16">
        <f t="shared" si="3"/>
        <v>93.085942888674282</v>
      </c>
      <c r="G16">
        <v>8.4214800000000003E-4</v>
      </c>
      <c r="H16">
        <v>1.2396900000000001E-4</v>
      </c>
      <c r="I16">
        <f t="shared" si="4"/>
        <v>102.67405497339112</v>
      </c>
      <c r="J16">
        <f t="shared" si="5"/>
        <v>102.45287229031166</v>
      </c>
      <c r="L16" s="4">
        <v>9.7564099999999996E-4</v>
      </c>
      <c r="M16" s="4">
        <v>1.29901E-4</v>
      </c>
      <c r="N16" s="3">
        <f t="shared" si="6"/>
        <v>106.15524388784314</v>
      </c>
      <c r="O16" s="3">
        <f t="shared" si="7"/>
        <v>101.9839213654278</v>
      </c>
      <c r="Q16">
        <f t="shared" si="0"/>
        <v>1.0118863333333334E-3</v>
      </c>
      <c r="R16">
        <f t="shared" si="1"/>
        <v>1.2960866666666666E-4</v>
      </c>
      <c r="T16">
        <f t="shared" si="8"/>
        <v>103.22435514063754</v>
      </c>
      <c r="U16">
        <f t="shared" si="9"/>
        <v>99.174245514804582</v>
      </c>
      <c r="W16">
        <f t="shared" si="10"/>
        <v>2.2030388943154597</v>
      </c>
      <c r="X16">
        <f t="shared" si="11"/>
        <v>4.3093348591939478</v>
      </c>
    </row>
    <row r="17" spans="1:24" x14ac:dyDescent="0.35">
      <c r="A17">
        <v>93.113100000000003</v>
      </c>
      <c r="B17">
        <v>1.21831E-3</v>
      </c>
      <c r="C17">
        <v>1.34745E-4</v>
      </c>
      <c r="D17">
        <f t="shared" si="2"/>
        <v>100.88020005299416</v>
      </c>
      <c r="E17">
        <f t="shared" si="3"/>
        <v>92.940405573182488</v>
      </c>
      <c r="G17">
        <v>8.4276999999999996E-4</v>
      </c>
      <c r="H17">
        <v>1.2095999999999999E-4</v>
      </c>
      <c r="I17">
        <f t="shared" si="4"/>
        <v>102.74988874868174</v>
      </c>
      <c r="J17">
        <f t="shared" si="5"/>
        <v>99.966115982512534</v>
      </c>
      <c r="L17" s="4">
        <v>9.7988200000000006E-4</v>
      </c>
      <c r="M17" s="4">
        <v>1.31416E-4</v>
      </c>
      <c r="N17" s="3">
        <f t="shared" si="6"/>
        <v>106.61668860913751</v>
      </c>
      <c r="O17" s="3">
        <f t="shared" si="7"/>
        <v>103.17333207719001</v>
      </c>
      <c r="Q17">
        <f t="shared" si="0"/>
        <v>1.0136539999999999E-3</v>
      </c>
      <c r="R17">
        <f t="shared" si="1"/>
        <v>1.2904033333333335E-4</v>
      </c>
      <c r="T17">
        <f t="shared" si="8"/>
        <v>103.41559247027114</v>
      </c>
      <c r="U17">
        <f t="shared" si="9"/>
        <v>98.693284544295011</v>
      </c>
      <c r="W17">
        <f t="shared" si="10"/>
        <v>2.3887509040492834</v>
      </c>
      <c r="X17">
        <f t="shared" si="11"/>
        <v>4.2734272827705144</v>
      </c>
    </row>
    <row r="18" spans="1:24" x14ac:dyDescent="0.35">
      <c r="A18">
        <v>99.351399999999998</v>
      </c>
      <c r="B18">
        <v>1.2181900000000001E-3</v>
      </c>
      <c r="C18">
        <v>1.3468200000000001E-4</v>
      </c>
      <c r="D18">
        <f t="shared" si="2"/>
        <v>100.87026364599893</v>
      </c>
      <c r="E18">
        <f t="shared" si="3"/>
        <v>92.896951303628086</v>
      </c>
      <c r="G18">
        <v>8.4431600000000001E-4</v>
      </c>
      <c r="H18">
        <v>1.2334299999999999E-4</v>
      </c>
      <c r="I18">
        <f t="shared" si="4"/>
        <v>102.9383759136324</v>
      </c>
      <c r="J18">
        <f t="shared" si="5"/>
        <v>101.93552119403971</v>
      </c>
      <c r="L18" s="4">
        <v>9.8631200000000004E-4</v>
      </c>
      <c r="M18" s="4">
        <v>1.3322599999999999E-4</v>
      </c>
      <c r="N18" s="3">
        <f t="shared" si="6"/>
        <v>107.3163088774522</v>
      </c>
      <c r="O18" s="3">
        <f t="shared" si="7"/>
        <v>104.59434421467489</v>
      </c>
      <c r="Q18">
        <f t="shared" si="0"/>
        <v>1.0162726666666667E-3</v>
      </c>
      <c r="R18">
        <f t="shared" si="1"/>
        <v>1.3041699999999999E-4</v>
      </c>
      <c r="T18">
        <f t="shared" si="8"/>
        <v>103.7083161456945</v>
      </c>
      <c r="U18">
        <f t="shared" si="9"/>
        <v>99.808938904114214</v>
      </c>
      <c r="W18">
        <f t="shared" si="10"/>
        <v>2.6873134976770947</v>
      </c>
      <c r="X18">
        <f t="shared" si="11"/>
        <v>5.0065966088565288</v>
      </c>
    </row>
    <row r="19" spans="1:24" x14ac:dyDescent="0.35">
      <c r="A19">
        <v>105.571</v>
      </c>
      <c r="B19">
        <v>1.21948E-3</v>
      </c>
      <c r="C19">
        <v>1.3514899999999999E-4</v>
      </c>
      <c r="D19">
        <f t="shared" si="2"/>
        <v>100.97708002119768</v>
      </c>
      <c r="E19">
        <f t="shared" si="3"/>
        <v>93.219064698579103</v>
      </c>
      <c r="G19">
        <v>8.4572399999999995E-4</v>
      </c>
      <c r="H19">
        <v>1.2497800000000001E-4</v>
      </c>
      <c r="I19">
        <f t="shared" si="4"/>
        <v>103.11003822168576</v>
      </c>
      <c r="J19">
        <f t="shared" si="5"/>
        <v>103.28674969628351</v>
      </c>
      <c r="L19" s="4">
        <v>9.8946499999999992E-4</v>
      </c>
      <c r="M19" s="4">
        <v>1.33316E-4</v>
      </c>
      <c r="N19" s="3">
        <f t="shared" si="6"/>
        <v>107.65937306189952</v>
      </c>
      <c r="O19" s="3">
        <f t="shared" si="7"/>
        <v>104.66500227675976</v>
      </c>
      <c r="Q19">
        <f t="shared" si="0"/>
        <v>1.0182230000000002E-3</v>
      </c>
      <c r="R19">
        <f t="shared" si="1"/>
        <v>1.3114766666666664E-4</v>
      </c>
      <c r="T19">
        <f t="shared" si="8"/>
        <v>103.91549710159431</v>
      </c>
      <c r="U19">
        <f t="shared" si="9"/>
        <v>100.39027222387413</v>
      </c>
      <c r="W19">
        <f t="shared" si="10"/>
        <v>2.786854029889942</v>
      </c>
      <c r="X19">
        <f t="shared" si="11"/>
        <v>5.1019315343657397</v>
      </c>
    </row>
    <row r="20" spans="1:24" x14ac:dyDescent="0.35">
      <c r="A20">
        <v>111.708</v>
      </c>
      <c r="B20">
        <v>1.21991E-3</v>
      </c>
      <c r="C20">
        <v>1.3393699999999999E-4</v>
      </c>
      <c r="D20">
        <f t="shared" si="2"/>
        <v>101.01268547959725</v>
      </c>
      <c r="E20">
        <f t="shared" si="3"/>
        <v>92.383087322389272</v>
      </c>
      <c r="G20">
        <v>8.48247E-4</v>
      </c>
      <c r="H20">
        <v>1.21332E-4</v>
      </c>
      <c r="I20">
        <f t="shared" si="4"/>
        <v>103.41764049669904</v>
      </c>
      <c r="J20">
        <f t="shared" si="5"/>
        <v>100.27355145825241</v>
      </c>
      <c r="L20" s="4">
        <v>9.9473399999999994E-4</v>
      </c>
      <c r="M20" s="4">
        <v>1.3728300000000001E-4</v>
      </c>
      <c r="N20" s="3">
        <f t="shared" si="6"/>
        <v>108.23266998161183</v>
      </c>
      <c r="O20" s="3">
        <f t="shared" si="7"/>
        <v>107.77945263554571</v>
      </c>
      <c r="Q20">
        <f t="shared" si="0"/>
        <v>1.0209636666666667E-3</v>
      </c>
      <c r="R20">
        <f t="shared" si="1"/>
        <v>1.3085066666666668E-4</v>
      </c>
      <c r="T20">
        <f t="shared" si="8"/>
        <v>104.22099865263603</v>
      </c>
      <c r="U20">
        <f t="shared" si="9"/>
        <v>100.1453638053958</v>
      </c>
      <c r="W20">
        <f t="shared" si="10"/>
        <v>3.0017863900645976</v>
      </c>
      <c r="X20">
        <f t="shared" si="11"/>
        <v>6.2861933510299828</v>
      </c>
    </row>
    <row r="21" spans="1:24" x14ac:dyDescent="0.35">
      <c r="A21">
        <v>118.009</v>
      </c>
      <c r="B21">
        <v>1.22013E-3</v>
      </c>
      <c r="C21">
        <v>1.3397600000000001E-4</v>
      </c>
      <c r="D21">
        <f t="shared" si="2"/>
        <v>101.03090222575517</v>
      </c>
      <c r="E21">
        <f t="shared" si="3"/>
        <v>92.409987584494417</v>
      </c>
      <c r="G21">
        <v>8.5127599999999999E-4</v>
      </c>
      <c r="H21">
        <v>1.26057E-4</v>
      </c>
      <c r="I21">
        <f t="shared" si="4"/>
        <v>103.78693391366897</v>
      </c>
      <c r="J21">
        <f t="shared" si="5"/>
        <v>104.17847786381931</v>
      </c>
      <c r="L21" s="4">
        <v>9.9846399999999991E-4</v>
      </c>
      <c r="M21" s="4">
        <v>1.35446E-4</v>
      </c>
      <c r="N21" s="3">
        <f t="shared" si="6"/>
        <v>108.63851502061866</v>
      </c>
      <c r="O21" s="3">
        <f t="shared" si="7"/>
        <v>106.33724307943537</v>
      </c>
      <c r="Q21">
        <f t="shared" si="0"/>
        <v>1.0232899999999998E-3</v>
      </c>
      <c r="R21">
        <f t="shared" si="1"/>
        <v>1.3182633333333333E-4</v>
      </c>
      <c r="T21">
        <f t="shared" si="8"/>
        <v>104.48545038668094</v>
      </c>
      <c r="U21">
        <f t="shared" si="9"/>
        <v>100.97523617591638</v>
      </c>
      <c r="W21">
        <f t="shared" si="10"/>
        <v>3.1448250673600748</v>
      </c>
      <c r="X21">
        <f t="shared" si="11"/>
        <v>6.1203311124306676</v>
      </c>
    </row>
    <row r="22" spans="1:24" x14ac:dyDescent="0.35">
      <c r="A22">
        <v>124.221</v>
      </c>
      <c r="B22">
        <v>1.21995E-3</v>
      </c>
      <c r="C22">
        <v>1.3413699999999999E-4</v>
      </c>
      <c r="D22">
        <f t="shared" si="2"/>
        <v>101.01599761526232</v>
      </c>
      <c r="E22">
        <f t="shared" si="3"/>
        <v>92.521037384466808</v>
      </c>
      <c r="G22">
        <v>8.5312500000000004E-4</v>
      </c>
      <c r="H22">
        <v>1.26766E-4</v>
      </c>
      <c r="I22">
        <f t="shared" si="4"/>
        <v>104.01236261224192</v>
      </c>
      <c r="J22">
        <f t="shared" si="5"/>
        <v>104.76442343451706</v>
      </c>
      <c r="L22" s="4">
        <v>1.0061499999999999E-3</v>
      </c>
      <c r="M22" s="4">
        <v>1.39271E-4</v>
      </c>
      <c r="N22" s="3">
        <f t="shared" si="6"/>
        <v>109.47479517338176</v>
      </c>
      <c r="O22" s="3">
        <f t="shared" si="7"/>
        <v>109.34021071804293</v>
      </c>
      <c r="Q22">
        <f t="shared" si="0"/>
        <v>1.0264083333333333E-3</v>
      </c>
      <c r="R22">
        <f t="shared" si="1"/>
        <v>1.3339133333333333E-4</v>
      </c>
      <c r="T22">
        <f t="shared" si="8"/>
        <v>104.83438513362866</v>
      </c>
      <c r="U22">
        <f t="shared" si="9"/>
        <v>102.20855717900893</v>
      </c>
      <c r="W22">
        <f t="shared" si="10"/>
        <v>3.5018666262021019</v>
      </c>
      <c r="X22">
        <f t="shared" si="11"/>
        <v>7.1002576076859514</v>
      </c>
    </row>
    <row r="23" spans="1:24" x14ac:dyDescent="0.35">
      <c r="A23">
        <v>130.28700000000001</v>
      </c>
      <c r="B23">
        <v>1.22113E-3</v>
      </c>
      <c r="C23">
        <v>1.3424699999999999E-4</v>
      </c>
      <c r="D23">
        <f t="shared" si="2"/>
        <v>101.1137056173821</v>
      </c>
      <c r="E23">
        <f t="shared" si="3"/>
        <v>92.596909918609455</v>
      </c>
      <c r="G23">
        <v>8.5373999999999997E-4</v>
      </c>
      <c r="H23">
        <v>1.18677E-4</v>
      </c>
      <c r="I23">
        <f t="shared" si="4"/>
        <v>104.08734295276238</v>
      </c>
      <c r="J23">
        <f t="shared" si="5"/>
        <v>98.079354716076722</v>
      </c>
      <c r="L23" s="4">
        <v>1.0114600000000001E-3</v>
      </c>
      <c r="M23" s="4">
        <v>1.4259E-4</v>
      </c>
      <c r="N23" s="3">
        <f t="shared" si="6"/>
        <v>110.05255312435398</v>
      </c>
      <c r="O23" s="3">
        <f t="shared" si="7"/>
        <v>111.94592302981769</v>
      </c>
      <c r="Q23">
        <f t="shared" si="0"/>
        <v>1.0287766666666667E-3</v>
      </c>
      <c r="R23">
        <f t="shared" si="1"/>
        <v>1.3183799999999998E-4</v>
      </c>
      <c r="T23">
        <f t="shared" si="8"/>
        <v>105.08453389816616</v>
      </c>
      <c r="U23">
        <f t="shared" si="9"/>
        <v>100.87406255483461</v>
      </c>
      <c r="W23">
        <f t="shared" si="10"/>
        <v>3.7167675045591975</v>
      </c>
      <c r="X23">
        <f t="shared" si="11"/>
        <v>8.1426396630101152</v>
      </c>
    </row>
    <row r="24" spans="1:24" x14ac:dyDescent="0.35">
      <c r="A24">
        <v>136.62799999999999</v>
      </c>
      <c r="B24">
        <v>1.2215699999999999E-3</v>
      </c>
      <c r="C24">
        <v>1.3392300000000001E-4</v>
      </c>
      <c r="D24">
        <f t="shared" si="2"/>
        <v>101.15013910969792</v>
      </c>
      <c r="E24">
        <f t="shared" si="3"/>
        <v>92.373430818043872</v>
      </c>
      <c r="G24">
        <v>8.5521499999999999E-4</v>
      </c>
      <c r="H24">
        <v>1.20685E-4</v>
      </c>
      <c r="I24">
        <f t="shared" si="4"/>
        <v>104.26717385075864</v>
      </c>
      <c r="J24">
        <f t="shared" si="5"/>
        <v>99.73884513351129</v>
      </c>
      <c r="L24" s="4">
        <v>1.01545E-3</v>
      </c>
      <c r="M24" s="4">
        <v>1.42929E-4</v>
      </c>
      <c r="N24" s="3">
        <f t="shared" si="6"/>
        <v>110.48668762988673</v>
      </c>
      <c r="O24" s="3">
        <f t="shared" si="7"/>
        <v>112.2120683970041</v>
      </c>
      <c r="Q24">
        <f t="shared" si="0"/>
        <v>1.0307449999999998E-3</v>
      </c>
      <c r="R24">
        <f t="shared" si="1"/>
        <v>1.3251233333333334E-4</v>
      </c>
      <c r="T24">
        <f t="shared" si="8"/>
        <v>105.30133353011443</v>
      </c>
      <c r="U24">
        <f t="shared" si="9"/>
        <v>101.44144811618641</v>
      </c>
      <c r="W24">
        <f t="shared" si="10"/>
        <v>3.8811423790136788</v>
      </c>
      <c r="X24">
        <f t="shared" si="11"/>
        <v>8.1880819054197698</v>
      </c>
    </row>
    <row r="25" spans="1:24" x14ac:dyDescent="0.35">
      <c r="A25">
        <v>142.79400000000001</v>
      </c>
      <c r="B25">
        <v>1.2216799999999999E-3</v>
      </c>
      <c r="C25">
        <v>1.33845E-4</v>
      </c>
      <c r="D25">
        <f t="shared" si="2"/>
        <v>101.15924748277689</v>
      </c>
      <c r="E25">
        <f t="shared" si="3"/>
        <v>92.319630293833626</v>
      </c>
      <c r="G25">
        <v>8.5667299999999996E-4</v>
      </c>
      <c r="H25">
        <v>1.1831400000000001E-4</v>
      </c>
      <c r="I25">
        <f t="shared" si="4"/>
        <v>104.44493212145596</v>
      </c>
      <c r="J25">
        <f t="shared" si="5"/>
        <v>97.779357195395079</v>
      </c>
      <c r="L25" s="4">
        <v>1.02327E-3</v>
      </c>
      <c r="M25" s="4">
        <v>1.4513899999999999E-4</v>
      </c>
      <c r="N25" s="3">
        <f t="shared" si="6"/>
        <v>111.33754773847475</v>
      </c>
      <c r="O25" s="3">
        <f t="shared" si="7"/>
        <v>113.94711636597734</v>
      </c>
      <c r="Q25">
        <f t="shared" si="0"/>
        <v>1.0338743333333331E-3</v>
      </c>
      <c r="R25">
        <f t="shared" si="1"/>
        <v>1.3243266666666668E-4</v>
      </c>
      <c r="T25">
        <f t="shared" si="8"/>
        <v>105.64724244756921</v>
      </c>
      <c r="U25">
        <f t="shared" si="9"/>
        <v>101.34870128506869</v>
      </c>
      <c r="W25">
        <f t="shared" si="10"/>
        <v>4.241352898466376</v>
      </c>
      <c r="X25">
        <f t="shared" si="11"/>
        <v>9.1830351327165047</v>
      </c>
    </row>
    <row r="26" spans="1:24" x14ac:dyDescent="0.35">
      <c r="A26">
        <v>149.03399999999999</v>
      </c>
      <c r="B26">
        <v>1.22164E-3</v>
      </c>
      <c r="C26">
        <v>1.3386100000000001E-4</v>
      </c>
      <c r="D26">
        <f t="shared" si="2"/>
        <v>101.15593534711181</v>
      </c>
      <c r="E26">
        <f t="shared" si="3"/>
        <v>92.330666298799841</v>
      </c>
      <c r="G26">
        <v>8.5725000000000005E-4</v>
      </c>
      <c r="H26">
        <v>1.16562E-4</v>
      </c>
      <c r="I26">
        <f t="shared" si="4"/>
        <v>104.51527953036704</v>
      </c>
      <c r="J26">
        <f t="shared" si="5"/>
        <v>96.331435277394391</v>
      </c>
      <c r="L26" s="4">
        <v>1.0273000000000001E-3</v>
      </c>
      <c r="M26" s="4">
        <v>1.4581800000000001E-4</v>
      </c>
      <c r="N26" s="3">
        <f t="shared" si="6"/>
        <v>111.77603446962692</v>
      </c>
      <c r="O26" s="3">
        <f t="shared" si="7"/>
        <v>114.48019218992886</v>
      </c>
      <c r="Q26">
        <f t="shared" si="0"/>
        <v>1.0353966666666666E-3</v>
      </c>
      <c r="R26">
        <f t="shared" si="1"/>
        <v>1.3208033333333332E-4</v>
      </c>
      <c r="T26">
        <f t="shared" si="8"/>
        <v>105.81574978236858</v>
      </c>
      <c r="U26">
        <f t="shared" si="9"/>
        <v>101.04743125537436</v>
      </c>
      <c r="W26">
        <f t="shared" si="10"/>
        <v>4.4320832949654205</v>
      </c>
      <c r="X26">
        <f t="shared" si="11"/>
        <v>9.6378018880064538</v>
      </c>
    </row>
    <row r="27" spans="1:24" x14ac:dyDescent="0.35">
      <c r="A27">
        <v>155.125</v>
      </c>
      <c r="B27">
        <v>1.2228300000000001E-3</v>
      </c>
      <c r="C27">
        <v>1.3362700000000001E-4</v>
      </c>
      <c r="D27">
        <f t="shared" si="2"/>
        <v>101.25447138314784</v>
      </c>
      <c r="E27">
        <f t="shared" si="3"/>
        <v>92.169264726169132</v>
      </c>
      <c r="G27">
        <v>8.58555E-4</v>
      </c>
      <c r="H27">
        <v>1.20745E-4</v>
      </c>
      <c r="I27">
        <f t="shared" si="4"/>
        <v>104.67438415537389</v>
      </c>
      <c r="J27">
        <f t="shared" si="5"/>
        <v>99.788431500566105</v>
      </c>
      <c r="L27" s="4">
        <v>1.0320500000000001E-3</v>
      </c>
      <c r="M27" s="4">
        <v>1.4509700000000001E-4</v>
      </c>
      <c r="N27" s="3">
        <f t="shared" si="6"/>
        <v>112.29286126192781</v>
      </c>
      <c r="O27" s="3">
        <f t="shared" si="7"/>
        <v>113.91414260367108</v>
      </c>
      <c r="Q27">
        <f t="shared" si="0"/>
        <v>1.0378116666666666E-3</v>
      </c>
      <c r="R27">
        <f t="shared" si="1"/>
        <v>1.3315633333333334E-4</v>
      </c>
      <c r="T27">
        <f t="shared" si="8"/>
        <v>106.07390560014984</v>
      </c>
      <c r="U27">
        <f t="shared" si="9"/>
        <v>101.95727961013544</v>
      </c>
      <c r="W27">
        <f t="shared" si="10"/>
        <v>4.6137842735856101</v>
      </c>
      <c r="X27">
        <f t="shared" si="11"/>
        <v>9.0088051397380209</v>
      </c>
    </row>
    <row r="28" spans="1:24" x14ac:dyDescent="0.35">
      <c r="A28">
        <v>161.47300000000001</v>
      </c>
      <c r="B28">
        <v>1.2234800000000001E-3</v>
      </c>
      <c r="C28">
        <v>1.3263199999999999E-4</v>
      </c>
      <c r="D28">
        <f t="shared" si="2"/>
        <v>101.30829358770536</v>
      </c>
      <c r="E28">
        <f t="shared" si="3"/>
        <v>91.482963167333409</v>
      </c>
      <c r="G28">
        <v>8.6213499999999998E-4</v>
      </c>
      <c r="H28">
        <v>1.23175E-4</v>
      </c>
      <c r="I28">
        <f t="shared" si="4"/>
        <v>105.11085508068005</v>
      </c>
      <c r="J28">
        <f t="shared" si="5"/>
        <v>101.79667936628623</v>
      </c>
      <c r="L28" s="4">
        <v>1.03892E-3</v>
      </c>
      <c r="M28" s="4">
        <v>1.4941100000000001E-4</v>
      </c>
      <c r="N28" s="3">
        <f t="shared" si="6"/>
        <v>113.04035601205567</v>
      </c>
      <c r="O28" s="3">
        <f t="shared" si="7"/>
        <v>117.3010190462732</v>
      </c>
      <c r="Q28">
        <f t="shared" si="0"/>
        <v>1.0415116666666667E-3</v>
      </c>
      <c r="R28">
        <f t="shared" si="1"/>
        <v>1.3507266666666667E-4</v>
      </c>
      <c r="T28">
        <f t="shared" si="8"/>
        <v>106.48650156014703</v>
      </c>
      <c r="U28">
        <f t="shared" si="9"/>
        <v>103.52688719329761</v>
      </c>
      <c r="W28">
        <f t="shared" si="10"/>
        <v>4.8873731601318307</v>
      </c>
      <c r="X28">
        <f t="shared" si="11"/>
        <v>10.610944560075813</v>
      </c>
    </row>
    <row r="29" spans="1:24" x14ac:dyDescent="0.35">
      <c r="A29">
        <v>167.614</v>
      </c>
      <c r="B29">
        <v>1.2233000000000001E-3</v>
      </c>
      <c r="C29">
        <v>1.3420700000000001E-4</v>
      </c>
      <c r="D29">
        <f t="shared" si="2"/>
        <v>101.29338897721252</v>
      </c>
      <c r="E29">
        <f t="shared" si="3"/>
        <v>92.569319906193954</v>
      </c>
      <c r="G29">
        <v>8.6333299999999998E-4</v>
      </c>
      <c r="H29">
        <v>1.1961899999999999E-4</v>
      </c>
      <c r="I29">
        <f t="shared" si="4"/>
        <v>105.2569143456289</v>
      </c>
      <c r="J29">
        <f t="shared" si="5"/>
        <v>98.857860678837355</v>
      </c>
      <c r="L29" s="4">
        <v>1.04598E-3</v>
      </c>
      <c r="M29" s="4">
        <v>1.43886E-4</v>
      </c>
      <c r="N29" s="3">
        <f t="shared" si="6"/>
        <v>113.80852383387554</v>
      </c>
      <c r="O29" s="3">
        <f t="shared" si="7"/>
        <v>112.96339912384003</v>
      </c>
      <c r="Q29">
        <f t="shared" si="0"/>
        <v>1.0442043333333333E-3</v>
      </c>
      <c r="R29">
        <f t="shared" si="1"/>
        <v>1.3257066666666668E-4</v>
      </c>
      <c r="T29">
        <f t="shared" si="8"/>
        <v>106.78627571890566</v>
      </c>
      <c r="U29">
        <f t="shared" si="9"/>
        <v>101.46352656962377</v>
      </c>
      <c r="W29">
        <f t="shared" si="10"/>
        <v>5.222474495081725</v>
      </c>
      <c r="X29">
        <f t="shared" si="11"/>
        <v>8.52727927828143</v>
      </c>
    </row>
    <row r="30" spans="1:24" x14ac:dyDescent="0.35">
      <c r="A30">
        <v>173.85</v>
      </c>
      <c r="B30">
        <v>1.22332E-3</v>
      </c>
      <c r="C30">
        <v>1.3419300000000001E-4</v>
      </c>
      <c r="D30">
        <f t="shared" si="2"/>
        <v>101.29504504504503</v>
      </c>
      <c r="E30">
        <f t="shared" si="3"/>
        <v>92.559663401848525</v>
      </c>
      <c r="G30">
        <v>8.6417299999999998E-4</v>
      </c>
      <c r="H30">
        <v>1.2588200000000001E-4</v>
      </c>
      <c r="I30">
        <f t="shared" si="4"/>
        <v>105.3593265180471</v>
      </c>
      <c r="J30">
        <f t="shared" si="5"/>
        <v>104.03385095990943</v>
      </c>
      <c r="L30" s="4">
        <v>1.0517600000000001E-3</v>
      </c>
      <c r="M30" s="4">
        <v>1.4888499999999999E-4</v>
      </c>
      <c r="N30" s="3">
        <f t="shared" si="6"/>
        <v>114.43742043587541</v>
      </c>
      <c r="O30" s="3">
        <f t="shared" si="7"/>
        <v>116.88806192786596</v>
      </c>
      <c r="Q30">
        <f t="shared" si="0"/>
        <v>1.0464176666666668E-3</v>
      </c>
      <c r="R30">
        <f t="shared" si="1"/>
        <v>1.3632E-4</v>
      </c>
      <c r="T30">
        <f t="shared" si="8"/>
        <v>107.03059733298919</v>
      </c>
      <c r="U30">
        <f t="shared" si="9"/>
        <v>104.49385876320798</v>
      </c>
      <c r="W30">
        <f t="shared" si="10"/>
        <v>5.4939583380918764</v>
      </c>
      <c r="X30">
        <f t="shared" si="11"/>
        <v>9.9373520649618907</v>
      </c>
    </row>
    <row r="31" spans="1:24" x14ac:dyDescent="0.35">
      <c r="A31">
        <v>179.93600000000001</v>
      </c>
      <c r="B31">
        <v>1.22492E-3</v>
      </c>
      <c r="C31">
        <v>1.3331899999999999E-4</v>
      </c>
      <c r="D31">
        <f t="shared" si="2"/>
        <v>101.42753047164813</v>
      </c>
      <c r="E31">
        <f t="shared" si="3"/>
        <v>91.956821630569721</v>
      </c>
      <c r="G31">
        <v>8.6708E-4</v>
      </c>
      <c r="H31">
        <v>1.2499700000000001E-4</v>
      </c>
      <c r="I31">
        <f t="shared" si="4"/>
        <v>105.71374578616582</v>
      </c>
      <c r="J31">
        <f t="shared" si="5"/>
        <v>103.30245204585087</v>
      </c>
      <c r="L31" s="4">
        <v>1.0577900000000001E-3</v>
      </c>
      <c r="M31" s="4">
        <v>1.5097999999999999E-4</v>
      </c>
      <c r="N31" s="3">
        <f t="shared" si="6"/>
        <v>115.09351844799636</v>
      </c>
      <c r="O31" s="3">
        <f t="shared" si="7"/>
        <v>118.53282459528631</v>
      </c>
      <c r="Q31">
        <f t="shared" si="0"/>
        <v>1.0499300000000001E-3</v>
      </c>
      <c r="R31">
        <f t="shared" si="1"/>
        <v>1.36432E-4</v>
      </c>
      <c r="T31">
        <f t="shared" si="8"/>
        <v>107.41159823527011</v>
      </c>
      <c r="U31">
        <f t="shared" si="9"/>
        <v>104.59736609056897</v>
      </c>
      <c r="W31">
        <f t="shared" si="10"/>
        <v>5.7068283104027042</v>
      </c>
      <c r="X31">
        <f t="shared" si="11"/>
        <v>10.888176620615029</v>
      </c>
    </row>
    <row r="32" spans="1:24" x14ac:dyDescent="0.35">
      <c r="A32">
        <v>193.119</v>
      </c>
      <c r="B32">
        <v>1.9881399999999999E-5</v>
      </c>
      <c r="C32">
        <v>5.4785299999999999E-5</v>
      </c>
      <c r="D32">
        <f t="shared" si="2"/>
        <v>1.6462473502914676</v>
      </c>
      <c r="E32">
        <f t="shared" si="3"/>
        <v>37.788177679679954</v>
      </c>
      <c r="G32">
        <v>1.9074699999999999E-5</v>
      </c>
      <c r="H32">
        <v>4.6649200000000001E-5</v>
      </c>
      <c r="I32">
        <f t="shared" si="4"/>
        <v>2.3255731728875966</v>
      </c>
      <c r="J32">
        <f t="shared" si="5"/>
        <v>38.552739233560054</v>
      </c>
      <c r="L32" s="4">
        <v>1.72845E-5</v>
      </c>
      <c r="M32" s="4">
        <v>4.5475500000000002E-5</v>
      </c>
      <c r="N32" s="3">
        <f t="shared" si="6"/>
        <v>1.8806510929526585</v>
      </c>
      <c r="O32" s="3">
        <f t="shared" si="7"/>
        <v>35.702341137123746</v>
      </c>
      <c r="Q32">
        <f t="shared" si="0"/>
        <v>1.8746866666666665E-5</v>
      </c>
      <c r="R32">
        <f t="shared" si="1"/>
        <v>4.8969999999999994E-5</v>
      </c>
      <c r="T32">
        <f t="shared" si="8"/>
        <v>1.9508238720439077</v>
      </c>
      <c r="U32">
        <f t="shared" si="9"/>
        <v>37.347752683454587</v>
      </c>
      <c r="W32">
        <f t="shared" si="10"/>
        <v>0.28173753448380334</v>
      </c>
      <c r="X32">
        <f t="shared" si="11"/>
        <v>1.2046224747521579</v>
      </c>
    </row>
    <row r="33" spans="1:24" x14ac:dyDescent="0.35">
      <c r="A33">
        <v>199.374</v>
      </c>
      <c r="B33">
        <v>1.9616300000000001E-5</v>
      </c>
      <c r="C33">
        <v>5.2724099999999999E-5</v>
      </c>
      <c r="D33">
        <f t="shared" si="2"/>
        <v>1.624296171171171</v>
      </c>
      <c r="E33">
        <f t="shared" si="3"/>
        <v>36.366464339908951</v>
      </c>
      <c r="G33">
        <v>1.8789700000000001E-5</v>
      </c>
      <c r="H33">
        <v>4.4552199999999997E-5</v>
      </c>
      <c r="I33">
        <f t="shared" si="4"/>
        <v>2.2908261858171337</v>
      </c>
      <c r="J33">
        <f t="shared" si="5"/>
        <v>36.819695704994174</v>
      </c>
      <c r="L33" s="4">
        <v>1.7074600000000001E-5</v>
      </c>
      <c r="M33" s="4">
        <v>4.3971699999999998E-5</v>
      </c>
      <c r="N33" s="3">
        <f t="shared" si="6"/>
        <v>1.8578127890149825</v>
      </c>
      <c r="O33" s="3">
        <f t="shared" si="7"/>
        <v>34.521723428643206</v>
      </c>
      <c r="Q33">
        <f t="shared" si="0"/>
        <v>1.8493533333333332E-5</v>
      </c>
      <c r="R33">
        <f t="shared" si="1"/>
        <v>4.7082666666666669E-5</v>
      </c>
      <c r="T33">
        <f t="shared" si="8"/>
        <v>1.9243117153344291</v>
      </c>
      <c r="U33">
        <f t="shared" si="9"/>
        <v>35.902627824515442</v>
      </c>
      <c r="W33">
        <f t="shared" si="10"/>
        <v>0.27614265094598794</v>
      </c>
      <c r="X33">
        <f t="shared" si="11"/>
        <v>0.99382338487235133</v>
      </c>
    </row>
    <row r="34" spans="1:24" x14ac:dyDescent="0.35">
      <c r="A34">
        <v>205.643</v>
      </c>
      <c r="B34">
        <v>1.90058E-5</v>
      </c>
      <c r="C34">
        <v>5.0992599999999997E-5</v>
      </c>
      <c r="D34">
        <f t="shared" si="2"/>
        <v>1.5737447005829359</v>
      </c>
      <c r="E34">
        <f t="shared" si="3"/>
        <v>35.172161677472751</v>
      </c>
      <c r="G34">
        <v>1.8237399999999999E-5</v>
      </c>
      <c r="H34">
        <v>4.2930499999999998E-5</v>
      </c>
      <c r="I34">
        <f t="shared" si="4"/>
        <v>2.2234901824521618</v>
      </c>
      <c r="J34">
        <f t="shared" si="5"/>
        <v>35.479458847447539</v>
      </c>
      <c r="L34" s="4">
        <v>1.7017500000000001E-5</v>
      </c>
      <c r="M34" s="4">
        <v>4.32279E-5</v>
      </c>
      <c r="N34" s="3">
        <f t="shared" si="6"/>
        <v>1.8515999869433233</v>
      </c>
      <c r="O34" s="3">
        <f t="shared" si="7"/>
        <v>33.93777379999058</v>
      </c>
      <c r="Q34">
        <f t="shared" si="0"/>
        <v>1.8086899999999998E-5</v>
      </c>
      <c r="R34">
        <f t="shared" si="1"/>
        <v>4.5716999999999996E-5</v>
      </c>
      <c r="T34">
        <f t="shared" si="8"/>
        <v>1.8829449566594736</v>
      </c>
      <c r="U34">
        <f t="shared" si="9"/>
        <v>34.863131441636959</v>
      </c>
      <c r="W34">
        <f t="shared" si="10"/>
        <v>0.26618186533176741</v>
      </c>
      <c r="X34">
        <f t="shared" si="11"/>
        <v>0.66624468047088925</v>
      </c>
    </row>
    <row r="35" spans="1:24" x14ac:dyDescent="0.35">
      <c r="A35">
        <v>211.75800000000001</v>
      </c>
      <c r="B35">
        <v>1.83784E-5</v>
      </c>
      <c r="C35">
        <v>4.9544299999999999E-5</v>
      </c>
      <c r="D35">
        <f t="shared" si="2"/>
        <v>1.5217938526762056</v>
      </c>
      <c r="E35">
        <f t="shared" si="3"/>
        <v>34.173196302938337</v>
      </c>
      <c r="G35">
        <v>1.7678700000000001E-5</v>
      </c>
      <c r="H35">
        <v>4.1696100000000002E-5</v>
      </c>
      <c r="I35">
        <f t="shared" si="4"/>
        <v>2.1553738958687663</v>
      </c>
      <c r="J35">
        <f t="shared" si="5"/>
        <v>34.459301989239762</v>
      </c>
      <c r="L35" s="4">
        <v>1.6753400000000001E-5</v>
      </c>
      <c r="M35" s="4">
        <v>4.2532199999999999E-5</v>
      </c>
      <c r="N35" s="3">
        <f t="shared" si="6"/>
        <v>1.8228644172913926</v>
      </c>
      <c r="O35" s="3">
        <f t="shared" si="7"/>
        <v>33.391586980074422</v>
      </c>
      <c r="Q35">
        <f t="shared" si="0"/>
        <v>1.7603500000000002E-5</v>
      </c>
      <c r="R35">
        <f t="shared" si="1"/>
        <v>4.4590866666666667E-5</v>
      </c>
      <c r="T35">
        <f t="shared" si="8"/>
        <v>1.8333440552787881</v>
      </c>
      <c r="U35">
        <f t="shared" si="9"/>
        <v>34.008028424084173</v>
      </c>
      <c r="W35">
        <f t="shared" si="10"/>
        <v>0.25876409448534693</v>
      </c>
      <c r="X35">
        <f t="shared" si="11"/>
        <v>0.45126795909091771</v>
      </c>
    </row>
    <row r="36" spans="1:24" x14ac:dyDescent="0.35">
      <c r="A36">
        <v>218.077</v>
      </c>
      <c r="B36">
        <v>1.7773699999999999E-5</v>
      </c>
      <c r="C36">
        <v>4.8353699999999998E-5</v>
      </c>
      <c r="D36">
        <f t="shared" si="2"/>
        <v>1.4717226417594063</v>
      </c>
      <c r="E36">
        <f t="shared" si="3"/>
        <v>33.351979583390808</v>
      </c>
      <c r="G36">
        <v>1.7122E-5</v>
      </c>
      <c r="H36">
        <v>4.0649999999999999E-5</v>
      </c>
      <c r="I36">
        <f t="shared" si="4"/>
        <v>2.0875014477911278</v>
      </c>
      <c r="J36">
        <f t="shared" si="5"/>
        <v>33.594763679639009</v>
      </c>
      <c r="L36" s="4">
        <v>1.6617100000000001E-5</v>
      </c>
      <c r="M36" s="4">
        <v>4.1924100000000001E-5</v>
      </c>
      <c r="N36" s="3">
        <f t="shared" si="6"/>
        <v>1.8080342084933685</v>
      </c>
      <c r="O36" s="3">
        <f t="shared" si="7"/>
        <v>32.914174007254225</v>
      </c>
      <c r="Q36">
        <f t="shared" si="0"/>
        <v>1.7170933333333332E-5</v>
      </c>
      <c r="R36">
        <f t="shared" si="1"/>
        <v>4.3642600000000001E-5</v>
      </c>
      <c r="T36">
        <f t="shared" si="8"/>
        <v>1.7890860993479674</v>
      </c>
      <c r="U36">
        <f t="shared" si="9"/>
        <v>33.286972423428011</v>
      </c>
      <c r="W36">
        <f t="shared" si="10"/>
        <v>0.25174743642468767</v>
      </c>
      <c r="X36">
        <f t="shared" si="11"/>
        <v>0.2816262578596298</v>
      </c>
    </row>
    <row r="37" spans="1:24" x14ac:dyDescent="0.35">
      <c r="A37">
        <v>224.21</v>
      </c>
      <c r="B37">
        <v>1.7196700000000001E-5</v>
      </c>
      <c r="C37">
        <v>4.7318199999999997E-5</v>
      </c>
      <c r="D37">
        <f t="shared" si="2"/>
        <v>1.4239450847906729</v>
      </c>
      <c r="E37">
        <f t="shared" si="3"/>
        <v>32.637743136984412</v>
      </c>
      <c r="G37">
        <v>1.6641099999999999E-5</v>
      </c>
      <c r="H37">
        <v>3.9774100000000003E-5</v>
      </c>
      <c r="I37">
        <f t="shared" si="4"/>
        <v>2.028870479081704</v>
      </c>
      <c r="J37">
        <f t="shared" si="5"/>
        <v>32.870885364583764</v>
      </c>
      <c r="L37" s="4">
        <v>1.6634200000000001E-5</v>
      </c>
      <c r="M37" s="4">
        <v>4.1830399999999998E-5</v>
      </c>
      <c r="N37" s="3">
        <f t="shared" si="6"/>
        <v>1.8098947849456517</v>
      </c>
      <c r="O37" s="3">
        <f t="shared" si="7"/>
        <v>32.840611113728073</v>
      </c>
      <c r="Q37">
        <f t="shared" si="0"/>
        <v>1.6824E-5</v>
      </c>
      <c r="R37">
        <f t="shared" si="1"/>
        <v>4.2974233333333333E-5</v>
      </c>
      <c r="T37">
        <f t="shared" si="8"/>
        <v>1.754236782939343</v>
      </c>
      <c r="U37">
        <f t="shared" si="9"/>
        <v>32.783079871765416</v>
      </c>
      <c r="W37">
        <f t="shared" si="10"/>
        <v>0.25007604584077991</v>
      </c>
      <c r="X37">
        <f t="shared" si="11"/>
        <v>0.1035091217359492</v>
      </c>
    </row>
    <row r="38" spans="1:24" x14ac:dyDescent="0.35">
      <c r="A38">
        <v>230.48099999999999</v>
      </c>
      <c r="B38">
        <v>1.66526E-5</v>
      </c>
      <c r="C38">
        <v>4.6422299999999998E-5</v>
      </c>
      <c r="D38">
        <f t="shared" si="2"/>
        <v>1.3788917594064654</v>
      </c>
      <c r="E38">
        <f t="shared" si="3"/>
        <v>32.01979583390812</v>
      </c>
      <c r="G38">
        <v>1.61194E-5</v>
      </c>
      <c r="H38">
        <v>3.8982E-5</v>
      </c>
      <c r="I38">
        <f t="shared" si="4"/>
        <v>1.9652652048548245</v>
      </c>
      <c r="J38">
        <f t="shared" si="5"/>
        <v>32.216262675515075</v>
      </c>
      <c r="L38" s="4">
        <v>1.6574499999999999E-5</v>
      </c>
      <c r="M38" s="4">
        <v>4.1514699999999997E-5</v>
      </c>
      <c r="N38" s="3">
        <f t="shared" si="6"/>
        <v>1.8033990882087327</v>
      </c>
      <c r="O38" s="3">
        <f t="shared" si="7"/>
        <v>32.592758333725875</v>
      </c>
      <c r="Q38">
        <f t="shared" si="0"/>
        <v>1.6448833333333334E-5</v>
      </c>
      <c r="R38">
        <f t="shared" si="1"/>
        <v>4.2306333333333332E-5</v>
      </c>
      <c r="T38">
        <f t="shared" si="8"/>
        <v>1.7158520174900076</v>
      </c>
      <c r="U38">
        <f t="shared" si="9"/>
        <v>32.276272281049692</v>
      </c>
      <c r="W38">
        <f t="shared" si="10"/>
        <v>0.24726075517601132</v>
      </c>
      <c r="X38">
        <f t="shared" si="11"/>
        <v>0.23772865640847471</v>
      </c>
    </row>
    <row r="39" spans="1:24" x14ac:dyDescent="0.35">
      <c r="A39">
        <v>236.60900000000001</v>
      </c>
      <c r="B39">
        <v>1.6096900000000002E-5</v>
      </c>
      <c r="C39">
        <v>4.5611400000000002E-5</v>
      </c>
      <c r="D39">
        <f t="shared" si="2"/>
        <v>1.3328779146793854</v>
      </c>
      <c r="E39">
        <f t="shared" si="3"/>
        <v>31.460477307214784</v>
      </c>
      <c r="G39">
        <v>1.56265E-5</v>
      </c>
      <c r="H39">
        <v>3.83079E-5</v>
      </c>
      <c r="I39">
        <f t="shared" si="4"/>
        <v>1.9051712051108549</v>
      </c>
      <c r="J39">
        <f t="shared" si="5"/>
        <v>31.659159841654201</v>
      </c>
      <c r="L39" s="4">
        <v>1.6477000000000002E-5</v>
      </c>
      <c r="M39" s="4">
        <v>4.1171000000000003E-5</v>
      </c>
      <c r="N39" s="3">
        <f t="shared" si="6"/>
        <v>1.7927905382615037</v>
      </c>
      <c r="O39" s="3">
        <f t="shared" si="7"/>
        <v>32.322923045519495</v>
      </c>
      <c r="Q39">
        <f t="shared" si="0"/>
        <v>1.6066800000000003E-5</v>
      </c>
      <c r="R39">
        <f t="shared" si="1"/>
        <v>4.169676666666667E-5</v>
      </c>
      <c r="T39">
        <f t="shared" si="8"/>
        <v>1.6769465526839147</v>
      </c>
      <c r="U39">
        <f t="shared" si="9"/>
        <v>31.814186731462826</v>
      </c>
      <c r="W39">
        <f t="shared" si="10"/>
        <v>0.24758133251397788</v>
      </c>
      <c r="X39">
        <f t="shared" si="11"/>
        <v>0.36876204188499956</v>
      </c>
    </row>
    <row r="40" spans="1:24" x14ac:dyDescent="0.35">
      <c r="A40">
        <v>242.952</v>
      </c>
      <c r="B40">
        <v>1.5568699999999999E-5</v>
      </c>
      <c r="C40">
        <v>4.4882400000000002E-5</v>
      </c>
      <c r="D40">
        <f t="shared" si="2"/>
        <v>1.2891411632220455</v>
      </c>
      <c r="E40">
        <f t="shared" si="3"/>
        <v>30.9576493309422</v>
      </c>
      <c r="G40">
        <v>1.51397E-5</v>
      </c>
      <c r="H40">
        <v>3.7752200000000001E-5</v>
      </c>
      <c r="I40">
        <f t="shared" si="4"/>
        <v>1.8458209128094463</v>
      </c>
      <c r="J40">
        <f t="shared" si="5"/>
        <v>31.199907438781498</v>
      </c>
      <c r="L40" s="4">
        <v>1.6292900000000001E-5</v>
      </c>
      <c r="M40" s="4">
        <v>4.0677399999999998E-5</v>
      </c>
      <c r="N40" s="3">
        <f t="shared" si="6"/>
        <v>1.772759419848325</v>
      </c>
      <c r="O40" s="3">
        <f t="shared" si="7"/>
        <v>31.935402829462838</v>
      </c>
      <c r="Q40">
        <f t="shared" si="0"/>
        <v>1.5667100000000001E-5</v>
      </c>
      <c r="R40">
        <f t="shared" si="1"/>
        <v>4.1104000000000005E-5</v>
      </c>
      <c r="T40">
        <f t="shared" si="8"/>
        <v>1.6359071652932722</v>
      </c>
      <c r="U40">
        <f t="shared" si="9"/>
        <v>31.364319866395515</v>
      </c>
      <c r="W40">
        <f t="shared" si="10"/>
        <v>0.24700808432488347</v>
      </c>
      <c r="X40">
        <f t="shared" si="11"/>
        <v>0.41575157705276106</v>
      </c>
    </row>
    <row r="41" spans="1:24" x14ac:dyDescent="0.35">
      <c r="A41">
        <v>249.15899999999999</v>
      </c>
      <c r="B41">
        <v>1.50686E-5</v>
      </c>
      <c r="C41">
        <v>4.4168000000000001E-5</v>
      </c>
      <c r="D41">
        <f t="shared" si="2"/>
        <v>1.2477311870694223</v>
      </c>
      <c r="E41">
        <f t="shared" si="3"/>
        <v>30.464891709201268</v>
      </c>
      <c r="G41">
        <v>1.4659500000000001E-5</v>
      </c>
      <c r="H41">
        <v>3.7163899999999998E-5</v>
      </c>
      <c r="I41">
        <f t="shared" si="4"/>
        <v>1.7872752875770379</v>
      </c>
      <c r="J41">
        <f t="shared" si="5"/>
        <v>30.71371310980901</v>
      </c>
      <c r="L41" s="4">
        <v>1.6160000000000001E-5</v>
      </c>
      <c r="M41" s="4">
        <v>4.0305200000000002E-5</v>
      </c>
      <c r="N41" s="3">
        <f t="shared" si="6"/>
        <v>1.7582991502279477</v>
      </c>
      <c r="O41" s="3">
        <f t="shared" si="7"/>
        <v>31.643192488262912</v>
      </c>
      <c r="Q41">
        <f t="shared" si="0"/>
        <v>1.5296033333333334E-5</v>
      </c>
      <c r="R41">
        <f t="shared" si="1"/>
        <v>4.05457E-5</v>
      </c>
      <c r="T41">
        <f t="shared" si="8"/>
        <v>1.5977685416248024</v>
      </c>
      <c r="U41">
        <f t="shared" si="9"/>
        <v>30.940599102424397</v>
      </c>
      <c r="W41">
        <f t="shared" si="10"/>
        <v>0.24779630925690471</v>
      </c>
      <c r="X41">
        <f t="shared" si="11"/>
        <v>0.50708718626952842</v>
      </c>
    </row>
    <row r="42" spans="1:24" x14ac:dyDescent="0.35">
      <c r="A42">
        <v>262.24700000000001</v>
      </c>
      <c r="B42">
        <v>6.3402100000000002E-4</v>
      </c>
      <c r="C42">
        <v>1.33499E-4</v>
      </c>
      <c r="D42">
        <f t="shared" si="2"/>
        <v>52.499089162692101</v>
      </c>
      <c r="E42">
        <f t="shared" si="3"/>
        <v>92.080976686439513</v>
      </c>
      <c r="G42">
        <v>4.64182E-4</v>
      </c>
      <c r="H42">
        <v>1.4567700000000001E-4</v>
      </c>
      <c r="I42">
        <f t="shared" si="4"/>
        <v>56.592722639795667</v>
      </c>
      <c r="J42">
        <f t="shared" si="5"/>
        <v>120.39321989074472</v>
      </c>
      <c r="L42" s="4">
        <v>5.5546399999999998E-4</v>
      </c>
      <c r="M42" s="4">
        <v>1.1523000000000001E-4</v>
      </c>
      <c r="N42" s="3">
        <f t="shared" si="6"/>
        <v>60.437616286028259</v>
      </c>
      <c r="O42" s="3">
        <f t="shared" si="7"/>
        <v>90.465872156013006</v>
      </c>
      <c r="Q42">
        <f t="shared" si="0"/>
        <v>5.5122233333333335E-4</v>
      </c>
      <c r="R42">
        <f t="shared" si="1"/>
        <v>1.3146866666666668E-4</v>
      </c>
      <c r="T42">
        <f t="shared" si="8"/>
        <v>56.509809362838674</v>
      </c>
      <c r="U42">
        <f t="shared" si="9"/>
        <v>100.98002291106575</v>
      </c>
      <c r="W42">
        <f t="shared" si="10"/>
        <v>3.2414203862512467</v>
      </c>
      <c r="X42">
        <f t="shared" si="11"/>
        <v>13.743029830667281</v>
      </c>
    </row>
    <row r="43" spans="1:24" x14ac:dyDescent="0.35">
      <c r="A43">
        <v>268.46699999999998</v>
      </c>
      <c r="B43">
        <v>6.5714300000000001E-4</v>
      </c>
      <c r="C43">
        <v>1.3404000000000001E-4</v>
      </c>
      <c r="D43">
        <f t="shared" si="2"/>
        <v>54.413669183889766</v>
      </c>
      <c r="E43">
        <f t="shared" si="3"/>
        <v>92.454131604359219</v>
      </c>
      <c r="G43">
        <v>4.7868299999999998E-4</v>
      </c>
      <c r="H43">
        <v>1.46062E-4</v>
      </c>
      <c r="I43">
        <f t="shared" si="4"/>
        <v>58.360673725791401</v>
      </c>
      <c r="J43">
        <f t="shared" si="5"/>
        <v>120.71139907934645</v>
      </c>
      <c r="L43" s="4">
        <v>5.7334699999999998E-4</v>
      </c>
      <c r="M43" s="4">
        <v>1.15264E-4</v>
      </c>
      <c r="N43" s="3">
        <f t="shared" si="6"/>
        <v>62.383387554810845</v>
      </c>
      <c r="O43" s="3">
        <f t="shared" si="7"/>
        <v>90.492565201689516</v>
      </c>
      <c r="Q43">
        <f t="shared" si="0"/>
        <v>5.6972433333333334E-4</v>
      </c>
      <c r="R43">
        <f t="shared" si="1"/>
        <v>1.3178866666666667E-4</v>
      </c>
      <c r="T43">
        <f t="shared" si="8"/>
        <v>58.385910154830668</v>
      </c>
      <c r="U43">
        <f t="shared" si="9"/>
        <v>101.21936529513174</v>
      </c>
      <c r="W43">
        <f t="shared" si="10"/>
        <v>3.2536728360385001</v>
      </c>
      <c r="X43">
        <f t="shared" si="11"/>
        <v>13.80619357321792</v>
      </c>
    </row>
    <row r="44" spans="1:24" x14ac:dyDescent="0.35">
      <c r="A44">
        <v>274.76</v>
      </c>
      <c r="B44">
        <v>6.7057300000000005E-4</v>
      </c>
      <c r="C44">
        <v>1.3047300000000001E-4</v>
      </c>
      <c r="D44">
        <f t="shared" si="2"/>
        <v>55.525718733439319</v>
      </c>
      <c r="E44">
        <f t="shared" si="3"/>
        <v>89.9937922472065</v>
      </c>
      <c r="G44">
        <v>4.9123199999999998E-4</v>
      </c>
      <c r="H44">
        <v>1.50488E-4</v>
      </c>
      <c r="I44">
        <f t="shared" si="4"/>
        <v>59.890638430167698</v>
      </c>
      <c r="J44">
        <f t="shared" si="5"/>
        <v>124.36922008909018</v>
      </c>
      <c r="L44" s="4">
        <v>5.8418499999999998E-4</v>
      </c>
      <c r="M44" s="4">
        <v>1.17681E-4</v>
      </c>
      <c r="N44" s="3">
        <f t="shared" si="6"/>
        <v>63.562623086380796</v>
      </c>
      <c r="O44" s="3">
        <f t="shared" si="7"/>
        <v>92.390126713458002</v>
      </c>
      <c r="Q44">
        <f t="shared" si="0"/>
        <v>5.8199666666666674E-4</v>
      </c>
      <c r="R44">
        <f t="shared" si="1"/>
        <v>1.3288066666666668E-4</v>
      </c>
      <c r="T44">
        <f t="shared" si="8"/>
        <v>59.659660083329271</v>
      </c>
      <c r="U44">
        <f t="shared" si="9"/>
        <v>102.25104634991823</v>
      </c>
      <c r="W44">
        <f t="shared" si="10"/>
        <v>3.285115030163944</v>
      </c>
      <c r="X44">
        <f t="shared" si="11"/>
        <v>15.670477803515002</v>
      </c>
    </row>
    <row r="45" spans="1:24" x14ac:dyDescent="0.35">
      <c r="A45">
        <v>280.99099999999999</v>
      </c>
      <c r="B45">
        <v>6.8145800000000002E-4</v>
      </c>
      <c r="C45">
        <v>1.2706499999999999E-4</v>
      </c>
      <c r="D45">
        <f t="shared" si="2"/>
        <v>56.427033651298352</v>
      </c>
      <c r="E45">
        <f t="shared" si="3"/>
        <v>87.643123189405429</v>
      </c>
      <c r="G45">
        <v>4.9916100000000003E-4</v>
      </c>
      <c r="H45">
        <v>1.5088499999999999E-4</v>
      </c>
      <c r="I45">
        <f t="shared" si="4"/>
        <v>60.857336186243849</v>
      </c>
      <c r="J45">
        <f t="shared" si="5"/>
        <v>124.69731655110287</v>
      </c>
      <c r="L45" s="4">
        <v>5.9085699999999997E-4</v>
      </c>
      <c r="M45" s="4">
        <v>1.12954E-4</v>
      </c>
      <c r="N45" s="3">
        <f t="shared" si="6"/>
        <v>64.288574319692728</v>
      </c>
      <c r="O45" s="3">
        <f t="shared" si="7"/>
        <v>88.679008274844165</v>
      </c>
      <c r="Q45">
        <f t="shared" si="0"/>
        <v>5.9049199999999997E-4</v>
      </c>
      <c r="R45">
        <f t="shared" si="1"/>
        <v>1.3030133333333333E-4</v>
      </c>
      <c r="T45">
        <f t="shared" si="8"/>
        <v>60.524314719078312</v>
      </c>
      <c r="U45">
        <f t="shared" si="9"/>
        <v>100.3398160051175</v>
      </c>
      <c r="W45">
        <f t="shared" si="10"/>
        <v>3.2180877234158269</v>
      </c>
      <c r="X45">
        <f t="shared" si="11"/>
        <v>17.228544901090039</v>
      </c>
    </row>
    <row r="46" spans="1:24" x14ac:dyDescent="0.35">
      <c r="A46">
        <v>287.21100000000001</v>
      </c>
      <c r="B46">
        <v>6.8913399999999999E-4</v>
      </c>
      <c r="C46">
        <v>1.2554800000000001E-4</v>
      </c>
      <c r="D46">
        <f t="shared" si="2"/>
        <v>57.062632485426604</v>
      </c>
      <c r="E46">
        <f t="shared" si="3"/>
        <v>86.596771968547387</v>
      </c>
      <c r="G46">
        <v>5.0505899999999998E-4</v>
      </c>
      <c r="H46">
        <v>1.5064500000000001E-4</v>
      </c>
      <c r="I46">
        <f t="shared" si="4"/>
        <v>61.57641593972312</v>
      </c>
      <c r="J46">
        <f t="shared" si="5"/>
        <v>124.49897108288361</v>
      </c>
      <c r="L46" s="4">
        <v>5.9516400000000002E-4</v>
      </c>
      <c r="M46" s="4">
        <v>1.07544E-4</v>
      </c>
      <c r="N46" s="3">
        <f t="shared" si="6"/>
        <v>64.757200213259054</v>
      </c>
      <c r="O46" s="3">
        <f t="shared" si="7"/>
        <v>84.431673653963912</v>
      </c>
      <c r="Q46">
        <f t="shared" si="0"/>
        <v>5.964523333333334E-4</v>
      </c>
      <c r="R46">
        <f t="shared" si="1"/>
        <v>1.2791233333333334E-4</v>
      </c>
      <c r="T46">
        <f t="shared" si="8"/>
        <v>61.1320828794696</v>
      </c>
      <c r="U46">
        <f t="shared" si="9"/>
        <v>98.509138901798295</v>
      </c>
      <c r="W46">
        <f t="shared" si="10"/>
        <v>3.1569676411472085</v>
      </c>
      <c r="X46">
        <f t="shared" si="11"/>
        <v>18.398830493243956</v>
      </c>
    </row>
    <row r="47" spans="1:24" x14ac:dyDescent="0.35">
      <c r="A47">
        <v>293.38900000000001</v>
      </c>
      <c r="B47">
        <v>6.9611100000000002E-4</v>
      </c>
      <c r="C47">
        <v>1.2328400000000001E-4</v>
      </c>
      <c r="D47">
        <f t="shared" si="2"/>
        <v>57.640351748807625</v>
      </c>
      <c r="E47">
        <f t="shared" si="3"/>
        <v>85.035177265829759</v>
      </c>
      <c r="G47">
        <v>5.0578299999999999E-4</v>
      </c>
      <c r="H47">
        <v>1.4417600000000001E-4</v>
      </c>
      <c r="I47">
        <f t="shared" si="4"/>
        <v>61.664685478807378</v>
      </c>
      <c r="J47">
        <f t="shared" si="5"/>
        <v>119.15273427492335</v>
      </c>
      <c r="L47" s="4">
        <v>5.9856199999999997E-4</v>
      </c>
      <c r="M47" s="4">
        <v>1.07545E-4</v>
      </c>
      <c r="N47" s="3">
        <f t="shared" si="6"/>
        <v>65.12692177962505</v>
      </c>
      <c r="O47" s="3">
        <f t="shared" si="7"/>
        <v>84.432458743542639</v>
      </c>
      <c r="Q47">
        <f t="shared" si="0"/>
        <v>6.0015199999999996E-4</v>
      </c>
      <c r="R47">
        <f t="shared" si="1"/>
        <v>1.2500166666666669E-4</v>
      </c>
      <c r="T47">
        <f t="shared" si="8"/>
        <v>61.477319669080011</v>
      </c>
      <c r="U47">
        <f t="shared" si="9"/>
        <v>96.206790094765253</v>
      </c>
      <c r="W47">
        <f t="shared" si="10"/>
        <v>3.0592495993379925</v>
      </c>
      <c r="X47">
        <f t="shared" si="11"/>
        <v>16.227098388056039</v>
      </c>
    </row>
    <row r="48" spans="1:24" x14ac:dyDescent="0.35">
      <c r="A48">
        <v>299.65600000000001</v>
      </c>
      <c r="B48">
        <v>7.0223499999999995E-4</v>
      </c>
      <c r="C48">
        <v>1.2258599999999999E-4</v>
      </c>
      <c r="D48">
        <f t="shared" si="2"/>
        <v>58.147439719130887</v>
      </c>
      <c r="E48">
        <f t="shared" si="3"/>
        <v>84.55373154917919</v>
      </c>
      <c r="G48">
        <v>5.0830799999999996E-4</v>
      </c>
      <c r="H48">
        <v>1.38844E-4</v>
      </c>
      <c r="I48">
        <f t="shared" si="4"/>
        <v>61.972531592326398</v>
      </c>
      <c r="J48">
        <f t="shared" si="5"/>
        <v>114.74615912265187</v>
      </c>
      <c r="L48" s="4">
        <v>6.0410800000000001E-4</v>
      </c>
      <c r="M48" s="4">
        <v>1.08504E-4</v>
      </c>
      <c r="N48" s="3">
        <f t="shared" si="6"/>
        <v>65.730357861751557</v>
      </c>
      <c r="O48" s="3">
        <f t="shared" si="7"/>
        <v>85.185359649536011</v>
      </c>
      <c r="Q48">
        <f t="shared" si="0"/>
        <v>6.0488366666666671E-4</v>
      </c>
      <c r="R48">
        <f t="shared" si="1"/>
        <v>1.2331133333333332E-4</v>
      </c>
      <c r="T48">
        <f t="shared" si="8"/>
        <v>61.950109724402942</v>
      </c>
      <c r="U48">
        <f t="shared" si="9"/>
        <v>94.828416773789016</v>
      </c>
      <c r="W48">
        <f t="shared" si="10"/>
        <v>3.0957539678880934</v>
      </c>
      <c r="X48">
        <f t="shared" si="11"/>
        <v>14.086331051082963</v>
      </c>
    </row>
    <row r="49" spans="1:24" x14ac:dyDescent="0.35">
      <c r="A49">
        <v>305.76400000000001</v>
      </c>
      <c r="B49">
        <v>7.0689799999999997E-4</v>
      </c>
      <c r="C49">
        <v>1.21196E-4</v>
      </c>
      <c r="D49">
        <f t="shared" si="2"/>
        <v>58.533551934287217</v>
      </c>
      <c r="E49">
        <f t="shared" si="3"/>
        <v>83.594978617740367</v>
      </c>
      <c r="G49">
        <v>5.1146500000000001E-4</v>
      </c>
      <c r="H49">
        <v>1.36114E-4</v>
      </c>
      <c r="I49">
        <f t="shared" si="4"/>
        <v>62.357430673664837</v>
      </c>
      <c r="J49">
        <f t="shared" si="5"/>
        <v>112.48997942165768</v>
      </c>
      <c r="L49" s="4">
        <v>6.0627399999999996E-4</v>
      </c>
      <c r="M49" s="4">
        <v>1.1088E-4</v>
      </c>
      <c r="N49" s="3">
        <f t="shared" si="6"/>
        <v>65.966030879040758</v>
      </c>
      <c r="O49" s="3">
        <f t="shared" si="7"/>
        <v>87.050732488576941</v>
      </c>
      <c r="Q49">
        <f t="shared" si="0"/>
        <v>6.0821233333333339E-4</v>
      </c>
      <c r="R49">
        <f t="shared" si="1"/>
        <v>1.2273000000000001E-4</v>
      </c>
      <c r="T49">
        <f t="shared" si="8"/>
        <v>62.285671162330935</v>
      </c>
      <c r="U49">
        <f t="shared" si="9"/>
        <v>94.378563509324991</v>
      </c>
      <c r="W49">
        <f t="shared" si="10"/>
        <v>3.0347210620474208</v>
      </c>
      <c r="X49">
        <f t="shared" si="11"/>
        <v>12.884178889011507</v>
      </c>
    </row>
    <row r="50" spans="1:24" x14ac:dyDescent="0.35">
      <c r="A50">
        <v>311.92599999999999</v>
      </c>
      <c r="B50">
        <v>7.1115800000000004E-4</v>
      </c>
      <c r="C50">
        <v>1.20821E-4</v>
      </c>
      <c r="D50">
        <f t="shared" si="2"/>
        <v>58.886294382617912</v>
      </c>
      <c r="E50">
        <f t="shared" si="3"/>
        <v>83.33632225134501</v>
      </c>
      <c r="G50">
        <v>5.0989899999999996E-4</v>
      </c>
      <c r="H50">
        <v>1.2752E-4</v>
      </c>
      <c r="I50">
        <f t="shared" si="4"/>
        <v>62.166505123656599</v>
      </c>
      <c r="J50">
        <f t="shared" si="5"/>
        <v>105.38755878050594</v>
      </c>
      <c r="L50" s="4">
        <v>6.1007499999999996E-4</v>
      </c>
      <c r="M50" s="4">
        <v>1.1013700000000001E-4</v>
      </c>
      <c r="N50" s="3">
        <f t="shared" si="6"/>
        <v>66.379601118521975</v>
      </c>
      <c r="O50" s="3">
        <f t="shared" si="7"/>
        <v>86.467410931587295</v>
      </c>
      <c r="Q50">
        <f t="shared" si="0"/>
        <v>6.1037733333333332E-4</v>
      </c>
      <c r="R50">
        <f t="shared" si="1"/>
        <v>1.1949266666666667E-4</v>
      </c>
      <c r="T50">
        <f t="shared" si="8"/>
        <v>62.477466874932162</v>
      </c>
      <c r="U50">
        <f t="shared" si="9"/>
        <v>91.730430654479434</v>
      </c>
      <c r="W50">
        <f t="shared" si="10"/>
        <v>3.0670218309899671</v>
      </c>
      <c r="X50">
        <f t="shared" si="11"/>
        <v>9.7412795384354283</v>
      </c>
    </row>
    <row r="51" spans="1:24" x14ac:dyDescent="0.35">
      <c r="A51">
        <v>318.20600000000002</v>
      </c>
      <c r="B51">
        <v>7.1413100000000001E-4</v>
      </c>
      <c r="C51">
        <v>1.20569E-4</v>
      </c>
      <c r="D51">
        <f t="shared" si="2"/>
        <v>59.13246886592475</v>
      </c>
      <c r="E51">
        <f t="shared" si="3"/>
        <v>83.162505173127315</v>
      </c>
      <c r="G51">
        <v>5.1692299999999997E-4</v>
      </c>
      <c r="H51">
        <v>1.3886399999999999E-4</v>
      </c>
      <c r="I51">
        <f t="shared" si="4"/>
        <v>63.022865955877414</v>
      </c>
      <c r="J51">
        <f t="shared" si="5"/>
        <v>114.76268791167014</v>
      </c>
      <c r="L51" s="4">
        <v>6.1091800000000001E-4</v>
      </c>
      <c r="M51" s="4">
        <v>1.08504E-4</v>
      </c>
      <c r="N51" s="3">
        <f t="shared" si="6"/>
        <v>66.471324273450335</v>
      </c>
      <c r="O51" s="3">
        <f t="shared" si="7"/>
        <v>85.185359649536011</v>
      </c>
      <c r="Q51">
        <f t="shared" si="0"/>
        <v>6.1399066666666666E-4</v>
      </c>
      <c r="R51">
        <f t="shared" si="1"/>
        <v>1.2264566666666667E-4</v>
      </c>
      <c r="T51">
        <f t="shared" si="8"/>
        <v>62.875553031750833</v>
      </c>
      <c r="U51">
        <f t="shared" si="9"/>
        <v>94.370184244777818</v>
      </c>
      <c r="W51">
        <f t="shared" si="10"/>
        <v>2.997885421020726</v>
      </c>
      <c r="X51">
        <f t="shared" si="11"/>
        <v>14.443306163787367</v>
      </c>
    </row>
    <row r="52" spans="1:24" x14ac:dyDescent="0.35">
      <c r="A52">
        <v>324.48599999999999</v>
      </c>
      <c r="B52">
        <v>7.1818700000000001E-4</v>
      </c>
      <c r="C52">
        <v>1.1960600000000001E-4</v>
      </c>
      <c r="D52">
        <f t="shared" si="2"/>
        <v>59.468319422363535</v>
      </c>
      <c r="E52">
        <f t="shared" si="3"/>
        <v>82.498275624224021</v>
      </c>
      <c r="G52">
        <v>5.2491599999999995E-4</v>
      </c>
      <c r="H52">
        <v>1.47434E-4</v>
      </c>
      <c r="I52">
        <f t="shared" si="4"/>
        <v>63.997366544137812</v>
      </c>
      <c r="J52">
        <f t="shared" si="5"/>
        <v>121.84527400599994</v>
      </c>
      <c r="L52" s="4">
        <v>6.13479E-4</v>
      </c>
      <c r="M52" s="4">
        <v>1.07396E-4</v>
      </c>
      <c r="N52" s="3">
        <f t="shared" si="6"/>
        <v>66.749975518730892</v>
      </c>
      <c r="O52" s="3">
        <f t="shared" si="7"/>
        <v>84.31548039631322</v>
      </c>
      <c r="Q52">
        <f t="shared" si="0"/>
        <v>6.1886066666666658E-4</v>
      </c>
      <c r="R52">
        <f t="shared" si="1"/>
        <v>1.24812E-4</v>
      </c>
      <c r="T52">
        <f t="shared" si="8"/>
        <v>63.405220495077423</v>
      </c>
      <c r="U52">
        <f t="shared" si="9"/>
        <v>96.219676675512389</v>
      </c>
      <c r="W52">
        <f t="shared" si="10"/>
        <v>3.0020666863572893</v>
      </c>
      <c r="X52">
        <f t="shared" si="11"/>
        <v>18.135214128028142</v>
      </c>
    </row>
    <row r="53" spans="1:24" x14ac:dyDescent="0.35">
      <c r="A53">
        <v>330.68</v>
      </c>
      <c r="B53">
        <v>7.2129200000000001E-4</v>
      </c>
      <c r="C53">
        <v>1.1837600000000001E-4</v>
      </c>
      <c r="D53">
        <f t="shared" si="2"/>
        <v>59.72542395336513</v>
      </c>
      <c r="E53">
        <f t="shared" si="3"/>
        <v>81.649882742447232</v>
      </c>
      <c r="G53">
        <v>5.3014200000000005E-4</v>
      </c>
      <c r="H53">
        <v>1.49505E-4</v>
      </c>
      <c r="I53">
        <f t="shared" si="4"/>
        <v>64.634516559682538</v>
      </c>
      <c r="J53">
        <f t="shared" si="5"/>
        <v>123.55683010884206</v>
      </c>
      <c r="L53" s="4">
        <v>6.1420300000000001E-4</v>
      </c>
      <c r="M53" s="4">
        <v>1.08904E-4</v>
      </c>
      <c r="N53" s="3">
        <f t="shared" si="6"/>
        <v>66.82875080244159</v>
      </c>
      <c r="O53" s="3">
        <f t="shared" si="7"/>
        <v>85.499395481024393</v>
      </c>
      <c r="Q53">
        <f t="shared" si="0"/>
        <v>6.2187899999999999E-4</v>
      </c>
      <c r="R53">
        <f t="shared" si="1"/>
        <v>1.2559499999999999E-4</v>
      </c>
      <c r="T53">
        <f t="shared" si="8"/>
        <v>63.729563771829753</v>
      </c>
      <c r="U53">
        <f t="shared" si="9"/>
        <v>96.902036110771235</v>
      </c>
      <c r="W53">
        <f t="shared" si="10"/>
        <v>2.969682108956504</v>
      </c>
      <c r="X53">
        <f t="shared" si="11"/>
        <v>18.91319150559228</v>
      </c>
    </row>
    <row r="54" spans="1:24" x14ac:dyDescent="0.35">
      <c r="A54">
        <v>336.81799999999998</v>
      </c>
      <c r="B54">
        <v>7.24363E-4</v>
      </c>
      <c r="C54">
        <v>1.17904E-4</v>
      </c>
      <c r="D54">
        <f t="shared" si="2"/>
        <v>59.979713169051408</v>
      </c>
      <c r="E54">
        <f t="shared" si="3"/>
        <v>81.324320595944272</v>
      </c>
      <c r="G54">
        <v>5.2803599999999996E-4</v>
      </c>
      <c r="H54">
        <v>1.4356699999999999E-4</v>
      </c>
      <c r="I54">
        <f t="shared" si="4"/>
        <v>64.37775461311972</v>
      </c>
      <c r="J54">
        <f t="shared" si="5"/>
        <v>118.64943264931694</v>
      </c>
      <c r="L54" s="4">
        <v>6.1442099999999998E-4</v>
      </c>
      <c r="M54" s="4">
        <v>1.0965E-4</v>
      </c>
      <c r="N54" s="3">
        <f t="shared" si="6"/>
        <v>66.852470432067193</v>
      </c>
      <c r="O54" s="3">
        <f t="shared" si="7"/>
        <v>86.085072306750192</v>
      </c>
      <c r="Q54">
        <f t="shared" si="0"/>
        <v>6.2227333333333328E-4</v>
      </c>
      <c r="R54">
        <f t="shared" si="1"/>
        <v>1.23707E-4</v>
      </c>
      <c r="T54">
        <f t="shared" si="8"/>
        <v>63.736646071412771</v>
      </c>
      <c r="U54">
        <f t="shared" si="9"/>
        <v>95.352941850670462</v>
      </c>
      <c r="W54">
        <f t="shared" si="10"/>
        <v>2.8421779466659323</v>
      </c>
      <c r="X54">
        <f t="shared" si="11"/>
        <v>16.58736571131875</v>
      </c>
    </row>
    <row r="55" spans="1:24" x14ac:dyDescent="0.35">
      <c r="A55">
        <v>343.04300000000001</v>
      </c>
      <c r="B55">
        <v>7.2636200000000004E-4</v>
      </c>
      <c r="C55">
        <v>1.17862E-4</v>
      </c>
      <c r="D55">
        <f t="shared" si="2"/>
        <v>60.145237148913623</v>
      </c>
      <c r="E55">
        <f t="shared" si="3"/>
        <v>81.295351082907985</v>
      </c>
      <c r="G55">
        <v>5.2763599999999995E-4</v>
      </c>
      <c r="H55">
        <v>1.3875000000000001E-4</v>
      </c>
      <c r="I55">
        <f t="shared" si="4"/>
        <v>64.328986911968201</v>
      </c>
      <c r="J55">
        <f t="shared" si="5"/>
        <v>114.66847381426601</v>
      </c>
      <c r="L55" s="4">
        <v>6.1783699999999999E-4</v>
      </c>
      <c r="M55" s="4">
        <v>1.0784499999999999E-4</v>
      </c>
      <c r="N55" s="3">
        <f t="shared" si="6"/>
        <v>67.224150499961908</v>
      </c>
      <c r="O55" s="3">
        <f t="shared" si="7"/>
        <v>84.667985617158919</v>
      </c>
      <c r="Q55">
        <f t="shared" si="0"/>
        <v>6.2394499999999999E-4</v>
      </c>
      <c r="R55">
        <f t="shared" si="1"/>
        <v>1.2148566666666666E-4</v>
      </c>
      <c r="T55">
        <f t="shared" si="8"/>
        <v>63.899458186947903</v>
      </c>
      <c r="U55">
        <f t="shared" si="9"/>
        <v>93.54393683811098</v>
      </c>
      <c r="W55">
        <f t="shared" si="10"/>
        <v>2.905870466501169</v>
      </c>
      <c r="X55">
        <f t="shared" si="11"/>
        <v>15.000626937300725</v>
      </c>
    </row>
    <row r="56" spans="1:24" x14ac:dyDescent="0.35">
      <c r="A56">
        <v>349.23899999999998</v>
      </c>
      <c r="B56">
        <v>7.2862700000000003E-4</v>
      </c>
      <c r="C56">
        <v>1.1797499999999999E-4</v>
      </c>
      <c r="D56">
        <f t="shared" si="2"/>
        <v>60.332786830948592</v>
      </c>
      <c r="E56">
        <f t="shared" si="3"/>
        <v>81.373292867981789</v>
      </c>
      <c r="G56">
        <v>5.3505399999999998E-4</v>
      </c>
      <c r="H56">
        <v>1.47882E-4</v>
      </c>
      <c r="I56">
        <f t="shared" si="4"/>
        <v>65.233383929823276</v>
      </c>
      <c r="J56">
        <f t="shared" si="5"/>
        <v>122.21551888000926</v>
      </c>
      <c r="L56" s="4">
        <v>6.1996399999999998E-4</v>
      </c>
      <c r="M56" s="4">
        <v>1.0748599999999999E-4</v>
      </c>
      <c r="N56" s="3">
        <f t="shared" si="6"/>
        <v>67.455580097272232</v>
      </c>
      <c r="O56" s="3">
        <f t="shared" si="7"/>
        <v>84.386138458398094</v>
      </c>
      <c r="Q56">
        <f t="shared" si="0"/>
        <v>6.278816666666667E-4</v>
      </c>
      <c r="R56">
        <f t="shared" si="1"/>
        <v>1.2444766666666666E-4</v>
      </c>
      <c r="T56">
        <f t="shared" si="8"/>
        <v>64.340583619348038</v>
      </c>
      <c r="U56">
        <f t="shared" si="9"/>
        <v>95.991650068796375</v>
      </c>
      <c r="W56">
        <f t="shared" si="10"/>
        <v>2.9756080918567287</v>
      </c>
      <c r="X56">
        <f t="shared" si="11"/>
        <v>18.583824170654484</v>
      </c>
    </row>
    <row r="57" spans="1:24" x14ac:dyDescent="0.35">
      <c r="A57">
        <v>355.53699999999998</v>
      </c>
      <c r="B57">
        <v>7.3136900000000005E-4</v>
      </c>
      <c r="C57">
        <v>1.17231E-4</v>
      </c>
      <c r="D57">
        <f t="shared" si="2"/>
        <v>60.559833730789613</v>
      </c>
      <c r="E57">
        <f t="shared" si="3"/>
        <v>80.860118637053375</v>
      </c>
      <c r="G57">
        <v>5.3893400000000003E-4</v>
      </c>
      <c r="H57">
        <v>1.4966900000000001E-4</v>
      </c>
      <c r="I57">
        <f t="shared" si="4"/>
        <v>65.706430630993097</v>
      </c>
      <c r="J57">
        <f t="shared" si="5"/>
        <v>123.69236617879191</v>
      </c>
      <c r="L57" s="4">
        <v>6.2100299999999996E-4</v>
      </c>
      <c r="M57" s="4">
        <v>1.07098E-4</v>
      </c>
      <c r="N57" s="3">
        <f t="shared" si="6"/>
        <v>67.568629157735529</v>
      </c>
      <c r="O57" s="3">
        <f t="shared" si="7"/>
        <v>84.08152370185438</v>
      </c>
      <c r="Q57">
        <f t="shared" si="0"/>
        <v>6.3043533333333331E-4</v>
      </c>
      <c r="R57">
        <f t="shared" si="1"/>
        <v>1.2466600000000003E-4</v>
      </c>
      <c r="T57">
        <f t="shared" si="8"/>
        <v>64.611631173172739</v>
      </c>
      <c r="U57">
        <f t="shared" si="9"/>
        <v>96.211336172566561</v>
      </c>
      <c r="W57">
        <f t="shared" si="10"/>
        <v>2.9642022787283255</v>
      </c>
      <c r="X57">
        <f t="shared" si="11"/>
        <v>19.476475045554732</v>
      </c>
    </row>
    <row r="58" spans="1:24" x14ac:dyDescent="0.35">
      <c r="A58">
        <v>361.666</v>
      </c>
      <c r="B58">
        <v>7.3374200000000001E-4</v>
      </c>
      <c r="C58">
        <v>1.17464E-4</v>
      </c>
      <c r="D58">
        <f t="shared" si="2"/>
        <v>60.756326179120293</v>
      </c>
      <c r="E58">
        <f t="shared" si="3"/>
        <v>81.020830459373698</v>
      </c>
      <c r="G58">
        <v>5.4023400000000001E-4</v>
      </c>
      <c r="H58">
        <v>1.4919299999999999E-4</v>
      </c>
      <c r="I58">
        <f t="shared" si="4"/>
        <v>65.864925659735562</v>
      </c>
      <c r="J58">
        <f t="shared" si="5"/>
        <v>123.29898100015701</v>
      </c>
      <c r="L58" s="4">
        <v>6.2154899999999999E-4</v>
      </c>
      <c r="M58" s="4">
        <v>1.0614E-4</v>
      </c>
      <c r="N58" s="3">
        <f t="shared" si="6"/>
        <v>67.628037037440009</v>
      </c>
      <c r="O58" s="3">
        <f t="shared" si="7"/>
        <v>83.329407885439721</v>
      </c>
      <c r="Q58">
        <f t="shared" si="0"/>
        <v>6.318416666666666E-4</v>
      </c>
      <c r="R58">
        <f t="shared" si="1"/>
        <v>1.2426566666666667E-4</v>
      </c>
      <c r="T58">
        <f t="shared" si="8"/>
        <v>64.749762958765288</v>
      </c>
      <c r="U58">
        <f t="shared" si="9"/>
        <v>95.883073114990154</v>
      </c>
      <c r="W58">
        <f t="shared" si="10"/>
        <v>2.9140800054578415</v>
      </c>
      <c r="X58">
        <f t="shared" si="11"/>
        <v>19.408870588968707</v>
      </c>
    </row>
    <row r="59" spans="1:24" x14ac:dyDescent="0.35">
      <c r="A59">
        <v>367.87200000000001</v>
      </c>
      <c r="B59">
        <v>7.3609000000000001E-4</v>
      </c>
      <c r="C59">
        <v>1.16981E-4</v>
      </c>
      <c r="D59">
        <f t="shared" si="2"/>
        <v>60.950748542660307</v>
      </c>
      <c r="E59">
        <f t="shared" si="3"/>
        <v>80.68768105945648</v>
      </c>
      <c r="G59">
        <v>5.4289500000000005E-4</v>
      </c>
      <c r="H59">
        <v>1.4673299999999999E-4</v>
      </c>
      <c r="I59">
        <f t="shared" si="4"/>
        <v>66.189352791646101</v>
      </c>
      <c r="J59">
        <f t="shared" si="5"/>
        <v>121.26593995090948</v>
      </c>
      <c r="L59" s="4">
        <v>6.22768E-4</v>
      </c>
      <c r="M59" s="4">
        <v>1.0647899999999999E-4</v>
      </c>
      <c r="N59" s="3">
        <f t="shared" si="6"/>
        <v>67.760671113190512</v>
      </c>
      <c r="O59" s="3">
        <f t="shared" si="7"/>
        <v>83.595553252626118</v>
      </c>
      <c r="Q59">
        <f t="shared" si="0"/>
        <v>6.3391766666666665E-4</v>
      </c>
      <c r="R59">
        <f t="shared" si="1"/>
        <v>1.2339766666666664E-4</v>
      </c>
      <c r="T59">
        <f t="shared" si="8"/>
        <v>64.966924149165649</v>
      </c>
      <c r="U59">
        <f t="shared" si="9"/>
        <v>95.183058087664037</v>
      </c>
      <c r="W59">
        <f t="shared" si="10"/>
        <v>2.9114154854779994</v>
      </c>
      <c r="X59">
        <f t="shared" si="11"/>
        <v>18.481548905001933</v>
      </c>
    </row>
    <row r="60" spans="1:24" x14ac:dyDescent="0.35">
      <c r="A60">
        <v>374.14400000000001</v>
      </c>
      <c r="B60">
        <v>7.3757E-4</v>
      </c>
      <c r="C60">
        <v>1.16439E-4</v>
      </c>
      <c r="D60">
        <f t="shared" si="2"/>
        <v>61.073297562268145</v>
      </c>
      <c r="E60">
        <f t="shared" si="3"/>
        <v>80.313836391226374</v>
      </c>
      <c r="G60">
        <v>5.4548300000000004E-4</v>
      </c>
      <c r="H60">
        <v>1.51099E-4</v>
      </c>
      <c r="I60">
        <f t="shared" si="4"/>
        <v>66.50487981809647</v>
      </c>
      <c r="J60">
        <f t="shared" si="5"/>
        <v>124.8741745935984</v>
      </c>
      <c r="L60" s="4">
        <v>6.2365000000000001E-4</v>
      </c>
      <c r="M60" s="4">
        <v>1.04727E-4</v>
      </c>
      <c r="N60" s="3">
        <f t="shared" si="6"/>
        <v>67.856637688097749</v>
      </c>
      <c r="O60" s="3">
        <f t="shared" si="7"/>
        <v>82.220076310707043</v>
      </c>
      <c r="Q60">
        <f t="shared" si="0"/>
        <v>6.3556766666666672E-4</v>
      </c>
      <c r="R60">
        <f t="shared" si="1"/>
        <v>1.2408833333333333E-4</v>
      </c>
      <c r="T60">
        <f t="shared" si="8"/>
        <v>65.144938356154128</v>
      </c>
      <c r="U60">
        <f t="shared" si="9"/>
        <v>95.802695765177262</v>
      </c>
      <c r="W60">
        <f t="shared" si="10"/>
        <v>2.9314963642714296</v>
      </c>
      <c r="X60">
        <f t="shared" si="11"/>
        <v>20.571365189038222</v>
      </c>
    </row>
    <row r="61" spans="1:24" x14ac:dyDescent="0.35">
      <c r="A61">
        <v>380.34899999999999</v>
      </c>
      <c r="B61">
        <v>7.3980200000000002E-4</v>
      </c>
      <c r="C61">
        <v>1.16933E-4</v>
      </c>
      <c r="D61">
        <f t="shared" si="2"/>
        <v>61.25811473237944</v>
      </c>
      <c r="E61">
        <f t="shared" si="3"/>
        <v>80.654573044557864</v>
      </c>
      <c r="G61">
        <v>5.4788700000000005E-4</v>
      </c>
      <c r="H61">
        <v>1.5051600000000001E-4</v>
      </c>
      <c r="I61">
        <f t="shared" si="4"/>
        <v>66.79797370201716</v>
      </c>
      <c r="J61">
        <f t="shared" si="5"/>
        <v>124.39236039371575</v>
      </c>
      <c r="L61" s="4">
        <v>6.2381999999999997E-4</v>
      </c>
      <c r="M61" s="4">
        <v>1.05406E-4</v>
      </c>
      <c r="N61" s="3">
        <f t="shared" si="6"/>
        <v>67.875134646980101</v>
      </c>
      <c r="O61" s="3">
        <f t="shared" si="7"/>
        <v>82.753152134658563</v>
      </c>
      <c r="Q61">
        <f t="shared" si="0"/>
        <v>6.3716966666666668E-4</v>
      </c>
      <c r="R61">
        <f t="shared" si="1"/>
        <v>1.2428499999999999E-4</v>
      </c>
      <c r="T61">
        <f t="shared" si="8"/>
        <v>65.310407693792229</v>
      </c>
      <c r="U61">
        <f t="shared" si="9"/>
        <v>95.933361857644059</v>
      </c>
      <c r="W61">
        <f t="shared" si="10"/>
        <v>2.8989512597000906</v>
      </c>
      <c r="X61">
        <f t="shared" si="11"/>
        <v>20.141780073708336</v>
      </c>
    </row>
    <row r="62" spans="1:24" x14ac:dyDescent="0.35">
      <c r="A62">
        <v>386.57</v>
      </c>
      <c r="B62">
        <v>7.4180600000000002E-4</v>
      </c>
      <c r="C62">
        <v>1.1676300000000001E-4</v>
      </c>
      <c r="D62">
        <f t="shared" si="2"/>
        <v>61.424052729199786</v>
      </c>
      <c r="E62">
        <f t="shared" si="3"/>
        <v>80.537315491791972</v>
      </c>
      <c r="G62">
        <v>5.4887999999999996E-4</v>
      </c>
      <c r="H62">
        <v>1.5053500000000001E-4</v>
      </c>
      <c r="I62">
        <f t="shared" si="4"/>
        <v>66.919039520125807</v>
      </c>
      <c r="J62">
        <f t="shared" si="5"/>
        <v>124.40806274328311</v>
      </c>
      <c r="L62" s="4">
        <v>6.2678500000000004E-4</v>
      </c>
      <c r="M62" s="4">
        <v>1.03706E-4</v>
      </c>
      <c r="N62" s="3">
        <f t="shared" si="6"/>
        <v>68.197743371016344</v>
      </c>
      <c r="O62" s="3">
        <f t="shared" si="7"/>
        <v>81.418499850832987</v>
      </c>
      <c r="Q62">
        <f t="shared" si="0"/>
        <v>6.3915700000000001E-4</v>
      </c>
      <c r="R62">
        <f t="shared" si="1"/>
        <v>1.2366800000000001E-4</v>
      </c>
      <c r="T62">
        <f t="shared" si="8"/>
        <v>65.513611873447317</v>
      </c>
      <c r="U62">
        <f t="shared" si="9"/>
        <v>95.454626028636028</v>
      </c>
      <c r="W62">
        <f t="shared" si="10"/>
        <v>2.9384963706284082</v>
      </c>
      <c r="X62">
        <f t="shared" si="11"/>
        <v>20.476331778591902</v>
      </c>
    </row>
    <row r="63" spans="1:24" x14ac:dyDescent="0.35">
      <c r="A63">
        <v>392.74099999999999</v>
      </c>
      <c r="B63">
        <v>7.4370299999999996E-4</v>
      </c>
      <c r="C63">
        <v>1.15655E-4</v>
      </c>
      <c r="D63">
        <f t="shared" si="2"/>
        <v>61.581130763116057</v>
      </c>
      <c r="E63">
        <f t="shared" si="3"/>
        <v>79.773072147882459</v>
      </c>
      <c r="G63">
        <v>5.5019900000000002E-4</v>
      </c>
      <c r="H63">
        <v>1.53187E-4</v>
      </c>
      <c r="I63">
        <f t="shared" si="4"/>
        <v>67.079851014672983</v>
      </c>
      <c r="J63">
        <f t="shared" si="5"/>
        <v>126.59978016710605</v>
      </c>
      <c r="L63" s="4">
        <v>6.2621900000000002E-4</v>
      </c>
      <c r="M63" s="4">
        <v>1.043E-4</v>
      </c>
      <c r="N63" s="3">
        <f t="shared" si="6"/>
        <v>68.136159378502185</v>
      </c>
      <c r="O63" s="3">
        <f t="shared" si="7"/>
        <v>81.884843060593212</v>
      </c>
      <c r="Q63">
        <f t="shared" si="0"/>
        <v>6.400403333333333E-4</v>
      </c>
      <c r="R63">
        <f t="shared" si="1"/>
        <v>1.2438066666666667E-4</v>
      </c>
      <c r="T63">
        <f t="shared" si="8"/>
        <v>65.599047052097077</v>
      </c>
      <c r="U63">
        <f t="shared" si="9"/>
        <v>96.08589845852724</v>
      </c>
      <c r="W63">
        <f t="shared" si="10"/>
        <v>2.8736371052283931</v>
      </c>
      <c r="X63">
        <f t="shared" si="11"/>
        <v>21.593789644105254</v>
      </c>
    </row>
    <row r="64" spans="1:24" x14ac:dyDescent="0.35">
      <c r="A64">
        <v>399.01299999999998</v>
      </c>
      <c r="B64">
        <v>7.4511800000000002E-4</v>
      </c>
      <c r="C64">
        <v>1.15979E-4</v>
      </c>
      <c r="D64">
        <f t="shared" si="2"/>
        <v>61.698297562268145</v>
      </c>
      <c r="E64">
        <f t="shared" si="3"/>
        <v>79.996551248448057</v>
      </c>
      <c r="G64">
        <v>5.5526200000000005E-4</v>
      </c>
      <c r="H64">
        <v>1.5563799999999999E-4</v>
      </c>
      <c r="I64">
        <f t="shared" si="4"/>
        <v>67.697128191998445</v>
      </c>
      <c r="J64">
        <f t="shared" si="5"/>
        <v>128.62538326129535</v>
      </c>
      <c r="L64" s="4">
        <v>6.2851300000000003E-4</v>
      </c>
      <c r="M64" s="4">
        <v>1.102E-4</v>
      </c>
      <c r="N64" s="3">
        <f t="shared" si="6"/>
        <v>68.385759517773408</v>
      </c>
      <c r="O64" s="3">
        <f t="shared" si="7"/>
        <v>86.516871575046707</v>
      </c>
      <c r="Q64">
        <f t="shared" si="0"/>
        <v>6.4296433333333337E-4</v>
      </c>
      <c r="R64">
        <f t="shared" si="1"/>
        <v>1.2727233333333334E-4</v>
      </c>
      <c r="T64">
        <f t="shared" si="8"/>
        <v>65.927061757346664</v>
      </c>
      <c r="U64">
        <f t="shared" si="9"/>
        <v>98.379602028263378</v>
      </c>
      <c r="W64">
        <f t="shared" si="10"/>
        <v>3.0033745730309449</v>
      </c>
      <c r="X64">
        <f t="shared" si="11"/>
        <v>21.552016241142205</v>
      </c>
    </row>
    <row r="65" spans="1:24" x14ac:dyDescent="0.35">
      <c r="A65">
        <v>405.089</v>
      </c>
      <c r="B65">
        <v>7.4640000000000004E-4</v>
      </c>
      <c r="C65">
        <v>1.16049E-4</v>
      </c>
      <c r="D65">
        <f t="shared" si="2"/>
        <v>61.80445151033387</v>
      </c>
      <c r="E65">
        <f t="shared" si="3"/>
        <v>80.044833770175188</v>
      </c>
      <c r="G65">
        <v>5.5742200000000002E-4</v>
      </c>
      <c r="H65">
        <v>1.55926E-4</v>
      </c>
      <c r="I65">
        <f t="shared" si="4"/>
        <v>67.960473778216695</v>
      </c>
      <c r="J65">
        <f t="shared" si="5"/>
        <v>128.86339782315846</v>
      </c>
      <c r="L65" s="4">
        <v>6.2926799999999999E-4</v>
      </c>
      <c r="M65" s="4">
        <v>1.09806E-4</v>
      </c>
      <c r="N65" s="3">
        <f t="shared" si="6"/>
        <v>68.467907776339118</v>
      </c>
      <c r="O65" s="3">
        <f t="shared" si="7"/>
        <v>86.207546281030673</v>
      </c>
      <c r="Q65">
        <f t="shared" si="0"/>
        <v>6.4436333333333339E-4</v>
      </c>
      <c r="R65">
        <f t="shared" si="1"/>
        <v>1.2726033333333332E-4</v>
      </c>
      <c r="T65">
        <f t="shared" si="8"/>
        <v>66.077611021629892</v>
      </c>
      <c r="U65">
        <f t="shared" si="9"/>
        <v>98.371925958121437</v>
      </c>
      <c r="W65">
        <f t="shared" si="10"/>
        <v>3.0286731387795753</v>
      </c>
      <c r="X65">
        <f t="shared" si="11"/>
        <v>21.707021118294481</v>
      </c>
    </row>
    <row r="66" spans="1:24" x14ac:dyDescent="0.35">
      <c r="A66">
        <v>411.38600000000002</v>
      </c>
      <c r="B66">
        <v>7.4767699999999998E-4</v>
      </c>
      <c r="C66">
        <v>1.1668E-4</v>
      </c>
      <c r="D66">
        <f t="shared" si="2"/>
        <v>61.910191441441441</v>
      </c>
      <c r="E66">
        <f t="shared" si="3"/>
        <v>80.480066216029783</v>
      </c>
      <c r="G66">
        <v>5.5904499999999998E-4</v>
      </c>
      <c r="H66">
        <v>1.5610999999999999E-4</v>
      </c>
      <c r="I66">
        <f t="shared" si="4"/>
        <v>68.158348725639001</v>
      </c>
      <c r="J66">
        <f t="shared" si="5"/>
        <v>129.01546268212658</v>
      </c>
      <c r="L66" s="4">
        <v>6.3262099999999999E-4</v>
      </c>
      <c r="M66" s="4">
        <v>1.0961199999999999E-4</v>
      </c>
      <c r="N66" s="3">
        <f t="shared" si="6"/>
        <v>68.83273308888333</v>
      </c>
      <c r="O66" s="3">
        <f t="shared" si="7"/>
        <v>86.055238902758802</v>
      </c>
      <c r="Q66">
        <f t="shared" si="0"/>
        <v>6.4644766666666672E-4</v>
      </c>
      <c r="R66">
        <f t="shared" si="1"/>
        <v>1.2746733333333333E-4</v>
      </c>
      <c r="T66">
        <f t="shared" si="8"/>
        <v>66.300424418654586</v>
      </c>
      <c r="U66">
        <f t="shared" si="9"/>
        <v>98.516922600305051</v>
      </c>
      <c r="W66">
        <f t="shared" si="10"/>
        <v>3.1165480650878776</v>
      </c>
      <c r="X66">
        <f t="shared" si="11"/>
        <v>21.685499732364505</v>
      </c>
    </row>
    <row r="67" spans="1:24" x14ac:dyDescent="0.35">
      <c r="A67">
        <v>417.61700000000002</v>
      </c>
      <c r="B67">
        <v>7.4956199999999995E-4</v>
      </c>
      <c r="C67">
        <v>1.1626299999999999E-4</v>
      </c>
      <c r="D67">
        <f t="shared" si="2"/>
        <v>62.066275834658178</v>
      </c>
      <c r="E67">
        <f t="shared" si="3"/>
        <v>80.192440336598139</v>
      </c>
      <c r="G67">
        <v>5.5873700000000001E-4</v>
      </c>
      <c r="H67">
        <v>1.5272800000000001E-4</v>
      </c>
      <c r="I67">
        <f t="shared" si="4"/>
        <v>68.120797595752336</v>
      </c>
      <c r="J67">
        <f t="shared" si="5"/>
        <v>126.2204444591367</v>
      </c>
      <c r="L67" s="4">
        <v>6.3290299999999998E-4</v>
      </c>
      <c r="M67" s="4">
        <v>1.0686799999999999E-4</v>
      </c>
      <c r="N67" s="3">
        <f t="shared" si="6"/>
        <v>68.863416279499916</v>
      </c>
      <c r="O67" s="3">
        <f t="shared" si="7"/>
        <v>83.900953098748559</v>
      </c>
      <c r="Q67">
        <f t="shared" ref="Q67:R109" si="12">AVERAGE(B67,G67,L67)</f>
        <v>6.4706733333333335E-4</v>
      </c>
      <c r="R67">
        <f t="shared" si="12"/>
        <v>1.2528633333333333E-4</v>
      </c>
      <c r="T67">
        <f t="shared" si="8"/>
        <v>66.350163236636817</v>
      </c>
      <c r="U67">
        <f t="shared" si="9"/>
        <v>96.771279298161133</v>
      </c>
      <c r="W67">
        <f t="shared" si="10"/>
        <v>3.0442994905217162</v>
      </c>
      <c r="X67">
        <f t="shared" si="11"/>
        <v>20.878669549495843</v>
      </c>
    </row>
    <row r="68" spans="1:24" x14ac:dyDescent="0.35">
      <c r="A68">
        <v>423.72800000000001</v>
      </c>
      <c r="B68">
        <v>7.5090200000000001E-4</v>
      </c>
      <c r="C68">
        <v>1.16444E-4</v>
      </c>
      <c r="D68">
        <f t="shared" ref="D68:D109" si="13">B68/$B$3*100</f>
        <v>62.177232379438266</v>
      </c>
      <c r="E68">
        <f t="shared" ref="E68:E109" si="14">C68/$C$3*100</f>
        <v>80.317285142778303</v>
      </c>
      <c r="G68">
        <v>5.6009899999999999E-4</v>
      </c>
      <c r="H68">
        <v>1.54831E-4</v>
      </c>
      <c r="I68">
        <f t="shared" ref="I68:I109" si="15">G68/$G$3*100</f>
        <v>68.286851618173287</v>
      </c>
      <c r="J68">
        <f t="shared" ref="J68:J109" si="16">H68/$H$3*100</f>
        <v>127.95844662440805</v>
      </c>
      <c r="L68" s="4">
        <v>6.3221100000000004E-4</v>
      </c>
      <c r="M68" s="4">
        <v>1.0445799999999999E-4</v>
      </c>
      <c r="N68" s="3">
        <f t="shared" ref="N68:N109" si="17">L68/$L$3*100</f>
        <v>68.788122776284723</v>
      </c>
      <c r="O68" s="3">
        <f t="shared" ref="O68:O109" si="18">M68/$M$3*100</f>
        <v>82.008887214031105</v>
      </c>
      <c r="Q68">
        <f t="shared" si="12"/>
        <v>6.4773733333333338E-4</v>
      </c>
      <c r="R68">
        <f t="shared" si="12"/>
        <v>1.2524433333333332E-4</v>
      </c>
      <c r="T68">
        <f t="shared" ref="T68:T109" si="19">AVERAGE(D68,I68,N68)</f>
        <v>66.417402257965435</v>
      </c>
      <c r="U68">
        <f t="shared" ref="U68:U109" si="20">AVERAGE(E68,J68,O68)</f>
        <v>96.76153966040583</v>
      </c>
      <c r="W68">
        <f t="shared" ref="W68:W109" si="21">_xlfn.STDEV.P(D68,I68,N68)</f>
        <v>3.0052286260854726</v>
      </c>
      <c r="X68">
        <f t="shared" ref="X68:X109" si="22">_xlfn.STDEV.P(E68,J68,O68)</f>
        <v>22.070351643208667</v>
      </c>
    </row>
    <row r="69" spans="1:24" x14ac:dyDescent="0.35">
      <c r="A69">
        <v>429.99799999999999</v>
      </c>
      <c r="B69">
        <v>7.5187099999999998E-4</v>
      </c>
      <c r="C69">
        <v>1.1625000000000001E-4</v>
      </c>
      <c r="D69">
        <f t="shared" si="13"/>
        <v>62.25746886592475</v>
      </c>
      <c r="E69">
        <f t="shared" si="14"/>
        <v>80.18347358256311</v>
      </c>
      <c r="G69">
        <v>5.6267100000000005E-4</v>
      </c>
      <c r="H69">
        <v>1.56198E-4</v>
      </c>
      <c r="I69">
        <f t="shared" si="15"/>
        <v>68.600427936577617</v>
      </c>
      <c r="J69">
        <f t="shared" si="16"/>
        <v>129.088189353807</v>
      </c>
      <c r="L69" s="4">
        <v>6.3248299999999998E-4</v>
      </c>
      <c r="M69" s="4">
        <v>1.0597199999999999E-4</v>
      </c>
      <c r="N69" s="3">
        <f t="shared" si="17"/>
        <v>68.817717910496484</v>
      </c>
      <c r="O69" s="3">
        <f t="shared" si="18"/>
        <v>83.197512836214599</v>
      </c>
      <c r="Q69">
        <f t="shared" si="12"/>
        <v>6.4900833333333345E-4</v>
      </c>
      <c r="R69">
        <f t="shared" si="12"/>
        <v>1.2613999999999998E-4</v>
      </c>
      <c r="T69">
        <f t="shared" si="19"/>
        <v>66.558538237666269</v>
      </c>
      <c r="U69">
        <f t="shared" si="20"/>
        <v>97.489725257528221</v>
      </c>
      <c r="W69">
        <f t="shared" si="21"/>
        <v>3.0426087533114572</v>
      </c>
      <c r="X69">
        <f t="shared" si="22"/>
        <v>22.377344317985315</v>
      </c>
    </row>
    <row r="70" spans="1:24" x14ac:dyDescent="0.35">
      <c r="A70">
        <v>436.13900000000001</v>
      </c>
      <c r="B70">
        <v>7.5328999999999999E-4</v>
      </c>
      <c r="C70">
        <v>1.16255E-4</v>
      </c>
      <c r="D70">
        <f t="shared" si="13"/>
        <v>62.374966878643349</v>
      </c>
      <c r="E70">
        <f t="shared" si="14"/>
        <v>80.186922334115053</v>
      </c>
      <c r="G70">
        <v>5.6266200000000001E-4</v>
      </c>
      <c r="H70">
        <v>1.5351000000000001E-4</v>
      </c>
      <c r="I70">
        <f t="shared" si="15"/>
        <v>68.5993306633017</v>
      </c>
      <c r="J70">
        <f t="shared" si="16"/>
        <v>126.86672010975117</v>
      </c>
      <c r="L70" s="4">
        <v>6.34233E-4</v>
      </c>
      <c r="M70" s="4">
        <v>1.0712700000000001E-4</v>
      </c>
      <c r="N70" s="3">
        <f t="shared" si="17"/>
        <v>69.008127781344186</v>
      </c>
      <c r="O70" s="3">
        <f t="shared" si="18"/>
        <v>84.104291299637296</v>
      </c>
      <c r="Q70">
        <f t="shared" si="12"/>
        <v>6.500616666666667E-4</v>
      </c>
      <c r="R70">
        <f t="shared" si="12"/>
        <v>1.2563066666666667E-4</v>
      </c>
      <c r="T70">
        <f t="shared" si="19"/>
        <v>66.660808441096421</v>
      </c>
      <c r="U70">
        <f t="shared" si="20"/>
        <v>97.05264458116784</v>
      </c>
      <c r="W70">
        <f t="shared" si="21"/>
        <v>3.0351394470729613</v>
      </c>
      <c r="X70">
        <f t="shared" si="22"/>
        <v>21.142307815074844</v>
      </c>
    </row>
    <row r="71" spans="1:24" x14ac:dyDescent="0.35">
      <c r="A71">
        <v>449.34300000000002</v>
      </c>
      <c r="B71">
        <v>1.41895E-5</v>
      </c>
      <c r="C71">
        <v>4.3060799999999999E-5</v>
      </c>
      <c r="D71">
        <f t="shared" si="13"/>
        <v>1.174938725490196</v>
      </c>
      <c r="E71">
        <f t="shared" si="14"/>
        <v>29.701200165540069</v>
      </c>
      <c r="G71">
        <v>1.38843E-5</v>
      </c>
      <c r="H71">
        <v>3.6272700000000003E-5</v>
      </c>
      <c r="I71">
        <f t="shared" si="15"/>
        <v>1.6927634827453777</v>
      </c>
      <c r="J71">
        <f t="shared" si="16"/>
        <v>29.977190271154786</v>
      </c>
      <c r="L71" s="4">
        <v>1.5778200000000001E-5</v>
      </c>
      <c r="M71" s="4">
        <v>3.9149600000000002E-5</v>
      </c>
      <c r="N71" s="3">
        <f t="shared" si="17"/>
        <v>1.7167571566910029</v>
      </c>
      <c r="O71" s="3">
        <f t="shared" si="18"/>
        <v>30.735942971092999</v>
      </c>
      <c r="Q71">
        <f t="shared" si="12"/>
        <v>1.4617333333333333E-5</v>
      </c>
      <c r="R71">
        <f t="shared" si="12"/>
        <v>3.9494366666666666E-5</v>
      </c>
      <c r="T71">
        <f t="shared" si="19"/>
        <v>1.5281531216421922</v>
      </c>
      <c r="U71">
        <f t="shared" si="20"/>
        <v>30.138111135929282</v>
      </c>
      <c r="W71">
        <f t="shared" si="21"/>
        <v>0.24995230389565207</v>
      </c>
      <c r="X71">
        <f t="shared" si="22"/>
        <v>0.43748890420269854</v>
      </c>
    </row>
    <row r="72" spans="1:24" x14ac:dyDescent="0.35">
      <c r="A72">
        <v>455.57600000000002</v>
      </c>
      <c r="B72">
        <v>1.38402E-5</v>
      </c>
      <c r="C72">
        <v>4.2592400000000002E-5</v>
      </c>
      <c r="D72">
        <f t="shared" si="13"/>
        <v>1.1460155007949124</v>
      </c>
      <c r="E72">
        <f t="shared" si="14"/>
        <v>29.378121120154503</v>
      </c>
      <c r="G72">
        <v>1.35058E-5</v>
      </c>
      <c r="H72">
        <v>3.5799700000000002E-5</v>
      </c>
      <c r="I72">
        <f t="shared" si="15"/>
        <v>1.6466170455307449</v>
      </c>
      <c r="J72">
        <f t="shared" si="16"/>
        <v>29.586284410872636</v>
      </c>
      <c r="L72" s="4">
        <v>1.5747799999999999E-5</v>
      </c>
      <c r="M72" s="4">
        <v>3.8996899999999999E-5</v>
      </c>
      <c r="N72" s="3">
        <f t="shared" si="17"/>
        <v>1.7134494652202767</v>
      </c>
      <c r="O72" s="3">
        <f t="shared" si="18"/>
        <v>30.616059792422313</v>
      </c>
      <c r="Q72">
        <f t="shared" si="12"/>
        <v>1.43646E-5</v>
      </c>
      <c r="R72">
        <f t="shared" si="12"/>
        <v>3.9129666666666666E-5</v>
      </c>
      <c r="T72">
        <f t="shared" si="19"/>
        <v>1.5020273371819781</v>
      </c>
      <c r="U72">
        <f t="shared" si="20"/>
        <v>29.860155107816485</v>
      </c>
      <c r="W72">
        <f t="shared" si="21"/>
        <v>0.25321264293890366</v>
      </c>
      <c r="X72">
        <f t="shared" si="22"/>
        <v>0.5412189378661395</v>
      </c>
    </row>
    <row r="73" spans="1:24" x14ac:dyDescent="0.35">
      <c r="A73">
        <v>461.834</v>
      </c>
      <c r="B73">
        <v>1.34386E-5</v>
      </c>
      <c r="C73">
        <v>4.2050099999999999E-5</v>
      </c>
      <c r="D73">
        <f t="shared" si="13"/>
        <v>1.1127616587175411</v>
      </c>
      <c r="E73">
        <f t="shared" si="14"/>
        <v>29.004069526831284</v>
      </c>
      <c r="G73">
        <v>1.30592E-5</v>
      </c>
      <c r="H73">
        <v>3.5283700000000002E-5</v>
      </c>
      <c r="I73">
        <f t="shared" si="15"/>
        <v>1.5921679071950647</v>
      </c>
      <c r="J73">
        <f t="shared" si="16"/>
        <v>29.159841654201209</v>
      </c>
      <c r="L73" s="4">
        <v>1.56065E-5</v>
      </c>
      <c r="M73" s="4">
        <v>3.86388E-5</v>
      </c>
      <c r="N73" s="3">
        <f t="shared" si="17"/>
        <v>1.6980752282198308</v>
      </c>
      <c r="O73" s="3">
        <f t="shared" si="18"/>
        <v>30.334919214282348</v>
      </c>
      <c r="Q73">
        <f t="shared" si="12"/>
        <v>1.4034766666666668E-5</v>
      </c>
      <c r="R73">
        <f t="shared" si="12"/>
        <v>3.8657533333333334E-5</v>
      </c>
      <c r="T73">
        <f t="shared" si="19"/>
        <v>1.4676682647108121</v>
      </c>
      <c r="U73">
        <f t="shared" si="20"/>
        <v>29.499610131771615</v>
      </c>
      <c r="W73">
        <f t="shared" si="21"/>
        <v>0.25465416338622654</v>
      </c>
      <c r="X73">
        <f t="shared" si="22"/>
        <v>0.59406631863792869</v>
      </c>
    </row>
    <row r="74" spans="1:24" x14ac:dyDescent="0.35">
      <c r="A74">
        <v>468.06400000000002</v>
      </c>
      <c r="B74">
        <v>1.30288E-5</v>
      </c>
      <c r="C74">
        <v>4.14942E-5</v>
      </c>
      <c r="D74">
        <f t="shared" si="13"/>
        <v>1.0788288288288288</v>
      </c>
      <c r="E74">
        <f t="shared" si="14"/>
        <v>28.620637329286797</v>
      </c>
      <c r="G74">
        <v>1.2683200000000001E-5</v>
      </c>
      <c r="H74">
        <v>3.4906400000000002E-5</v>
      </c>
      <c r="I74">
        <f t="shared" si="15"/>
        <v>1.5463262681126291</v>
      </c>
      <c r="J74">
        <f t="shared" si="16"/>
        <v>28.848026049371494</v>
      </c>
      <c r="L74" s="4">
        <v>1.54749E-5</v>
      </c>
      <c r="M74" s="4">
        <v>3.8316299999999998E-5</v>
      </c>
      <c r="N74" s="3">
        <f t="shared" si="17"/>
        <v>1.6837564059320835</v>
      </c>
      <c r="O74" s="3">
        <f t="shared" si="18"/>
        <v>30.081727825144846</v>
      </c>
      <c r="Q74">
        <f t="shared" si="12"/>
        <v>1.3728966666666668E-5</v>
      </c>
      <c r="R74">
        <f t="shared" si="12"/>
        <v>3.8238966666666664E-5</v>
      </c>
      <c r="T74">
        <f t="shared" si="19"/>
        <v>1.4363038342911805</v>
      </c>
      <c r="U74">
        <f t="shared" si="20"/>
        <v>29.183463734601048</v>
      </c>
      <c r="W74">
        <f t="shared" si="21"/>
        <v>0.25892475785190355</v>
      </c>
      <c r="X74">
        <f t="shared" si="22"/>
        <v>0.64191650016483148</v>
      </c>
    </row>
    <row r="75" spans="1:24" x14ac:dyDescent="0.35">
      <c r="A75">
        <v>474.19400000000002</v>
      </c>
      <c r="B75">
        <v>1.2719500000000001E-5</v>
      </c>
      <c r="C75">
        <v>4.1105400000000001E-5</v>
      </c>
      <c r="D75">
        <f t="shared" si="13"/>
        <v>1.0532177397986222</v>
      </c>
      <c r="E75">
        <f t="shared" si="14"/>
        <v>28.35246240860808</v>
      </c>
      <c r="G75">
        <v>1.23165E-5</v>
      </c>
      <c r="H75">
        <v>3.45132E-5</v>
      </c>
      <c r="I75">
        <f t="shared" si="15"/>
        <v>1.5016184780819664</v>
      </c>
      <c r="J75">
        <f t="shared" si="16"/>
        <v>28.523070057272253</v>
      </c>
      <c r="L75" s="4">
        <v>1.5344699999999999E-5</v>
      </c>
      <c r="M75" s="4">
        <v>3.7966899999999997E-5</v>
      </c>
      <c r="N75" s="3">
        <f t="shared" si="17"/>
        <v>1.669589911541014</v>
      </c>
      <c r="O75" s="3">
        <f t="shared" si="18"/>
        <v>29.807417526339751</v>
      </c>
      <c r="Q75">
        <f t="shared" si="12"/>
        <v>1.3460233333333332E-5</v>
      </c>
      <c r="R75">
        <f t="shared" si="12"/>
        <v>3.7861833333333331E-5</v>
      </c>
      <c r="T75">
        <f t="shared" si="19"/>
        <v>1.4081420431405343</v>
      </c>
      <c r="U75">
        <f t="shared" si="20"/>
        <v>28.894316664073362</v>
      </c>
      <c r="W75">
        <f t="shared" si="21"/>
        <v>0.26016923523177327</v>
      </c>
      <c r="X75">
        <f t="shared" si="22"/>
        <v>0.64940569289640915</v>
      </c>
    </row>
    <row r="76" spans="1:24" x14ac:dyDescent="0.35">
      <c r="A76">
        <v>480.49299999999999</v>
      </c>
      <c r="B76">
        <v>1.24285E-5</v>
      </c>
      <c r="C76">
        <v>4.0725800000000002E-5</v>
      </c>
      <c r="D76">
        <f t="shared" si="13"/>
        <v>1.029121952835188</v>
      </c>
      <c r="E76">
        <f t="shared" si="14"/>
        <v>28.090633190784935</v>
      </c>
      <c r="G76">
        <v>1.20083E-5</v>
      </c>
      <c r="H76">
        <v>3.41825E-5</v>
      </c>
      <c r="I76">
        <f t="shared" si="15"/>
        <v>1.4640429643447144</v>
      </c>
      <c r="J76">
        <f t="shared" si="16"/>
        <v>28.249766530855112</v>
      </c>
      <c r="L76" s="4">
        <v>1.5248E-5</v>
      </c>
      <c r="M76" s="4">
        <v>3.7691999999999998E-5</v>
      </c>
      <c r="N76" s="3">
        <f t="shared" si="17"/>
        <v>1.6590684061061727</v>
      </c>
      <c r="O76" s="3">
        <f t="shared" si="18"/>
        <v>29.591596401149367</v>
      </c>
      <c r="Q76">
        <f t="shared" si="12"/>
        <v>1.3228266666666665E-5</v>
      </c>
      <c r="R76">
        <f t="shared" si="12"/>
        <v>3.7533433333333329E-5</v>
      </c>
      <c r="T76">
        <f t="shared" si="19"/>
        <v>1.3840777744286916</v>
      </c>
      <c r="U76">
        <f t="shared" si="20"/>
        <v>28.64399870759647</v>
      </c>
      <c r="W76">
        <f t="shared" si="21"/>
        <v>0.26331724490419323</v>
      </c>
      <c r="X76">
        <f t="shared" si="22"/>
        <v>0.67319481905341905</v>
      </c>
    </row>
    <row r="77" spans="1:24" x14ac:dyDescent="0.35">
      <c r="A77">
        <v>486.74799999999999</v>
      </c>
      <c r="B77">
        <v>1.21111E-5</v>
      </c>
      <c r="C77">
        <v>4.0290899999999997E-5</v>
      </c>
      <c r="D77">
        <f t="shared" si="13"/>
        <v>1.0028401563328033</v>
      </c>
      <c r="E77">
        <f t="shared" si="14"/>
        <v>27.790660780797349</v>
      </c>
      <c r="G77">
        <v>1.1727400000000001E-5</v>
      </c>
      <c r="H77">
        <v>3.3915199999999997E-5</v>
      </c>
      <c r="I77">
        <f t="shared" si="15"/>
        <v>1.4297958462110545</v>
      </c>
      <c r="J77">
        <f t="shared" si="16"/>
        <v>28.028859265625901</v>
      </c>
      <c r="L77" s="4">
        <v>1.5117500000000001E-5</v>
      </c>
      <c r="M77" s="4">
        <v>3.7403400000000002E-5</v>
      </c>
      <c r="N77" s="3">
        <f t="shared" si="17"/>
        <v>1.6448692700229579</v>
      </c>
      <c r="O77" s="3">
        <f t="shared" si="18"/>
        <v>29.365019548730508</v>
      </c>
      <c r="Q77">
        <f t="shared" si="12"/>
        <v>1.2985333333333333E-5</v>
      </c>
      <c r="R77">
        <f t="shared" si="12"/>
        <v>3.7203166666666663E-5</v>
      </c>
      <c r="T77">
        <f t="shared" si="19"/>
        <v>1.3591684241889386</v>
      </c>
      <c r="U77">
        <f t="shared" si="20"/>
        <v>28.394846531717917</v>
      </c>
      <c r="W77">
        <f t="shared" si="21"/>
        <v>0.26682268801904002</v>
      </c>
      <c r="X77">
        <f t="shared" si="22"/>
        <v>0.69287391433465306</v>
      </c>
    </row>
    <row r="78" spans="1:24" x14ac:dyDescent="0.35">
      <c r="A78">
        <v>492.90800000000002</v>
      </c>
      <c r="B78">
        <v>1.17549E-5</v>
      </c>
      <c r="C78">
        <v>3.9881600000000001E-5</v>
      </c>
      <c r="D78">
        <f t="shared" si="13"/>
        <v>0.97334558823529405</v>
      </c>
      <c r="E78">
        <f t="shared" si="14"/>
        <v>27.508345978755688</v>
      </c>
      <c r="G78">
        <v>1.14637E-5</v>
      </c>
      <c r="H78">
        <v>3.3674899999999998E-5</v>
      </c>
      <c r="I78">
        <f t="shared" si="15"/>
        <v>1.3976457392269099</v>
      </c>
      <c r="J78">
        <f t="shared" si="16"/>
        <v>27.830265865571356</v>
      </c>
      <c r="L78" s="4">
        <v>1.5014100000000001E-5</v>
      </c>
      <c r="M78" s="4">
        <v>3.71769E-5</v>
      </c>
      <c r="N78" s="3">
        <f t="shared" si="17"/>
        <v>1.6336187667968707</v>
      </c>
      <c r="O78" s="3">
        <f t="shared" si="18"/>
        <v>29.187196759150218</v>
      </c>
      <c r="Q78">
        <f t="shared" si="12"/>
        <v>1.2744233333333334E-5</v>
      </c>
      <c r="R78">
        <f t="shared" si="12"/>
        <v>3.6911133333333326E-5</v>
      </c>
      <c r="T78">
        <f t="shared" si="19"/>
        <v>1.3348700314196915</v>
      </c>
      <c r="U78">
        <f t="shared" si="20"/>
        <v>28.175269534492418</v>
      </c>
      <c r="W78">
        <f t="shared" si="21"/>
        <v>0.27318584602180623</v>
      </c>
      <c r="X78">
        <f t="shared" si="22"/>
        <v>0.72750974077537389</v>
      </c>
    </row>
    <row r="79" spans="1:24" x14ac:dyDescent="0.35">
      <c r="A79">
        <v>499.07900000000001</v>
      </c>
      <c r="B79">
        <v>1.14353E-5</v>
      </c>
      <c r="C79">
        <v>3.9577299999999998E-5</v>
      </c>
      <c r="D79">
        <f t="shared" si="13"/>
        <v>0.94688162427133027</v>
      </c>
      <c r="E79">
        <f t="shared" si="14"/>
        <v>27.298454959304731</v>
      </c>
      <c r="G79">
        <v>1.1146599999999999E-5</v>
      </c>
      <c r="H79">
        <v>3.33698E-5</v>
      </c>
      <c r="I79">
        <f t="shared" si="15"/>
        <v>1.3589851441390366</v>
      </c>
      <c r="J79">
        <f t="shared" si="16"/>
        <v>27.57811918909761</v>
      </c>
      <c r="L79" s="4">
        <v>1.49041E-5</v>
      </c>
      <c r="M79" s="4">
        <v>3.6939E-5</v>
      </c>
      <c r="N79" s="3">
        <f t="shared" si="17"/>
        <v>1.6216501463435864</v>
      </c>
      <c r="O79" s="3">
        <f t="shared" si="18"/>
        <v>29.000423948372507</v>
      </c>
      <c r="Q79">
        <f t="shared" si="12"/>
        <v>1.2495333333333334E-5</v>
      </c>
      <c r="R79">
        <f t="shared" si="12"/>
        <v>3.6628699999999997E-5</v>
      </c>
      <c r="T79">
        <f t="shared" si="19"/>
        <v>1.3091723049179844</v>
      </c>
      <c r="U79">
        <f t="shared" si="20"/>
        <v>27.95899936559162</v>
      </c>
      <c r="W79">
        <f t="shared" si="21"/>
        <v>0.27771583655281068</v>
      </c>
      <c r="X79">
        <f t="shared" si="22"/>
        <v>0.74519656984882232</v>
      </c>
    </row>
    <row r="80" spans="1:24" x14ac:dyDescent="0.35">
      <c r="A80">
        <v>505.34300000000002</v>
      </c>
      <c r="B80">
        <v>1.1182099999999999E-5</v>
      </c>
      <c r="C80">
        <v>3.92877E-5</v>
      </c>
      <c r="D80">
        <f t="shared" si="13"/>
        <v>0.92591580551139363</v>
      </c>
      <c r="E80">
        <f t="shared" si="14"/>
        <v>27.098703269416468</v>
      </c>
      <c r="G80">
        <v>1.08711E-5</v>
      </c>
      <c r="H80">
        <v>3.3109599999999999E-5</v>
      </c>
      <c r="I80">
        <f t="shared" si="15"/>
        <v>1.3253963899709222</v>
      </c>
      <c r="J80">
        <f t="shared" si="16"/>
        <v>27.363079643969883</v>
      </c>
      <c r="L80" s="4">
        <v>1.4778400000000001E-5</v>
      </c>
      <c r="M80" s="4">
        <v>3.6715799999999998E-5</v>
      </c>
      <c r="N80" s="3">
        <f t="shared" si="17"/>
        <v>1.6079732773346969</v>
      </c>
      <c r="O80" s="3">
        <f t="shared" si="18"/>
        <v>28.825191954401998</v>
      </c>
      <c r="Q80">
        <f t="shared" si="12"/>
        <v>1.22772E-5</v>
      </c>
      <c r="R80">
        <f t="shared" si="12"/>
        <v>3.6371033333333328E-5</v>
      </c>
      <c r="T80">
        <f t="shared" si="19"/>
        <v>1.2864284909390042</v>
      </c>
      <c r="U80">
        <f t="shared" si="20"/>
        <v>27.762324955929447</v>
      </c>
      <c r="W80">
        <f t="shared" si="21"/>
        <v>0.27980882948151109</v>
      </c>
      <c r="X80">
        <f t="shared" si="22"/>
        <v>0.75927088235448381</v>
      </c>
    </row>
    <row r="81" spans="1:24" x14ac:dyDescent="0.35">
      <c r="A81">
        <v>518.67100000000005</v>
      </c>
      <c r="B81">
        <v>6.0886700000000002E-4</v>
      </c>
      <c r="C81">
        <v>1.28911E-4</v>
      </c>
      <c r="D81">
        <f t="shared" si="13"/>
        <v>50.416252649708539</v>
      </c>
      <c r="E81">
        <f t="shared" si="14"/>
        <v>88.916402262381013</v>
      </c>
      <c r="G81">
        <v>4.5786399999999999E-4</v>
      </c>
      <c r="H81">
        <v>1.3544499999999999E-4</v>
      </c>
      <c r="I81">
        <f t="shared" si="15"/>
        <v>55.82243680010729</v>
      </c>
      <c r="J81">
        <f t="shared" si="16"/>
        <v>111.93709142899644</v>
      </c>
      <c r="L81" s="4">
        <v>5.1631099999999998E-4</v>
      </c>
      <c r="M81" s="4">
        <v>1.09295E-4</v>
      </c>
      <c r="N81" s="3">
        <f t="shared" si="17"/>
        <v>56.177549044142452</v>
      </c>
      <c r="O81" s="3">
        <f t="shared" si="18"/>
        <v>85.806365506304275</v>
      </c>
      <c r="Q81">
        <f t="shared" si="12"/>
        <v>5.2768066666666663E-4</v>
      </c>
      <c r="R81">
        <f t="shared" si="12"/>
        <v>1.2455033333333334E-4</v>
      </c>
      <c r="T81">
        <f t="shared" si="19"/>
        <v>54.138746164652765</v>
      </c>
      <c r="U81">
        <f t="shared" si="20"/>
        <v>95.553286399227247</v>
      </c>
      <c r="W81">
        <f t="shared" si="21"/>
        <v>2.6361897570884714</v>
      </c>
      <c r="X81">
        <f t="shared" si="22"/>
        <v>11.654466457004153</v>
      </c>
    </row>
    <row r="82" spans="1:24" x14ac:dyDescent="0.35">
      <c r="A82">
        <v>524.91800000000001</v>
      </c>
      <c r="B82">
        <v>6.2917099999999998E-4</v>
      </c>
      <c r="C82">
        <v>1.23621E-4</v>
      </c>
      <c r="D82">
        <f t="shared" si="13"/>
        <v>52.097492713301527</v>
      </c>
      <c r="E82">
        <f t="shared" si="14"/>
        <v>85.2676231204304</v>
      </c>
      <c r="G82">
        <v>4.7567900000000001E-4</v>
      </c>
      <c r="H82">
        <v>1.44093E-4</v>
      </c>
      <c r="I82">
        <f t="shared" si="15"/>
        <v>57.994428290143439</v>
      </c>
      <c r="J82">
        <f t="shared" si="16"/>
        <v>119.08413980049752</v>
      </c>
      <c r="L82" s="4">
        <v>5.3175200000000003E-4</v>
      </c>
      <c r="M82" s="4">
        <v>1.1069300000000001E-4</v>
      </c>
      <c r="N82" s="3">
        <f t="shared" si="17"/>
        <v>57.857616938862108</v>
      </c>
      <c r="O82" s="3">
        <f t="shared" si="18"/>
        <v>86.903920737356131</v>
      </c>
      <c r="Q82">
        <f t="shared" si="12"/>
        <v>5.4553399999999997E-4</v>
      </c>
      <c r="R82">
        <f t="shared" si="12"/>
        <v>1.2613566666666665E-4</v>
      </c>
      <c r="T82">
        <f t="shared" si="19"/>
        <v>55.983179314102358</v>
      </c>
      <c r="U82">
        <f t="shared" si="20"/>
        <v>97.085227886094685</v>
      </c>
      <c r="W82">
        <f t="shared" si="21"/>
        <v>2.7481629750546932</v>
      </c>
      <c r="X82">
        <f t="shared" si="22"/>
        <v>15.569916752850286</v>
      </c>
    </row>
    <row r="83" spans="1:24" x14ac:dyDescent="0.35">
      <c r="A83">
        <v>531.04899999999998</v>
      </c>
      <c r="B83">
        <v>6.4153300000000001E-4</v>
      </c>
      <c r="C83">
        <v>1.21591E-4</v>
      </c>
      <c r="D83">
        <f t="shared" si="13"/>
        <v>53.121108240593529</v>
      </c>
      <c r="E83">
        <f t="shared" si="14"/>
        <v>83.867429990343496</v>
      </c>
      <c r="G83">
        <v>4.8572600000000002E-4</v>
      </c>
      <c r="H83">
        <v>1.4430399999999999E-4</v>
      </c>
      <c r="I83">
        <f t="shared" si="15"/>
        <v>59.219351023816927</v>
      </c>
      <c r="J83">
        <f t="shared" si="16"/>
        <v>119.25851852464029</v>
      </c>
      <c r="L83" s="4">
        <v>5.3985100000000005E-4</v>
      </c>
      <c r="M83" s="4">
        <v>1.08436E-4</v>
      </c>
      <c r="N83" s="3">
        <f t="shared" si="17"/>
        <v>58.738833821145285</v>
      </c>
      <c r="O83" s="3">
        <f t="shared" si="18"/>
        <v>85.131973558182992</v>
      </c>
      <c r="Q83">
        <f t="shared" si="12"/>
        <v>5.5570333333333332E-4</v>
      </c>
      <c r="R83">
        <f t="shared" si="12"/>
        <v>1.2477699999999999E-4</v>
      </c>
      <c r="T83">
        <f t="shared" si="19"/>
        <v>57.02643102851858</v>
      </c>
      <c r="U83">
        <f t="shared" si="20"/>
        <v>96.085974024388932</v>
      </c>
      <c r="W83">
        <f t="shared" si="21"/>
        <v>2.7684392418750878</v>
      </c>
      <c r="X83">
        <f t="shared" si="22"/>
        <v>16.393593902717686</v>
      </c>
    </row>
    <row r="84" spans="1:24" x14ac:dyDescent="0.35">
      <c r="A84">
        <v>537.19200000000001</v>
      </c>
      <c r="B84">
        <v>6.5111599999999998E-4</v>
      </c>
      <c r="C84">
        <v>1.20845E-4</v>
      </c>
      <c r="D84">
        <f t="shared" si="13"/>
        <v>53.914613142554316</v>
      </c>
      <c r="E84">
        <f t="shared" si="14"/>
        <v>83.352876258794311</v>
      </c>
      <c r="G84">
        <v>4.9429499999999996E-4</v>
      </c>
      <c r="H84">
        <v>1.45017E-4</v>
      </c>
      <c r="I84">
        <f t="shared" si="15"/>
        <v>60.264077101735516</v>
      </c>
      <c r="J84">
        <f t="shared" si="16"/>
        <v>119.8477698531417</v>
      </c>
      <c r="L84" s="4">
        <v>5.4483699999999995E-4</v>
      </c>
      <c r="M84" s="4">
        <v>1.0561299999999999E-4</v>
      </c>
      <c r="N84" s="3">
        <f t="shared" si="17"/>
        <v>59.281338744600511</v>
      </c>
      <c r="O84" s="3">
        <f t="shared" si="18"/>
        <v>82.915665677453788</v>
      </c>
      <c r="Q84">
        <f t="shared" si="12"/>
        <v>5.6341599999999985E-4</v>
      </c>
      <c r="R84">
        <f t="shared" si="12"/>
        <v>1.2382500000000001E-4</v>
      </c>
      <c r="T84">
        <f t="shared" si="19"/>
        <v>57.82000966296345</v>
      </c>
      <c r="U84">
        <f t="shared" si="20"/>
        <v>95.372103929796594</v>
      </c>
      <c r="W84">
        <f t="shared" si="21"/>
        <v>2.7905238643026533</v>
      </c>
      <c r="X84">
        <f t="shared" si="22"/>
        <v>17.307829732359256</v>
      </c>
    </row>
    <row r="85" spans="1:24" x14ac:dyDescent="0.35">
      <c r="A85">
        <v>543.55200000000002</v>
      </c>
      <c r="B85">
        <v>6.5817100000000004E-4</v>
      </c>
      <c r="C85">
        <v>1.18854E-4</v>
      </c>
      <c r="D85">
        <f t="shared" si="13"/>
        <v>54.498791070482241</v>
      </c>
      <c r="E85">
        <f t="shared" si="14"/>
        <v>81.979583390812522</v>
      </c>
      <c r="G85">
        <v>4.9919799999999996E-4</v>
      </c>
      <c r="H85">
        <v>1.43299E-4</v>
      </c>
      <c r="I85">
        <f t="shared" si="15"/>
        <v>60.861847198600358</v>
      </c>
      <c r="J85">
        <f t="shared" si="16"/>
        <v>118.42794687647209</v>
      </c>
      <c r="L85" s="4">
        <v>5.4908799999999998E-4</v>
      </c>
      <c r="M85" s="4">
        <v>1.01479E-4</v>
      </c>
      <c r="N85" s="3">
        <f t="shared" si="17"/>
        <v>59.74387152229972</v>
      </c>
      <c r="O85" s="3">
        <f t="shared" si="18"/>
        <v>79.670105359021463</v>
      </c>
      <c r="Q85">
        <f t="shared" si="12"/>
        <v>5.6881900000000003E-4</v>
      </c>
      <c r="R85">
        <f t="shared" si="12"/>
        <v>1.2121066666666667E-4</v>
      </c>
      <c r="T85">
        <f t="shared" si="19"/>
        <v>58.368169930460773</v>
      </c>
      <c r="U85">
        <f t="shared" si="20"/>
        <v>93.359211875435349</v>
      </c>
      <c r="W85">
        <f t="shared" si="21"/>
        <v>2.7738705779393698</v>
      </c>
      <c r="X85">
        <f t="shared" si="22"/>
        <v>17.751329116603969</v>
      </c>
    </row>
    <row r="86" spans="1:24" x14ac:dyDescent="0.35">
      <c r="A86">
        <v>549.649</v>
      </c>
      <c r="B86">
        <v>6.63526E-4</v>
      </c>
      <c r="C86">
        <v>1.17825E-4</v>
      </c>
      <c r="D86">
        <f t="shared" si="13"/>
        <v>54.942203232644403</v>
      </c>
      <c r="E86">
        <f t="shared" si="14"/>
        <v>81.26983032142364</v>
      </c>
      <c r="G86">
        <v>4.9946799999999998E-4</v>
      </c>
      <c r="H86">
        <v>1.3736900000000001E-4</v>
      </c>
      <c r="I86">
        <f t="shared" si="15"/>
        <v>60.894765396877645</v>
      </c>
      <c r="J86">
        <f t="shared" si="16"/>
        <v>113.52716093255428</v>
      </c>
      <c r="L86" s="4">
        <v>5.5249400000000005E-4</v>
      </c>
      <c r="M86" s="4">
        <v>9.9022200000000002E-5</v>
      </c>
      <c r="N86" s="3">
        <f t="shared" si="17"/>
        <v>60.114463533789596</v>
      </c>
      <c r="O86" s="3">
        <f t="shared" si="18"/>
        <v>77.741297282019872</v>
      </c>
      <c r="Q86">
        <f t="shared" si="12"/>
        <v>5.7182933333333342E-4</v>
      </c>
      <c r="R86">
        <f t="shared" si="12"/>
        <v>1.1807206666666668E-4</v>
      </c>
      <c r="T86">
        <f t="shared" si="19"/>
        <v>58.650477387770543</v>
      </c>
      <c r="U86">
        <f t="shared" si="20"/>
        <v>90.846096178665945</v>
      </c>
      <c r="W86">
        <f t="shared" si="21"/>
        <v>2.6414252032526009</v>
      </c>
      <c r="X86">
        <f t="shared" si="22"/>
        <v>16.102497945558984</v>
      </c>
    </row>
    <row r="87" spans="1:24" x14ac:dyDescent="0.35">
      <c r="A87">
        <v>555.86300000000006</v>
      </c>
      <c r="B87">
        <v>6.6839000000000004E-4</v>
      </c>
      <c r="C87">
        <v>1.16607E-4</v>
      </c>
      <c r="D87">
        <f t="shared" si="13"/>
        <v>55.344958929517752</v>
      </c>
      <c r="E87">
        <f t="shared" si="14"/>
        <v>80.429714443371495</v>
      </c>
      <c r="G87">
        <v>5.0353599999999996E-4</v>
      </c>
      <c r="H87">
        <v>1.34759E-4</v>
      </c>
      <c r="I87">
        <f t="shared" si="15"/>
        <v>61.390732917588679</v>
      </c>
      <c r="J87">
        <f t="shared" si="16"/>
        <v>111.37015396566969</v>
      </c>
      <c r="L87" s="4">
        <v>5.55479E-4</v>
      </c>
      <c r="M87" s="4">
        <v>9.4104400000000007E-5</v>
      </c>
      <c r="N87" s="3">
        <f t="shared" si="17"/>
        <v>60.439248370635532</v>
      </c>
      <c r="O87" s="3">
        <f t="shared" si="18"/>
        <v>73.880383751786084</v>
      </c>
      <c r="Q87">
        <f t="shared" si="12"/>
        <v>5.7580166666666667E-4</v>
      </c>
      <c r="R87">
        <f t="shared" si="12"/>
        <v>1.1515679999999999E-4</v>
      </c>
      <c r="T87">
        <f t="shared" si="19"/>
        <v>59.058313405913992</v>
      </c>
      <c r="U87">
        <f t="shared" si="20"/>
        <v>88.560084053609089</v>
      </c>
      <c r="W87">
        <f t="shared" si="21"/>
        <v>2.6543149538442279</v>
      </c>
      <c r="X87">
        <f t="shared" si="22"/>
        <v>16.349269100314658</v>
      </c>
    </row>
    <row r="88" spans="1:24" x14ac:dyDescent="0.35">
      <c r="A88">
        <v>562.19600000000003</v>
      </c>
      <c r="B88">
        <v>6.73586E-4</v>
      </c>
      <c r="C88">
        <v>1.16061E-4</v>
      </c>
      <c r="D88">
        <f t="shared" si="13"/>
        <v>55.775205352411227</v>
      </c>
      <c r="E88">
        <f t="shared" si="14"/>
        <v>80.053110773899832</v>
      </c>
      <c r="G88">
        <v>5.0750999999999997E-4</v>
      </c>
      <c r="H88">
        <v>1.2883099999999999E-4</v>
      </c>
      <c r="I88">
        <f t="shared" si="15"/>
        <v>61.875240028529099</v>
      </c>
      <c r="J88">
        <f t="shared" si="16"/>
        <v>106.4710209006537</v>
      </c>
      <c r="L88" s="4">
        <v>5.59087E-4</v>
      </c>
      <c r="M88" s="4">
        <v>9.8960000000000001E-5</v>
      </c>
      <c r="N88" s="3">
        <f t="shared" si="17"/>
        <v>60.831819121503258</v>
      </c>
      <c r="O88" s="3">
        <f t="shared" si="18"/>
        <v>77.692464710223433</v>
      </c>
      <c r="Q88">
        <f t="shared" si="12"/>
        <v>5.8006099999999999E-4</v>
      </c>
      <c r="R88">
        <f t="shared" si="12"/>
        <v>1.1461733333333332E-4</v>
      </c>
      <c r="T88">
        <f t="shared" si="19"/>
        <v>59.494088167481188</v>
      </c>
      <c r="U88">
        <f t="shared" si="20"/>
        <v>88.072198794925654</v>
      </c>
      <c r="W88">
        <f t="shared" si="21"/>
        <v>2.6639255296737936</v>
      </c>
      <c r="X88">
        <f t="shared" si="22"/>
        <v>13.045577887242283</v>
      </c>
    </row>
    <row r="89" spans="1:24" x14ac:dyDescent="0.35">
      <c r="A89">
        <v>568.34699999999998</v>
      </c>
      <c r="B89">
        <v>6.7780200000000003E-4</v>
      </c>
      <c r="C89">
        <v>1.15544E-4</v>
      </c>
      <c r="D89">
        <f t="shared" si="13"/>
        <v>56.124304451510334</v>
      </c>
      <c r="E89">
        <f t="shared" si="14"/>
        <v>79.696509863429426</v>
      </c>
      <c r="G89">
        <v>5.1052300000000003E-4</v>
      </c>
      <c r="H89">
        <v>1.3008799999999999E-4</v>
      </c>
      <c r="I89">
        <f t="shared" si="15"/>
        <v>62.242582737452992</v>
      </c>
      <c r="J89">
        <f t="shared" si="16"/>
        <v>107.50985529045214</v>
      </c>
      <c r="L89" s="4">
        <v>5.6115500000000003E-4</v>
      </c>
      <c r="M89" s="4">
        <v>9.6148400000000003E-5</v>
      </c>
      <c r="N89" s="3">
        <f t="shared" si="17"/>
        <v>61.056829186025006</v>
      </c>
      <c r="O89" s="3">
        <f t="shared" si="18"/>
        <v>75.485106850691665</v>
      </c>
      <c r="Q89">
        <f t="shared" si="12"/>
        <v>5.8315999999999999E-4</v>
      </c>
      <c r="R89">
        <f t="shared" si="12"/>
        <v>1.1392679999999999E-4</v>
      </c>
      <c r="T89">
        <f t="shared" si="19"/>
        <v>59.807905458329436</v>
      </c>
      <c r="U89">
        <f t="shared" si="20"/>
        <v>87.563824001524424</v>
      </c>
      <c r="W89">
        <f t="shared" si="21"/>
        <v>2.6493005560285896</v>
      </c>
      <c r="X89">
        <f t="shared" si="22"/>
        <v>14.208380202497485</v>
      </c>
    </row>
    <row r="90" spans="1:24" x14ac:dyDescent="0.35">
      <c r="A90">
        <v>574.55200000000002</v>
      </c>
      <c r="B90">
        <v>6.81333E-4</v>
      </c>
      <c r="C90">
        <v>1.15058E-4</v>
      </c>
      <c r="D90">
        <f t="shared" si="13"/>
        <v>56.41668322734499</v>
      </c>
      <c r="E90">
        <f t="shared" si="14"/>
        <v>79.361291212581037</v>
      </c>
      <c r="G90">
        <v>5.1404100000000002E-4</v>
      </c>
      <c r="H90">
        <v>1.3408699999999999E-4</v>
      </c>
      <c r="I90">
        <f t="shared" si="15"/>
        <v>62.671494669080673</v>
      </c>
      <c r="J90">
        <f t="shared" si="16"/>
        <v>110.81478665465573</v>
      </c>
      <c r="L90" s="4">
        <v>5.6449899999999999E-4</v>
      </c>
      <c r="M90" s="4">
        <v>1.01174E-4</v>
      </c>
      <c r="N90" s="3">
        <f t="shared" si="17"/>
        <v>61.420675247804844</v>
      </c>
      <c r="O90" s="3">
        <f t="shared" si="18"/>
        <v>79.430653037511576</v>
      </c>
      <c r="Q90">
        <f t="shared" si="12"/>
        <v>5.8662433333333327E-4</v>
      </c>
      <c r="R90">
        <f t="shared" si="12"/>
        <v>1.1677299999999999E-4</v>
      </c>
      <c r="T90">
        <f t="shared" si="19"/>
        <v>60.169617714743502</v>
      </c>
      <c r="U90">
        <f t="shared" si="20"/>
        <v>89.868910301582787</v>
      </c>
      <c r="W90">
        <f t="shared" si="21"/>
        <v>2.7024094503719023</v>
      </c>
      <c r="X90">
        <f t="shared" si="22"/>
        <v>14.810998276378967</v>
      </c>
    </row>
    <row r="91" spans="1:24" x14ac:dyDescent="0.35">
      <c r="A91">
        <v>580.73699999999997</v>
      </c>
      <c r="B91">
        <v>6.8418799999999996E-4</v>
      </c>
      <c r="C91">
        <v>1.15287E-4</v>
      </c>
      <c r="D91">
        <f t="shared" si="13"/>
        <v>56.653086910439839</v>
      </c>
      <c r="E91">
        <f t="shared" si="14"/>
        <v>79.519244033659803</v>
      </c>
      <c r="G91">
        <v>5.1749100000000002E-4</v>
      </c>
      <c r="H91">
        <v>1.3516400000000001E-4</v>
      </c>
      <c r="I91">
        <f t="shared" si="15"/>
        <v>63.092116091512594</v>
      </c>
      <c r="J91">
        <f t="shared" si="16"/>
        <v>111.70486194328973</v>
      </c>
      <c r="L91" s="4">
        <v>5.6526000000000005E-4</v>
      </c>
      <c r="M91" s="4">
        <v>9.8292800000000002E-5</v>
      </c>
      <c r="N91" s="3">
        <f t="shared" si="17"/>
        <v>61.503476340213481</v>
      </c>
      <c r="O91" s="3">
        <f t="shared" si="18"/>
        <v>77.168652943300827</v>
      </c>
      <c r="Q91">
        <f t="shared" si="12"/>
        <v>5.8897966666666664E-4</v>
      </c>
      <c r="R91">
        <f t="shared" si="12"/>
        <v>1.1624793333333334E-4</v>
      </c>
      <c r="T91">
        <f t="shared" si="19"/>
        <v>60.416226447388645</v>
      </c>
      <c r="U91">
        <f t="shared" si="20"/>
        <v>89.464252973416777</v>
      </c>
      <c r="W91">
        <f t="shared" si="21"/>
        <v>2.7388389809993505</v>
      </c>
      <c r="X91">
        <f t="shared" si="22"/>
        <v>15.75573620688912</v>
      </c>
    </row>
    <row r="92" spans="1:24" x14ac:dyDescent="0.35">
      <c r="A92">
        <v>587.00400000000002</v>
      </c>
      <c r="B92">
        <v>6.87475E-4</v>
      </c>
      <c r="C92">
        <v>1.1434699999999999E-4</v>
      </c>
      <c r="D92">
        <f t="shared" si="13"/>
        <v>56.925261658717538</v>
      </c>
      <c r="E92">
        <f t="shared" si="14"/>
        <v>78.870878741895424</v>
      </c>
      <c r="G92">
        <v>5.2178100000000002E-4</v>
      </c>
      <c r="H92">
        <v>1.3813000000000001E-4</v>
      </c>
      <c r="I92">
        <f t="shared" si="15"/>
        <v>63.615149686362727</v>
      </c>
      <c r="J92">
        <f t="shared" si="16"/>
        <v>114.15608135469955</v>
      </c>
      <c r="L92" s="4">
        <v>5.6427799999999998E-4</v>
      </c>
      <c r="M92" s="4">
        <v>9.8704399999999996E-5</v>
      </c>
      <c r="N92" s="3">
        <f t="shared" si="17"/>
        <v>61.396629201257788</v>
      </c>
      <c r="O92" s="3">
        <f t="shared" si="18"/>
        <v>77.491795813902371</v>
      </c>
      <c r="Q92">
        <f t="shared" si="12"/>
        <v>5.9117800000000004E-4</v>
      </c>
      <c r="R92">
        <f t="shared" si="12"/>
        <v>1.1706046666666666E-4</v>
      </c>
      <c r="T92">
        <f t="shared" si="19"/>
        <v>60.645680182112677</v>
      </c>
      <c r="U92">
        <f t="shared" si="20"/>
        <v>90.172918636832449</v>
      </c>
      <c r="W92">
        <f t="shared" si="21"/>
        <v>2.7822764992746327</v>
      </c>
      <c r="X92">
        <f t="shared" si="22"/>
        <v>16.968000037213923</v>
      </c>
    </row>
    <row r="93" spans="1:24" x14ac:dyDescent="0.35">
      <c r="A93">
        <v>593.21</v>
      </c>
      <c r="B93">
        <v>6.9047300000000004E-4</v>
      </c>
      <c r="C93">
        <v>1.1458E-4</v>
      </c>
      <c r="D93">
        <f t="shared" si="13"/>
        <v>57.17350622681505</v>
      </c>
      <c r="E93">
        <f t="shared" si="14"/>
        <v>79.031590564215747</v>
      </c>
      <c r="G93">
        <v>5.2248400000000003E-4</v>
      </c>
      <c r="H93">
        <v>1.35012E-4</v>
      </c>
      <c r="I93">
        <f t="shared" si="15"/>
        <v>63.700858921136536</v>
      </c>
      <c r="J93">
        <f t="shared" si="16"/>
        <v>111.57924314675085</v>
      </c>
      <c r="L93" s="4">
        <v>5.6704399999999995E-4</v>
      </c>
      <c r="M93" s="4">
        <v>9.8125699999999995E-5</v>
      </c>
      <c r="N93" s="3">
        <f t="shared" si="17"/>
        <v>61.697585602837648</v>
      </c>
      <c r="O93" s="3">
        <f t="shared" si="18"/>
        <v>77.037464474696563</v>
      </c>
      <c r="Q93">
        <f t="shared" si="12"/>
        <v>5.9333366666666678E-4</v>
      </c>
      <c r="R93">
        <f t="shared" si="12"/>
        <v>1.1590589999999999E-4</v>
      </c>
      <c r="T93">
        <f t="shared" si="19"/>
        <v>60.85731691692974</v>
      </c>
      <c r="U93">
        <f t="shared" si="20"/>
        <v>89.216099395221065</v>
      </c>
      <c r="W93">
        <f t="shared" si="21"/>
        <v>2.7302163403174409</v>
      </c>
      <c r="X93">
        <f t="shared" si="22"/>
        <v>15.834072618963521</v>
      </c>
    </row>
    <row r="94" spans="1:24" x14ac:dyDescent="0.35">
      <c r="A94">
        <v>599.31799999999998</v>
      </c>
      <c r="B94">
        <v>6.9213100000000002E-4</v>
      </c>
      <c r="C94">
        <v>1.1420499999999999E-4</v>
      </c>
      <c r="D94">
        <f t="shared" si="13"/>
        <v>57.310794250132481</v>
      </c>
      <c r="E94">
        <f t="shared" si="14"/>
        <v>78.772934197820376</v>
      </c>
      <c r="G94">
        <v>5.2831199999999997E-4</v>
      </c>
      <c r="H94">
        <v>1.45091E-4</v>
      </c>
      <c r="I94">
        <f t="shared" si="15"/>
        <v>64.41140432691428</v>
      </c>
      <c r="J94">
        <f t="shared" si="16"/>
        <v>119.90892637250931</v>
      </c>
      <c r="L94" s="4">
        <v>5.6848700000000001E-4</v>
      </c>
      <c r="M94" s="4">
        <v>1.00745E-4</v>
      </c>
      <c r="N94" s="3">
        <f t="shared" si="17"/>
        <v>61.854592142056639</v>
      </c>
      <c r="O94" s="3">
        <f t="shared" si="18"/>
        <v>79.093849608240291</v>
      </c>
      <c r="Q94">
        <f t="shared" si="12"/>
        <v>5.9630999999999996E-4</v>
      </c>
      <c r="R94">
        <f t="shared" si="12"/>
        <v>1.2001366666666667E-4</v>
      </c>
      <c r="T94">
        <f t="shared" si="19"/>
        <v>61.192263573034467</v>
      </c>
      <c r="U94">
        <f t="shared" si="20"/>
        <v>92.591903392856651</v>
      </c>
      <c r="W94">
        <f t="shared" si="21"/>
        <v>2.9364008826715087</v>
      </c>
      <c r="X94">
        <f t="shared" si="22"/>
        <v>19.316496490967062</v>
      </c>
    </row>
    <row r="95" spans="1:24" x14ac:dyDescent="0.35">
      <c r="A95">
        <v>605.59400000000005</v>
      </c>
      <c r="B95">
        <v>6.9428199999999995E-4</v>
      </c>
      <c r="C95">
        <v>1.1428400000000001E-4</v>
      </c>
      <c r="D95">
        <f t="shared" si="13"/>
        <v>57.488904345521988</v>
      </c>
      <c r="E95">
        <f t="shared" si="14"/>
        <v>78.827424472341008</v>
      </c>
      <c r="G95">
        <v>5.2972200000000005E-4</v>
      </c>
      <c r="H95">
        <v>1.4484900000000001E-4</v>
      </c>
      <c r="I95">
        <f t="shared" si="15"/>
        <v>64.583310473473418</v>
      </c>
      <c r="J95">
        <f t="shared" si="16"/>
        <v>119.70892802538822</v>
      </c>
      <c r="L95" s="4">
        <v>5.7042300000000002E-4</v>
      </c>
      <c r="M95" s="4">
        <v>1.07067E-4</v>
      </c>
      <c r="N95" s="3">
        <f t="shared" si="17"/>
        <v>62.065239862034446</v>
      </c>
      <c r="O95" s="3">
        <f t="shared" si="18"/>
        <v>84.057185924914023</v>
      </c>
      <c r="Q95">
        <f t="shared" si="12"/>
        <v>5.9814233333333334E-4</v>
      </c>
      <c r="R95">
        <f t="shared" si="12"/>
        <v>1.2206666666666667E-4</v>
      </c>
      <c r="T95">
        <f t="shared" si="19"/>
        <v>61.379151560343281</v>
      </c>
      <c r="U95">
        <f t="shared" si="20"/>
        <v>94.197846140881097</v>
      </c>
      <c r="W95">
        <f t="shared" si="21"/>
        <v>2.9366292973823804</v>
      </c>
      <c r="X95">
        <f t="shared" si="22"/>
        <v>18.164967664917036</v>
      </c>
    </row>
    <row r="96" spans="1:24" x14ac:dyDescent="0.35">
      <c r="A96">
        <v>611.76900000000001</v>
      </c>
      <c r="B96">
        <v>6.9723799999999998E-4</v>
      </c>
      <c r="C96">
        <v>1.13723E-4</v>
      </c>
      <c r="D96">
        <f t="shared" si="13"/>
        <v>57.733671171171167</v>
      </c>
      <c r="E96">
        <f t="shared" si="14"/>
        <v>78.44047454821353</v>
      </c>
      <c r="G96">
        <v>5.3057400000000002E-4</v>
      </c>
      <c r="H96">
        <v>1.38854E-4</v>
      </c>
      <c r="I96">
        <f t="shared" si="15"/>
        <v>64.687185676926177</v>
      </c>
      <c r="J96">
        <f t="shared" si="16"/>
        <v>114.754423517161</v>
      </c>
      <c r="L96" s="4">
        <v>5.7393799999999997E-4</v>
      </c>
      <c r="M96" s="4">
        <v>1.08309E-4</v>
      </c>
      <c r="N96" s="3">
        <f t="shared" si="17"/>
        <v>62.447691688337116</v>
      </c>
      <c r="O96" s="3">
        <f t="shared" si="18"/>
        <v>85.032267181685427</v>
      </c>
      <c r="Q96">
        <f t="shared" si="12"/>
        <v>6.0058333333333329E-4</v>
      </c>
      <c r="R96">
        <f t="shared" si="12"/>
        <v>1.2029533333333333E-4</v>
      </c>
      <c r="T96">
        <f t="shared" si="19"/>
        <v>61.622849512144818</v>
      </c>
      <c r="U96">
        <f t="shared" si="20"/>
        <v>92.742388415686648</v>
      </c>
      <c r="W96">
        <f t="shared" si="21"/>
        <v>2.8980584830946809</v>
      </c>
      <c r="X96">
        <f t="shared" si="22"/>
        <v>15.795784237407114</v>
      </c>
    </row>
    <row r="97" spans="1:24" x14ac:dyDescent="0.35">
      <c r="A97">
        <v>617.947</v>
      </c>
      <c r="B97">
        <v>7.0022900000000002E-4</v>
      </c>
      <c r="C97">
        <v>1.13403E-4</v>
      </c>
      <c r="D97">
        <f t="shared" si="13"/>
        <v>57.981336115527291</v>
      </c>
      <c r="E97">
        <f t="shared" si="14"/>
        <v>78.219754448889503</v>
      </c>
      <c r="G97">
        <v>5.3222100000000004E-4</v>
      </c>
      <c r="H97">
        <v>1.3890500000000001E-4</v>
      </c>
      <c r="I97">
        <f t="shared" si="15"/>
        <v>64.887986686417591</v>
      </c>
      <c r="J97">
        <f t="shared" si="16"/>
        <v>114.79657192915762</v>
      </c>
      <c r="L97" s="4">
        <v>5.7470299999999998E-4</v>
      </c>
      <c r="M97" s="4">
        <v>1.00729E-4</v>
      </c>
      <c r="N97" s="3">
        <f t="shared" si="17"/>
        <v>62.530928003307686</v>
      </c>
      <c r="O97" s="3">
        <f t="shared" si="18"/>
        <v>79.08128817498077</v>
      </c>
      <c r="Q97">
        <f t="shared" si="12"/>
        <v>6.0238433333333335E-4</v>
      </c>
      <c r="R97">
        <f t="shared" si="12"/>
        <v>1.1767900000000002E-4</v>
      </c>
      <c r="T97">
        <f t="shared" si="19"/>
        <v>61.800083601750856</v>
      </c>
      <c r="U97">
        <f t="shared" si="20"/>
        <v>90.699204851009299</v>
      </c>
      <c r="W97">
        <f t="shared" si="21"/>
        <v>2.8665956210064518</v>
      </c>
      <c r="X97">
        <f t="shared" si="22"/>
        <v>17.043041300671103</v>
      </c>
    </row>
    <row r="98" spans="1:24" x14ac:dyDescent="0.35">
      <c r="A98">
        <v>624.12199999999996</v>
      </c>
      <c r="B98">
        <v>7.0210499999999996E-4</v>
      </c>
      <c r="C98">
        <v>1.13278E-4</v>
      </c>
      <c r="D98">
        <f t="shared" si="13"/>
        <v>58.136675278219386</v>
      </c>
      <c r="E98">
        <f t="shared" si="14"/>
        <v>78.133535660091042</v>
      </c>
      <c r="G98">
        <v>5.3816400000000005E-4</v>
      </c>
      <c r="H98">
        <v>1.43339E-4</v>
      </c>
      <c r="I98">
        <f t="shared" si="15"/>
        <v>65.612552806276398</v>
      </c>
      <c r="J98">
        <f t="shared" si="16"/>
        <v>118.46100445450864</v>
      </c>
      <c r="L98" s="4">
        <v>5.7576999999999997E-4</v>
      </c>
      <c r="M98" s="4">
        <v>1.02396E-4</v>
      </c>
      <c r="N98" s="3">
        <f t="shared" si="17"/>
        <v>62.647023621704548</v>
      </c>
      <c r="O98" s="3">
        <f t="shared" si="18"/>
        <v>80.39003250270855</v>
      </c>
      <c r="Q98">
        <f t="shared" si="12"/>
        <v>6.0534633333333336E-4</v>
      </c>
      <c r="R98">
        <f t="shared" si="12"/>
        <v>1.19671E-4</v>
      </c>
      <c r="T98">
        <f t="shared" si="19"/>
        <v>62.132083902066775</v>
      </c>
      <c r="U98">
        <f t="shared" si="20"/>
        <v>92.328190872436082</v>
      </c>
      <c r="W98">
        <f t="shared" si="21"/>
        <v>3.0736577981044477</v>
      </c>
      <c r="X98">
        <f t="shared" si="22"/>
        <v>18.501637833566782</v>
      </c>
    </row>
    <row r="99" spans="1:24" x14ac:dyDescent="0.35">
      <c r="A99">
        <v>630.39800000000002</v>
      </c>
      <c r="B99">
        <v>7.0460599999999998E-4</v>
      </c>
      <c r="C99">
        <v>1.13497E-4</v>
      </c>
      <c r="D99">
        <f t="shared" si="13"/>
        <v>58.343766560678326</v>
      </c>
      <c r="E99">
        <f t="shared" si="14"/>
        <v>78.284590978065935</v>
      </c>
      <c r="G99">
        <v>5.41831E-4</v>
      </c>
      <c r="H99">
        <v>1.51476E-4</v>
      </c>
      <c r="I99">
        <f t="shared" si="15"/>
        <v>66.059630706583022</v>
      </c>
      <c r="J99">
        <f t="shared" si="16"/>
        <v>125.18574226659283</v>
      </c>
      <c r="L99" s="4">
        <v>5.7604499999999996E-4</v>
      </c>
      <c r="M99" s="4">
        <v>1.01939E-4</v>
      </c>
      <c r="N99" s="3">
        <f t="shared" si="17"/>
        <v>62.676945172837748</v>
      </c>
      <c r="O99" s="3">
        <f t="shared" si="18"/>
        <v>80.03124656523309</v>
      </c>
      <c r="Q99">
        <f t="shared" si="12"/>
        <v>6.0749399999999998E-4</v>
      </c>
      <c r="R99">
        <f t="shared" si="12"/>
        <v>1.22304E-4</v>
      </c>
      <c r="T99">
        <f t="shared" si="19"/>
        <v>62.360114146699694</v>
      </c>
      <c r="U99">
        <f t="shared" si="20"/>
        <v>94.500526603297274</v>
      </c>
      <c r="W99">
        <f t="shared" si="21"/>
        <v>3.1579451445369946</v>
      </c>
      <c r="X99">
        <f t="shared" si="22"/>
        <v>21.709437988461239</v>
      </c>
    </row>
    <row r="100" spans="1:24" x14ac:dyDescent="0.35">
      <c r="A100">
        <v>636.58100000000002</v>
      </c>
      <c r="B100">
        <v>7.0616400000000001E-4</v>
      </c>
      <c r="C100">
        <v>1.13742E-4</v>
      </c>
      <c r="D100">
        <f t="shared" si="13"/>
        <v>58.472774244833069</v>
      </c>
      <c r="E100">
        <f t="shared" si="14"/>
        <v>78.453579804110902</v>
      </c>
      <c r="G100">
        <v>5.3938E-4</v>
      </c>
      <c r="H100">
        <v>1.4758999999999999E-4</v>
      </c>
      <c r="I100">
        <f t="shared" si="15"/>
        <v>65.76080661777705</v>
      </c>
      <c r="J100">
        <f t="shared" si="16"/>
        <v>121.97419856034246</v>
      </c>
      <c r="L100" s="4">
        <v>5.7670099999999999E-4</v>
      </c>
      <c r="M100" s="4">
        <v>1.0336E-4</v>
      </c>
      <c r="N100" s="3">
        <f t="shared" si="17"/>
        <v>62.748321672995523</v>
      </c>
      <c r="O100" s="3">
        <f t="shared" si="18"/>
        <v>81.146858856595543</v>
      </c>
      <c r="Q100">
        <f t="shared" si="12"/>
        <v>6.0741499999999993E-4</v>
      </c>
      <c r="R100">
        <f t="shared" si="12"/>
        <v>1.2156399999999999E-4</v>
      </c>
      <c r="T100">
        <f t="shared" si="19"/>
        <v>62.327300845201883</v>
      </c>
      <c r="U100">
        <f t="shared" si="20"/>
        <v>93.858212407016296</v>
      </c>
      <c r="W100">
        <f t="shared" si="21"/>
        <v>2.9901837034254712</v>
      </c>
      <c r="X100">
        <f t="shared" si="22"/>
        <v>19.911386123592049</v>
      </c>
    </row>
    <row r="101" spans="1:24" x14ac:dyDescent="0.35">
      <c r="A101">
        <v>642.83500000000004</v>
      </c>
      <c r="B101">
        <v>7.0820699999999998E-4</v>
      </c>
      <c r="C101">
        <v>1.1321E-4</v>
      </c>
      <c r="D101">
        <f t="shared" si="13"/>
        <v>58.641941573926857</v>
      </c>
      <c r="E101">
        <f t="shared" si="14"/>
        <v>78.086632638984682</v>
      </c>
      <c r="G101">
        <v>5.4622899999999996E-4</v>
      </c>
      <c r="H101">
        <v>1.51588E-4</v>
      </c>
      <c r="I101">
        <f t="shared" si="15"/>
        <v>66.595831580744075</v>
      </c>
      <c r="J101">
        <f t="shared" si="16"/>
        <v>125.27830348509517</v>
      </c>
      <c r="L101" s="4">
        <v>5.7791699999999995E-4</v>
      </c>
      <c r="M101" s="4">
        <v>1.06667E-4</v>
      </c>
      <c r="N101" s="3">
        <f t="shared" si="17"/>
        <v>62.880629331824558</v>
      </c>
      <c r="O101" s="3">
        <f t="shared" si="18"/>
        <v>83.743150093425655</v>
      </c>
      <c r="Q101">
        <f t="shared" si="12"/>
        <v>6.1078433333333322E-4</v>
      </c>
      <c r="R101">
        <f t="shared" si="12"/>
        <v>1.2382166666666667E-4</v>
      </c>
      <c r="T101">
        <f t="shared" si="19"/>
        <v>62.706134162165164</v>
      </c>
      <c r="U101">
        <f t="shared" si="20"/>
        <v>95.702695405835172</v>
      </c>
      <c r="W101">
        <f t="shared" si="21"/>
        <v>3.2495053965501222</v>
      </c>
      <c r="X101">
        <f t="shared" si="22"/>
        <v>21.040223261990189</v>
      </c>
    </row>
    <row r="102" spans="1:24" x14ac:dyDescent="0.35">
      <c r="A102">
        <v>649.06100000000004</v>
      </c>
      <c r="B102">
        <v>7.1013800000000002E-4</v>
      </c>
      <c r="C102">
        <v>1.13262E-4</v>
      </c>
      <c r="D102">
        <f t="shared" si="13"/>
        <v>58.801834923158459</v>
      </c>
      <c r="E102">
        <f t="shared" si="14"/>
        <v>78.122499655124841</v>
      </c>
      <c r="G102">
        <v>5.4500200000000005E-4</v>
      </c>
      <c r="H102">
        <v>1.4930400000000001E-4</v>
      </c>
      <c r="I102">
        <f t="shared" si="15"/>
        <v>66.446236657461768</v>
      </c>
      <c r="J102">
        <f t="shared" si="16"/>
        <v>123.39071577920843</v>
      </c>
      <c r="L102" s="4">
        <v>5.7904600000000005E-4</v>
      </c>
      <c r="M102" s="4">
        <v>1.0634200000000001E-4</v>
      </c>
      <c r="N102" s="3">
        <f t="shared" si="17"/>
        <v>63.003470899931457</v>
      </c>
      <c r="O102" s="3">
        <f t="shared" si="18"/>
        <v>83.487995980341353</v>
      </c>
      <c r="Q102">
        <f t="shared" si="12"/>
        <v>6.1139533333333341E-4</v>
      </c>
      <c r="R102">
        <f t="shared" si="12"/>
        <v>1.2296933333333333E-4</v>
      </c>
      <c r="T102">
        <f t="shared" si="19"/>
        <v>62.75051416018389</v>
      </c>
      <c r="U102">
        <f t="shared" si="20"/>
        <v>95.000403804891548</v>
      </c>
      <c r="W102">
        <f t="shared" si="21"/>
        <v>3.1259355722719389</v>
      </c>
      <c r="X102">
        <f t="shared" si="22"/>
        <v>20.194132781631698</v>
      </c>
    </row>
    <row r="103" spans="1:24" x14ac:dyDescent="0.35">
      <c r="A103">
        <v>655.28099999999995</v>
      </c>
      <c r="B103">
        <v>7.1043899999999999E-4</v>
      </c>
      <c r="C103">
        <v>1.1356100000000001E-4</v>
      </c>
      <c r="D103">
        <f t="shared" si="13"/>
        <v>58.826758744038152</v>
      </c>
      <c r="E103">
        <f t="shared" si="14"/>
        <v>78.328734997930752</v>
      </c>
      <c r="G103">
        <v>5.4874500000000001E-4</v>
      </c>
      <c r="H103">
        <v>1.52115E-4</v>
      </c>
      <c r="I103">
        <f t="shared" si="15"/>
        <v>66.902580420987178</v>
      </c>
      <c r="J103">
        <f t="shared" si="16"/>
        <v>125.71383707572666</v>
      </c>
      <c r="L103" s="4">
        <v>5.7800500000000003E-4</v>
      </c>
      <c r="M103" s="4">
        <v>1.05006E-4</v>
      </c>
      <c r="N103" s="3">
        <f t="shared" si="17"/>
        <v>62.890204228187194</v>
      </c>
      <c r="O103" s="3">
        <f t="shared" si="18"/>
        <v>82.439116303170195</v>
      </c>
      <c r="Q103">
        <f t="shared" si="12"/>
        <v>6.1239633333333334E-4</v>
      </c>
      <c r="R103">
        <f t="shared" si="12"/>
        <v>1.2356066666666666E-4</v>
      </c>
      <c r="T103">
        <f t="shared" si="19"/>
        <v>62.873181131070844</v>
      </c>
      <c r="U103">
        <f t="shared" si="20"/>
        <v>95.493896125609197</v>
      </c>
      <c r="W103">
        <f t="shared" si="21"/>
        <v>3.2969623674777284</v>
      </c>
      <c r="X103">
        <f t="shared" si="22"/>
        <v>21.434511609241422</v>
      </c>
    </row>
    <row r="104" spans="1:24" x14ac:dyDescent="0.35">
      <c r="A104">
        <v>661.45299999999997</v>
      </c>
      <c r="B104">
        <v>7.1255099999999996E-4</v>
      </c>
      <c r="C104">
        <v>1.1325E-4</v>
      </c>
      <c r="D104">
        <f t="shared" si="13"/>
        <v>59.001639507154216</v>
      </c>
      <c r="E104">
        <f t="shared" si="14"/>
        <v>78.114222651400183</v>
      </c>
      <c r="G104">
        <v>5.5158699999999998E-4</v>
      </c>
      <c r="H104">
        <v>1.5323100000000001E-4</v>
      </c>
      <c r="I104">
        <f t="shared" si="15"/>
        <v>67.24907493766878</v>
      </c>
      <c r="J104">
        <f t="shared" si="16"/>
        <v>126.63614350294625</v>
      </c>
      <c r="L104" s="4">
        <v>5.8210599999999999E-4</v>
      </c>
      <c r="M104" s="4">
        <v>1.06395E-4</v>
      </c>
      <c r="N104" s="3">
        <f t="shared" si="17"/>
        <v>63.336416159813723</v>
      </c>
      <c r="O104" s="3">
        <f t="shared" si="18"/>
        <v>83.529605728013564</v>
      </c>
      <c r="Q104">
        <f t="shared" si="12"/>
        <v>6.1541466666666664E-4</v>
      </c>
      <c r="R104">
        <f t="shared" si="12"/>
        <v>1.24292E-4</v>
      </c>
      <c r="T104">
        <f t="shared" si="19"/>
        <v>63.195710201545573</v>
      </c>
      <c r="U104">
        <f t="shared" si="20"/>
        <v>96.093323960786662</v>
      </c>
      <c r="W104">
        <f t="shared" si="21"/>
        <v>3.368471109187456</v>
      </c>
      <c r="X104">
        <f t="shared" si="22"/>
        <v>21.709897322885009</v>
      </c>
    </row>
    <row r="105" spans="1:24" x14ac:dyDescent="0.35">
      <c r="A105">
        <v>667.70500000000004</v>
      </c>
      <c r="B105">
        <v>7.1469600000000002E-4</v>
      </c>
      <c r="C105">
        <v>1.12786E-4</v>
      </c>
      <c r="D105">
        <f t="shared" si="13"/>
        <v>59.179252782193956</v>
      </c>
      <c r="E105">
        <f t="shared" si="14"/>
        <v>77.794178507380323</v>
      </c>
      <c r="G105">
        <v>5.5392500000000003E-4</v>
      </c>
      <c r="H105">
        <v>1.5369400000000001E-4</v>
      </c>
      <c r="I105">
        <f t="shared" si="15"/>
        <v>67.534122150899464</v>
      </c>
      <c r="J105">
        <f t="shared" si="16"/>
        <v>127.01878496871927</v>
      </c>
      <c r="L105" s="4">
        <v>5.8421000000000005E-4</v>
      </c>
      <c r="M105" s="4">
        <v>1.03399E-4</v>
      </c>
      <c r="N105" s="3">
        <f t="shared" si="17"/>
        <v>63.565343227392916</v>
      </c>
      <c r="O105" s="3">
        <f t="shared" si="18"/>
        <v>81.177477350165645</v>
      </c>
      <c r="Q105">
        <f t="shared" si="12"/>
        <v>6.1761033333333337E-4</v>
      </c>
      <c r="R105">
        <f t="shared" si="12"/>
        <v>1.2329300000000001E-4</v>
      </c>
      <c r="T105">
        <f t="shared" si="19"/>
        <v>63.426239386828776</v>
      </c>
      <c r="U105">
        <f t="shared" si="20"/>
        <v>95.330146942088405</v>
      </c>
      <c r="W105">
        <f t="shared" si="21"/>
        <v>3.4122790967209546</v>
      </c>
      <c r="X105">
        <f t="shared" si="22"/>
        <v>22.44978118307651</v>
      </c>
    </row>
    <row r="106" spans="1:24" x14ac:dyDescent="0.35">
      <c r="A106">
        <v>673.85199999999998</v>
      </c>
      <c r="B106">
        <v>7.16072E-4</v>
      </c>
      <c r="C106">
        <v>1.13275E-4</v>
      </c>
      <c r="D106">
        <f t="shared" si="13"/>
        <v>59.293190249072602</v>
      </c>
      <c r="E106">
        <f t="shared" si="14"/>
        <v>78.131466409159884</v>
      </c>
      <c r="G106">
        <v>5.5560799999999997E-4</v>
      </c>
      <c r="H106">
        <v>1.56525E-4</v>
      </c>
      <c r="I106">
        <f t="shared" si="15"/>
        <v>67.739312253494504</v>
      </c>
      <c r="J106">
        <f t="shared" si="16"/>
        <v>129.35843505425575</v>
      </c>
      <c r="L106" s="4">
        <v>5.8394000000000002E-4</v>
      </c>
      <c r="M106" s="4">
        <v>1.02389E-4</v>
      </c>
      <c r="N106" s="3">
        <f t="shared" si="17"/>
        <v>63.535965704462114</v>
      </c>
      <c r="O106" s="3">
        <f t="shared" si="18"/>
        <v>80.384536875657503</v>
      </c>
      <c r="Q106">
        <f t="shared" si="12"/>
        <v>6.1854E-4</v>
      </c>
      <c r="R106">
        <f t="shared" si="12"/>
        <v>1.2406299999999999E-4</v>
      </c>
      <c r="T106">
        <f t="shared" si="19"/>
        <v>63.522822735676407</v>
      </c>
      <c r="U106">
        <f t="shared" si="20"/>
        <v>95.958146113024384</v>
      </c>
      <c r="W106">
        <f t="shared" si="21"/>
        <v>3.4481273933945014</v>
      </c>
      <c r="X106">
        <f t="shared" si="22"/>
        <v>23.635475563229868</v>
      </c>
    </row>
    <row r="107" spans="1:24" x14ac:dyDescent="0.35">
      <c r="A107">
        <v>680.23400000000004</v>
      </c>
      <c r="B107">
        <v>7.1832500000000002E-4</v>
      </c>
      <c r="C107">
        <v>1.1298000000000001E-4</v>
      </c>
      <c r="D107">
        <f t="shared" si="13"/>
        <v>59.479746290408052</v>
      </c>
      <c r="E107">
        <f t="shared" si="14"/>
        <v>77.92799006759553</v>
      </c>
      <c r="G107">
        <v>5.5703000000000003E-4</v>
      </c>
      <c r="H107">
        <v>1.57524E-4</v>
      </c>
      <c r="I107">
        <f t="shared" si="15"/>
        <v>67.912681431088203</v>
      </c>
      <c r="J107">
        <f t="shared" si="16"/>
        <v>130.18404806571846</v>
      </c>
      <c r="L107" s="4">
        <v>5.8453699999999999E-4</v>
      </c>
      <c r="M107" s="4">
        <v>1.02565E-4</v>
      </c>
      <c r="N107" s="3">
        <f t="shared" si="17"/>
        <v>63.600922671831306</v>
      </c>
      <c r="O107" s="3">
        <f t="shared" si="18"/>
        <v>80.522712641512399</v>
      </c>
      <c r="Q107">
        <f t="shared" si="12"/>
        <v>6.1996400000000008E-4</v>
      </c>
      <c r="R107">
        <f t="shared" si="12"/>
        <v>1.2435633333333335E-4</v>
      </c>
      <c r="T107">
        <f t="shared" si="19"/>
        <v>63.664450131109191</v>
      </c>
      <c r="U107">
        <f t="shared" si="20"/>
        <v>96.2115835916088</v>
      </c>
      <c r="W107">
        <f t="shared" si="21"/>
        <v>3.4430244045307279</v>
      </c>
      <c r="X107">
        <f t="shared" si="22"/>
        <v>24.045504127832036</v>
      </c>
    </row>
    <row r="108" spans="1:24" x14ac:dyDescent="0.35">
      <c r="A108">
        <v>686.39200000000005</v>
      </c>
      <c r="B108">
        <v>7.1971100000000005E-4</v>
      </c>
      <c r="C108">
        <v>1.12654E-4</v>
      </c>
      <c r="D108">
        <f t="shared" si="13"/>
        <v>59.594511791202962</v>
      </c>
      <c r="E108">
        <f t="shared" si="14"/>
        <v>77.703131466409147</v>
      </c>
      <c r="G108">
        <v>5.5676E-4</v>
      </c>
      <c r="H108">
        <v>1.5469E-4</v>
      </c>
      <c r="I108">
        <f t="shared" si="15"/>
        <v>67.879763232810902</v>
      </c>
      <c r="J108">
        <f t="shared" si="16"/>
        <v>127.84191866182924</v>
      </c>
      <c r="L108" s="4">
        <v>5.8464599999999997E-4</v>
      </c>
      <c r="M108" s="4">
        <v>1.0710200000000001E-4</v>
      </c>
      <c r="N108" s="3">
        <f t="shared" si="17"/>
        <v>63.612782486644107</v>
      </c>
      <c r="O108" s="3">
        <f t="shared" si="18"/>
        <v>84.084664060169274</v>
      </c>
      <c r="Q108">
        <f t="shared" si="12"/>
        <v>6.2037233333333327E-4</v>
      </c>
      <c r="R108">
        <f t="shared" si="12"/>
        <v>1.2481533333333331E-4</v>
      </c>
      <c r="T108">
        <f t="shared" si="19"/>
        <v>63.695685836885993</v>
      </c>
      <c r="U108">
        <f t="shared" si="20"/>
        <v>96.543238062802558</v>
      </c>
      <c r="W108">
        <f t="shared" si="21"/>
        <v>3.3829476877202431</v>
      </c>
      <c r="X108">
        <f t="shared" si="22"/>
        <v>22.284322515933692</v>
      </c>
    </row>
    <row r="109" spans="1:24" x14ac:dyDescent="0.35">
      <c r="A109">
        <v>692.49400000000003</v>
      </c>
      <c r="B109">
        <v>7.2086899999999996E-4</v>
      </c>
      <c r="C109">
        <v>1.13392E-4</v>
      </c>
      <c r="D109">
        <f t="shared" si="13"/>
        <v>59.690398118706931</v>
      </c>
      <c r="E109">
        <f t="shared" si="14"/>
        <v>78.212167195475232</v>
      </c>
      <c r="G109">
        <v>5.5954099999999999E-4</v>
      </c>
      <c r="H109">
        <v>1.5623199999999999E-4</v>
      </c>
      <c r="I109">
        <f t="shared" si="15"/>
        <v>68.218820675066908</v>
      </c>
      <c r="J109">
        <f t="shared" si="16"/>
        <v>129.11628829513805</v>
      </c>
      <c r="L109" s="4">
        <v>5.8670700000000001E-4</v>
      </c>
      <c r="M109" s="4">
        <v>1.08164E-4</v>
      </c>
      <c r="N109" s="3">
        <f t="shared" si="17"/>
        <v>63.837030911682454</v>
      </c>
      <c r="O109" s="3">
        <f t="shared" si="18"/>
        <v>84.918429192770901</v>
      </c>
      <c r="Q109">
        <f t="shared" si="12"/>
        <v>6.2237233333333343E-4</v>
      </c>
      <c r="R109">
        <f t="shared" si="12"/>
        <v>1.2592933333333334E-4</v>
      </c>
      <c r="T109">
        <f t="shared" si="19"/>
        <v>63.915416568485433</v>
      </c>
      <c r="U109">
        <f t="shared" si="20"/>
        <v>97.415628227794741</v>
      </c>
      <c r="W109">
        <f t="shared" si="21"/>
        <v>3.482155085417816</v>
      </c>
      <c r="X109">
        <f t="shared" si="22"/>
        <v>22.582328991537153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0699-3109-45DE-A519-0D9A8E40DE8A}">
  <dimension ref="A1:X109"/>
  <sheetViews>
    <sheetView workbookViewId="0">
      <selection activeCell="I1" sqref="I1:J1048576"/>
    </sheetView>
  </sheetViews>
  <sheetFormatPr defaultColWidth="8.81640625" defaultRowHeight="14.5" x14ac:dyDescent="0.35"/>
  <cols>
    <col min="1" max="1" width="9.453125" bestFit="1" customWidth="1"/>
    <col min="2" max="2" width="12.36328125" bestFit="1" customWidth="1"/>
    <col min="3" max="3" width="9.453125" bestFit="1" customWidth="1"/>
    <col min="4" max="5" width="12.453125" customWidth="1"/>
    <col min="7" max="7" width="12.36328125" bestFit="1" customWidth="1"/>
    <col min="8" max="8" width="11.81640625" bestFit="1" customWidth="1"/>
    <col min="9" max="10" width="12.1796875" customWidth="1"/>
    <col min="12" max="13" width="11.81640625" bestFit="1" customWidth="1"/>
    <col min="14" max="15" width="11.81640625" customWidth="1"/>
    <col min="16" max="16" width="8.816406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t="s">
        <v>0</v>
      </c>
      <c r="M1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t="s">
        <v>2</v>
      </c>
      <c r="M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1.27728E-3</v>
      </c>
      <c r="C3">
        <v>1.5087E-4</v>
      </c>
      <c r="D3">
        <f>B3/$B$3*100</f>
        <v>100</v>
      </c>
      <c r="E3">
        <f>C3/$C$3*100</f>
        <v>100</v>
      </c>
      <c r="G3">
        <v>7.5469299999999997E-4</v>
      </c>
      <c r="H3">
        <v>1.2251499999999999E-4</v>
      </c>
      <c r="I3">
        <f>G3/$G$3*100</f>
        <v>100</v>
      </c>
      <c r="J3">
        <f>H3/$H$3*100</f>
        <v>100</v>
      </c>
      <c r="Q3">
        <f t="shared" ref="Q3:Q34" si="0">AVERAGE(B3,G3,L3)</f>
        <v>1.0159864999999999E-3</v>
      </c>
      <c r="R3">
        <f t="shared" ref="R3:R34" si="1">AVERAGE(C3,H3,M3)</f>
        <v>1.3669250000000001E-4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1.2787499999999999E-3</v>
      </c>
      <c r="C4">
        <v>1.4899499999999999E-4</v>
      </c>
      <c r="D4">
        <f t="shared" ref="D4:D67" si="2">B4/$B$3*100</f>
        <v>100.1150883126644</v>
      </c>
      <c r="E4">
        <f t="shared" ref="E4:E67" si="3">C4/$C$3*100</f>
        <v>98.757208192483589</v>
      </c>
      <c r="G4">
        <v>7.5678300000000002E-4</v>
      </c>
      <c r="H4">
        <v>1.2428999999999999E-4</v>
      </c>
      <c r="I4">
        <f t="shared" ref="I4:I67" si="4">G4/$G$3*100</f>
        <v>100.27693379957149</v>
      </c>
      <c r="J4">
        <f t="shared" ref="J4:J67" si="5">H4/$H$3*100</f>
        <v>101.44880218748725</v>
      </c>
      <c r="Q4">
        <f t="shared" si="0"/>
        <v>1.0177665E-3</v>
      </c>
      <c r="R4">
        <f t="shared" si="1"/>
        <v>1.3664249999999998E-4</v>
      </c>
      <c r="T4">
        <f t="shared" ref="T4:U67" si="6">AVERAGE(D4,I4,N4)</f>
        <v>100.19601105611795</v>
      </c>
      <c r="U4">
        <f t="shared" si="6"/>
        <v>100.10300518998542</v>
      </c>
      <c r="W4">
        <f t="shared" ref="W4:X67" si="7">_xlfn.STDEV.P(D4,I4,N4)</f>
        <v>8.0922743453548662E-2</v>
      </c>
      <c r="X4">
        <f t="shared" si="7"/>
        <v>1.3457969975018287</v>
      </c>
    </row>
    <row r="5" spans="1:24" x14ac:dyDescent="0.35">
      <c r="A5">
        <v>18.545500000000001</v>
      </c>
      <c r="B5">
        <v>1.28148E-3</v>
      </c>
      <c r="C5">
        <v>1.4843500000000001E-4</v>
      </c>
      <c r="D5">
        <f t="shared" si="2"/>
        <v>100.32882375046974</v>
      </c>
      <c r="E5">
        <f t="shared" si="3"/>
        <v>98.38602770597204</v>
      </c>
      <c r="G5">
        <v>7.5572699999999998E-4</v>
      </c>
      <c r="H5">
        <v>1.21422E-4</v>
      </c>
      <c r="I5">
        <f t="shared" si="4"/>
        <v>100.13700935347221</v>
      </c>
      <c r="J5">
        <f t="shared" si="5"/>
        <v>99.107864343141671</v>
      </c>
      <c r="Q5">
        <f t="shared" si="0"/>
        <v>1.0186035E-3</v>
      </c>
      <c r="R5">
        <f t="shared" si="1"/>
        <v>1.3492850000000001E-4</v>
      </c>
      <c r="T5">
        <f t="shared" si="6"/>
        <v>100.23291655197097</v>
      </c>
      <c r="U5">
        <f t="shared" si="6"/>
        <v>98.746946024556848</v>
      </c>
      <c r="W5">
        <f t="shared" si="7"/>
        <v>9.5907198498764501E-2</v>
      </c>
      <c r="X5">
        <f t="shared" si="7"/>
        <v>0.36091831858481527</v>
      </c>
    </row>
    <row r="6" spans="1:24" x14ac:dyDescent="0.35">
      <c r="A6">
        <v>24.791399999999999</v>
      </c>
      <c r="B6">
        <v>1.2824399999999999E-3</v>
      </c>
      <c r="C6">
        <v>1.51044E-4</v>
      </c>
      <c r="D6">
        <f t="shared" si="2"/>
        <v>100.40398346486283</v>
      </c>
      <c r="E6">
        <f t="shared" si="3"/>
        <v>100.11533107973752</v>
      </c>
      <c r="G6">
        <v>7.5789900000000003E-4</v>
      </c>
      <c r="H6">
        <v>1.2222599999999999E-4</v>
      </c>
      <c r="I6">
        <f t="shared" si="4"/>
        <v>100.42480849829005</v>
      </c>
      <c r="J6">
        <f t="shared" si="5"/>
        <v>99.764110517079544</v>
      </c>
      <c r="Q6">
        <f t="shared" si="0"/>
        <v>1.0201695E-3</v>
      </c>
      <c r="R6">
        <f t="shared" si="1"/>
        <v>1.36635E-4</v>
      </c>
      <c r="T6">
        <f t="shared" si="6"/>
        <v>100.41439598157643</v>
      </c>
      <c r="U6">
        <f t="shared" si="6"/>
        <v>99.93972079840853</v>
      </c>
      <c r="W6">
        <f t="shared" si="7"/>
        <v>1.0412516713607545E-2</v>
      </c>
      <c r="X6">
        <f t="shared" si="7"/>
        <v>0.17561028132898571</v>
      </c>
    </row>
    <row r="7" spans="1:24" x14ac:dyDescent="0.35">
      <c r="A7">
        <v>31.106999999999999</v>
      </c>
      <c r="B7">
        <v>1.2834599999999999E-3</v>
      </c>
      <c r="C7">
        <v>1.47415E-4</v>
      </c>
      <c r="D7">
        <f t="shared" si="2"/>
        <v>100.48384066140548</v>
      </c>
      <c r="E7">
        <f t="shared" si="3"/>
        <v>97.7099489626831</v>
      </c>
      <c r="G7">
        <v>7.5965799999999997E-4</v>
      </c>
      <c r="H7">
        <v>1.20776E-4</v>
      </c>
      <c r="I7">
        <f t="shared" si="4"/>
        <v>100.65788340424517</v>
      </c>
      <c r="J7">
        <f t="shared" si="5"/>
        <v>98.580581969554757</v>
      </c>
      <c r="Q7">
        <f t="shared" si="0"/>
        <v>1.021559E-3</v>
      </c>
      <c r="R7">
        <f t="shared" si="1"/>
        <v>1.3409549999999999E-4</v>
      </c>
      <c r="T7">
        <f t="shared" si="6"/>
        <v>100.57086203282532</v>
      </c>
      <c r="U7">
        <f t="shared" si="6"/>
        <v>98.145265466118929</v>
      </c>
      <c r="W7">
        <f t="shared" si="7"/>
        <v>8.7021371419844229E-2</v>
      </c>
      <c r="X7">
        <f t="shared" si="7"/>
        <v>0.43531650343582839</v>
      </c>
    </row>
    <row r="8" spans="1:24" x14ac:dyDescent="0.35">
      <c r="A8">
        <v>37.192399999999999</v>
      </c>
      <c r="B8">
        <v>1.2847500000000001E-3</v>
      </c>
      <c r="C8">
        <v>1.5357399999999999E-4</v>
      </c>
      <c r="D8">
        <f t="shared" si="2"/>
        <v>100.58483652762121</v>
      </c>
      <c r="E8">
        <f t="shared" si="3"/>
        <v>101.792271492013</v>
      </c>
      <c r="G8">
        <v>7.5971800000000005E-4</v>
      </c>
      <c r="H8">
        <v>1.2371300000000001E-4</v>
      </c>
      <c r="I8">
        <f t="shared" si="4"/>
        <v>100.66583365686445</v>
      </c>
      <c r="J8">
        <f t="shared" si="5"/>
        <v>100.97783944823084</v>
      </c>
      <c r="Q8">
        <f t="shared" si="0"/>
        <v>1.0222340000000001E-3</v>
      </c>
      <c r="R8">
        <f t="shared" si="1"/>
        <v>1.3864349999999999E-4</v>
      </c>
      <c r="T8">
        <f t="shared" si="6"/>
        <v>100.62533509224284</v>
      </c>
      <c r="U8">
        <f t="shared" si="6"/>
        <v>101.38505547012193</v>
      </c>
      <c r="W8">
        <f t="shared" si="7"/>
        <v>4.0498564621621824E-2</v>
      </c>
      <c r="X8">
        <f t="shared" si="7"/>
        <v>0.40721602189108097</v>
      </c>
    </row>
    <row r="9" spans="1:24" x14ac:dyDescent="0.35">
      <c r="A9">
        <v>43.526200000000003</v>
      </c>
      <c r="B9">
        <v>1.2868599999999999E-3</v>
      </c>
      <c r="C9">
        <v>1.5836999999999999E-4</v>
      </c>
      <c r="D9">
        <f t="shared" si="2"/>
        <v>100.75003131654765</v>
      </c>
      <c r="E9">
        <f t="shared" si="3"/>
        <v>104.9711672300656</v>
      </c>
      <c r="G9">
        <v>7.6103499999999997E-4</v>
      </c>
      <c r="H9">
        <v>1.25029E-4</v>
      </c>
      <c r="I9">
        <f t="shared" si="4"/>
        <v>100.84034170185758</v>
      </c>
      <c r="J9">
        <f t="shared" si="5"/>
        <v>102.05199363343264</v>
      </c>
      <c r="Q9">
        <f t="shared" si="0"/>
        <v>1.0239475E-3</v>
      </c>
      <c r="R9">
        <f t="shared" si="1"/>
        <v>1.4169949999999999E-4</v>
      </c>
      <c r="T9">
        <f t="shared" si="6"/>
        <v>100.79518650920261</v>
      </c>
      <c r="U9">
        <f t="shared" si="6"/>
        <v>103.51158043174912</v>
      </c>
      <c r="W9">
        <f t="shared" si="7"/>
        <v>4.5155192654966925E-2</v>
      </c>
      <c r="X9">
        <f t="shared" si="7"/>
        <v>1.4595867983164794</v>
      </c>
    </row>
    <row r="10" spans="1:24" x14ac:dyDescent="0.35">
      <c r="A10">
        <v>49.688299999999998</v>
      </c>
      <c r="B10">
        <v>1.2882099999999999E-3</v>
      </c>
      <c r="C10">
        <v>1.5825299999999999E-4</v>
      </c>
      <c r="D10">
        <f t="shared" si="2"/>
        <v>100.85572466491293</v>
      </c>
      <c r="E10">
        <f t="shared" si="3"/>
        <v>104.8936170212766</v>
      </c>
      <c r="G10">
        <v>7.62373E-4</v>
      </c>
      <c r="H10">
        <v>1.23485E-4</v>
      </c>
      <c r="I10">
        <f t="shared" si="4"/>
        <v>101.01763233526746</v>
      </c>
      <c r="J10">
        <f t="shared" si="5"/>
        <v>100.79173978696487</v>
      </c>
      <c r="Q10">
        <f t="shared" si="0"/>
        <v>1.0252915E-3</v>
      </c>
      <c r="R10">
        <f t="shared" si="1"/>
        <v>1.4086900000000001E-4</v>
      </c>
      <c r="T10">
        <f t="shared" si="6"/>
        <v>100.9366785000902</v>
      </c>
      <c r="U10">
        <f t="shared" si="6"/>
        <v>102.84267840412073</v>
      </c>
      <c r="W10">
        <f t="shared" si="7"/>
        <v>8.0953835177268729E-2</v>
      </c>
      <c r="X10">
        <f t="shared" si="7"/>
        <v>2.0509386171558646</v>
      </c>
    </row>
    <row r="11" spans="1:24" x14ac:dyDescent="0.35">
      <c r="A11">
        <v>55.8005</v>
      </c>
      <c r="B11">
        <v>1.2876700000000001E-3</v>
      </c>
      <c r="C11">
        <v>1.5695499999999999E-4</v>
      </c>
      <c r="D11">
        <f t="shared" si="2"/>
        <v>100.81344732556683</v>
      </c>
      <c r="E11">
        <f t="shared" si="3"/>
        <v>104.03327367932658</v>
      </c>
      <c r="G11">
        <v>7.6453100000000004E-4</v>
      </c>
      <c r="H11">
        <v>1.20158E-4</v>
      </c>
      <c r="I11">
        <f t="shared" si="4"/>
        <v>101.30357642114079</v>
      </c>
      <c r="J11">
        <f t="shared" si="5"/>
        <v>98.076153940333839</v>
      </c>
      <c r="Q11">
        <f t="shared" si="0"/>
        <v>1.0261005E-3</v>
      </c>
      <c r="R11">
        <f t="shared" si="1"/>
        <v>1.385565E-4</v>
      </c>
      <c r="T11">
        <f t="shared" si="6"/>
        <v>101.05851187335381</v>
      </c>
      <c r="U11">
        <f t="shared" si="6"/>
        <v>101.05471380983022</v>
      </c>
      <c r="W11">
        <f t="shared" si="7"/>
        <v>0.24506454778698128</v>
      </c>
      <c r="X11">
        <f t="shared" si="7"/>
        <v>2.9785598694963724</v>
      </c>
    </row>
    <row r="12" spans="1:24" x14ac:dyDescent="0.35">
      <c r="A12">
        <v>62.111400000000003</v>
      </c>
      <c r="B12">
        <v>1.2911299999999999E-3</v>
      </c>
      <c r="C12">
        <v>1.57467E-4</v>
      </c>
      <c r="D12">
        <f t="shared" si="2"/>
        <v>101.08433546285858</v>
      </c>
      <c r="E12">
        <f t="shared" si="3"/>
        <v>104.37263869556573</v>
      </c>
      <c r="G12">
        <v>7.6449299999999999E-4</v>
      </c>
      <c r="H12">
        <v>1.2313999999999999E-4</v>
      </c>
      <c r="I12">
        <f t="shared" si="4"/>
        <v>101.29854126114857</v>
      </c>
      <c r="J12">
        <f t="shared" si="5"/>
        <v>100.51014161531242</v>
      </c>
      <c r="Q12">
        <f t="shared" si="0"/>
        <v>1.0278115E-3</v>
      </c>
      <c r="R12">
        <f t="shared" si="1"/>
        <v>1.403035E-4</v>
      </c>
      <c r="T12">
        <f t="shared" si="6"/>
        <v>101.19143836200357</v>
      </c>
      <c r="U12">
        <f t="shared" si="6"/>
        <v>102.44139015543908</v>
      </c>
      <c r="W12">
        <f t="shared" si="7"/>
        <v>0.10710289914499782</v>
      </c>
      <c r="X12">
        <f t="shared" si="7"/>
        <v>1.9312485401266528</v>
      </c>
    </row>
    <row r="13" spans="1:24" x14ac:dyDescent="0.35">
      <c r="A13">
        <v>68.338800000000006</v>
      </c>
      <c r="B13">
        <v>1.29014E-3</v>
      </c>
      <c r="C13">
        <v>1.5684E-4</v>
      </c>
      <c r="D13">
        <f t="shared" si="2"/>
        <v>101.0068270073907</v>
      </c>
      <c r="E13">
        <f t="shared" si="3"/>
        <v>103.95704911513224</v>
      </c>
      <c r="G13">
        <v>7.6370799999999999E-4</v>
      </c>
      <c r="H13">
        <v>1.2253700000000001E-4</v>
      </c>
      <c r="I13">
        <f t="shared" si="4"/>
        <v>101.19452545604636</v>
      </c>
      <c r="J13">
        <f t="shared" si="5"/>
        <v>100.01795698485903</v>
      </c>
      <c r="Q13">
        <f t="shared" si="0"/>
        <v>1.026924E-3</v>
      </c>
      <c r="R13">
        <f t="shared" si="1"/>
        <v>1.3968850000000002E-4</v>
      </c>
      <c r="T13">
        <f t="shared" si="6"/>
        <v>101.10067623171852</v>
      </c>
      <c r="U13">
        <f t="shared" si="6"/>
        <v>101.98750304999564</v>
      </c>
      <c r="W13">
        <f t="shared" si="7"/>
        <v>9.3849224327833269E-2</v>
      </c>
      <c r="X13">
        <f t="shared" si="7"/>
        <v>1.9695460651366048</v>
      </c>
    </row>
    <row r="14" spans="1:24" x14ac:dyDescent="0.35">
      <c r="A14">
        <v>74.508499999999998</v>
      </c>
      <c r="B14">
        <v>1.2912500000000001E-3</v>
      </c>
      <c r="C14">
        <v>1.5840900000000001E-4</v>
      </c>
      <c r="D14">
        <f t="shared" si="2"/>
        <v>101.09373042715772</v>
      </c>
      <c r="E14">
        <f t="shared" si="3"/>
        <v>104.99701729966198</v>
      </c>
      <c r="G14">
        <v>7.6699400000000001E-4</v>
      </c>
      <c r="H14">
        <v>1.2462199999999999E-4</v>
      </c>
      <c r="I14">
        <f t="shared" si="4"/>
        <v>101.62993429116212</v>
      </c>
      <c r="J14">
        <f t="shared" si="5"/>
        <v>101.71978941354121</v>
      </c>
      <c r="Q14">
        <f t="shared" si="0"/>
        <v>1.0291219999999999E-3</v>
      </c>
      <c r="R14">
        <f t="shared" si="1"/>
        <v>1.415155E-4</v>
      </c>
      <c r="T14">
        <f t="shared" si="6"/>
        <v>101.36183235915992</v>
      </c>
      <c r="U14">
        <f t="shared" si="6"/>
        <v>103.3584033566016</v>
      </c>
      <c r="W14">
        <f t="shared" si="7"/>
        <v>0.26810193200219601</v>
      </c>
      <c r="X14">
        <f t="shared" si="7"/>
        <v>1.6386139430603848</v>
      </c>
    </row>
    <row r="15" spans="1:24" x14ac:dyDescent="0.35">
      <c r="A15">
        <v>80.784599999999998</v>
      </c>
      <c r="B15">
        <v>1.2919800000000001E-3</v>
      </c>
      <c r="C15">
        <v>1.5875000000000001E-4</v>
      </c>
      <c r="D15">
        <f t="shared" si="2"/>
        <v>101.15088312664413</v>
      </c>
      <c r="E15">
        <f t="shared" si="3"/>
        <v>105.22303970305562</v>
      </c>
      <c r="G15">
        <v>7.6735300000000002E-4</v>
      </c>
      <c r="H15">
        <v>1.24795E-4</v>
      </c>
      <c r="I15">
        <f t="shared" si="4"/>
        <v>101.67750330266745</v>
      </c>
      <c r="J15">
        <f t="shared" si="5"/>
        <v>101.86099661265968</v>
      </c>
      <c r="Q15">
        <f t="shared" si="0"/>
        <v>1.0296665E-3</v>
      </c>
      <c r="R15">
        <f t="shared" si="1"/>
        <v>1.4177250000000001E-4</v>
      </c>
      <c r="T15">
        <f t="shared" si="6"/>
        <v>101.4141932146558</v>
      </c>
      <c r="U15">
        <f t="shared" si="6"/>
        <v>103.54201815785765</v>
      </c>
      <c r="W15">
        <f t="shared" si="7"/>
        <v>0.26331008801165723</v>
      </c>
      <c r="X15">
        <f t="shared" si="7"/>
        <v>1.6810215451979715</v>
      </c>
    </row>
    <row r="16" spans="1:24" x14ac:dyDescent="0.35">
      <c r="A16">
        <v>86.936599999999999</v>
      </c>
      <c r="B16">
        <v>1.29206E-3</v>
      </c>
      <c r="C16">
        <v>1.5563900000000001E-4</v>
      </c>
      <c r="D16">
        <f t="shared" si="2"/>
        <v>101.15714643617689</v>
      </c>
      <c r="E16">
        <f t="shared" si="3"/>
        <v>103.16099953602441</v>
      </c>
      <c r="G16">
        <v>7.6715300000000002E-4</v>
      </c>
      <c r="H16">
        <v>1.2296400000000001E-4</v>
      </c>
      <c r="I16">
        <f t="shared" si="4"/>
        <v>101.65100246060319</v>
      </c>
      <c r="J16">
        <f t="shared" si="5"/>
        <v>100.36648573644045</v>
      </c>
      <c r="Q16">
        <f t="shared" si="0"/>
        <v>1.0296064999999999E-3</v>
      </c>
      <c r="R16">
        <f t="shared" si="1"/>
        <v>1.3930149999999999E-4</v>
      </c>
      <c r="T16">
        <f t="shared" si="6"/>
        <v>101.40407444839005</v>
      </c>
      <c r="U16">
        <f t="shared" si="6"/>
        <v>101.76374263623242</v>
      </c>
      <c r="W16">
        <f t="shared" si="7"/>
        <v>0.24692801221315364</v>
      </c>
      <c r="X16">
        <f t="shared" si="7"/>
        <v>1.3972568997919765</v>
      </c>
    </row>
    <row r="17" spans="1:24" x14ac:dyDescent="0.35">
      <c r="A17">
        <v>93.113100000000003</v>
      </c>
      <c r="B17">
        <v>1.2918999999999999E-3</v>
      </c>
      <c r="C17">
        <v>1.5583099999999999E-4</v>
      </c>
      <c r="D17">
        <f t="shared" si="2"/>
        <v>101.14461981711136</v>
      </c>
      <c r="E17">
        <f t="shared" si="3"/>
        <v>103.28826141711407</v>
      </c>
      <c r="G17">
        <v>7.6450599999999997E-4</v>
      </c>
      <c r="H17">
        <v>1.18669E-4</v>
      </c>
      <c r="I17">
        <f t="shared" si="4"/>
        <v>101.30026381588276</v>
      </c>
      <c r="J17">
        <f t="shared" si="5"/>
        <v>96.86079255601355</v>
      </c>
      <c r="Q17">
        <f t="shared" si="0"/>
        <v>1.0282029999999999E-3</v>
      </c>
      <c r="R17">
        <f t="shared" si="1"/>
        <v>1.3725E-4</v>
      </c>
      <c r="T17">
        <f t="shared" si="6"/>
        <v>101.22244181649705</v>
      </c>
      <c r="U17">
        <f t="shared" si="6"/>
        <v>100.07452698656381</v>
      </c>
      <c r="W17">
        <f t="shared" si="7"/>
        <v>7.7821999385697893E-2</v>
      </c>
      <c r="X17">
        <f t="shared" si="7"/>
        <v>3.2137344305502609</v>
      </c>
    </row>
    <row r="18" spans="1:24" x14ac:dyDescent="0.35">
      <c r="A18">
        <v>99.351399999999998</v>
      </c>
      <c r="B18">
        <v>1.29276E-3</v>
      </c>
      <c r="C18">
        <v>1.5563600000000001E-4</v>
      </c>
      <c r="D18">
        <f t="shared" si="2"/>
        <v>101.2119503945885</v>
      </c>
      <c r="E18">
        <f t="shared" si="3"/>
        <v>103.15901106913236</v>
      </c>
      <c r="G18">
        <v>7.6818299999999997E-4</v>
      </c>
      <c r="H18">
        <v>1.20396E-4</v>
      </c>
      <c r="I18">
        <f t="shared" si="4"/>
        <v>101.78748179723411</v>
      </c>
      <c r="J18">
        <f t="shared" si="5"/>
        <v>98.270415867444811</v>
      </c>
      <c r="Q18">
        <f t="shared" si="0"/>
        <v>1.0304715E-3</v>
      </c>
      <c r="R18">
        <f t="shared" si="1"/>
        <v>1.38016E-4</v>
      </c>
      <c r="T18">
        <f t="shared" si="6"/>
        <v>101.49971609591131</v>
      </c>
      <c r="U18">
        <f t="shared" si="6"/>
        <v>100.71471346828858</v>
      </c>
      <c r="W18">
        <f t="shared" si="7"/>
        <v>0.28776570132280455</v>
      </c>
      <c r="X18">
        <f t="shared" si="7"/>
        <v>2.4442976008437753</v>
      </c>
    </row>
    <row r="19" spans="1:24" x14ac:dyDescent="0.35">
      <c r="A19">
        <v>105.571</v>
      </c>
      <c r="B19">
        <v>1.2923800000000001E-3</v>
      </c>
      <c r="C19">
        <v>1.5368200000000001E-4</v>
      </c>
      <c r="D19">
        <f t="shared" si="2"/>
        <v>101.18219967430791</v>
      </c>
      <c r="E19">
        <f t="shared" si="3"/>
        <v>101.86385630012596</v>
      </c>
      <c r="G19">
        <v>7.6909799999999996E-4</v>
      </c>
      <c r="H19">
        <v>1.2249400000000001E-4</v>
      </c>
      <c r="I19">
        <f t="shared" si="4"/>
        <v>101.90872314967807</v>
      </c>
      <c r="J19">
        <f t="shared" si="5"/>
        <v>99.982859241725521</v>
      </c>
      <c r="Q19">
        <f t="shared" si="0"/>
        <v>1.0307390000000001E-3</v>
      </c>
      <c r="R19">
        <f t="shared" si="1"/>
        <v>1.3808800000000002E-4</v>
      </c>
      <c r="T19">
        <f t="shared" si="6"/>
        <v>101.54546141199299</v>
      </c>
      <c r="U19">
        <f t="shared" si="6"/>
        <v>100.92335777092575</v>
      </c>
      <c r="W19">
        <f t="shared" si="7"/>
        <v>0.36326173768507886</v>
      </c>
      <c r="X19">
        <f t="shared" si="7"/>
        <v>0.94049852920021948</v>
      </c>
    </row>
    <row r="20" spans="1:24" x14ac:dyDescent="0.35">
      <c r="A20">
        <v>111.708</v>
      </c>
      <c r="B20">
        <v>1.29345E-3</v>
      </c>
      <c r="C20">
        <v>1.55709E-4</v>
      </c>
      <c r="D20">
        <f t="shared" si="2"/>
        <v>101.26597143930853</v>
      </c>
      <c r="E20">
        <f t="shared" si="3"/>
        <v>103.20739709683832</v>
      </c>
      <c r="G20">
        <v>7.7015600000000003E-4</v>
      </c>
      <c r="H20">
        <v>1.23662E-4</v>
      </c>
      <c r="I20">
        <f t="shared" si="4"/>
        <v>102.04891260419802</v>
      </c>
      <c r="J20">
        <f t="shared" si="5"/>
        <v>100.93621189242134</v>
      </c>
      <c r="Q20">
        <f t="shared" si="0"/>
        <v>1.031803E-3</v>
      </c>
      <c r="R20">
        <f t="shared" si="1"/>
        <v>1.396855E-4</v>
      </c>
      <c r="T20">
        <f t="shared" si="6"/>
        <v>101.65744202175327</v>
      </c>
      <c r="U20">
        <f t="shared" si="6"/>
        <v>102.07180449462983</v>
      </c>
      <c r="W20">
        <f t="shared" si="7"/>
        <v>0.39147058244474664</v>
      </c>
      <c r="X20">
        <f t="shared" si="7"/>
        <v>1.1355926022084901</v>
      </c>
    </row>
    <row r="21" spans="1:24" x14ac:dyDescent="0.35">
      <c r="A21">
        <v>118.009</v>
      </c>
      <c r="B21">
        <v>1.2938400000000001E-3</v>
      </c>
      <c r="C21">
        <v>1.5310200000000001E-4</v>
      </c>
      <c r="D21">
        <f t="shared" si="2"/>
        <v>101.29650507328071</v>
      </c>
      <c r="E21">
        <f t="shared" si="3"/>
        <v>101.47941936766753</v>
      </c>
      <c r="G21">
        <v>7.6979100000000003E-4</v>
      </c>
      <c r="H21">
        <v>1.2363700000000001E-4</v>
      </c>
      <c r="I21">
        <f t="shared" si="4"/>
        <v>102.00054856743076</v>
      </c>
      <c r="J21">
        <f t="shared" si="5"/>
        <v>100.91580622780884</v>
      </c>
      <c r="Q21">
        <f t="shared" si="0"/>
        <v>1.0318155000000001E-3</v>
      </c>
      <c r="R21">
        <f t="shared" si="1"/>
        <v>1.3836950000000001E-4</v>
      </c>
      <c r="T21">
        <f t="shared" si="6"/>
        <v>101.64852682035573</v>
      </c>
      <c r="U21">
        <f t="shared" si="6"/>
        <v>101.19761279773819</v>
      </c>
      <c r="W21">
        <f t="shared" si="7"/>
        <v>0.3520217470750211</v>
      </c>
      <c r="X21">
        <f t="shared" si="7"/>
        <v>0.28180656992934416</v>
      </c>
    </row>
    <row r="22" spans="1:24" x14ac:dyDescent="0.35">
      <c r="A22">
        <v>124.221</v>
      </c>
      <c r="B22">
        <v>1.2949400000000001E-3</v>
      </c>
      <c r="C22">
        <v>1.5316099999999999E-4</v>
      </c>
      <c r="D22">
        <f t="shared" si="2"/>
        <v>101.38262557935613</v>
      </c>
      <c r="E22">
        <f t="shared" si="3"/>
        <v>101.51852588321071</v>
      </c>
      <c r="G22">
        <v>7.7286300000000004E-4</v>
      </c>
      <c r="H22">
        <v>1.26093E-4</v>
      </c>
      <c r="I22">
        <f t="shared" si="4"/>
        <v>102.40760150153771</v>
      </c>
      <c r="J22">
        <f t="shared" si="5"/>
        <v>102.9204587193405</v>
      </c>
      <c r="Q22">
        <f t="shared" si="0"/>
        <v>1.0339015E-3</v>
      </c>
      <c r="R22">
        <f t="shared" si="1"/>
        <v>1.39627E-4</v>
      </c>
      <c r="T22">
        <f t="shared" si="6"/>
        <v>101.89511354044691</v>
      </c>
      <c r="U22">
        <f t="shared" si="6"/>
        <v>102.21949230127561</v>
      </c>
      <c r="W22">
        <f t="shared" si="7"/>
        <v>0.51248796109079109</v>
      </c>
      <c r="X22">
        <f t="shared" si="7"/>
        <v>0.70096641806489401</v>
      </c>
    </row>
    <row r="23" spans="1:24" x14ac:dyDescent="0.35">
      <c r="A23">
        <v>130.28700000000001</v>
      </c>
      <c r="B23">
        <v>1.29645E-3</v>
      </c>
      <c r="C23">
        <v>1.5640700000000001E-4</v>
      </c>
      <c r="D23">
        <f t="shared" si="2"/>
        <v>101.50084554678691</v>
      </c>
      <c r="E23">
        <f t="shared" si="3"/>
        <v>103.67004706038313</v>
      </c>
      <c r="G23">
        <v>7.7363699999999998E-4</v>
      </c>
      <c r="H23">
        <v>1.2646000000000001E-4</v>
      </c>
      <c r="I23">
        <f t="shared" si="4"/>
        <v>102.51015976032637</v>
      </c>
      <c r="J23">
        <f t="shared" si="5"/>
        <v>103.22001387585196</v>
      </c>
      <c r="Q23">
        <f t="shared" si="0"/>
        <v>1.0350435E-3</v>
      </c>
      <c r="R23">
        <f t="shared" si="1"/>
        <v>1.4143350000000001E-4</v>
      </c>
      <c r="T23">
        <f t="shared" si="6"/>
        <v>102.00550265355665</v>
      </c>
      <c r="U23">
        <f t="shared" si="6"/>
        <v>103.44503046811755</v>
      </c>
      <c r="W23">
        <f t="shared" si="7"/>
        <v>0.5046571067697343</v>
      </c>
      <c r="X23">
        <f t="shared" si="7"/>
        <v>0.22501659226558246</v>
      </c>
    </row>
    <row r="24" spans="1:24" x14ac:dyDescent="0.35">
      <c r="A24">
        <v>136.62799999999999</v>
      </c>
      <c r="B24">
        <v>1.29667E-3</v>
      </c>
      <c r="C24">
        <v>1.5651799999999999E-4</v>
      </c>
      <c r="D24">
        <f t="shared" si="2"/>
        <v>101.51806964800201</v>
      </c>
      <c r="E24">
        <f t="shared" si="3"/>
        <v>103.74362033538809</v>
      </c>
      <c r="G24">
        <v>7.74155E-4</v>
      </c>
      <c r="H24">
        <v>1.25854E-4</v>
      </c>
      <c r="I24">
        <f t="shared" si="4"/>
        <v>102.57879694127281</v>
      </c>
      <c r="J24">
        <f t="shared" si="5"/>
        <v>102.72538056564504</v>
      </c>
      <c r="Q24">
        <f t="shared" si="0"/>
        <v>1.0354125E-3</v>
      </c>
      <c r="R24">
        <f t="shared" si="1"/>
        <v>1.4118600000000001E-4</v>
      </c>
      <c r="T24">
        <f t="shared" si="6"/>
        <v>102.04843329463742</v>
      </c>
      <c r="U24">
        <f t="shared" si="6"/>
        <v>103.23450045051656</v>
      </c>
      <c r="W24">
        <f t="shared" si="7"/>
        <v>0.5303636466354007</v>
      </c>
      <c r="X24">
        <f t="shared" si="7"/>
        <v>0.50911988487152371</v>
      </c>
    </row>
    <row r="25" spans="1:24" x14ac:dyDescent="0.35">
      <c r="A25">
        <v>142.79400000000001</v>
      </c>
      <c r="B25">
        <v>1.29688E-3</v>
      </c>
      <c r="C25">
        <v>1.54461E-4</v>
      </c>
      <c r="D25">
        <f t="shared" si="2"/>
        <v>101.5345108355255</v>
      </c>
      <c r="E25">
        <f t="shared" si="3"/>
        <v>102.38019486975543</v>
      </c>
      <c r="G25">
        <v>7.7400899999999998E-4</v>
      </c>
      <c r="H25">
        <v>1.2549300000000001E-4</v>
      </c>
      <c r="I25">
        <f t="shared" si="4"/>
        <v>102.55945132656589</v>
      </c>
      <c r="J25">
        <f t="shared" si="5"/>
        <v>102.43072276864061</v>
      </c>
      <c r="Q25">
        <f t="shared" si="0"/>
        <v>1.0354445000000001E-3</v>
      </c>
      <c r="R25">
        <f t="shared" si="1"/>
        <v>1.3997700000000001E-4</v>
      </c>
      <c r="T25">
        <f t="shared" si="6"/>
        <v>102.04698108104569</v>
      </c>
      <c r="U25">
        <f t="shared" si="6"/>
        <v>102.40545881919802</v>
      </c>
      <c r="W25">
        <f t="shared" si="7"/>
        <v>0.51247024552019838</v>
      </c>
      <c r="X25">
        <f t="shared" si="7"/>
        <v>2.5263949442589251E-2</v>
      </c>
    </row>
    <row r="26" spans="1:24" x14ac:dyDescent="0.35">
      <c r="A26">
        <v>149.03399999999999</v>
      </c>
      <c r="B26">
        <v>1.2986E-3</v>
      </c>
      <c r="C26">
        <v>1.5600299999999999E-4</v>
      </c>
      <c r="D26">
        <f t="shared" si="2"/>
        <v>101.66917199047978</v>
      </c>
      <c r="E26">
        <f t="shared" si="3"/>
        <v>103.4022668522569</v>
      </c>
      <c r="G26">
        <v>7.7398600000000005E-4</v>
      </c>
      <c r="H26">
        <v>1.22714E-4</v>
      </c>
      <c r="I26">
        <f t="shared" si="4"/>
        <v>102.55640372972852</v>
      </c>
      <c r="J26">
        <f t="shared" si="5"/>
        <v>100.16242909031547</v>
      </c>
      <c r="Q26">
        <f t="shared" si="0"/>
        <v>1.036293E-3</v>
      </c>
      <c r="R26">
        <f t="shared" si="1"/>
        <v>1.393585E-4</v>
      </c>
      <c r="T26">
        <f t="shared" si="6"/>
        <v>102.11278786010415</v>
      </c>
      <c r="U26">
        <f t="shared" si="6"/>
        <v>101.78234797128619</v>
      </c>
      <c r="W26">
        <f t="shared" si="7"/>
        <v>0.44361586962436661</v>
      </c>
      <c r="X26">
        <f t="shared" si="7"/>
        <v>1.6199188809707152</v>
      </c>
    </row>
    <row r="27" spans="1:24" x14ac:dyDescent="0.35">
      <c r="A27">
        <v>155.125</v>
      </c>
      <c r="B27">
        <v>1.2992699999999999E-3</v>
      </c>
      <c r="C27">
        <v>1.56828E-4</v>
      </c>
      <c r="D27">
        <f t="shared" si="2"/>
        <v>101.72162720781661</v>
      </c>
      <c r="E27">
        <f t="shared" si="3"/>
        <v>103.94909524756413</v>
      </c>
      <c r="G27">
        <v>7.7718100000000005E-4</v>
      </c>
      <c r="H27">
        <v>1.2607100000000001E-4</v>
      </c>
      <c r="I27">
        <f t="shared" si="4"/>
        <v>102.97975468170502</v>
      </c>
      <c r="J27">
        <f t="shared" si="5"/>
        <v>102.9025017344815</v>
      </c>
      <c r="Q27">
        <f t="shared" si="0"/>
        <v>1.0382255E-3</v>
      </c>
      <c r="R27">
        <f t="shared" si="1"/>
        <v>1.4144949999999999E-4</v>
      </c>
      <c r="T27">
        <f t="shared" si="6"/>
        <v>102.35069094476081</v>
      </c>
      <c r="U27">
        <f t="shared" si="6"/>
        <v>103.42579849102282</v>
      </c>
      <c r="W27">
        <f t="shared" si="7"/>
        <v>0.62906373694420381</v>
      </c>
      <c r="X27">
        <f t="shared" si="7"/>
        <v>0.52329675654131336</v>
      </c>
    </row>
    <row r="28" spans="1:24" x14ac:dyDescent="0.35">
      <c r="A28">
        <v>161.47300000000001</v>
      </c>
      <c r="B28">
        <v>1.2987400000000001E-3</v>
      </c>
      <c r="C28">
        <v>1.54594E-4</v>
      </c>
      <c r="D28">
        <f t="shared" si="2"/>
        <v>101.6801327821621</v>
      </c>
      <c r="E28">
        <f t="shared" si="3"/>
        <v>102.46835023530193</v>
      </c>
      <c r="G28">
        <v>7.7454900000000003E-4</v>
      </c>
      <c r="H28">
        <v>1.17768E-4</v>
      </c>
      <c r="I28">
        <f t="shared" si="4"/>
        <v>102.63100360013939</v>
      </c>
      <c r="J28">
        <f t="shared" si="5"/>
        <v>96.125372403379188</v>
      </c>
      <c r="Q28">
        <f t="shared" si="0"/>
        <v>1.0366444999999999E-3</v>
      </c>
      <c r="R28">
        <f t="shared" si="1"/>
        <v>1.36181E-4</v>
      </c>
      <c r="T28">
        <f t="shared" si="6"/>
        <v>102.15556819115075</v>
      </c>
      <c r="U28">
        <f t="shared" si="6"/>
        <v>99.296861319340564</v>
      </c>
      <c r="W28">
        <f t="shared" si="7"/>
        <v>0.47543540898864478</v>
      </c>
      <c r="X28">
        <f t="shared" si="7"/>
        <v>3.1714889159613691</v>
      </c>
    </row>
    <row r="29" spans="1:24" x14ac:dyDescent="0.35">
      <c r="A29">
        <v>167.614</v>
      </c>
      <c r="B29">
        <v>1.3000900000000001E-3</v>
      </c>
      <c r="C29">
        <v>1.56689E-4</v>
      </c>
      <c r="D29">
        <f t="shared" si="2"/>
        <v>101.78582613052738</v>
      </c>
      <c r="E29">
        <f t="shared" si="3"/>
        <v>103.85696294823359</v>
      </c>
      <c r="G29">
        <v>7.7399299999999995E-4</v>
      </c>
      <c r="H29">
        <v>1.15116E-4</v>
      </c>
      <c r="I29">
        <f t="shared" si="4"/>
        <v>102.55733125920077</v>
      </c>
      <c r="J29">
        <f t="shared" si="5"/>
        <v>93.960739501285559</v>
      </c>
      <c r="Q29">
        <f t="shared" si="0"/>
        <v>1.0370415E-3</v>
      </c>
      <c r="R29">
        <f t="shared" si="1"/>
        <v>1.3590250000000001E-4</v>
      </c>
      <c r="T29">
        <f t="shared" si="6"/>
        <v>102.17157869486408</v>
      </c>
      <c r="U29">
        <f t="shared" si="6"/>
        <v>98.908851224759573</v>
      </c>
      <c r="W29">
        <f t="shared" si="7"/>
        <v>0.38575256433669119</v>
      </c>
      <c r="X29">
        <f t="shared" si="7"/>
        <v>4.948111723474014</v>
      </c>
    </row>
    <row r="30" spans="1:24" x14ac:dyDescent="0.35">
      <c r="A30">
        <v>173.85</v>
      </c>
      <c r="B30">
        <v>1.30035E-3</v>
      </c>
      <c r="C30">
        <v>1.5415399999999999E-4</v>
      </c>
      <c r="D30">
        <f t="shared" si="2"/>
        <v>101.80618188650882</v>
      </c>
      <c r="E30">
        <f t="shared" si="3"/>
        <v>102.1767084244714</v>
      </c>
      <c r="G30">
        <v>7.7648599999999995E-4</v>
      </c>
      <c r="H30">
        <v>1.18544E-4</v>
      </c>
      <c r="I30">
        <f t="shared" si="4"/>
        <v>102.8876642555317</v>
      </c>
      <c r="J30">
        <f t="shared" si="5"/>
        <v>96.75876423295108</v>
      </c>
      <c r="Q30">
        <f t="shared" si="0"/>
        <v>1.0384179999999999E-3</v>
      </c>
      <c r="R30">
        <f t="shared" si="1"/>
        <v>1.3634899999999999E-4</v>
      </c>
      <c r="T30">
        <f t="shared" si="6"/>
        <v>102.34692307102026</v>
      </c>
      <c r="U30">
        <f t="shared" si="6"/>
        <v>99.46773632871124</v>
      </c>
      <c r="W30">
        <f t="shared" si="7"/>
        <v>0.5407411845114396</v>
      </c>
      <c r="X30">
        <f t="shared" si="7"/>
        <v>2.70897209576016</v>
      </c>
    </row>
    <row r="31" spans="1:24" x14ac:dyDescent="0.35">
      <c r="A31">
        <v>179.93600000000001</v>
      </c>
      <c r="B31">
        <v>1.30138E-3</v>
      </c>
      <c r="C31">
        <v>1.55945E-4</v>
      </c>
      <c r="D31">
        <f t="shared" si="2"/>
        <v>101.88682199674308</v>
      </c>
      <c r="E31">
        <f t="shared" si="3"/>
        <v>103.36382315901108</v>
      </c>
      <c r="G31">
        <v>7.76482E-4</v>
      </c>
      <c r="H31">
        <v>1.1379600000000001E-4</v>
      </c>
      <c r="I31">
        <f t="shared" si="4"/>
        <v>102.88713423869045</v>
      </c>
      <c r="J31">
        <f t="shared" si="5"/>
        <v>92.883320409745764</v>
      </c>
      <c r="Q31">
        <f t="shared" si="0"/>
        <v>1.0389309999999999E-3</v>
      </c>
      <c r="R31">
        <f t="shared" si="1"/>
        <v>1.348705E-4</v>
      </c>
      <c r="T31">
        <f t="shared" si="6"/>
        <v>102.38697811771677</v>
      </c>
      <c r="U31">
        <f t="shared" si="6"/>
        <v>98.123571784378413</v>
      </c>
      <c r="W31">
        <f t="shared" si="7"/>
        <v>0.50015612097368489</v>
      </c>
      <c r="X31">
        <f t="shared" si="7"/>
        <v>5.2402513746326562</v>
      </c>
    </row>
    <row r="32" spans="1:24" x14ac:dyDescent="0.35">
      <c r="A32">
        <v>193.119</v>
      </c>
      <c r="B32">
        <v>1.8214299999999999E-5</v>
      </c>
      <c r="C32">
        <v>6.4834199999999997E-5</v>
      </c>
      <c r="D32">
        <f t="shared" si="2"/>
        <v>1.4260224852812224</v>
      </c>
      <c r="E32">
        <f t="shared" si="3"/>
        <v>42.97355339033605</v>
      </c>
      <c r="G32">
        <v>1.8848800000000002E-5</v>
      </c>
      <c r="H32">
        <v>4.2480300000000001E-5</v>
      </c>
      <c r="I32">
        <f t="shared" si="4"/>
        <v>2.4975453595037984</v>
      </c>
      <c r="J32">
        <f t="shared" si="5"/>
        <v>34.673550177529286</v>
      </c>
      <c r="Q32">
        <f t="shared" si="0"/>
        <v>1.853155E-5</v>
      </c>
      <c r="R32">
        <f t="shared" si="1"/>
        <v>5.3657249999999995E-5</v>
      </c>
      <c r="T32">
        <f t="shared" si="6"/>
        <v>1.9617839223925104</v>
      </c>
      <c r="U32">
        <f t="shared" si="6"/>
        <v>38.823551783932672</v>
      </c>
      <c r="W32">
        <f t="shared" si="7"/>
        <v>0.5357614371112881</v>
      </c>
      <c r="X32">
        <f t="shared" si="7"/>
        <v>4.1500016064033449</v>
      </c>
    </row>
    <row r="33" spans="1:24" x14ac:dyDescent="0.35">
      <c r="A33">
        <v>199.374</v>
      </c>
      <c r="B33">
        <v>1.82145E-5</v>
      </c>
      <c r="C33">
        <v>6.3564000000000003E-5</v>
      </c>
      <c r="D33">
        <f t="shared" si="2"/>
        <v>1.4260381435550544</v>
      </c>
      <c r="E33">
        <f t="shared" si="3"/>
        <v>42.131636508252143</v>
      </c>
      <c r="G33">
        <v>1.8403800000000002E-5</v>
      </c>
      <c r="H33">
        <v>4.0416700000000002E-5</v>
      </c>
      <c r="I33">
        <f t="shared" si="4"/>
        <v>2.4385809859108276</v>
      </c>
      <c r="J33">
        <f t="shared" si="5"/>
        <v>32.98918499775538</v>
      </c>
      <c r="Q33">
        <f t="shared" si="0"/>
        <v>1.8309150000000001E-5</v>
      </c>
      <c r="R33">
        <f t="shared" si="1"/>
        <v>5.1990350000000006E-5</v>
      </c>
      <c r="T33">
        <f t="shared" si="6"/>
        <v>1.9323095647329409</v>
      </c>
      <c r="U33">
        <f t="shared" si="6"/>
        <v>37.560410753003765</v>
      </c>
      <c r="W33">
        <f t="shared" si="7"/>
        <v>0.5062714211778867</v>
      </c>
      <c r="X33">
        <f t="shared" si="7"/>
        <v>4.5712257552483431</v>
      </c>
    </row>
    <row r="34" spans="1:24" x14ac:dyDescent="0.35">
      <c r="A34">
        <v>205.643</v>
      </c>
      <c r="B34">
        <v>1.8045300000000002E-5</v>
      </c>
      <c r="C34">
        <v>6.2480500000000006E-5</v>
      </c>
      <c r="D34">
        <f t="shared" si="2"/>
        <v>1.4127912438932733</v>
      </c>
      <c r="E34">
        <f t="shared" si="3"/>
        <v>41.413468549081998</v>
      </c>
      <c r="G34">
        <v>1.77944E-5</v>
      </c>
      <c r="H34">
        <v>3.8919699999999999E-5</v>
      </c>
      <c r="I34">
        <f t="shared" si="4"/>
        <v>2.3578329201410377</v>
      </c>
      <c r="J34">
        <f t="shared" si="5"/>
        <v>31.767293800759095</v>
      </c>
      <c r="Q34">
        <f t="shared" si="0"/>
        <v>1.7919850000000001E-5</v>
      </c>
      <c r="R34">
        <f t="shared" si="1"/>
        <v>5.0700100000000006E-5</v>
      </c>
      <c r="T34">
        <f t="shared" si="6"/>
        <v>1.8853120820171556</v>
      </c>
      <c r="U34">
        <f t="shared" si="6"/>
        <v>36.590381174920545</v>
      </c>
      <c r="W34">
        <f t="shared" si="7"/>
        <v>0.4725208381238819</v>
      </c>
      <c r="X34">
        <f t="shared" si="7"/>
        <v>4.8230873741614797</v>
      </c>
    </row>
    <row r="35" spans="1:24" x14ac:dyDescent="0.35">
      <c r="A35">
        <v>211.75800000000001</v>
      </c>
      <c r="B35">
        <v>1.78868E-5</v>
      </c>
      <c r="C35">
        <v>6.1740800000000004E-5</v>
      </c>
      <c r="D35">
        <f t="shared" si="2"/>
        <v>1.4003820618814982</v>
      </c>
      <c r="E35">
        <f t="shared" si="3"/>
        <v>40.923178895738054</v>
      </c>
      <c r="G35">
        <v>1.7243400000000002E-5</v>
      </c>
      <c r="H35">
        <v>3.7887099999999998E-5</v>
      </c>
      <c r="I35">
        <f t="shared" si="4"/>
        <v>2.2848231002540111</v>
      </c>
      <c r="J35">
        <f t="shared" si="5"/>
        <v>30.924458229604539</v>
      </c>
      <c r="Q35">
        <f t="shared" ref="Q35:Q66" si="8">AVERAGE(B35,G35,L35)</f>
        <v>1.7565099999999999E-5</v>
      </c>
      <c r="R35">
        <f t="shared" ref="R35:R66" si="9">AVERAGE(C35,H35,M35)</f>
        <v>4.9813950000000004E-5</v>
      </c>
      <c r="T35">
        <f t="shared" si="6"/>
        <v>1.8426025810677547</v>
      </c>
      <c r="U35">
        <f t="shared" si="6"/>
        <v>35.9238185626713</v>
      </c>
      <c r="W35">
        <f t="shared" si="7"/>
        <v>0.44222051918625616</v>
      </c>
      <c r="X35">
        <f t="shared" si="7"/>
        <v>4.9993603330667309</v>
      </c>
    </row>
    <row r="36" spans="1:24" x14ac:dyDescent="0.35">
      <c r="A36">
        <v>218.077</v>
      </c>
      <c r="B36">
        <v>1.7691300000000001E-5</v>
      </c>
      <c r="C36">
        <v>6.1126599999999998E-5</v>
      </c>
      <c r="D36">
        <f t="shared" si="2"/>
        <v>1.3850760992108231</v>
      </c>
      <c r="E36">
        <f t="shared" si="3"/>
        <v>40.516073440710542</v>
      </c>
      <c r="G36">
        <v>1.6770500000000001E-5</v>
      </c>
      <c r="H36">
        <v>3.7051200000000002E-5</v>
      </c>
      <c r="I36">
        <f t="shared" si="4"/>
        <v>2.2221618591930761</v>
      </c>
      <c r="J36">
        <f t="shared" si="5"/>
        <v>30.242174427621109</v>
      </c>
      <c r="Q36">
        <f t="shared" si="8"/>
        <v>1.7230900000000001E-5</v>
      </c>
      <c r="R36">
        <f t="shared" si="9"/>
        <v>4.9088899999999997E-5</v>
      </c>
      <c r="T36">
        <f t="shared" si="6"/>
        <v>1.8036189792019495</v>
      </c>
      <c r="U36">
        <f t="shared" si="6"/>
        <v>35.379123934165825</v>
      </c>
      <c r="W36">
        <f t="shared" si="7"/>
        <v>0.4185428799911266</v>
      </c>
      <c r="X36">
        <f t="shared" si="7"/>
        <v>5.1369495065447079</v>
      </c>
    </row>
    <row r="37" spans="1:24" x14ac:dyDescent="0.35">
      <c r="A37">
        <v>224.21</v>
      </c>
      <c r="B37">
        <v>1.75872E-5</v>
      </c>
      <c r="C37">
        <v>6.0646899999999997E-5</v>
      </c>
      <c r="D37">
        <f t="shared" si="2"/>
        <v>1.3769259676813228</v>
      </c>
      <c r="E37">
        <f t="shared" si="3"/>
        <v>40.198117584675543</v>
      </c>
      <c r="G37">
        <v>1.6234400000000002E-5</v>
      </c>
      <c r="H37">
        <v>3.6192600000000003E-5</v>
      </c>
      <c r="I37">
        <f t="shared" si="4"/>
        <v>2.151126352039836</v>
      </c>
      <c r="J37">
        <f t="shared" si="5"/>
        <v>29.541362282169537</v>
      </c>
      <c r="Q37">
        <f t="shared" si="8"/>
        <v>1.6910800000000001E-5</v>
      </c>
      <c r="R37">
        <f t="shared" si="9"/>
        <v>4.8419749999999997E-5</v>
      </c>
      <c r="T37">
        <f t="shared" si="6"/>
        <v>1.7640261598605793</v>
      </c>
      <c r="U37">
        <f t="shared" si="6"/>
        <v>34.869739933422537</v>
      </c>
      <c r="W37">
        <f t="shared" si="7"/>
        <v>0.38710019217925712</v>
      </c>
      <c r="X37">
        <f t="shared" si="7"/>
        <v>5.3283776512530272</v>
      </c>
    </row>
    <row r="38" spans="1:24" x14ac:dyDescent="0.35">
      <c r="A38">
        <v>230.48099999999999</v>
      </c>
      <c r="B38">
        <v>1.7437900000000001E-5</v>
      </c>
      <c r="C38">
        <v>6.0250100000000001E-5</v>
      </c>
      <c r="D38">
        <f t="shared" si="2"/>
        <v>1.3652370662658149</v>
      </c>
      <c r="E38">
        <f t="shared" si="3"/>
        <v>39.935109697090212</v>
      </c>
      <c r="G38">
        <v>1.575E-5</v>
      </c>
      <c r="H38">
        <v>3.5524600000000002E-5</v>
      </c>
      <c r="I38">
        <f t="shared" si="4"/>
        <v>2.0869413125602065</v>
      </c>
      <c r="J38">
        <f t="shared" si="5"/>
        <v>28.996122923723632</v>
      </c>
      <c r="Q38">
        <f t="shared" si="8"/>
        <v>1.6593950000000001E-5</v>
      </c>
      <c r="R38">
        <f t="shared" si="9"/>
        <v>4.7887350000000002E-5</v>
      </c>
      <c r="T38">
        <f t="shared" si="6"/>
        <v>1.7260891894130106</v>
      </c>
      <c r="U38">
        <f t="shared" si="6"/>
        <v>34.465616310406922</v>
      </c>
      <c r="W38">
        <f t="shared" si="7"/>
        <v>0.36085212314719595</v>
      </c>
      <c r="X38">
        <f t="shared" si="7"/>
        <v>5.4694933866832747</v>
      </c>
    </row>
    <row r="39" spans="1:24" x14ac:dyDescent="0.35">
      <c r="A39">
        <v>236.60900000000001</v>
      </c>
      <c r="B39">
        <v>1.7320999999999999E-5</v>
      </c>
      <c r="C39">
        <v>5.9975100000000001E-5</v>
      </c>
      <c r="D39">
        <f t="shared" si="2"/>
        <v>1.3560848052110734</v>
      </c>
      <c r="E39">
        <f t="shared" si="3"/>
        <v>39.75283356532114</v>
      </c>
      <c r="G39">
        <v>1.5255199999999999E-5</v>
      </c>
      <c r="H39">
        <v>3.4899800000000001E-5</v>
      </c>
      <c r="I39">
        <f t="shared" si="4"/>
        <v>2.0213782292932359</v>
      </c>
      <c r="J39">
        <f t="shared" si="5"/>
        <v>28.486144553728121</v>
      </c>
      <c r="Q39">
        <f t="shared" si="8"/>
        <v>1.6288099999999997E-5</v>
      </c>
      <c r="R39">
        <f t="shared" si="9"/>
        <v>4.7437450000000004E-5</v>
      </c>
      <c r="T39">
        <f t="shared" si="6"/>
        <v>1.6887315172521546</v>
      </c>
      <c r="U39">
        <f t="shared" si="6"/>
        <v>34.119489059524632</v>
      </c>
      <c r="W39">
        <f t="shared" si="7"/>
        <v>0.33264671204108132</v>
      </c>
      <c r="X39">
        <f t="shared" si="7"/>
        <v>5.6333445057964973</v>
      </c>
    </row>
    <row r="40" spans="1:24" x14ac:dyDescent="0.35">
      <c r="A40">
        <v>242.952</v>
      </c>
      <c r="B40">
        <v>1.7258700000000001E-5</v>
      </c>
      <c r="C40">
        <v>5.9679499999999997E-5</v>
      </c>
      <c r="D40">
        <f t="shared" si="2"/>
        <v>1.351207252912439</v>
      </c>
      <c r="E40">
        <f t="shared" si="3"/>
        <v>39.556903294226814</v>
      </c>
      <c r="G40">
        <v>1.4754500000000001E-5</v>
      </c>
      <c r="H40">
        <v>3.4351899999999999E-5</v>
      </c>
      <c r="I40">
        <f t="shared" si="4"/>
        <v>1.9550333711853698</v>
      </c>
      <c r="J40">
        <f t="shared" si="5"/>
        <v>28.038934008080645</v>
      </c>
      <c r="Q40">
        <f t="shared" si="8"/>
        <v>1.60066E-5</v>
      </c>
      <c r="R40">
        <f t="shared" si="9"/>
        <v>4.7015699999999998E-5</v>
      </c>
      <c r="T40">
        <f t="shared" si="6"/>
        <v>1.6531203120489044</v>
      </c>
      <c r="U40">
        <f t="shared" si="6"/>
        <v>33.797918651153729</v>
      </c>
      <c r="W40">
        <f t="shared" si="7"/>
        <v>0.30191305913646538</v>
      </c>
      <c r="X40">
        <f t="shared" si="7"/>
        <v>5.7589846430730933</v>
      </c>
    </row>
    <row r="41" spans="1:24" x14ac:dyDescent="0.35">
      <c r="A41">
        <v>249.15899999999999</v>
      </c>
      <c r="B41">
        <v>1.7124699999999999E-5</v>
      </c>
      <c r="C41">
        <v>5.9216799999999999E-5</v>
      </c>
      <c r="D41">
        <f t="shared" si="2"/>
        <v>1.3407162094450706</v>
      </c>
      <c r="E41">
        <f t="shared" si="3"/>
        <v>39.250215417246636</v>
      </c>
      <c r="G41">
        <v>1.4329E-5</v>
      </c>
      <c r="H41">
        <v>3.3881499999999997E-5</v>
      </c>
      <c r="I41">
        <f t="shared" si="4"/>
        <v>1.8986528296936633</v>
      </c>
      <c r="J41">
        <f t="shared" si="5"/>
        <v>27.65498102273191</v>
      </c>
      <c r="Q41">
        <f t="shared" si="8"/>
        <v>1.572685E-5</v>
      </c>
      <c r="R41">
        <f t="shared" si="9"/>
        <v>4.6549150000000001E-5</v>
      </c>
      <c r="T41">
        <f t="shared" si="6"/>
        <v>1.619684519569367</v>
      </c>
      <c r="U41">
        <f t="shared" si="6"/>
        <v>33.45259821998927</v>
      </c>
      <c r="W41">
        <f t="shared" si="7"/>
        <v>0.27896831012429646</v>
      </c>
      <c r="X41">
        <f t="shared" si="7"/>
        <v>5.7976171972573818</v>
      </c>
    </row>
    <row r="42" spans="1:24" x14ac:dyDescent="0.35">
      <c r="A42">
        <v>262.24700000000001</v>
      </c>
      <c r="B42">
        <v>7.7798299999999999E-4</v>
      </c>
      <c r="C42">
        <v>1.2647799999999999E-4</v>
      </c>
      <c r="D42">
        <f t="shared" si="2"/>
        <v>60.909354252787175</v>
      </c>
      <c r="E42">
        <f t="shared" si="3"/>
        <v>83.832438523231929</v>
      </c>
      <c r="G42">
        <v>4.3693200000000001E-4</v>
      </c>
      <c r="H42">
        <v>1.1835700000000001E-4</v>
      </c>
      <c r="I42">
        <f t="shared" si="4"/>
        <v>57.895329624098814</v>
      </c>
      <c r="J42">
        <f t="shared" si="5"/>
        <v>96.606129861649606</v>
      </c>
      <c r="Q42">
        <f t="shared" si="8"/>
        <v>6.074575E-4</v>
      </c>
      <c r="R42">
        <f t="shared" si="9"/>
        <v>1.224175E-4</v>
      </c>
      <c r="T42">
        <f t="shared" si="6"/>
        <v>59.402341938442994</v>
      </c>
      <c r="U42">
        <f t="shared" si="6"/>
        <v>90.219284192440767</v>
      </c>
      <c r="W42">
        <f t="shared" si="7"/>
        <v>1.5070123143441805</v>
      </c>
      <c r="X42">
        <f t="shared" si="7"/>
        <v>6.3868456692088387</v>
      </c>
    </row>
    <row r="43" spans="1:24" x14ac:dyDescent="0.35">
      <c r="A43">
        <v>268.46699999999998</v>
      </c>
      <c r="B43">
        <v>7.9203599999999998E-4</v>
      </c>
      <c r="C43">
        <v>1.2326899999999999E-4</v>
      </c>
      <c r="D43">
        <f t="shared" si="2"/>
        <v>62.009582863585123</v>
      </c>
      <c r="E43">
        <f t="shared" si="3"/>
        <v>81.705441771061174</v>
      </c>
      <c r="G43">
        <v>4.5211200000000001E-4</v>
      </c>
      <c r="H43">
        <v>1.2244400000000001E-4</v>
      </c>
      <c r="I43">
        <f t="shared" si="4"/>
        <v>59.906743536775885</v>
      </c>
      <c r="J43">
        <f t="shared" si="5"/>
        <v>99.942047912500527</v>
      </c>
      <c r="Q43">
        <f t="shared" si="8"/>
        <v>6.2207400000000002E-4</v>
      </c>
      <c r="R43">
        <f t="shared" si="9"/>
        <v>1.228565E-4</v>
      </c>
      <c r="T43">
        <f t="shared" si="6"/>
        <v>60.958163200180508</v>
      </c>
      <c r="U43">
        <f t="shared" si="6"/>
        <v>90.823744841780851</v>
      </c>
      <c r="W43">
        <f t="shared" si="7"/>
        <v>1.0514196634046193</v>
      </c>
      <c r="X43">
        <f t="shared" si="7"/>
        <v>9.1183030707196764</v>
      </c>
    </row>
    <row r="44" spans="1:24" x14ac:dyDescent="0.35">
      <c r="A44">
        <v>274.76</v>
      </c>
      <c r="B44">
        <v>7.9792600000000002E-4</v>
      </c>
      <c r="C44">
        <v>1.20554E-4</v>
      </c>
      <c r="D44">
        <f t="shared" si="2"/>
        <v>62.470719027934365</v>
      </c>
      <c r="E44">
        <f t="shared" si="3"/>
        <v>79.905879233777426</v>
      </c>
      <c r="G44">
        <v>4.6173399999999999E-4</v>
      </c>
      <c r="H44">
        <v>1.2350300000000001E-4</v>
      </c>
      <c r="I44">
        <f t="shared" si="4"/>
        <v>61.181699048487268</v>
      </c>
      <c r="J44">
        <f t="shared" si="5"/>
        <v>100.80643186548588</v>
      </c>
      <c r="Q44">
        <f t="shared" si="8"/>
        <v>6.2983000000000006E-4</v>
      </c>
      <c r="R44">
        <f t="shared" si="9"/>
        <v>1.220285E-4</v>
      </c>
      <c r="T44">
        <f t="shared" si="6"/>
        <v>61.82620903821082</v>
      </c>
      <c r="U44">
        <f t="shared" si="6"/>
        <v>90.356155549631652</v>
      </c>
      <c r="W44">
        <f t="shared" si="7"/>
        <v>0.64450998972354867</v>
      </c>
      <c r="X44">
        <f t="shared" si="7"/>
        <v>10.450276315854259</v>
      </c>
    </row>
    <row r="45" spans="1:24" x14ac:dyDescent="0.35">
      <c r="A45">
        <v>280.99099999999999</v>
      </c>
      <c r="B45">
        <v>8.0461699999999998E-4</v>
      </c>
      <c r="C45">
        <v>1.1985999999999999E-4</v>
      </c>
      <c r="D45">
        <f t="shared" si="2"/>
        <v>62.99456657898034</v>
      </c>
      <c r="E45">
        <f t="shared" si="3"/>
        <v>79.445880559422022</v>
      </c>
      <c r="G45">
        <v>4.6801900000000002E-4</v>
      </c>
      <c r="H45">
        <v>1.22557E-4</v>
      </c>
      <c r="I45">
        <f t="shared" si="4"/>
        <v>62.014488010356537</v>
      </c>
      <c r="J45">
        <f t="shared" si="5"/>
        <v>100.034281516549</v>
      </c>
      <c r="Q45">
        <f t="shared" si="8"/>
        <v>6.3631799999999997E-4</v>
      </c>
      <c r="R45">
        <f t="shared" si="9"/>
        <v>1.2120849999999999E-4</v>
      </c>
      <c r="T45">
        <f t="shared" si="6"/>
        <v>62.504527294668435</v>
      </c>
      <c r="U45">
        <f t="shared" si="6"/>
        <v>89.740081037985505</v>
      </c>
      <c r="W45">
        <f t="shared" si="7"/>
        <v>0.49003928431190147</v>
      </c>
      <c r="X45">
        <f t="shared" si="7"/>
        <v>10.294200478563537</v>
      </c>
    </row>
    <row r="46" spans="1:24" x14ac:dyDescent="0.35">
      <c r="A46">
        <v>287.21100000000001</v>
      </c>
      <c r="B46">
        <v>8.0895999999999995E-4</v>
      </c>
      <c r="C46">
        <v>1.18736E-4</v>
      </c>
      <c r="D46">
        <f t="shared" si="2"/>
        <v>63.334585995239877</v>
      </c>
      <c r="E46">
        <f t="shared" si="3"/>
        <v>78.70086829720951</v>
      </c>
      <c r="G46">
        <v>4.7250999999999999E-4</v>
      </c>
      <c r="H46">
        <v>1.2290900000000001E-4</v>
      </c>
      <c r="I46">
        <f t="shared" si="4"/>
        <v>62.609564418909414</v>
      </c>
      <c r="J46">
        <f t="shared" si="5"/>
        <v>100.32159327429295</v>
      </c>
      <c r="Q46">
        <f t="shared" si="8"/>
        <v>6.4073499999999992E-4</v>
      </c>
      <c r="R46">
        <f t="shared" si="9"/>
        <v>1.2082250000000001E-4</v>
      </c>
      <c r="T46">
        <f t="shared" si="6"/>
        <v>62.972075207074646</v>
      </c>
      <c r="U46">
        <f t="shared" si="6"/>
        <v>89.511230785751223</v>
      </c>
      <c r="W46">
        <f t="shared" si="7"/>
        <v>0.36251078816523119</v>
      </c>
      <c r="X46">
        <f t="shared" si="7"/>
        <v>10.810362488541738</v>
      </c>
    </row>
    <row r="47" spans="1:24" x14ac:dyDescent="0.35">
      <c r="A47">
        <v>293.38900000000001</v>
      </c>
      <c r="B47">
        <v>8.11869E-4</v>
      </c>
      <c r="C47">
        <v>1.1786E-4</v>
      </c>
      <c r="D47">
        <f t="shared" si="2"/>
        <v>63.56233558812476</v>
      </c>
      <c r="E47">
        <f t="shared" si="3"/>
        <v>78.120235964737844</v>
      </c>
      <c r="G47">
        <v>4.7726799999999998E-4</v>
      </c>
      <c r="H47">
        <v>1.2260999999999999E-4</v>
      </c>
      <c r="I47">
        <f t="shared" si="4"/>
        <v>63.240019451618082</v>
      </c>
      <c r="J47">
        <f t="shared" si="5"/>
        <v>100.07754152552748</v>
      </c>
      <c r="Q47">
        <f t="shared" si="8"/>
        <v>6.4456850000000005E-4</v>
      </c>
      <c r="R47">
        <f t="shared" si="9"/>
        <v>1.20235E-4</v>
      </c>
      <c r="T47">
        <f t="shared" si="6"/>
        <v>63.401177519871425</v>
      </c>
      <c r="U47">
        <f t="shared" si="6"/>
        <v>89.098888745132655</v>
      </c>
      <c r="W47">
        <f t="shared" si="7"/>
        <v>0.16115806825333934</v>
      </c>
      <c r="X47">
        <f t="shared" si="7"/>
        <v>10.978652780394842</v>
      </c>
    </row>
    <row r="48" spans="1:24" x14ac:dyDescent="0.35">
      <c r="A48">
        <v>299.65600000000001</v>
      </c>
      <c r="B48">
        <v>8.1648099999999998E-4</v>
      </c>
      <c r="C48">
        <v>1.1833299999999999E-4</v>
      </c>
      <c r="D48">
        <f t="shared" si="2"/>
        <v>63.923415382688212</v>
      </c>
      <c r="E48">
        <f t="shared" si="3"/>
        <v>78.433750911380656</v>
      </c>
      <c r="G48">
        <v>4.8087500000000002E-4</v>
      </c>
      <c r="H48">
        <v>1.2153499999999999E-4</v>
      </c>
      <c r="I48">
        <f t="shared" si="4"/>
        <v>63.717962138246953</v>
      </c>
      <c r="J48">
        <f t="shared" si="5"/>
        <v>99.200097947190145</v>
      </c>
      <c r="Q48">
        <f t="shared" si="8"/>
        <v>6.4867799999999997E-4</v>
      </c>
      <c r="R48">
        <f t="shared" si="9"/>
        <v>1.1993399999999999E-4</v>
      </c>
      <c r="T48">
        <f t="shared" si="6"/>
        <v>63.820688760467583</v>
      </c>
      <c r="U48">
        <f t="shared" si="6"/>
        <v>88.816924429285393</v>
      </c>
      <c r="W48">
        <f t="shared" si="7"/>
        <v>0.10272662222062934</v>
      </c>
      <c r="X48">
        <f t="shared" si="7"/>
        <v>10.383173517904826</v>
      </c>
    </row>
    <row r="49" spans="1:24" x14ac:dyDescent="0.35">
      <c r="A49">
        <v>305.76400000000001</v>
      </c>
      <c r="B49">
        <v>8.1243400000000001E-4</v>
      </c>
      <c r="C49">
        <v>1.05158E-4</v>
      </c>
      <c r="D49">
        <f t="shared" si="2"/>
        <v>63.606570211699861</v>
      </c>
      <c r="E49">
        <f t="shared" si="3"/>
        <v>69.701067143898726</v>
      </c>
      <c r="G49">
        <v>4.85102E-4</v>
      </c>
      <c r="H49">
        <v>1.2183199999999999E-4</v>
      </c>
      <c r="I49">
        <f t="shared" si="4"/>
        <v>64.278057435275002</v>
      </c>
      <c r="J49">
        <f t="shared" si="5"/>
        <v>99.442517242786593</v>
      </c>
      <c r="Q49">
        <f t="shared" si="8"/>
        <v>6.4876799999999998E-4</v>
      </c>
      <c r="R49">
        <f t="shared" si="9"/>
        <v>1.13495E-4</v>
      </c>
      <c r="T49">
        <f t="shared" si="6"/>
        <v>63.942313823487432</v>
      </c>
      <c r="U49">
        <f t="shared" si="6"/>
        <v>84.57179219334266</v>
      </c>
      <c r="W49">
        <f t="shared" si="7"/>
        <v>0.33574361178757073</v>
      </c>
      <c r="X49">
        <f t="shared" si="7"/>
        <v>14.870725049443914</v>
      </c>
    </row>
    <row r="50" spans="1:24" x14ac:dyDescent="0.35">
      <c r="A50">
        <v>311.92599999999999</v>
      </c>
      <c r="B50">
        <v>8.1982300000000001E-4</v>
      </c>
      <c r="C50">
        <v>1.14802E-4</v>
      </c>
      <c r="D50">
        <f t="shared" si="2"/>
        <v>64.185065138419134</v>
      </c>
      <c r="E50">
        <f t="shared" si="3"/>
        <v>76.093325379465767</v>
      </c>
      <c r="G50">
        <v>4.8677399999999998E-4</v>
      </c>
      <c r="H50">
        <v>1.22402E-4</v>
      </c>
      <c r="I50">
        <f t="shared" si="4"/>
        <v>64.499604474932198</v>
      </c>
      <c r="J50">
        <f t="shared" si="5"/>
        <v>99.907766395951526</v>
      </c>
      <c r="Q50">
        <f t="shared" si="8"/>
        <v>6.5329850000000003E-4</v>
      </c>
      <c r="R50">
        <f t="shared" si="9"/>
        <v>1.18602E-4</v>
      </c>
      <c r="T50">
        <f t="shared" si="6"/>
        <v>64.342334806675666</v>
      </c>
      <c r="U50">
        <f t="shared" si="6"/>
        <v>88.000545887708654</v>
      </c>
      <c r="W50">
        <f t="shared" si="7"/>
        <v>0.15726966825653221</v>
      </c>
      <c r="X50">
        <f t="shared" si="7"/>
        <v>11.907220508242819</v>
      </c>
    </row>
    <row r="51" spans="1:24" x14ac:dyDescent="0.35">
      <c r="A51">
        <v>318.20600000000002</v>
      </c>
      <c r="B51">
        <v>8.1817900000000004E-4</v>
      </c>
      <c r="C51">
        <v>1.0912E-4</v>
      </c>
      <c r="D51">
        <f t="shared" si="2"/>
        <v>64.05635412752099</v>
      </c>
      <c r="E51">
        <f t="shared" si="3"/>
        <v>72.327169085968052</v>
      </c>
      <c r="G51">
        <v>4.9173800000000003E-4</v>
      </c>
      <c r="H51">
        <v>1.23084E-4</v>
      </c>
      <c r="I51">
        <f t="shared" si="4"/>
        <v>65.15735537496704</v>
      </c>
      <c r="J51">
        <f t="shared" si="5"/>
        <v>100.46443292658043</v>
      </c>
      <c r="Q51">
        <f t="shared" si="8"/>
        <v>6.5495850000000003E-4</v>
      </c>
      <c r="R51">
        <f t="shared" si="9"/>
        <v>1.1610200000000001E-4</v>
      </c>
      <c r="T51">
        <f t="shared" si="6"/>
        <v>64.606854751244015</v>
      </c>
      <c r="U51">
        <f t="shared" si="6"/>
        <v>86.39580100627424</v>
      </c>
      <c r="W51">
        <f t="shared" si="7"/>
        <v>0.55050062372302477</v>
      </c>
      <c r="X51">
        <f t="shared" si="7"/>
        <v>14.068631920306158</v>
      </c>
    </row>
    <row r="52" spans="1:24" x14ac:dyDescent="0.35">
      <c r="A52">
        <v>324.48599999999999</v>
      </c>
      <c r="B52">
        <v>8.2012800000000005E-4</v>
      </c>
      <c r="C52">
        <v>1.07317E-4</v>
      </c>
      <c r="D52">
        <f t="shared" si="2"/>
        <v>64.208944006012786</v>
      </c>
      <c r="E52">
        <f t="shared" si="3"/>
        <v>71.132100483860285</v>
      </c>
      <c r="G52">
        <v>4.9057899999999999E-4</v>
      </c>
      <c r="H52">
        <v>1.17732E-4</v>
      </c>
      <c r="I52">
        <f t="shared" si="4"/>
        <v>65.003782995204674</v>
      </c>
      <c r="J52">
        <f t="shared" si="5"/>
        <v>96.0959882463372</v>
      </c>
      <c r="Q52">
        <f t="shared" si="8"/>
        <v>6.5535349999999997E-4</v>
      </c>
      <c r="R52">
        <f t="shared" si="9"/>
        <v>1.125245E-4</v>
      </c>
      <c r="T52">
        <f t="shared" si="6"/>
        <v>64.606363500608722</v>
      </c>
      <c r="U52">
        <f t="shared" si="6"/>
        <v>83.614044365098749</v>
      </c>
      <c r="W52">
        <f t="shared" si="7"/>
        <v>0.39741949459594395</v>
      </c>
      <c r="X52">
        <f t="shared" si="7"/>
        <v>12.481943881238424</v>
      </c>
    </row>
    <row r="53" spans="1:24" x14ac:dyDescent="0.35">
      <c r="A53">
        <v>330.68</v>
      </c>
      <c r="B53">
        <v>8.2168499999999995E-4</v>
      </c>
      <c r="C53">
        <v>1.0156400000000001E-4</v>
      </c>
      <c r="D53">
        <f t="shared" si="2"/>
        <v>64.330843667794056</v>
      </c>
      <c r="E53">
        <f t="shared" si="3"/>
        <v>67.318883807251282</v>
      </c>
      <c r="G53">
        <v>4.9152699999999996E-4</v>
      </c>
      <c r="H53">
        <v>1.12884E-4</v>
      </c>
      <c r="I53">
        <f t="shared" si="4"/>
        <v>65.129396986589256</v>
      </c>
      <c r="J53">
        <f t="shared" si="5"/>
        <v>92.138921764681882</v>
      </c>
      <c r="Q53">
        <f t="shared" si="8"/>
        <v>6.566059999999999E-4</v>
      </c>
      <c r="R53">
        <f t="shared" si="9"/>
        <v>1.07224E-4</v>
      </c>
      <c r="T53">
        <f t="shared" si="6"/>
        <v>64.730120327191656</v>
      </c>
      <c r="U53">
        <f t="shared" si="6"/>
        <v>79.728902785966582</v>
      </c>
      <c r="W53">
        <f t="shared" si="7"/>
        <v>0.39927665939760004</v>
      </c>
      <c r="X53">
        <f t="shared" si="7"/>
        <v>12.410018978715316</v>
      </c>
    </row>
    <row r="54" spans="1:24" x14ac:dyDescent="0.35">
      <c r="A54">
        <v>336.81799999999998</v>
      </c>
      <c r="B54">
        <v>8.2144800000000001E-4</v>
      </c>
      <c r="C54">
        <v>1.0242999999999999E-4</v>
      </c>
      <c r="D54">
        <f t="shared" si="2"/>
        <v>64.312288613303267</v>
      </c>
      <c r="E54">
        <f t="shared" si="3"/>
        <v>67.892887916749515</v>
      </c>
      <c r="G54">
        <v>4.9349400000000003E-4</v>
      </c>
      <c r="H54">
        <v>1.1199700000000001E-4</v>
      </c>
      <c r="I54">
        <f t="shared" si="4"/>
        <v>65.390032768291221</v>
      </c>
      <c r="J54">
        <f t="shared" si="5"/>
        <v>91.414928784230526</v>
      </c>
      <c r="Q54">
        <f t="shared" si="8"/>
        <v>6.5747099999999997E-4</v>
      </c>
      <c r="R54">
        <f t="shared" si="9"/>
        <v>1.072135E-4</v>
      </c>
      <c r="T54">
        <f t="shared" si="6"/>
        <v>64.851160690797244</v>
      </c>
      <c r="U54">
        <f t="shared" si="6"/>
        <v>79.653908350490013</v>
      </c>
      <c r="W54">
        <f t="shared" si="7"/>
        <v>0.53887207749397703</v>
      </c>
      <c r="X54">
        <f t="shared" si="7"/>
        <v>11.761020433740532</v>
      </c>
    </row>
    <row r="55" spans="1:24" x14ac:dyDescent="0.35">
      <c r="A55">
        <v>343.04300000000001</v>
      </c>
      <c r="B55">
        <v>8.2317100000000004E-4</v>
      </c>
      <c r="C55">
        <v>1.0139199999999999E-4</v>
      </c>
      <c r="D55">
        <f t="shared" si="2"/>
        <v>64.447184642365031</v>
      </c>
      <c r="E55">
        <f t="shared" si="3"/>
        <v>67.204878372108439</v>
      </c>
      <c r="G55">
        <v>4.952E-4</v>
      </c>
      <c r="H55">
        <v>1.1145E-4</v>
      </c>
      <c r="I55">
        <f t="shared" si="4"/>
        <v>65.616084951099324</v>
      </c>
      <c r="J55">
        <f t="shared" si="5"/>
        <v>90.96845284250908</v>
      </c>
      <c r="Q55">
        <f t="shared" si="8"/>
        <v>6.5918550000000002E-4</v>
      </c>
      <c r="R55">
        <f t="shared" si="9"/>
        <v>1.0642099999999999E-4</v>
      </c>
      <c r="T55">
        <f t="shared" si="6"/>
        <v>65.031634796732178</v>
      </c>
      <c r="U55">
        <f t="shared" si="6"/>
        <v>79.08666560730876</v>
      </c>
      <c r="W55">
        <f t="shared" si="7"/>
        <v>0.58445015436714698</v>
      </c>
      <c r="X55">
        <f t="shared" si="7"/>
        <v>11.881787235200349</v>
      </c>
    </row>
    <row r="56" spans="1:24" x14ac:dyDescent="0.35">
      <c r="A56">
        <v>349.23899999999998</v>
      </c>
      <c r="B56">
        <v>8.2540700000000001E-4</v>
      </c>
      <c r="C56">
        <v>1.0393E-4</v>
      </c>
      <c r="D56">
        <f t="shared" si="2"/>
        <v>64.622244143805588</v>
      </c>
      <c r="E56">
        <f t="shared" si="3"/>
        <v>68.887121362762656</v>
      </c>
      <c r="G56">
        <v>4.9579400000000003E-4</v>
      </c>
      <c r="H56">
        <v>1.06233E-4</v>
      </c>
      <c r="I56">
        <f t="shared" si="4"/>
        <v>65.694792452030171</v>
      </c>
      <c r="J56">
        <f t="shared" si="5"/>
        <v>86.710198751173323</v>
      </c>
      <c r="Q56">
        <f t="shared" si="8"/>
        <v>6.6060050000000007E-4</v>
      </c>
      <c r="R56">
        <f t="shared" si="9"/>
        <v>1.050815E-4</v>
      </c>
      <c r="T56">
        <f t="shared" si="6"/>
        <v>65.15851829791788</v>
      </c>
      <c r="U56">
        <f t="shared" si="6"/>
        <v>77.798660056967989</v>
      </c>
      <c r="W56">
        <f t="shared" si="7"/>
        <v>0.53627415411229151</v>
      </c>
      <c r="X56">
        <f t="shared" si="7"/>
        <v>8.9115386942053245</v>
      </c>
    </row>
    <row r="57" spans="1:24" x14ac:dyDescent="0.35">
      <c r="A57">
        <v>355.53699999999998</v>
      </c>
      <c r="B57">
        <v>8.2744399999999999E-4</v>
      </c>
      <c r="C57">
        <v>1.03342E-4</v>
      </c>
      <c r="D57">
        <f t="shared" si="2"/>
        <v>64.781723662783421</v>
      </c>
      <c r="E57">
        <f t="shared" si="3"/>
        <v>68.497381851925496</v>
      </c>
      <c r="G57">
        <v>4.9932799999999995E-4</v>
      </c>
      <c r="H57">
        <v>1.1512E-4</v>
      </c>
      <c r="I57">
        <f t="shared" si="4"/>
        <v>66.163062331305582</v>
      </c>
      <c r="J57">
        <f t="shared" si="5"/>
        <v>93.964004407623563</v>
      </c>
      <c r="Q57">
        <f t="shared" si="8"/>
        <v>6.6338599999999997E-4</v>
      </c>
      <c r="R57">
        <f t="shared" si="9"/>
        <v>1.09231E-4</v>
      </c>
      <c r="T57">
        <f t="shared" si="6"/>
        <v>65.472392997044494</v>
      </c>
      <c r="U57">
        <f t="shared" si="6"/>
        <v>81.230693129774522</v>
      </c>
      <c r="W57">
        <f t="shared" si="7"/>
        <v>0.69066933426108079</v>
      </c>
      <c r="X57">
        <f t="shared" si="7"/>
        <v>12.73331127784911</v>
      </c>
    </row>
    <row r="58" spans="1:24" x14ac:dyDescent="0.35">
      <c r="A58">
        <v>361.666</v>
      </c>
      <c r="B58">
        <v>8.2897199999999998E-4</v>
      </c>
      <c r="C58">
        <v>1.0737E-4</v>
      </c>
      <c r="D58">
        <f t="shared" si="2"/>
        <v>64.901352874859072</v>
      </c>
      <c r="E58">
        <f t="shared" si="3"/>
        <v>71.167230065619407</v>
      </c>
      <c r="G58">
        <v>5.0084900000000004E-4</v>
      </c>
      <c r="H58">
        <v>1.17798E-4</v>
      </c>
      <c r="I58">
        <f t="shared" si="4"/>
        <v>66.364601235204262</v>
      </c>
      <c r="J58">
        <f t="shared" si="5"/>
        <v>96.149859200914179</v>
      </c>
      <c r="Q58">
        <f t="shared" si="8"/>
        <v>6.6491050000000006E-4</v>
      </c>
      <c r="R58">
        <f t="shared" si="9"/>
        <v>1.1258399999999999E-4</v>
      </c>
      <c r="T58">
        <f t="shared" si="6"/>
        <v>65.63297705503166</v>
      </c>
      <c r="U58">
        <f t="shared" si="6"/>
        <v>83.658544633266786</v>
      </c>
      <c r="W58">
        <f t="shared" si="7"/>
        <v>0.73162418017259512</v>
      </c>
      <c r="X58">
        <f t="shared" si="7"/>
        <v>12.491314567647443</v>
      </c>
    </row>
    <row r="59" spans="1:24" x14ac:dyDescent="0.35">
      <c r="A59">
        <v>367.87200000000001</v>
      </c>
      <c r="B59">
        <v>8.2918100000000002E-4</v>
      </c>
      <c r="C59">
        <v>1.0529100000000001E-4</v>
      </c>
      <c r="D59">
        <f t="shared" si="2"/>
        <v>64.917715771013405</v>
      </c>
      <c r="E59">
        <f t="shared" si="3"/>
        <v>69.789222509445224</v>
      </c>
      <c r="G59">
        <v>5.0461699999999996E-4</v>
      </c>
      <c r="H59">
        <v>1.20421E-4</v>
      </c>
      <c r="I59">
        <f t="shared" si="4"/>
        <v>66.863877099694832</v>
      </c>
      <c r="J59">
        <f t="shared" si="5"/>
        <v>98.290821532057322</v>
      </c>
      <c r="Q59">
        <f t="shared" si="8"/>
        <v>6.6689899999999999E-4</v>
      </c>
      <c r="R59">
        <f t="shared" si="9"/>
        <v>1.1285600000000001E-4</v>
      </c>
      <c r="T59">
        <f t="shared" si="6"/>
        <v>65.890796435354119</v>
      </c>
      <c r="U59">
        <f t="shared" si="6"/>
        <v>84.04002202075128</v>
      </c>
      <c r="W59">
        <f t="shared" si="7"/>
        <v>0.9730806643407135</v>
      </c>
      <c r="X59">
        <f t="shared" si="7"/>
        <v>14.250799511306022</v>
      </c>
    </row>
    <row r="60" spans="1:24" x14ac:dyDescent="0.35">
      <c r="A60">
        <v>374.14400000000001</v>
      </c>
      <c r="B60">
        <v>8.2834200000000003E-4</v>
      </c>
      <c r="C60">
        <v>1.06106E-4</v>
      </c>
      <c r="D60">
        <f t="shared" si="2"/>
        <v>64.852029312288622</v>
      </c>
      <c r="E60">
        <f t="shared" si="3"/>
        <v>70.329422681779022</v>
      </c>
      <c r="G60">
        <v>5.0240099999999998E-4</v>
      </c>
      <c r="H60">
        <v>1.14202E-4</v>
      </c>
      <c r="I60">
        <f t="shared" si="4"/>
        <v>66.570247769622881</v>
      </c>
      <c r="J60">
        <f t="shared" si="5"/>
        <v>93.214708403052697</v>
      </c>
      <c r="Q60">
        <f t="shared" si="8"/>
        <v>6.6537150000000006E-4</v>
      </c>
      <c r="R60">
        <f t="shared" si="9"/>
        <v>1.10154E-4</v>
      </c>
      <c r="T60">
        <f t="shared" si="6"/>
        <v>65.711138540955744</v>
      </c>
      <c r="U60">
        <f t="shared" si="6"/>
        <v>81.772065542415859</v>
      </c>
      <c r="W60">
        <f t="shared" si="7"/>
        <v>0.8591092286671298</v>
      </c>
      <c r="X60">
        <f t="shared" si="7"/>
        <v>11.442642860636848</v>
      </c>
    </row>
    <row r="61" spans="1:24" x14ac:dyDescent="0.35">
      <c r="A61">
        <v>380.34899999999999</v>
      </c>
      <c r="B61">
        <v>8.3051399999999997E-4</v>
      </c>
      <c r="C61">
        <v>1.05246E-4</v>
      </c>
      <c r="D61">
        <f t="shared" si="2"/>
        <v>65.022078166102972</v>
      </c>
      <c r="E61">
        <f t="shared" si="3"/>
        <v>69.75939550606482</v>
      </c>
      <c r="G61">
        <v>5.05646E-4</v>
      </c>
      <c r="H61">
        <v>1.17365E-4</v>
      </c>
      <c r="I61">
        <f t="shared" si="4"/>
        <v>67.000223932115446</v>
      </c>
      <c r="J61">
        <f t="shared" si="5"/>
        <v>95.79643308982574</v>
      </c>
      <c r="Q61">
        <f t="shared" si="8"/>
        <v>6.6807999999999993E-4</v>
      </c>
      <c r="R61">
        <f t="shared" si="9"/>
        <v>1.113055E-4</v>
      </c>
      <c r="T61">
        <f t="shared" si="6"/>
        <v>66.011151049109202</v>
      </c>
      <c r="U61">
        <f t="shared" si="6"/>
        <v>82.777914297945273</v>
      </c>
      <c r="W61">
        <f t="shared" si="7"/>
        <v>0.98907288300623719</v>
      </c>
      <c r="X61">
        <f t="shared" si="7"/>
        <v>13.018518791880529</v>
      </c>
    </row>
    <row r="62" spans="1:24" x14ac:dyDescent="0.35">
      <c r="A62">
        <v>386.57</v>
      </c>
      <c r="B62">
        <v>8.3059099999999999E-4</v>
      </c>
      <c r="C62">
        <v>1.0433900000000001E-4</v>
      </c>
      <c r="D62">
        <f t="shared" si="2"/>
        <v>65.028106601528251</v>
      </c>
      <c r="E62">
        <f t="shared" si="3"/>
        <v>69.158215682375555</v>
      </c>
      <c r="G62">
        <v>5.0641499999999997E-4</v>
      </c>
      <c r="H62">
        <v>1.18145E-4</v>
      </c>
      <c r="I62">
        <f t="shared" si="4"/>
        <v>67.102119669852513</v>
      </c>
      <c r="J62">
        <f t="shared" si="5"/>
        <v>96.433089825735635</v>
      </c>
      <c r="Q62">
        <f t="shared" si="8"/>
        <v>6.6850299999999998E-4</v>
      </c>
      <c r="R62">
        <f t="shared" si="9"/>
        <v>1.11242E-4</v>
      </c>
      <c r="T62">
        <f t="shared" si="6"/>
        <v>66.065113135690382</v>
      </c>
      <c r="U62">
        <f t="shared" si="6"/>
        <v>82.795652754055595</v>
      </c>
      <c r="W62">
        <f t="shared" si="7"/>
        <v>1.0370065341621313</v>
      </c>
      <c r="X62">
        <f t="shared" si="7"/>
        <v>13.637437071680077</v>
      </c>
    </row>
    <row r="63" spans="1:24" x14ac:dyDescent="0.35">
      <c r="A63">
        <v>392.74099999999999</v>
      </c>
      <c r="B63">
        <v>8.3252900000000004E-4</v>
      </c>
      <c r="C63">
        <v>1.05969E-4</v>
      </c>
      <c r="D63">
        <f t="shared" si="2"/>
        <v>65.179835274959302</v>
      </c>
      <c r="E63">
        <f t="shared" si="3"/>
        <v>70.23861602704315</v>
      </c>
      <c r="G63">
        <v>5.0904200000000002E-4</v>
      </c>
      <c r="H63">
        <v>1.17476E-4</v>
      </c>
      <c r="I63">
        <f t="shared" si="4"/>
        <v>67.450208230366528</v>
      </c>
      <c r="J63">
        <f t="shared" si="5"/>
        <v>95.887034240705233</v>
      </c>
      <c r="Q63">
        <f t="shared" si="8"/>
        <v>6.7078550000000008E-4</v>
      </c>
      <c r="R63">
        <f t="shared" si="9"/>
        <v>1.1172250000000001E-4</v>
      </c>
      <c r="T63">
        <f t="shared" si="6"/>
        <v>66.315021752662915</v>
      </c>
      <c r="U63">
        <f t="shared" si="6"/>
        <v>83.062825133874185</v>
      </c>
      <c r="W63">
        <f t="shared" si="7"/>
        <v>1.1351864777036127</v>
      </c>
      <c r="X63">
        <f t="shared" si="7"/>
        <v>12.824209106831061</v>
      </c>
    </row>
    <row r="64" spans="1:24" x14ac:dyDescent="0.35">
      <c r="A64">
        <v>399.01299999999998</v>
      </c>
      <c r="B64">
        <v>8.3180999999999999E-4</v>
      </c>
      <c r="C64">
        <v>1.06248E-4</v>
      </c>
      <c r="D64">
        <f t="shared" si="2"/>
        <v>65.123543780533637</v>
      </c>
      <c r="E64">
        <f t="shared" si="3"/>
        <v>70.423543448001595</v>
      </c>
      <c r="G64">
        <v>5.1252899999999996E-4</v>
      </c>
      <c r="H64">
        <v>1.23051E-4</v>
      </c>
      <c r="I64">
        <f t="shared" si="4"/>
        <v>67.91225041175683</v>
      </c>
      <c r="J64">
        <f t="shared" si="5"/>
        <v>100.43749744929194</v>
      </c>
      <c r="Q64">
        <f t="shared" si="8"/>
        <v>6.7216949999999998E-4</v>
      </c>
      <c r="R64">
        <f t="shared" si="9"/>
        <v>1.146495E-4</v>
      </c>
      <c r="T64">
        <f t="shared" si="6"/>
        <v>66.517897096145234</v>
      </c>
      <c r="U64">
        <f t="shared" si="6"/>
        <v>85.430520448646774</v>
      </c>
      <c r="W64">
        <f t="shared" si="7"/>
        <v>1.3943533156115961</v>
      </c>
      <c r="X64">
        <f t="shared" si="7"/>
        <v>15.006977000645124</v>
      </c>
    </row>
    <row r="65" spans="1:24" x14ac:dyDescent="0.35">
      <c r="A65">
        <v>405.089</v>
      </c>
      <c r="B65">
        <v>8.3346099999999997E-4</v>
      </c>
      <c r="C65">
        <v>1.04672E-4</v>
      </c>
      <c r="D65">
        <f t="shared" si="2"/>
        <v>65.252802831015913</v>
      </c>
      <c r="E65">
        <f t="shared" si="3"/>
        <v>69.378935507390466</v>
      </c>
      <c r="G65">
        <v>5.1117100000000004E-4</v>
      </c>
      <c r="H65">
        <v>1.19753E-4</v>
      </c>
      <c r="I65">
        <f t="shared" si="4"/>
        <v>67.73230969414054</v>
      </c>
      <c r="J65">
        <f t="shared" si="5"/>
        <v>97.74558217361141</v>
      </c>
      <c r="Q65">
        <f t="shared" si="8"/>
        <v>6.7231600000000006E-4</v>
      </c>
      <c r="R65">
        <f t="shared" si="9"/>
        <v>1.122125E-4</v>
      </c>
      <c r="T65">
        <f t="shared" si="6"/>
        <v>66.492556262578233</v>
      </c>
      <c r="U65">
        <f t="shared" si="6"/>
        <v>83.562258840500931</v>
      </c>
      <c r="W65">
        <f t="shared" si="7"/>
        <v>1.2397534315623133</v>
      </c>
      <c r="X65">
        <f t="shared" si="7"/>
        <v>14.18332333311054</v>
      </c>
    </row>
    <row r="66" spans="1:24" x14ac:dyDescent="0.35">
      <c r="A66">
        <v>411.38600000000002</v>
      </c>
      <c r="B66">
        <v>8.3372299999999997E-4</v>
      </c>
      <c r="C66">
        <v>1.06438E-4</v>
      </c>
      <c r="D66">
        <f t="shared" si="2"/>
        <v>65.273315169735696</v>
      </c>
      <c r="E66">
        <f t="shared" si="3"/>
        <v>70.549479684496589</v>
      </c>
      <c r="G66">
        <v>5.1714600000000001E-4</v>
      </c>
      <c r="H66">
        <v>1.2861799999999999E-4</v>
      </c>
      <c r="I66">
        <f t="shared" si="4"/>
        <v>68.524022350810199</v>
      </c>
      <c r="J66">
        <f t="shared" si="5"/>
        <v>104.98143084520264</v>
      </c>
      <c r="Q66">
        <f t="shared" si="8"/>
        <v>6.7543449999999999E-4</v>
      </c>
      <c r="R66">
        <f t="shared" si="9"/>
        <v>1.1752799999999999E-4</v>
      </c>
      <c r="T66">
        <f t="shared" si="6"/>
        <v>66.898668760272955</v>
      </c>
      <c r="U66">
        <f t="shared" si="6"/>
        <v>87.765455264849606</v>
      </c>
      <c r="W66">
        <f t="shared" si="7"/>
        <v>1.6253535905372516</v>
      </c>
      <c r="X66">
        <f t="shared" si="7"/>
        <v>17.215975580353081</v>
      </c>
    </row>
    <row r="67" spans="1:24" x14ac:dyDescent="0.35">
      <c r="A67">
        <v>417.61700000000002</v>
      </c>
      <c r="B67">
        <v>8.3488900000000001E-4</v>
      </c>
      <c r="C67">
        <v>1.04156E-4</v>
      </c>
      <c r="D67">
        <f t="shared" si="2"/>
        <v>65.364602906175634</v>
      </c>
      <c r="E67">
        <f t="shared" si="3"/>
        <v>69.03691920196195</v>
      </c>
      <c r="G67">
        <v>5.14453E-4</v>
      </c>
      <c r="H67">
        <v>1.19819E-4</v>
      </c>
      <c r="I67">
        <f t="shared" si="4"/>
        <v>68.167188512414995</v>
      </c>
      <c r="J67">
        <f t="shared" si="5"/>
        <v>97.799453128188389</v>
      </c>
      <c r="Q67">
        <f t="shared" ref="Q67:Q98" si="10">AVERAGE(B67,G67,L67)</f>
        <v>6.7467099999999995E-4</v>
      </c>
      <c r="R67">
        <f t="shared" ref="R67:R98" si="11">AVERAGE(C67,H67,M67)</f>
        <v>1.119875E-4</v>
      </c>
      <c r="T67">
        <f t="shared" si="6"/>
        <v>66.765895709295307</v>
      </c>
      <c r="U67">
        <f t="shared" si="6"/>
        <v>83.41818616507517</v>
      </c>
      <c r="W67">
        <f t="shared" si="7"/>
        <v>1.4012928031196807</v>
      </c>
      <c r="X67">
        <f t="shared" si="7"/>
        <v>14.381266963113246</v>
      </c>
    </row>
    <row r="68" spans="1:24" x14ac:dyDescent="0.35">
      <c r="A68">
        <v>423.72800000000001</v>
      </c>
      <c r="B68">
        <v>8.3773300000000001E-4</v>
      </c>
      <c r="C68">
        <v>1.08631E-4</v>
      </c>
      <c r="D68">
        <f t="shared" ref="D68:D109" si="12">B68/$B$3*100</f>
        <v>65.587263560065139</v>
      </c>
      <c r="E68">
        <f t="shared" ref="E68:E109" si="13">C68/$C$3*100</f>
        <v>72.003048982567776</v>
      </c>
      <c r="G68">
        <v>5.1891899999999996E-4</v>
      </c>
      <c r="H68">
        <v>1.2673900000000001E-4</v>
      </c>
      <c r="I68">
        <f t="shared" ref="I68:I109" si="14">G68/$G$3*100</f>
        <v>68.758952315709834</v>
      </c>
      <c r="J68">
        <f t="shared" ref="J68:J109" si="15">H68/$H$3*100</f>
        <v>103.4477410929274</v>
      </c>
      <c r="Q68">
        <f t="shared" si="10"/>
        <v>6.7832599999999993E-4</v>
      </c>
      <c r="R68">
        <f t="shared" si="11"/>
        <v>1.17685E-4</v>
      </c>
      <c r="T68">
        <f t="shared" ref="T68:U109" si="16">AVERAGE(D68,I68,N68)</f>
        <v>67.173107937887494</v>
      </c>
      <c r="U68">
        <f t="shared" si="16"/>
        <v>87.725395037747589</v>
      </c>
      <c r="W68">
        <f t="shared" ref="W68:X109" si="17">_xlfn.STDEV.P(D68,I68,N68)</f>
        <v>1.5858443778223474</v>
      </c>
      <c r="X68">
        <f t="shared" si="17"/>
        <v>15.722346055179791</v>
      </c>
    </row>
    <row r="69" spans="1:24" x14ac:dyDescent="0.35">
      <c r="A69">
        <v>429.99799999999999</v>
      </c>
      <c r="B69">
        <v>8.3867499999999999E-4</v>
      </c>
      <c r="C69">
        <v>1.08517E-4</v>
      </c>
      <c r="D69">
        <f t="shared" si="12"/>
        <v>65.661014029813359</v>
      </c>
      <c r="E69">
        <f t="shared" si="13"/>
        <v>71.927487240670786</v>
      </c>
      <c r="G69">
        <v>5.2097999999999999E-4</v>
      </c>
      <c r="H69">
        <v>1.27773E-4</v>
      </c>
      <c r="I69">
        <f t="shared" si="14"/>
        <v>69.032043493181988</v>
      </c>
      <c r="J69">
        <f t="shared" si="15"/>
        <v>104.29171938130027</v>
      </c>
      <c r="Q69">
        <f t="shared" si="10"/>
        <v>6.7982749999999999E-4</v>
      </c>
      <c r="R69">
        <f t="shared" si="11"/>
        <v>1.18145E-4</v>
      </c>
      <c r="T69">
        <f t="shared" si="16"/>
        <v>67.346528761497666</v>
      </c>
      <c r="U69">
        <f t="shared" si="16"/>
        <v>88.109603310985534</v>
      </c>
      <c r="W69">
        <f t="shared" si="17"/>
        <v>1.6855147316843144</v>
      </c>
      <c r="X69">
        <f t="shared" si="17"/>
        <v>16.182116070314695</v>
      </c>
    </row>
    <row r="70" spans="1:24" x14ac:dyDescent="0.35">
      <c r="A70">
        <v>436.13900000000001</v>
      </c>
      <c r="B70">
        <v>8.3863899999999996E-4</v>
      </c>
      <c r="C70">
        <v>1.06412E-4</v>
      </c>
      <c r="D70">
        <f t="shared" si="12"/>
        <v>65.658195540523607</v>
      </c>
      <c r="E70">
        <f t="shared" si="13"/>
        <v>70.532246304765692</v>
      </c>
      <c r="G70">
        <v>5.2206400000000003E-4</v>
      </c>
      <c r="H70">
        <v>1.2739399999999999E-4</v>
      </c>
      <c r="I70">
        <f t="shared" si="14"/>
        <v>69.175678057170273</v>
      </c>
      <c r="J70">
        <f t="shared" si="15"/>
        <v>103.98236950577481</v>
      </c>
      <c r="Q70">
        <f t="shared" si="10"/>
        <v>6.803515E-4</v>
      </c>
      <c r="R70">
        <f t="shared" si="11"/>
        <v>1.1690299999999999E-4</v>
      </c>
      <c r="T70">
        <f t="shared" si="16"/>
        <v>67.416936798846933</v>
      </c>
      <c r="U70">
        <f t="shared" si="16"/>
        <v>87.257307905270252</v>
      </c>
      <c r="W70">
        <f t="shared" si="17"/>
        <v>1.7587412583233331</v>
      </c>
      <c r="X70">
        <f t="shared" si="17"/>
        <v>16.725061600504574</v>
      </c>
    </row>
    <row r="71" spans="1:24" x14ac:dyDescent="0.35">
      <c r="A71">
        <v>449.34300000000002</v>
      </c>
      <c r="B71">
        <v>1.7279099999999999E-5</v>
      </c>
      <c r="C71">
        <v>5.8522700000000001E-5</v>
      </c>
      <c r="D71">
        <f t="shared" si="12"/>
        <v>1.3528043968432919</v>
      </c>
      <c r="E71">
        <f t="shared" si="13"/>
        <v>38.790150460661501</v>
      </c>
      <c r="G71">
        <v>1.3570000000000001E-5</v>
      </c>
      <c r="H71">
        <v>3.3300499999999997E-5</v>
      </c>
      <c r="I71">
        <f t="shared" si="14"/>
        <v>1.7980821340598099</v>
      </c>
      <c r="J71">
        <f t="shared" si="15"/>
        <v>27.180753377137496</v>
      </c>
      <c r="Q71">
        <f t="shared" si="10"/>
        <v>1.5424549999999998E-5</v>
      </c>
      <c r="R71">
        <f t="shared" si="11"/>
        <v>4.5911600000000003E-5</v>
      </c>
      <c r="T71">
        <f t="shared" si="16"/>
        <v>1.5754432654515509</v>
      </c>
      <c r="U71">
        <f t="shared" si="16"/>
        <v>32.9854519188995</v>
      </c>
      <c r="W71">
        <f t="shared" si="17"/>
        <v>0.22263886860825896</v>
      </c>
      <c r="X71">
        <f t="shared" si="17"/>
        <v>5.8046985417620069</v>
      </c>
    </row>
    <row r="72" spans="1:24" x14ac:dyDescent="0.35">
      <c r="A72">
        <v>455.57600000000002</v>
      </c>
      <c r="B72">
        <v>1.7237100000000001E-5</v>
      </c>
      <c r="C72">
        <v>5.8301199999999997E-5</v>
      </c>
      <c r="D72">
        <f t="shared" si="12"/>
        <v>1.3495161593385947</v>
      </c>
      <c r="E72">
        <f t="shared" si="13"/>
        <v>38.64333532180023</v>
      </c>
      <c r="G72">
        <v>1.3205599999999999E-5</v>
      </c>
      <c r="H72">
        <v>3.2911999999999999E-5</v>
      </c>
      <c r="I72">
        <f t="shared" si="14"/>
        <v>1.7497975998187341</v>
      </c>
      <c r="J72">
        <f t="shared" si="15"/>
        <v>26.863649349059298</v>
      </c>
      <c r="Q72">
        <f t="shared" si="10"/>
        <v>1.522135E-5</v>
      </c>
      <c r="R72">
        <f t="shared" si="11"/>
        <v>4.5606599999999998E-5</v>
      </c>
      <c r="T72">
        <f t="shared" si="16"/>
        <v>1.5496568795786643</v>
      </c>
      <c r="U72">
        <f t="shared" si="16"/>
        <v>32.753492335429762</v>
      </c>
      <c r="W72">
        <f t="shared" si="17"/>
        <v>0.20014072024006985</v>
      </c>
      <c r="X72">
        <f t="shared" si="17"/>
        <v>5.8898429863704749</v>
      </c>
    </row>
    <row r="73" spans="1:24" x14ac:dyDescent="0.35">
      <c r="A73">
        <v>461.834</v>
      </c>
      <c r="B73">
        <v>1.7095199999999999E-5</v>
      </c>
      <c r="C73">
        <v>5.8028500000000002E-5</v>
      </c>
      <c r="D73">
        <f t="shared" si="12"/>
        <v>1.3384066140548665</v>
      </c>
      <c r="E73">
        <f t="shared" si="13"/>
        <v>38.462583681315046</v>
      </c>
      <c r="G73">
        <v>1.27932E-5</v>
      </c>
      <c r="H73">
        <v>3.2518699999999997E-5</v>
      </c>
      <c r="I73">
        <f t="shared" si="14"/>
        <v>1.6951528634822373</v>
      </c>
      <c r="J73">
        <f t="shared" si="15"/>
        <v>26.542627433375504</v>
      </c>
      <c r="Q73">
        <f t="shared" si="10"/>
        <v>1.4944199999999998E-5</v>
      </c>
      <c r="R73">
        <f t="shared" si="11"/>
        <v>4.52736E-5</v>
      </c>
      <c r="T73">
        <f t="shared" si="16"/>
        <v>1.5167797387685518</v>
      </c>
      <c r="U73">
        <f t="shared" si="16"/>
        <v>32.502605557345277</v>
      </c>
      <c r="W73">
        <f t="shared" si="17"/>
        <v>0.17837312471368544</v>
      </c>
      <c r="X73">
        <f t="shared" si="17"/>
        <v>5.9599781239697647</v>
      </c>
    </row>
    <row r="74" spans="1:24" x14ac:dyDescent="0.35">
      <c r="A74">
        <v>468.06400000000002</v>
      </c>
      <c r="B74">
        <v>1.6994699999999998E-5</v>
      </c>
      <c r="C74">
        <v>5.7923300000000002E-5</v>
      </c>
      <c r="D74">
        <f t="shared" si="12"/>
        <v>1.3305383314543404</v>
      </c>
      <c r="E74">
        <f t="shared" si="13"/>
        <v>38.392854775634653</v>
      </c>
      <c r="G74">
        <v>1.2368099999999999E-5</v>
      </c>
      <c r="H74">
        <v>3.2125600000000003E-5</v>
      </c>
      <c r="I74">
        <f t="shared" si="14"/>
        <v>1.6388253236746597</v>
      </c>
      <c r="J74">
        <f t="shared" si="15"/>
        <v>26.221768763008619</v>
      </c>
      <c r="Q74">
        <f t="shared" si="10"/>
        <v>1.4681399999999998E-5</v>
      </c>
      <c r="R74">
        <f t="shared" si="11"/>
        <v>4.5024449999999999E-5</v>
      </c>
      <c r="T74">
        <f t="shared" si="16"/>
        <v>1.4846818275645002</v>
      </c>
      <c r="U74">
        <f t="shared" si="16"/>
        <v>32.307311769321636</v>
      </c>
      <c r="W74">
        <f t="shared" si="17"/>
        <v>0.15414349611015848</v>
      </c>
      <c r="X74">
        <f t="shared" si="17"/>
        <v>6.0855430063130225</v>
      </c>
    </row>
    <row r="75" spans="1:24" x14ac:dyDescent="0.35">
      <c r="A75">
        <v>474.19400000000002</v>
      </c>
      <c r="B75">
        <v>1.694E-5</v>
      </c>
      <c r="C75">
        <v>5.7729999999999998E-5</v>
      </c>
      <c r="D75">
        <f t="shared" si="12"/>
        <v>1.3262557935613177</v>
      </c>
      <c r="E75">
        <f t="shared" si="13"/>
        <v>38.264731225558428</v>
      </c>
      <c r="G75">
        <v>1.2031900000000001E-5</v>
      </c>
      <c r="H75">
        <v>3.1831100000000001E-5</v>
      </c>
      <c r="I75">
        <f t="shared" si="14"/>
        <v>1.5942774081646447</v>
      </c>
      <c r="J75">
        <f t="shared" si="15"/>
        <v>25.98139003387341</v>
      </c>
      <c r="Q75">
        <f t="shared" si="10"/>
        <v>1.448595E-5</v>
      </c>
      <c r="R75">
        <f t="shared" si="11"/>
        <v>4.4780549999999999E-5</v>
      </c>
      <c r="T75">
        <f t="shared" si="16"/>
        <v>1.4602666008629812</v>
      </c>
      <c r="U75">
        <f t="shared" si="16"/>
        <v>32.123060629715923</v>
      </c>
      <c r="W75">
        <f t="shared" si="17"/>
        <v>0.13401080730166348</v>
      </c>
      <c r="X75">
        <f t="shared" si="17"/>
        <v>6.1416705958425011</v>
      </c>
    </row>
    <row r="76" spans="1:24" x14ac:dyDescent="0.35">
      <c r="A76">
        <v>480.49299999999999</v>
      </c>
      <c r="B76">
        <v>1.6921500000000001E-5</v>
      </c>
      <c r="C76">
        <v>5.7683199999999997E-5</v>
      </c>
      <c r="D76">
        <f t="shared" si="12"/>
        <v>1.3248074032318677</v>
      </c>
      <c r="E76">
        <f t="shared" si="13"/>
        <v>38.233711142042814</v>
      </c>
      <c r="G76">
        <v>1.1673599999999999E-5</v>
      </c>
      <c r="H76">
        <v>3.1489100000000003E-5</v>
      </c>
      <c r="I76">
        <f t="shared" si="14"/>
        <v>1.5468011496065288</v>
      </c>
      <c r="J76">
        <f t="shared" si="15"/>
        <v>25.702240541974458</v>
      </c>
      <c r="Q76">
        <f t="shared" si="10"/>
        <v>1.429755E-5</v>
      </c>
      <c r="R76">
        <f t="shared" si="11"/>
        <v>4.458615E-5</v>
      </c>
      <c r="T76">
        <f t="shared" si="16"/>
        <v>1.4358042764191983</v>
      </c>
      <c r="U76">
        <f t="shared" si="16"/>
        <v>31.967975842008634</v>
      </c>
      <c r="W76">
        <f t="shared" si="17"/>
        <v>0.11099687318733054</v>
      </c>
      <c r="X76">
        <f t="shared" si="17"/>
        <v>6.265735300034188</v>
      </c>
    </row>
    <row r="77" spans="1:24" x14ac:dyDescent="0.35">
      <c r="A77">
        <v>486.74799999999999</v>
      </c>
      <c r="B77">
        <v>1.6878700000000002E-5</v>
      </c>
      <c r="C77">
        <v>5.7524400000000001E-5</v>
      </c>
      <c r="D77">
        <f t="shared" si="12"/>
        <v>1.3214565326318428</v>
      </c>
      <c r="E77">
        <f t="shared" si="13"/>
        <v>38.128454961224897</v>
      </c>
      <c r="G77">
        <v>1.13486E-5</v>
      </c>
      <c r="H77">
        <v>3.1183999999999998E-5</v>
      </c>
      <c r="I77">
        <f t="shared" si="14"/>
        <v>1.5037372812521119</v>
      </c>
      <c r="J77">
        <f t="shared" si="15"/>
        <v>25.453209811043546</v>
      </c>
      <c r="Q77">
        <f t="shared" si="10"/>
        <v>1.411365E-5</v>
      </c>
      <c r="R77">
        <f t="shared" si="11"/>
        <v>4.4354200000000003E-5</v>
      </c>
      <c r="T77">
        <f t="shared" si="16"/>
        <v>1.4125969069419773</v>
      </c>
      <c r="U77">
        <f t="shared" si="16"/>
        <v>31.79083238613422</v>
      </c>
      <c r="W77">
        <f t="shared" si="17"/>
        <v>9.1140374310134553E-2</v>
      </c>
      <c r="X77">
        <f t="shared" si="17"/>
        <v>6.3376225750906903</v>
      </c>
    </row>
    <row r="78" spans="1:24" x14ac:dyDescent="0.35">
      <c r="A78">
        <v>492.90800000000002</v>
      </c>
      <c r="B78">
        <v>1.67946E-5</v>
      </c>
      <c r="C78">
        <v>5.73107E-5</v>
      </c>
      <c r="D78">
        <f t="shared" si="12"/>
        <v>1.3148722284855319</v>
      </c>
      <c r="E78">
        <f t="shared" si="13"/>
        <v>37.986809836282895</v>
      </c>
      <c r="G78">
        <v>1.1046000000000001E-5</v>
      </c>
      <c r="H78">
        <v>3.0907000000000001E-5</v>
      </c>
      <c r="I78">
        <f t="shared" si="14"/>
        <v>1.4636415072088915</v>
      </c>
      <c r="J78">
        <f t="shared" si="15"/>
        <v>25.22711504713709</v>
      </c>
      <c r="Q78">
        <f t="shared" si="10"/>
        <v>1.39203E-5</v>
      </c>
      <c r="R78">
        <f t="shared" si="11"/>
        <v>4.4108849999999997E-5</v>
      </c>
      <c r="T78">
        <f t="shared" si="16"/>
        <v>1.3892568678472117</v>
      </c>
      <c r="U78">
        <f t="shared" si="16"/>
        <v>31.606962441709992</v>
      </c>
      <c r="W78">
        <f t="shared" si="17"/>
        <v>7.4384639361679827E-2</v>
      </c>
      <c r="X78">
        <f t="shared" si="17"/>
        <v>6.3798473945728986</v>
      </c>
    </row>
    <row r="79" spans="1:24" x14ac:dyDescent="0.35">
      <c r="A79">
        <v>499.07900000000001</v>
      </c>
      <c r="B79">
        <v>1.67606E-5</v>
      </c>
      <c r="C79">
        <v>5.7278100000000003E-5</v>
      </c>
      <c r="D79">
        <f t="shared" si="12"/>
        <v>1.3122103219341101</v>
      </c>
      <c r="E79">
        <f t="shared" si="13"/>
        <v>37.965201829389542</v>
      </c>
      <c r="G79">
        <v>1.07558E-5</v>
      </c>
      <c r="H79">
        <v>3.0673000000000003E-5</v>
      </c>
      <c r="I79">
        <f t="shared" si="14"/>
        <v>1.4251887853736553</v>
      </c>
      <c r="J79">
        <f t="shared" si="15"/>
        <v>25.036118026364125</v>
      </c>
      <c r="Q79">
        <f t="shared" si="10"/>
        <v>1.37582E-5</v>
      </c>
      <c r="R79">
        <f t="shared" si="11"/>
        <v>4.3975550000000003E-5</v>
      </c>
      <c r="T79">
        <f t="shared" si="16"/>
        <v>1.3686995536538826</v>
      </c>
      <c r="U79">
        <f t="shared" si="16"/>
        <v>31.500659927876832</v>
      </c>
      <c r="W79">
        <f t="shared" si="17"/>
        <v>5.6489231719772603E-2</v>
      </c>
      <c r="X79">
        <f t="shared" si="17"/>
        <v>6.4645419015127237</v>
      </c>
    </row>
    <row r="80" spans="1:24" x14ac:dyDescent="0.35">
      <c r="A80">
        <v>505.34300000000002</v>
      </c>
      <c r="B80">
        <v>1.6635099999999999E-5</v>
      </c>
      <c r="C80">
        <v>5.7062299999999997E-5</v>
      </c>
      <c r="D80">
        <f t="shared" si="12"/>
        <v>1.3023847551045973</v>
      </c>
      <c r="E80">
        <f t="shared" si="13"/>
        <v>37.822164777623115</v>
      </c>
      <c r="G80">
        <v>1.05233E-5</v>
      </c>
      <c r="H80">
        <v>3.04356E-5</v>
      </c>
      <c r="I80">
        <f t="shared" si="14"/>
        <v>1.394381556473957</v>
      </c>
      <c r="J80">
        <f t="shared" si="15"/>
        <v>24.842345835203854</v>
      </c>
      <c r="Q80">
        <f t="shared" si="10"/>
        <v>1.35792E-5</v>
      </c>
      <c r="R80">
        <f t="shared" si="11"/>
        <v>4.3748950000000001E-5</v>
      </c>
      <c r="T80">
        <f t="shared" si="16"/>
        <v>1.3483831557892771</v>
      </c>
      <c r="U80">
        <f t="shared" si="16"/>
        <v>31.332255306413487</v>
      </c>
      <c r="W80">
        <f t="shared" si="17"/>
        <v>4.5998400684679863E-2</v>
      </c>
      <c r="X80">
        <f t="shared" si="17"/>
        <v>6.4899094712096144</v>
      </c>
    </row>
    <row r="81" spans="1:24" x14ac:dyDescent="0.35">
      <c r="A81">
        <v>518.67100000000005</v>
      </c>
      <c r="B81">
        <v>7.5701499999999999E-4</v>
      </c>
      <c r="C81">
        <v>1.0518600000000001E-4</v>
      </c>
      <c r="D81">
        <f t="shared" si="12"/>
        <v>59.267740824251533</v>
      </c>
      <c r="E81">
        <f t="shared" si="13"/>
        <v>69.719626168224309</v>
      </c>
      <c r="G81">
        <v>4.3945099999999999E-4</v>
      </c>
      <c r="H81">
        <v>1.30486E-4</v>
      </c>
      <c r="I81">
        <f t="shared" si="14"/>
        <v>58.229107729898125</v>
      </c>
      <c r="J81">
        <f t="shared" si="15"/>
        <v>106.50614210504837</v>
      </c>
      <c r="Q81">
        <f t="shared" si="10"/>
        <v>5.9823299999999999E-4</v>
      </c>
      <c r="R81">
        <f t="shared" si="11"/>
        <v>1.17836E-4</v>
      </c>
      <c r="T81">
        <f t="shared" si="16"/>
        <v>58.748424277074832</v>
      </c>
      <c r="U81">
        <f t="shared" si="16"/>
        <v>88.112884136636339</v>
      </c>
      <c r="W81">
        <f t="shared" si="17"/>
        <v>0.51931654717670384</v>
      </c>
      <c r="X81">
        <f t="shared" si="17"/>
        <v>18.393257968412033</v>
      </c>
    </row>
    <row r="82" spans="1:24" x14ac:dyDescent="0.35">
      <c r="A82">
        <v>524.91800000000001</v>
      </c>
      <c r="B82">
        <v>7.7426000000000003E-4</v>
      </c>
      <c r="C82">
        <v>1.10432E-4</v>
      </c>
      <c r="D82">
        <f t="shared" si="12"/>
        <v>60.617875485406493</v>
      </c>
      <c r="E82">
        <f t="shared" si="13"/>
        <v>73.196791940080857</v>
      </c>
      <c r="G82">
        <v>4.5102599999999999E-4</v>
      </c>
      <c r="H82">
        <v>1.2622999999999999E-4</v>
      </c>
      <c r="I82">
        <f t="shared" si="14"/>
        <v>59.762843964366972</v>
      </c>
      <c r="J82">
        <f t="shared" si="15"/>
        <v>103.03228176141697</v>
      </c>
      <c r="Q82">
        <f t="shared" si="10"/>
        <v>6.1264299999999995E-4</v>
      </c>
      <c r="R82">
        <f t="shared" si="11"/>
        <v>1.18331E-4</v>
      </c>
      <c r="T82">
        <f t="shared" si="16"/>
        <v>60.190359724886733</v>
      </c>
      <c r="U82">
        <f t="shared" si="16"/>
        <v>88.11453685074892</v>
      </c>
      <c r="W82">
        <f t="shared" si="17"/>
        <v>0.42751576051976059</v>
      </c>
      <c r="X82">
        <f t="shared" si="17"/>
        <v>14.917744910668031</v>
      </c>
    </row>
    <row r="83" spans="1:24" x14ac:dyDescent="0.35">
      <c r="A83">
        <v>531.04899999999998</v>
      </c>
      <c r="B83">
        <v>7.8294599999999997E-4</v>
      </c>
      <c r="C83">
        <v>1.0674E-4</v>
      </c>
      <c r="D83">
        <f t="shared" si="12"/>
        <v>61.297914317925596</v>
      </c>
      <c r="E83">
        <f t="shared" si="13"/>
        <v>70.749652018293901</v>
      </c>
      <c r="G83">
        <v>4.6191199999999998E-4</v>
      </c>
      <c r="H83">
        <v>1.3049099999999999E-4</v>
      </c>
      <c r="I83">
        <f t="shared" si="14"/>
        <v>61.205284797924456</v>
      </c>
      <c r="J83">
        <f t="shared" si="15"/>
        <v>106.51022323797086</v>
      </c>
      <c r="Q83">
        <f t="shared" si="10"/>
        <v>6.2242899999999997E-4</v>
      </c>
      <c r="R83">
        <f t="shared" si="11"/>
        <v>1.186155E-4</v>
      </c>
      <c r="T83">
        <f t="shared" si="16"/>
        <v>61.251599557925026</v>
      </c>
      <c r="U83">
        <f t="shared" si="16"/>
        <v>88.629937628132382</v>
      </c>
      <c r="W83">
        <f t="shared" si="17"/>
        <v>4.6314760000569777E-2</v>
      </c>
      <c r="X83">
        <f t="shared" si="17"/>
        <v>17.880285609838484</v>
      </c>
    </row>
    <row r="84" spans="1:24" x14ac:dyDescent="0.35">
      <c r="A84">
        <v>537.19200000000001</v>
      </c>
      <c r="B84">
        <v>7.8831400000000003E-4</v>
      </c>
      <c r="C84">
        <v>1.09647E-4</v>
      </c>
      <c r="D84">
        <f t="shared" si="12"/>
        <v>61.718182387573592</v>
      </c>
      <c r="E84">
        <f t="shared" si="13"/>
        <v>72.676476436667343</v>
      </c>
      <c r="G84">
        <v>4.6760399999999999E-4</v>
      </c>
      <c r="H84">
        <v>1.29166E-4</v>
      </c>
      <c r="I84">
        <f t="shared" si="14"/>
        <v>61.959498763073192</v>
      </c>
      <c r="J84">
        <f t="shared" si="15"/>
        <v>105.42872301350856</v>
      </c>
      <c r="Q84">
        <f t="shared" si="10"/>
        <v>6.2795899999999998E-4</v>
      </c>
      <c r="R84">
        <f t="shared" si="11"/>
        <v>1.194065E-4</v>
      </c>
      <c r="T84">
        <f t="shared" si="16"/>
        <v>61.838840575323388</v>
      </c>
      <c r="U84">
        <f t="shared" si="16"/>
        <v>89.052599725087958</v>
      </c>
      <c r="W84">
        <f t="shared" si="17"/>
        <v>0.12065818774980031</v>
      </c>
      <c r="X84">
        <f t="shared" si="17"/>
        <v>16.376123288420555</v>
      </c>
    </row>
    <row r="85" spans="1:24" x14ac:dyDescent="0.35">
      <c r="A85">
        <v>543.55200000000002</v>
      </c>
      <c r="B85">
        <v>7.92802E-4</v>
      </c>
      <c r="C85">
        <v>1.08321E-4</v>
      </c>
      <c r="D85">
        <f t="shared" si="12"/>
        <v>62.069554052361262</v>
      </c>
      <c r="E85">
        <f t="shared" si="13"/>
        <v>71.797574070391718</v>
      </c>
      <c r="G85">
        <v>4.7469199999999997E-4</v>
      </c>
      <c r="H85">
        <v>1.2875699999999999E-4</v>
      </c>
      <c r="I85">
        <f t="shared" si="14"/>
        <v>62.898688605830458</v>
      </c>
      <c r="J85">
        <f t="shared" si="15"/>
        <v>105.0948863404481</v>
      </c>
      <c r="Q85">
        <f t="shared" si="10"/>
        <v>6.3374700000000004E-4</v>
      </c>
      <c r="R85">
        <f t="shared" si="11"/>
        <v>1.18539E-4</v>
      </c>
      <c r="T85">
        <f t="shared" si="16"/>
        <v>62.484121329095856</v>
      </c>
      <c r="U85">
        <f t="shared" si="16"/>
        <v>88.446230205419909</v>
      </c>
      <c r="W85">
        <f t="shared" si="17"/>
        <v>0.41456727673459781</v>
      </c>
      <c r="X85">
        <f t="shared" si="17"/>
        <v>16.648656135028197</v>
      </c>
    </row>
    <row r="86" spans="1:24" x14ac:dyDescent="0.35">
      <c r="A86">
        <v>549.649</v>
      </c>
      <c r="B86">
        <v>7.9563799999999999E-4</v>
      </c>
      <c r="C86">
        <v>1.0535300000000001E-4</v>
      </c>
      <c r="D86">
        <f t="shared" si="12"/>
        <v>62.291588375297501</v>
      </c>
      <c r="E86">
        <f t="shared" si="13"/>
        <v>69.830317491880436</v>
      </c>
      <c r="G86">
        <v>4.7790300000000001E-4</v>
      </c>
      <c r="H86">
        <v>1.2706600000000001E-4</v>
      </c>
      <c r="I86">
        <f t="shared" si="14"/>
        <v>63.324159625172094</v>
      </c>
      <c r="J86">
        <f t="shared" si="15"/>
        <v>103.71464718605887</v>
      </c>
      <c r="Q86">
        <f t="shared" si="10"/>
        <v>6.367705E-4</v>
      </c>
      <c r="R86">
        <f t="shared" si="11"/>
        <v>1.1620950000000001E-4</v>
      </c>
      <c r="T86">
        <f t="shared" si="16"/>
        <v>62.807874000234797</v>
      </c>
      <c r="U86">
        <f t="shared" si="16"/>
        <v>86.772482338969652</v>
      </c>
      <c r="W86">
        <f t="shared" si="17"/>
        <v>0.51628562493729646</v>
      </c>
      <c r="X86">
        <f t="shared" si="17"/>
        <v>16.942164847089217</v>
      </c>
    </row>
    <row r="87" spans="1:24" x14ac:dyDescent="0.35">
      <c r="A87">
        <v>555.86300000000006</v>
      </c>
      <c r="B87">
        <v>7.9825899999999995E-4</v>
      </c>
      <c r="C87">
        <v>1.02173E-4</v>
      </c>
      <c r="D87">
        <f t="shared" si="12"/>
        <v>62.496790053864459</v>
      </c>
      <c r="E87">
        <f t="shared" si="13"/>
        <v>67.722542586332608</v>
      </c>
      <c r="G87">
        <v>4.8216099999999999E-4</v>
      </c>
      <c r="H87">
        <v>1.2729700000000001E-4</v>
      </c>
      <c r="I87">
        <f t="shared" si="14"/>
        <v>63.88836255272011</v>
      </c>
      <c r="J87">
        <f t="shared" si="15"/>
        <v>103.90319552707834</v>
      </c>
      <c r="Q87">
        <f t="shared" si="10"/>
        <v>6.4021E-4</v>
      </c>
      <c r="R87">
        <f t="shared" si="11"/>
        <v>1.1473500000000001E-4</v>
      </c>
      <c r="T87">
        <f t="shared" si="16"/>
        <v>63.192576303292284</v>
      </c>
      <c r="U87">
        <f t="shared" si="16"/>
        <v>85.812869056705466</v>
      </c>
      <c r="W87">
        <f t="shared" si="17"/>
        <v>0.69578624942782596</v>
      </c>
      <c r="X87">
        <f t="shared" si="17"/>
        <v>18.090326470372904</v>
      </c>
    </row>
    <row r="88" spans="1:24" x14ac:dyDescent="0.35">
      <c r="A88">
        <v>562.19600000000003</v>
      </c>
      <c r="B88">
        <v>8.0109300000000001E-4</v>
      </c>
      <c r="C88">
        <v>1.04127E-4</v>
      </c>
      <c r="D88">
        <f t="shared" si="12"/>
        <v>62.718667794062391</v>
      </c>
      <c r="E88">
        <f t="shared" si="13"/>
        <v>69.017697355339038</v>
      </c>
      <c r="G88">
        <v>4.8026299999999998E-4</v>
      </c>
      <c r="H88">
        <v>1.17037E-4</v>
      </c>
      <c r="I88">
        <f t="shared" si="14"/>
        <v>63.636869561530318</v>
      </c>
      <c r="J88">
        <f t="shared" si="15"/>
        <v>95.528710770109797</v>
      </c>
      <c r="Q88">
        <f t="shared" si="10"/>
        <v>6.4067799999999999E-4</v>
      </c>
      <c r="R88">
        <f t="shared" si="11"/>
        <v>1.1058199999999999E-4</v>
      </c>
      <c r="T88">
        <f t="shared" si="16"/>
        <v>63.177768677796351</v>
      </c>
      <c r="U88">
        <f t="shared" si="16"/>
        <v>82.273204062724417</v>
      </c>
      <c r="W88">
        <f t="shared" si="17"/>
        <v>0.45910088373396363</v>
      </c>
      <c r="X88">
        <f t="shared" si="17"/>
        <v>13.255506707385358</v>
      </c>
    </row>
    <row r="89" spans="1:24" x14ac:dyDescent="0.35">
      <c r="A89">
        <v>568.34699999999998</v>
      </c>
      <c r="B89">
        <v>8.0326200000000001E-4</v>
      </c>
      <c r="C89">
        <v>1.0317700000000001E-4</v>
      </c>
      <c r="D89">
        <f t="shared" si="12"/>
        <v>62.888481773769257</v>
      </c>
      <c r="E89">
        <f t="shared" si="13"/>
        <v>68.38801617286407</v>
      </c>
      <c r="G89">
        <v>4.8169899999999998E-4</v>
      </c>
      <c r="H89">
        <v>1.14166E-4</v>
      </c>
      <c r="I89">
        <f t="shared" si="14"/>
        <v>63.827145607551685</v>
      </c>
      <c r="J89">
        <f t="shared" si="15"/>
        <v>93.185324246010708</v>
      </c>
      <c r="Q89">
        <f t="shared" si="10"/>
        <v>6.4248050000000002E-4</v>
      </c>
      <c r="R89">
        <f t="shared" si="11"/>
        <v>1.086715E-4</v>
      </c>
      <c r="T89">
        <f t="shared" si="16"/>
        <v>63.357813690660471</v>
      </c>
      <c r="U89">
        <f t="shared" si="16"/>
        <v>80.786670209437389</v>
      </c>
      <c r="W89">
        <f t="shared" si="17"/>
        <v>0.46933191689121401</v>
      </c>
      <c r="X89">
        <f t="shared" si="17"/>
        <v>12.398654036573317</v>
      </c>
    </row>
    <row r="90" spans="1:24" x14ac:dyDescent="0.35">
      <c r="A90">
        <v>574.55200000000002</v>
      </c>
      <c r="B90">
        <v>8.0634000000000001E-4</v>
      </c>
      <c r="C90">
        <v>1.0289E-4</v>
      </c>
      <c r="D90">
        <f t="shared" si="12"/>
        <v>63.12946260804209</v>
      </c>
      <c r="E90">
        <f t="shared" si="13"/>
        <v>68.197786173526879</v>
      </c>
      <c r="G90">
        <v>4.8310999999999997E-4</v>
      </c>
      <c r="H90">
        <v>1.12286E-4</v>
      </c>
      <c r="I90">
        <f t="shared" si="14"/>
        <v>64.014109048315007</v>
      </c>
      <c r="J90">
        <f t="shared" si="15"/>
        <v>91.650818267150967</v>
      </c>
      <c r="Q90">
        <f t="shared" si="10"/>
        <v>6.4472499999999996E-4</v>
      </c>
      <c r="R90">
        <f t="shared" si="11"/>
        <v>1.07588E-4</v>
      </c>
      <c r="T90">
        <f t="shared" si="16"/>
        <v>63.571785828178548</v>
      </c>
      <c r="U90">
        <f t="shared" si="16"/>
        <v>79.924302220338916</v>
      </c>
      <c r="W90">
        <f t="shared" si="17"/>
        <v>0.44232322013645842</v>
      </c>
      <c r="X90">
        <f t="shared" si="17"/>
        <v>11.726516046812101</v>
      </c>
    </row>
    <row r="91" spans="1:24" x14ac:dyDescent="0.35">
      <c r="A91">
        <v>580.73699999999997</v>
      </c>
      <c r="B91">
        <v>8.0749200000000004E-4</v>
      </c>
      <c r="C91">
        <v>1.02722E-4</v>
      </c>
      <c r="D91">
        <f t="shared" si="12"/>
        <v>63.219654265313793</v>
      </c>
      <c r="E91">
        <f t="shared" si="13"/>
        <v>68.086432027573409</v>
      </c>
      <c r="G91">
        <v>4.8705999999999999E-4</v>
      </c>
      <c r="H91">
        <v>1.14276E-4</v>
      </c>
      <c r="I91">
        <f t="shared" si="14"/>
        <v>64.537500679084076</v>
      </c>
      <c r="J91">
        <f t="shared" si="15"/>
        <v>93.275109170305697</v>
      </c>
      <c r="Q91">
        <f t="shared" si="10"/>
        <v>6.4727600000000001E-4</v>
      </c>
      <c r="R91">
        <f t="shared" si="11"/>
        <v>1.0849899999999999E-4</v>
      </c>
      <c r="T91">
        <f t="shared" si="16"/>
        <v>63.878577472198934</v>
      </c>
      <c r="U91">
        <f t="shared" si="16"/>
        <v>80.680770598939546</v>
      </c>
      <c r="W91">
        <f t="shared" si="17"/>
        <v>0.65892320688514161</v>
      </c>
      <c r="X91">
        <f t="shared" si="17"/>
        <v>12.594338571366221</v>
      </c>
    </row>
    <row r="92" spans="1:24" x14ac:dyDescent="0.35">
      <c r="A92">
        <v>587.00400000000002</v>
      </c>
      <c r="B92">
        <v>8.0958099999999997E-4</v>
      </c>
      <c r="C92">
        <v>1.0281999999999999E-4</v>
      </c>
      <c r="D92">
        <f t="shared" si="12"/>
        <v>63.38320493548791</v>
      </c>
      <c r="E92">
        <f t="shared" si="13"/>
        <v>68.151388612712921</v>
      </c>
      <c r="G92">
        <v>4.9051400000000005E-4</v>
      </c>
      <c r="H92">
        <v>1.1527300000000001E-4</v>
      </c>
      <c r="I92">
        <f t="shared" si="14"/>
        <v>64.995170221533812</v>
      </c>
      <c r="J92">
        <f t="shared" si="15"/>
        <v>94.088887075052057</v>
      </c>
      <c r="Q92">
        <f t="shared" si="10"/>
        <v>6.5004750000000001E-4</v>
      </c>
      <c r="R92">
        <f t="shared" si="11"/>
        <v>1.0904649999999999E-4</v>
      </c>
      <c r="T92">
        <f t="shared" si="16"/>
        <v>64.189187578510854</v>
      </c>
      <c r="U92">
        <f t="shared" si="16"/>
        <v>81.120137843882489</v>
      </c>
      <c r="W92">
        <f t="shared" si="17"/>
        <v>0.80598264302295064</v>
      </c>
      <c r="X92">
        <f t="shared" si="17"/>
        <v>12.968749231169559</v>
      </c>
    </row>
    <row r="93" spans="1:24" x14ac:dyDescent="0.35">
      <c r="A93">
        <v>593.21</v>
      </c>
      <c r="B93">
        <v>8.1172500000000001E-4</v>
      </c>
      <c r="C93">
        <v>1.02087E-4</v>
      </c>
      <c r="D93">
        <f t="shared" si="12"/>
        <v>63.551061630965798</v>
      </c>
      <c r="E93">
        <f t="shared" si="13"/>
        <v>67.665539868761186</v>
      </c>
      <c r="G93">
        <v>4.9400699999999997E-4</v>
      </c>
      <c r="H93">
        <v>1.19202E-4</v>
      </c>
      <c r="I93">
        <f t="shared" si="14"/>
        <v>65.458007428186022</v>
      </c>
      <c r="J93">
        <f t="shared" si="15"/>
        <v>97.295841325551976</v>
      </c>
      <c r="Q93">
        <f t="shared" si="10"/>
        <v>6.5286599999999999E-4</v>
      </c>
      <c r="R93">
        <f t="shared" si="11"/>
        <v>1.106445E-4</v>
      </c>
      <c r="T93">
        <f t="shared" si="16"/>
        <v>64.504534529575906</v>
      </c>
      <c r="U93">
        <f t="shared" si="16"/>
        <v>82.480690597156581</v>
      </c>
      <c r="W93">
        <f t="shared" si="17"/>
        <v>0.9534728986101122</v>
      </c>
      <c r="X93">
        <f t="shared" si="17"/>
        <v>14.815150728395418</v>
      </c>
    </row>
    <row r="94" spans="1:24" x14ac:dyDescent="0.35">
      <c r="A94">
        <v>599.31799999999998</v>
      </c>
      <c r="B94">
        <v>8.1225199999999996E-4</v>
      </c>
      <c r="C94">
        <v>1.03064E-4</v>
      </c>
      <c r="D94">
        <f t="shared" si="12"/>
        <v>63.592321182512833</v>
      </c>
      <c r="E94">
        <f t="shared" si="13"/>
        <v>68.313117253264394</v>
      </c>
      <c r="G94">
        <v>4.9433599999999995E-4</v>
      </c>
      <c r="H94">
        <v>1.17223E-4</v>
      </c>
      <c r="I94">
        <f t="shared" si="14"/>
        <v>65.501601313381727</v>
      </c>
      <c r="J94">
        <f t="shared" si="15"/>
        <v>95.680528914826766</v>
      </c>
      <c r="Q94">
        <f t="shared" si="10"/>
        <v>6.5329400000000001E-4</v>
      </c>
      <c r="R94">
        <f t="shared" si="11"/>
        <v>1.101435E-4</v>
      </c>
      <c r="T94">
        <f t="shared" si="16"/>
        <v>64.54696124794728</v>
      </c>
      <c r="U94">
        <f t="shared" si="16"/>
        <v>81.996823084045587</v>
      </c>
      <c r="W94">
        <f t="shared" si="17"/>
        <v>0.95464006543444668</v>
      </c>
      <c r="X94">
        <f t="shared" si="17"/>
        <v>13.683705830781157</v>
      </c>
    </row>
    <row r="95" spans="1:24" x14ac:dyDescent="0.35">
      <c r="A95">
        <v>605.59400000000005</v>
      </c>
      <c r="B95">
        <v>8.1520900000000001E-4</v>
      </c>
      <c r="C95">
        <v>1.03113E-4</v>
      </c>
      <c r="D95">
        <f t="shared" si="12"/>
        <v>63.823828761117376</v>
      </c>
      <c r="E95">
        <f t="shared" si="13"/>
        <v>68.345595545834158</v>
      </c>
      <c r="G95">
        <v>4.9534399999999999E-4</v>
      </c>
      <c r="H95">
        <v>1.15023E-4</v>
      </c>
      <c r="I95">
        <f t="shared" si="14"/>
        <v>65.635165557385591</v>
      </c>
      <c r="J95">
        <f t="shared" si="15"/>
        <v>93.884830428927074</v>
      </c>
      <c r="Q95">
        <f t="shared" si="10"/>
        <v>6.5527649999999995E-4</v>
      </c>
      <c r="R95">
        <f t="shared" si="11"/>
        <v>1.0906800000000001E-4</v>
      </c>
      <c r="T95">
        <f t="shared" si="16"/>
        <v>64.72949715925148</v>
      </c>
      <c r="U95">
        <f t="shared" si="16"/>
        <v>81.115212987380616</v>
      </c>
      <c r="W95">
        <f t="shared" si="17"/>
        <v>0.90566839813410738</v>
      </c>
      <c r="X95">
        <f t="shared" si="17"/>
        <v>12.769617441546442</v>
      </c>
    </row>
    <row r="96" spans="1:24" x14ac:dyDescent="0.35">
      <c r="A96">
        <v>611.76900000000001</v>
      </c>
      <c r="B96">
        <v>8.1509699999999998E-4</v>
      </c>
      <c r="C96">
        <v>1.03996E-4</v>
      </c>
      <c r="D96">
        <f t="shared" si="12"/>
        <v>63.815060127771517</v>
      </c>
      <c r="E96">
        <f t="shared" si="13"/>
        <v>68.930867634387212</v>
      </c>
      <c r="G96">
        <v>5.0120899999999996E-4</v>
      </c>
      <c r="H96">
        <v>1.22242E-4</v>
      </c>
      <c r="I96">
        <f t="shared" si="14"/>
        <v>66.412302750919906</v>
      </c>
      <c r="J96">
        <f t="shared" si="15"/>
        <v>99.777170142431544</v>
      </c>
      <c r="Q96">
        <f t="shared" si="10"/>
        <v>6.5815299999999997E-4</v>
      </c>
      <c r="R96">
        <f t="shared" si="11"/>
        <v>1.13119E-4</v>
      </c>
      <c r="T96">
        <f t="shared" si="16"/>
        <v>65.113681439345712</v>
      </c>
      <c r="U96">
        <f t="shared" si="16"/>
        <v>84.354018888409371</v>
      </c>
      <c r="W96">
        <f t="shared" si="17"/>
        <v>1.2986213115741947</v>
      </c>
      <c r="X96">
        <f t="shared" si="17"/>
        <v>15.423151254022219</v>
      </c>
    </row>
    <row r="97" spans="1:24" x14ac:dyDescent="0.35">
      <c r="A97">
        <v>617.947</v>
      </c>
      <c r="B97">
        <v>8.1612199999999996E-4</v>
      </c>
      <c r="C97">
        <v>1.02452E-4</v>
      </c>
      <c r="D97">
        <f t="shared" si="12"/>
        <v>63.895308781159969</v>
      </c>
      <c r="E97">
        <f t="shared" si="13"/>
        <v>67.907470007291053</v>
      </c>
      <c r="G97">
        <v>5.03105E-4</v>
      </c>
      <c r="H97">
        <v>1.2609899999999999E-4</v>
      </c>
      <c r="I97">
        <f t="shared" si="14"/>
        <v>66.663530733689072</v>
      </c>
      <c r="J97">
        <f t="shared" si="15"/>
        <v>102.9253560788475</v>
      </c>
      <c r="Q97">
        <f t="shared" si="10"/>
        <v>6.5961350000000004E-4</v>
      </c>
      <c r="R97">
        <f t="shared" si="11"/>
        <v>1.1427549999999999E-4</v>
      </c>
      <c r="T97">
        <f t="shared" si="16"/>
        <v>65.27941975742452</v>
      </c>
      <c r="U97">
        <f t="shared" si="16"/>
        <v>85.416413043069269</v>
      </c>
      <c r="W97">
        <f t="shared" si="17"/>
        <v>1.3841109762645516</v>
      </c>
      <c r="X97">
        <f t="shared" si="17"/>
        <v>17.508943035778252</v>
      </c>
    </row>
    <row r="98" spans="1:24" x14ac:dyDescent="0.35">
      <c r="A98">
        <v>624.12199999999996</v>
      </c>
      <c r="B98">
        <v>8.1832300000000003E-4</v>
      </c>
      <c r="C98">
        <v>1.04917E-4</v>
      </c>
      <c r="D98">
        <f t="shared" si="12"/>
        <v>64.067628084679953</v>
      </c>
      <c r="E98">
        <f t="shared" si="13"/>
        <v>69.541326970239282</v>
      </c>
      <c r="G98">
        <v>5.0277099999999995E-4</v>
      </c>
      <c r="H98">
        <v>1.19251E-4</v>
      </c>
      <c r="I98">
        <f t="shared" si="14"/>
        <v>66.619274327441744</v>
      </c>
      <c r="J98">
        <f t="shared" si="15"/>
        <v>97.335836428192479</v>
      </c>
      <c r="Q98">
        <f t="shared" si="10"/>
        <v>6.6054700000000004E-4</v>
      </c>
      <c r="R98">
        <f t="shared" si="11"/>
        <v>1.1208400000000001E-4</v>
      </c>
      <c r="T98">
        <f t="shared" si="16"/>
        <v>65.343451206060848</v>
      </c>
      <c r="U98">
        <f t="shared" si="16"/>
        <v>83.438581699215888</v>
      </c>
      <c r="W98">
        <f t="shared" si="17"/>
        <v>1.2758231213808955</v>
      </c>
      <c r="X98">
        <f t="shared" si="17"/>
        <v>13.897254728976552</v>
      </c>
    </row>
    <row r="99" spans="1:24" x14ac:dyDescent="0.35">
      <c r="A99">
        <v>630.39800000000002</v>
      </c>
      <c r="B99">
        <v>8.1855399999999998E-4</v>
      </c>
      <c r="C99">
        <v>1.0320200000000001E-4</v>
      </c>
      <c r="D99">
        <f t="shared" si="12"/>
        <v>64.085713390955775</v>
      </c>
      <c r="E99">
        <f t="shared" si="13"/>
        <v>68.404586730297609</v>
      </c>
      <c r="G99">
        <v>5.0418200000000005E-4</v>
      </c>
      <c r="H99">
        <v>1.1875900000000001E-4</v>
      </c>
      <c r="I99">
        <f t="shared" si="14"/>
        <v>66.806237768205094</v>
      </c>
      <c r="J99">
        <f t="shared" si="15"/>
        <v>96.93425294861855</v>
      </c>
      <c r="Q99">
        <f t="shared" ref="Q99:Q109" si="18">AVERAGE(B99,G99,L99)</f>
        <v>6.6136800000000007E-4</v>
      </c>
      <c r="R99">
        <f t="shared" ref="R99:R109" si="19">AVERAGE(C99,H99,M99)</f>
        <v>1.1098050000000001E-4</v>
      </c>
      <c r="T99">
        <f t="shared" si="16"/>
        <v>65.445975579580434</v>
      </c>
      <c r="U99">
        <f t="shared" si="16"/>
        <v>82.669419839458072</v>
      </c>
      <c r="W99">
        <f t="shared" si="17"/>
        <v>1.3602621886246595</v>
      </c>
      <c r="X99">
        <f t="shared" si="17"/>
        <v>14.264833109160499</v>
      </c>
    </row>
    <row r="100" spans="1:24" x14ac:dyDescent="0.35">
      <c r="A100">
        <v>636.58100000000002</v>
      </c>
      <c r="B100">
        <v>8.2088099999999998E-4</v>
      </c>
      <c r="C100">
        <v>1.04208E-4</v>
      </c>
      <c r="D100">
        <f t="shared" si="12"/>
        <v>64.267897406989846</v>
      </c>
      <c r="E100">
        <f t="shared" si="13"/>
        <v>69.071385961423744</v>
      </c>
      <c r="G100">
        <v>5.0141699999999999E-4</v>
      </c>
      <c r="H100">
        <v>1.1051E-4</v>
      </c>
      <c r="I100">
        <f t="shared" si="14"/>
        <v>66.439863626666735</v>
      </c>
      <c r="J100">
        <f t="shared" si="15"/>
        <v>90.201199853079217</v>
      </c>
      <c r="Q100">
        <f t="shared" si="18"/>
        <v>6.6114899999999998E-4</v>
      </c>
      <c r="R100">
        <f t="shared" si="19"/>
        <v>1.07359E-4</v>
      </c>
      <c r="T100">
        <f t="shared" si="16"/>
        <v>65.353880516828298</v>
      </c>
      <c r="U100">
        <f t="shared" si="16"/>
        <v>79.636292907251487</v>
      </c>
      <c r="W100">
        <f t="shared" si="17"/>
        <v>1.0859831098384447</v>
      </c>
      <c r="X100">
        <f t="shared" si="17"/>
        <v>10.564906945827659</v>
      </c>
    </row>
    <row r="101" spans="1:24" x14ac:dyDescent="0.35">
      <c r="A101">
        <v>642.83500000000004</v>
      </c>
      <c r="B101">
        <v>8.2082699999999999E-4</v>
      </c>
      <c r="C101">
        <v>1.04666E-4</v>
      </c>
      <c r="D101">
        <f t="shared" si="12"/>
        <v>64.263669673055247</v>
      </c>
      <c r="E101">
        <f t="shared" si="13"/>
        <v>69.37495857360642</v>
      </c>
      <c r="G101">
        <v>5.0377899999999999E-4</v>
      </c>
      <c r="H101">
        <v>1.13132E-4</v>
      </c>
      <c r="I101">
        <f t="shared" si="14"/>
        <v>66.752838571445608</v>
      </c>
      <c r="J101">
        <f t="shared" si="15"/>
        <v>92.341345957637856</v>
      </c>
      <c r="Q101">
        <f t="shared" si="18"/>
        <v>6.6230299999999994E-4</v>
      </c>
      <c r="R101">
        <f t="shared" si="19"/>
        <v>1.08899E-4</v>
      </c>
      <c r="T101">
        <f t="shared" si="16"/>
        <v>65.508254122250435</v>
      </c>
      <c r="U101">
        <f t="shared" si="16"/>
        <v>80.858152265622138</v>
      </c>
      <c r="W101">
        <f t="shared" si="17"/>
        <v>1.2445844491951803</v>
      </c>
      <c r="X101">
        <f t="shared" si="17"/>
        <v>11.483193692015679</v>
      </c>
    </row>
    <row r="102" spans="1:24" x14ac:dyDescent="0.35">
      <c r="A102">
        <v>649.06100000000004</v>
      </c>
      <c r="B102">
        <v>8.2198099999999995E-4</v>
      </c>
      <c r="C102">
        <v>1.04678E-4</v>
      </c>
      <c r="D102">
        <f t="shared" si="12"/>
        <v>64.354017913065263</v>
      </c>
      <c r="E102">
        <f t="shared" si="13"/>
        <v>69.382912441174525</v>
      </c>
      <c r="G102">
        <v>5.04289E-4</v>
      </c>
      <c r="H102">
        <v>1.1713399999999999E-4</v>
      </c>
      <c r="I102">
        <f t="shared" si="14"/>
        <v>66.820415718709469</v>
      </c>
      <c r="J102">
        <f t="shared" si="15"/>
        <v>95.607884748806271</v>
      </c>
      <c r="Q102">
        <f t="shared" si="18"/>
        <v>6.6313500000000003E-4</v>
      </c>
      <c r="R102">
        <f t="shared" si="19"/>
        <v>1.10906E-4</v>
      </c>
      <c r="T102">
        <f t="shared" si="16"/>
        <v>65.587216815887359</v>
      </c>
      <c r="U102">
        <f t="shared" si="16"/>
        <v>82.495398594990405</v>
      </c>
      <c r="W102">
        <f t="shared" si="17"/>
        <v>1.2331989028221031</v>
      </c>
      <c r="X102">
        <f t="shared" si="17"/>
        <v>13.112486153815807</v>
      </c>
    </row>
    <row r="103" spans="1:24" x14ac:dyDescent="0.35">
      <c r="A103">
        <v>655.28099999999995</v>
      </c>
      <c r="B103">
        <v>8.2370200000000005E-4</v>
      </c>
      <c r="C103">
        <v>1.05809E-4</v>
      </c>
      <c r="D103">
        <f t="shared" si="12"/>
        <v>64.4887573593887</v>
      </c>
      <c r="E103">
        <f t="shared" si="13"/>
        <v>70.132564459468412</v>
      </c>
      <c r="G103">
        <v>5.1333599999999998E-4</v>
      </c>
      <c r="H103">
        <v>1.30335E-4</v>
      </c>
      <c r="I103">
        <f t="shared" si="14"/>
        <v>68.019181309486115</v>
      </c>
      <c r="J103">
        <f t="shared" si="15"/>
        <v>106.38289189078888</v>
      </c>
      <c r="Q103">
        <f t="shared" si="18"/>
        <v>6.6851900000000001E-4</v>
      </c>
      <c r="R103">
        <f t="shared" si="19"/>
        <v>1.18072E-4</v>
      </c>
      <c r="T103">
        <f t="shared" si="16"/>
        <v>66.253969334437414</v>
      </c>
      <c r="U103">
        <f t="shared" si="16"/>
        <v>88.257728175128648</v>
      </c>
      <c r="W103">
        <f t="shared" si="17"/>
        <v>1.7652119750487074</v>
      </c>
      <c r="X103">
        <f t="shared" si="17"/>
        <v>18.125163715660239</v>
      </c>
    </row>
    <row r="104" spans="1:24" x14ac:dyDescent="0.35">
      <c r="A104">
        <v>661.45299999999997</v>
      </c>
      <c r="B104">
        <v>8.2502300000000003E-4</v>
      </c>
      <c r="C104">
        <v>1.0438300000000001E-4</v>
      </c>
      <c r="D104">
        <f t="shared" si="12"/>
        <v>64.592180258048359</v>
      </c>
      <c r="E104">
        <f t="shared" si="13"/>
        <v>69.187379863458602</v>
      </c>
      <c r="G104">
        <v>5.1636800000000001E-4</v>
      </c>
      <c r="H104">
        <v>1.3319699999999999E-4</v>
      </c>
      <c r="I104">
        <f t="shared" si="14"/>
        <v>68.420934075180242</v>
      </c>
      <c r="J104">
        <f t="shared" si="15"/>
        <v>108.71893237562749</v>
      </c>
      <c r="Q104">
        <f t="shared" si="18"/>
        <v>6.7069549999999997E-4</v>
      </c>
      <c r="R104">
        <f t="shared" si="19"/>
        <v>1.1878999999999999E-4</v>
      </c>
      <c r="T104">
        <f t="shared" si="16"/>
        <v>66.5065571666143</v>
      </c>
      <c r="U104">
        <f t="shared" si="16"/>
        <v>88.953156119543053</v>
      </c>
      <c r="W104">
        <f t="shared" si="17"/>
        <v>1.9143769085659414</v>
      </c>
      <c r="X104">
        <f t="shared" si="17"/>
        <v>19.765776256084386</v>
      </c>
    </row>
    <row r="105" spans="1:24" x14ac:dyDescent="0.35">
      <c r="A105">
        <v>667.70500000000004</v>
      </c>
      <c r="B105">
        <v>8.2493900000000001E-4</v>
      </c>
      <c r="C105">
        <v>1.0429000000000001E-4</v>
      </c>
      <c r="D105">
        <f t="shared" si="12"/>
        <v>64.585603783038962</v>
      </c>
      <c r="E105">
        <f t="shared" si="13"/>
        <v>69.125737389805792</v>
      </c>
      <c r="G105">
        <v>5.1649300000000003E-4</v>
      </c>
      <c r="H105">
        <v>1.3280900000000001E-4</v>
      </c>
      <c r="I105">
        <f t="shared" si="14"/>
        <v>68.437497101470399</v>
      </c>
      <c r="J105">
        <f t="shared" si="15"/>
        <v>108.40223646084155</v>
      </c>
      <c r="Q105">
        <f t="shared" si="18"/>
        <v>6.7071600000000002E-4</v>
      </c>
      <c r="R105">
        <f t="shared" si="19"/>
        <v>1.185495E-4</v>
      </c>
      <c r="T105">
        <f t="shared" si="16"/>
        <v>66.511550442254673</v>
      </c>
      <c r="U105">
        <f t="shared" si="16"/>
        <v>88.763986925323678</v>
      </c>
      <c r="W105">
        <f t="shared" si="17"/>
        <v>1.9259466592157182</v>
      </c>
      <c r="X105">
        <f t="shared" si="17"/>
        <v>19.638249535517811</v>
      </c>
    </row>
    <row r="106" spans="1:24" x14ac:dyDescent="0.35">
      <c r="A106">
        <v>673.85199999999998</v>
      </c>
      <c r="B106">
        <v>8.2534600000000002E-4</v>
      </c>
      <c r="C106">
        <v>1.04391E-4</v>
      </c>
      <c r="D106">
        <f t="shared" si="12"/>
        <v>64.617468370286858</v>
      </c>
      <c r="E106">
        <f t="shared" si="13"/>
        <v>69.192682441837334</v>
      </c>
      <c r="G106">
        <v>5.1227800000000002E-4</v>
      </c>
      <c r="H106">
        <v>1.2224E-4</v>
      </c>
      <c r="I106">
        <f t="shared" si="14"/>
        <v>67.878991854966202</v>
      </c>
      <c r="J106">
        <f t="shared" si="15"/>
        <v>99.775537689262549</v>
      </c>
      <c r="Q106">
        <f t="shared" si="18"/>
        <v>6.6881199999999997E-4</v>
      </c>
      <c r="R106">
        <f t="shared" si="19"/>
        <v>1.1331549999999999E-4</v>
      </c>
      <c r="T106">
        <f t="shared" si="16"/>
        <v>66.24823011262653</v>
      </c>
      <c r="U106">
        <f t="shared" si="16"/>
        <v>84.484110065549942</v>
      </c>
      <c r="W106">
        <f t="shared" si="17"/>
        <v>1.6307617423396721</v>
      </c>
      <c r="X106">
        <f t="shared" si="17"/>
        <v>15.291427623712606</v>
      </c>
    </row>
    <row r="107" spans="1:24" x14ac:dyDescent="0.35">
      <c r="A107">
        <v>680.23400000000004</v>
      </c>
      <c r="B107">
        <v>8.2700500000000001E-4</v>
      </c>
      <c r="C107">
        <v>1.05123E-4</v>
      </c>
      <c r="D107">
        <f t="shared" si="12"/>
        <v>64.747353751722414</v>
      </c>
      <c r="E107">
        <f t="shared" si="13"/>
        <v>69.67786836349174</v>
      </c>
      <c r="G107">
        <v>5.1929999999999999E-4</v>
      </c>
      <c r="H107">
        <v>1.3048500000000001E-4</v>
      </c>
      <c r="I107">
        <f t="shared" si="14"/>
        <v>68.809436419842243</v>
      </c>
      <c r="J107">
        <f t="shared" si="15"/>
        <v>106.50532587846388</v>
      </c>
      <c r="Q107">
        <f t="shared" si="18"/>
        <v>6.7315249999999995E-4</v>
      </c>
      <c r="R107">
        <f t="shared" si="19"/>
        <v>1.17804E-4</v>
      </c>
      <c r="T107">
        <f t="shared" si="16"/>
        <v>66.778395085782336</v>
      </c>
      <c r="U107">
        <f t="shared" si="16"/>
        <v>88.091597120977809</v>
      </c>
      <c r="W107">
        <f t="shared" si="17"/>
        <v>2.031041334059914</v>
      </c>
      <c r="X107">
        <f t="shared" si="17"/>
        <v>18.413728757486084</v>
      </c>
    </row>
    <row r="108" spans="1:24" x14ac:dyDescent="0.35">
      <c r="A108">
        <v>686.39200000000005</v>
      </c>
      <c r="B108">
        <v>8.2788600000000001E-4</v>
      </c>
      <c r="C108">
        <v>1.05105E-4</v>
      </c>
      <c r="D108">
        <f t="shared" si="12"/>
        <v>64.816328447951904</v>
      </c>
      <c r="E108">
        <f t="shared" si="13"/>
        <v>69.66593756213959</v>
      </c>
      <c r="G108">
        <v>5.1782200000000003E-4</v>
      </c>
      <c r="H108">
        <v>1.2488700000000001E-4</v>
      </c>
      <c r="I108">
        <f t="shared" si="14"/>
        <v>68.61359519698739</v>
      </c>
      <c r="J108">
        <f t="shared" si="15"/>
        <v>101.93608945843368</v>
      </c>
      <c r="Q108">
        <f t="shared" si="18"/>
        <v>6.7285400000000007E-4</v>
      </c>
      <c r="R108">
        <f t="shared" si="19"/>
        <v>1.1499600000000001E-4</v>
      </c>
      <c r="T108">
        <f t="shared" si="16"/>
        <v>66.714961822469647</v>
      </c>
      <c r="U108">
        <f t="shared" si="16"/>
        <v>85.801013510286637</v>
      </c>
      <c r="W108">
        <f t="shared" si="17"/>
        <v>1.8986333745177433</v>
      </c>
      <c r="X108">
        <f t="shared" si="17"/>
        <v>16.135075948147048</v>
      </c>
    </row>
    <row r="109" spans="1:24" x14ac:dyDescent="0.35">
      <c r="A109">
        <v>692.49400000000003</v>
      </c>
      <c r="B109">
        <v>8.2800500000000004E-4</v>
      </c>
      <c r="C109">
        <v>1.04357E-4</v>
      </c>
      <c r="D109">
        <f t="shared" si="12"/>
        <v>64.825645120881887</v>
      </c>
      <c r="E109">
        <f t="shared" si="13"/>
        <v>69.170146483727706</v>
      </c>
      <c r="G109">
        <v>5.1895999999999995E-4</v>
      </c>
      <c r="H109">
        <v>1.2885300000000001E-4</v>
      </c>
      <c r="I109">
        <f t="shared" si="14"/>
        <v>68.764384988333006</v>
      </c>
      <c r="J109">
        <f t="shared" si="15"/>
        <v>105.1732440925601</v>
      </c>
      <c r="Q109">
        <f t="shared" si="18"/>
        <v>6.7348249999999994E-4</v>
      </c>
      <c r="R109">
        <f t="shared" si="19"/>
        <v>1.1660500000000001E-4</v>
      </c>
      <c r="T109">
        <f t="shared" si="16"/>
        <v>66.795015054607447</v>
      </c>
      <c r="U109">
        <f t="shared" si="16"/>
        <v>87.171695288143894</v>
      </c>
      <c r="W109">
        <f t="shared" si="17"/>
        <v>1.9693699337255595</v>
      </c>
      <c r="X109">
        <f t="shared" si="17"/>
        <v>18.001548804416235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DEA0-942B-446A-ACB7-3CAB855C562C}">
  <dimension ref="A1:X109"/>
  <sheetViews>
    <sheetView workbookViewId="0">
      <selection activeCell="V9" sqref="V9"/>
    </sheetView>
  </sheetViews>
  <sheetFormatPr defaultColWidth="8.81640625" defaultRowHeight="14.5" x14ac:dyDescent="0.35"/>
  <cols>
    <col min="1" max="1" width="9.453125" bestFit="1" customWidth="1"/>
    <col min="2" max="3" width="12.36328125" bestFit="1" customWidth="1"/>
    <col min="4" max="5" width="12.453125" customWidth="1"/>
    <col min="7" max="8" width="12.36328125" bestFit="1" customWidth="1"/>
    <col min="9" max="10" width="12.1796875" customWidth="1"/>
    <col min="12" max="13" width="11.81640625" bestFit="1" customWidth="1"/>
    <col min="14" max="15" width="11.81640625" customWidth="1"/>
    <col min="16" max="16" width="8.63281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8.3850999999999999E-4</v>
      </c>
      <c r="C3">
        <v>1.8312800000000001E-4</v>
      </c>
      <c r="D3">
        <f>B3/$B$3*100</f>
        <v>100</v>
      </c>
      <c r="E3">
        <f>C3/$C$3*100</f>
        <v>100</v>
      </c>
      <c r="G3">
        <v>7.9942800000000003E-4</v>
      </c>
      <c r="H3">
        <v>1.7879199999999999E-4</v>
      </c>
      <c r="I3">
        <f>G3/$G$3*100</f>
        <v>100</v>
      </c>
      <c r="J3">
        <f>H3/$H$3*100</f>
        <v>100</v>
      </c>
      <c r="L3" s="4">
        <v>9.7524999999999999E-4</v>
      </c>
      <c r="M3" s="4">
        <v>1.8332600000000001E-4</v>
      </c>
      <c r="N3" s="3">
        <f>L3/$L$3*100</f>
        <v>100</v>
      </c>
      <c r="O3" s="3">
        <f>M3/$M$3*100</f>
        <v>100</v>
      </c>
      <c r="Q3">
        <f t="shared" ref="Q3:Q66" si="0">AVERAGE(B3,G3,L3)</f>
        <v>8.7106266666666656E-4</v>
      </c>
      <c r="R3">
        <f t="shared" ref="R3:R66" si="1">AVERAGE(C3,H3,M3)</f>
        <v>1.8174866666666666E-4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8.4203700000000002E-4</v>
      </c>
      <c r="C4">
        <v>1.8436400000000001E-4</v>
      </c>
      <c r="D4">
        <f t="shared" ref="D4:D67" si="2">B4/$B$3*100</f>
        <v>100.42062706467425</v>
      </c>
      <c r="E4">
        <f t="shared" ref="E4:E67" si="3">C4/$C$3*100</f>
        <v>100.67493774846011</v>
      </c>
      <c r="G4">
        <v>8.0233099999999999E-4</v>
      </c>
      <c r="H4">
        <v>1.7965E-4</v>
      </c>
      <c r="I4">
        <f t="shared" ref="I4:I67" si="4">G4/$G$3*100</f>
        <v>100.36313464126849</v>
      </c>
      <c r="J4">
        <f t="shared" ref="J4:J67" si="5">H4/$H$3*100</f>
        <v>100.4798872432771</v>
      </c>
      <c r="L4" s="4">
        <v>9.7885399999999992E-4</v>
      </c>
      <c r="M4" s="4">
        <v>1.8578900000000001E-4</v>
      </c>
      <c r="N4" s="3">
        <f t="shared" ref="N4:N67" si="6">L4/$L$3*100</f>
        <v>100.36954627018713</v>
      </c>
      <c r="O4" s="3">
        <f t="shared" ref="O4:O67" si="7">M4/$M$3*100</f>
        <v>101.34350828578597</v>
      </c>
      <c r="Q4">
        <f t="shared" si="0"/>
        <v>8.7440733333333327E-4</v>
      </c>
      <c r="R4">
        <f t="shared" si="1"/>
        <v>1.8326766666666665E-4</v>
      </c>
      <c r="T4">
        <f t="shared" ref="T4:T67" si="8">AVERAGE(D4,I4,N4)</f>
        <v>100.38443599204329</v>
      </c>
      <c r="U4">
        <f t="shared" ref="U4:U67" si="9">AVERAGE(E4,J4,O4)</f>
        <v>100.83277775917439</v>
      </c>
      <c r="W4">
        <f t="shared" ref="W4:W67" si="10">_xlfn.STDEV.P(D4,I4,N4)</f>
        <v>2.5724470191916447E-2</v>
      </c>
      <c r="X4">
        <f t="shared" ref="X4:X67" si="11">_xlfn.STDEV.P(E4,J4,O4)</f>
        <v>0.36981565498028007</v>
      </c>
    </row>
    <row r="5" spans="1:24" x14ac:dyDescent="0.35">
      <c r="A5">
        <v>18.545500000000001</v>
      </c>
      <c r="B5">
        <v>8.4586100000000005E-4</v>
      </c>
      <c r="C5">
        <v>1.8362399999999999E-4</v>
      </c>
      <c r="D5">
        <f t="shared" si="2"/>
        <v>100.87667410048778</v>
      </c>
      <c r="E5">
        <f t="shared" si="3"/>
        <v>100.27084880520727</v>
      </c>
      <c r="G5">
        <v>8.0607900000000002E-4</v>
      </c>
      <c r="H5">
        <v>1.80075E-4</v>
      </c>
      <c r="I5">
        <f t="shared" si="4"/>
        <v>100.8319698584488</v>
      </c>
      <c r="J5">
        <f t="shared" si="5"/>
        <v>100.71759362835027</v>
      </c>
      <c r="L5" s="4">
        <v>9.8202599999999999E-4</v>
      </c>
      <c r="M5" s="4">
        <v>1.91075E-4</v>
      </c>
      <c r="N5" s="3">
        <f t="shared" si="6"/>
        <v>100.694796206101</v>
      </c>
      <c r="O5" s="3">
        <f t="shared" si="7"/>
        <v>104.22689634858119</v>
      </c>
      <c r="Q5">
        <f t="shared" si="0"/>
        <v>8.7798866666666676E-4</v>
      </c>
      <c r="R5">
        <f t="shared" si="1"/>
        <v>1.8492466666666666E-4</v>
      </c>
      <c r="T5">
        <f t="shared" si="8"/>
        <v>100.80114672167919</v>
      </c>
      <c r="U5">
        <f t="shared" si="9"/>
        <v>101.73844626071291</v>
      </c>
      <c r="W5">
        <f t="shared" si="10"/>
        <v>7.7384070009617029E-2</v>
      </c>
      <c r="X5">
        <f t="shared" si="11"/>
        <v>1.7690266841985955</v>
      </c>
    </row>
    <row r="6" spans="1:24" x14ac:dyDescent="0.35">
      <c r="A6">
        <v>24.791399999999999</v>
      </c>
      <c r="B6">
        <v>8.49108E-4</v>
      </c>
      <c r="C6">
        <v>1.87725E-4</v>
      </c>
      <c r="D6">
        <f t="shared" si="2"/>
        <v>101.26390859977819</v>
      </c>
      <c r="E6">
        <f t="shared" si="3"/>
        <v>102.51026604342317</v>
      </c>
      <c r="G6">
        <v>8.1080900000000001E-4</v>
      </c>
      <c r="H6">
        <v>1.8336900000000001E-4</v>
      </c>
      <c r="I6">
        <f t="shared" si="4"/>
        <v>101.42364290467685</v>
      </c>
      <c r="J6">
        <f t="shared" si="5"/>
        <v>102.55995793995258</v>
      </c>
      <c r="L6" s="4">
        <v>9.8442199999999999E-4</v>
      </c>
      <c r="M6" s="4">
        <v>1.8656599999999999E-4</v>
      </c>
      <c r="N6" s="3">
        <f t="shared" si="6"/>
        <v>100.94047680082031</v>
      </c>
      <c r="O6" s="3">
        <f t="shared" si="7"/>
        <v>101.76734342100954</v>
      </c>
      <c r="Q6">
        <f t="shared" si="0"/>
        <v>8.814463333333333E-4</v>
      </c>
      <c r="R6">
        <f t="shared" si="1"/>
        <v>1.8588666666666666E-4</v>
      </c>
      <c r="T6">
        <f t="shared" si="8"/>
        <v>101.20934276842512</v>
      </c>
      <c r="U6">
        <f t="shared" si="9"/>
        <v>102.27918913479509</v>
      </c>
      <c r="W6">
        <f t="shared" si="10"/>
        <v>0.20098995570661068</v>
      </c>
      <c r="X6">
        <f t="shared" si="11"/>
        <v>0.36249767556556545</v>
      </c>
    </row>
    <row r="7" spans="1:24" x14ac:dyDescent="0.35">
      <c r="A7">
        <v>31.106999999999999</v>
      </c>
      <c r="B7">
        <v>8.4877399999999995E-4</v>
      </c>
      <c r="C7">
        <v>1.83926E-4</v>
      </c>
      <c r="D7">
        <f t="shared" si="2"/>
        <v>101.22407603964174</v>
      </c>
      <c r="E7">
        <f t="shared" si="3"/>
        <v>100.4357607793456</v>
      </c>
      <c r="G7">
        <v>8.1378899999999998E-4</v>
      </c>
      <c r="H7">
        <v>1.8576399999999999E-4</v>
      </c>
      <c r="I7">
        <f t="shared" si="4"/>
        <v>101.79640943274441</v>
      </c>
      <c r="J7">
        <f t="shared" si="5"/>
        <v>103.89950333348249</v>
      </c>
      <c r="L7" s="4">
        <v>9.8635499999999996E-4</v>
      </c>
      <c r="M7" s="4">
        <v>1.8129600000000001E-4</v>
      </c>
      <c r="N7" s="3">
        <f t="shared" si="6"/>
        <v>101.13868238913099</v>
      </c>
      <c r="O7" s="3">
        <f t="shared" si="7"/>
        <v>98.892682980046473</v>
      </c>
      <c r="Q7">
        <f t="shared" si="0"/>
        <v>8.8297266666666674E-4</v>
      </c>
      <c r="R7">
        <f t="shared" si="1"/>
        <v>1.8366200000000002E-4</v>
      </c>
      <c r="T7">
        <f t="shared" si="8"/>
        <v>101.38638928717239</v>
      </c>
      <c r="U7">
        <f t="shared" si="9"/>
        <v>101.07598236429152</v>
      </c>
      <c r="W7">
        <f t="shared" si="10"/>
        <v>0.29201644784505898</v>
      </c>
      <c r="X7">
        <f t="shared" si="11"/>
        <v>2.0935576214135718</v>
      </c>
    </row>
    <row r="8" spans="1:24" x14ac:dyDescent="0.35">
      <c r="A8">
        <v>37.192399999999999</v>
      </c>
      <c r="B8">
        <v>8.5119500000000001E-4</v>
      </c>
      <c r="C8">
        <v>1.80113E-4</v>
      </c>
      <c r="D8">
        <f t="shared" si="2"/>
        <v>101.51280247104984</v>
      </c>
      <c r="E8">
        <f t="shared" si="3"/>
        <v>98.35361058931457</v>
      </c>
      <c r="G8">
        <v>8.1518699999999999E-4</v>
      </c>
      <c r="H8">
        <v>1.8480800000000001E-4</v>
      </c>
      <c r="I8">
        <f t="shared" si="4"/>
        <v>101.9712844683949</v>
      </c>
      <c r="J8">
        <f t="shared" si="5"/>
        <v>103.36480379435322</v>
      </c>
      <c r="L8" s="4">
        <v>9.9111300000000006E-4</v>
      </c>
      <c r="M8" s="4">
        <v>1.86384E-4</v>
      </c>
      <c r="N8" s="3">
        <f t="shared" si="6"/>
        <v>101.62655729300181</v>
      </c>
      <c r="O8" s="3">
        <f t="shared" si="7"/>
        <v>101.6680667226689</v>
      </c>
      <c r="Q8">
        <f t="shared" si="0"/>
        <v>8.8583166666666676E-4</v>
      </c>
      <c r="R8">
        <f t="shared" si="1"/>
        <v>1.8376833333333333E-4</v>
      </c>
      <c r="T8">
        <f t="shared" si="8"/>
        <v>101.7035480774822</v>
      </c>
      <c r="U8">
        <f t="shared" si="9"/>
        <v>101.12882703544555</v>
      </c>
      <c r="W8">
        <f t="shared" si="10"/>
        <v>0.19493096409337063</v>
      </c>
      <c r="X8">
        <f t="shared" si="11"/>
        <v>2.0810412321341971</v>
      </c>
    </row>
    <row r="9" spans="1:24" x14ac:dyDescent="0.35">
      <c r="A9">
        <v>43.526200000000003</v>
      </c>
      <c r="B9">
        <v>8.5488100000000004E-4</v>
      </c>
      <c r="C9">
        <v>1.8845400000000001E-4</v>
      </c>
      <c r="D9">
        <f t="shared" si="2"/>
        <v>101.95239174249562</v>
      </c>
      <c r="E9">
        <f t="shared" si="3"/>
        <v>102.90834825914115</v>
      </c>
      <c r="G9">
        <v>8.1685299999999998E-4</v>
      </c>
      <c r="H9">
        <v>1.8318100000000001E-4</v>
      </c>
      <c r="I9">
        <f t="shared" si="4"/>
        <v>102.17968347368367</v>
      </c>
      <c r="J9">
        <f t="shared" si="5"/>
        <v>102.45480782137903</v>
      </c>
      <c r="L9" s="4">
        <v>9.9415099999999998E-4</v>
      </c>
      <c r="M9" s="4">
        <v>1.86756E-4</v>
      </c>
      <c r="N9" s="3">
        <f t="shared" si="6"/>
        <v>101.93806716226608</v>
      </c>
      <c r="O9" s="3">
        <f t="shared" si="7"/>
        <v>101.87098393026631</v>
      </c>
      <c r="Q9">
        <f t="shared" si="0"/>
        <v>8.886283333333333E-4</v>
      </c>
      <c r="R9">
        <f t="shared" si="1"/>
        <v>1.8613033333333336E-4</v>
      </c>
      <c r="T9">
        <f t="shared" si="8"/>
        <v>102.02338079281513</v>
      </c>
      <c r="U9">
        <f t="shared" si="9"/>
        <v>102.41138000359551</v>
      </c>
      <c r="W9">
        <f t="shared" si="10"/>
        <v>0.11067729196394563</v>
      </c>
      <c r="X9">
        <f t="shared" si="11"/>
        <v>0.42461407515026239</v>
      </c>
    </row>
    <row r="10" spans="1:24" x14ac:dyDescent="0.35">
      <c r="A10">
        <v>49.688299999999998</v>
      </c>
      <c r="B10">
        <v>8.6230200000000001E-4</v>
      </c>
      <c r="C10">
        <v>1.96145E-4</v>
      </c>
      <c r="D10">
        <f t="shared" si="2"/>
        <v>102.83741398432934</v>
      </c>
      <c r="E10">
        <f t="shared" si="3"/>
        <v>107.10814293827266</v>
      </c>
      <c r="G10">
        <v>8.1839800000000002E-4</v>
      </c>
      <c r="H10">
        <v>1.83389E-4</v>
      </c>
      <c r="I10">
        <f t="shared" si="4"/>
        <v>102.37294665685965</v>
      </c>
      <c r="J10">
        <f t="shared" si="5"/>
        <v>102.57114412277954</v>
      </c>
      <c r="L10" s="4">
        <v>9.9643900000000001E-4</v>
      </c>
      <c r="M10" s="4">
        <v>1.87035E-4</v>
      </c>
      <c r="N10" s="3">
        <f t="shared" si="6"/>
        <v>102.17267367341707</v>
      </c>
      <c r="O10" s="3">
        <f t="shared" si="7"/>
        <v>102.02317183596435</v>
      </c>
      <c r="Q10">
        <f t="shared" si="0"/>
        <v>8.9237966666666675E-4</v>
      </c>
      <c r="R10">
        <f t="shared" si="1"/>
        <v>1.8885633333333334E-4</v>
      </c>
      <c r="T10">
        <f t="shared" si="8"/>
        <v>102.46101143820202</v>
      </c>
      <c r="U10">
        <f t="shared" si="9"/>
        <v>103.90081963233884</v>
      </c>
      <c r="W10">
        <f t="shared" si="10"/>
        <v>0.27843188816728309</v>
      </c>
      <c r="X10">
        <f t="shared" si="11"/>
        <v>2.2789267208299346</v>
      </c>
    </row>
    <row r="11" spans="1:24" x14ac:dyDescent="0.35">
      <c r="A11">
        <v>55.8005</v>
      </c>
      <c r="B11">
        <v>8.6244399999999997E-4</v>
      </c>
      <c r="C11">
        <v>1.9120199999999999E-4</v>
      </c>
      <c r="D11">
        <f t="shared" si="2"/>
        <v>102.85434878534542</v>
      </c>
      <c r="E11">
        <f t="shared" si="3"/>
        <v>104.40893801057183</v>
      </c>
      <c r="G11">
        <v>8.2155699999999999E-4</v>
      </c>
      <c r="H11">
        <v>1.83463E-4</v>
      </c>
      <c r="I11">
        <f t="shared" si="4"/>
        <v>102.76810419449906</v>
      </c>
      <c r="J11">
        <f t="shared" si="5"/>
        <v>102.61253299923933</v>
      </c>
      <c r="L11" s="4">
        <v>9.9775800000000006E-4</v>
      </c>
      <c r="M11" s="4">
        <v>1.8959200000000001E-4</v>
      </c>
      <c r="N11" s="3">
        <f t="shared" si="6"/>
        <v>102.30792104588569</v>
      </c>
      <c r="O11" s="3">
        <f t="shared" si="7"/>
        <v>103.41795490001418</v>
      </c>
      <c r="Q11">
        <f t="shared" si="0"/>
        <v>8.9391966666666671E-4</v>
      </c>
      <c r="R11">
        <f t="shared" si="1"/>
        <v>1.8808566666666667E-4</v>
      </c>
      <c r="T11">
        <f t="shared" si="8"/>
        <v>102.64345800857672</v>
      </c>
      <c r="U11">
        <f t="shared" si="9"/>
        <v>103.47980863660844</v>
      </c>
      <c r="W11">
        <f t="shared" si="10"/>
        <v>0.23985873948570466</v>
      </c>
      <c r="X11">
        <f t="shared" si="11"/>
        <v>0.73468231444306642</v>
      </c>
    </row>
    <row r="12" spans="1:24" x14ac:dyDescent="0.35">
      <c r="A12">
        <v>62.111400000000003</v>
      </c>
      <c r="B12">
        <v>8.6777600000000001E-4</v>
      </c>
      <c r="C12">
        <v>2.0113800000000001E-4</v>
      </c>
      <c r="D12">
        <f t="shared" si="2"/>
        <v>103.49023863758333</v>
      </c>
      <c r="E12">
        <f t="shared" si="3"/>
        <v>109.83465117295006</v>
      </c>
      <c r="G12">
        <v>8.2592899999999999E-4</v>
      </c>
      <c r="H12">
        <v>1.8907900000000001E-4</v>
      </c>
      <c r="I12">
        <f t="shared" si="4"/>
        <v>103.31499522158343</v>
      </c>
      <c r="J12">
        <f t="shared" si="5"/>
        <v>105.75361313705312</v>
      </c>
      <c r="L12" s="4">
        <v>1.0023199999999999E-3</v>
      </c>
      <c r="M12" s="4">
        <v>1.8905500000000001E-4</v>
      </c>
      <c r="N12" s="3">
        <f t="shared" si="6"/>
        <v>102.7756985388362</v>
      </c>
      <c r="O12" s="3">
        <f t="shared" si="7"/>
        <v>103.12503409227278</v>
      </c>
      <c r="Q12">
        <f t="shared" si="0"/>
        <v>8.9867499999999993E-4</v>
      </c>
      <c r="R12">
        <f t="shared" si="1"/>
        <v>1.9309066666666668E-4</v>
      </c>
      <c r="T12">
        <f t="shared" si="8"/>
        <v>103.19364413266766</v>
      </c>
      <c r="U12">
        <f t="shared" si="9"/>
        <v>106.237766134092</v>
      </c>
      <c r="W12">
        <f t="shared" si="10"/>
        <v>0.30406847174627799</v>
      </c>
      <c r="X12">
        <f t="shared" si="11"/>
        <v>2.7605003695870489</v>
      </c>
    </row>
    <row r="13" spans="1:24" x14ac:dyDescent="0.35">
      <c r="A13">
        <v>68.338800000000006</v>
      </c>
      <c r="B13">
        <v>8.7080499999999999E-4</v>
      </c>
      <c r="C13">
        <v>2.02079E-4</v>
      </c>
      <c r="D13">
        <f t="shared" si="2"/>
        <v>103.85147463953919</v>
      </c>
      <c r="E13">
        <f t="shared" si="3"/>
        <v>110.34849941024856</v>
      </c>
      <c r="G13">
        <v>8.2886500000000003E-4</v>
      </c>
      <c r="H13">
        <v>1.88648E-4</v>
      </c>
      <c r="I13">
        <f t="shared" si="4"/>
        <v>103.68225781433725</v>
      </c>
      <c r="J13">
        <f t="shared" si="5"/>
        <v>105.51255089713187</v>
      </c>
      <c r="L13" s="4">
        <v>1.00494E-3</v>
      </c>
      <c r="M13" s="4">
        <v>1.92704E-4</v>
      </c>
      <c r="N13" s="3">
        <f t="shared" si="6"/>
        <v>103.04434760317866</v>
      </c>
      <c r="O13" s="3">
        <f t="shared" si="7"/>
        <v>105.11547734636657</v>
      </c>
      <c r="Q13">
        <f t="shared" si="0"/>
        <v>9.0153666666666651E-4</v>
      </c>
      <c r="R13">
        <f t="shared" si="1"/>
        <v>1.94477E-4</v>
      </c>
      <c r="T13">
        <f t="shared" si="8"/>
        <v>103.52602668568504</v>
      </c>
      <c r="U13">
        <f t="shared" si="9"/>
        <v>106.99217588458232</v>
      </c>
      <c r="W13">
        <f t="shared" si="10"/>
        <v>0.34753382317504011</v>
      </c>
      <c r="X13">
        <f t="shared" si="11"/>
        <v>2.3788088837181758</v>
      </c>
    </row>
    <row r="14" spans="1:24" x14ac:dyDescent="0.35">
      <c r="A14">
        <v>74.508499999999998</v>
      </c>
      <c r="B14">
        <v>8.7295799999999996E-4</v>
      </c>
      <c r="C14">
        <v>2.0229199999999999E-4</v>
      </c>
      <c r="D14">
        <f t="shared" si="2"/>
        <v>104.10823961550845</v>
      </c>
      <c r="E14">
        <f t="shared" si="3"/>
        <v>110.46481149796863</v>
      </c>
      <c r="G14">
        <v>8.3101699999999998E-4</v>
      </c>
      <c r="H14">
        <v>1.88357E-4</v>
      </c>
      <c r="I14">
        <f t="shared" si="4"/>
        <v>103.95145028695516</v>
      </c>
      <c r="J14">
        <f t="shared" si="5"/>
        <v>105.34979193699942</v>
      </c>
      <c r="L14" s="4">
        <v>1.0066299999999999E-3</v>
      </c>
      <c r="M14" s="4">
        <v>1.9576899999999999E-4</v>
      </c>
      <c r="N14" s="3">
        <f t="shared" si="6"/>
        <v>103.21763650346065</v>
      </c>
      <c r="O14" s="3">
        <f t="shared" si="7"/>
        <v>106.78736240358704</v>
      </c>
      <c r="Q14">
        <f t="shared" si="0"/>
        <v>9.0353499999999991E-4</v>
      </c>
      <c r="R14">
        <f t="shared" si="1"/>
        <v>1.9547266666666667E-4</v>
      </c>
      <c r="T14">
        <f t="shared" si="8"/>
        <v>103.75910880197476</v>
      </c>
      <c r="U14">
        <f t="shared" si="9"/>
        <v>107.5339886128517</v>
      </c>
      <c r="W14">
        <f t="shared" si="10"/>
        <v>0.38819231568099294</v>
      </c>
      <c r="X14">
        <f t="shared" si="11"/>
        <v>2.1539025511143062</v>
      </c>
    </row>
    <row r="15" spans="1:24" x14ac:dyDescent="0.35">
      <c r="A15">
        <v>80.784599999999998</v>
      </c>
      <c r="B15">
        <v>8.7448400000000003E-4</v>
      </c>
      <c r="C15">
        <v>2.02034E-4</v>
      </c>
      <c r="D15">
        <f t="shared" si="2"/>
        <v>104.29022909685037</v>
      </c>
      <c r="E15">
        <f t="shared" si="3"/>
        <v>110.32392643396966</v>
      </c>
      <c r="G15">
        <v>8.3232399999999995E-4</v>
      </c>
      <c r="H15">
        <v>1.87782E-4</v>
      </c>
      <c r="I15">
        <f t="shared" si="4"/>
        <v>104.11494218366131</v>
      </c>
      <c r="J15">
        <f t="shared" si="5"/>
        <v>105.02818918072396</v>
      </c>
      <c r="L15" s="4">
        <v>1.0104599999999999E-3</v>
      </c>
      <c r="M15" s="4">
        <v>1.9122900000000001E-4</v>
      </c>
      <c r="N15" s="3">
        <f t="shared" si="6"/>
        <v>103.6103563188926</v>
      </c>
      <c r="O15" s="3">
        <f t="shared" si="7"/>
        <v>104.31089970871561</v>
      </c>
      <c r="Q15">
        <f t="shared" si="0"/>
        <v>9.0575600000000007E-4</v>
      </c>
      <c r="R15">
        <f t="shared" si="1"/>
        <v>1.9368166666666666E-4</v>
      </c>
      <c r="T15">
        <f t="shared" si="8"/>
        <v>104.00517586646811</v>
      </c>
      <c r="U15">
        <f t="shared" si="9"/>
        <v>106.55433844113641</v>
      </c>
      <c r="W15">
        <f t="shared" si="10"/>
        <v>0.28820505644954175</v>
      </c>
      <c r="X15">
        <f t="shared" si="11"/>
        <v>2.6815382741314693</v>
      </c>
    </row>
    <row r="16" spans="1:24" x14ac:dyDescent="0.35">
      <c r="A16">
        <v>86.936599999999999</v>
      </c>
      <c r="B16">
        <v>8.73312E-4</v>
      </c>
      <c r="C16">
        <v>1.98118E-4</v>
      </c>
      <c r="D16">
        <f t="shared" si="2"/>
        <v>104.1504573588866</v>
      </c>
      <c r="E16">
        <f t="shared" si="3"/>
        <v>108.185531431567</v>
      </c>
      <c r="G16">
        <v>8.3266299999999998E-4</v>
      </c>
      <c r="H16">
        <v>1.86665E-4</v>
      </c>
      <c r="I16">
        <f t="shared" si="4"/>
        <v>104.15734750346498</v>
      </c>
      <c r="J16">
        <f t="shared" si="5"/>
        <v>104.4034408698376</v>
      </c>
      <c r="L16" s="4">
        <v>1.0108700000000001E-3</v>
      </c>
      <c r="M16" s="4">
        <v>1.9801399999999999E-4</v>
      </c>
      <c r="N16" s="3">
        <f t="shared" si="6"/>
        <v>103.65239682132787</v>
      </c>
      <c r="O16" s="3">
        <f t="shared" si="7"/>
        <v>108.01195684191003</v>
      </c>
      <c r="Q16">
        <f t="shared" si="0"/>
        <v>9.0561499999999991E-4</v>
      </c>
      <c r="R16">
        <f t="shared" si="1"/>
        <v>1.9426566666666664E-4</v>
      </c>
      <c r="T16">
        <f t="shared" si="8"/>
        <v>103.9867338945598</v>
      </c>
      <c r="U16">
        <f t="shared" si="9"/>
        <v>106.86697638110486</v>
      </c>
      <c r="W16">
        <f t="shared" si="10"/>
        <v>0.23642874532799527</v>
      </c>
      <c r="X16">
        <f t="shared" si="11"/>
        <v>1.7434233461784039</v>
      </c>
    </row>
    <row r="17" spans="1:24" x14ac:dyDescent="0.35">
      <c r="A17">
        <v>93.113100000000003</v>
      </c>
      <c r="B17">
        <v>8.7383800000000005E-4</v>
      </c>
      <c r="C17">
        <v>1.97309E-4</v>
      </c>
      <c r="D17">
        <f t="shared" si="2"/>
        <v>104.21318767814338</v>
      </c>
      <c r="E17">
        <f t="shared" si="3"/>
        <v>107.74376392468655</v>
      </c>
      <c r="G17">
        <v>8.3656500000000005E-4</v>
      </c>
      <c r="H17">
        <v>1.8900300000000001E-4</v>
      </c>
      <c r="I17">
        <f t="shared" si="4"/>
        <v>104.64544649424339</v>
      </c>
      <c r="J17">
        <f t="shared" si="5"/>
        <v>105.71110564231063</v>
      </c>
      <c r="L17" s="4">
        <v>1.0152200000000001E-3</v>
      </c>
      <c r="M17" s="4">
        <v>1.9390299999999999E-4</v>
      </c>
      <c r="N17" s="3">
        <f t="shared" si="6"/>
        <v>104.09843629838504</v>
      </c>
      <c r="O17" s="3">
        <f t="shared" si="7"/>
        <v>105.76950350741301</v>
      </c>
      <c r="Q17">
        <f t="shared" si="0"/>
        <v>9.0854100000000001E-4</v>
      </c>
      <c r="R17">
        <f t="shared" si="1"/>
        <v>1.9340500000000001E-4</v>
      </c>
      <c r="T17">
        <f t="shared" si="8"/>
        <v>104.31902349025727</v>
      </c>
      <c r="U17">
        <f t="shared" si="9"/>
        <v>106.40812435813672</v>
      </c>
      <c r="W17">
        <f t="shared" si="10"/>
        <v>0.23552204841953608</v>
      </c>
      <c r="X17">
        <f t="shared" si="11"/>
        <v>0.94474065805107688</v>
      </c>
    </row>
    <row r="18" spans="1:24" x14ac:dyDescent="0.35">
      <c r="A18">
        <v>99.351399999999998</v>
      </c>
      <c r="B18">
        <v>8.7378499999999997E-4</v>
      </c>
      <c r="C18">
        <v>1.94845E-4</v>
      </c>
      <c r="D18">
        <f t="shared" si="2"/>
        <v>104.20686694255285</v>
      </c>
      <c r="E18">
        <f t="shared" si="3"/>
        <v>106.39825695688261</v>
      </c>
      <c r="G18">
        <v>8.3716200000000002E-4</v>
      </c>
      <c r="H18">
        <v>1.8756400000000001E-4</v>
      </c>
      <c r="I18">
        <f t="shared" si="4"/>
        <v>104.72012488929585</v>
      </c>
      <c r="J18">
        <f t="shared" si="5"/>
        <v>104.90625978790997</v>
      </c>
      <c r="L18" s="4">
        <v>1.0171399999999999E-3</v>
      </c>
      <c r="M18" s="4">
        <v>1.95183E-4</v>
      </c>
      <c r="N18" s="3">
        <f t="shared" si="6"/>
        <v>104.29530889515507</v>
      </c>
      <c r="O18" s="3">
        <f t="shared" si="7"/>
        <v>106.4677132539847</v>
      </c>
      <c r="Q18">
        <f t="shared" si="0"/>
        <v>9.093623333333332E-4</v>
      </c>
      <c r="R18">
        <f t="shared" si="1"/>
        <v>1.9253066666666667E-4</v>
      </c>
      <c r="T18">
        <f t="shared" si="8"/>
        <v>104.40743357566792</v>
      </c>
      <c r="U18">
        <f t="shared" si="9"/>
        <v>105.9240766662591</v>
      </c>
      <c r="W18">
        <f t="shared" si="10"/>
        <v>0.2240348008067653</v>
      </c>
      <c r="X18">
        <f t="shared" si="11"/>
        <v>0.7202635826283974</v>
      </c>
    </row>
    <row r="19" spans="1:24" x14ac:dyDescent="0.35">
      <c r="A19">
        <v>105.571</v>
      </c>
      <c r="B19">
        <v>8.7668299999999995E-4</v>
      </c>
      <c r="C19">
        <v>1.9834099999999999E-4</v>
      </c>
      <c r="D19">
        <f t="shared" si="2"/>
        <v>104.55247999427554</v>
      </c>
      <c r="E19">
        <f t="shared" si="3"/>
        <v>108.30730418068235</v>
      </c>
      <c r="G19">
        <v>8.3866300000000002E-4</v>
      </c>
      <c r="H19">
        <v>1.87775E-4</v>
      </c>
      <c r="I19">
        <f t="shared" si="4"/>
        <v>104.90788413715806</v>
      </c>
      <c r="J19">
        <f t="shared" si="5"/>
        <v>105.02427401673454</v>
      </c>
      <c r="L19" s="4">
        <v>1.01856E-3</v>
      </c>
      <c r="M19" s="4">
        <v>1.9496800000000001E-4</v>
      </c>
      <c r="N19" s="3">
        <f t="shared" si="6"/>
        <v>104.44091258651626</v>
      </c>
      <c r="O19" s="3">
        <f t="shared" si="7"/>
        <v>106.35043583561523</v>
      </c>
      <c r="Q19">
        <f t="shared" si="0"/>
        <v>9.1130200000000001E-4</v>
      </c>
      <c r="R19">
        <f t="shared" si="1"/>
        <v>1.9369466666666665E-4</v>
      </c>
      <c r="T19">
        <f t="shared" si="8"/>
        <v>104.6337589059833</v>
      </c>
      <c r="U19">
        <f t="shared" si="9"/>
        <v>106.56067134434404</v>
      </c>
      <c r="W19">
        <f t="shared" si="10"/>
        <v>0.19911521521219627</v>
      </c>
      <c r="X19">
        <f t="shared" si="11"/>
        <v>1.34851053418099</v>
      </c>
    </row>
    <row r="20" spans="1:24" x14ac:dyDescent="0.35">
      <c r="A20">
        <v>111.708</v>
      </c>
      <c r="B20">
        <v>8.7982700000000002E-4</v>
      </c>
      <c r="C20">
        <v>1.9973699999999999E-4</v>
      </c>
      <c r="D20">
        <f t="shared" si="2"/>
        <v>104.92743079987122</v>
      </c>
      <c r="E20">
        <f t="shared" si="3"/>
        <v>109.06961251146738</v>
      </c>
      <c r="G20">
        <v>8.3927199999999996E-4</v>
      </c>
      <c r="H20">
        <v>1.86174E-4</v>
      </c>
      <c r="I20">
        <f t="shared" si="4"/>
        <v>104.98406360547791</v>
      </c>
      <c r="J20">
        <f t="shared" si="5"/>
        <v>104.12882008143542</v>
      </c>
      <c r="L20" s="4">
        <v>1.0184300000000001E-3</v>
      </c>
      <c r="M20" s="4">
        <v>1.9358799999999999E-4</v>
      </c>
      <c r="N20" s="3">
        <f t="shared" si="6"/>
        <v>104.42758267110999</v>
      </c>
      <c r="O20" s="3">
        <f t="shared" si="7"/>
        <v>105.59767845259265</v>
      </c>
      <c r="Q20">
        <f t="shared" si="0"/>
        <v>9.1250966666666657E-4</v>
      </c>
      <c r="R20">
        <f t="shared" si="1"/>
        <v>1.9316633333333331E-4</v>
      </c>
      <c r="T20">
        <f t="shared" si="8"/>
        <v>104.7796923588197</v>
      </c>
      <c r="U20">
        <f t="shared" si="9"/>
        <v>106.26537034849848</v>
      </c>
      <c r="W20">
        <f t="shared" si="10"/>
        <v>0.25005031867205985</v>
      </c>
      <c r="X20">
        <f t="shared" si="11"/>
        <v>2.0715882489946424</v>
      </c>
    </row>
    <row r="21" spans="1:24" x14ac:dyDescent="0.35">
      <c r="A21">
        <v>118.009</v>
      </c>
      <c r="B21">
        <v>8.8256399999999996E-4</v>
      </c>
      <c r="C21">
        <v>2.03685E-4</v>
      </c>
      <c r="D21">
        <f t="shared" si="2"/>
        <v>105.2538431264982</v>
      </c>
      <c r="E21">
        <f t="shared" si="3"/>
        <v>111.22548163033505</v>
      </c>
      <c r="G21">
        <v>8.4309499999999998E-4</v>
      </c>
      <c r="H21">
        <v>1.8820499999999999E-4</v>
      </c>
      <c r="I21">
        <f t="shared" si="4"/>
        <v>105.46228053057935</v>
      </c>
      <c r="J21">
        <f t="shared" si="5"/>
        <v>105.26477694751443</v>
      </c>
      <c r="L21" s="4">
        <v>1.0226899999999999E-3</v>
      </c>
      <c r="M21" s="4">
        <v>1.9651299999999999E-4</v>
      </c>
      <c r="N21" s="3">
        <f t="shared" si="6"/>
        <v>104.86439374519354</v>
      </c>
      <c r="O21" s="3">
        <f t="shared" si="7"/>
        <v>107.19319681878183</v>
      </c>
      <c r="Q21">
        <f t="shared" si="0"/>
        <v>9.1611633333333329E-4</v>
      </c>
      <c r="R21">
        <f t="shared" si="1"/>
        <v>1.9613433333333331E-4</v>
      </c>
      <c r="T21">
        <f t="shared" si="8"/>
        <v>105.19350580075702</v>
      </c>
      <c r="U21">
        <f t="shared" si="9"/>
        <v>107.89448513221043</v>
      </c>
      <c r="W21">
        <f t="shared" si="10"/>
        <v>0.24778700086020314</v>
      </c>
      <c r="X21">
        <f t="shared" si="11"/>
        <v>2.4834591537965176</v>
      </c>
    </row>
    <row r="22" spans="1:24" x14ac:dyDescent="0.35">
      <c r="A22">
        <v>124.221</v>
      </c>
      <c r="B22">
        <v>8.8325700000000003E-4</v>
      </c>
      <c r="C22">
        <v>1.9949599999999999E-4</v>
      </c>
      <c r="D22">
        <f t="shared" si="2"/>
        <v>105.33648972582318</v>
      </c>
      <c r="E22">
        <f t="shared" si="3"/>
        <v>108.93801057184045</v>
      </c>
      <c r="G22">
        <v>8.4567599999999996E-4</v>
      </c>
      <c r="H22">
        <v>1.9036899999999999E-4</v>
      </c>
      <c r="I22">
        <f t="shared" si="4"/>
        <v>105.78513637250633</v>
      </c>
      <c r="J22">
        <f t="shared" si="5"/>
        <v>106.47512192939281</v>
      </c>
      <c r="L22" s="4">
        <v>1.0227999999999999E-3</v>
      </c>
      <c r="M22" s="4">
        <v>1.92306E-4</v>
      </c>
      <c r="N22" s="3">
        <f t="shared" si="6"/>
        <v>104.87567290438349</v>
      </c>
      <c r="O22" s="3">
        <f t="shared" si="7"/>
        <v>104.89837775329194</v>
      </c>
      <c r="Q22">
        <f t="shared" si="0"/>
        <v>9.1724433333333338E-4</v>
      </c>
      <c r="R22">
        <f t="shared" si="1"/>
        <v>1.94057E-4</v>
      </c>
      <c r="T22">
        <f t="shared" si="8"/>
        <v>105.33243300090435</v>
      </c>
      <c r="U22">
        <f t="shared" si="9"/>
        <v>106.77050341817507</v>
      </c>
      <c r="W22">
        <f t="shared" si="10"/>
        <v>0.37129798699993427</v>
      </c>
      <c r="X22">
        <f t="shared" si="11"/>
        <v>1.6623469343290855</v>
      </c>
    </row>
    <row r="23" spans="1:24" x14ac:dyDescent="0.35">
      <c r="A23">
        <v>130.28700000000001</v>
      </c>
      <c r="B23">
        <v>8.8190199999999995E-4</v>
      </c>
      <c r="C23">
        <v>1.95961E-4</v>
      </c>
      <c r="D23">
        <f t="shared" si="2"/>
        <v>105.17489356119782</v>
      </c>
      <c r="E23">
        <f t="shared" si="3"/>
        <v>107.00766676859901</v>
      </c>
      <c r="G23">
        <v>8.4670399999999999E-4</v>
      </c>
      <c r="H23">
        <v>1.8956600000000001E-4</v>
      </c>
      <c r="I23">
        <f t="shared" si="4"/>
        <v>105.91372831574574</v>
      </c>
      <c r="J23">
        <f t="shared" si="5"/>
        <v>106.0259966888899</v>
      </c>
      <c r="L23" s="4">
        <v>1.02451E-3</v>
      </c>
      <c r="M23" s="4">
        <v>1.92859E-4</v>
      </c>
      <c r="N23" s="3">
        <f t="shared" si="6"/>
        <v>105.05101256088183</v>
      </c>
      <c r="O23" s="3">
        <f t="shared" si="7"/>
        <v>105.2000261828655</v>
      </c>
      <c r="Q23">
        <f t="shared" si="0"/>
        <v>9.1770533333333326E-4</v>
      </c>
      <c r="R23">
        <f t="shared" si="1"/>
        <v>1.9279533333333332E-4</v>
      </c>
      <c r="T23">
        <f t="shared" si="8"/>
        <v>105.3798781459418</v>
      </c>
      <c r="U23">
        <f t="shared" si="9"/>
        <v>106.0778965467848</v>
      </c>
      <c r="W23">
        <f t="shared" si="10"/>
        <v>0.38086185457861987</v>
      </c>
      <c r="X23">
        <f t="shared" si="11"/>
        <v>0.73887812176518841</v>
      </c>
    </row>
    <row r="24" spans="1:24" x14ac:dyDescent="0.35">
      <c r="A24">
        <v>136.62799999999999</v>
      </c>
      <c r="B24">
        <v>8.8649499999999995E-4</v>
      </c>
      <c r="C24">
        <v>1.9945299999999999E-4</v>
      </c>
      <c r="D24">
        <f t="shared" si="2"/>
        <v>105.72265089265483</v>
      </c>
      <c r="E24">
        <f t="shared" si="3"/>
        <v>108.91452972784062</v>
      </c>
      <c r="G24">
        <v>8.4653899999999999E-4</v>
      </c>
      <c r="H24">
        <v>1.8767400000000001E-4</v>
      </c>
      <c r="I24">
        <f t="shared" si="4"/>
        <v>105.89308855831921</v>
      </c>
      <c r="J24">
        <f t="shared" si="5"/>
        <v>104.96778379345832</v>
      </c>
      <c r="L24" s="4">
        <v>1.0277299999999999E-3</v>
      </c>
      <c r="M24" s="4">
        <v>1.9589299999999999E-4</v>
      </c>
      <c r="N24" s="3">
        <f t="shared" si="6"/>
        <v>105.38118431171495</v>
      </c>
      <c r="O24" s="3">
        <f t="shared" si="7"/>
        <v>106.85500147278617</v>
      </c>
      <c r="Q24">
        <f t="shared" si="0"/>
        <v>9.2025466666666655E-4</v>
      </c>
      <c r="R24">
        <f t="shared" si="1"/>
        <v>1.9434000000000001E-4</v>
      </c>
      <c r="T24">
        <f t="shared" si="8"/>
        <v>105.66564125422967</v>
      </c>
      <c r="U24">
        <f t="shared" si="9"/>
        <v>106.91243833136171</v>
      </c>
      <c r="W24">
        <f t="shared" si="10"/>
        <v>0.2128364999679252</v>
      </c>
      <c r="X24">
        <f t="shared" si="11"/>
        <v>1.6117640671394926</v>
      </c>
    </row>
    <row r="25" spans="1:24" x14ac:dyDescent="0.35">
      <c r="A25">
        <v>142.79400000000001</v>
      </c>
      <c r="B25">
        <v>8.8198900000000002E-4</v>
      </c>
      <c r="C25">
        <v>1.91542E-4</v>
      </c>
      <c r="D25">
        <f t="shared" si="2"/>
        <v>105.18526910829924</v>
      </c>
      <c r="E25">
        <f t="shared" si="3"/>
        <v>104.59460049801233</v>
      </c>
      <c r="G25">
        <v>8.4807199999999995E-4</v>
      </c>
      <c r="H25">
        <v>1.8919100000000001E-4</v>
      </c>
      <c r="I25">
        <f t="shared" si="4"/>
        <v>106.08485066822777</v>
      </c>
      <c r="J25">
        <f t="shared" si="5"/>
        <v>105.81625576088416</v>
      </c>
      <c r="L25" s="4">
        <v>1.03159E-3</v>
      </c>
      <c r="M25" s="4">
        <v>1.9419700000000001E-4</v>
      </c>
      <c r="N25" s="3">
        <f t="shared" si="6"/>
        <v>105.77698026147142</v>
      </c>
      <c r="O25" s="3">
        <f t="shared" si="7"/>
        <v>105.92987355857871</v>
      </c>
      <c r="Q25">
        <f t="shared" si="0"/>
        <v>9.2055033333333328E-4</v>
      </c>
      <c r="R25">
        <f t="shared" si="1"/>
        <v>1.9164333333333332E-4</v>
      </c>
      <c r="T25">
        <f t="shared" si="8"/>
        <v>105.6823666793328</v>
      </c>
      <c r="U25">
        <f t="shared" si="9"/>
        <v>105.4469099391584</v>
      </c>
      <c r="W25">
        <f t="shared" si="10"/>
        <v>0.37329661413295184</v>
      </c>
      <c r="X25">
        <f t="shared" si="11"/>
        <v>0.60445611287519518</v>
      </c>
    </row>
    <row r="26" spans="1:24" x14ac:dyDescent="0.35">
      <c r="A26">
        <v>149.03399999999999</v>
      </c>
      <c r="B26">
        <v>8.8628600000000002E-4</v>
      </c>
      <c r="C26">
        <v>1.9606800000000001E-4</v>
      </c>
      <c r="D26">
        <f t="shared" si="2"/>
        <v>105.69772572777904</v>
      </c>
      <c r="E26">
        <f t="shared" si="3"/>
        <v>107.06609584552879</v>
      </c>
      <c r="G26">
        <v>8.4843199999999998E-4</v>
      </c>
      <c r="H26">
        <v>1.8952800000000001E-4</v>
      </c>
      <c r="I26">
        <f t="shared" si="4"/>
        <v>106.12988286624936</v>
      </c>
      <c r="J26">
        <f t="shared" si="5"/>
        <v>106.00474294151864</v>
      </c>
      <c r="L26" s="4">
        <v>1.0314199999999999E-3</v>
      </c>
      <c r="M26" s="4">
        <v>1.93611E-4</v>
      </c>
      <c r="N26" s="3">
        <f t="shared" si="6"/>
        <v>105.75954883363239</v>
      </c>
      <c r="O26" s="3">
        <f t="shared" si="7"/>
        <v>105.61022440897636</v>
      </c>
      <c r="Q26">
        <f t="shared" si="0"/>
        <v>9.2204600000000004E-4</v>
      </c>
      <c r="R26">
        <f t="shared" si="1"/>
        <v>1.93069E-4</v>
      </c>
      <c r="T26">
        <f t="shared" si="8"/>
        <v>105.86238580922026</v>
      </c>
      <c r="U26">
        <f t="shared" si="9"/>
        <v>106.22702106534126</v>
      </c>
      <c r="W26">
        <f t="shared" si="10"/>
        <v>0.19082545382933674</v>
      </c>
      <c r="X26">
        <f t="shared" si="11"/>
        <v>0.61478781336321608</v>
      </c>
    </row>
    <row r="27" spans="1:24" x14ac:dyDescent="0.35">
      <c r="A27">
        <v>155.125</v>
      </c>
      <c r="B27">
        <v>8.8484000000000002E-4</v>
      </c>
      <c r="C27">
        <v>1.9201400000000001E-4</v>
      </c>
      <c r="D27">
        <f t="shared" si="2"/>
        <v>105.52527697940394</v>
      </c>
      <c r="E27">
        <f t="shared" si="3"/>
        <v>104.85234371587086</v>
      </c>
      <c r="G27">
        <v>8.5110999999999997E-4</v>
      </c>
      <c r="H27">
        <v>1.8877999999999999E-4</v>
      </c>
      <c r="I27">
        <f t="shared" si="4"/>
        <v>106.46487238375437</v>
      </c>
      <c r="J27">
        <f t="shared" si="5"/>
        <v>105.58637970378987</v>
      </c>
      <c r="L27" s="4">
        <v>1.03341E-3</v>
      </c>
      <c r="M27" s="4">
        <v>1.9427499999999999E-4</v>
      </c>
      <c r="N27" s="3">
        <f t="shared" si="6"/>
        <v>105.96359907715971</v>
      </c>
      <c r="O27" s="3">
        <f t="shared" si="7"/>
        <v>105.9724207150104</v>
      </c>
      <c r="Q27">
        <f t="shared" si="0"/>
        <v>9.2312000000000004E-4</v>
      </c>
      <c r="R27">
        <f t="shared" si="1"/>
        <v>1.9168966666666666E-4</v>
      </c>
      <c r="T27">
        <f t="shared" si="8"/>
        <v>105.98458281343933</v>
      </c>
      <c r="U27">
        <f t="shared" si="9"/>
        <v>105.47038137822371</v>
      </c>
      <c r="W27">
        <f t="shared" si="10"/>
        <v>0.38387508285925559</v>
      </c>
      <c r="X27">
        <f t="shared" si="11"/>
        <v>0.46456777736657207</v>
      </c>
    </row>
    <row r="28" spans="1:24" x14ac:dyDescent="0.35">
      <c r="A28">
        <v>161.47300000000001</v>
      </c>
      <c r="B28">
        <v>8.8832199999999998E-4</v>
      </c>
      <c r="C28">
        <v>1.9301400000000001E-4</v>
      </c>
      <c r="D28">
        <f t="shared" si="2"/>
        <v>105.94053738178435</v>
      </c>
      <c r="E28">
        <f t="shared" si="3"/>
        <v>105.39840985540168</v>
      </c>
      <c r="G28">
        <v>8.5188199999999999E-4</v>
      </c>
      <c r="H28">
        <v>1.8710499999999999E-4</v>
      </c>
      <c r="I28">
        <f t="shared" si="4"/>
        <v>106.56144143062289</v>
      </c>
      <c r="J28">
        <f t="shared" si="5"/>
        <v>104.64953689203097</v>
      </c>
      <c r="L28" s="4">
        <v>1.03283E-3</v>
      </c>
      <c r="M28" s="4">
        <v>1.9233600000000001E-4</v>
      </c>
      <c r="N28" s="3">
        <f t="shared" si="6"/>
        <v>105.90412714688541</v>
      </c>
      <c r="O28" s="3">
        <f t="shared" si="7"/>
        <v>104.91474204422721</v>
      </c>
      <c r="Q28">
        <f t="shared" si="0"/>
        <v>9.2434466666666654E-4</v>
      </c>
      <c r="R28">
        <f t="shared" si="1"/>
        <v>1.9081833333333334E-4</v>
      </c>
      <c r="T28">
        <f t="shared" si="8"/>
        <v>106.13536865309754</v>
      </c>
      <c r="U28">
        <f t="shared" si="9"/>
        <v>104.98756293055328</v>
      </c>
      <c r="W28">
        <f t="shared" si="10"/>
        <v>0.30164541558201163</v>
      </c>
      <c r="X28">
        <f t="shared" si="11"/>
        <v>0.31003208428687451</v>
      </c>
    </row>
    <row r="29" spans="1:24" x14ac:dyDescent="0.35">
      <c r="A29">
        <v>167.614</v>
      </c>
      <c r="B29">
        <v>8.8905600000000005E-4</v>
      </c>
      <c r="C29">
        <v>1.9415200000000001E-4</v>
      </c>
      <c r="D29">
        <f t="shared" si="2"/>
        <v>106.02807360675483</v>
      </c>
      <c r="E29">
        <f t="shared" si="3"/>
        <v>106.01983312218775</v>
      </c>
      <c r="G29">
        <v>8.5424700000000004E-4</v>
      </c>
      <c r="H29">
        <v>1.8835100000000001E-4</v>
      </c>
      <c r="I29">
        <f t="shared" si="4"/>
        <v>106.85727795373691</v>
      </c>
      <c r="J29">
        <f t="shared" si="5"/>
        <v>105.34643608215133</v>
      </c>
      <c r="L29" s="4">
        <v>1.03516E-3</v>
      </c>
      <c r="M29" s="4">
        <v>1.93482E-4</v>
      </c>
      <c r="N29" s="3">
        <f t="shared" si="6"/>
        <v>106.14304024609076</v>
      </c>
      <c r="O29" s="3">
        <f t="shared" si="7"/>
        <v>105.53985795795468</v>
      </c>
      <c r="Q29">
        <f t="shared" si="0"/>
        <v>9.2615433333333337E-4</v>
      </c>
      <c r="R29">
        <f t="shared" si="1"/>
        <v>1.9199500000000001E-4</v>
      </c>
      <c r="T29">
        <f t="shared" si="8"/>
        <v>106.34279726886085</v>
      </c>
      <c r="U29">
        <f t="shared" si="9"/>
        <v>105.63537572076457</v>
      </c>
      <c r="W29">
        <f t="shared" si="10"/>
        <v>0.36680795463290888</v>
      </c>
      <c r="X29">
        <f t="shared" si="11"/>
        <v>0.2830884733808024</v>
      </c>
    </row>
    <row r="30" spans="1:24" x14ac:dyDescent="0.35">
      <c r="A30">
        <v>173.85</v>
      </c>
      <c r="B30">
        <v>8.8986999999999996E-4</v>
      </c>
      <c r="C30">
        <v>1.9332900000000001E-4</v>
      </c>
      <c r="D30">
        <f t="shared" si="2"/>
        <v>106.12515056469213</v>
      </c>
      <c r="E30">
        <f t="shared" si="3"/>
        <v>105.5704206893539</v>
      </c>
      <c r="G30">
        <v>8.5972299999999995E-4</v>
      </c>
      <c r="H30">
        <v>1.9341399999999999E-4</v>
      </c>
      <c r="I30">
        <f t="shared" si="4"/>
        <v>107.54226772142081</v>
      </c>
      <c r="J30">
        <f t="shared" si="5"/>
        <v>108.17821826479931</v>
      </c>
      <c r="L30" s="4">
        <v>1.03859E-3</v>
      </c>
      <c r="M30" s="4">
        <v>1.9261899999999999E-4</v>
      </c>
      <c r="N30" s="3">
        <f t="shared" si="6"/>
        <v>106.49474493719559</v>
      </c>
      <c r="O30" s="3">
        <f t="shared" si="7"/>
        <v>105.0691118553833</v>
      </c>
      <c r="Q30">
        <f t="shared" si="0"/>
        <v>9.2939433333333321E-4</v>
      </c>
      <c r="R30">
        <f t="shared" si="1"/>
        <v>1.9312066666666664E-4</v>
      </c>
      <c r="T30">
        <f t="shared" si="8"/>
        <v>106.72072107443618</v>
      </c>
      <c r="U30">
        <f t="shared" si="9"/>
        <v>106.27258360317883</v>
      </c>
      <c r="W30">
        <f t="shared" si="10"/>
        <v>0.60019672881776964</v>
      </c>
      <c r="X30">
        <f t="shared" si="11"/>
        <v>1.362940506021517</v>
      </c>
    </row>
    <row r="31" spans="1:24" x14ac:dyDescent="0.35">
      <c r="A31">
        <v>179.93600000000001</v>
      </c>
      <c r="B31">
        <v>8.9346100000000002E-4</v>
      </c>
      <c r="C31">
        <v>1.9663800000000001E-4</v>
      </c>
      <c r="D31">
        <f t="shared" si="2"/>
        <v>106.55341021573983</v>
      </c>
      <c r="E31">
        <f t="shared" si="3"/>
        <v>107.37735354506137</v>
      </c>
      <c r="G31">
        <v>8.5992800000000004E-4</v>
      </c>
      <c r="H31">
        <v>1.9260100000000001E-4</v>
      </c>
      <c r="I31">
        <f t="shared" si="4"/>
        <v>107.56791105640534</v>
      </c>
      <c r="J31">
        <f t="shared" si="5"/>
        <v>107.7234999328829</v>
      </c>
      <c r="L31" s="4">
        <v>1.0392400000000001E-3</v>
      </c>
      <c r="M31" s="4">
        <v>1.9381199999999999E-4</v>
      </c>
      <c r="N31" s="3">
        <f t="shared" si="6"/>
        <v>106.56139451422713</v>
      </c>
      <c r="O31" s="3">
        <f t="shared" si="7"/>
        <v>105.71986515824267</v>
      </c>
      <c r="Q31">
        <f t="shared" si="0"/>
        <v>9.3087633333333345E-4</v>
      </c>
      <c r="R31">
        <f t="shared" si="1"/>
        <v>1.9435033333333333E-4</v>
      </c>
      <c r="T31">
        <f t="shared" si="8"/>
        <v>106.89423859545742</v>
      </c>
      <c r="U31">
        <f t="shared" si="9"/>
        <v>106.94023954539564</v>
      </c>
      <c r="W31">
        <f t="shared" si="10"/>
        <v>0.4763695174513769</v>
      </c>
      <c r="X31">
        <f t="shared" si="11"/>
        <v>0.87442917154172739</v>
      </c>
    </row>
    <row r="32" spans="1:24" x14ac:dyDescent="0.35">
      <c r="A32">
        <v>193.119</v>
      </c>
      <c r="B32">
        <v>1.3663900000000001E-6</v>
      </c>
      <c r="C32">
        <v>2.3139400000000001E-5</v>
      </c>
      <c r="D32">
        <f t="shared" si="2"/>
        <v>0.16295452648149694</v>
      </c>
      <c r="E32">
        <f t="shared" si="3"/>
        <v>12.635642829059455</v>
      </c>
      <c r="G32">
        <v>1.43776E-6</v>
      </c>
      <c r="H32">
        <v>2.3368200000000001E-5</v>
      </c>
      <c r="I32">
        <f t="shared" si="4"/>
        <v>0.17984859174309631</v>
      </c>
      <c r="J32">
        <f t="shared" si="5"/>
        <v>13.0700478768625</v>
      </c>
      <c r="L32" s="4">
        <v>1.1923800000000001E-6</v>
      </c>
      <c r="M32" s="4">
        <v>2.6785199999999999E-5</v>
      </c>
      <c r="N32" s="3">
        <f t="shared" si="6"/>
        <v>0.12226403486285568</v>
      </c>
      <c r="O32" s="3">
        <f t="shared" si="7"/>
        <v>14.610693518649837</v>
      </c>
      <c r="Q32">
        <f t="shared" si="0"/>
        <v>1.3321766666666668E-6</v>
      </c>
      <c r="R32">
        <f t="shared" si="1"/>
        <v>2.4430933333333334E-5</v>
      </c>
      <c r="T32">
        <f t="shared" si="8"/>
        <v>0.15502238436248297</v>
      </c>
      <c r="U32">
        <f t="shared" si="9"/>
        <v>13.43879474152393</v>
      </c>
      <c r="W32">
        <f t="shared" si="10"/>
        <v>2.4168636104403153E-2</v>
      </c>
      <c r="X32">
        <f t="shared" si="11"/>
        <v>0.84742236390168824</v>
      </c>
    </row>
    <row r="33" spans="1:24" x14ac:dyDescent="0.35">
      <c r="A33">
        <v>199.374</v>
      </c>
      <c r="B33">
        <v>1.3310099999999999E-6</v>
      </c>
      <c r="C33">
        <v>2.2898700000000002E-5</v>
      </c>
      <c r="D33">
        <f t="shared" si="2"/>
        <v>0.15873513732692512</v>
      </c>
      <c r="E33">
        <f t="shared" si="3"/>
        <v>12.504204709274388</v>
      </c>
      <c r="G33">
        <v>1.41506E-6</v>
      </c>
      <c r="H33">
        <v>2.3156E-5</v>
      </c>
      <c r="I33">
        <f t="shared" si="4"/>
        <v>0.17700906147895745</v>
      </c>
      <c r="J33">
        <f t="shared" si="5"/>
        <v>12.951362477068326</v>
      </c>
      <c r="L33" s="4">
        <v>1.1319600000000001E-6</v>
      </c>
      <c r="M33" s="4">
        <v>2.65834E-5</v>
      </c>
      <c r="N33" s="3">
        <f t="shared" si="6"/>
        <v>0.1160687003332479</v>
      </c>
      <c r="O33" s="3">
        <f t="shared" si="7"/>
        <v>14.500616388291895</v>
      </c>
      <c r="Q33">
        <f t="shared" si="0"/>
        <v>1.2926766666666666E-6</v>
      </c>
      <c r="R33">
        <f t="shared" si="1"/>
        <v>2.4212699999999999E-5</v>
      </c>
      <c r="T33">
        <f t="shared" si="8"/>
        <v>0.15060429971304348</v>
      </c>
      <c r="U33">
        <f t="shared" si="9"/>
        <v>13.318727858211536</v>
      </c>
      <c r="W33">
        <f t="shared" si="10"/>
        <v>2.553448379962367E-2</v>
      </c>
      <c r="X33">
        <f t="shared" si="11"/>
        <v>0.85542694621896187</v>
      </c>
    </row>
    <row r="34" spans="1:24" x14ac:dyDescent="0.35">
      <c r="A34">
        <v>205.643</v>
      </c>
      <c r="B34">
        <v>1.2971499999999999E-6</v>
      </c>
      <c r="C34">
        <v>2.2648400000000002E-5</v>
      </c>
      <c r="D34">
        <f t="shared" si="2"/>
        <v>0.15469702209872274</v>
      </c>
      <c r="E34">
        <f t="shared" si="3"/>
        <v>12.367524354549824</v>
      </c>
      <c r="G34">
        <v>1.38483E-6</v>
      </c>
      <c r="H34">
        <v>2.2930900000000001E-5</v>
      </c>
      <c r="I34">
        <f t="shared" si="4"/>
        <v>0.17322760773953375</v>
      </c>
      <c r="J34">
        <f t="shared" si="5"/>
        <v>12.825461989350757</v>
      </c>
      <c r="L34" s="4">
        <v>1.09054E-6</v>
      </c>
      <c r="M34" s="4">
        <v>2.6259500000000002E-5</v>
      </c>
      <c r="N34" s="3">
        <f t="shared" si="6"/>
        <v>0.11182158420917714</v>
      </c>
      <c r="O34" s="3">
        <f t="shared" si="7"/>
        <v>14.323936593827389</v>
      </c>
      <c r="Q34">
        <f t="shared" si="0"/>
        <v>1.2575066666666669E-6</v>
      </c>
      <c r="R34">
        <f t="shared" si="1"/>
        <v>2.3946266666666668E-5</v>
      </c>
      <c r="T34">
        <f t="shared" si="8"/>
        <v>0.14658207134914455</v>
      </c>
      <c r="U34">
        <f t="shared" si="9"/>
        <v>13.172307645909322</v>
      </c>
      <c r="W34">
        <f t="shared" si="10"/>
        <v>2.5717234826781461E-2</v>
      </c>
      <c r="X34">
        <f t="shared" si="11"/>
        <v>0.83550928365236066</v>
      </c>
    </row>
    <row r="35" spans="1:24" x14ac:dyDescent="0.35">
      <c r="A35">
        <v>211.75800000000001</v>
      </c>
      <c r="B35">
        <v>1.2562299999999999E-6</v>
      </c>
      <c r="C35">
        <v>2.24856E-5</v>
      </c>
      <c r="D35">
        <f t="shared" si="2"/>
        <v>0.14981693718619932</v>
      </c>
      <c r="E35">
        <f t="shared" si="3"/>
        <v>12.278624787034206</v>
      </c>
      <c r="G35">
        <v>1.3615800000000001E-6</v>
      </c>
      <c r="H35">
        <v>2.2851199999999999E-5</v>
      </c>
      <c r="I35">
        <f t="shared" si="4"/>
        <v>0.17031927828397303</v>
      </c>
      <c r="J35">
        <f t="shared" si="5"/>
        <v>12.780885050785271</v>
      </c>
      <c r="L35" s="4">
        <v>1.04076E-6</v>
      </c>
      <c r="M35" s="4">
        <v>2.6015400000000002E-5</v>
      </c>
      <c r="N35" s="3">
        <f t="shared" si="6"/>
        <v>0.10671725198667008</v>
      </c>
      <c r="O35" s="3">
        <f t="shared" si="7"/>
        <v>14.190785813250711</v>
      </c>
      <c r="Q35">
        <f t="shared" si="0"/>
        <v>1.2195233333333333E-6</v>
      </c>
      <c r="R35">
        <f t="shared" si="1"/>
        <v>2.3784066666666668E-5</v>
      </c>
      <c r="T35">
        <f t="shared" si="8"/>
        <v>0.14228448915228081</v>
      </c>
      <c r="U35">
        <f t="shared" si="9"/>
        <v>13.083431883690062</v>
      </c>
      <c r="W35">
        <f t="shared" si="10"/>
        <v>2.6506071849275895E-2</v>
      </c>
      <c r="X35">
        <f t="shared" si="11"/>
        <v>0.80941991043828421</v>
      </c>
    </row>
    <row r="36" spans="1:24" x14ac:dyDescent="0.35">
      <c r="A36">
        <v>218.077</v>
      </c>
      <c r="B36">
        <v>1.2242399999999999E-6</v>
      </c>
      <c r="C36">
        <v>2.2370399999999998E-5</v>
      </c>
      <c r="D36">
        <f t="shared" si="2"/>
        <v>0.14600183659109611</v>
      </c>
      <c r="E36">
        <f t="shared" si="3"/>
        <v>12.215717967760254</v>
      </c>
      <c r="G36">
        <v>1.3397000000000001E-6</v>
      </c>
      <c r="H36">
        <v>2.2720600000000001E-5</v>
      </c>
      <c r="I36">
        <f t="shared" si="4"/>
        <v>0.16758232135977222</v>
      </c>
      <c r="J36">
        <f t="shared" si="5"/>
        <v>12.707839276925142</v>
      </c>
      <c r="L36" s="4">
        <v>1.0018699999999999E-6</v>
      </c>
      <c r="M36" s="4">
        <v>2.58494E-5</v>
      </c>
      <c r="N36" s="3">
        <f t="shared" si="6"/>
        <v>0.1027295565239682</v>
      </c>
      <c r="O36" s="3">
        <f t="shared" si="7"/>
        <v>14.100236736742197</v>
      </c>
      <c r="Q36">
        <f t="shared" si="0"/>
        <v>1.1886033333333331E-6</v>
      </c>
      <c r="R36">
        <f t="shared" si="1"/>
        <v>2.3646799999999999E-5</v>
      </c>
      <c r="T36">
        <f t="shared" si="8"/>
        <v>0.13877123815827885</v>
      </c>
      <c r="U36">
        <f t="shared" si="9"/>
        <v>13.007931327142531</v>
      </c>
      <c r="W36">
        <f t="shared" si="10"/>
        <v>2.69651805357022E-2</v>
      </c>
      <c r="X36">
        <f t="shared" si="11"/>
        <v>0.7980785995602443</v>
      </c>
    </row>
    <row r="37" spans="1:24" x14ac:dyDescent="0.35">
      <c r="A37">
        <v>224.21</v>
      </c>
      <c r="B37">
        <v>1.1997299999999999E-6</v>
      </c>
      <c r="C37">
        <v>2.2293399999999999E-5</v>
      </c>
      <c r="D37">
        <f t="shared" si="2"/>
        <v>0.14307879452838962</v>
      </c>
      <c r="E37">
        <f t="shared" si="3"/>
        <v>12.173670875016381</v>
      </c>
      <c r="G37">
        <v>1.3193499999999999E-6</v>
      </c>
      <c r="H37">
        <v>2.26027E-5</v>
      </c>
      <c r="I37">
        <f t="shared" si="4"/>
        <v>0.16503675127716316</v>
      </c>
      <c r="J37">
        <f t="shared" si="5"/>
        <v>12.641896729160143</v>
      </c>
      <c r="L37" s="4">
        <v>9.80739E-7</v>
      </c>
      <c r="M37" s="4">
        <v>2.57211E-5</v>
      </c>
      <c r="N37" s="3">
        <f t="shared" si="6"/>
        <v>0.10056283004357858</v>
      </c>
      <c r="O37" s="3">
        <f t="shared" si="7"/>
        <v>14.030252119175676</v>
      </c>
      <c r="Q37">
        <f t="shared" si="0"/>
        <v>1.1666063333333331E-6</v>
      </c>
      <c r="R37">
        <f t="shared" si="1"/>
        <v>2.3539066666666663E-5</v>
      </c>
      <c r="T37">
        <f t="shared" si="8"/>
        <v>0.13622612528304379</v>
      </c>
      <c r="U37">
        <f t="shared" si="9"/>
        <v>12.948606574450734</v>
      </c>
      <c r="W37">
        <f t="shared" si="10"/>
        <v>2.6763668615596464E-2</v>
      </c>
      <c r="X37">
        <f t="shared" si="11"/>
        <v>0.78836399204921115</v>
      </c>
    </row>
    <row r="38" spans="1:24" x14ac:dyDescent="0.35">
      <c r="A38">
        <v>230.48099999999999</v>
      </c>
      <c r="B38">
        <v>1.18749E-6</v>
      </c>
      <c r="C38">
        <v>2.2264199999999999E-5</v>
      </c>
      <c r="D38">
        <f t="shared" si="2"/>
        <v>0.1416190623844677</v>
      </c>
      <c r="E38">
        <f t="shared" si="3"/>
        <v>12.15772574374208</v>
      </c>
      <c r="G38">
        <v>1.2964199999999999E-6</v>
      </c>
      <c r="H38">
        <v>2.25409E-5</v>
      </c>
      <c r="I38">
        <f t="shared" si="4"/>
        <v>0.16216845044206607</v>
      </c>
      <c r="J38">
        <f t="shared" si="5"/>
        <v>12.6073314242248</v>
      </c>
      <c r="L38" s="4">
        <v>9.6572100000000008E-7</v>
      </c>
      <c r="M38" s="4">
        <v>2.5624699999999999E-5</v>
      </c>
      <c r="N38" s="3">
        <f t="shared" si="6"/>
        <v>9.9022917200717778E-2</v>
      </c>
      <c r="O38" s="3">
        <f t="shared" si="7"/>
        <v>13.977668197636994</v>
      </c>
      <c r="Q38">
        <f t="shared" si="0"/>
        <v>1.149877E-6</v>
      </c>
      <c r="R38">
        <f t="shared" si="1"/>
        <v>2.3476600000000002E-5</v>
      </c>
      <c r="T38">
        <f t="shared" si="8"/>
        <v>0.13427014334241719</v>
      </c>
      <c r="U38">
        <f t="shared" si="9"/>
        <v>12.914241788534625</v>
      </c>
      <c r="W38">
        <f t="shared" si="10"/>
        <v>2.6297586079315521E-2</v>
      </c>
      <c r="X38">
        <f t="shared" si="11"/>
        <v>0.77403407016437908</v>
      </c>
    </row>
    <row r="39" spans="1:24" x14ac:dyDescent="0.35">
      <c r="A39">
        <v>236.60900000000001</v>
      </c>
      <c r="B39">
        <v>1.1760799999999999E-6</v>
      </c>
      <c r="C39">
        <v>2.2237499999999998E-5</v>
      </c>
      <c r="D39">
        <f t="shared" si="2"/>
        <v>0.14025831534507638</v>
      </c>
      <c r="E39">
        <f t="shared" si="3"/>
        <v>12.143145777816608</v>
      </c>
      <c r="G39">
        <v>1.2735200000000001E-6</v>
      </c>
      <c r="H39">
        <v>2.2529300000000001E-5</v>
      </c>
      <c r="I39">
        <f t="shared" si="4"/>
        <v>0.15930390229013744</v>
      </c>
      <c r="J39">
        <f t="shared" si="5"/>
        <v>12.600843438185155</v>
      </c>
      <c r="L39" s="4">
        <v>9.5870200000000008E-7</v>
      </c>
      <c r="M39" s="4">
        <v>2.5554999999999998E-5</v>
      </c>
      <c r="N39" s="3">
        <f t="shared" si="6"/>
        <v>9.8303204306588066E-2</v>
      </c>
      <c r="O39" s="3">
        <f t="shared" si="7"/>
        <v>13.93964849503071</v>
      </c>
      <c r="Q39">
        <f t="shared" si="0"/>
        <v>1.1361006666666669E-6</v>
      </c>
      <c r="R39">
        <f t="shared" si="1"/>
        <v>2.3440599999999997E-5</v>
      </c>
      <c r="T39">
        <f t="shared" si="8"/>
        <v>0.13262180731393397</v>
      </c>
      <c r="U39">
        <f t="shared" si="9"/>
        <v>12.894545903677491</v>
      </c>
      <c r="W39">
        <f t="shared" si="10"/>
        <v>2.5482130729883715E-2</v>
      </c>
      <c r="X39">
        <f t="shared" si="11"/>
        <v>0.7622560186344306</v>
      </c>
    </row>
    <row r="40" spans="1:24" x14ac:dyDescent="0.35">
      <c r="A40">
        <v>242.952</v>
      </c>
      <c r="B40">
        <v>1.1624099999999999E-6</v>
      </c>
      <c r="C40">
        <v>2.2217399999999998E-5</v>
      </c>
      <c r="D40">
        <f t="shared" si="2"/>
        <v>0.1386280425993727</v>
      </c>
      <c r="E40">
        <f t="shared" si="3"/>
        <v>12.132169848412037</v>
      </c>
      <c r="G40">
        <v>1.2462E-6</v>
      </c>
      <c r="H40">
        <v>2.2469399999999999E-5</v>
      </c>
      <c r="I40">
        <f t="shared" si="4"/>
        <v>0.15588645881805491</v>
      </c>
      <c r="J40">
        <f t="shared" si="5"/>
        <v>12.567340820618373</v>
      </c>
      <c r="L40" s="4">
        <v>9.3897399999999995E-7</v>
      </c>
      <c r="M40" s="4">
        <v>2.54798E-5</v>
      </c>
      <c r="N40" s="3">
        <f t="shared" si="6"/>
        <v>9.628033837477569E-2</v>
      </c>
      <c r="O40" s="3">
        <f t="shared" si="7"/>
        <v>13.898628672419623</v>
      </c>
      <c r="Q40">
        <f t="shared" si="0"/>
        <v>1.1158613333333333E-6</v>
      </c>
      <c r="R40">
        <f t="shared" si="1"/>
        <v>2.3388866666666666E-5</v>
      </c>
      <c r="T40">
        <f t="shared" si="8"/>
        <v>0.13026494659740109</v>
      </c>
      <c r="U40">
        <f t="shared" si="9"/>
        <v>12.866046447150012</v>
      </c>
      <c r="W40">
        <f t="shared" si="10"/>
        <v>2.50423432027745E-2</v>
      </c>
      <c r="X40">
        <f t="shared" si="11"/>
        <v>0.75144881516521556</v>
      </c>
    </row>
    <row r="41" spans="1:24" x14ac:dyDescent="0.35">
      <c r="A41">
        <v>249.15899999999999</v>
      </c>
      <c r="B41">
        <v>1.14308E-6</v>
      </c>
      <c r="C41">
        <v>2.2172699999999999E-5</v>
      </c>
      <c r="D41">
        <f t="shared" si="2"/>
        <v>0.13632276299626719</v>
      </c>
      <c r="E41">
        <f t="shared" si="3"/>
        <v>12.10776069197501</v>
      </c>
      <c r="G41">
        <v>1.2277600000000001E-6</v>
      </c>
      <c r="H41">
        <v>2.2401699999999999E-5</v>
      </c>
      <c r="I41">
        <f t="shared" si="4"/>
        <v>0.15357980956383815</v>
      </c>
      <c r="J41">
        <f t="shared" si="5"/>
        <v>12.529475591749073</v>
      </c>
      <c r="L41" s="4">
        <v>9.1834199999999995E-7</v>
      </c>
      <c r="M41" s="4">
        <v>2.5386500000000002E-5</v>
      </c>
      <c r="N41" s="3">
        <f t="shared" si="6"/>
        <v>9.4164778261984106E-2</v>
      </c>
      <c r="O41" s="3">
        <f t="shared" si="7"/>
        <v>13.847735727610921</v>
      </c>
      <c r="Q41">
        <f t="shared" si="0"/>
        <v>1.096394E-6</v>
      </c>
      <c r="R41">
        <f t="shared" si="1"/>
        <v>2.3320299999999998E-5</v>
      </c>
      <c r="T41">
        <f t="shared" si="8"/>
        <v>0.12802245027402981</v>
      </c>
      <c r="U41">
        <f t="shared" si="9"/>
        <v>12.828324003778334</v>
      </c>
      <c r="W41">
        <f t="shared" si="10"/>
        <v>2.4956066458415551E-2</v>
      </c>
      <c r="X41">
        <f t="shared" si="11"/>
        <v>0.74110775698200881</v>
      </c>
    </row>
    <row r="42" spans="1:24" x14ac:dyDescent="0.35">
      <c r="A42">
        <v>262.24700000000001</v>
      </c>
      <c r="B42">
        <v>6.68057E-4</v>
      </c>
      <c r="C42">
        <v>1.9441099999999999E-4</v>
      </c>
      <c r="D42">
        <f t="shared" si="2"/>
        <v>79.671918045103823</v>
      </c>
      <c r="E42">
        <f t="shared" si="3"/>
        <v>106.16126425232623</v>
      </c>
      <c r="G42">
        <v>6.4502099999999996E-4</v>
      </c>
      <c r="H42">
        <v>1.84382E-4</v>
      </c>
      <c r="I42">
        <f t="shared" si="4"/>
        <v>80.68531500022516</v>
      </c>
      <c r="J42">
        <f t="shared" si="5"/>
        <v>103.12653810013872</v>
      </c>
      <c r="L42" s="4">
        <v>7.6083100000000001E-4</v>
      </c>
      <c r="M42" s="4">
        <v>1.8900199999999999E-4</v>
      </c>
      <c r="N42" s="3">
        <f t="shared" si="6"/>
        <v>78.013945142271211</v>
      </c>
      <c r="O42" s="3">
        <f t="shared" si="7"/>
        <v>103.09612384495379</v>
      </c>
      <c r="Q42">
        <f t="shared" si="0"/>
        <v>6.9130299999999999E-4</v>
      </c>
      <c r="R42">
        <f t="shared" si="1"/>
        <v>1.8926499999999998E-4</v>
      </c>
      <c r="T42">
        <f t="shared" si="8"/>
        <v>79.457059395866736</v>
      </c>
      <c r="U42">
        <f t="shared" si="9"/>
        <v>104.12797539913959</v>
      </c>
      <c r="W42">
        <f t="shared" si="10"/>
        <v>1.1011138024322509</v>
      </c>
      <c r="X42">
        <f t="shared" si="11"/>
        <v>1.4378059505370051</v>
      </c>
    </row>
    <row r="43" spans="1:24" x14ac:dyDescent="0.35">
      <c r="A43">
        <v>268.46699999999998</v>
      </c>
      <c r="B43">
        <v>6.8596200000000003E-4</v>
      </c>
      <c r="C43">
        <v>1.94725E-4</v>
      </c>
      <c r="D43">
        <f t="shared" si="2"/>
        <v>81.807253342238013</v>
      </c>
      <c r="E43">
        <f t="shared" si="3"/>
        <v>106.3327290201389</v>
      </c>
      <c r="G43">
        <v>6.6710499999999998E-4</v>
      </c>
      <c r="H43">
        <v>1.86756E-4</v>
      </c>
      <c r="I43">
        <f t="shared" si="4"/>
        <v>83.447790169971526</v>
      </c>
      <c r="J43">
        <f t="shared" si="5"/>
        <v>104.45433800170029</v>
      </c>
      <c r="L43" s="4">
        <v>7.8450000000000004E-4</v>
      </c>
      <c r="M43" s="4">
        <v>1.9578600000000001E-4</v>
      </c>
      <c r="N43" s="3">
        <f t="shared" si="6"/>
        <v>80.440912586516276</v>
      </c>
      <c r="O43" s="3">
        <f t="shared" si="7"/>
        <v>106.79663550178371</v>
      </c>
      <c r="Q43">
        <f t="shared" si="0"/>
        <v>7.1252233333333331E-4</v>
      </c>
      <c r="R43">
        <f t="shared" si="1"/>
        <v>1.9242233333333333E-4</v>
      </c>
      <c r="T43">
        <f t="shared" si="8"/>
        <v>81.898652032908601</v>
      </c>
      <c r="U43">
        <f t="shared" si="9"/>
        <v>105.86123417454097</v>
      </c>
      <c r="W43">
        <f t="shared" si="10"/>
        <v>1.2292527515971221</v>
      </c>
      <c r="X43">
        <f t="shared" si="11"/>
        <v>1.012692759196431</v>
      </c>
    </row>
    <row r="44" spans="1:24" x14ac:dyDescent="0.35">
      <c r="A44">
        <v>274.76</v>
      </c>
      <c r="B44">
        <v>7.0168499999999996E-4</v>
      </c>
      <c r="C44">
        <v>1.9075900000000001E-4</v>
      </c>
      <c r="D44">
        <f t="shared" si="2"/>
        <v>83.68236514770247</v>
      </c>
      <c r="E44">
        <f t="shared" si="3"/>
        <v>104.16703071075968</v>
      </c>
      <c r="G44">
        <v>6.81312E-4</v>
      </c>
      <c r="H44">
        <v>1.8779300000000001E-4</v>
      </c>
      <c r="I44">
        <f t="shared" si="4"/>
        <v>85.224935829117825</v>
      </c>
      <c r="J44">
        <f t="shared" si="5"/>
        <v>105.03434158127882</v>
      </c>
      <c r="L44" s="4">
        <v>8.0132900000000004E-4</v>
      </c>
      <c r="M44" s="4">
        <v>1.95634E-4</v>
      </c>
      <c r="N44" s="3">
        <f t="shared" si="6"/>
        <v>82.166521404768005</v>
      </c>
      <c r="O44" s="3">
        <f t="shared" si="7"/>
        <v>106.71372309437832</v>
      </c>
      <c r="Q44">
        <f t="shared" si="0"/>
        <v>7.2810866666666663E-4</v>
      </c>
      <c r="R44">
        <f t="shared" si="1"/>
        <v>1.9139533333333331E-4</v>
      </c>
      <c r="T44">
        <f t="shared" si="8"/>
        <v>83.691274127196095</v>
      </c>
      <c r="U44">
        <f t="shared" si="9"/>
        <v>105.30503179547229</v>
      </c>
      <c r="W44">
        <f t="shared" si="10"/>
        <v>1.2486083520475837</v>
      </c>
      <c r="X44">
        <f t="shared" si="11"/>
        <v>1.0571551189364723</v>
      </c>
    </row>
    <row r="45" spans="1:24" x14ac:dyDescent="0.35">
      <c r="A45">
        <v>280.99099999999999</v>
      </c>
      <c r="B45">
        <v>7.1544600000000001E-4</v>
      </c>
      <c r="C45">
        <v>1.8535200000000001E-4</v>
      </c>
      <c r="D45">
        <f t="shared" si="2"/>
        <v>85.3234904771559</v>
      </c>
      <c r="E45">
        <f t="shared" si="3"/>
        <v>101.21445109431654</v>
      </c>
      <c r="G45">
        <v>6.9162499999999997E-4</v>
      </c>
      <c r="H45">
        <v>1.8642499999999999E-4</v>
      </c>
      <c r="I45">
        <f t="shared" si="4"/>
        <v>86.514983212997294</v>
      </c>
      <c r="J45">
        <f t="shared" si="5"/>
        <v>104.26920667591391</v>
      </c>
      <c r="L45" s="4">
        <v>8.14348E-4</v>
      </c>
      <c r="M45" s="4">
        <v>1.9251000000000001E-4</v>
      </c>
      <c r="N45" s="3">
        <f t="shared" si="6"/>
        <v>83.501461163804152</v>
      </c>
      <c r="O45" s="3">
        <f t="shared" si="7"/>
        <v>105.00965493165182</v>
      </c>
      <c r="Q45">
        <f t="shared" si="0"/>
        <v>7.4047300000000006E-4</v>
      </c>
      <c r="R45">
        <f t="shared" si="1"/>
        <v>1.8809566666666666E-4</v>
      </c>
      <c r="T45">
        <f t="shared" si="8"/>
        <v>85.113311617985786</v>
      </c>
      <c r="U45">
        <f t="shared" si="9"/>
        <v>103.49777090062742</v>
      </c>
      <c r="W45">
        <f t="shared" si="10"/>
        <v>1.23920946571456</v>
      </c>
      <c r="X45">
        <f t="shared" si="11"/>
        <v>1.6426052291558062</v>
      </c>
    </row>
    <row r="46" spans="1:24" x14ac:dyDescent="0.35">
      <c r="A46">
        <v>287.21100000000001</v>
      </c>
      <c r="B46">
        <v>7.28646E-4</v>
      </c>
      <c r="C46">
        <v>1.85365E-4</v>
      </c>
      <c r="D46">
        <f t="shared" si="2"/>
        <v>86.897711416679584</v>
      </c>
      <c r="E46">
        <f t="shared" si="3"/>
        <v>101.22154995413044</v>
      </c>
      <c r="G46">
        <v>7.0294499999999996E-4</v>
      </c>
      <c r="H46">
        <v>1.8812500000000001E-4</v>
      </c>
      <c r="I46">
        <f t="shared" si="4"/>
        <v>87.930995661898251</v>
      </c>
      <c r="J46">
        <f t="shared" si="5"/>
        <v>105.22003221620655</v>
      </c>
      <c r="L46" s="4">
        <v>8.2665799999999997E-4</v>
      </c>
      <c r="M46" s="4">
        <v>1.9090099999999999E-4</v>
      </c>
      <c r="N46" s="3">
        <f t="shared" si="6"/>
        <v>84.763701614970515</v>
      </c>
      <c r="O46" s="3">
        <f t="shared" si="7"/>
        <v>104.13198346115662</v>
      </c>
      <c r="Q46">
        <f t="shared" si="0"/>
        <v>7.5274966666666668E-4</v>
      </c>
      <c r="R46">
        <f t="shared" si="1"/>
        <v>1.8813033333333335E-4</v>
      </c>
      <c r="T46">
        <f t="shared" si="8"/>
        <v>86.530802897849455</v>
      </c>
      <c r="U46">
        <f t="shared" si="9"/>
        <v>103.52452187716453</v>
      </c>
      <c r="W46">
        <f t="shared" si="10"/>
        <v>1.3188136817656899</v>
      </c>
      <c r="X46">
        <f t="shared" si="11"/>
        <v>1.6879419978292995</v>
      </c>
    </row>
    <row r="47" spans="1:24" x14ac:dyDescent="0.35">
      <c r="A47">
        <v>293.38900000000001</v>
      </c>
      <c r="B47">
        <v>7.3623600000000003E-4</v>
      </c>
      <c r="C47">
        <v>1.8127599999999999E-4</v>
      </c>
      <c r="D47">
        <f t="shared" si="2"/>
        <v>87.802888456905706</v>
      </c>
      <c r="E47">
        <f t="shared" si="3"/>
        <v>98.988685509588919</v>
      </c>
      <c r="G47">
        <v>7.1093600000000001E-4</v>
      </c>
      <c r="H47">
        <v>1.8874399999999999E-4</v>
      </c>
      <c r="I47">
        <f t="shared" si="4"/>
        <v>88.930585368538502</v>
      </c>
      <c r="J47">
        <f t="shared" si="5"/>
        <v>105.56624457470134</v>
      </c>
      <c r="L47" s="4">
        <v>8.3711199999999999E-4</v>
      </c>
      <c r="M47" s="4">
        <v>1.90051E-4</v>
      </c>
      <c r="N47" s="3">
        <f t="shared" si="6"/>
        <v>85.835631889259162</v>
      </c>
      <c r="O47" s="3">
        <f t="shared" si="7"/>
        <v>103.66832855132387</v>
      </c>
      <c r="Q47">
        <f t="shared" si="0"/>
        <v>7.6142800000000008E-4</v>
      </c>
      <c r="R47">
        <f t="shared" si="1"/>
        <v>1.8669033333333334E-4</v>
      </c>
      <c r="T47">
        <f t="shared" si="8"/>
        <v>87.523035238234456</v>
      </c>
      <c r="U47">
        <f t="shared" si="9"/>
        <v>102.74108621187138</v>
      </c>
      <c r="W47">
        <f t="shared" si="10"/>
        <v>1.278911679964992</v>
      </c>
      <c r="X47">
        <f t="shared" si="11"/>
        <v>2.7641640786822159</v>
      </c>
    </row>
    <row r="48" spans="1:24" x14ac:dyDescent="0.35">
      <c r="A48">
        <v>299.65600000000001</v>
      </c>
      <c r="B48">
        <v>7.43285E-4</v>
      </c>
      <c r="C48">
        <v>1.8190900000000001E-4</v>
      </c>
      <c r="D48">
        <f t="shared" si="2"/>
        <v>88.643546290443766</v>
      </c>
      <c r="E48">
        <f t="shared" si="3"/>
        <v>99.334345375911923</v>
      </c>
      <c r="G48">
        <v>7.18737E-4</v>
      </c>
      <c r="H48">
        <v>1.9080099999999999E-4</v>
      </c>
      <c r="I48">
        <f t="shared" si="4"/>
        <v>89.906408081778466</v>
      </c>
      <c r="J48">
        <f t="shared" si="5"/>
        <v>106.71674347845541</v>
      </c>
      <c r="L48" s="4">
        <v>8.4509899999999998E-4</v>
      </c>
      <c r="M48" s="4">
        <v>1.84771E-4</v>
      </c>
      <c r="N48" s="3">
        <f t="shared" si="6"/>
        <v>86.654601384260445</v>
      </c>
      <c r="O48" s="3">
        <f t="shared" si="7"/>
        <v>100.78821334671568</v>
      </c>
      <c r="Q48">
        <f t="shared" si="0"/>
        <v>7.6904033333333318E-4</v>
      </c>
      <c r="R48">
        <f t="shared" si="1"/>
        <v>1.8582699999999998E-4</v>
      </c>
      <c r="T48">
        <f t="shared" si="8"/>
        <v>88.40151858549423</v>
      </c>
      <c r="U48">
        <f t="shared" si="9"/>
        <v>102.279767400361</v>
      </c>
      <c r="W48">
        <f t="shared" si="10"/>
        <v>1.3385302280183091</v>
      </c>
      <c r="X48">
        <f t="shared" si="11"/>
        <v>3.1930654609970843</v>
      </c>
    </row>
    <row r="49" spans="1:24" x14ac:dyDescent="0.35">
      <c r="A49">
        <v>305.76400000000001</v>
      </c>
      <c r="B49">
        <v>7.4849900000000002E-4</v>
      </c>
      <c r="C49">
        <v>1.7957800000000001E-4</v>
      </c>
      <c r="D49">
        <f t="shared" si="2"/>
        <v>89.265363561555617</v>
      </c>
      <c r="E49">
        <f t="shared" si="3"/>
        <v>98.061465204665581</v>
      </c>
      <c r="G49">
        <v>7.2252700000000004E-4</v>
      </c>
      <c r="H49">
        <v>1.8773100000000001E-4</v>
      </c>
      <c r="I49">
        <f t="shared" si="4"/>
        <v>90.380497055394599</v>
      </c>
      <c r="J49">
        <f t="shared" si="5"/>
        <v>104.99966441451521</v>
      </c>
      <c r="L49" s="4">
        <v>8.5070000000000002E-4</v>
      </c>
      <c r="M49" s="4">
        <v>1.8777600000000001E-4</v>
      </c>
      <c r="N49" s="3">
        <f t="shared" si="6"/>
        <v>87.228915662650607</v>
      </c>
      <c r="O49" s="3">
        <f t="shared" si="7"/>
        <v>102.42736982206561</v>
      </c>
      <c r="Q49">
        <f t="shared" si="0"/>
        <v>7.7390866666666666E-4</v>
      </c>
      <c r="R49">
        <f t="shared" si="1"/>
        <v>1.8502833333333335E-4</v>
      </c>
      <c r="T49">
        <f t="shared" si="8"/>
        <v>88.958258759866951</v>
      </c>
      <c r="U49">
        <f t="shared" si="9"/>
        <v>101.8294998137488</v>
      </c>
      <c r="W49">
        <f t="shared" si="10"/>
        <v>1.3048247233984396</v>
      </c>
      <c r="X49">
        <f t="shared" si="11"/>
        <v>2.8638829676999795</v>
      </c>
    </row>
    <row r="50" spans="1:24" x14ac:dyDescent="0.35">
      <c r="A50">
        <v>311.92599999999999</v>
      </c>
      <c r="B50">
        <v>7.52891E-4</v>
      </c>
      <c r="C50">
        <v>1.7879899999999999E-4</v>
      </c>
      <c r="D50">
        <f t="shared" si="2"/>
        <v>89.789149801433496</v>
      </c>
      <c r="E50">
        <f t="shared" si="3"/>
        <v>97.636079681971069</v>
      </c>
      <c r="G50">
        <v>7.2913299999999997E-4</v>
      </c>
      <c r="H50">
        <v>1.9155100000000001E-4</v>
      </c>
      <c r="I50">
        <f t="shared" si="4"/>
        <v>91.206837889090693</v>
      </c>
      <c r="J50">
        <f t="shared" si="5"/>
        <v>107.13622533446687</v>
      </c>
      <c r="L50" s="4">
        <v>8.5711000000000001E-4</v>
      </c>
      <c r="M50" s="4">
        <v>1.8488200000000001E-4</v>
      </c>
      <c r="N50" s="3">
        <f t="shared" si="6"/>
        <v>87.88618302999231</v>
      </c>
      <c r="O50" s="3">
        <f t="shared" si="7"/>
        <v>100.84876122317621</v>
      </c>
      <c r="Q50">
        <f t="shared" si="0"/>
        <v>7.7971133333333336E-4</v>
      </c>
      <c r="R50">
        <f t="shared" si="1"/>
        <v>1.8507733333333334E-4</v>
      </c>
      <c r="T50">
        <f t="shared" si="8"/>
        <v>89.627390240172176</v>
      </c>
      <c r="U50">
        <f t="shared" si="9"/>
        <v>101.87368874653805</v>
      </c>
      <c r="W50">
        <f t="shared" si="10"/>
        <v>1.3604684953005513</v>
      </c>
      <c r="X50">
        <f t="shared" si="11"/>
        <v>3.9455501666026418</v>
      </c>
    </row>
    <row r="51" spans="1:24" x14ac:dyDescent="0.35">
      <c r="A51">
        <v>318.20600000000002</v>
      </c>
      <c r="B51">
        <v>7.5794299999999996E-4</v>
      </c>
      <c r="C51">
        <v>1.80001E-4</v>
      </c>
      <c r="D51">
        <f t="shared" si="2"/>
        <v>90.391647088287556</v>
      </c>
      <c r="E51">
        <f t="shared" si="3"/>
        <v>98.292451181687127</v>
      </c>
      <c r="G51">
        <v>7.31414E-4</v>
      </c>
      <c r="H51">
        <v>1.9014499999999999E-4</v>
      </c>
      <c r="I51">
        <f t="shared" si="4"/>
        <v>91.492166899333014</v>
      </c>
      <c r="J51">
        <f t="shared" si="5"/>
        <v>106.34983668173072</v>
      </c>
      <c r="L51" s="4">
        <v>8.6185099999999996E-4</v>
      </c>
      <c r="M51" s="4">
        <v>1.8508199999999999E-4</v>
      </c>
      <c r="N51" s="3">
        <f t="shared" si="6"/>
        <v>88.372314791079205</v>
      </c>
      <c r="O51" s="3">
        <f t="shared" si="7"/>
        <v>100.95785649607801</v>
      </c>
      <c r="Q51">
        <f t="shared" si="0"/>
        <v>7.8373600000000005E-4</v>
      </c>
      <c r="R51">
        <f t="shared" si="1"/>
        <v>1.8507600000000003E-4</v>
      </c>
      <c r="T51">
        <f t="shared" si="8"/>
        <v>90.085376259566587</v>
      </c>
      <c r="U51">
        <f t="shared" si="9"/>
        <v>101.86671478649862</v>
      </c>
      <c r="W51">
        <f t="shared" si="10"/>
        <v>1.2919547617823166</v>
      </c>
      <c r="X51">
        <f t="shared" si="11"/>
        <v>3.3516048711155171</v>
      </c>
    </row>
    <row r="52" spans="1:24" x14ac:dyDescent="0.35">
      <c r="A52">
        <v>324.48599999999999</v>
      </c>
      <c r="B52">
        <v>7.6245800000000004E-4</v>
      </c>
      <c r="C52">
        <v>1.7996200000000001E-4</v>
      </c>
      <c r="D52">
        <f t="shared" si="2"/>
        <v>90.930102205101917</v>
      </c>
      <c r="E52">
        <f t="shared" si="3"/>
        <v>98.271154602245431</v>
      </c>
      <c r="G52">
        <v>7.3815999999999997E-4</v>
      </c>
      <c r="H52">
        <v>1.9406600000000001E-4</v>
      </c>
      <c r="I52">
        <f t="shared" si="4"/>
        <v>92.336020254481937</v>
      </c>
      <c r="J52">
        <f t="shared" si="5"/>
        <v>108.54288782495863</v>
      </c>
      <c r="L52" s="4">
        <v>8.6320600000000004E-4</v>
      </c>
      <c r="M52" s="4">
        <v>1.8402100000000001E-4</v>
      </c>
      <c r="N52" s="3">
        <f t="shared" si="6"/>
        <v>88.511253524737256</v>
      </c>
      <c r="O52" s="3">
        <f t="shared" si="7"/>
        <v>100.37910607333384</v>
      </c>
      <c r="Q52">
        <f t="shared" si="0"/>
        <v>7.8794133333333339E-4</v>
      </c>
      <c r="R52">
        <f t="shared" si="1"/>
        <v>1.8601633333333335E-4</v>
      </c>
      <c r="T52">
        <f t="shared" si="8"/>
        <v>90.592458661440375</v>
      </c>
      <c r="U52">
        <f t="shared" si="9"/>
        <v>102.39771616684597</v>
      </c>
      <c r="W52">
        <f t="shared" si="10"/>
        <v>1.5796017443589383</v>
      </c>
      <c r="X52">
        <f t="shared" si="11"/>
        <v>4.4296889192409639</v>
      </c>
    </row>
    <row r="53" spans="1:24" x14ac:dyDescent="0.35">
      <c r="A53">
        <v>330.68</v>
      </c>
      <c r="B53">
        <v>7.6604899999999998E-4</v>
      </c>
      <c r="C53">
        <v>1.78293E-4</v>
      </c>
      <c r="D53">
        <f t="shared" si="2"/>
        <v>91.3583618561496</v>
      </c>
      <c r="E53">
        <f t="shared" si="3"/>
        <v>97.359770215368485</v>
      </c>
      <c r="G53">
        <v>7.43609E-4</v>
      </c>
      <c r="H53">
        <v>1.94728E-4</v>
      </c>
      <c r="I53">
        <f t="shared" si="4"/>
        <v>93.017632607314226</v>
      </c>
      <c r="J53">
        <f t="shared" si="5"/>
        <v>108.91315047653138</v>
      </c>
      <c r="L53" s="4">
        <v>8.6842699999999996E-4</v>
      </c>
      <c r="M53" s="4">
        <v>1.83306E-4</v>
      </c>
      <c r="N53" s="3">
        <f t="shared" si="6"/>
        <v>89.046603435016664</v>
      </c>
      <c r="O53" s="3">
        <f t="shared" si="7"/>
        <v>99.989090472709805</v>
      </c>
      <c r="Q53">
        <f t="shared" si="0"/>
        <v>7.9269500000000005E-4</v>
      </c>
      <c r="R53">
        <f t="shared" si="1"/>
        <v>1.8544233333333331E-4</v>
      </c>
      <c r="T53">
        <f t="shared" si="8"/>
        <v>91.140865966160163</v>
      </c>
      <c r="U53">
        <f t="shared" si="9"/>
        <v>102.08733705486988</v>
      </c>
      <c r="W53">
        <f t="shared" si="10"/>
        <v>1.6284443534513318</v>
      </c>
      <c r="X53">
        <f t="shared" si="11"/>
        <v>4.944500507595416</v>
      </c>
    </row>
    <row r="54" spans="1:24" x14ac:dyDescent="0.35">
      <c r="A54">
        <v>336.81799999999998</v>
      </c>
      <c r="B54">
        <v>7.7001800000000003E-4</v>
      </c>
      <c r="C54">
        <v>1.7656200000000001E-4</v>
      </c>
      <c r="D54">
        <f t="shared" si="2"/>
        <v>91.831701470465475</v>
      </c>
      <c r="E54">
        <f t="shared" si="3"/>
        <v>96.41452972784063</v>
      </c>
      <c r="G54">
        <v>7.4691500000000001E-4</v>
      </c>
      <c r="H54">
        <v>1.96448E-4</v>
      </c>
      <c r="I54">
        <f t="shared" si="4"/>
        <v>93.431178292479117</v>
      </c>
      <c r="J54">
        <f t="shared" si="5"/>
        <v>109.87516219965099</v>
      </c>
      <c r="L54" s="4">
        <v>8.7369399999999995E-4</v>
      </c>
      <c r="M54" s="4">
        <v>1.7958000000000001E-4</v>
      </c>
      <c r="N54" s="3">
        <f t="shared" si="6"/>
        <v>89.586670084593692</v>
      </c>
      <c r="O54" s="3">
        <f t="shared" si="7"/>
        <v>97.956645538548813</v>
      </c>
      <c r="Q54">
        <f t="shared" si="0"/>
        <v>7.968756666666667E-4</v>
      </c>
      <c r="R54">
        <f t="shared" si="1"/>
        <v>1.8419666666666669E-4</v>
      </c>
      <c r="T54">
        <f t="shared" si="8"/>
        <v>91.616516615846081</v>
      </c>
      <c r="U54">
        <f t="shared" si="9"/>
        <v>101.41544582201347</v>
      </c>
      <c r="W54">
        <f t="shared" si="10"/>
        <v>1.5768722694768855</v>
      </c>
      <c r="X54">
        <f t="shared" si="11"/>
        <v>6.0149608580583065</v>
      </c>
    </row>
    <row r="55" spans="1:24" x14ac:dyDescent="0.35">
      <c r="A55">
        <v>343.04300000000001</v>
      </c>
      <c r="B55">
        <v>7.7490100000000004E-4</v>
      </c>
      <c r="C55">
        <v>1.7714200000000001E-4</v>
      </c>
      <c r="D55">
        <f t="shared" si="2"/>
        <v>92.414043958927152</v>
      </c>
      <c r="E55">
        <f t="shared" si="3"/>
        <v>96.73124808876851</v>
      </c>
      <c r="G55">
        <v>7.5043799999999997E-4</v>
      </c>
      <c r="H55">
        <v>1.9617699999999999E-4</v>
      </c>
      <c r="I55">
        <f t="shared" si="4"/>
        <v>93.871868385895908</v>
      </c>
      <c r="J55">
        <f t="shared" si="5"/>
        <v>109.72358942234553</v>
      </c>
      <c r="L55" s="4">
        <v>8.7918200000000005E-4</v>
      </c>
      <c r="M55" s="4">
        <v>1.8566200000000001E-4</v>
      </c>
      <c r="N55" s="3">
        <f t="shared" si="6"/>
        <v>90.14939759036146</v>
      </c>
      <c r="O55" s="3">
        <f t="shared" si="7"/>
        <v>101.27423278749332</v>
      </c>
      <c r="Q55">
        <f t="shared" si="0"/>
        <v>8.0150700000000002E-4</v>
      </c>
      <c r="R55">
        <f t="shared" si="1"/>
        <v>1.8632700000000002E-4</v>
      </c>
      <c r="T55">
        <f t="shared" si="8"/>
        <v>92.145103311728178</v>
      </c>
      <c r="U55">
        <f t="shared" si="9"/>
        <v>102.57635676620244</v>
      </c>
      <c r="W55">
        <f t="shared" si="10"/>
        <v>1.5315447560526532</v>
      </c>
      <c r="X55">
        <f t="shared" si="11"/>
        <v>5.383423846957772</v>
      </c>
    </row>
    <row r="56" spans="1:24" x14ac:dyDescent="0.35">
      <c r="A56">
        <v>349.23899999999998</v>
      </c>
      <c r="B56">
        <v>7.7925100000000001E-4</v>
      </c>
      <c r="C56">
        <v>1.7762E-4</v>
      </c>
      <c r="D56">
        <f t="shared" si="2"/>
        <v>92.932821313997451</v>
      </c>
      <c r="E56">
        <f t="shared" si="3"/>
        <v>96.992267703464236</v>
      </c>
      <c r="G56">
        <v>7.5490099999999999E-4</v>
      </c>
      <c r="H56">
        <v>1.9920699999999999E-4</v>
      </c>
      <c r="I56">
        <f t="shared" si="4"/>
        <v>94.430142551924618</v>
      </c>
      <c r="J56">
        <f t="shared" si="5"/>
        <v>111.41829612063179</v>
      </c>
      <c r="L56" s="4">
        <v>8.8318399999999997E-4</v>
      </c>
      <c r="M56" s="4">
        <v>1.8946100000000001E-4</v>
      </c>
      <c r="N56" s="3">
        <f t="shared" si="6"/>
        <v>90.559753909254042</v>
      </c>
      <c r="O56" s="3">
        <f t="shared" si="7"/>
        <v>103.34649749626348</v>
      </c>
      <c r="Q56">
        <f t="shared" si="0"/>
        <v>8.0577866666666669E-4</v>
      </c>
      <c r="R56">
        <f t="shared" si="1"/>
        <v>1.8876266666666665E-4</v>
      </c>
      <c r="T56">
        <f t="shared" si="8"/>
        <v>92.640905925058703</v>
      </c>
      <c r="U56">
        <f t="shared" si="9"/>
        <v>103.91902044011984</v>
      </c>
      <c r="W56">
        <f t="shared" si="10"/>
        <v>1.5935051526018131</v>
      </c>
      <c r="X56">
        <f t="shared" si="11"/>
        <v>5.9032991264299515</v>
      </c>
    </row>
    <row r="57" spans="1:24" x14ac:dyDescent="0.35">
      <c r="A57">
        <v>355.53699999999998</v>
      </c>
      <c r="B57">
        <v>7.8157400000000005E-4</v>
      </c>
      <c r="C57">
        <v>1.7847199999999999E-4</v>
      </c>
      <c r="D57">
        <f t="shared" si="2"/>
        <v>93.2098603475212</v>
      </c>
      <c r="E57">
        <f t="shared" si="3"/>
        <v>97.457516054344495</v>
      </c>
      <c r="G57">
        <v>7.5813900000000001E-4</v>
      </c>
      <c r="H57">
        <v>1.9972100000000001E-4</v>
      </c>
      <c r="I57">
        <f t="shared" si="4"/>
        <v>94.835182155241</v>
      </c>
      <c r="J57">
        <f t="shared" si="5"/>
        <v>111.70578101928498</v>
      </c>
      <c r="L57" s="4">
        <v>8.87242E-4</v>
      </c>
      <c r="M57" s="4">
        <v>1.8336000000000001E-4</v>
      </c>
      <c r="N57" s="3">
        <f t="shared" si="6"/>
        <v>90.975852345552426</v>
      </c>
      <c r="O57" s="3">
        <f t="shared" si="7"/>
        <v>100.0185461963933</v>
      </c>
      <c r="Q57">
        <f t="shared" si="0"/>
        <v>8.0898500000000002E-4</v>
      </c>
      <c r="R57">
        <f t="shared" si="1"/>
        <v>1.8718433333333334E-4</v>
      </c>
      <c r="T57">
        <f t="shared" si="8"/>
        <v>93.006964949438213</v>
      </c>
      <c r="U57">
        <f t="shared" si="9"/>
        <v>103.06061442334094</v>
      </c>
      <c r="W57">
        <f t="shared" si="10"/>
        <v>1.5820833420757063</v>
      </c>
      <c r="X57">
        <f t="shared" si="11"/>
        <v>6.201822202699292</v>
      </c>
    </row>
    <row r="58" spans="1:24" x14ac:dyDescent="0.35">
      <c r="A58">
        <v>361.666</v>
      </c>
      <c r="B58">
        <v>7.8461799999999995E-4</v>
      </c>
      <c r="C58">
        <v>1.7868499999999999E-4</v>
      </c>
      <c r="D58">
        <f t="shared" si="2"/>
        <v>93.57288523690832</v>
      </c>
      <c r="E58">
        <f t="shared" si="3"/>
        <v>97.573828142064556</v>
      </c>
      <c r="G58">
        <v>7.6276899999999995E-4</v>
      </c>
      <c r="H58">
        <v>2.0348100000000001E-4</v>
      </c>
      <c r="I58">
        <f t="shared" si="4"/>
        <v>95.414346257574152</v>
      </c>
      <c r="J58">
        <f t="shared" si="5"/>
        <v>113.80878339075575</v>
      </c>
      <c r="L58" s="4">
        <v>8.9142799999999999E-4</v>
      </c>
      <c r="M58" s="4">
        <v>1.8545700000000001E-4</v>
      </c>
      <c r="N58" s="3">
        <f t="shared" si="6"/>
        <v>91.405075621635476</v>
      </c>
      <c r="O58" s="3">
        <f t="shared" si="7"/>
        <v>101.16241013276894</v>
      </c>
      <c r="Q58">
        <f t="shared" si="0"/>
        <v>8.1293833333333329E-4</v>
      </c>
      <c r="R58">
        <f t="shared" si="1"/>
        <v>1.8920766666666666E-4</v>
      </c>
      <c r="T58">
        <f t="shared" si="8"/>
        <v>93.464102372039306</v>
      </c>
      <c r="U58">
        <f t="shared" si="9"/>
        <v>104.18167388852976</v>
      </c>
      <c r="W58">
        <f t="shared" si="10"/>
        <v>1.6385843568594733</v>
      </c>
      <c r="X58">
        <f t="shared" si="11"/>
        <v>6.9632563360298407</v>
      </c>
    </row>
    <row r="59" spans="1:24" x14ac:dyDescent="0.35">
      <c r="A59">
        <v>367.87200000000001</v>
      </c>
      <c r="B59">
        <v>7.8611399999999998E-4</v>
      </c>
      <c r="C59">
        <v>1.78338E-4</v>
      </c>
      <c r="D59">
        <f t="shared" si="2"/>
        <v>93.751296943387672</v>
      </c>
      <c r="E59">
        <f t="shared" si="3"/>
        <v>97.384343191647361</v>
      </c>
      <c r="G59">
        <v>7.6475600000000001E-4</v>
      </c>
      <c r="H59">
        <v>2.03449E-4</v>
      </c>
      <c r="I59">
        <f t="shared" si="4"/>
        <v>95.662898972765518</v>
      </c>
      <c r="J59">
        <f t="shared" si="5"/>
        <v>113.7908854982326</v>
      </c>
      <c r="L59" s="4">
        <v>8.9391600000000002E-4</v>
      </c>
      <c r="M59" s="4">
        <v>1.9034299999999999E-4</v>
      </c>
      <c r="N59" s="3">
        <f t="shared" si="6"/>
        <v>91.660189694950006</v>
      </c>
      <c r="O59" s="3">
        <f t="shared" si="7"/>
        <v>103.82760764976054</v>
      </c>
      <c r="Q59">
        <f t="shared" si="0"/>
        <v>8.1492866666666667E-4</v>
      </c>
      <c r="R59">
        <f t="shared" si="1"/>
        <v>1.9070999999999997E-4</v>
      </c>
      <c r="T59">
        <f t="shared" si="8"/>
        <v>93.691461870367732</v>
      </c>
      <c r="U59">
        <f t="shared" si="9"/>
        <v>105.00094544654684</v>
      </c>
      <c r="W59">
        <f t="shared" si="10"/>
        <v>1.6346468665841503</v>
      </c>
      <c r="X59">
        <f t="shared" si="11"/>
        <v>6.7491332185927551</v>
      </c>
    </row>
    <row r="60" spans="1:24" x14ac:dyDescent="0.35">
      <c r="A60">
        <v>374.14400000000001</v>
      </c>
      <c r="B60">
        <v>7.8931200000000002E-4</v>
      </c>
      <c r="C60">
        <v>1.7847699999999999E-4</v>
      </c>
      <c r="D60">
        <f t="shared" si="2"/>
        <v>94.132687743735914</v>
      </c>
      <c r="E60">
        <f t="shared" si="3"/>
        <v>97.460246385042154</v>
      </c>
      <c r="G60">
        <v>7.6529099999999997E-4</v>
      </c>
      <c r="H60">
        <v>2.0003299999999999E-4</v>
      </c>
      <c r="I60">
        <f t="shared" si="4"/>
        <v>95.729821822603157</v>
      </c>
      <c r="J60">
        <f t="shared" si="5"/>
        <v>111.88028547138573</v>
      </c>
      <c r="L60" s="4">
        <v>8.9552999999999996E-4</v>
      </c>
      <c r="M60" s="4">
        <v>1.86596E-4</v>
      </c>
      <c r="N60" s="3">
        <f t="shared" si="6"/>
        <v>91.825685721609844</v>
      </c>
      <c r="O60" s="3">
        <f t="shared" si="7"/>
        <v>101.78370771194483</v>
      </c>
      <c r="Q60">
        <f t="shared" si="0"/>
        <v>8.1671099999999991E-4</v>
      </c>
      <c r="R60">
        <f t="shared" si="1"/>
        <v>1.8836866666666668E-4</v>
      </c>
      <c r="T60">
        <f t="shared" si="8"/>
        <v>93.896065095982976</v>
      </c>
      <c r="U60">
        <f t="shared" si="9"/>
        <v>103.70807985612424</v>
      </c>
      <c r="W60">
        <f t="shared" si="10"/>
        <v>1.6026150258961187</v>
      </c>
      <c r="X60">
        <f t="shared" si="11"/>
        <v>6.042173335530264</v>
      </c>
    </row>
    <row r="61" spans="1:24" x14ac:dyDescent="0.35">
      <c r="A61">
        <v>380.34899999999999</v>
      </c>
      <c r="B61">
        <v>7.91342E-4</v>
      </c>
      <c r="C61">
        <v>1.7816800000000001E-4</v>
      </c>
      <c r="D61">
        <f t="shared" si="2"/>
        <v>94.374783842768721</v>
      </c>
      <c r="E61">
        <f t="shared" si="3"/>
        <v>97.291511947927134</v>
      </c>
      <c r="G61">
        <v>7.6898799999999996E-4</v>
      </c>
      <c r="H61">
        <v>2.0416400000000001E-4</v>
      </c>
      <c r="I61">
        <f t="shared" si="4"/>
        <v>96.192277478397045</v>
      </c>
      <c r="J61">
        <f t="shared" si="5"/>
        <v>114.19079153429685</v>
      </c>
      <c r="L61" s="4">
        <v>8.9739799999999999E-4</v>
      </c>
      <c r="M61" s="4">
        <v>1.8898999999999999E-4</v>
      </c>
      <c r="N61" s="3">
        <f t="shared" si="6"/>
        <v>92.017226352217392</v>
      </c>
      <c r="O61" s="3">
        <f t="shared" si="7"/>
        <v>103.08957812857969</v>
      </c>
      <c r="Q61">
        <f t="shared" si="0"/>
        <v>8.1924266666666672E-4</v>
      </c>
      <c r="R61">
        <f t="shared" si="1"/>
        <v>1.9044066666666667E-4</v>
      </c>
      <c r="T61">
        <f t="shared" si="8"/>
        <v>94.194762557794391</v>
      </c>
      <c r="U61">
        <f t="shared" si="9"/>
        <v>104.85729387026788</v>
      </c>
      <c r="W61">
        <f t="shared" si="10"/>
        <v>1.7092042444436644</v>
      </c>
      <c r="X61">
        <f t="shared" si="11"/>
        <v>7.0114205332981445</v>
      </c>
    </row>
    <row r="62" spans="1:24" x14ac:dyDescent="0.35">
      <c r="A62">
        <v>386.57</v>
      </c>
      <c r="B62">
        <v>7.93676E-4</v>
      </c>
      <c r="C62">
        <v>1.7807200000000001E-4</v>
      </c>
      <c r="D62">
        <f t="shared" si="2"/>
        <v>94.653134727075411</v>
      </c>
      <c r="E62">
        <f t="shared" si="3"/>
        <v>97.239089598532175</v>
      </c>
      <c r="G62">
        <v>7.6969199999999999E-4</v>
      </c>
      <c r="H62">
        <v>2.00891E-4</v>
      </c>
      <c r="I62">
        <f t="shared" si="4"/>
        <v>96.280340443417032</v>
      </c>
      <c r="J62">
        <f t="shared" si="5"/>
        <v>112.36017271466285</v>
      </c>
      <c r="L62" s="4">
        <v>9.0079799999999996E-4</v>
      </c>
      <c r="M62" s="4">
        <v>1.9155100000000001E-4</v>
      </c>
      <c r="N62" s="3">
        <f t="shared" si="6"/>
        <v>92.36585490899769</v>
      </c>
      <c r="O62" s="3">
        <f t="shared" si="7"/>
        <v>104.48654309808757</v>
      </c>
      <c r="Q62">
        <f t="shared" si="0"/>
        <v>8.2138866666666658E-4</v>
      </c>
      <c r="R62">
        <f t="shared" si="1"/>
        <v>1.9017133333333334E-4</v>
      </c>
      <c r="T62">
        <f t="shared" si="8"/>
        <v>94.433110026496706</v>
      </c>
      <c r="U62">
        <f t="shared" si="9"/>
        <v>104.69526847042754</v>
      </c>
      <c r="W62">
        <f t="shared" si="10"/>
        <v>1.6056374438091827</v>
      </c>
      <c r="X62">
        <f t="shared" si="11"/>
        <v>6.174920423888171</v>
      </c>
    </row>
    <row r="63" spans="1:24" x14ac:dyDescent="0.35">
      <c r="A63">
        <v>392.74099999999999</v>
      </c>
      <c r="B63">
        <v>7.9632499999999996E-4</v>
      </c>
      <c r="C63">
        <v>1.7681399999999999E-4</v>
      </c>
      <c r="D63">
        <f t="shared" si="2"/>
        <v>94.969052247438896</v>
      </c>
      <c r="E63">
        <f t="shared" si="3"/>
        <v>96.552138395002402</v>
      </c>
      <c r="G63">
        <v>7.7576700000000001E-4</v>
      </c>
      <c r="H63">
        <v>2.0567799999999999E-4</v>
      </c>
      <c r="I63">
        <f t="shared" si="4"/>
        <v>97.040258785031298</v>
      </c>
      <c r="J63">
        <f t="shared" si="5"/>
        <v>115.03758557429862</v>
      </c>
      <c r="L63" s="4">
        <v>9.0395799999999995E-4</v>
      </c>
      <c r="M63" s="4">
        <v>1.89882E-4</v>
      </c>
      <c r="N63" s="3">
        <f t="shared" si="6"/>
        <v>92.689874391181746</v>
      </c>
      <c r="O63" s="3">
        <f t="shared" si="7"/>
        <v>103.57614304572182</v>
      </c>
      <c r="Q63">
        <f t="shared" si="0"/>
        <v>8.2534999999999998E-4</v>
      </c>
      <c r="R63">
        <f t="shared" si="1"/>
        <v>1.9079133333333334E-4</v>
      </c>
      <c r="T63">
        <f t="shared" si="8"/>
        <v>94.899728474550628</v>
      </c>
      <c r="U63">
        <f t="shared" si="9"/>
        <v>105.05528900500762</v>
      </c>
      <c r="W63">
        <f t="shared" si="10"/>
        <v>1.7767133388512677</v>
      </c>
      <c r="X63">
        <f t="shared" si="11"/>
        <v>7.6187857270167498</v>
      </c>
    </row>
    <row r="64" spans="1:24" x14ac:dyDescent="0.35">
      <c r="A64">
        <v>399.01299999999998</v>
      </c>
      <c r="B64">
        <v>7.9923600000000004E-4</v>
      </c>
      <c r="C64">
        <v>1.7867299999999999E-4</v>
      </c>
      <c r="D64">
        <f t="shared" si="2"/>
        <v>95.316215668268725</v>
      </c>
      <c r="E64">
        <f t="shared" si="3"/>
        <v>97.567275348390183</v>
      </c>
      <c r="G64">
        <v>7.7688200000000001E-4</v>
      </c>
      <c r="H64">
        <v>2.0490499999999999E-4</v>
      </c>
      <c r="I64">
        <f t="shared" si="4"/>
        <v>97.179733509459268</v>
      </c>
      <c r="J64">
        <f t="shared" si="5"/>
        <v>114.60523960803614</v>
      </c>
      <c r="L64" s="4">
        <v>9.07776E-4</v>
      </c>
      <c r="M64" s="4">
        <v>1.8950999999999999E-4</v>
      </c>
      <c r="N64" s="3">
        <f t="shared" si="6"/>
        <v>93.081363752883874</v>
      </c>
      <c r="O64" s="3">
        <f t="shared" si="7"/>
        <v>103.37322583812443</v>
      </c>
      <c r="Q64">
        <f t="shared" si="0"/>
        <v>8.2796466666666668E-4</v>
      </c>
      <c r="R64">
        <f t="shared" si="1"/>
        <v>1.9102933333333335E-4</v>
      </c>
      <c r="T64">
        <f t="shared" si="8"/>
        <v>95.192437643537289</v>
      </c>
      <c r="U64">
        <f t="shared" si="9"/>
        <v>105.18191359818358</v>
      </c>
      <c r="W64">
        <f t="shared" si="10"/>
        <v>1.6754401242574593</v>
      </c>
      <c r="X64">
        <f t="shared" si="11"/>
        <v>7.0723202269261973</v>
      </c>
    </row>
    <row r="65" spans="1:24" x14ac:dyDescent="0.35">
      <c r="A65">
        <v>405.089</v>
      </c>
      <c r="B65">
        <v>8.0070200000000003E-4</v>
      </c>
      <c r="C65">
        <v>1.7835400000000001E-4</v>
      </c>
      <c r="D65">
        <f t="shared" si="2"/>
        <v>95.491049599885514</v>
      </c>
      <c r="E65">
        <f t="shared" si="3"/>
        <v>97.393080249879858</v>
      </c>
      <c r="G65">
        <v>7.8023800000000005E-4</v>
      </c>
      <c r="H65">
        <v>2.04217E-4</v>
      </c>
      <c r="I65">
        <f t="shared" si="4"/>
        <v>97.599533666571602</v>
      </c>
      <c r="J65">
        <f t="shared" si="5"/>
        <v>114.22043491878833</v>
      </c>
      <c r="L65" s="4">
        <v>9.1047299999999997E-4</v>
      </c>
      <c r="M65" s="4">
        <v>1.8917599999999999E-4</v>
      </c>
      <c r="N65" s="3">
        <f t="shared" si="6"/>
        <v>93.357908228659312</v>
      </c>
      <c r="O65" s="3">
        <f t="shared" si="7"/>
        <v>103.19103673237836</v>
      </c>
      <c r="Q65">
        <f t="shared" si="0"/>
        <v>8.3047100000000005E-4</v>
      </c>
      <c r="R65">
        <f t="shared" si="1"/>
        <v>1.9058233333333336E-4</v>
      </c>
      <c r="T65">
        <f t="shared" si="8"/>
        <v>95.482830498372138</v>
      </c>
      <c r="U65">
        <f t="shared" si="9"/>
        <v>104.93485063368219</v>
      </c>
      <c r="W65">
        <f t="shared" si="10"/>
        <v>1.7316460866486592</v>
      </c>
      <c r="X65">
        <f t="shared" si="11"/>
        <v>6.9795239321935725</v>
      </c>
    </row>
    <row r="66" spans="1:24" x14ac:dyDescent="0.35">
      <c r="A66">
        <v>411.38600000000002</v>
      </c>
      <c r="B66">
        <v>8.0221100000000005E-4</v>
      </c>
      <c r="C66">
        <v>1.7657600000000001E-4</v>
      </c>
      <c r="D66">
        <f t="shared" si="2"/>
        <v>95.671011675471973</v>
      </c>
      <c r="E66">
        <f t="shared" si="3"/>
        <v>96.422174653794073</v>
      </c>
      <c r="G66">
        <v>7.8458E-4</v>
      </c>
      <c r="H66">
        <v>2.0970599999999999E-4</v>
      </c>
      <c r="I66">
        <f t="shared" si="4"/>
        <v>98.142672010487502</v>
      </c>
      <c r="J66">
        <f t="shared" si="5"/>
        <v>117.29048279565082</v>
      </c>
      <c r="L66" s="4">
        <v>9.1339999999999998E-4</v>
      </c>
      <c r="M66" s="4">
        <v>1.91736E-4</v>
      </c>
      <c r="N66" s="3">
        <f t="shared" si="6"/>
        <v>93.658036400922839</v>
      </c>
      <c r="O66" s="3">
        <f t="shared" si="7"/>
        <v>104.58745622552175</v>
      </c>
      <c r="Q66">
        <f t="shared" si="0"/>
        <v>8.3339700000000004E-4</v>
      </c>
      <c r="R66">
        <f t="shared" si="1"/>
        <v>1.9267266666666668E-4</v>
      </c>
      <c r="T66">
        <f t="shared" si="8"/>
        <v>95.823906695627443</v>
      </c>
      <c r="U66">
        <f t="shared" si="9"/>
        <v>106.10003789165553</v>
      </c>
      <c r="W66">
        <f t="shared" si="10"/>
        <v>1.8340341332765335</v>
      </c>
      <c r="X66">
        <f t="shared" si="11"/>
        <v>8.5863262865408743</v>
      </c>
    </row>
    <row r="67" spans="1:24" x14ac:dyDescent="0.35">
      <c r="A67">
        <v>417.61700000000002</v>
      </c>
      <c r="B67">
        <v>8.0393800000000003E-4</v>
      </c>
      <c r="C67">
        <v>1.7816800000000001E-4</v>
      </c>
      <c r="D67">
        <f t="shared" si="2"/>
        <v>95.876972248392988</v>
      </c>
      <c r="E67">
        <f t="shared" si="3"/>
        <v>97.291511947927134</v>
      </c>
      <c r="G67">
        <v>7.8686000000000001E-4</v>
      </c>
      <c r="H67">
        <v>2.0983899999999999E-4</v>
      </c>
      <c r="I67">
        <f t="shared" si="4"/>
        <v>98.42787593129087</v>
      </c>
      <c r="J67">
        <f t="shared" si="5"/>
        <v>117.36487091145018</v>
      </c>
      <c r="L67" s="4">
        <v>9.1475900000000001E-4</v>
      </c>
      <c r="M67" s="4">
        <v>1.9135199999999999E-4</v>
      </c>
      <c r="N67" s="3">
        <f t="shared" si="6"/>
        <v>93.797385285824149</v>
      </c>
      <c r="O67" s="3">
        <f t="shared" si="7"/>
        <v>104.37799330155025</v>
      </c>
      <c r="Q67">
        <f t="shared" ref="Q67:R109" si="12">AVERAGE(B67,G67,L67)</f>
        <v>8.3518566666666676E-4</v>
      </c>
      <c r="R67">
        <f t="shared" si="12"/>
        <v>1.9311966666666667E-4</v>
      </c>
      <c r="T67">
        <f t="shared" si="8"/>
        <v>96.034077821835993</v>
      </c>
      <c r="U67">
        <f t="shared" si="9"/>
        <v>106.34479205364251</v>
      </c>
      <c r="W67">
        <f t="shared" si="10"/>
        <v>1.8936512395095086</v>
      </c>
      <c r="X67">
        <f t="shared" si="11"/>
        <v>8.3120859001832024</v>
      </c>
    </row>
    <row r="68" spans="1:24" x14ac:dyDescent="0.35">
      <c r="A68">
        <v>423.72800000000001</v>
      </c>
      <c r="B68">
        <v>8.0642300000000001E-4</v>
      </c>
      <c r="C68">
        <v>1.78524E-4</v>
      </c>
      <c r="D68">
        <f t="shared" ref="D68:D109" si="13">B68/$B$3*100</f>
        <v>96.173331266174529</v>
      </c>
      <c r="E68">
        <f t="shared" ref="E68:E109" si="14">C68/$C$3*100</f>
        <v>97.485911493600099</v>
      </c>
      <c r="G68">
        <v>7.88085E-4</v>
      </c>
      <c r="H68">
        <v>2.10829E-4</v>
      </c>
      <c r="I68">
        <f t="shared" ref="I68:I109" si="15">G68/$G$3*100</f>
        <v>98.581110494003212</v>
      </c>
      <c r="J68">
        <f t="shared" ref="J68:J109" si="16">H68/$H$3*100</f>
        <v>117.9185869613853</v>
      </c>
      <c r="L68" s="4">
        <v>9.1595200000000004E-4</v>
      </c>
      <c r="M68" s="4">
        <v>1.8780199999999999E-4</v>
      </c>
      <c r="N68" s="3">
        <f t="shared" ref="N68:N109" si="17">L68/$L$3*100</f>
        <v>93.919712894129717</v>
      </c>
      <c r="O68" s="3">
        <f t="shared" ref="O68:O109" si="18">M68/$M$3*100</f>
        <v>102.44155220754283</v>
      </c>
      <c r="Q68">
        <f t="shared" si="12"/>
        <v>8.3681999999999995E-4</v>
      </c>
      <c r="R68">
        <f t="shared" si="12"/>
        <v>1.92385E-4</v>
      </c>
      <c r="T68">
        <f t="shared" ref="T68:T109" si="19">AVERAGE(D68,I68,N68)</f>
        <v>96.224718218102495</v>
      </c>
      <c r="U68">
        <f t="shared" ref="U68:U109" si="20">AVERAGE(E68,J68,O68)</f>
        <v>105.94868355417607</v>
      </c>
      <c r="W68">
        <f t="shared" ref="W68:W109" si="21">_xlfn.STDEV.P(D68,I68,N68)</f>
        <v>1.9033544704280967</v>
      </c>
      <c r="X68">
        <f t="shared" ref="X68:X109" si="22">_xlfn.STDEV.P(E68,J68,O68)</f>
        <v>8.7024339279254121</v>
      </c>
    </row>
    <row r="69" spans="1:24" x14ac:dyDescent="0.35">
      <c r="A69">
        <v>429.99799999999999</v>
      </c>
      <c r="B69">
        <v>8.0724599999999996E-4</v>
      </c>
      <c r="C69">
        <v>1.7763100000000001E-4</v>
      </c>
      <c r="D69">
        <f t="shared" si="13"/>
        <v>96.271481556570578</v>
      </c>
      <c r="E69">
        <f t="shared" si="14"/>
        <v>96.998274430999075</v>
      </c>
      <c r="G69">
        <v>7.9054199999999998E-4</v>
      </c>
      <c r="H69">
        <v>2.1086600000000001E-4</v>
      </c>
      <c r="I69">
        <f t="shared" si="15"/>
        <v>98.888455245500523</v>
      </c>
      <c r="J69">
        <f t="shared" si="16"/>
        <v>117.9392813996152</v>
      </c>
      <c r="L69" s="4">
        <v>9.1834999999999996E-4</v>
      </c>
      <c r="M69" s="4">
        <v>1.88591E-4</v>
      </c>
      <c r="N69" s="3">
        <f t="shared" si="17"/>
        <v>94.165598564470642</v>
      </c>
      <c r="O69" s="3">
        <f t="shared" si="18"/>
        <v>102.87193305914053</v>
      </c>
      <c r="Q69">
        <f t="shared" si="12"/>
        <v>8.3871266666666656E-4</v>
      </c>
      <c r="R69">
        <f t="shared" si="12"/>
        <v>1.9236266666666668E-4</v>
      </c>
      <c r="T69">
        <f t="shared" si="19"/>
        <v>96.441845122180595</v>
      </c>
      <c r="U69">
        <f t="shared" si="20"/>
        <v>105.93649629658493</v>
      </c>
      <c r="W69">
        <f t="shared" si="21"/>
        <v>1.931857761457032</v>
      </c>
      <c r="X69">
        <f t="shared" si="22"/>
        <v>8.8194899358231602</v>
      </c>
    </row>
    <row r="70" spans="1:24" x14ac:dyDescent="0.35">
      <c r="A70">
        <v>436.13900000000001</v>
      </c>
      <c r="B70">
        <v>8.0746400000000003E-4</v>
      </c>
      <c r="C70">
        <v>1.7422E-4</v>
      </c>
      <c r="D70">
        <f t="shared" si="13"/>
        <v>96.297480053905147</v>
      </c>
      <c r="E70">
        <f t="shared" si="14"/>
        <v>95.135642829059435</v>
      </c>
      <c r="G70">
        <v>7.8499699999999995E-4</v>
      </c>
      <c r="H70">
        <v>2.0473E-4</v>
      </c>
      <c r="I70">
        <f t="shared" si="15"/>
        <v>98.19483430652916</v>
      </c>
      <c r="J70">
        <f t="shared" si="16"/>
        <v>114.50736050830015</v>
      </c>
      <c r="L70" s="4">
        <v>9.2034400000000002E-4</v>
      </c>
      <c r="M70" s="4">
        <v>1.8956299999999999E-4</v>
      </c>
      <c r="N70" s="3">
        <f t="shared" si="17"/>
        <v>94.37005895924122</v>
      </c>
      <c r="O70" s="3">
        <f t="shared" si="18"/>
        <v>103.4021360854434</v>
      </c>
      <c r="Q70">
        <f t="shared" si="12"/>
        <v>8.3760166666666663E-4</v>
      </c>
      <c r="R70">
        <f t="shared" si="12"/>
        <v>1.8950433333333333E-4</v>
      </c>
      <c r="T70">
        <f t="shared" si="19"/>
        <v>96.287457773225171</v>
      </c>
      <c r="U70">
        <f t="shared" si="20"/>
        <v>104.34837980760101</v>
      </c>
      <c r="W70">
        <f t="shared" si="21"/>
        <v>1.5614740789582806</v>
      </c>
      <c r="X70">
        <f t="shared" si="22"/>
        <v>7.9367245278869643</v>
      </c>
    </row>
    <row r="71" spans="1:24" x14ac:dyDescent="0.35">
      <c r="A71">
        <v>449.34300000000002</v>
      </c>
      <c r="B71">
        <v>1.03608E-6</v>
      </c>
      <c r="C71">
        <v>2.2100399999999999E-5</v>
      </c>
      <c r="D71">
        <f t="shared" si="13"/>
        <v>0.12356203265315858</v>
      </c>
      <c r="E71">
        <f t="shared" si="14"/>
        <v>12.068280110086931</v>
      </c>
      <c r="G71">
        <v>1.0977699999999999E-6</v>
      </c>
      <c r="H71">
        <v>2.2268799999999999E-5</v>
      </c>
      <c r="I71">
        <f t="shared" si="15"/>
        <v>0.13731943339487732</v>
      </c>
      <c r="J71">
        <f t="shared" si="16"/>
        <v>12.455143406863842</v>
      </c>
      <c r="L71" s="4">
        <v>8.0542699999999995E-7</v>
      </c>
      <c r="M71" s="4">
        <v>2.5267799999999999E-5</v>
      </c>
      <c r="N71" s="3">
        <f t="shared" si="17"/>
        <v>8.2586721353499093E-2</v>
      </c>
      <c r="O71" s="3">
        <f t="shared" si="18"/>
        <v>13.782987683143688</v>
      </c>
      <c r="Q71">
        <f t="shared" si="12"/>
        <v>9.7975900000000006E-7</v>
      </c>
      <c r="R71">
        <f t="shared" si="12"/>
        <v>2.3212333333333331E-5</v>
      </c>
      <c r="T71">
        <f t="shared" si="19"/>
        <v>0.11448939580051166</v>
      </c>
      <c r="U71">
        <f t="shared" si="20"/>
        <v>12.76880373336482</v>
      </c>
      <c r="W71">
        <f t="shared" si="21"/>
        <v>2.3247250682551849E-2</v>
      </c>
      <c r="X71">
        <f t="shared" si="22"/>
        <v>0.73432173493189079</v>
      </c>
    </row>
    <row r="72" spans="1:24" x14ac:dyDescent="0.35">
      <c r="A72">
        <v>455.57600000000002</v>
      </c>
      <c r="B72">
        <v>1.0398899999999999E-6</v>
      </c>
      <c r="C72">
        <v>2.2178799999999998E-5</v>
      </c>
      <c r="D72">
        <f t="shared" si="13"/>
        <v>0.12401641006070289</v>
      </c>
      <c r="E72">
        <f t="shared" si="14"/>
        <v>12.111091695426149</v>
      </c>
      <c r="G72">
        <v>1.10272E-6</v>
      </c>
      <c r="H72">
        <v>2.23512E-5</v>
      </c>
      <c r="I72">
        <f t="shared" si="15"/>
        <v>0.13793862611767413</v>
      </c>
      <c r="J72">
        <f t="shared" si="16"/>
        <v>12.501230480110967</v>
      </c>
      <c r="L72" s="4">
        <v>8.08532E-7</v>
      </c>
      <c r="M72" s="4">
        <v>2.5360399999999999E-5</v>
      </c>
      <c r="N72" s="3">
        <f t="shared" si="17"/>
        <v>8.2905101256088187E-2</v>
      </c>
      <c r="O72" s="3">
        <f t="shared" si="18"/>
        <v>13.833498794497231</v>
      </c>
      <c r="Q72">
        <f t="shared" si="12"/>
        <v>9.8371399999999996E-7</v>
      </c>
      <c r="R72">
        <f t="shared" si="12"/>
        <v>2.32968E-5</v>
      </c>
      <c r="T72">
        <f t="shared" si="19"/>
        <v>0.11495337914482173</v>
      </c>
      <c r="U72">
        <f t="shared" si="20"/>
        <v>12.815273656678116</v>
      </c>
      <c r="W72">
        <f t="shared" si="21"/>
        <v>2.3363448828021435E-2</v>
      </c>
      <c r="X72">
        <f t="shared" si="22"/>
        <v>0.73740033961383744</v>
      </c>
    </row>
    <row r="73" spans="1:24" x14ac:dyDescent="0.35">
      <c r="A73">
        <v>461.834</v>
      </c>
      <c r="B73">
        <v>1.03365E-6</v>
      </c>
      <c r="C73">
        <v>2.2158699999999998E-5</v>
      </c>
      <c r="D73">
        <f t="shared" si="13"/>
        <v>0.12327223288929173</v>
      </c>
      <c r="E73">
        <f t="shared" si="14"/>
        <v>12.100115766021577</v>
      </c>
      <c r="G73">
        <v>1.10016E-6</v>
      </c>
      <c r="H73">
        <v>2.23481E-5</v>
      </c>
      <c r="I73">
        <f t="shared" si="15"/>
        <v>0.13761839715396509</v>
      </c>
      <c r="J73">
        <f t="shared" si="16"/>
        <v>12.499496621772789</v>
      </c>
      <c r="L73" s="4">
        <v>7.9204700000000002E-7</v>
      </c>
      <c r="M73" s="4">
        <v>2.52979E-5</v>
      </c>
      <c r="N73" s="3">
        <f t="shared" si="17"/>
        <v>8.1214765444757753E-2</v>
      </c>
      <c r="O73" s="3">
        <f t="shared" si="18"/>
        <v>13.799406521715413</v>
      </c>
      <c r="Q73">
        <f t="shared" si="12"/>
        <v>9.752856666666667E-7</v>
      </c>
      <c r="R73">
        <f t="shared" si="12"/>
        <v>2.3268233333333332E-5</v>
      </c>
      <c r="T73">
        <f t="shared" si="19"/>
        <v>0.11403513182933821</v>
      </c>
      <c r="U73">
        <f t="shared" si="20"/>
        <v>12.799672969836593</v>
      </c>
      <c r="W73">
        <f t="shared" si="21"/>
        <v>2.3935126829144053E-2</v>
      </c>
      <c r="X73">
        <f t="shared" si="22"/>
        <v>0.72547761189868287</v>
      </c>
    </row>
    <row r="74" spans="1:24" x14ac:dyDescent="0.35">
      <c r="A74">
        <v>468.06400000000002</v>
      </c>
      <c r="B74">
        <v>1.0343E-6</v>
      </c>
      <c r="C74">
        <v>2.21563E-5</v>
      </c>
      <c r="D74">
        <f t="shared" si="13"/>
        <v>0.12334975134464705</v>
      </c>
      <c r="E74">
        <f t="shared" si="14"/>
        <v>12.098805207286706</v>
      </c>
      <c r="G74">
        <v>1.08813E-6</v>
      </c>
      <c r="H74">
        <v>2.23031E-5</v>
      </c>
      <c r="I74">
        <f t="shared" si="15"/>
        <v>0.13611357120341042</v>
      </c>
      <c r="J74">
        <f t="shared" si="16"/>
        <v>12.4743277104121</v>
      </c>
      <c r="L74" s="4">
        <v>7.7755600000000003E-7</v>
      </c>
      <c r="M74" s="4">
        <v>2.52606E-5</v>
      </c>
      <c r="N74" s="3">
        <f t="shared" si="17"/>
        <v>7.9728890028197899E-2</v>
      </c>
      <c r="O74" s="3">
        <f t="shared" si="18"/>
        <v>13.779060253319223</v>
      </c>
      <c r="Q74">
        <f t="shared" si="12"/>
        <v>9.66662E-7</v>
      </c>
      <c r="R74">
        <f t="shared" si="12"/>
        <v>2.3240000000000001E-5</v>
      </c>
      <c r="T74">
        <f t="shared" si="19"/>
        <v>0.11306407085875179</v>
      </c>
      <c r="U74">
        <f t="shared" si="20"/>
        <v>12.784064390339344</v>
      </c>
      <c r="W74">
        <f t="shared" si="21"/>
        <v>2.4140622542387451E-2</v>
      </c>
      <c r="X74">
        <f t="shared" si="22"/>
        <v>0.7200772472907323</v>
      </c>
    </row>
    <row r="75" spans="1:24" x14ac:dyDescent="0.35">
      <c r="A75">
        <v>474.19400000000002</v>
      </c>
      <c r="B75">
        <v>1.02221E-6</v>
      </c>
      <c r="C75">
        <v>2.21395E-5</v>
      </c>
      <c r="D75">
        <f t="shared" si="13"/>
        <v>0.12190790807503787</v>
      </c>
      <c r="E75">
        <f t="shared" si="14"/>
        <v>12.089631296142587</v>
      </c>
      <c r="G75">
        <v>1.07934E-6</v>
      </c>
      <c r="H75">
        <v>2.2250900000000001E-5</v>
      </c>
      <c r="I75">
        <f t="shared" si="15"/>
        <v>0.13501403503505008</v>
      </c>
      <c r="J75">
        <f t="shared" si="16"/>
        <v>12.445131773233703</v>
      </c>
      <c r="L75" s="4">
        <v>7.6117000000000003E-7</v>
      </c>
      <c r="M75" s="4">
        <v>2.5231500000000001E-5</v>
      </c>
      <c r="N75" s="3">
        <f t="shared" si="17"/>
        <v>7.8048705460138437E-2</v>
      </c>
      <c r="O75" s="3">
        <f t="shared" si="18"/>
        <v>13.763186891112008</v>
      </c>
      <c r="Q75">
        <f t="shared" si="12"/>
        <v>9.5424000000000016E-7</v>
      </c>
      <c r="R75">
        <f t="shared" si="12"/>
        <v>2.3207300000000001E-5</v>
      </c>
      <c r="T75">
        <f t="shared" si="19"/>
        <v>0.11165688285674213</v>
      </c>
      <c r="U75">
        <f t="shared" si="20"/>
        <v>12.765983320162766</v>
      </c>
      <c r="W75">
        <f t="shared" si="21"/>
        <v>2.4359458558763526E-2</v>
      </c>
      <c r="X75">
        <f t="shared" si="22"/>
        <v>0.71991035031613171</v>
      </c>
    </row>
    <row r="76" spans="1:24" x14ac:dyDescent="0.35">
      <c r="A76">
        <v>480.49299999999999</v>
      </c>
      <c r="B76">
        <v>1.01042E-6</v>
      </c>
      <c r="C76">
        <v>2.2098300000000002E-5</v>
      </c>
      <c r="D76">
        <f t="shared" si="13"/>
        <v>0.12050184255405422</v>
      </c>
      <c r="E76">
        <f t="shared" si="14"/>
        <v>12.06713337119392</v>
      </c>
      <c r="G76">
        <v>1.0647900000000001E-6</v>
      </c>
      <c r="H76">
        <v>2.22026E-5</v>
      </c>
      <c r="I76">
        <f t="shared" si="15"/>
        <v>0.13319398369834431</v>
      </c>
      <c r="J76">
        <f t="shared" si="16"/>
        <v>12.418117141706563</v>
      </c>
      <c r="L76" s="4">
        <v>7.5156500000000002E-7</v>
      </c>
      <c r="M76" s="4">
        <v>2.5193000000000001E-5</v>
      </c>
      <c r="N76" s="3">
        <f t="shared" si="17"/>
        <v>7.7063829787234042E-2</v>
      </c>
      <c r="O76" s="3">
        <f t="shared" si="18"/>
        <v>13.742186051078406</v>
      </c>
      <c r="Q76">
        <f t="shared" si="12"/>
        <v>9.422583333333332E-7</v>
      </c>
      <c r="R76">
        <f t="shared" si="12"/>
        <v>2.3164633333333335E-5</v>
      </c>
      <c r="T76">
        <f t="shared" si="19"/>
        <v>0.11025321867987752</v>
      </c>
      <c r="U76">
        <f t="shared" si="20"/>
        <v>12.74247885465963</v>
      </c>
      <c r="W76">
        <f t="shared" si="21"/>
        <v>2.403364673406844E-2</v>
      </c>
      <c r="X76">
        <f t="shared" si="22"/>
        <v>0.72127584215723128</v>
      </c>
    </row>
    <row r="77" spans="1:24" x14ac:dyDescent="0.35">
      <c r="A77">
        <v>486.74799999999999</v>
      </c>
      <c r="B77">
        <v>1.00145E-6</v>
      </c>
      <c r="C77">
        <v>2.2061499999999999E-5</v>
      </c>
      <c r="D77">
        <f t="shared" si="13"/>
        <v>0.11943208787015061</v>
      </c>
      <c r="E77">
        <f t="shared" si="14"/>
        <v>12.047038137259184</v>
      </c>
      <c r="G77">
        <v>1.0610000000000001E-6</v>
      </c>
      <c r="H77">
        <v>2.2171199999999999E-5</v>
      </c>
      <c r="I77">
        <f t="shared" si="15"/>
        <v>0.13271989472472817</v>
      </c>
      <c r="J77">
        <f t="shared" si="16"/>
        <v>12.400554834668217</v>
      </c>
      <c r="L77" s="4">
        <v>7.3325400000000004E-7</v>
      </c>
      <c r="M77" s="4">
        <v>2.5148999999999999E-5</v>
      </c>
      <c r="N77" s="3">
        <f t="shared" si="17"/>
        <v>7.518625993335043E-2</v>
      </c>
      <c r="O77" s="3">
        <f t="shared" si="18"/>
        <v>13.718185091040002</v>
      </c>
      <c r="Q77">
        <f t="shared" si="12"/>
        <v>9.319013333333334E-7</v>
      </c>
      <c r="R77">
        <f t="shared" si="12"/>
        <v>2.3127233333333335E-5</v>
      </c>
      <c r="T77">
        <f t="shared" si="19"/>
        <v>0.10911274750940975</v>
      </c>
      <c r="U77">
        <f t="shared" si="20"/>
        <v>12.721926020989136</v>
      </c>
      <c r="W77">
        <f t="shared" si="21"/>
        <v>2.4595343355840307E-2</v>
      </c>
      <c r="X77">
        <f t="shared" si="22"/>
        <v>0.71909323217077237</v>
      </c>
    </row>
    <row r="78" spans="1:24" x14ac:dyDescent="0.35">
      <c r="A78">
        <v>492.90800000000002</v>
      </c>
      <c r="B78">
        <v>9.963230000000001E-7</v>
      </c>
      <c r="C78">
        <v>2.2036400000000001E-5</v>
      </c>
      <c r="D78">
        <f t="shared" si="13"/>
        <v>0.11882064614614019</v>
      </c>
      <c r="E78">
        <f t="shared" si="14"/>
        <v>12.033331877156961</v>
      </c>
      <c r="G78">
        <v>1.0572499999999999E-6</v>
      </c>
      <c r="H78">
        <v>2.2160699999999999E-5</v>
      </c>
      <c r="I78">
        <f t="shared" si="15"/>
        <v>0.13225080932866998</v>
      </c>
      <c r="J78">
        <f t="shared" si="16"/>
        <v>12.394682088684057</v>
      </c>
      <c r="L78" s="4">
        <v>7.1118799999999995E-7</v>
      </c>
      <c r="M78" s="4">
        <v>2.50908E-5</v>
      </c>
      <c r="N78" s="3">
        <f t="shared" si="17"/>
        <v>7.2923660599846188E-2</v>
      </c>
      <c r="O78" s="3">
        <f t="shared" si="18"/>
        <v>13.686438366625572</v>
      </c>
      <c r="Q78">
        <f t="shared" si="12"/>
        <v>9.2158700000000006E-7</v>
      </c>
      <c r="R78">
        <f t="shared" si="12"/>
        <v>2.3095966666666667E-5</v>
      </c>
      <c r="T78">
        <f t="shared" si="19"/>
        <v>0.10799837202488544</v>
      </c>
      <c r="U78">
        <f t="shared" si="20"/>
        <v>12.70481744415553</v>
      </c>
      <c r="W78">
        <f t="shared" si="21"/>
        <v>2.5400378697172796E-2</v>
      </c>
      <c r="X78">
        <f t="shared" si="22"/>
        <v>0.70961408310708862</v>
      </c>
    </row>
    <row r="79" spans="1:24" x14ac:dyDescent="0.35">
      <c r="A79">
        <v>499.07900000000001</v>
      </c>
      <c r="B79">
        <v>9.827219999999999E-7</v>
      </c>
      <c r="C79">
        <v>2.2025500000000001E-5</v>
      </c>
      <c r="D79">
        <f t="shared" si="13"/>
        <v>0.11719860228262034</v>
      </c>
      <c r="E79">
        <f t="shared" si="14"/>
        <v>12.027379756236076</v>
      </c>
      <c r="G79">
        <v>1.0412099999999999E-6</v>
      </c>
      <c r="H79">
        <v>2.2122800000000001E-5</v>
      </c>
      <c r="I79">
        <f t="shared" si="15"/>
        <v>0.13024437472793046</v>
      </c>
      <c r="J79">
        <f t="shared" si="16"/>
        <v>12.373484272226946</v>
      </c>
      <c r="L79" s="4">
        <v>6.9490400000000001E-7</v>
      </c>
      <c r="M79" s="4">
        <v>2.5052799999999998E-5</v>
      </c>
      <c r="N79" s="3">
        <f t="shared" si="17"/>
        <v>7.1253934888490134E-2</v>
      </c>
      <c r="O79" s="3">
        <f t="shared" si="18"/>
        <v>13.665710264774225</v>
      </c>
      <c r="Q79">
        <f t="shared" si="12"/>
        <v>9.0627866666666662E-7</v>
      </c>
      <c r="R79">
        <f t="shared" si="12"/>
        <v>2.3067033333333331E-5</v>
      </c>
      <c r="T79">
        <f t="shared" si="19"/>
        <v>0.10623230396634697</v>
      </c>
      <c r="U79">
        <f t="shared" si="20"/>
        <v>12.688858097745749</v>
      </c>
      <c r="W79">
        <f t="shared" si="21"/>
        <v>2.5300365902278736E-2</v>
      </c>
      <c r="X79">
        <f t="shared" si="22"/>
        <v>0.70504241062434925</v>
      </c>
    </row>
    <row r="80" spans="1:24" x14ac:dyDescent="0.35">
      <c r="A80">
        <v>505.34300000000002</v>
      </c>
      <c r="B80">
        <v>9.8158400000000004E-7</v>
      </c>
      <c r="C80">
        <v>2.20173E-5</v>
      </c>
      <c r="D80">
        <f t="shared" si="13"/>
        <v>0.11706288535616749</v>
      </c>
      <c r="E80">
        <f t="shared" si="14"/>
        <v>12.022902013891921</v>
      </c>
      <c r="G80">
        <v>1.0305299999999999E-6</v>
      </c>
      <c r="H80">
        <v>2.20774E-5</v>
      </c>
      <c r="I80">
        <f t="shared" si="15"/>
        <v>0.12890841951995674</v>
      </c>
      <c r="J80">
        <f t="shared" si="16"/>
        <v>12.34809163720972</v>
      </c>
      <c r="L80" s="4">
        <v>6.8168399999999995E-7</v>
      </c>
      <c r="M80" s="4">
        <v>2.5025099999999999E-5</v>
      </c>
      <c r="N80" s="3">
        <f t="shared" si="17"/>
        <v>6.9898385029479621E-2</v>
      </c>
      <c r="O80" s="3">
        <f t="shared" si="18"/>
        <v>13.650600569477323</v>
      </c>
      <c r="Q80">
        <f t="shared" si="12"/>
        <v>8.9793266666666663E-7</v>
      </c>
      <c r="R80">
        <f t="shared" si="12"/>
        <v>2.3039933333333333E-5</v>
      </c>
      <c r="T80">
        <f t="shared" si="19"/>
        <v>0.10528989663520127</v>
      </c>
      <c r="U80">
        <f t="shared" si="20"/>
        <v>12.673864740192988</v>
      </c>
      <c r="W80">
        <f t="shared" si="21"/>
        <v>2.5488539780455892E-2</v>
      </c>
      <c r="X80">
        <f t="shared" si="22"/>
        <v>0.70330018860332622</v>
      </c>
    </row>
    <row r="81" spans="1:24" x14ac:dyDescent="0.35">
      <c r="A81">
        <v>518.67100000000005</v>
      </c>
      <c r="B81">
        <v>6.7851900000000004E-4</v>
      </c>
      <c r="C81">
        <v>2.0209199999999999E-4</v>
      </c>
      <c r="D81">
        <f t="shared" si="13"/>
        <v>80.919607398838423</v>
      </c>
      <c r="E81">
        <f t="shared" si="14"/>
        <v>110.35559827006244</v>
      </c>
      <c r="G81">
        <v>6.5335999999999997E-4</v>
      </c>
      <c r="H81">
        <v>1.7325399999999999E-4</v>
      </c>
      <c r="I81">
        <f t="shared" si="15"/>
        <v>81.728435831619606</v>
      </c>
      <c r="J81">
        <f t="shared" si="16"/>
        <v>96.902545975211424</v>
      </c>
      <c r="L81" s="4">
        <v>7.8465900000000005E-4</v>
      </c>
      <c r="M81" s="4">
        <v>1.9307499999999999E-4</v>
      </c>
      <c r="N81" s="3">
        <f t="shared" si="17"/>
        <v>80.457216098436305</v>
      </c>
      <c r="O81" s="3">
        <f t="shared" si="18"/>
        <v>105.31784907759945</v>
      </c>
      <c r="Q81">
        <f t="shared" si="12"/>
        <v>7.0551266666666679E-4</v>
      </c>
      <c r="R81">
        <f t="shared" si="12"/>
        <v>1.8947366666666665E-4</v>
      </c>
      <c r="T81">
        <f t="shared" si="19"/>
        <v>81.035086442964783</v>
      </c>
      <c r="U81">
        <f t="shared" si="20"/>
        <v>104.1919977742911</v>
      </c>
      <c r="W81">
        <f t="shared" si="21"/>
        <v>0.52535794764643295</v>
      </c>
      <c r="X81">
        <f t="shared" si="22"/>
        <v>5.5495831603145289</v>
      </c>
    </row>
    <row r="82" spans="1:24" x14ac:dyDescent="0.35">
      <c r="A82">
        <v>524.91800000000001</v>
      </c>
      <c r="B82">
        <v>6.9861299999999995E-4</v>
      </c>
      <c r="C82">
        <v>2.03334E-4</v>
      </c>
      <c r="D82">
        <f t="shared" si="13"/>
        <v>83.316001001776954</v>
      </c>
      <c r="E82">
        <f t="shared" si="14"/>
        <v>111.03381241535975</v>
      </c>
      <c r="G82">
        <v>6.7592399999999995E-4</v>
      </c>
      <c r="H82">
        <v>1.7377899999999999E-4</v>
      </c>
      <c r="I82">
        <f t="shared" si="15"/>
        <v>84.550953932061418</v>
      </c>
      <c r="J82">
        <f t="shared" si="16"/>
        <v>97.19618327441944</v>
      </c>
      <c r="L82" s="4">
        <v>8.0971799999999996E-4</v>
      </c>
      <c r="M82" s="4">
        <v>2.0132400000000001E-4</v>
      </c>
      <c r="N82" s="3">
        <f t="shared" si="17"/>
        <v>83.026711099718014</v>
      </c>
      <c r="O82" s="3">
        <f t="shared" si="18"/>
        <v>109.81748360843524</v>
      </c>
      <c r="Q82">
        <f t="shared" si="12"/>
        <v>7.2808499999999995E-4</v>
      </c>
      <c r="R82">
        <f t="shared" si="12"/>
        <v>1.9281233333333334E-4</v>
      </c>
      <c r="T82">
        <f t="shared" si="19"/>
        <v>83.631222011185457</v>
      </c>
      <c r="U82">
        <f t="shared" si="20"/>
        <v>106.01582643273814</v>
      </c>
      <c r="W82">
        <f t="shared" si="21"/>
        <v>0.66098525781187678</v>
      </c>
      <c r="X82">
        <f t="shared" si="22"/>
        <v>6.2561672516910338</v>
      </c>
    </row>
    <row r="83" spans="1:24" x14ac:dyDescent="0.35">
      <c r="A83">
        <v>531.04899999999998</v>
      </c>
      <c r="B83">
        <v>7.1352799999999995E-4</v>
      </c>
      <c r="C83">
        <v>1.9576700000000001E-4</v>
      </c>
      <c r="D83">
        <f t="shared" si="13"/>
        <v>85.094751404276622</v>
      </c>
      <c r="E83">
        <f t="shared" si="14"/>
        <v>106.90172993753005</v>
      </c>
      <c r="G83">
        <v>6.8866100000000003E-4</v>
      </c>
      <c r="H83">
        <v>1.7198800000000001E-4</v>
      </c>
      <c r="I83">
        <f t="shared" si="15"/>
        <v>86.14421811595291</v>
      </c>
      <c r="J83">
        <f t="shared" si="16"/>
        <v>96.194460602264087</v>
      </c>
      <c r="L83" s="4">
        <v>8.27011E-4</v>
      </c>
      <c r="M83" s="4">
        <v>1.9420099999999999E-4</v>
      </c>
      <c r="N83" s="3">
        <f t="shared" si="17"/>
        <v>84.799897462189193</v>
      </c>
      <c r="O83" s="3">
        <f t="shared" si="18"/>
        <v>105.93205546403672</v>
      </c>
      <c r="Q83">
        <f t="shared" si="12"/>
        <v>7.4306666666666655E-4</v>
      </c>
      <c r="R83">
        <f t="shared" si="12"/>
        <v>1.8731866666666665E-4</v>
      </c>
      <c r="T83">
        <f t="shared" si="19"/>
        <v>85.346288994139584</v>
      </c>
      <c r="U83">
        <f t="shared" si="20"/>
        <v>103.0094153346103</v>
      </c>
      <c r="W83">
        <f t="shared" si="21"/>
        <v>0.57691875474771093</v>
      </c>
      <c r="X83">
        <f t="shared" si="22"/>
        <v>4.8351334451823931</v>
      </c>
    </row>
    <row r="84" spans="1:24" x14ac:dyDescent="0.35">
      <c r="A84">
        <v>537.19200000000001</v>
      </c>
      <c r="B84">
        <v>7.2915600000000001E-4</v>
      </c>
      <c r="C84">
        <v>1.9274099999999999E-4</v>
      </c>
      <c r="D84">
        <f t="shared" si="13"/>
        <v>86.958533589343006</v>
      </c>
      <c r="E84">
        <f t="shared" si="14"/>
        <v>105.24933379930977</v>
      </c>
      <c r="G84">
        <v>7.0143199999999999E-4</v>
      </c>
      <c r="H84">
        <v>1.7276300000000001E-4</v>
      </c>
      <c r="I84">
        <f t="shared" si="15"/>
        <v>87.741735340768642</v>
      </c>
      <c r="J84">
        <f t="shared" si="16"/>
        <v>96.627925186809264</v>
      </c>
      <c r="L84" s="4">
        <v>8.4286199999999999E-4</v>
      </c>
      <c r="M84" s="4">
        <v>1.89815E-4</v>
      </c>
      <c r="N84" s="3">
        <f t="shared" si="17"/>
        <v>86.425224301461171</v>
      </c>
      <c r="O84" s="3">
        <f t="shared" si="18"/>
        <v>103.53959612929971</v>
      </c>
      <c r="Q84">
        <f t="shared" si="12"/>
        <v>7.5781666666666656E-4</v>
      </c>
      <c r="R84">
        <f t="shared" si="12"/>
        <v>1.8510633333333333E-4</v>
      </c>
      <c r="T84">
        <f t="shared" si="19"/>
        <v>87.041831077190935</v>
      </c>
      <c r="U84">
        <f t="shared" si="20"/>
        <v>101.80561837180625</v>
      </c>
      <c r="W84">
        <f t="shared" si="21"/>
        <v>0.54068116468392102</v>
      </c>
      <c r="X84">
        <f t="shared" si="22"/>
        <v>3.7271240712320455</v>
      </c>
    </row>
    <row r="85" spans="1:24" x14ac:dyDescent="0.35">
      <c r="A85">
        <v>543.55200000000002</v>
      </c>
      <c r="B85">
        <v>7.3928000000000004E-4</v>
      </c>
      <c r="C85">
        <v>1.89335E-4</v>
      </c>
      <c r="D85">
        <f t="shared" si="13"/>
        <v>88.165913346292839</v>
      </c>
      <c r="E85">
        <f t="shared" si="14"/>
        <v>103.3894325280678</v>
      </c>
      <c r="G85">
        <v>7.1173600000000003E-4</v>
      </c>
      <c r="H85">
        <v>1.7219300000000001E-4</v>
      </c>
      <c r="I85">
        <f t="shared" si="15"/>
        <v>89.030656919697577</v>
      </c>
      <c r="J85">
        <f t="shared" si="16"/>
        <v>96.309118976240555</v>
      </c>
      <c r="L85" s="4">
        <v>8.5696000000000004E-4</v>
      </c>
      <c r="M85" s="4">
        <v>1.9046800000000001E-4</v>
      </c>
      <c r="N85" s="3">
        <f t="shared" si="17"/>
        <v>87.870802358369644</v>
      </c>
      <c r="O85" s="3">
        <f t="shared" si="18"/>
        <v>103.89579219532416</v>
      </c>
      <c r="Q85">
        <f t="shared" si="12"/>
        <v>7.6932533333333344E-4</v>
      </c>
      <c r="R85">
        <f t="shared" si="12"/>
        <v>1.8399866666666666E-4</v>
      </c>
      <c r="T85">
        <f t="shared" si="19"/>
        <v>88.355790874786692</v>
      </c>
      <c r="U85">
        <f t="shared" si="20"/>
        <v>101.19811456654418</v>
      </c>
      <c r="W85">
        <f t="shared" si="21"/>
        <v>0.4921759561569431</v>
      </c>
      <c r="X85">
        <f t="shared" si="22"/>
        <v>3.4632170438925867</v>
      </c>
    </row>
    <row r="86" spans="1:24" x14ac:dyDescent="0.35">
      <c r="A86">
        <v>549.649</v>
      </c>
      <c r="B86">
        <v>7.4945899999999995E-4</v>
      </c>
      <c r="C86">
        <v>1.8813599999999999E-4</v>
      </c>
      <c r="D86">
        <f t="shared" si="13"/>
        <v>89.379852357157333</v>
      </c>
      <c r="E86">
        <f t="shared" si="14"/>
        <v>102.73469922677035</v>
      </c>
      <c r="G86">
        <v>7.2095799999999995E-4</v>
      </c>
      <c r="H86">
        <v>1.7557799999999999E-4</v>
      </c>
      <c r="I86">
        <f t="shared" si="15"/>
        <v>90.184231725683844</v>
      </c>
      <c r="J86">
        <f t="shared" si="16"/>
        <v>98.202380419705577</v>
      </c>
      <c r="L86" s="4">
        <v>8.6826799999999995E-4</v>
      </c>
      <c r="M86" s="4">
        <v>1.92716E-4</v>
      </c>
      <c r="N86" s="3">
        <f t="shared" si="17"/>
        <v>89.030299923096635</v>
      </c>
      <c r="O86" s="3">
        <f t="shared" si="18"/>
        <v>105.12202306274068</v>
      </c>
      <c r="Q86">
        <f t="shared" si="12"/>
        <v>7.7956166666666665E-4</v>
      </c>
      <c r="R86">
        <f t="shared" si="12"/>
        <v>1.8547666666666668E-4</v>
      </c>
      <c r="T86">
        <f t="shared" si="19"/>
        <v>89.531461335312613</v>
      </c>
      <c r="U86">
        <f t="shared" si="20"/>
        <v>102.01970090307221</v>
      </c>
      <c r="W86">
        <f t="shared" si="21"/>
        <v>0.48313463475412705</v>
      </c>
      <c r="X86">
        <f t="shared" si="22"/>
        <v>2.8698177095413602</v>
      </c>
    </row>
    <row r="87" spans="1:24" x14ac:dyDescent="0.35">
      <c r="A87">
        <v>555.86300000000006</v>
      </c>
      <c r="B87">
        <v>7.5691899999999999E-4</v>
      </c>
      <c r="C87">
        <v>1.86799E-4</v>
      </c>
      <c r="D87">
        <f t="shared" si="13"/>
        <v>90.269525706312393</v>
      </c>
      <c r="E87">
        <f t="shared" si="14"/>
        <v>102.00460879821762</v>
      </c>
      <c r="G87">
        <v>7.2793300000000005E-4</v>
      </c>
      <c r="H87">
        <v>1.73721E-4</v>
      </c>
      <c r="I87">
        <f t="shared" si="15"/>
        <v>91.056730562352087</v>
      </c>
      <c r="J87">
        <f t="shared" si="16"/>
        <v>97.163743344221217</v>
      </c>
      <c r="L87" s="4">
        <v>8.7710800000000003E-4</v>
      </c>
      <c r="M87" s="4">
        <v>1.9287500000000001E-4</v>
      </c>
      <c r="N87" s="3">
        <f t="shared" si="17"/>
        <v>89.936734170725458</v>
      </c>
      <c r="O87" s="3">
        <f t="shared" si="18"/>
        <v>105.20875380469765</v>
      </c>
      <c r="Q87">
        <f t="shared" si="12"/>
        <v>7.873200000000001E-4</v>
      </c>
      <c r="R87">
        <f t="shared" si="12"/>
        <v>1.84465E-4</v>
      </c>
      <c r="T87">
        <f t="shared" si="19"/>
        <v>90.420996813129975</v>
      </c>
      <c r="U87">
        <f t="shared" si="20"/>
        <v>101.45903531571217</v>
      </c>
      <c r="W87">
        <f t="shared" si="21"/>
        <v>0.46961374303042958</v>
      </c>
      <c r="X87">
        <f t="shared" si="22"/>
        <v>3.3069407963558159</v>
      </c>
    </row>
    <row r="88" spans="1:24" x14ac:dyDescent="0.35">
      <c r="A88">
        <v>562.19600000000003</v>
      </c>
      <c r="B88">
        <v>7.6256399999999997E-4</v>
      </c>
      <c r="C88">
        <v>1.8717000000000001E-4</v>
      </c>
      <c r="D88">
        <f t="shared" si="13"/>
        <v>90.94274367628293</v>
      </c>
      <c r="E88">
        <f t="shared" si="14"/>
        <v>102.20719933598357</v>
      </c>
      <c r="G88">
        <v>7.33948E-4</v>
      </c>
      <c r="H88">
        <v>1.7793799999999999E-4</v>
      </c>
      <c r="I88">
        <f t="shared" si="15"/>
        <v>91.809143537629396</v>
      </c>
      <c r="J88">
        <f t="shared" si="16"/>
        <v>99.522349993288287</v>
      </c>
      <c r="L88" s="4">
        <v>8.8619000000000002E-4</v>
      </c>
      <c r="M88" s="4">
        <v>1.9403000000000001E-4</v>
      </c>
      <c r="N88" s="3">
        <f t="shared" si="17"/>
        <v>90.867982568572174</v>
      </c>
      <c r="O88" s="3">
        <f t="shared" si="18"/>
        <v>105.83877900570569</v>
      </c>
      <c r="Q88">
        <f t="shared" si="12"/>
        <v>7.94234E-4</v>
      </c>
      <c r="R88">
        <f t="shared" si="12"/>
        <v>1.8637933333333335E-4</v>
      </c>
      <c r="T88">
        <f t="shared" si="19"/>
        <v>91.206623260828167</v>
      </c>
      <c r="U88">
        <f t="shared" si="20"/>
        <v>102.52277611165918</v>
      </c>
      <c r="W88">
        <f t="shared" si="21"/>
        <v>0.42713800952698117</v>
      </c>
      <c r="X88">
        <f t="shared" si="22"/>
        <v>2.588308378489244</v>
      </c>
    </row>
    <row r="89" spans="1:24" x14ac:dyDescent="0.35">
      <c r="A89">
        <v>568.34699999999998</v>
      </c>
      <c r="B89">
        <v>7.6885099999999997E-4</v>
      </c>
      <c r="C89">
        <v>1.88407E-4</v>
      </c>
      <c r="D89">
        <f t="shared" si="13"/>
        <v>91.69252602831213</v>
      </c>
      <c r="E89">
        <f t="shared" si="14"/>
        <v>102.8826831505832</v>
      </c>
      <c r="G89">
        <v>7.3783200000000001E-4</v>
      </c>
      <c r="H89">
        <v>1.76412E-4</v>
      </c>
      <c r="I89">
        <f t="shared" si="15"/>
        <v>92.294990918506727</v>
      </c>
      <c r="J89">
        <f t="shared" si="16"/>
        <v>98.668844243590328</v>
      </c>
      <c r="L89" s="4">
        <v>8.8905199999999998E-4</v>
      </c>
      <c r="M89" s="4">
        <v>1.9344300000000001E-4</v>
      </c>
      <c r="N89" s="3">
        <f t="shared" si="17"/>
        <v>91.161445783132535</v>
      </c>
      <c r="O89" s="3">
        <f t="shared" si="18"/>
        <v>105.51858437973883</v>
      </c>
      <c r="Q89">
        <f t="shared" si="12"/>
        <v>7.9857833333333336E-4</v>
      </c>
      <c r="R89">
        <f t="shared" si="12"/>
        <v>1.8608733333333333E-4</v>
      </c>
      <c r="T89">
        <f t="shared" si="19"/>
        <v>91.716320909983793</v>
      </c>
      <c r="U89">
        <f t="shared" si="20"/>
        <v>102.35670392463744</v>
      </c>
      <c r="W89">
        <f t="shared" si="21"/>
        <v>0.46307363761281717</v>
      </c>
      <c r="X89">
        <f t="shared" si="22"/>
        <v>2.8210193893680557</v>
      </c>
    </row>
    <row r="90" spans="1:24" x14ac:dyDescent="0.35">
      <c r="A90">
        <v>574.55200000000002</v>
      </c>
      <c r="B90">
        <v>7.7159600000000004E-4</v>
      </c>
      <c r="C90">
        <v>1.8731100000000001E-4</v>
      </c>
      <c r="D90">
        <f t="shared" si="13"/>
        <v>92.019892428235806</v>
      </c>
      <c r="E90">
        <f t="shared" si="14"/>
        <v>102.28419466165741</v>
      </c>
      <c r="G90">
        <v>7.4189000000000004E-4</v>
      </c>
      <c r="H90">
        <v>1.75723E-4</v>
      </c>
      <c r="I90">
        <f t="shared" si="15"/>
        <v>92.802603861761156</v>
      </c>
      <c r="J90">
        <f t="shared" si="16"/>
        <v>98.283480245201133</v>
      </c>
      <c r="L90" s="4">
        <v>8.9404999999999997E-4</v>
      </c>
      <c r="M90" s="4">
        <v>1.9426E-4</v>
      </c>
      <c r="N90" s="3">
        <f t="shared" si="17"/>
        <v>91.673929761599595</v>
      </c>
      <c r="O90" s="3">
        <f t="shared" si="18"/>
        <v>105.96423856954277</v>
      </c>
      <c r="Q90">
        <f t="shared" si="12"/>
        <v>8.0251200000000002E-4</v>
      </c>
      <c r="R90">
        <f t="shared" si="12"/>
        <v>1.8576466666666669E-4</v>
      </c>
      <c r="T90">
        <f t="shared" si="19"/>
        <v>92.165475350532191</v>
      </c>
      <c r="U90">
        <f t="shared" si="20"/>
        <v>102.17730449213377</v>
      </c>
      <c r="W90">
        <f t="shared" si="21"/>
        <v>0.47213846594838582</v>
      </c>
      <c r="X90">
        <f t="shared" si="22"/>
        <v>3.1365672574213401</v>
      </c>
    </row>
    <row r="91" spans="1:24" x14ac:dyDescent="0.35">
      <c r="A91">
        <v>580.73699999999997</v>
      </c>
      <c r="B91">
        <v>7.7607800000000003E-4</v>
      </c>
      <c r="C91">
        <v>1.8690199999999999E-4</v>
      </c>
      <c r="D91">
        <f t="shared" si="13"/>
        <v>92.554411992701347</v>
      </c>
      <c r="E91">
        <f t="shared" si="14"/>
        <v>102.06085361058929</v>
      </c>
      <c r="G91">
        <v>7.4596999999999999E-4</v>
      </c>
      <c r="H91">
        <v>1.7587000000000001E-4</v>
      </c>
      <c r="I91">
        <f t="shared" si="15"/>
        <v>93.312968772672463</v>
      </c>
      <c r="J91">
        <f t="shared" si="16"/>
        <v>98.365698688979393</v>
      </c>
      <c r="L91" s="4">
        <v>8.9844600000000001E-4</v>
      </c>
      <c r="M91" s="4">
        <v>1.9523199999999999E-4</v>
      </c>
      <c r="N91" s="3">
        <f t="shared" si="17"/>
        <v>92.124685977954371</v>
      </c>
      <c r="O91" s="3">
        <f t="shared" si="18"/>
        <v>106.49444159584564</v>
      </c>
      <c r="Q91">
        <f t="shared" si="12"/>
        <v>8.0683133333333331E-4</v>
      </c>
      <c r="R91">
        <f t="shared" si="12"/>
        <v>1.8600133333333333E-4</v>
      </c>
      <c r="T91">
        <f t="shared" si="19"/>
        <v>92.66402224777606</v>
      </c>
      <c r="U91">
        <f t="shared" si="20"/>
        <v>102.30699796513811</v>
      </c>
      <c r="W91">
        <f t="shared" si="21"/>
        <v>0.49126693766825463</v>
      </c>
      <c r="X91">
        <f t="shared" si="22"/>
        <v>3.3231065379590512</v>
      </c>
    </row>
    <row r="92" spans="1:24" x14ac:dyDescent="0.35">
      <c r="A92">
        <v>587.00400000000002</v>
      </c>
      <c r="B92">
        <v>7.7973699999999996E-4</v>
      </c>
      <c r="C92">
        <v>1.84962E-4</v>
      </c>
      <c r="D92">
        <f t="shared" si="13"/>
        <v>92.99078126677081</v>
      </c>
      <c r="E92">
        <f t="shared" si="14"/>
        <v>101.00148529989951</v>
      </c>
      <c r="G92">
        <v>7.5151500000000002E-4</v>
      </c>
      <c r="H92">
        <v>1.7759399999999999E-4</v>
      </c>
      <c r="I92">
        <f t="shared" si="15"/>
        <v>94.006589711643826</v>
      </c>
      <c r="J92">
        <f t="shared" si="16"/>
        <v>99.329947648664373</v>
      </c>
      <c r="L92" s="4">
        <v>9.0423599999999999E-4</v>
      </c>
      <c r="M92" s="4">
        <v>1.9534700000000001E-4</v>
      </c>
      <c r="N92" s="3">
        <f t="shared" si="17"/>
        <v>92.718379902589078</v>
      </c>
      <c r="O92" s="3">
        <f t="shared" si="18"/>
        <v>106.55717137776419</v>
      </c>
      <c r="Q92">
        <f t="shared" si="12"/>
        <v>8.1182933333333329E-4</v>
      </c>
      <c r="R92">
        <f t="shared" si="12"/>
        <v>1.8596766666666666E-4</v>
      </c>
      <c r="T92">
        <f t="shared" si="19"/>
        <v>93.238583627001233</v>
      </c>
      <c r="U92">
        <f t="shared" si="20"/>
        <v>102.29620144210935</v>
      </c>
      <c r="W92">
        <f t="shared" si="21"/>
        <v>0.55433181118535024</v>
      </c>
      <c r="X92">
        <f t="shared" si="22"/>
        <v>3.0892726354585944</v>
      </c>
    </row>
    <row r="93" spans="1:24" x14ac:dyDescent="0.35">
      <c r="A93">
        <v>593.21</v>
      </c>
      <c r="B93">
        <v>7.8539500000000004E-4</v>
      </c>
      <c r="C93">
        <v>1.8636400000000001E-4</v>
      </c>
      <c r="D93">
        <f t="shared" si="13"/>
        <v>93.665549605848469</v>
      </c>
      <c r="E93">
        <f t="shared" si="14"/>
        <v>101.76707002752173</v>
      </c>
      <c r="G93">
        <v>7.5494400000000001E-4</v>
      </c>
      <c r="H93">
        <v>1.7861099999999999E-4</v>
      </c>
      <c r="I93">
        <f t="shared" si="15"/>
        <v>94.43552139779942</v>
      </c>
      <c r="J93">
        <f t="shared" si="16"/>
        <v>99.8987650454159</v>
      </c>
      <c r="L93" s="4">
        <v>9.0839399999999998E-4</v>
      </c>
      <c r="M93" s="4">
        <v>1.9024800000000001E-4</v>
      </c>
      <c r="N93" s="3">
        <f t="shared" si="17"/>
        <v>93.144732119969248</v>
      </c>
      <c r="O93" s="3">
        <f t="shared" si="18"/>
        <v>103.77578739513216</v>
      </c>
      <c r="Q93">
        <f t="shared" si="12"/>
        <v>8.1624433333333331E-4</v>
      </c>
      <c r="R93">
        <f t="shared" si="12"/>
        <v>1.8507433333333337E-4</v>
      </c>
      <c r="T93">
        <f t="shared" si="19"/>
        <v>93.748601041205703</v>
      </c>
      <c r="U93">
        <f t="shared" si="20"/>
        <v>101.81387415602326</v>
      </c>
      <c r="W93">
        <f t="shared" si="21"/>
        <v>0.53022472947893062</v>
      </c>
      <c r="X93">
        <f t="shared" si="22"/>
        <v>1.5831337161641212</v>
      </c>
    </row>
    <row r="94" spans="1:24" x14ac:dyDescent="0.35">
      <c r="A94">
        <v>599.31799999999998</v>
      </c>
      <c r="B94">
        <v>7.8814100000000002E-4</v>
      </c>
      <c r="C94">
        <v>1.8242099999999999E-4</v>
      </c>
      <c r="D94">
        <f t="shared" si="13"/>
        <v>93.993035264934235</v>
      </c>
      <c r="E94">
        <f t="shared" si="14"/>
        <v>99.6139312393517</v>
      </c>
      <c r="G94">
        <v>7.5940199999999995E-4</v>
      </c>
      <c r="H94">
        <v>1.7830299999999999E-4</v>
      </c>
      <c r="I94">
        <f t="shared" si="15"/>
        <v>94.99317011663338</v>
      </c>
      <c r="J94">
        <f t="shared" si="16"/>
        <v>99.726497829880529</v>
      </c>
      <c r="L94" s="4">
        <v>9.1236300000000002E-4</v>
      </c>
      <c r="M94" s="4">
        <v>1.9306E-4</v>
      </c>
      <c r="N94" s="3">
        <f t="shared" si="17"/>
        <v>93.55170469110486</v>
      </c>
      <c r="O94" s="3">
        <f t="shared" si="18"/>
        <v>105.30966693213182</v>
      </c>
      <c r="Q94">
        <f t="shared" si="12"/>
        <v>8.1996866666666666E-4</v>
      </c>
      <c r="R94">
        <f t="shared" si="12"/>
        <v>1.8459466666666667E-4</v>
      </c>
      <c r="T94">
        <f t="shared" si="19"/>
        <v>94.179303357557501</v>
      </c>
      <c r="U94">
        <f t="shared" si="20"/>
        <v>101.55003200045469</v>
      </c>
      <c r="W94">
        <f t="shared" si="21"/>
        <v>0.60303537485825753</v>
      </c>
      <c r="X94">
        <f t="shared" si="22"/>
        <v>2.6588605233496834</v>
      </c>
    </row>
    <row r="95" spans="1:24" x14ac:dyDescent="0.35">
      <c r="A95">
        <v>605.59400000000005</v>
      </c>
      <c r="B95">
        <v>7.90419E-4</v>
      </c>
      <c r="C95">
        <v>1.8210500000000001E-4</v>
      </c>
      <c r="D95">
        <f t="shared" si="13"/>
        <v>94.264707636164147</v>
      </c>
      <c r="E95">
        <f t="shared" si="14"/>
        <v>99.441374339259966</v>
      </c>
      <c r="G95">
        <v>7.6232000000000003E-4</v>
      </c>
      <c r="H95">
        <v>1.79395E-4</v>
      </c>
      <c r="I95">
        <f t="shared" si="15"/>
        <v>95.358181099486131</v>
      </c>
      <c r="J95">
        <f t="shared" si="16"/>
        <v>100.33726341223321</v>
      </c>
      <c r="L95" s="4">
        <v>9.1826699999999995E-4</v>
      </c>
      <c r="M95" s="4">
        <v>1.9135800000000001E-4</v>
      </c>
      <c r="N95" s="3">
        <f t="shared" si="17"/>
        <v>94.157087926172778</v>
      </c>
      <c r="O95" s="3">
        <f t="shared" si="18"/>
        <v>104.38126615973728</v>
      </c>
      <c r="Q95">
        <f t="shared" si="12"/>
        <v>8.236686666666667E-4</v>
      </c>
      <c r="R95">
        <f t="shared" si="12"/>
        <v>1.84286E-4</v>
      </c>
      <c r="T95">
        <f t="shared" si="19"/>
        <v>94.593325553941028</v>
      </c>
      <c r="U95">
        <f t="shared" si="20"/>
        <v>101.38663463707682</v>
      </c>
      <c r="W95">
        <f t="shared" si="21"/>
        <v>0.54261619625538293</v>
      </c>
      <c r="X95">
        <f t="shared" si="22"/>
        <v>2.1488784322915984</v>
      </c>
    </row>
    <row r="96" spans="1:24" x14ac:dyDescent="0.35">
      <c r="A96">
        <v>611.76900000000001</v>
      </c>
      <c r="B96">
        <v>7.9251300000000001E-4</v>
      </c>
      <c r="C96">
        <v>1.7986200000000001E-4</v>
      </c>
      <c r="D96">
        <f t="shared" si="13"/>
        <v>94.5144363215704</v>
      </c>
      <c r="E96">
        <f t="shared" si="14"/>
        <v>98.216547988292334</v>
      </c>
      <c r="G96">
        <v>7.6537399999999998E-4</v>
      </c>
      <c r="H96">
        <v>1.8032500000000001E-4</v>
      </c>
      <c r="I96">
        <f t="shared" si="15"/>
        <v>95.740204246035916</v>
      </c>
      <c r="J96">
        <f t="shared" si="16"/>
        <v>100.85742091368741</v>
      </c>
      <c r="L96" s="4">
        <v>9.2203800000000002E-4</v>
      </c>
      <c r="M96" s="4">
        <v>1.9138599999999999E-4</v>
      </c>
      <c r="N96" s="3">
        <f t="shared" si="17"/>
        <v>94.543758010766481</v>
      </c>
      <c r="O96" s="3">
        <f t="shared" si="18"/>
        <v>104.39653949794354</v>
      </c>
      <c r="Q96">
        <f t="shared" si="12"/>
        <v>8.2664166666666667E-4</v>
      </c>
      <c r="R96">
        <f t="shared" si="12"/>
        <v>1.8385766666666667E-4</v>
      </c>
      <c r="T96">
        <f t="shared" si="19"/>
        <v>94.932799526124271</v>
      </c>
      <c r="U96">
        <f t="shared" si="20"/>
        <v>101.15683613330776</v>
      </c>
      <c r="W96">
        <f t="shared" si="21"/>
        <v>0.57104683209350127</v>
      </c>
      <c r="X96">
        <f t="shared" si="22"/>
        <v>2.5318387086786638</v>
      </c>
    </row>
    <row r="97" spans="1:24" x14ac:dyDescent="0.35">
      <c r="A97">
        <v>617.947</v>
      </c>
      <c r="B97">
        <v>7.9538299999999998E-4</v>
      </c>
      <c r="C97">
        <v>1.8085200000000001E-4</v>
      </c>
      <c r="D97">
        <f t="shared" si="13"/>
        <v>94.856710116754712</v>
      </c>
      <c r="E97">
        <f t="shared" si="14"/>
        <v>98.757153466427852</v>
      </c>
      <c r="G97">
        <v>7.6763600000000003E-4</v>
      </c>
      <c r="H97">
        <v>1.80254E-4</v>
      </c>
      <c r="I97">
        <f t="shared" si="15"/>
        <v>96.023156556938218</v>
      </c>
      <c r="J97">
        <f t="shared" si="16"/>
        <v>100.81770996465167</v>
      </c>
      <c r="L97" s="4">
        <v>9.2495399999999997E-4</v>
      </c>
      <c r="M97" s="4">
        <v>1.9436099999999999E-4</v>
      </c>
      <c r="N97" s="3">
        <f t="shared" si="17"/>
        <v>94.842758267110995</v>
      </c>
      <c r="O97" s="3">
        <f t="shared" si="18"/>
        <v>106.0193316823582</v>
      </c>
      <c r="Q97">
        <f t="shared" si="12"/>
        <v>8.2932433333333336E-4</v>
      </c>
      <c r="R97">
        <f t="shared" si="12"/>
        <v>1.8515566666666667E-4</v>
      </c>
      <c r="T97">
        <f t="shared" si="19"/>
        <v>95.240874980267975</v>
      </c>
      <c r="U97">
        <f t="shared" si="20"/>
        <v>101.86473170447924</v>
      </c>
      <c r="W97">
        <f t="shared" si="21"/>
        <v>0.55318593162720109</v>
      </c>
      <c r="X97">
        <f t="shared" si="22"/>
        <v>3.0558140216901277</v>
      </c>
    </row>
    <row r="98" spans="1:24" x14ac:dyDescent="0.35">
      <c r="A98">
        <v>624.12199999999996</v>
      </c>
      <c r="B98">
        <v>7.9811900000000002E-4</v>
      </c>
      <c r="C98">
        <v>1.83616E-4</v>
      </c>
      <c r="D98">
        <f t="shared" si="13"/>
        <v>95.183003184219629</v>
      </c>
      <c r="E98">
        <f t="shared" si="14"/>
        <v>100.26648027609104</v>
      </c>
      <c r="G98">
        <v>7.7096300000000005E-4</v>
      </c>
      <c r="H98">
        <v>1.8214899999999999E-4</v>
      </c>
      <c r="I98">
        <f t="shared" si="15"/>
        <v>96.43932912032102</v>
      </c>
      <c r="J98">
        <f t="shared" si="16"/>
        <v>101.87760078750728</v>
      </c>
      <c r="L98" s="4">
        <v>9.2757500000000004E-4</v>
      </c>
      <c r="M98" s="4">
        <v>1.9592599999999999E-4</v>
      </c>
      <c r="N98" s="3">
        <f t="shared" si="17"/>
        <v>95.111509869264296</v>
      </c>
      <c r="O98" s="3">
        <f t="shared" si="18"/>
        <v>106.87300219281497</v>
      </c>
      <c r="Q98">
        <f t="shared" si="12"/>
        <v>8.3221900000000004E-4</v>
      </c>
      <c r="R98">
        <f t="shared" si="12"/>
        <v>1.8723033333333333E-4</v>
      </c>
      <c r="T98">
        <f t="shared" si="19"/>
        <v>95.57794739126831</v>
      </c>
      <c r="U98">
        <f t="shared" si="20"/>
        <v>103.00569441880442</v>
      </c>
      <c r="W98">
        <f t="shared" si="21"/>
        <v>0.60978776957243963</v>
      </c>
      <c r="X98">
        <f t="shared" si="22"/>
        <v>2.8125882966606013</v>
      </c>
    </row>
    <row r="99" spans="1:24" x14ac:dyDescent="0.35">
      <c r="A99">
        <v>630.39800000000002</v>
      </c>
      <c r="B99">
        <v>8.0007199999999998E-4</v>
      </c>
      <c r="C99">
        <v>1.8271100000000001E-4</v>
      </c>
      <c r="D99">
        <f t="shared" si="13"/>
        <v>95.415916327771882</v>
      </c>
      <c r="E99">
        <f t="shared" si="14"/>
        <v>99.772290419815647</v>
      </c>
      <c r="G99">
        <v>7.7353000000000003E-4</v>
      </c>
      <c r="H99">
        <v>1.79741E-4</v>
      </c>
      <c r="I99">
        <f t="shared" si="15"/>
        <v>96.760433710102717</v>
      </c>
      <c r="J99">
        <f t="shared" si="16"/>
        <v>100.53078437513983</v>
      </c>
      <c r="L99" s="4">
        <v>9.2965599999999995E-4</v>
      </c>
      <c r="M99" s="4">
        <v>1.9426600000000001E-4</v>
      </c>
      <c r="N99" s="3">
        <f t="shared" si="17"/>
        <v>95.324891053575996</v>
      </c>
      <c r="O99" s="3">
        <f t="shared" si="18"/>
        <v>105.96751142772985</v>
      </c>
      <c r="Q99">
        <f t="shared" si="12"/>
        <v>8.3441933333333336E-4</v>
      </c>
      <c r="R99">
        <f t="shared" si="12"/>
        <v>1.8557266666666667E-4</v>
      </c>
      <c r="T99">
        <f t="shared" si="19"/>
        <v>95.833747030483536</v>
      </c>
      <c r="U99">
        <f t="shared" si="20"/>
        <v>102.09019540756178</v>
      </c>
      <c r="W99">
        <f t="shared" si="21"/>
        <v>0.6563193083519292</v>
      </c>
      <c r="X99">
        <f t="shared" si="22"/>
        <v>2.7591076951621889</v>
      </c>
    </row>
    <row r="100" spans="1:24" x14ac:dyDescent="0.35">
      <c r="A100">
        <v>636.58100000000002</v>
      </c>
      <c r="B100">
        <v>8.0436899999999998E-4</v>
      </c>
      <c r="C100">
        <v>1.8553800000000001E-4</v>
      </c>
      <c r="D100">
        <f t="shared" si="13"/>
        <v>95.928372947251674</v>
      </c>
      <c r="E100">
        <f t="shared" si="14"/>
        <v>101.31601939626928</v>
      </c>
      <c r="G100">
        <v>7.7092299999999996E-4</v>
      </c>
      <c r="H100">
        <v>1.6912599999999999E-4</v>
      </c>
      <c r="I100">
        <f t="shared" si="15"/>
        <v>96.434325542763062</v>
      </c>
      <c r="J100">
        <f t="shared" si="16"/>
        <v>94.593717839724377</v>
      </c>
      <c r="L100" s="4">
        <v>9.3356000000000005E-4</v>
      </c>
      <c r="M100" s="4">
        <v>1.9471500000000001E-4</v>
      </c>
      <c r="N100" s="3">
        <f t="shared" si="17"/>
        <v>95.72519866700847</v>
      </c>
      <c r="O100" s="3">
        <f t="shared" si="18"/>
        <v>106.21243031539443</v>
      </c>
      <c r="Q100">
        <f t="shared" si="12"/>
        <v>8.3628399999999996E-4</v>
      </c>
      <c r="R100">
        <f t="shared" si="12"/>
        <v>1.8312633333333333E-4</v>
      </c>
      <c r="T100">
        <f t="shared" si="19"/>
        <v>96.029299052341074</v>
      </c>
      <c r="U100">
        <f t="shared" si="20"/>
        <v>100.70738918379602</v>
      </c>
      <c r="W100">
        <f t="shared" si="21"/>
        <v>0.29816638587177441</v>
      </c>
      <c r="X100">
        <f t="shared" si="22"/>
        <v>4.7628033026586456</v>
      </c>
    </row>
    <row r="101" spans="1:24" x14ac:dyDescent="0.35">
      <c r="A101">
        <v>642.83500000000004</v>
      </c>
      <c r="B101">
        <v>8.0671200000000001E-4</v>
      </c>
      <c r="C101">
        <v>1.8368200000000001E-4</v>
      </c>
      <c r="D101">
        <f t="shared" si="13"/>
        <v>96.207797164017123</v>
      </c>
      <c r="E101">
        <f t="shared" si="14"/>
        <v>100.30252064130008</v>
      </c>
      <c r="G101">
        <v>7.7493899999999999E-4</v>
      </c>
      <c r="H101">
        <v>1.7428300000000001E-4</v>
      </c>
      <c r="I101">
        <f t="shared" si="15"/>
        <v>96.936684729581643</v>
      </c>
      <c r="J101">
        <f t="shared" si="16"/>
        <v>97.478075081659142</v>
      </c>
      <c r="L101" s="4">
        <v>9.3572299999999996E-4</v>
      </c>
      <c r="M101" s="4">
        <v>1.9169799999999999E-4</v>
      </c>
      <c r="N101" s="3">
        <f t="shared" si="17"/>
        <v>95.94698795180723</v>
      </c>
      <c r="O101" s="3">
        <f t="shared" si="18"/>
        <v>104.56672812367039</v>
      </c>
      <c r="Q101">
        <f t="shared" si="12"/>
        <v>8.3912466666666654E-4</v>
      </c>
      <c r="R101">
        <f t="shared" si="12"/>
        <v>1.8322100000000001E-4</v>
      </c>
      <c r="T101">
        <f t="shared" si="19"/>
        <v>96.363823281801999</v>
      </c>
      <c r="U101">
        <f t="shared" si="20"/>
        <v>100.78244128220986</v>
      </c>
      <c r="W101">
        <f t="shared" si="21"/>
        <v>0.41883412791344865</v>
      </c>
      <c r="X101">
        <f t="shared" si="22"/>
        <v>2.913759696529814</v>
      </c>
    </row>
    <row r="102" spans="1:24" x14ac:dyDescent="0.35">
      <c r="A102">
        <v>649.06100000000004</v>
      </c>
      <c r="B102">
        <v>8.0991500000000003E-4</v>
      </c>
      <c r="C102">
        <v>1.85553E-4</v>
      </c>
      <c r="D102">
        <f t="shared" si="13"/>
        <v>96.58978426017579</v>
      </c>
      <c r="E102">
        <f t="shared" si="14"/>
        <v>101.32421038836223</v>
      </c>
      <c r="G102">
        <v>7.7840199999999998E-4</v>
      </c>
      <c r="H102">
        <v>1.74635E-4</v>
      </c>
      <c r="I102">
        <f t="shared" si="15"/>
        <v>97.369869456661505</v>
      </c>
      <c r="J102">
        <f t="shared" si="16"/>
        <v>97.674951899413841</v>
      </c>
      <c r="L102" s="4">
        <v>9.3782700000000002E-4</v>
      </c>
      <c r="M102" s="4">
        <v>1.93976E-4</v>
      </c>
      <c r="N102" s="3">
        <f t="shared" si="17"/>
        <v>96.162727505767748</v>
      </c>
      <c r="O102" s="3">
        <f t="shared" si="18"/>
        <v>105.80932328202218</v>
      </c>
      <c r="Q102">
        <f t="shared" si="12"/>
        <v>8.4204800000000008E-4</v>
      </c>
      <c r="R102">
        <f t="shared" si="12"/>
        <v>1.8472133333333334E-4</v>
      </c>
      <c r="T102">
        <f t="shared" si="19"/>
        <v>96.707460407535009</v>
      </c>
      <c r="U102">
        <f t="shared" si="20"/>
        <v>101.60282852326607</v>
      </c>
      <c r="W102">
        <f t="shared" si="21"/>
        <v>0.49978907494053831</v>
      </c>
      <c r="X102">
        <f t="shared" si="22"/>
        <v>3.3266820804291211</v>
      </c>
    </row>
    <row r="103" spans="1:24" x14ac:dyDescent="0.35">
      <c r="A103">
        <v>655.28099999999995</v>
      </c>
      <c r="B103">
        <v>8.1309899999999996E-4</v>
      </c>
      <c r="C103">
        <v>1.8635900000000001E-4</v>
      </c>
      <c r="D103">
        <f t="shared" si="13"/>
        <v>96.969505432254834</v>
      </c>
      <c r="E103">
        <f t="shared" si="14"/>
        <v>101.76433969682408</v>
      </c>
      <c r="G103">
        <v>7.8012700000000003E-4</v>
      </c>
      <c r="H103">
        <v>1.7012400000000001E-4</v>
      </c>
      <c r="I103">
        <f t="shared" si="15"/>
        <v>97.585648738848278</v>
      </c>
      <c r="J103">
        <f t="shared" si="16"/>
        <v>95.151908362790294</v>
      </c>
      <c r="L103" s="4">
        <v>9.4157699999999997E-4</v>
      </c>
      <c r="M103" s="4">
        <v>1.9304700000000001E-4</v>
      </c>
      <c r="N103" s="3">
        <f t="shared" si="17"/>
        <v>96.54724429633427</v>
      </c>
      <c r="O103" s="3">
        <f t="shared" si="18"/>
        <v>105.30257573939321</v>
      </c>
      <c r="Q103">
        <f t="shared" si="12"/>
        <v>8.4493433333333336E-4</v>
      </c>
      <c r="R103">
        <f t="shared" si="12"/>
        <v>1.8317666666666668E-4</v>
      </c>
      <c r="T103">
        <f t="shared" si="19"/>
        <v>97.034132822479137</v>
      </c>
      <c r="U103">
        <f t="shared" si="20"/>
        <v>100.73960793300252</v>
      </c>
      <c r="W103">
        <f t="shared" si="21"/>
        <v>0.42638282582174825</v>
      </c>
      <c r="X103">
        <f t="shared" si="22"/>
        <v>4.2068649006472167</v>
      </c>
    </row>
    <row r="104" spans="1:24" x14ac:dyDescent="0.35">
      <c r="A104">
        <v>661.45299999999997</v>
      </c>
      <c r="B104">
        <v>8.1494499999999997E-4</v>
      </c>
      <c r="C104">
        <v>1.83618E-4</v>
      </c>
      <c r="D104">
        <f t="shared" si="13"/>
        <v>97.189657845463969</v>
      </c>
      <c r="E104">
        <f t="shared" si="14"/>
        <v>100.2675724083701</v>
      </c>
      <c r="G104">
        <v>7.79891E-4</v>
      </c>
      <c r="H104">
        <v>1.6927899999999999E-4</v>
      </c>
      <c r="I104">
        <f t="shared" si="15"/>
        <v>97.556127631256345</v>
      </c>
      <c r="J104">
        <f t="shared" si="16"/>
        <v>94.679292138350718</v>
      </c>
      <c r="L104" s="4">
        <v>9.4399700000000002E-4</v>
      </c>
      <c r="M104" s="4">
        <v>1.95174E-4</v>
      </c>
      <c r="N104" s="3">
        <f t="shared" si="17"/>
        <v>96.795385798513195</v>
      </c>
      <c r="O104" s="3">
        <f t="shared" si="18"/>
        <v>106.46280396670412</v>
      </c>
      <c r="Q104">
        <f t="shared" si="12"/>
        <v>8.4627766666666663E-4</v>
      </c>
      <c r="R104">
        <f t="shared" si="12"/>
        <v>1.8269033333333335E-4</v>
      </c>
      <c r="T104">
        <f t="shared" si="19"/>
        <v>97.180390425077846</v>
      </c>
      <c r="U104">
        <f t="shared" si="20"/>
        <v>100.46988950447496</v>
      </c>
      <c r="W104">
        <f t="shared" si="21"/>
        <v>0.31064067970546699</v>
      </c>
      <c r="X104">
        <f t="shared" si="22"/>
        <v>4.812725278382187</v>
      </c>
    </row>
    <row r="105" spans="1:24" x14ac:dyDescent="0.35">
      <c r="A105">
        <v>667.70500000000004</v>
      </c>
      <c r="B105">
        <v>8.1511799999999998E-4</v>
      </c>
      <c r="C105">
        <v>1.8157199999999999E-4</v>
      </c>
      <c r="D105">
        <f t="shared" si="13"/>
        <v>97.210289680504701</v>
      </c>
      <c r="E105">
        <f t="shared" si="14"/>
        <v>99.150321086890031</v>
      </c>
      <c r="G105">
        <v>7.8235800000000003E-4</v>
      </c>
      <c r="H105">
        <v>1.6658800000000001E-4</v>
      </c>
      <c r="I105">
        <f t="shared" si="15"/>
        <v>97.864723277143156</v>
      </c>
      <c r="J105">
        <f t="shared" si="16"/>
        <v>93.174191238981621</v>
      </c>
      <c r="L105" s="4">
        <v>9.4703300000000001E-4</v>
      </c>
      <c r="M105" s="4">
        <v>1.9571200000000001E-4</v>
      </c>
      <c r="N105" s="3">
        <f t="shared" si="17"/>
        <v>97.106690592155871</v>
      </c>
      <c r="O105" s="3">
        <f t="shared" si="18"/>
        <v>106.75627025081002</v>
      </c>
      <c r="Q105">
        <f t="shared" si="12"/>
        <v>8.481696666666666E-4</v>
      </c>
      <c r="R105">
        <f t="shared" si="12"/>
        <v>1.8129066666666669E-4</v>
      </c>
      <c r="T105">
        <f t="shared" si="19"/>
        <v>97.393901183267914</v>
      </c>
      <c r="U105">
        <f t="shared" si="20"/>
        <v>99.693594192227224</v>
      </c>
      <c r="W105">
        <f t="shared" si="21"/>
        <v>0.33559725449560401</v>
      </c>
      <c r="X105">
        <f t="shared" si="22"/>
        <v>5.5581517804107277</v>
      </c>
    </row>
    <row r="106" spans="1:24" x14ac:dyDescent="0.35">
      <c r="A106">
        <v>673.85199999999998</v>
      </c>
      <c r="B106">
        <v>8.1712099999999997E-4</v>
      </c>
      <c r="C106">
        <v>1.8348600000000001E-4</v>
      </c>
      <c r="D106">
        <f t="shared" si="13"/>
        <v>97.449165782161202</v>
      </c>
      <c r="E106">
        <f t="shared" si="14"/>
        <v>100.19549167795203</v>
      </c>
      <c r="G106">
        <v>7.8375799999999996E-4</v>
      </c>
      <c r="H106">
        <v>1.68682E-4</v>
      </c>
      <c r="I106">
        <f t="shared" si="15"/>
        <v>98.039848491671535</v>
      </c>
      <c r="J106">
        <f t="shared" si="16"/>
        <v>94.3453845809656</v>
      </c>
      <c r="L106" s="4">
        <v>9.4898300000000003E-4</v>
      </c>
      <c r="M106" s="4">
        <v>1.9474600000000001E-4</v>
      </c>
      <c r="N106" s="3">
        <f t="shared" si="17"/>
        <v>97.306639323250451</v>
      </c>
      <c r="O106" s="3">
        <f t="shared" si="18"/>
        <v>106.22934008269422</v>
      </c>
      <c r="Q106">
        <f t="shared" si="12"/>
        <v>8.4995399999999999E-4</v>
      </c>
      <c r="R106">
        <f t="shared" si="12"/>
        <v>1.8230466666666666E-4</v>
      </c>
      <c r="T106">
        <f t="shared" si="19"/>
        <v>97.598551199027725</v>
      </c>
      <c r="U106">
        <f t="shared" si="20"/>
        <v>100.2567387805373</v>
      </c>
      <c r="W106">
        <f t="shared" si="21"/>
        <v>0.31742287592786361</v>
      </c>
      <c r="X106">
        <f t="shared" si="22"/>
        <v>4.8517978109458086</v>
      </c>
    </row>
    <row r="107" spans="1:24" x14ac:dyDescent="0.35">
      <c r="A107">
        <v>680.23400000000004</v>
      </c>
      <c r="B107">
        <v>8.1717200000000002E-4</v>
      </c>
      <c r="C107">
        <v>1.8184599999999999E-4</v>
      </c>
      <c r="D107">
        <f t="shared" si="13"/>
        <v>97.45524799942757</v>
      </c>
      <c r="E107">
        <f t="shared" si="14"/>
        <v>99.29994320912148</v>
      </c>
      <c r="G107">
        <v>7.8594899999999998E-4</v>
      </c>
      <c r="H107">
        <v>1.6957800000000001E-4</v>
      </c>
      <c r="I107">
        <f t="shared" si="15"/>
        <v>98.313919452408456</v>
      </c>
      <c r="J107">
        <f t="shared" si="16"/>
        <v>94.846525571613952</v>
      </c>
      <c r="L107" s="4">
        <v>9.5049100000000003E-4</v>
      </c>
      <c r="M107" s="4">
        <v>1.96009E-4</v>
      </c>
      <c r="N107" s="3">
        <f t="shared" si="17"/>
        <v>97.461266341963608</v>
      </c>
      <c r="O107" s="3">
        <f t="shared" si="18"/>
        <v>106.91827673106924</v>
      </c>
      <c r="Q107">
        <f t="shared" si="12"/>
        <v>8.5120399999999994E-4</v>
      </c>
      <c r="R107">
        <f t="shared" si="12"/>
        <v>1.8247766666666668E-4</v>
      </c>
      <c r="T107">
        <f t="shared" si="19"/>
        <v>97.743477931266554</v>
      </c>
      <c r="U107">
        <f t="shared" si="20"/>
        <v>100.35491517060156</v>
      </c>
      <c r="W107">
        <f t="shared" si="21"/>
        <v>0.40337055081214801</v>
      </c>
      <c r="X107">
        <f t="shared" si="22"/>
        <v>4.9844102555591183</v>
      </c>
    </row>
    <row r="108" spans="1:24" x14ac:dyDescent="0.35">
      <c r="A108">
        <v>686.39200000000005</v>
      </c>
      <c r="B108">
        <v>8.1808399999999996E-4</v>
      </c>
      <c r="C108">
        <v>1.79228E-4</v>
      </c>
      <c r="D108">
        <f t="shared" si="13"/>
        <v>97.56401235524919</v>
      </c>
      <c r="E108">
        <f t="shared" si="14"/>
        <v>97.870342055829795</v>
      </c>
      <c r="G108">
        <v>7.8796499999999995E-4</v>
      </c>
      <c r="H108">
        <v>1.7315899999999999E-4</v>
      </c>
      <c r="I108">
        <f t="shared" si="15"/>
        <v>98.56609976132934</v>
      </c>
      <c r="J108">
        <f t="shared" si="16"/>
        <v>96.849411606783292</v>
      </c>
      <c r="L108" s="4">
        <v>9.5205799999999998E-4</v>
      </c>
      <c r="M108" s="4">
        <v>1.9497899999999999E-4</v>
      </c>
      <c r="N108" s="3">
        <f t="shared" si="17"/>
        <v>97.621943091514993</v>
      </c>
      <c r="O108" s="3">
        <f t="shared" si="18"/>
        <v>106.35643607562484</v>
      </c>
      <c r="Q108">
        <f t="shared" si="12"/>
        <v>8.5270233333333337E-4</v>
      </c>
      <c r="R108">
        <f t="shared" si="12"/>
        <v>1.8245533333333333E-4</v>
      </c>
      <c r="T108">
        <f t="shared" si="19"/>
        <v>97.917351736031165</v>
      </c>
      <c r="U108">
        <f t="shared" si="20"/>
        <v>100.35872991274597</v>
      </c>
      <c r="W108">
        <f t="shared" si="21"/>
        <v>0.45934336670024739</v>
      </c>
      <c r="X108">
        <f t="shared" si="22"/>
        <v>4.2614500003030207</v>
      </c>
    </row>
    <row r="109" spans="1:24" x14ac:dyDescent="0.35">
      <c r="A109">
        <v>692.49400000000003</v>
      </c>
      <c r="B109">
        <v>8.2101299999999999E-4</v>
      </c>
      <c r="C109">
        <v>1.8016399999999999E-4</v>
      </c>
      <c r="D109">
        <f t="shared" si="13"/>
        <v>97.913322440996524</v>
      </c>
      <c r="E109">
        <f t="shared" si="14"/>
        <v>98.38145996243064</v>
      </c>
      <c r="G109">
        <v>7.8855799999999997E-4</v>
      </c>
      <c r="H109">
        <v>1.7040499999999999E-4</v>
      </c>
      <c r="I109">
        <f t="shared" si="15"/>
        <v>98.640277798626002</v>
      </c>
      <c r="J109">
        <f t="shared" si="16"/>
        <v>95.309074231509243</v>
      </c>
      <c r="L109" s="4">
        <v>9.5301200000000004E-4</v>
      </c>
      <c r="M109" s="4">
        <v>1.95052E-4</v>
      </c>
      <c r="N109" s="3">
        <f t="shared" si="17"/>
        <v>97.719764163035123</v>
      </c>
      <c r="O109" s="3">
        <f t="shared" si="18"/>
        <v>106.396255850234</v>
      </c>
      <c r="Q109">
        <f t="shared" si="12"/>
        <v>8.5419433333333344E-4</v>
      </c>
      <c r="R109">
        <f t="shared" si="12"/>
        <v>1.8187366666666668E-4</v>
      </c>
      <c r="T109">
        <f t="shared" si="19"/>
        <v>98.091121467552554</v>
      </c>
      <c r="U109">
        <f t="shared" si="20"/>
        <v>100.02893001472462</v>
      </c>
      <c r="W109">
        <f t="shared" si="21"/>
        <v>0.39627070605028514</v>
      </c>
      <c r="X109">
        <f t="shared" si="22"/>
        <v>4.6738290684442161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2A42-3AED-4518-968F-C63025B93B25}">
  <dimension ref="A1:X109"/>
  <sheetViews>
    <sheetView workbookViewId="0">
      <selection activeCell="I1" sqref="I1:J1048576"/>
    </sheetView>
  </sheetViews>
  <sheetFormatPr defaultColWidth="8.81640625" defaultRowHeight="14.5" x14ac:dyDescent="0.35"/>
  <cols>
    <col min="1" max="1" width="9.453125" bestFit="1" customWidth="1"/>
    <col min="2" max="3" width="12.36328125" bestFit="1" customWidth="1"/>
    <col min="4" max="5" width="12.453125" customWidth="1"/>
    <col min="7" max="8" width="12.36328125" bestFit="1" customWidth="1"/>
    <col min="9" max="10" width="12.1796875" customWidth="1"/>
    <col min="12" max="13" width="11.81640625" bestFit="1" customWidth="1"/>
    <col min="14" max="15" width="11.81640625" customWidth="1"/>
    <col min="16" max="16" width="8.816406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t="s">
        <v>0</v>
      </c>
      <c r="M1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t="s">
        <v>2</v>
      </c>
      <c r="M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1.6108800000000001E-3</v>
      </c>
      <c r="C3">
        <v>2.8016299999999999E-4</v>
      </c>
      <c r="D3">
        <f>B3/$B$3*100</f>
        <v>100</v>
      </c>
      <c r="E3">
        <f>C3/$C$3*100</f>
        <v>100</v>
      </c>
      <c r="G3">
        <v>1.2286E-3</v>
      </c>
      <c r="H3">
        <v>2.49814E-4</v>
      </c>
      <c r="I3">
        <f>G3/$G$3*100</f>
        <v>100</v>
      </c>
      <c r="J3">
        <f>H3/$H$3*100</f>
        <v>100</v>
      </c>
      <c r="Q3">
        <f t="shared" ref="Q3:Q34" si="0">AVERAGE(B3,G3,L3)</f>
        <v>1.4197400000000001E-3</v>
      </c>
      <c r="R3">
        <f t="shared" ref="R3:R34" si="1">AVERAGE(C3,H3,M3)</f>
        <v>2.6498850000000003E-4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1.62206E-3</v>
      </c>
      <c r="C4">
        <v>2.85531E-4</v>
      </c>
      <c r="D4">
        <f t="shared" ref="D4:D67" si="2">B4/$B$3*100</f>
        <v>100.69403059197457</v>
      </c>
      <c r="E4">
        <f t="shared" ref="E4:E67" si="3">C4/$C$3*100</f>
        <v>101.91602745544559</v>
      </c>
      <c r="G4">
        <v>1.2362899999999999E-3</v>
      </c>
      <c r="H4">
        <v>2.5508799999999999E-4</v>
      </c>
      <c r="I4">
        <f t="shared" ref="I4:I67" si="4">G4/$G$3*100</f>
        <v>100.62591567637962</v>
      </c>
      <c r="J4">
        <f t="shared" ref="J4:J67" si="5">H4/$H$3*100</f>
        <v>102.111170711009</v>
      </c>
      <c r="Q4">
        <f t="shared" si="0"/>
        <v>1.429175E-3</v>
      </c>
      <c r="R4">
        <f t="shared" si="1"/>
        <v>2.703095E-4</v>
      </c>
      <c r="T4">
        <f t="shared" ref="T4:U67" si="6">AVERAGE(D4,I4,N4)</f>
        <v>100.65997313417709</v>
      </c>
      <c r="U4">
        <f t="shared" si="6"/>
        <v>102.01359908322729</v>
      </c>
      <c r="W4">
        <f t="shared" ref="W4:X67" si="7">_xlfn.STDEV.P(D4,I4,N4)</f>
        <v>3.4057457797473489E-2</v>
      </c>
      <c r="X4">
        <f t="shared" si="7"/>
        <v>9.7571627781704251E-2</v>
      </c>
    </row>
    <row r="5" spans="1:24" x14ac:dyDescent="0.35">
      <c r="A5">
        <v>18.545500000000001</v>
      </c>
      <c r="B5">
        <v>1.63064E-3</v>
      </c>
      <c r="C5">
        <v>2.8698100000000001E-4</v>
      </c>
      <c r="D5">
        <f t="shared" si="2"/>
        <v>101.22665872069925</v>
      </c>
      <c r="E5">
        <f t="shared" si="3"/>
        <v>102.43358330686065</v>
      </c>
      <c r="G5">
        <v>1.2389300000000001E-3</v>
      </c>
      <c r="H5">
        <v>2.5493199999999998E-4</v>
      </c>
      <c r="I5">
        <f t="shared" si="4"/>
        <v>100.84079440013024</v>
      </c>
      <c r="J5">
        <f t="shared" si="5"/>
        <v>102.04872425084261</v>
      </c>
      <c r="Q5">
        <f t="shared" si="0"/>
        <v>1.4347850000000001E-3</v>
      </c>
      <c r="R5">
        <f t="shared" si="1"/>
        <v>2.7095649999999999E-4</v>
      </c>
      <c r="T5">
        <f t="shared" si="6"/>
        <v>101.03372656041475</v>
      </c>
      <c r="U5">
        <f t="shared" si="6"/>
        <v>102.24115377885164</v>
      </c>
      <c r="W5">
        <f t="shared" si="7"/>
        <v>0.19293216028450644</v>
      </c>
      <c r="X5">
        <f t="shared" si="7"/>
        <v>0.19242952800902202</v>
      </c>
    </row>
    <row r="6" spans="1:24" x14ac:dyDescent="0.35">
      <c r="A6">
        <v>24.791399999999999</v>
      </c>
      <c r="B6">
        <v>1.6357100000000001E-3</v>
      </c>
      <c r="C6">
        <v>2.8625100000000001E-4</v>
      </c>
      <c r="D6">
        <f t="shared" si="2"/>
        <v>101.54139352403655</v>
      </c>
      <c r="E6">
        <f t="shared" si="3"/>
        <v>102.17302070580341</v>
      </c>
      <c r="G6">
        <v>1.24708E-3</v>
      </c>
      <c r="H6">
        <v>2.5778800000000001E-4</v>
      </c>
      <c r="I6">
        <f t="shared" si="4"/>
        <v>101.50415106625428</v>
      </c>
      <c r="J6">
        <f t="shared" si="5"/>
        <v>103.19197482927298</v>
      </c>
      <c r="Q6">
        <f t="shared" si="0"/>
        <v>1.441395E-3</v>
      </c>
      <c r="R6">
        <f t="shared" si="1"/>
        <v>2.7201950000000003E-4</v>
      </c>
      <c r="T6">
        <f t="shared" si="6"/>
        <v>101.52277229514542</v>
      </c>
      <c r="U6">
        <f t="shared" si="6"/>
        <v>102.68249776753819</v>
      </c>
      <c r="W6">
        <f t="shared" si="7"/>
        <v>1.8621228891134933E-2</v>
      </c>
      <c r="X6">
        <f t="shared" si="7"/>
        <v>0.5094770617347848</v>
      </c>
    </row>
    <row r="7" spans="1:24" x14ac:dyDescent="0.35">
      <c r="A7">
        <v>31.106999999999999</v>
      </c>
      <c r="B7">
        <v>1.6415399999999999E-3</v>
      </c>
      <c r="C7">
        <v>2.8575300000000003E-4</v>
      </c>
      <c r="D7">
        <f t="shared" si="2"/>
        <v>101.90330750893921</v>
      </c>
      <c r="E7">
        <f t="shared" si="3"/>
        <v>101.99526704097259</v>
      </c>
      <c r="G7">
        <v>1.25183E-3</v>
      </c>
      <c r="H7">
        <v>2.5789399999999999E-4</v>
      </c>
      <c r="I7">
        <f t="shared" si="4"/>
        <v>101.89076998209343</v>
      </c>
      <c r="J7">
        <f t="shared" si="5"/>
        <v>103.23440639836036</v>
      </c>
      <c r="Q7">
        <f t="shared" si="0"/>
        <v>1.4466850000000001E-3</v>
      </c>
      <c r="R7">
        <f t="shared" si="1"/>
        <v>2.7182349999999998E-4</v>
      </c>
      <c r="T7">
        <f t="shared" si="6"/>
        <v>101.89703874551631</v>
      </c>
      <c r="U7">
        <f t="shared" si="6"/>
        <v>102.61483671966647</v>
      </c>
      <c r="W7">
        <f t="shared" si="7"/>
        <v>6.2687634228879574E-3</v>
      </c>
      <c r="X7">
        <f t="shared" si="7"/>
        <v>0.61956967869388535</v>
      </c>
    </row>
    <row r="8" spans="1:24" x14ac:dyDescent="0.35">
      <c r="A8">
        <v>37.192399999999999</v>
      </c>
      <c r="B8">
        <v>1.64701E-3</v>
      </c>
      <c r="C8">
        <v>2.83947E-4</v>
      </c>
      <c r="D8">
        <f t="shared" si="2"/>
        <v>102.24287346046881</v>
      </c>
      <c r="E8">
        <f t="shared" si="3"/>
        <v>101.35064230465835</v>
      </c>
      <c r="G8">
        <v>1.2495799999999999E-3</v>
      </c>
      <c r="H8">
        <v>2.51542E-4</v>
      </c>
      <c r="I8">
        <f t="shared" si="4"/>
        <v>101.70763470616961</v>
      </c>
      <c r="J8">
        <f t="shared" si="5"/>
        <v>100.69171463568895</v>
      </c>
      <c r="Q8">
        <f t="shared" si="0"/>
        <v>1.4482950000000001E-3</v>
      </c>
      <c r="R8">
        <f t="shared" si="1"/>
        <v>2.677445E-4</v>
      </c>
      <c r="T8">
        <f t="shared" si="6"/>
        <v>101.97525408331921</v>
      </c>
      <c r="U8">
        <f t="shared" si="6"/>
        <v>101.02117847017365</v>
      </c>
      <c r="W8">
        <f t="shared" si="7"/>
        <v>0.26761937714960027</v>
      </c>
      <c r="X8">
        <f t="shared" si="7"/>
        <v>0.32946383448469874</v>
      </c>
    </row>
    <row r="9" spans="1:24" x14ac:dyDescent="0.35">
      <c r="A9">
        <v>43.526200000000003</v>
      </c>
      <c r="B9">
        <v>1.6508899999999999E-3</v>
      </c>
      <c r="C9">
        <v>2.7936299999999997E-4</v>
      </c>
      <c r="D9">
        <f t="shared" si="2"/>
        <v>102.48373559793404</v>
      </c>
      <c r="E9">
        <f t="shared" si="3"/>
        <v>99.714451944046857</v>
      </c>
      <c r="G9">
        <v>1.2556500000000001E-3</v>
      </c>
      <c r="H9">
        <v>2.53983E-4</v>
      </c>
      <c r="I9">
        <f t="shared" si="4"/>
        <v>102.2016929838841</v>
      </c>
      <c r="J9">
        <f t="shared" si="5"/>
        <v>101.66884161816392</v>
      </c>
      <c r="Q9">
        <f t="shared" si="0"/>
        <v>1.45327E-3</v>
      </c>
      <c r="R9">
        <f t="shared" si="1"/>
        <v>2.6667299999999999E-4</v>
      </c>
      <c r="T9">
        <f t="shared" si="6"/>
        <v>102.34271429090907</v>
      </c>
      <c r="U9">
        <f t="shared" si="6"/>
        <v>100.69164678110539</v>
      </c>
      <c r="W9">
        <f t="shared" si="7"/>
        <v>0.14102130702497107</v>
      </c>
      <c r="X9">
        <f t="shared" si="7"/>
        <v>0.97719483705853349</v>
      </c>
    </row>
    <row r="10" spans="1:24" x14ac:dyDescent="0.35">
      <c r="A10">
        <v>49.688299999999998</v>
      </c>
      <c r="B10">
        <v>1.6531199999999999E-3</v>
      </c>
      <c r="C10">
        <v>2.7891E-4</v>
      </c>
      <c r="D10">
        <f t="shared" si="2"/>
        <v>102.62216924910608</v>
      </c>
      <c r="E10">
        <f t="shared" si="3"/>
        <v>99.552760357363397</v>
      </c>
      <c r="G10">
        <v>1.25691E-3</v>
      </c>
      <c r="H10">
        <v>2.53945E-4</v>
      </c>
      <c r="I10">
        <f t="shared" si="4"/>
        <v>102.30424873840143</v>
      </c>
      <c r="J10">
        <f t="shared" si="5"/>
        <v>101.6536303009439</v>
      </c>
      <c r="Q10">
        <f t="shared" si="0"/>
        <v>1.455015E-3</v>
      </c>
      <c r="R10">
        <f t="shared" si="1"/>
        <v>2.6642750000000002E-4</v>
      </c>
      <c r="T10">
        <f t="shared" si="6"/>
        <v>102.46320899375375</v>
      </c>
      <c r="U10">
        <f t="shared" si="6"/>
        <v>100.60319532915365</v>
      </c>
      <c r="W10">
        <f t="shared" si="7"/>
        <v>0.15896025535232639</v>
      </c>
      <c r="X10">
        <f t="shared" si="7"/>
        <v>1.0504349717902528</v>
      </c>
    </row>
    <row r="11" spans="1:24" x14ac:dyDescent="0.35">
      <c r="A11">
        <v>55.8005</v>
      </c>
      <c r="B11">
        <v>1.6575100000000001E-3</v>
      </c>
      <c r="C11">
        <v>2.7833699999999997E-4</v>
      </c>
      <c r="D11">
        <f t="shared" si="2"/>
        <v>102.89469110051648</v>
      </c>
      <c r="E11">
        <f t="shared" si="3"/>
        <v>99.348236562286957</v>
      </c>
      <c r="G11">
        <v>1.2591499999999999E-3</v>
      </c>
      <c r="H11">
        <v>2.5191999999999999E-4</v>
      </c>
      <c r="I11">
        <f t="shared" si="4"/>
        <v>102.48657007976558</v>
      </c>
      <c r="J11">
        <f t="shared" si="5"/>
        <v>100.8430272122459</v>
      </c>
      <c r="Q11">
        <f t="shared" si="0"/>
        <v>1.4583299999999999E-3</v>
      </c>
      <c r="R11">
        <f t="shared" si="1"/>
        <v>2.6512849999999995E-4</v>
      </c>
      <c r="T11">
        <f t="shared" si="6"/>
        <v>102.69063059014104</v>
      </c>
      <c r="U11">
        <f t="shared" si="6"/>
        <v>100.09563188726642</v>
      </c>
      <c r="W11">
        <f t="shared" si="7"/>
        <v>0.2040605103754487</v>
      </c>
      <c r="X11">
        <f t="shared" si="7"/>
        <v>0.74739532497947181</v>
      </c>
    </row>
    <row r="12" spans="1:24" x14ac:dyDescent="0.35">
      <c r="A12">
        <v>62.111400000000003</v>
      </c>
      <c r="B12">
        <v>1.6632400000000001E-3</v>
      </c>
      <c r="C12">
        <v>2.7703E-4</v>
      </c>
      <c r="D12">
        <f t="shared" si="2"/>
        <v>103.25039729837107</v>
      </c>
      <c r="E12">
        <f t="shared" si="3"/>
        <v>98.881722425873505</v>
      </c>
      <c r="G12">
        <v>1.26515E-3</v>
      </c>
      <c r="H12">
        <v>2.5569900000000002E-4</v>
      </c>
      <c r="I12">
        <f t="shared" si="4"/>
        <v>102.97493081556243</v>
      </c>
      <c r="J12">
        <f t="shared" si="5"/>
        <v>102.35575267999393</v>
      </c>
      <c r="Q12">
        <f t="shared" si="0"/>
        <v>1.4641950000000002E-3</v>
      </c>
      <c r="R12">
        <f t="shared" si="1"/>
        <v>2.6636450000000001E-4</v>
      </c>
      <c r="T12">
        <f t="shared" si="6"/>
        <v>103.11266405696675</v>
      </c>
      <c r="U12">
        <f t="shared" si="6"/>
        <v>100.61873755293371</v>
      </c>
      <c r="W12">
        <f t="shared" si="7"/>
        <v>0.13773324140431953</v>
      </c>
      <c r="X12">
        <f t="shared" si="7"/>
        <v>1.7370151270602108</v>
      </c>
    </row>
    <row r="13" spans="1:24" x14ac:dyDescent="0.35">
      <c r="A13">
        <v>68.338800000000006</v>
      </c>
      <c r="B13">
        <v>1.6656799999999999E-3</v>
      </c>
      <c r="C13">
        <v>2.7688499999999999E-4</v>
      </c>
      <c r="D13">
        <f t="shared" si="2"/>
        <v>103.40186730234404</v>
      </c>
      <c r="E13">
        <f t="shared" si="3"/>
        <v>98.829966840731998</v>
      </c>
      <c r="G13">
        <v>1.2659100000000001E-3</v>
      </c>
      <c r="H13">
        <v>2.5096199999999997E-4</v>
      </c>
      <c r="I13">
        <f t="shared" si="4"/>
        <v>103.0367898420967</v>
      </c>
      <c r="J13">
        <f t="shared" si="5"/>
        <v>100.45954189917296</v>
      </c>
      <c r="Q13">
        <f t="shared" si="0"/>
        <v>1.465795E-3</v>
      </c>
      <c r="R13">
        <f t="shared" si="1"/>
        <v>2.6392349999999995E-4</v>
      </c>
      <c r="T13">
        <f t="shared" si="6"/>
        <v>103.21932857222038</v>
      </c>
      <c r="U13">
        <f t="shared" si="6"/>
        <v>99.64475436995248</v>
      </c>
      <c r="W13">
        <f t="shared" si="7"/>
        <v>0.1825387301236745</v>
      </c>
      <c r="X13">
        <f t="shared" si="7"/>
        <v>0.81478752922048159</v>
      </c>
    </row>
    <row r="14" spans="1:24" x14ac:dyDescent="0.35">
      <c r="A14">
        <v>74.508499999999998</v>
      </c>
      <c r="B14">
        <v>1.66943E-3</v>
      </c>
      <c r="C14">
        <v>2.77877E-4</v>
      </c>
      <c r="D14">
        <f t="shared" si="2"/>
        <v>103.63465931664679</v>
      </c>
      <c r="E14">
        <f t="shared" si="3"/>
        <v>99.184046430113909</v>
      </c>
      <c r="G14">
        <v>1.2703199999999999E-3</v>
      </c>
      <c r="H14">
        <v>2.5317900000000002E-4</v>
      </c>
      <c r="I14">
        <f t="shared" si="4"/>
        <v>103.39573498290737</v>
      </c>
      <c r="J14">
        <f t="shared" si="5"/>
        <v>101.34700216961421</v>
      </c>
      <c r="Q14">
        <f t="shared" si="0"/>
        <v>1.4698749999999998E-3</v>
      </c>
      <c r="R14">
        <f t="shared" si="1"/>
        <v>2.6552800000000001E-4</v>
      </c>
      <c r="T14">
        <f t="shared" si="6"/>
        <v>103.51519714977708</v>
      </c>
      <c r="U14">
        <f t="shared" si="6"/>
        <v>100.26552429986407</v>
      </c>
      <c r="W14">
        <f t="shared" si="7"/>
        <v>0.11946216686970956</v>
      </c>
      <c r="X14">
        <f t="shared" si="7"/>
        <v>1.0814778697501524</v>
      </c>
    </row>
    <row r="15" spans="1:24" x14ac:dyDescent="0.35">
      <c r="A15">
        <v>80.784599999999998</v>
      </c>
      <c r="B15">
        <v>1.6779799999999999E-3</v>
      </c>
      <c r="C15">
        <v>2.8084600000000001E-4</v>
      </c>
      <c r="D15">
        <f t="shared" si="2"/>
        <v>104.16542510925704</v>
      </c>
      <c r="E15">
        <f t="shared" si="3"/>
        <v>100.24378665277001</v>
      </c>
      <c r="G15">
        <v>1.27276E-3</v>
      </c>
      <c r="H15">
        <v>2.5467900000000001E-4</v>
      </c>
      <c r="I15">
        <f t="shared" si="4"/>
        <v>103.59433501546475</v>
      </c>
      <c r="J15">
        <f t="shared" si="5"/>
        <v>101.94744890198308</v>
      </c>
      <c r="Q15">
        <f t="shared" si="0"/>
        <v>1.4753699999999999E-3</v>
      </c>
      <c r="R15">
        <f t="shared" si="1"/>
        <v>2.6776250000000001E-4</v>
      </c>
      <c r="T15">
        <f t="shared" si="6"/>
        <v>103.8798800623609</v>
      </c>
      <c r="U15">
        <f t="shared" si="6"/>
        <v>101.09561777737655</v>
      </c>
      <c r="W15">
        <f t="shared" si="7"/>
        <v>0.28554504689614646</v>
      </c>
      <c r="X15">
        <f t="shared" si="7"/>
        <v>0.85183112460653376</v>
      </c>
    </row>
    <row r="16" spans="1:24" x14ac:dyDescent="0.35">
      <c r="A16">
        <v>86.936599999999999</v>
      </c>
      <c r="B16">
        <v>1.6802500000000001E-3</v>
      </c>
      <c r="C16">
        <v>2.8079999999999999E-4</v>
      </c>
      <c r="D16">
        <f t="shared" si="2"/>
        <v>104.30634187524832</v>
      </c>
      <c r="E16">
        <f t="shared" si="3"/>
        <v>100.22736763955268</v>
      </c>
      <c r="G16">
        <v>1.2763799999999999E-3</v>
      </c>
      <c r="H16">
        <v>2.55116E-4</v>
      </c>
      <c r="I16">
        <f t="shared" si="4"/>
        <v>103.88897932606218</v>
      </c>
      <c r="J16">
        <f t="shared" si="5"/>
        <v>102.12237905001319</v>
      </c>
      <c r="Q16">
        <f t="shared" si="0"/>
        <v>1.478315E-3</v>
      </c>
      <c r="R16">
        <f t="shared" si="1"/>
        <v>2.67958E-4</v>
      </c>
      <c r="T16">
        <f t="shared" si="6"/>
        <v>104.09766060065525</v>
      </c>
      <c r="U16">
        <f t="shared" si="6"/>
        <v>101.17487334478294</v>
      </c>
      <c r="W16">
        <f t="shared" si="7"/>
        <v>0.20868127459306862</v>
      </c>
      <c r="X16">
        <f t="shared" si="7"/>
        <v>0.94750570523025601</v>
      </c>
    </row>
    <row r="17" spans="1:24" x14ac:dyDescent="0.35">
      <c r="A17">
        <v>93.113100000000003</v>
      </c>
      <c r="B17">
        <v>1.68363E-3</v>
      </c>
      <c r="C17">
        <v>2.8131599999999999E-4</v>
      </c>
      <c r="D17">
        <f t="shared" si="2"/>
        <v>104.51616507747316</v>
      </c>
      <c r="E17">
        <f t="shared" si="3"/>
        <v>100.41154613564247</v>
      </c>
      <c r="G17">
        <v>1.27936E-3</v>
      </c>
      <c r="H17">
        <v>2.5524400000000001E-4</v>
      </c>
      <c r="I17">
        <f t="shared" si="4"/>
        <v>104.13153182484128</v>
      </c>
      <c r="J17">
        <f t="shared" si="5"/>
        <v>102.17361717117537</v>
      </c>
      <c r="Q17">
        <f t="shared" si="0"/>
        <v>1.481495E-3</v>
      </c>
      <c r="R17">
        <f t="shared" si="1"/>
        <v>2.6827999999999997E-4</v>
      </c>
      <c r="T17">
        <f t="shared" si="6"/>
        <v>104.32384845115722</v>
      </c>
      <c r="U17">
        <f t="shared" si="6"/>
        <v>101.29258165340892</v>
      </c>
      <c r="W17">
        <f t="shared" si="7"/>
        <v>0.19231662631594304</v>
      </c>
      <c r="X17">
        <f t="shared" si="7"/>
        <v>0.88103551776644906</v>
      </c>
    </row>
    <row r="18" spans="1:24" x14ac:dyDescent="0.35">
      <c r="A18">
        <v>99.351399999999998</v>
      </c>
      <c r="B18">
        <v>1.6877800000000001E-3</v>
      </c>
      <c r="C18">
        <v>2.8044000000000002E-4</v>
      </c>
      <c r="D18">
        <f t="shared" si="2"/>
        <v>104.77378823996821</v>
      </c>
      <c r="E18">
        <f t="shared" si="3"/>
        <v>100.09887101437378</v>
      </c>
      <c r="G18">
        <v>1.28242E-3</v>
      </c>
      <c r="H18">
        <v>2.5588999999999999E-4</v>
      </c>
      <c r="I18">
        <f t="shared" si="4"/>
        <v>104.38059580009767</v>
      </c>
      <c r="J18">
        <f t="shared" si="5"/>
        <v>102.43220956391555</v>
      </c>
      <c r="Q18">
        <f t="shared" si="0"/>
        <v>1.4851E-3</v>
      </c>
      <c r="R18">
        <f t="shared" si="1"/>
        <v>2.68165E-4</v>
      </c>
      <c r="T18">
        <f t="shared" si="6"/>
        <v>104.57719202003294</v>
      </c>
      <c r="U18">
        <f t="shared" si="6"/>
        <v>101.26554028914467</v>
      </c>
      <c r="W18">
        <f t="shared" si="7"/>
        <v>0.1965962199352731</v>
      </c>
      <c r="X18">
        <f t="shared" si="7"/>
        <v>1.1666692747708822</v>
      </c>
    </row>
    <row r="19" spans="1:24" x14ac:dyDescent="0.35">
      <c r="A19">
        <v>105.571</v>
      </c>
      <c r="B19">
        <v>1.6923800000000001E-3</v>
      </c>
      <c r="C19">
        <v>2.8175800000000001E-4</v>
      </c>
      <c r="D19">
        <f t="shared" si="2"/>
        <v>105.05934644417958</v>
      </c>
      <c r="E19">
        <f t="shared" si="3"/>
        <v>100.56931143655659</v>
      </c>
      <c r="G19">
        <v>1.28597E-3</v>
      </c>
      <c r="H19">
        <v>2.5640599999999998E-4</v>
      </c>
      <c r="I19">
        <f t="shared" si="4"/>
        <v>104.66954256877747</v>
      </c>
      <c r="J19">
        <f t="shared" si="5"/>
        <v>102.63876323985043</v>
      </c>
      <c r="Q19">
        <f t="shared" si="0"/>
        <v>1.4891750000000001E-3</v>
      </c>
      <c r="R19">
        <f t="shared" si="1"/>
        <v>2.6908200000000002E-4</v>
      </c>
      <c r="T19">
        <f t="shared" si="6"/>
        <v>104.86444450647852</v>
      </c>
      <c r="U19">
        <f t="shared" si="6"/>
        <v>101.60403733820351</v>
      </c>
      <c r="W19">
        <f t="shared" si="7"/>
        <v>0.19490193770105435</v>
      </c>
      <c r="X19">
        <f t="shared" si="7"/>
        <v>1.0347259016469224</v>
      </c>
    </row>
    <row r="20" spans="1:24" x14ac:dyDescent="0.35">
      <c r="A20">
        <v>111.708</v>
      </c>
      <c r="B20">
        <v>1.6975E-3</v>
      </c>
      <c r="C20">
        <v>2.8213199999999999E-4</v>
      </c>
      <c r="D20">
        <f t="shared" si="2"/>
        <v>105.37718514104091</v>
      </c>
      <c r="E20">
        <f t="shared" si="3"/>
        <v>100.70280515271466</v>
      </c>
      <c r="G20">
        <v>1.28966E-3</v>
      </c>
      <c r="H20">
        <v>2.5832600000000002E-4</v>
      </c>
      <c r="I20">
        <f t="shared" si="4"/>
        <v>104.96988442129252</v>
      </c>
      <c r="J20">
        <f t="shared" si="5"/>
        <v>103.40733505728264</v>
      </c>
      <c r="Q20">
        <f t="shared" si="0"/>
        <v>1.49358E-3</v>
      </c>
      <c r="R20">
        <f t="shared" si="1"/>
        <v>2.7022899999999998E-4</v>
      </c>
      <c r="T20">
        <f t="shared" si="6"/>
        <v>105.17353478116672</v>
      </c>
      <c r="U20">
        <f t="shared" si="6"/>
        <v>102.05507010499865</v>
      </c>
      <c r="W20">
        <f t="shared" si="7"/>
        <v>0.20365035987419589</v>
      </c>
      <c r="X20">
        <f t="shared" si="7"/>
        <v>1.3522649522839885</v>
      </c>
    </row>
    <row r="21" spans="1:24" x14ac:dyDescent="0.35">
      <c r="A21">
        <v>118.009</v>
      </c>
      <c r="B21">
        <v>1.7008399999999999E-3</v>
      </c>
      <c r="C21">
        <v>2.8351199999999998E-4</v>
      </c>
      <c r="D21">
        <f t="shared" si="2"/>
        <v>105.58452522844655</v>
      </c>
      <c r="E21">
        <f t="shared" si="3"/>
        <v>101.19537554923383</v>
      </c>
      <c r="G21">
        <v>1.29173E-3</v>
      </c>
      <c r="H21">
        <v>2.5780300000000003E-4</v>
      </c>
      <c r="I21">
        <f t="shared" si="4"/>
        <v>105.13836887514243</v>
      </c>
      <c r="J21">
        <f t="shared" si="5"/>
        <v>103.19797929659669</v>
      </c>
      <c r="Q21">
        <f t="shared" si="0"/>
        <v>1.496285E-3</v>
      </c>
      <c r="R21">
        <f t="shared" si="1"/>
        <v>2.706575E-4</v>
      </c>
      <c r="T21">
        <f t="shared" si="6"/>
        <v>105.3614470517945</v>
      </c>
      <c r="U21">
        <f t="shared" si="6"/>
        <v>102.19667742291526</v>
      </c>
      <c r="W21">
        <f t="shared" si="7"/>
        <v>0.22307817665205931</v>
      </c>
      <c r="X21">
        <f t="shared" si="7"/>
        <v>1.0013018736814274</v>
      </c>
    </row>
    <row r="22" spans="1:24" x14ac:dyDescent="0.35">
      <c r="A22">
        <v>124.221</v>
      </c>
      <c r="B22">
        <v>1.7056E-3</v>
      </c>
      <c r="C22">
        <v>2.8460300000000003E-4</v>
      </c>
      <c r="D22">
        <f t="shared" si="2"/>
        <v>105.88001589193483</v>
      </c>
      <c r="E22">
        <f t="shared" si="3"/>
        <v>101.58479171053996</v>
      </c>
      <c r="G22">
        <v>1.292E-3</v>
      </c>
      <c r="H22">
        <v>2.5742499999999998E-4</v>
      </c>
      <c r="I22">
        <f t="shared" si="4"/>
        <v>105.1603451082533</v>
      </c>
      <c r="J22">
        <f t="shared" si="5"/>
        <v>103.04666672003971</v>
      </c>
      <c r="Q22">
        <f t="shared" si="0"/>
        <v>1.4988E-3</v>
      </c>
      <c r="R22">
        <f t="shared" si="1"/>
        <v>2.7101399999999998E-4</v>
      </c>
      <c r="T22">
        <f t="shared" si="6"/>
        <v>105.52018050009406</v>
      </c>
      <c r="U22">
        <f t="shared" si="6"/>
        <v>102.31572921528983</v>
      </c>
      <c r="W22">
        <f t="shared" si="7"/>
        <v>0.35983539184076818</v>
      </c>
      <c r="X22">
        <f t="shared" si="7"/>
        <v>0.73093750474987473</v>
      </c>
    </row>
    <row r="23" spans="1:24" x14ac:dyDescent="0.35">
      <c r="A23">
        <v>130.28700000000001</v>
      </c>
      <c r="B23">
        <v>1.71014E-3</v>
      </c>
      <c r="C23">
        <v>2.8649200000000001E-4</v>
      </c>
      <c r="D23">
        <f t="shared" si="2"/>
        <v>106.16184942391736</v>
      </c>
      <c r="E23">
        <f t="shared" si="3"/>
        <v>102.2590420576593</v>
      </c>
      <c r="G23">
        <v>1.2958399999999999E-3</v>
      </c>
      <c r="H23">
        <v>2.57409E-4</v>
      </c>
      <c r="I23">
        <f t="shared" si="4"/>
        <v>105.47289597916327</v>
      </c>
      <c r="J23">
        <f t="shared" si="5"/>
        <v>103.04026195489445</v>
      </c>
      <c r="Q23">
        <f t="shared" si="0"/>
        <v>1.5029900000000001E-3</v>
      </c>
      <c r="R23">
        <f t="shared" si="1"/>
        <v>2.7195050000000003E-4</v>
      </c>
      <c r="T23">
        <f t="shared" si="6"/>
        <v>105.81737270154031</v>
      </c>
      <c r="U23">
        <f t="shared" si="6"/>
        <v>102.64965200627688</v>
      </c>
      <c r="W23">
        <f t="shared" si="7"/>
        <v>0.34447672237704552</v>
      </c>
      <c r="X23">
        <f t="shared" si="7"/>
        <v>0.39060994861757337</v>
      </c>
    </row>
    <row r="24" spans="1:24" x14ac:dyDescent="0.35">
      <c r="A24">
        <v>136.62799999999999</v>
      </c>
      <c r="B24">
        <v>1.71013E-3</v>
      </c>
      <c r="C24">
        <v>2.8117099999999998E-4</v>
      </c>
      <c r="D24">
        <f t="shared" si="2"/>
        <v>106.16122864521256</v>
      </c>
      <c r="E24">
        <f t="shared" si="3"/>
        <v>100.35979055050095</v>
      </c>
      <c r="G24">
        <v>1.2975300000000001E-3</v>
      </c>
      <c r="H24">
        <v>2.6039200000000002E-4</v>
      </c>
      <c r="I24">
        <f t="shared" si="4"/>
        <v>105.61045091974606</v>
      </c>
      <c r="J24">
        <f t="shared" si="5"/>
        <v>104.23435035666537</v>
      </c>
      <c r="Q24">
        <f t="shared" si="0"/>
        <v>1.5038300000000001E-3</v>
      </c>
      <c r="R24">
        <f t="shared" si="1"/>
        <v>2.707815E-4</v>
      </c>
      <c r="T24">
        <f t="shared" si="6"/>
        <v>105.88583978247931</v>
      </c>
      <c r="U24">
        <f t="shared" si="6"/>
        <v>102.29707045358316</v>
      </c>
      <c r="W24">
        <f t="shared" si="7"/>
        <v>0.27538886273325147</v>
      </c>
      <c r="X24">
        <f t="shared" si="7"/>
        <v>1.9372799030822137</v>
      </c>
    </row>
    <row r="25" spans="1:24" x14ac:dyDescent="0.35">
      <c r="A25">
        <v>142.79400000000001</v>
      </c>
      <c r="B25">
        <v>1.7131200000000001E-3</v>
      </c>
      <c r="C25">
        <v>2.8291500000000001E-4</v>
      </c>
      <c r="D25">
        <f t="shared" si="2"/>
        <v>106.34684147794992</v>
      </c>
      <c r="E25">
        <f t="shared" si="3"/>
        <v>100.98228531247881</v>
      </c>
      <c r="G25">
        <v>1.30262E-3</v>
      </c>
      <c r="H25">
        <v>2.6163400000000001E-4</v>
      </c>
      <c r="I25">
        <f t="shared" si="4"/>
        <v>106.0247436106137</v>
      </c>
      <c r="J25">
        <f t="shared" si="5"/>
        <v>104.7315202510668</v>
      </c>
      <c r="Q25">
        <f t="shared" si="0"/>
        <v>1.5078700000000001E-3</v>
      </c>
      <c r="R25">
        <f t="shared" si="1"/>
        <v>2.7227450000000004E-4</v>
      </c>
      <c r="T25">
        <f t="shared" si="6"/>
        <v>106.18579254428181</v>
      </c>
      <c r="U25">
        <f t="shared" si="6"/>
        <v>102.8569027817728</v>
      </c>
      <c r="W25">
        <f t="shared" si="7"/>
        <v>0.16104893366811268</v>
      </c>
      <c r="X25">
        <f t="shared" si="7"/>
        <v>1.8746174692939945</v>
      </c>
    </row>
    <row r="26" spans="1:24" x14ac:dyDescent="0.35">
      <c r="A26">
        <v>149.03399999999999</v>
      </c>
      <c r="B26">
        <v>1.7185900000000001E-3</v>
      </c>
      <c r="C26">
        <v>2.8261399999999999E-4</v>
      </c>
      <c r="D26">
        <f t="shared" si="2"/>
        <v>106.68640742947954</v>
      </c>
      <c r="E26">
        <f t="shared" si="3"/>
        <v>100.87484785642644</v>
      </c>
      <c r="G26">
        <v>1.3094599999999999E-3</v>
      </c>
      <c r="H26">
        <v>2.6895499999999998E-4</v>
      </c>
      <c r="I26">
        <f t="shared" si="4"/>
        <v>106.58147484942208</v>
      </c>
      <c r="J26">
        <f t="shared" si="5"/>
        <v>107.66210060284851</v>
      </c>
      <c r="Q26">
        <f t="shared" si="0"/>
        <v>1.514025E-3</v>
      </c>
      <c r="R26">
        <f t="shared" si="1"/>
        <v>2.7578450000000001E-4</v>
      </c>
      <c r="T26">
        <f t="shared" si="6"/>
        <v>106.63394113945081</v>
      </c>
      <c r="U26">
        <f t="shared" si="6"/>
        <v>104.26847422963748</v>
      </c>
      <c r="W26">
        <f t="shared" si="7"/>
        <v>5.2466290028732487E-2</v>
      </c>
      <c r="X26">
        <f t="shared" si="7"/>
        <v>3.3936263732110348</v>
      </c>
    </row>
    <row r="27" spans="1:24" x14ac:dyDescent="0.35">
      <c r="A27">
        <v>155.125</v>
      </c>
      <c r="B27">
        <v>1.7210400000000001E-3</v>
      </c>
      <c r="C27">
        <v>2.8082600000000002E-4</v>
      </c>
      <c r="D27">
        <f t="shared" si="2"/>
        <v>106.83849821215733</v>
      </c>
      <c r="E27">
        <f t="shared" si="3"/>
        <v>100.23664795137117</v>
      </c>
      <c r="G27">
        <v>1.31006E-3</v>
      </c>
      <c r="H27">
        <v>2.6762500000000001E-4</v>
      </c>
      <c r="I27">
        <f t="shared" si="4"/>
        <v>106.63031092300179</v>
      </c>
      <c r="J27">
        <f t="shared" si="5"/>
        <v>107.12970450014811</v>
      </c>
      <c r="Q27">
        <f t="shared" si="0"/>
        <v>1.5155500000000001E-3</v>
      </c>
      <c r="R27">
        <f t="shared" si="1"/>
        <v>2.7422550000000002E-4</v>
      </c>
      <c r="T27">
        <f t="shared" si="6"/>
        <v>106.73440456757956</v>
      </c>
      <c r="U27">
        <f t="shared" si="6"/>
        <v>103.68317622575964</v>
      </c>
      <c r="W27">
        <f t="shared" si="7"/>
        <v>0.10409364457777315</v>
      </c>
      <c r="X27">
        <f t="shared" si="7"/>
        <v>3.44652827438847</v>
      </c>
    </row>
    <row r="28" spans="1:24" x14ac:dyDescent="0.35">
      <c r="A28">
        <v>161.47300000000001</v>
      </c>
      <c r="B28">
        <v>1.7254E-3</v>
      </c>
      <c r="C28">
        <v>2.8078400000000001E-4</v>
      </c>
      <c r="D28">
        <f t="shared" si="2"/>
        <v>107.10915772745331</v>
      </c>
      <c r="E28">
        <f t="shared" si="3"/>
        <v>100.22165667843363</v>
      </c>
      <c r="G28">
        <v>1.3089499999999999E-3</v>
      </c>
      <c r="H28">
        <v>2.6171899999999999E-4</v>
      </c>
      <c r="I28">
        <f t="shared" si="4"/>
        <v>106.53996418687936</v>
      </c>
      <c r="J28">
        <f t="shared" si="5"/>
        <v>104.76554556590104</v>
      </c>
      <c r="Q28">
        <f t="shared" si="0"/>
        <v>1.5171749999999999E-3</v>
      </c>
      <c r="R28">
        <f t="shared" si="1"/>
        <v>2.7125149999999998E-4</v>
      </c>
      <c r="T28">
        <f t="shared" si="6"/>
        <v>106.82456095716634</v>
      </c>
      <c r="U28">
        <f t="shared" si="6"/>
        <v>102.49360112216733</v>
      </c>
      <c r="W28">
        <f t="shared" si="7"/>
        <v>0.28459677028697428</v>
      </c>
      <c r="X28">
        <f t="shared" si="7"/>
        <v>2.2719444437337017</v>
      </c>
    </row>
    <row r="29" spans="1:24" x14ac:dyDescent="0.35">
      <c r="A29">
        <v>167.614</v>
      </c>
      <c r="B29">
        <v>1.72927E-3</v>
      </c>
      <c r="C29">
        <v>2.8374500000000002E-4</v>
      </c>
      <c r="D29">
        <f t="shared" si="2"/>
        <v>107.34939908621375</v>
      </c>
      <c r="E29">
        <f t="shared" si="3"/>
        <v>101.27854142053019</v>
      </c>
      <c r="G29">
        <v>1.3202400000000001E-3</v>
      </c>
      <c r="H29">
        <v>2.7264999999999999E-4</v>
      </c>
      <c r="I29">
        <f t="shared" si="4"/>
        <v>107.45889630473711</v>
      </c>
      <c r="J29">
        <f t="shared" si="5"/>
        <v>109.14120105358387</v>
      </c>
      <c r="Q29">
        <f t="shared" si="0"/>
        <v>1.524755E-3</v>
      </c>
      <c r="R29">
        <f t="shared" si="1"/>
        <v>2.781975E-4</v>
      </c>
      <c r="T29">
        <f t="shared" si="6"/>
        <v>107.40414769547543</v>
      </c>
      <c r="U29">
        <f t="shared" si="6"/>
        <v>105.20987123705703</v>
      </c>
      <c r="W29">
        <f t="shared" si="7"/>
        <v>5.4748609261679348E-2</v>
      </c>
      <c r="X29">
        <f t="shared" si="7"/>
        <v>3.9313298165268407</v>
      </c>
    </row>
    <row r="30" spans="1:24" x14ac:dyDescent="0.35">
      <c r="A30">
        <v>173.85</v>
      </c>
      <c r="B30">
        <v>1.7343199999999999E-3</v>
      </c>
      <c r="C30">
        <v>2.8347300000000001E-4</v>
      </c>
      <c r="D30">
        <f t="shared" si="2"/>
        <v>107.66289233214144</v>
      </c>
      <c r="E30">
        <f t="shared" si="3"/>
        <v>101.18145508150613</v>
      </c>
      <c r="G30">
        <v>1.31584E-3</v>
      </c>
      <c r="H30">
        <v>2.6576399999999999E-4</v>
      </c>
      <c r="I30">
        <f t="shared" si="4"/>
        <v>107.10076509848608</v>
      </c>
      <c r="J30">
        <f t="shared" si="5"/>
        <v>106.38475025418911</v>
      </c>
      <c r="Q30">
        <f t="shared" si="0"/>
        <v>1.5250799999999998E-3</v>
      </c>
      <c r="R30">
        <f t="shared" si="1"/>
        <v>2.7461849999999997E-4</v>
      </c>
      <c r="T30">
        <f t="shared" si="6"/>
        <v>107.38182871531376</v>
      </c>
      <c r="U30">
        <f t="shared" si="6"/>
        <v>103.78310266784763</v>
      </c>
      <c r="W30">
        <f t="shared" si="7"/>
        <v>0.28106361682768011</v>
      </c>
      <c r="X30">
        <f t="shared" si="7"/>
        <v>2.6016475863414925</v>
      </c>
    </row>
    <row r="31" spans="1:24" x14ac:dyDescent="0.35">
      <c r="A31">
        <v>179.93600000000001</v>
      </c>
      <c r="B31">
        <v>1.73869E-3</v>
      </c>
      <c r="C31">
        <v>2.87242E-4</v>
      </c>
      <c r="D31">
        <f t="shared" si="2"/>
        <v>107.93417262614223</v>
      </c>
      <c r="E31">
        <f t="shared" si="3"/>
        <v>102.52674336011536</v>
      </c>
      <c r="G31">
        <v>1.3157799999999999E-3</v>
      </c>
      <c r="H31">
        <v>2.6318700000000001E-4</v>
      </c>
      <c r="I31">
        <f t="shared" si="4"/>
        <v>107.0958814911281</v>
      </c>
      <c r="J31">
        <f t="shared" si="5"/>
        <v>105.35318276797938</v>
      </c>
      <c r="Q31">
        <f t="shared" si="0"/>
        <v>1.5272350000000001E-3</v>
      </c>
      <c r="R31">
        <f t="shared" si="1"/>
        <v>2.7521450000000003E-4</v>
      </c>
      <c r="T31">
        <f t="shared" si="6"/>
        <v>107.51502705863516</v>
      </c>
      <c r="U31">
        <f t="shared" si="6"/>
        <v>103.93996306404736</v>
      </c>
      <c r="W31">
        <f t="shared" si="7"/>
        <v>0.41914556750706566</v>
      </c>
      <c r="X31">
        <f t="shared" si="7"/>
        <v>1.4132197039320076</v>
      </c>
    </row>
    <row r="32" spans="1:24" x14ac:dyDescent="0.35">
      <c r="A32">
        <v>193.119</v>
      </c>
      <c r="B32">
        <v>2.8189600000000002E-6</v>
      </c>
      <c r="C32">
        <v>4.2874000000000003E-5</v>
      </c>
      <c r="D32">
        <f t="shared" si="2"/>
        <v>0.17499503377036155</v>
      </c>
      <c r="E32">
        <f t="shared" si="3"/>
        <v>15.303234188668741</v>
      </c>
      <c r="G32">
        <v>2.8358500000000001E-6</v>
      </c>
      <c r="H32">
        <v>3.5339300000000002E-5</v>
      </c>
      <c r="I32">
        <f t="shared" si="4"/>
        <v>0.23081963210157905</v>
      </c>
      <c r="J32">
        <f t="shared" si="5"/>
        <v>14.146244806135766</v>
      </c>
      <c r="Q32">
        <f t="shared" si="0"/>
        <v>2.8274050000000002E-6</v>
      </c>
      <c r="R32">
        <f t="shared" si="1"/>
        <v>3.9106650000000006E-5</v>
      </c>
      <c r="T32">
        <f t="shared" si="6"/>
        <v>0.2029073329359703</v>
      </c>
      <c r="U32">
        <f t="shared" si="6"/>
        <v>14.724739497402254</v>
      </c>
      <c r="W32">
        <f t="shared" si="7"/>
        <v>2.7912299165608733E-2</v>
      </c>
      <c r="X32">
        <f t="shared" si="7"/>
        <v>0.57849469126648767</v>
      </c>
    </row>
    <row r="33" spans="1:24" x14ac:dyDescent="0.35">
      <c r="A33">
        <v>199.374</v>
      </c>
      <c r="B33">
        <v>2.86857E-6</v>
      </c>
      <c r="C33">
        <v>4.2608100000000003E-5</v>
      </c>
      <c r="D33">
        <f t="shared" si="2"/>
        <v>0.17807471692491059</v>
      </c>
      <c r="E33">
        <f t="shared" si="3"/>
        <v>15.208325153571314</v>
      </c>
      <c r="G33">
        <v>2.84143E-6</v>
      </c>
      <c r="H33">
        <v>3.4988499999999999E-5</v>
      </c>
      <c r="I33">
        <f t="shared" si="4"/>
        <v>0.23127380758587007</v>
      </c>
      <c r="J33">
        <f t="shared" si="5"/>
        <v>14.005820330325761</v>
      </c>
      <c r="Q33">
        <f t="shared" si="0"/>
        <v>2.8549999999999998E-6</v>
      </c>
      <c r="R33">
        <f t="shared" si="1"/>
        <v>3.8798299999999997E-5</v>
      </c>
      <c r="T33">
        <f t="shared" si="6"/>
        <v>0.20467426225539032</v>
      </c>
      <c r="U33">
        <f t="shared" si="6"/>
        <v>14.607072741948539</v>
      </c>
      <c r="W33">
        <f t="shared" si="7"/>
        <v>2.6599545330479802E-2</v>
      </c>
      <c r="X33">
        <f t="shared" si="7"/>
        <v>0.60125241162277643</v>
      </c>
    </row>
    <row r="34" spans="1:24" x14ac:dyDescent="0.35">
      <c r="A34">
        <v>205.643</v>
      </c>
      <c r="B34">
        <v>2.8109500000000002E-6</v>
      </c>
      <c r="C34">
        <v>4.18279E-5</v>
      </c>
      <c r="D34">
        <f t="shared" si="2"/>
        <v>0.17449779002781088</v>
      </c>
      <c r="E34">
        <f t="shared" si="3"/>
        <v>14.929844412003012</v>
      </c>
      <c r="G34">
        <v>2.7796500000000001E-6</v>
      </c>
      <c r="H34">
        <v>3.4412899999999997E-5</v>
      </c>
      <c r="I34">
        <f t="shared" si="4"/>
        <v>0.22624531987628194</v>
      </c>
      <c r="J34">
        <f t="shared" si="5"/>
        <v>13.775408904224742</v>
      </c>
      <c r="Q34">
        <f t="shared" si="0"/>
        <v>2.7953000000000002E-6</v>
      </c>
      <c r="R34">
        <f t="shared" si="1"/>
        <v>3.8120399999999995E-5</v>
      </c>
      <c r="T34">
        <f t="shared" si="6"/>
        <v>0.20037155495204639</v>
      </c>
      <c r="U34">
        <f t="shared" si="6"/>
        <v>14.352626658113877</v>
      </c>
      <c r="W34">
        <f t="shared" si="7"/>
        <v>2.5873764924235682E-2</v>
      </c>
      <c r="X34">
        <f t="shared" si="7"/>
        <v>0.57721775388913521</v>
      </c>
    </row>
    <row r="35" spans="1:24" x14ac:dyDescent="0.35">
      <c r="A35">
        <v>211.75800000000001</v>
      </c>
      <c r="B35">
        <v>2.77627E-6</v>
      </c>
      <c r="C35">
        <v>4.1323799999999999E-5</v>
      </c>
      <c r="D35">
        <f t="shared" si="2"/>
        <v>0.17234492947953911</v>
      </c>
      <c r="E35">
        <f t="shared" si="3"/>
        <v>14.749913443245537</v>
      </c>
      <c r="G35">
        <v>2.7448500000000001E-6</v>
      </c>
      <c r="H35">
        <v>3.4111099999999999E-5</v>
      </c>
      <c r="I35">
        <f t="shared" si="4"/>
        <v>0.22341282760866024</v>
      </c>
      <c r="J35">
        <f t="shared" si="5"/>
        <v>13.654599021672123</v>
      </c>
      <c r="Q35">
        <f t="shared" ref="Q35:Q66" si="8">AVERAGE(B35,G35,L35)</f>
        <v>2.76056E-6</v>
      </c>
      <c r="R35">
        <f t="shared" ref="R35:R66" si="9">AVERAGE(C35,H35,M35)</f>
        <v>3.7717449999999996E-5</v>
      </c>
      <c r="T35">
        <f t="shared" si="6"/>
        <v>0.19787887854409969</v>
      </c>
      <c r="U35">
        <f t="shared" si="6"/>
        <v>14.202256232458829</v>
      </c>
      <c r="W35">
        <f t="shared" si="7"/>
        <v>2.5533949064560402E-2</v>
      </c>
      <c r="X35">
        <f t="shared" si="7"/>
        <v>0.54765721078670726</v>
      </c>
    </row>
    <row r="36" spans="1:24" x14ac:dyDescent="0.35">
      <c r="A36">
        <v>218.077</v>
      </c>
      <c r="B36">
        <v>2.7457299999999998E-6</v>
      </c>
      <c r="C36">
        <v>4.0885099999999999E-5</v>
      </c>
      <c r="D36">
        <f t="shared" si="2"/>
        <v>0.17044907131505757</v>
      </c>
      <c r="E36">
        <f t="shared" si="3"/>
        <v>14.593326028062235</v>
      </c>
      <c r="G36">
        <v>2.7170899999999999E-6</v>
      </c>
      <c r="H36">
        <v>3.3809800000000003E-5</v>
      </c>
      <c r="I36">
        <f t="shared" si="4"/>
        <v>0.22115334527104019</v>
      </c>
      <c r="J36">
        <f t="shared" si="5"/>
        <v>13.533989288030297</v>
      </c>
      <c r="Q36">
        <f t="shared" si="8"/>
        <v>2.7314099999999997E-6</v>
      </c>
      <c r="R36">
        <f t="shared" si="9"/>
        <v>3.7347449999999998E-5</v>
      </c>
      <c r="T36">
        <f t="shared" si="6"/>
        <v>0.19580120829304887</v>
      </c>
      <c r="U36">
        <f t="shared" si="6"/>
        <v>14.063657658046266</v>
      </c>
      <c r="W36">
        <f t="shared" si="7"/>
        <v>2.5352136977991435E-2</v>
      </c>
      <c r="X36">
        <f t="shared" si="7"/>
        <v>0.529668370015969</v>
      </c>
    </row>
    <row r="37" spans="1:24" x14ac:dyDescent="0.35">
      <c r="A37">
        <v>224.21</v>
      </c>
      <c r="B37">
        <v>2.7286699999999998E-6</v>
      </c>
      <c r="C37">
        <v>4.0534200000000002E-5</v>
      </c>
      <c r="D37">
        <f t="shared" si="2"/>
        <v>0.16939002284465632</v>
      </c>
      <c r="E37">
        <f t="shared" si="3"/>
        <v>14.468077512019789</v>
      </c>
      <c r="G37">
        <v>2.69305E-6</v>
      </c>
      <c r="H37">
        <v>3.3563699999999999E-5</v>
      </c>
      <c r="I37">
        <f t="shared" si="4"/>
        <v>0.21919664658961421</v>
      </c>
      <c r="J37">
        <f t="shared" si="5"/>
        <v>13.43547599413964</v>
      </c>
      <c r="Q37">
        <f t="shared" si="8"/>
        <v>2.7108599999999999E-6</v>
      </c>
      <c r="R37">
        <f t="shared" si="9"/>
        <v>3.704895E-5</v>
      </c>
      <c r="T37">
        <f t="shared" si="6"/>
        <v>0.19429333471713528</v>
      </c>
      <c r="U37">
        <f t="shared" si="6"/>
        <v>13.951776753079715</v>
      </c>
      <c r="W37">
        <f t="shared" si="7"/>
        <v>2.4903311872478802E-2</v>
      </c>
      <c r="X37">
        <f t="shared" si="7"/>
        <v>0.51630075894007454</v>
      </c>
    </row>
    <row r="38" spans="1:24" x14ac:dyDescent="0.35">
      <c r="A38">
        <v>230.48099999999999</v>
      </c>
      <c r="B38">
        <v>2.7199800000000001E-6</v>
      </c>
      <c r="C38">
        <v>4.0241999999999999E-5</v>
      </c>
      <c r="D38">
        <f t="shared" si="2"/>
        <v>0.16885056615017879</v>
      </c>
      <c r="E38">
        <f t="shared" si="3"/>
        <v>14.363781084582902</v>
      </c>
      <c r="G38">
        <v>2.6760400000000001E-6</v>
      </c>
      <c r="H38">
        <v>3.3386500000000003E-5</v>
      </c>
      <c r="I38">
        <f t="shared" si="4"/>
        <v>0.21781214390363016</v>
      </c>
      <c r="J38">
        <f t="shared" si="5"/>
        <v>13.364543220155797</v>
      </c>
      <c r="Q38">
        <f t="shared" si="8"/>
        <v>2.6980100000000001E-6</v>
      </c>
      <c r="R38">
        <f t="shared" si="9"/>
        <v>3.6814250000000001E-5</v>
      </c>
      <c r="T38">
        <f t="shared" si="6"/>
        <v>0.19333135502690446</v>
      </c>
      <c r="U38">
        <f t="shared" si="6"/>
        <v>13.864162152369349</v>
      </c>
      <c r="W38">
        <f t="shared" si="7"/>
        <v>2.4480788876725796E-2</v>
      </c>
      <c r="X38">
        <f t="shared" si="7"/>
        <v>0.49961893221355247</v>
      </c>
    </row>
    <row r="39" spans="1:24" x14ac:dyDescent="0.35">
      <c r="A39">
        <v>236.60900000000001</v>
      </c>
      <c r="B39">
        <v>2.7074800000000002E-6</v>
      </c>
      <c r="C39">
        <v>3.9977600000000002E-5</v>
      </c>
      <c r="D39">
        <f t="shared" si="2"/>
        <v>0.16807459276916964</v>
      </c>
      <c r="E39">
        <f t="shared" si="3"/>
        <v>14.269407452090391</v>
      </c>
      <c r="G39">
        <v>2.6612999999999998E-6</v>
      </c>
      <c r="H39">
        <v>3.3249900000000002E-5</v>
      </c>
      <c r="I39">
        <f t="shared" si="4"/>
        <v>0.21661240436268922</v>
      </c>
      <c r="J39">
        <f t="shared" si="5"/>
        <v>13.309862537728071</v>
      </c>
      <c r="Q39">
        <f t="shared" si="8"/>
        <v>2.6843900000000002E-6</v>
      </c>
      <c r="R39">
        <f t="shared" si="9"/>
        <v>3.6613750000000002E-5</v>
      </c>
      <c r="T39">
        <f t="shared" si="6"/>
        <v>0.19234349856592942</v>
      </c>
      <c r="U39">
        <f t="shared" si="6"/>
        <v>13.789634994909232</v>
      </c>
      <c r="W39">
        <f t="shared" si="7"/>
        <v>2.4268905796759829E-2</v>
      </c>
      <c r="X39">
        <f t="shared" si="7"/>
        <v>0.47977245718116013</v>
      </c>
    </row>
    <row r="40" spans="1:24" x14ac:dyDescent="0.35">
      <c r="A40">
        <v>242.952</v>
      </c>
      <c r="B40">
        <v>2.6915200000000001E-6</v>
      </c>
      <c r="C40">
        <v>3.9727600000000002E-5</v>
      </c>
      <c r="D40">
        <f t="shared" si="2"/>
        <v>0.1670838299562972</v>
      </c>
      <c r="E40">
        <f t="shared" si="3"/>
        <v>14.180173684605036</v>
      </c>
      <c r="G40">
        <v>2.6483300000000001E-6</v>
      </c>
      <c r="H40">
        <v>3.3158999999999999E-5</v>
      </c>
      <c r="I40">
        <f t="shared" si="4"/>
        <v>0.21555673123880839</v>
      </c>
      <c r="J40">
        <f t="shared" si="5"/>
        <v>13.273475465746515</v>
      </c>
      <c r="Q40">
        <f t="shared" si="8"/>
        <v>2.6699250000000001E-6</v>
      </c>
      <c r="R40">
        <f t="shared" si="9"/>
        <v>3.6443299999999997E-5</v>
      </c>
      <c r="T40">
        <f t="shared" si="6"/>
        <v>0.19132028059755279</v>
      </c>
      <c r="U40">
        <f t="shared" si="6"/>
        <v>13.726824575175776</v>
      </c>
      <c r="W40">
        <f t="shared" si="7"/>
        <v>2.4236450641255566E-2</v>
      </c>
      <c r="X40">
        <f t="shared" si="7"/>
        <v>0.45334910942926054</v>
      </c>
    </row>
    <row r="41" spans="1:24" x14ac:dyDescent="0.35">
      <c r="A41">
        <v>249.15899999999999</v>
      </c>
      <c r="B41">
        <v>2.6883000000000002E-6</v>
      </c>
      <c r="C41">
        <v>3.9517700000000003E-5</v>
      </c>
      <c r="D41">
        <f t="shared" si="2"/>
        <v>0.16688393921334921</v>
      </c>
      <c r="E41">
        <f t="shared" si="3"/>
        <v>14.105253013424329</v>
      </c>
      <c r="G41">
        <v>2.6293299999999999E-6</v>
      </c>
      <c r="H41">
        <v>3.3103499999999999E-5</v>
      </c>
      <c r="I41">
        <f t="shared" si="4"/>
        <v>0.21401025557545172</v>
      </c>
      <c r="J41">
        <f t="shared" si="5"/>
        <v>13.251258936648865</v>
      </c>
      <c r="Q41">
        <f t="shared" si="8"/>
        <v>2.6588150000000001E-6</v>
      </c>
      <c r="R41">
        <f t="shared" si="9"/>
        <v>3.6310599999999998E-5</v>
      </c>
      <c r="T41">
        <f t="shared" si="6"/>
        <v>0.19044709739440047</v>
      </c>
      <c r="U41">
        <f t="shared" si="6"/>
        <v>13.678255975036597</v>
      </c>
      <c r="W41">
        <f t="shared" si="7"/>
        <v>2.3563158181051265E-2</v>
      </c>
      <c r="X41">
        <f t="shared" si="7"/>
        <v>0.42699703838773218</v>
      </c>
    </row>
    <row r="42" spans="1:24" x14ac:dyDescent="0.35">
      <c r="A42">
        <v>262.24700000000001</v>
      </c>
      <c r="B42">
        <v>1.0943700000000001E-3</v>
      </c>
      <c r="C42">
        <v>2.41053E-4</v>
      </c>
      <c r="D42">
        <f t="shared" si="2"/>
        <v>67.936159117997619</v>
      </c>
      <c r="E42">
        <f t="shared" si="3"/>
        <v>86.040269414590796</v>
      </c>
      <c r="G42">
        <v>8.9245000000000004E-4</v>
      </c>
      <c r="H42">
        <v>2.2803299999999999E-4</v>
      </c>
      <c r="I42">
        <f t="shared" si="4"/>
        <v>72.639589776981921</v>
      </c>
      <c r="J42">
        <f t="shared" si="5"/>
        <v>91.281113148182243</v>
      </c>
      <c r="Q42">
        <f t="shared" si="8"/>
        <v>9.9341000000000013E-4</v>
      </c>
      <c r="R42">
        <f t="shared" si="9"/>
        <v>2.3454299999999998E-4</v>
      </c>
      <c r="T42">
        <f t="shared" si="6"/>
        <v>70.28787444748977</v>
      </c>
      <c r="U42">
        <f t="shared" si="6"/>
        <v>88.660691281386519</v>
      </c>
      <c r="W42">
        <f t="shared" si="7"/>
        <v>2.3517153294921513</v>
      </c>
      <c r="X42">
        <f t="shared" si="7"/>
        <v>2.6204218667957235</v>
      </c>
    </row>
    <row r="43" spans="1:24" x14ac:dyDescent="0.35">
      <c r="A43">
        <v>268.46699999999998</v>
      </c>
      <c r="B43">
        <v>1.12718E-3</v>
      </c>
      <c r="C43">
        <v>2.42465E-4</v>
      </c>
      <c r="D43">
        <f t="shared" si="2"/>
        <v>69.972934048470393</v>
      </c>
      <c r="E43">
        <f t="shared" si="3"/>
        <v>86.544261733348094</v>
      </c>
      <c r="G43">
        <v>9.2018500000000001E-4</v>
      </c>
      <c r="H43">
        <v>2.36579E-4</v>
      </c>
      <c r="I43">
        <f t="shared" si="4"/>
        <v>74.897037278202831</v>
      </c>
      <c r="J43">
        <f t="shared" si="5"/>
        <v>94.702058331398561</v>
      </c>
      <c r="Q43">
        <f t="shared" si="8"/>
        <v>1.0236824999999999E-3</v>
      </c>
      <c r="R43">
        <f t="shared" si="9"/>
        <v>2.3952199999999999E-4</v>
      </c>
      <c r="T43">
        <f t="shared" si="6"/>
        <v>72.434985663336619</v>
      </c>
      <c r="U43">
        <f t="shared" si="6"/>
        <v>90.623160032373335</v>
      </c>
      <c r="W43">
        <f t="shared" si="7"/>
        <v>2.462051614866219</v>
      </c>
      <c r="X43">
        <f t="shared" si="7"/>
        <v>4.0788982990252336</v>
      </c>
    </row>
    <row r="44" spans="1:24" x14ac:dyDescent="0.35">
      <c r="A44">
        <v>274.76</v>
      </c>
      <c r="B44">
        <v>1.14719E-3</v>
      </c>
      <c r="C44">
        <v>2.41843E-4</v>
      </c>
      <c r="D44">
        <f t="shared" si="2"/>
        <v>71.215112236789821</v>
      </c>
      <c r="E44">
        <f t="shared" si="3"/>
        <v>86.322248119844531</v>
      </c>
      <c r="G44">
        <v>9.3969500000000005E-4</v>
      </c>
      <c r="H44">
        <v>2.36992E-4</v>
      </c>
      <c r="I44">
        <f t="shared" si="4"/>
        <v>76.485023604102224</v>
      </c>
      <c r="J44">
        <f t="shared" si="5"/>
        <v>94.867381331710789</v>
      </c>
      <c r="Q44">
        <f t="shared" si="8"/>
        <v>1.0434425000000001E-3</v>
      </c>
      <c r="R44">
        <f t="shared" si="9"/>
        <v>2.394175E-4</v>
      </c>
      <c r="T44">
        <f t="shared" si="6"/>
        <v>73.850067920446023</v>
      </c>
      <c r="U44">
        <f t="shared" si="6"/>
        <v>90.594814725777667</v>
      </c>
      <c r="W44">
        <f t="shared" si="7"/>
        <v>2.6349556836562016</v>
      </c>
      <c r="X44">
        <f t="shared" si="7"/>
        <v>4.2725666059331289</v>
      </c>
    </row>
    <row r="45" spans="1:24" x14ac:dyDescent="0.35">
      <c r="A45">
        <v>280.99099999999999</v>
      </c>
      <c r="B45">
        <v>1.16293E-3</v>
      </c>
      <c r="C45">
        <v>2.3817099999999999E-4</v>
      </c>
      <c r="D45">
        <f t="shared" si="2"/>
        <v>72.19221791815653</v>
      </c>
      <c r="E45">
        <f t="shared" si="3"/>
        <v>85.0115825430196</v>
      </c>
      <c r="G45">
        <v>9.5450099999999996E-4</v>
      </c>
      <c r="H45">
        <v>2.3501199999999999E-4</v>
      </c>
      <c r="I45">
        <f t="shared" si="4"/>
        <v>77.69013511313689</v>
      </c>
      <c r="J45">
        <f t="shared" si="5"/>
        <v>94.074791644983861</v>
      </c>
      <c r="Q45">
        <f t="shared" si="8"/>
        <v>1.0587155E-3</v>
      </c>
      <c r="R45">
        <f t="shared" si="9"/>
        <v>2.3659149999999998E-4</v>
      </c>
      <c r="T45">
        <f t="shared" si="6"/>
        <v>74.941176515646703</v>
      </c>
      <c r="U45">
        <f t="shared" si="6"/>
        <v>89.543187094001723</v>
      </c>
      <c r="W45">
        <f t="shared" si="7"/>
        <v>2.74895859749018</v>
      </c>
      <c r="X45">
        <f t="shared" si="7"/>
        <v>4.5316045509821308</v>
      </c>
    </row>
    <row r="46" spans="1:24" x14ac:dyDescent="0.35">
      <c r="A46">
        <v>287.21100000000001</v>
      </c>
      <c r="B46">
        <v>1.1758000000000001E-3</v>
      </c>
      <c r="C46">
        <v>2.35014E-4</v>
      </c>
      <c r="D46">
        <f t="shared" si="2"/>
        <v>72.991160111243545</v>
      </c>
      <c r="E46">
        <f t="shared" si="3"/>
        <v>83.884738527214523</v>
      </c>
      <c r="G46">
        <v>9.678E-4</v>
      </c>
      <c r="H46">
        <v>2.3547800000000001E-4</v>
      </c>
      <c r="I46">
        <f t="shared" si="4"/>
        <v>78.7725866840306</v>
      </c>
      <c r="J46">
        <f t="shared" si="5"/>
        <v>94.261330429839802</v>
      </c>
      <c r="Q46">
        <f t="shared" si="8"/>
        <v>1.0717999999999999E-3</v>
      </c>
      <c r="R46">
        <f t="shared" si="9"/>
        <v>2.3524599999999999E-4</v>
      </c>
      <c r="T46">
        <f t="shared" si="6"/>
        <v>75.881873397637065</v>
      </c>
      <c r="U46">
        <f t="shared" si="6"/>
        <v>89.073034478527163</v>
      </c>
      <c r="W46">
        <f t="shared" si="7"/>
        <v>2.8907132863935274</v>
      </c>
      <c r="X46">
        <f t="shared" si="7"/>
        <v>5.1882959513126394</v>
      </c>
    </row>
    <row r="47" spans="1:24" x14ac:dyDescent="0.35">
      <c r="A47">
        <v>293.38900000000001</v>
      </c>
      <c r="B47">
        <v>1.18691E-3</v>
      </c>
      <c r="C47">
        <v>2.3695000000000001E-4</v>
      </c>
      <c r="D47">
        <f t="shared" si="2"/>
        <v>73.68084525228447</v>
      </c>
      <c r="E47">
        <f t="shared" si="3"/>
        <v>84.575764822621124</v>
      </c>
      <c r="G47">
        <v>9.7874399999999992E-4</v>
      </c>
      <c r="H47">
        <v>2.3648199999999999E-4</v>
      </c>
      <c r="I47">
        <f t="shared" si="4"/>
        <v>79.663356666124031</v>
      </c>
      <c r="J47">
        <f t="shared" si="5"/>
        <v>94.663229442705372</v>
      </c>
      <c r="Q47">
        <f t="shared" si="8"/>
        <v>1.082827E-3</v>
      </c>
      <c r="R47">
        <f t="shared" si="9"/>
        <v>2.3671599999999999E-4</v>
      </c>
      <c r="T47">
        <f t="shared" si="6"/>
        <v>76.672100959204244</v>
      </c>
      <c r="U47">
        <f t="shared" si="6"/>
        <v>89.619497132663241</v>
      </c>
      <c r="W47">
        <f t="shared" si="7"/>
        <v>2.9912557069197803</v>
      </c>
      <c r="X47">
        <f t="shared" si="7"/>
        <v>5.0437323100421239</v>
      </c>
    </row>
    <row r="48" spans="1:24" x14ac:dyDescent="0.35">
      <c r="A48">
        <v>299.65600000000001</v>
      </c>
      <c r="B48">
        <v>1.19641E-3</v>
      </c>
      <c r="C48">
        <v>2.3756100000000001E-4</v>
      </c>
      <c r="D48">
        <f t="shared" si="2"/>
        <v>74.270585021851403</v>
      </c>
      <c r="E48">
        <f t="shared" si="3"/>
        <v>84.793852150355335</v>
      </c>
      <c r="G48">
        <v>9.8717599999999998E-4</v>
      </c>
      <c r="H48">
        <v>2.3903600000000001E-4</v>
      </c>
      <c r="I48">
        <f t="shared" si="4"/>
        <v>80.349666286830541</v>
      </c>
      <c r="J48">
        <f t="shared" si="5"/>
        <v>95.685590079018795</v>
      </c>
      <c r="Q48">
        <f t="shared" si="8"/>
        <v>1.091793E-3</v>
      </c>
      <c r="R48">
        <f t="shared" si="9"/>
        <v>2.3829850000000002E-4</v>
      </c>
      <c r="T48">
        <f t="shared" si="6"/>
        <v>77.310125654340965</v>
      </c>
      <c r="U48">
        <f t="shared" si="6"/>
        <v>90.239721114687057</v>
      </c>
      <c r="W48">
        <f t="shared" si="7"/>
        <v>3.0395406324895688</v>
      </c>
      <c r="X48">
        <f t="shared" si="7"/>
        <v>5.44586896433173</v>
      </c>
    </row>
    <row r="49" spans="1:24" x14ac:dyDescent="0.35">
      <c r="A49">
        <v>305.76400000000001</v>
      </c>
      <c r="B49">
        <v>1.2038800000000001E-3</v>
      </c>
      <c r="C49">
        <v>2.3853399999999999E-4</v>
      </c>
      <c r="D49">
        <f t="shared" si="2"/>
        <v>74.734306714342466</v>
      </c>
      <c r="E49">
        <f t="shared" si="3"/>
        <v>85.141149973408332</v>
      </c>
      <c r="G49">
        <v>9.9331500000000004E-4</v>
      </c>
      <c r="H49">
        <v>2.3713200000000001E-4</v>
      </c>
      <c r="I49">
        <f t="shared" si="4"/>
        <v>80.849340713006683</v>
      </c>
      <c r="J49">
        <f t="shared" si="5"/>
        <v>94.923423026731896</v>
      </c>
      <c r="Q49">
        <f t="shared" si="8"/>
        <v>1.0985974999999999E-3</v>
      </c>
      <c r="R49">
        <f t="shared" si="9"/>
        <v>2.3783300000000001E-4</v>
      </c>
      <c r="T49">
        <f t="shared" si="6"/>
        <v>77.791823713674574</v>
      </c>
      <c r="U49">
        <f t="shared" si="6"/>
        <v>90.032286500070114</v>
      </c>
      <c r="W49">
        <f t="shared" si="7"/>
        <v>3.0575169993321083</v>
      </c>
      <c r="X49">
        <f t="shared" si="7"/>
        <v>4.8911365266617821</v>
      </c>
    </row>
    <row r="50" spans="1:24" x14ac:dyDescent="0.35">
      <c r="A50">
        <v>311.92599999999999</v>
      </c>
      <c r="B50">
        <v>1.20995E-3</v>
      </c>
      <c r="C50">
        <v>2.3700699999999999E-4</v>
      </c>
      <c r="D50">
        <f t="shared" si="2"/>
        <v>75.111119388160503</v>
      </c>
      <c r="E50">
        <f t="shared" si="3"/>
        <v>84.596110121607779</v>
      </c>
      <c r="G50">
        <v>9.96542E-4</v>
      </c>
      <c r="H50">
        <v>2.3463100000000001E-4</v>
      </c>
      <c r="I50">
        <f t="shared" si="4"/>
        <v>81.111997395409404</v>
      </c>
      <c r="J50">
        <f t="shared" si="5"/>
        <v>93.922278174962173</v>
      </c>
      <c r="Q50">
        <f t="shared" si="8"/>
        <v>1.103246E-3</v>
      </c>
      <c r="R50">
        <f t="shared" si="9"/>
        <v>2.3581900000000001E-4</v>
      </c>
      <c r="T50">
        <f t="shared" si="6"/>
        <v>78.111558391784953</v>
      </c>
      <c r="U50">
        <f t="shared" si="6"/>
        <v>89.259194148284976</v>
      </c>
      <c r="W50">
        <f t="shared" si="7"/>
        <v>3.0004390036244502</v>
      </c>
      <c r="X50">
        <f t="shared" si="7"/>
        <v>4.6630840266771969</v>
      </c>
    </row>
    <row r="51" spans="1:24" x14ac:dyDescent="0.35">
      <c r="A51">
        <v>318.20600000000002</v>
      </c>
      <c r="B51">
        <v>1.2171300000000001E-3</v>
      </c>
      <c r="C51">
        <v>2.4068099999999999E-4</v>
      </c>
      <c r="D51">
        <f t="shared" si="2"/>
        <v>75.556838498212159</v>
      </c>
      <c r="E51">
        <f t="shared" si="3"/>
        <v>85.907489568572586</v>
      </c>
      <c r="G51">
        <v>1.00139E-3</v>
      </c>
      <c r="H51">
        <v>2.3603200000000001E-4</v>
      </c>
      <c r="I51">
        <f t="shared" si="4"/>
        <v>81.506592869933257</v>
      </c>
      <c r="J51">
        <f t="shared" si="5"/>
        <v>94.483095422994708</v>
      </c>
      <c r="Q51">
        <f t="shared" si="8"/>
        <v>1.1092599999999999E-3</v>
      </c>
      <c r="R51">
        <f t="shared" si="9"/>
        <v>2.3835650000000001E-4</v>
      </c>
      <c r="T51">
        <f t="shared" si="6"/>
        <v>78.531715684072708</v>
      </c>
      <c r="U51">
        <f t="shared" si="6"/>
        <v>90.195292495783647</v>
      </c>
      <c r="W51">
        <f t="shared" si="7"/>
        <v>2.9748771858605494</v>
      </c>
      <c r="X51">
        <f t="shared" si="7"/>
        <v>4.2878029272110609</v>
      </c>
    </row>
    <row r="52" spans="1:24" x14ac:dyDescent="0.35">
      <c r="A52">
        <v>324.48599999999999</v>
      </c>
      <c r="B52">
        <v>1.2255899999999999E-3</v>
      </c>
      <c r="C52">
        <v>2.41112E-4</v>
      </c>
      <c r="D52">
        <f t="shared" si="2"/>
        <v>76.082017282479129</v>
      </c>
      <c r="E52">
        <f t="shared" si="3"/>
        <v>86.061328583717341</v>
      </c>
      <c r="G52">
        <v>1.00362E-3</v>
      </c>
      <c r="H52">
        <v>2.2758399999999999E-4</v>
      </c>
      <c r="I52">
        <f t="shared" si="4"/>
        <v>81.688100276737757</v>
      </c>
      <c r="J52">
        <f t="shared" si="5"/>
        <v>91.101379426293164</v>
      </c>
      <c r="Q52">
        <f t="shared" si="8"/>
        <v>1.1146049999999998E-3</v>
      </c>
      <c r="R52">
        <f t="shared" si="9"/>
        <v>2.34348E-4</v>
      </c>
      <c r="T52">
        <f t="shared" si="6"/>
        <v>78.885058779608443</v>
      </c>
      <c r="U52">
        <f t="shared" si="6"/>
        <v>88.581354005005252</v>
      </c>
      <c r="W52">
        <f t="shared" si="7"/>
        <v>2.8030414971293141</v>
      </c>
      <c r="X52">
        <f t="shared" si="7"/>
        <v>2.5200254212879116</v>
      </c>
    </row>
    <row r="53" spans="1:24" x14ac:dyDescent="0.35">
      <c r="A53">
        <v>330.68</v>
      </c>
      <c r="B53">
        <v>1.2279299999999999E-3</v>
      </c>
      <c r="C53">
        <v>2.3687299999999999E-4</v>
      </c>
      <c r="D53">
        <f t="shared" si="2"/>
        <v>76.227279499404048</v>
      </c>
      <c r="E53">
        <f t="shared" si="3"/>
        <v>84.548280822235625</v>
      </c>
      <c r="G53">
        <v>1.0077700000000001E-3</v>
      </c>
      <c r="H53">
        <v>2.2601699999999999E-4</v>
      </c>
      <c r="I53">
        <f t="shared" si="4"/>
        <v>82.025883118997228</v>
      </c>
      <c r="J53">
        <f t="shared" si="5"/>
        <v>90.474112739878464</v>
      </c>
      <c r="Q53">
        <f t="shared" si="8"/>
        <v>1.1178500000000001E-3</v>
      </c>
      <c r="R53">
        <f t="shared" si="9"/>
        <v>2.3144499999999999E-4</v>
      </c>
      <c r="T53">
        <f t="shared" si="6"/>
        <v>79.126581309200645</v>
      </c>
      <c r="U53">
        <f t="shared" si="6"/>
        <v>87.511196781057038</v>
      </c>
      <c r="W53">
        <f t="shared" si="7"/>
        <v>2.8993018097965901</v>
      </c>
      <c r="X53">
        <f t="shared" si="7"/>
        <v>2.9629159588214193</v>
      </c>
    </row>
    <row r="54" spans="1:24" x14ac:dyDescent="0.35">
      <c r="A54">
        <v>336.81799999999998</v>
      </c>
      <c r="B54">
        <v>1.2350200000000001E-3</v>
      </c>
      <c r="C54">
        <v>2.38204E-4</v>
      </c>
      <c r="D54">
        <f t="shared" si="2"/>
        <v>76.667411601112434</v>
      </c>
      <c r="E54">
        <f t="shared" si="3"/>
        <v>85.023361400327673</v>
      </c>
      <c r="G54">
        <v>1.01325E-3</v>
      </c>
      <c r="H54">
        <v>2.23315E-4</v>
      </c>
      <c r="I54">
        <f t="shared" si="4"/>
        <v>82.471919257691681</v>
      </c>
      <c r="J54">
        <f t="shared" si="5"/>
        <v>89.392508025971324</v>
      </c>
      <c r="Q54">
        <f t="shared" si="8"/>
        <v>1.1241350000000001E-3</v>
      </c>
      <c r="R54">
        <f t="shared" si="9"/>
        <v>2.3075949999999999E-4</v>
      </c>
      <c r="T54">
        <f t="shared" si="6"/>
        <v>79.56966542940205</v>
      </c>
      <c r="U54">
        <f t="shared" si="6"/>
        <v>87.207934713149498</v>
      </c>
      <c r="W54">
        <f t="shared" si="7"/>
        <v>2.9022538282896235</v>
      </c>
      <c r="X54">
        <f t="shared" si="7"/>
        <v>2.1845733128218257</v>
      </c>
    </row>
    <row r="55" spans="1:24" x14ac:dyDescent="0.35">
      <c r="A55">
        <v>343.04300000000001</v>
      </c>
      <c r="B55">
        <v>1.2397599999999999E-3</v>
      </c>
      <c r="C55">
        <v>2.3445599999999999E-4</v>
      </c>
      <c r="D55">
        <f t="shared" si="2"/>
        <v>76.961660707191086</v>
      </c>
      <c r="E55">
        <f t="shared" si="3"/>
        <v>83.685568758187202</v>
      </c>
      <c r="G55">
        <v>1.0180899999999999E-3</v>
      </c>
      <c r="H55">
        <v>2.26734E-4</v>
      </c>
      <c r="I55">
        <f t="shared" si="4"/>
        <v>82.865863584567791</v>
      </c>
      <c r="J55">
        <f t="shared" si="5"/>
        <v>90.761126277950794</v>
      </c>
      <c r="Q55">
        <f t="shared" si="8"/>
        <v>1.1289249999999998E-3</v>
      </c>
      <c r="R55">
        <f t="shared" si="9"/>
        <v>2.30595E-4</v>
      </c>
      <c r="T55">
        <f t="shared" si="6"/>
        <v>79.913762145879446</v>
      </c>
      <c r="U55">
        <f t="shared" si="6"/>
        <v>87.223347518069005</v>
      </c>
      <c r="W55">
        <f t="shared" si="7"/>
        <v>2.9521014386883522</v>
      </c>
      <c r="X55">
        <f t="shared" si="7"/>
        <v>3.537778759881796</v>
      </c>
    </row>
    <row r="56" spans="1:24" x14ac:dyDescent="0.35">
      <c r="A56">
        <v>349.23899999999998</v>
      </c>
      <c r="B56">
        <v>1.2444800000000001E-3</v>
      </c>
      <c r="C56">
        <v>2.37538E-4</v>
      </c>
      <c r="D56">
        <f t="shared" si="2"/>
        <v>77.254668255860153</v>
      </c>
      <c r="E56">
        <f t="shared" si="3"/>
        <v>84.785642643746684</v>
      </c>
      <c r="G56">
        <v>1.0215000000000001E-3</v>
      </c>
      <c r="H56">
        <v>2.2724099999999999E-4</v>
      </c>
      <c r="I56">
        <f t="shared" si="4"/>
        <v>83.14341526941233</v>
      </c>
      <c r="J56">
        <f t="shared" si="5"/>
        <v>90.964077273491469</v>
      </c>
      <c r="Q56">
        <f t="shared" si="8"/>
        <v>1.13299E-3</v>
      </c>
      <c r="R56">
        <f t="shared" si="9"/>
        <v>2.3238950000000001E-4</v>
      </c>
      <c r="T56">
        <f t="shared" si="6"/>
        <v>80.199041762636242</v>
      </c>
      <c r="U56">
        <f t="shared" si="6"/>
        <v>87.874859958619083</v>
      </c>
      <c r="W56">
        <f t="shared" si="7"/>
        <v>2.9443735067760883</v>
      </c>
      <c r="X56">
        <f t="shared" si="7"/>
        <v>3.0892173148723927</v>
      </c>
    </row>
    <row r="57" spans="1:24" x14ac:dyDescent="0.35">
      <c r="A57">
        <v>355.53699999999998</v>
      </c>
      <c r="B57">
        <v>1.2469600000000001E-3</v>
      </c>
      <c r="C57">
        <v>2.35178E-4</v>
      </c>
      <c r="D57">
        <f t="shared" si="2"/>
        <v>77.40862137465237</v>
      </c>
      <c r="E57">
        <f t="shared" si="3"/>
        <v>83.943275878684915</v>
      </c>
      <c r="G57">
        <v>1.02691E-3</v>
      </c>
      <c r="H57">
        <v>2.2582400000000001E-4</v>
      </c>
      <c r="I57">
        <f t="shared" si="4"/>
        <v>83.583753866189156</v>
      </c>
      <c r="J57">
        <f t="shared" si="5"/>
        <v>90.396855260313686</v>
      </c>
      <c r="Q57">
        <f t="shared" si="8"/>
        <v>1.1369349999999999E-3</v>
      </c>
      <c r="R57">
        <f t="shared" si="9"/>
        <v>2.3050100000000001E-4</v>
      </c>
      <c r="T57">
        <f t="shared" si="6"/>
        <v>80.496187620420756</v>
      </c>
      <c r="U57">
        <f t="shared" si="6"/>
        <v>87.1700655694993</v>
      </c>
      <c r="W57">
        <f t="shared" si="7"/>
        <v>3.087566245768393</v>
      </c>
      <c r="X57">
        <f t="shared" si="7"/>
        <v>3.2267896908143854</v>
      </c>
    </row>
    <row r="58" spans="1:24" x14ac:dyDescent="0.35">
      <c r="A58">
        <v>361.666</v>
      </c>
      <c r="B58">
        <v>1.25191E-3</v>
      </c>
      <c r="C58">
        <v>2.38984E-4</v>
      </c>
      <c r="D58">
        <f t="shared" si="2"/>
        <v>77.715906833531974</v>
      </c>
      <c r="E58">
        <f t="shared" si="3"/>
        <v>85.301770754881971</v>
      </c>
      <c r="G58">
        <v>1.0315700000000001E-3</v>
      </c>
      <c r="H58">
        <v>2.2894699999999999E-4</v>
      </c>
      <c r="I58">
        <f t="shared" si="4"/>
        <v>83.963047370991376</v>
      </c>
      <c r="J58">
        <f t="shared" si="5"/>
        <v>91.646985357105677</v>
      </c>
      <c r="Q58">
        <f t="shared" si="8"/>
        <v>1.14174E-3</v>
      </c>
      <c r="R58">
        <f t="shared" si="9"/>
        <v>2.3396549999999999E-4</v>
      </c>
      <c r="T58">
        <f t="shared" si="6"/>
        <v>80.839477102261668</v>
      </c>
      <c r="U58">
        <f t="shared" si="6"/>
        <v>88.474378055993824</v>
      </c>
      <c r="W58">
        <f t="shared" si="7"/>
        <v>3.1235702687297007</v>
      </c>
      <c r="X58">
        <f t="shared" si="7"/>
        <v>3.172607301111853</v>
      </c>
    </row>
    <row r="59" spans="1:24" x14ac:dyDescent="0.35">
      <c r="A59">
        <v>367.87200000000001</v>
      </c>
      <c r="B59">
        <v>1.2558300000000001E-3</v>
      </c>
      <c r="C59">
        <v>2.4099599999999999E-4</v>
      </c>
      <c r="D59">
        <f t="shared" si="2"/>
        <v>77.959252085816459</v>
      </c>
      <c r="E59">
        <f t="shared" si="3"/>
        <v>86.019924115604127</v>
      </c>
      <c r="G59">
        <v>1.0315999999999999E-3</v>
      </c>
      <c r="H59">
        <v>2.3125500000000001E-4</v>
      </c>
      <c r="I59">
        <f t="shared" si="4"/>
        <v>83.965489174670353</v>
      </c>
      <c r="J59">
        <f t="shared" si="5"/>
        <v>92.570872729310608</v>
      </c>
      <c r="Q59">
        <f t="shared" si="8"/>
        <v>1.143715E-3</v>
      </c>
      <c r="R59">
        <f t="shared" si="9"/>
        <v>2.3612550000000001E-4</v>
      </c>
      <c r="T59">
        <f t="shared" si="6"/>
        <v>80.962370630243413</v>
      </c>
      <c r="U59">
        <f t="shared" si="6"/>
        <v>89.295398422457367</v>
      </c>
      <c r="W59">
        <f t="shared" si="7"/>
        <v>3.0031185444269468</v>
      </c>
      <c r="X59">
        <f t="shared" si="7"/>
        <v>3.2754743068532406</v>
      </c>
    </row>
    <row r="60" spans="1:24" x14ac:dyDescent="0.35">
      <c r="A60">
        <v>374.14400000000001</v>
      </c>
      <c r="B60">
        <v>1.25924E-3</v>
      </c>
      <c r="C60">
        <v>2.4100099999999999E-4</v>
      </c>
      <c r="D60">
        <f t="shared" si="2"/>
        <v>78.170937624155741</v>
      </c>
      <c r="E60">
        <f t="shared" si="3"/>
        <v>86.021708790953838</v>
      </c>
      <c r="G60">
        <v>1.04068E-3</v>
      </c>
      <c r="H60">
        <v>2.3665599999999999E-4</v>
      </c>
      <c r="I60">
        <f t="shared" si="4"/>
        <v>84.704541754842907</v>
      </c>
      <c r="J60">
        <f t="shared" si="5"/>
        <v>94.732881263660161</v>
      </c>
      <c r="Q60">
        <f t="shared" si="8"/>
        <v>1.14996E-3</v>
      </c>
      <c r="R60">
        <f t="shared" si="9"/>
        <v>2.3882849999999999E-4</v>
      </c>
      <c r="T60">
        <f t="shared" si="6"/>
        <v>81.437739689499324</v>
      </c>
      <c r="U60">
        <f t="shared" si="6"/>
        <v>90.377295027306999</v>
      </c>
      <c r="W60">
        <f t="shared" si="7"/>
        <v>3.2668020653435832</v>
      </c>
      <c r="X60">
        <f t="shared" si="7"/>
        <v>4.3555862363531617</v>
      </c>
    </row>
    <row r="61" spans="1:24" x14ac:dyDescent="0.35">
      <c r="A61">
        <v>380.34899999999999</v>
      </c>
      <c r="B61">
        <v>1.2612400000000001E-3</v>
      </c>
      <c r="C61">
        <v>2.3607599999999999E-4</v>
      </c>
      <c r="D61">
        <f t="shared" si="2"/>
        <v>78.295093365117211</v>
      </c>
      <c r="E61">
        <f t="shared" si="3"/>
        <v>84.263803571492318</v>
      </c>
      <c r="G61">
        <v>1.04173E-3</v>
      </c>
      <c r="H61">
        <v>2.3645599999999999E-4</v>
      </c>
      <c r="I61">
        <f t="shared" si="4"/>
        <v>84.790004883607367</v>
      </c>
      <c r="J61">
        <f t="shared" si="5"/>
        <v>94.652821699344301</v>
      </c>
      <c r="Q61">
        <f t="shared" si="8"/>
        <v>1.1514850000000001E-3</v>
      </c>
      <c r="R61">
        <f t="shared" si="9"/>
        <v>2.36266E-4</v>
      </c>
      <c r="T61">
        <f t="shared" si="6"/>
        <v>81.542549124362296</v>
      </c>
      <c r="U61">
        <f t="shared" si="6"/>
        <v>89.458312635418309</v>
      </c>
      <c r="W61">
        <f t="shared" si="7"/>
        <v>3.2474557592450779</v>
      </c>
      <c r="X61">
        <f t="shared" si="7"/>
        <v>5.1945090639259917</v>
      </c>
    </row>
    <row r="62" spans="1:24" x14ac:dyDescent="0.35">
      <c r="A62">
        <v>386.57</v>
      </c>
      <c r="B62">
        <v>1.2644900000000001E-3</v>
      </c>
      <c r="C62">
        <v>2.3676400000000001E-4</v>
      </c>
      <c r="D62">
        <f t="shared" si="2"/>
        <v>78.496846444179582</v>
      </c>
      <c r="E62">
        <f t="shared" si="3"/>
        <v>84.509374899612027</v>
      </c>
      <c r="G62">
        <v>1.04492E-3</v>
      </c>
      <c r="H62">
        <v>2.3598299999999999E-4</v>
      </c>
      <c r="I62">
        <f t="shared" si="4"/>
        <v>85.049650008139338</v>
      </c>
      <c r="J62">
        <f t="shared" si="5"/>
        <v>94.463480829737321</v>
      </c>
      <c r="Q62">
        <f t="shared" si="8"/>
        <v>1.154705E-3</v>
      </c>
      <c r="R62">
        <f t="shared" si="9"/>
        <v>2.3637350000000002E-4</v>
      </c>
      <c r="T62">
        <f t="shared" si="6"/>
        <v>81.773248226159467</v>
      </c>
      <c r="U62">
        <f t="shared" si="6"/>
        <v>89.486427864674681</v>
      </c>
      <c r="W62">
        <f t="shared" si="7"/>
        <v>3.2764017819798781</v>
      </c>
      <c r="X62">
        <f t="shared" si="7"/>
        <v>4.9770529650626472</v>
      </c>
    </row>
    <row r="63" spans="1:24" x14ac:dyDescent="0.35">
      <c r="A63">
        <v>392.74099999999999</v>
      </c>
      <c r="B63">
        <v>1.2688E-3</v>
      </c>
      <c r="C63">
        <v>2.3468999999999999E-4</v>
      </c>
      <c r="D63">
        <f t="shared" si="2"/>
        <v>78.764402065951529</v>
      </c>
      <c r="E63">
        <f t="shared" si="3"/>
        <v>83.769091564553491</v>
      </c>
      <c r="G63">
        <v>1.05109E-3</v>
      </c>
      <c r="H63">
        <v>2.3983399999999999E-4</v>
      </c>
      <c r="I63">
        <f t="shared" si="4"/>
        <v>85.551847631450428</v>
      </c>
      <c r="J63">
        <f t="shared" si="5"/>
        <v>96.005027740639022</v>
      </c>
      <c r="Q63">
        <f t="shared" si="8"/>
        <v>1.1599449999999999E-3</v>
      </c>
      <c r="R63">
        <f t="shared" si="9"/>
        <v>2.3726199999999999E-4</v>
      </c>
      <c r="T63">
        <f t="shared" si="6"/>
        <v>82.158124848700979</v>
      </c>
      <c r="U63">
        <f t="shared" si="6"/>
        <v>89.887059652596264</v>
      </c>
      <c r="W63">
        <f t="shared" si="7"/>
        <v>3.3937227827494496</v>
      </c>
      <c r="X63">
        <f t="shared" si="7"/>
        <v>6.1179680880427654</v>
      </c>
    </row>
    <row r="64" spans="1:24" x14ac:dyDescent="0.35">
      <c r="A64">
        <v>399.01299999999998</v>
      </c>
      <c r="B64">
        <v>1.2713500000000001E-3</v>
      </c>
      <c r="C64">
        <v>2.3559500000000001E-4</v>
      </c>
      <c r="D64">
        <f t="shared" si="2"/>
        <v>78.922700635677387</v>
      </c>
      <c r="E64">
        <f t="shared" si="3"/>
        <v>84.092117802850481</v>
      </c>
      <c r="G64">
        <v>1.0528099999999999E-3</v>
      </c>
      <c r="H64">
        <v>2.38275E-4</v>
      </c>
      <c r="I64">
        <f t="shared" si="4"/>
        <v>85.691844375712193</v>
      </c>
      <c r="J64">
        <f t="shared" si="5"/>
        <v>95.380963436796975</v>
      </c>
      <c r="Q64">
        <f t="shared" si="8"/>
        <v>1.16208E-3</v>
      </c>
      <c r="R64">
        <f t="shared" si="9"/>
        <v>2.3693500000000002E-4</v>
      </c>
      <c r="T64">
        <f t="shared" si="6"/>
        <v>82.307272505694783</v>
      </c>
      <c r="U64">
        <f t="shared" si="6"/>
        <v>89.736540619823728</v>
      </c>
      <c r="W64">
        <f t="shared" si="7"/>
        <v>3.3845718700174032</v>
      </c>
      <c r="X64">
        <f t="shared" si="7"/>
        <v>5.6444228169732469</v>
      </c>
    </row>
    <row r="65" spans="1:24" x14ac:dyDescent="0.35">
      <c r="A65">
        <v>405.089</v>
      </c>
      <c r="B65">
        <v>1.27571E-3</v>
      </c>
      <c r="C65">
        <v>2.3718400000000001E-4</v>
      </c>
      <c r="D65">
        <f t="shared" si="2"/>
        <v>79.193360150973376</v>
      </c>
      <c r="E65">
        <f t="shared" si="3"/>
        <v>84.659287628987414</v>
      </c>
      <c r="G65">
        <v>1.05276E-3</v>
      </c>
      <c r="H65">
        <v>2.35477E-4</v>
      </c>
      <c r="I65">
        <f t="shared" si="4"/>
        <v>85.687774702913885</v>
      </c>
      <c r="J65">
        <f t="shared" si="5"/>
        <v>94.260930132018217</v>
      </c>
      <c r="Q65">
        <f t="shared" si="8"/>
        <v>1.164235E-3</v>
      </c>
      <c r="R65">
        <f t="shared" si="9"/>
        <v>2.3633049999999999E-4</v>
      </c>
      <c r="T65">
        <f t="shared" si="6"/>
        <v>82.44056742694363</v>
      </c>
      <c r="U65">
        <f t="shared" si="6"/>
        <v>89.460108880502816</v>
      </c>
      <c r="W65">
        <f t="shared" si="7"/>
        <v>3.2472072759702542</v>
      </c>
      <c r="X65">
        <f t="shared" si="7"/>
        <v>4.8008212515154014</v>
      </c>
    </row>
    <row r="66" spans="1:24" x14ac:dyDescent="0.35">
      <c r="A66">
        <v>411.38600000000002</v>
      </c>
      <c r="B66">
        <v>1.2779E-3</v>
      </c>
      <c r="C66">
        <v>2.3936899999999999E-4</v>
      </c>
      <c r="D66">
        <f t="shared" si="2"/>
        <v>79.329310687326185</v>
      </c>
      <c r="E66">
        <f t="shared" si="3"/>
        <v>85.439190756809424</v>
      </c>
      <c r="G66">
        <v>1.0613899999999999E-3</v>
      </c>
      <c r="H66">
        <v>2.433E-4</v>
      </c>
      <c r="I66">
        <f t="shared" si="4"/>
        <v>86.390200227901673</v>
      </c>
      <c r="J66">
        <f t="shared" si="5"/>
        <v>97.392459990232737</v>
      </c>
      <c r="Q66">
        <f t="shared" si="8"/>
        <v>1.169645E-3</v>
      </c>
      <c r="R66">
        <f t="shared" si="9"/>
        <v>2.4133450000000001E-4</v>
      </c>
      <c r="T66">
        <f t="shared" si="6"/>
        <v>82.859755457613929</v>
      </c>
      <c r="U66">
        <f t="shared" si="6"/>
        <v>91.415825373521074</v>
      </c>
      <c r="W66">
        <f t="shared" si="7"/>
        <v>3.5304447702877439</v>
      </c>
      <c r="X66">
        <f t="shared" si="7"/>
        <v>5.9766346167116566</v>
      </c>
    </row>
    <row r="67" spans="1:24" x14ac:dyDescent="0.35">
      <c r="A67">
        <v>417.61700000000002</v>
      </c>
      <c r="B67">
        <v>1.2780999999999999E-3</v>
      </c>
      <c r="C67">
        <v>2.3871299999999999E-4</v>
      </c>
      <c r="D67">
        <f t="shared" si="2"/>
        <v>79.341726261422323</v>
      </c>
      <c r="E67">
        <f t="shared" si="3"/>
        <v>85.205041350927843</v>
      </c>
      <c r="G67">
        <v>1.06397E-3</v>
      </c>
      <c r="H67">
        <v>2.4432399999999997E-4</v>
      </c>
      <c r="I67">
        <f t="shared" si="4"/>
        <v>86.60019534429432</v>
      </c>
      <c r="J67">
        <f t="shared" si="5"/>
        <v>97.802364959529882</v>
      </c>
      <c r="Q67">
        <f t="shared" ref="Q67:Q98" si="10">AVERAGE(B67,G67,L67)</f>
        <v>1.171035E-3</v>
      </c>
      <c r="R67">
        <f t="shared" ref="R67:R98" si="11">AVERAGE(C67,H67,M67)</f>
        <v>2.4151849999999998E-4</v>
      </c>
      <c r="T67">
        <f t="shared" si="6"/>
        <v>82.970960802858315</v>
      </c>
      <c r="U67">
        <f t="shared" si="6"/>
        <v>91.503703155228862</v>
      </c>
      <c r="W67">
        <f t="shared" si="7"/>
        <v>3.6292345414359986</v>
      </c>
      <c r="X67">
        <f t="shared" si="7"/>
        <v>6.2986618043010196</v>
      </c>
    </row>
    <row r="68" spans="1:24" x14ac:dyDescent="0.35">
      <c r="A68">
        <v>423.72800000000001</v>
      </c>
      <c r="B68">
        <v>1.2839500000000001E-3</v>
      </c>
      <c r="C68">
        <v>2.4289299999999999E-4</v>
      </c>
      <c r="D68">
        <f t="shared" ref="D68:D109" si="12">B68/$B$3*100</f>
        <v>79.704881803734608</v>
      </c>
      <c r="E68">
        <f t="shared" ref="E68:E109" si="13">C68/$C$3*100</f>
        <v>86.697029943283027</v>
      </c>
      <c r="G68">
        <v>1.0636300000000001E-3</v>
      </c>
      <c r="H68">
        <v>2.4425E-4</v>
      </c>
      <c r="I68">
        <f t="shared" ref="I68:I109" si="14">G68/$G$3*100</f>
        <v>86.572521569265831</v>
      </c>
      <c r="J68">
        <f t="shared" ref="J68:J109" si="15">H68/$H$3*100</f>
        <v>97.772742920733023</v>
      </c>
      <c r="Q68">
        <f t="shared" si="10"/>
        <v>1.1737900000000001E-3</v>
      </c>
      <c r="R68">
        <f t="shared" si="11"/>
        <v>2.435715E-4</v>
      </c>
      <c r="T68">
        <f t="shared" ref="T68:U109" si="16">AVERAGE(D68,I68,N68)</f>
        <v>83.138701686500212</v>
      </c>
      <c r="U68">
        <f t="shared" si="16"/>
        <v>92.234886432008025</v>
      </c>
      <c r="W68">
        <f t="shared" ref="W68:X109" si="17">_xlfn.STDEV.P(D68,I68,N68)</f>
        <v>3.4338198827656115</v>
      </c>
      <c r="X68">
        <f t="shared" si="17"/>
        <v>5.5378564887249979</v>
      </c>
    </row>
    <row r="69" spans="1:24" x14ac:dyDescent="0.35">
      <c r="A69">
        <v>429.99799999999999</v>
      </c>
      <c r="B69">
        <v>1.28561E-3</v>
      </c>
      <c r="C69">
        <v>2.3759200000000001E-4</v>
      </c>
      <c r="D69">
        <f t="shared" si="12"/>
        <v>79.807931068732614</v>
      </c>
      <c r="E69">
        <f t="shared" si="13"/>
        <v>84.804917137523518</v>
      </c>
      <c r="G69">
        <v>1.0684100000000001E-3</v>
      </c>
      <c r="H69">
        <v>2.4365699999999999E-4</v>
      </c>
      <c r="I69">
        <f t="shared" si="14"/>
        <v>86.961582288783987</v>
      </c>
      <c r="J69">
        <f t="shared" si="15"/>
        <v>97.535366312536524</v>
      </c>
      <c r="Q69">
        <f t="shared" si="10"/>
        <v>1.17701E-3</v>
      </c>
      <c r="R69">
        <f t="shared" si="11"/>
        <v>2.406245E-4</v>
      </c>
      <c r="T69">
        <f t="shared" si="16"/>
        <v>83.384756678758293</v>
      </c>
      <c r="U69">
        <f t="shared" si="16"/>
        <v>91.170141725030021</v>
      </c>
      <c r="W69">
        <f t="shared" si="17"/>
        <v>3.5768256100256863</v>
      </c>
      <c r="X69">
        <f t="shared" si="17"/>
        <v>6.3652245875065034</v>
      </c>
    </row>
    <row r="70" spans="1:24" x14ac:dyDescent="0.35">
      <c r="A70">
        <v>436.13900000000001</v>
      </c>
      <c r="B70">
        <v>1.2874E-3</v>
      </c>
      <c r="C70">
        <v>2.37118E-4</v>
      </c>
      <c r="D70">
        <f t="shared" si="12"/>
        <v>79.919050456893117</v>
      </c>
      <c r="E70">
        <f t="shared" si="13"/>
        <v>84.635729914371282</v>
      </c>
      <c r="G70">
        <v>1.07094E-3</v>
      </c>
      <c r="H70">
        <v>2.4438299999999998E-4</v>
      </c>
      <c r="I70">
        <f t="shared" si="14"/>
        <v>87.167507732378311</v>
      </c>
      <c r="J70">
        <f t="shared" si="15"/>
        <v>97.825982531003049</v>
      </c>
      <c r="Q70">
        <f t="shared" si="10"/>
        <v>1.17917E-3</v>
      </c>
      <c r="R70">
        <f t="shared" si="11"/>
        <v>2.4075049999999998E-4</v>
      </c>
      <c r="T70">
        <f t="shared" si="16"/>
        <v>83.543279094635722</v>
      </c>
      <c r="U70">
        <f t="shared" si="16"/>
        <v>91.230856222687166</v>
      </c>
      <c r="W70">
        <f t="shared" si="17"/>
        <v>3.624228637742597</v>
      </c>
      <c r="X70">
        <f t="shared" si="17"/>
        <v>6.5951263083158835</v>
      </c>
    </row>
    <row r="71" spans="1:24" x14ac:dyDescent="0.35">
      <c r="A71">
        <v>449.34300000000002</v>
      </c>
      <c r="B71">
        <v>2.5882000000000001E-6</v>
      </c>
      <c r="C71">
        <v>3.9386199999999999E-5</v>
      </c>
      <c r="D71">
        <f t="shared" si="12"/>
        <v>0.16066994437822804</v>
      </c>
      <c r="E71">
        <f t="shared" si="13"/>
        <v>14.058316051727029</v>
      </c>
      <c r="G71">
        <v>2.5340199999999999E-6</v>
      </c>
      <c r="H71">
        <v>3.2951699999999998E-5</v>
      </c>
      <c r="I71">
        <f t="shared" si="14"/>
        <v>0.2062526452873189</v>
      </c>
      <c r="J71">
        <f t="shared" si="15"/>
        <v>13.190493727333136</v>
      </c>
      <c r="Q71">
        <f t="shared" si="10"/>
        <v>2.5611099999999998E-6</v>
      </c>
      <c r="R71">
        <f t="shared" si="11"/>
        <v>3.6168949999999995E-5</v>
      </c>
      <c r="T71">
        <f t="shared" si="16"/>
        <v>0.18346129483277346</v>
      </c>
      <c r="U71">
        <f t="shared" si="16"/>
        <v>13.624404889530084</v>
      </c>
      <c r="W71">
        <f t="shared" si="17"/>
        <v>2.2791350454545532E-2</v>
      </c>
      <c r="X71">
        <f t="shared" si="17"/>
        <v>0.4339111621969467</v>
      </c>
    </row>
    <row r="72" spans="1:24" x14ac:dyDescent="0.35">
      <c r="A72">
        <v>455.57600000000002</v>
      </c>
      <c r="B72">
        <v>2.6343599999999999E-6</v>
      </c>
      <c r="C72">
        <v>3.9641599999999997E-5</v>
      </c>
      <c r="D72">
        <f t="shared" si="12"/>
        <v>0.16353545887961857</v>
      </c>
      <c r="E72">
        <f t="shared" si="13"/>
        <v>14.149477268590068</v>
      </c>
      <c r="G72">
        <v>2.5658800000000002E-6</v>
      </c>
      <c r="H72">
        <v>3.3146499999999999E-5</v>
      </c>
      <c r="I72">
        <f t="shared" si="14"/>
        <v>0.20884584079440016</v>
      </c>
      <c r="J72">
        <f t="shared" si="15"/>
        <v>13.268471742976773</v>
      </c>
      <c r="Q72">
        <f t="shared" si="10"/>
        <v>2.60012E-6</v>
      </c>
      <c r="R72">
        <f t="shared" si="11"/>
        <v>3.6394049999999994E-5</v>
      </c>
      <c r="T72">
        <f t="shared" si="16"/>
        <v>0.18619064983700936</v>
      </c>
      <c r="U72">
        <f t="shared" si="16"/>
        <v>13.70897450578342</v>
      </c>
      <c r="W72">
        <f t="shared" si="17"/>
        <v>2.2655190957390724E-2</v>
      </c>
      <c r="X72">
        <f t="shared" si="17"/>
        <v>0.44050276280664757</v>
      </c>
    </row>
    <row r="73" spans="1:24" x14ac:dyDescent="0.35">
      <c r="A73">
        <v>461.834</v>
      </c>
      <c r="B73">
        <v>2.6242400000000001E-6</v>
      </c>
      <c r="C73">
        <v>3.9409300000000002E-5</v>
      </c>
      <c r="D73">
        <f t="shared" si="12"/>
        <v>0.16290723083035361</v>
      </c>
      <c r="E73">
        <f t="shared" si="13"/>
        <v>14.06656125184268</v>
      </c>
      <c r="G73">
        <v>2.5446900000000001E-6</v>
      </c>
      <c r="H73">
        <v>3.3063399999999999E-5</v>
      </c>
      <c r="I73">
        <f t="shared" si="14"/>
        <v>0.20712111346247761</v>
      </c>
      <c r="J73">
        <f t="shared" si="15"/>
        <v>13.235206994003537</v>
      </c>
      <c r="Q73">
        <f t="shared" si="10"/>
        <v>2.5844650000000001E-6</v>
      </c>
      <c r="R73">
        <f t="shared" si="11"/>
        <v>3.6236350000000001E-5</v>
      </c>
      <c r="T73">
        <f t="shared" si="16"/>
        <v>0.18501417214641561</v>
      </c>
      <c r="U73">
        <f t="shared" si="16"/>
        <v>13.650884122923109</v>
      </c>
      <c r="W73">
        <f t="shared" si="17"/>
        <v>2.210694131606206E-2</v>
      </c>
      <c r="X73">
        <f t="shared" si="17"/>
        <v>0.41567712891957154</v>
      </c>
    </row>
    <row r="74" spans="1:24" x14ac:dyDescent="0.35">
      <c r="A74">
        <v>468.06400000000002</v>
      </c>
      <c r="B74">
        <v>2.6149300000000001E-6</v>
      </c>
      <c r="C74">
        <v>3.9356900000000003E-5</v>
      </c>
      <c r="D74">
        <f t="shared" si="12"/>
        <v>0.16232928585617801</v>
      </c>
      <c r="E74">
        <f t="shared" si="13"/>
        <v>14.047857854177748</v>
      </c>
      <c r="G74">
        <v>2.5411800000000002E-6</v>
      </c>
      <c r="H74">
        <v>3.3022899999999999E-5</v>
      </c>
      <c r="I74">
        <f t="shared" si="14"/>
        <v>0.20683542243203648</v>
      </c>
      <c r="J74">
        <f t="shared" si="15"/>
        <v>13.218994932229577</v>
      </c>
      <c r="Q74">
        <f t="shared" si="10"/>
        <v>2.5780550000000002E-6</v>
      </c>
      <c r="R74">
        <f t="shared" si="11"/>
        <v>3.6189899999999997E-5</v>
      </c>
      <c r="T74">
        <f t="shared" si="16"/>
        <v>0.18458235414410723</v>
      </c>
      <c r="U74">
        <f t="shared" si="16"/>
        <v>13.633426393203663</v>
      </c>
      <c r="W74">
        <f t="shared" si="17"/>
        <v>2.2253068287929428E-2</v>
      </c>
      <c r="X74">
        <f t="shared" si="17"/>
        <v>0.41443146097408512</v>
      </c>
    </row>
    <row r="75" spans="1:24" x14ac:dyDescent="0.35">
      <c r="A75">
        <v>474.19400000000002</v>
      </c>
      <c r="B75">
        <v>2.60845E-6</v>
      </c>
      <c r="C75">
        <v>3.9322200000000001E-5</v>
      </c>
      <c r="D75">
        <f t="shared" si="12"/>
        <v>0.16192702125546285</v>
      </c>
      <c r="E75">
        <f t="shared" si="13"/>
        <v>14.035472207250779</v>
      </c>
      <c r="G75">
        <v>2.5289099999999999E-6</v>
      </c>
      <c r="H75">
        <v>3.2996500000000002E-5</v>
      </c>
      <c r="I75">
        <f t="shared" si="14"/>
        <v>0.20583672472733192</v>
      </c>
      <c r="J75">
        <f t="shared" si="15"/>
        <v>13.208427069739887</v>
      </c>
      <c r="Q75">
        <f t="shared" si="10"/>
        <v>2.5686799999999999E-6</v>
      </c>
      <c r="R75">
        <f t="shared" si="11"/>
        <v>3.6159350000000001E-5</v>
      </c>
      <c r="T75">
        <f t="shared" si="16"/>
        <v>0.18388187299139738</v>
      </c>
      <c r="U75">
        <f t="shared" si="16"/>
        <v>13.621949638495334</v>
      </c>
      <c r="W75">
        <f t="shared" si="17"/>
        <v>2.1954851735934644E-2</v>
      </c>
      <c r="X75">
        <f t="shared" si="17"/>
        <v>0.4135225687554458</v>
      </c>
    </row>
    <row r="76" spans="1:24" x14ac:dyDescent="0.35">
      <c r="A76">
        <v>480.49299999999999</v>
      </c>
      <c r="B76">
        <v>2.6105700000000001E-6</v>
      </c>
      <c r="C76">
        <v>3.9323200000000003E-5</v>
      </c>
      <c r="D76">
        <f t="shared" si="12"/>
        <v>0.162058626340882</v>
      </c>
      <c r="E76">
        <f t="shared" si="13"/>
        <v>14.035829142320722</v>
      </c>
      <c r="G76">
        <v>2.51486E-6</v>
      </c>
      <c r="H76">
        <v>3.2989900000000001E-5</v>
      </c>
      <c r="I76">
        <f t="shared" si="14"/>
        <v>0.20469314667100766</v>
      </c>
      <c r="J76">
        <f t="shared" si="15"/>
        <v>13.205785104117462</v>
      </c>
      <c r="Q76">
        <f t="shared" si="10"/>
        <v>2.5627150000000002E-6</v>
      </c>
      <c r="R76">
        <f t="shared" si="11"/>
        <v>3.6156550000000002E-5</v>
      </c>
      <c r="T76">
        <f t="shared" si="16"/>
        <v>0.18337588650594483</v>
      </c>
      <c r="U76">
        <f t="shared" si="16"/>
        <v>13.620807123219091</v>
      </c>
      <c r="W76">
        <f t="shared" si="17"/>
        <v>2.1317260165062819E-2</v>
      </c>
      <c r="X76">
        <f t="shared" si="17"/>
        <v>0.41502201910163006</v>
      </c>
    </row>
    <row r="77" spans="1:24" x14ac:dyDescent="0.35">
      <c r="A77">
        <v>486.74799999999999</v>
      </c>
      <c r="B77">
        <v>2.6031900000000001E-6</v>
      </c>
      <c r="C77">
        <v>3.9344899999999997E-5</v>
      </c>
      <c r="D77">
        <f t="shared" si="12"/>
        <v>0.16160049165673421</v>
      </c>
      <c r="E77">
        <f t="shared" si="13"/>
        <v>14.043574633338448</v>
      </c>
      <c r="G77">
        <v>2.5014400000000001E-6</v>
      </c>
      <c r="H77">
        <v>3.2990200000000001E-5</v>
      </c>
      <c r="I77">
        <f t="shared" si="14"/>
        <v>0.20360084649194204</v>
      </c>
      <c r="J77">
        <f t="shared" si="15"/>
        <v>13.205905193463938</v>
      </c>
      <c r="Q77">
        <f t="shared" si="10"/>
        <v>2.5523150000000003E-6</v>
      </c>
      <c r="R77">
        <f t="shared" si="11"/>
        <v>3.6167549999999999E-5</v>
      </c>
      <c r="T77">
        <f t="shared" si="16"/>
        <v>0.18260066907433814</v>
      </c>
      <c r="U77">
        <f t="shared" si="16"/>
        <v>13.624739913401193</v>
      </c>
      <c r="W77">
        <f t="shared" si="17"/>
        <v>2.1000177417603797E-2</v>
      </c>
      <c r="X77">
        <f t="shared" si="17"/>
        <v>0.41883471993725507</v>
      </c>
    </row>
    <row r="78" spans="1:24" x14ac:dyDescent="0.35">
      <c r="A78">
        <v>492.90800000000002</v>
      </c>
      <c r="B78">
        <v>2.5911699999999999E-6</v>
      </c>
      <c r="C78">
        <v>3.9368800000000002E-5</v>
      </c>
      <c r="D78">
        <f t="shared" si="12"/>
        <v>0.16085431565355579</v>
      </c>
      <c r="E78">
        <f t="shared" si="13"/>
        <v>14.052105381510049</v>
      </c>
      <c r="G78">
        <v>2.4919400000000001E-6</v>
      </c>
      <c r="H78">
        <v>3.2918199999999999E-5</v>
      </c>
      <c r="I78">
        <f t="shared" si="14"/>
        <v>0.20282760866026373</v>
      </c>
      <c r="J78">
        <f t="shared" si="15"/>
        <v>13.177083750310231</v>
      </c>
      <c r="Q78">
        <f t="shared" si="10"/>
        <v>2.5415549999999998E-6</v>
      </c>
      <c r="R78">
        <f t="shared" si="11"/>
        <v>3.6143500000000004E-5</v>
      </c>
      <c r="T78">
        <f t="shared" si="16"/>
        <v>0.18184096215690976</v>
      </c>
      <c r="U78">
        <f t="shared" si="16"/>
        <v>13.61459456591014</v>
      </c>
      <c r="W78">
        <f t="shared" si="17"/>
        <v>2.0986646503353933E-2</v>
      </c>
      <c r="X78">
        <f t="shared" si="17"/>
        <v>0.43751081559990901</v>
      </c>
    </row>
    <row r="79" spans="1:24" x14ac:dyDescent="0.35">
      <c r="A79">
        <v>499.07900000000001</v>
      </c>
      <c r="B79">
        <v>2.5882000000000001E-6</v>
      </c>
      <c r="C79">
        <v>3.93835E-5</v>
      </c>
      <c r="D79">
        <f t="shared" si="12"/>
        <v>0.16066994437822804</v>
      </c>
      <c r="E79">
        <f t="shared" si="13"/>
        <v>14.057352327038188</v>
      </c>
      <c r="G79">
        <v>2.4836600000000002E-6</v>
      </c>
      <c r="H79">
        <v>3.2852799999999998E-5</v>
      </c>
      <c r="I79">
        <f t="shared" si="14"/>
        <v>0.20215367084486408</v>
      </c>
      <c r="J79">
        <f t="shared" si="15"/>
        <v>13.150904272778947</v>
      </c>
      <c r="Q79">
        <f t="shared" si="10"/>
        <v>2.5359300000000001E-6</v>
      </c>
      <c r="R79">
        <f t="shared" si="11"/>
        <v>3.6118149999999999E-5</v>
      </c>
      <c r="T79">
        <f t="shared" si="16"/>
        <v>0.18141180761154607</v>
      </c>
      <c r="U79">
        <f t="shared" si="16"/>
        <v>13.604128299908567</v>
      </c>
      <c r="W79">
        <f t="shared" si="17"/>
        <v>2.0741863233317726E-2</v>
      </c>
      <c r="X79">
        <f t="shared" si="17"/>
        <v>0.45322402712962084</v>
      </c>
    </row>
    <row r="80" spans="1:24" x14ac:dyDescent="0.35">
      <c r="A80">
        <v>505.34300000000002</v>
      </c>
      <c r="B80">
        <v>2.57815E-6</v>
      </c>
      <c r="C80">
        <v>3.9392399999999999E-5</v>
      </c>
      <c r="D80">
        <f t="shared" si="12"/>
        <v>0.16004606177989669</v>
      </c>
      <c r="E80">
        <f t="shared" si="13"/>
        <v>14.060529049160667</v>
      </c>
      <c r="G80">
        <v>2.4750800000000001E-6</v>
      </c>
      <c r="H80">
        <v>3.2799799999999997E-5</v>
      </c>
      <c r="I80">
        <f t="shared" si="14"/>
        <v>0.20145531499267461</v>
      </c>
      <c r="J80">
        <f t="shared" si="15"/>
        <v>13.129688488235244</v>
      </c>
      <c r="Q80">
        <f t="shared" si="10"/>
        <v>2.5266149999999999E-6</v>
      </c>
      <c r="R80">
        <f t="shared" si="11"/>
        <v>3.6096099999999995E-5</v>
      </c>
      <c r="T80">
        <f t="shared" si="16"/>
        <v>0.18075068838628566</v>
      </c>
      <c r="U80">
        <f t="shared" si="16"/>
        <v>13.595108768697955</v>
      </c>
      <c r="W80">
        <f t="shared" si="17"/>
        <v>2.0704626606388794E-2</v>
      </c>
      <c r="X80">
        <f t="shared" si="17"/>
        <v>0.46542028046271167</v>
      </c>
    </row>
    <row r="81" spans="1:24" x14ac:dyDescent="0.35">
      <c r="A81">
        <v>518.67100000000005</v>
      </c>
      <c r="B81">
        <v>1.0815499999999999E-3</v>
      </c>
      <c r="C81">
        <v>2.4010399999999999E-4</v>
      </c>
      <c r="D81">
        <f t="shared" si="12"/>
        <v>67.140320818434645</v>
      </c>
      <c r="E81">
        <f t="shared" si="13"/>
        <v>85.70153803321638</v>
      </c>
      <c r="G81">
        <v>8.9242800000000001E-4</v>
      </c>
      <c r="H81">
        <v>2.44863E-4</v>
      </c>
      <c r="I81">
        <f t="shared" si="14"/>
        <v>72.637799120950675</v>
      </c>
      <c r="J81">
        <f t="shared" si="15"/>
        <v>98.018125485361111</v>
      </c>
      <c r="Q81">
        <f t="shared" si="10"/>
        <v>9.8698899999999997E-4</v>
      </c>
      <c r="R81">
        <f t="shared" si="11"/>
        <v>2.424835E-4</v>
      </c>
      <c r="T81">
        <f t="shared" si="16"/>
        <v>69.889059969692653</v>
      </c>
      <c r="U81">
        <f t="shared" si="16"/>
        <v>91.859831759288738</v>
      </c>
      <c r="W81">
        <f t="shared" si="17"/>
        <v>2.7487391512580146</v>
      </c>
      <c r="X81">
        <f t="shared" si="17"/>
        <v>6.1582937260723654</v>
      </c>
    </row>
    <row r="82" spans="1:24" x14ac:dyDescent="0.35">
      <c r="A82">
        <v>524.91800000000001</v>
      </c>
      <c r="B82">
        <v>1.1164199999999999E-3</v>
      </c>
      <c r="C82">
        <v>2.4339699999999999E-4</v>
      </c>
      <c r="D82">
        <f t="shared" si="12"/>
        <v>69.304976162097731</v>
      </c>
      <c r="E82">
        <f t="shared" si="13"/>
        <v>86.876925218533501</v>
      </c>
      <c r="G82">
        <v>9.2228899999999996E-4</v>
      </c>
      <c r="H82">
        <v>2.5203500000000001E-4</v>
      </c>
      <c r="I82">
        <f t="shared" si="14"/>
        <v>75.068289109555593</v>
      </c>
      <c r="J82">
        <f t="shared" si="15"/>
        <v>100.88906146172754</v>
      </c>
      <c r="Q82">
        <f t="shared" si="10"/>
        <v>1.0193544999999998E-3</v>
      </c>
      <c r="R82">
        <f t="shared" si="11"/>
        <v>2.4771599999999998E-4</v>
      </c>
      <c r="T82">
        <f t="shared" si="16"/>
        <v>72.186632635826669</v>
      </c>
      <c r="U82">
        <f t="shared" si="16"/>
        <v>93.882993340130525</v>
      </c>
      <c r="W82">
        <f t="shared" si="17"/>
        <v>2.8816564737289312</v>
      </c>
      <c r="X82">
        <f t="shared" si="17"/>
        <v>7.0060681215970178</v>
      </c>
    </row>
    <row r="83" spans="1:24" x14ac:dyDescent="0.35">
      <c r="A83">
        <v>531.04899999999998</v>
      </c>
      <c r="B83">
        <v>1.1387700000000001E-3</v>
      </c>
      <c r="C83">
        <v>2.4518199999999998E-4</v>
      </c>
      <c r="D83">
        <f t="shared" si="12"/>
        <v>70.692416567342079</v>
      </c>
      <c r="E83">
        <f t="shared" si="13"/>
        <v>87.514054318378939</v>
      </c>
      <c r="G83">
        <v>9.37592E-4</v>
      </c>
      <c r="H83">
        <v>2.5033899999999998E-4</v>
      </c>
      <c r="I83">
        <f t="shared" si="14"/>
        <v>76.313853166205433</v>
      </c>
      <c r="J83">
        <f t="shared" si="15"/>
        <v>100.21015635632911</v>
      </c>
      <c r="Q83">
        <f t="shared" si="10"/>
        <v>1.038181E-3</v>
      </c>
      <c r="R83">
        <f t="shared" si="11"/>
        <v>2.4776049999999998E-4</v>
      </c>
      <c r="T83">
        <f t="shared" si="16"/>
        <v>73.503134866773763</v>
      </c>
      <c r="U83">
        <f t="shared" si="16"/>
        <v>93.862105337354024</v>
      </c>
      <c r="W83">
        <f t="shared" si="17"/>
        <v>2.8107182994316773</v>
      </c>
      <c r="X83">
        <f t="shared" si="17"/>
        <v>6.3480510189750845</v>
      </c>
    </row>
    <row r="84" spans="1:24" x14ac:dyDescent="0.35">
      <c r="A84">
        <v>537.19200000000001</v>
      </c>
      <c r="B84">
        <v>1.15507E-3</v>
      </c>
      <c r="C84">
        <v>2.4461300000000002E-4</v>
      </c>
      <c r="D84">
        <f t="shared" si="12"/>
        <v>71.704285856177989</v>
      </c>
      <c r="E84">
        <f t="shared" si="13"/>
        <v>87.310958263582279</v>
      </c>
      <c r="G84">
        <v>9.5458399999999997E-4</v>
      </c>
      <c r="H84">
        <v>2.4958499999999998E-4</v>
      </c>
      <c r="I84">
        <f t="shared" si="14"/>
        <v>77.69689076998209</v>
      </c>
      <c r="J84">
        <f t="shared" si="15"/>
        <v>99.908331798858342</v>
      </c>
      <c r="Q84">
        <f t="shared" si="10"/>
        <v>1.0548269999999999E-3</v>
      </c>
      <c r="R84">
        <f t="shared" si="11"/>
        <v>2.4709899999999997E-4</v>
      </c>
      <c r="T84">
        <f t="shared" si="16"/>
        <v>74.700588313080033</v>
      </c>
      <c r="U84">
        <f t="shared" si="16"/>
        <v>93.60964503122031</v>
      </c>
      <c r="W84">
        <f t="shared" si="17"/>
        <v>2.9963024569020504</v>
      </c>
      <c r="X84">
        <f t="shared" si="17"/>
        <v>6.2986867676380314</v>
      </c>
    </row>
    <row r="85" spans="1:24" x14ac:dyDescent="0.35">
      <c r="A85">
        <v>543.55200000000002</v>
      </c>
      <c r="B85">
        <v>1.16932E-3</v>
      </c>
      <c r="C85">
        <v>2.43234E-4</v>
      </c>
      <c r="D85">
        <f t="shared" si="12"/>
        <v>72.588895510528388</v>
      </c>
      <c r="E85">
        <f t="shared" si="13"/>
        <v>86.81874480213304</v>
      </c>
      <c r="G85">
        <v>9.6406400000000005E-4</v>
      </c>
      <c r="H85">
        <v>2.4839799999999999E-4</v>
      </c>
      <c r="I85">
        <f t="shared" si="14"/>
        <v>78.468500732541102</v>
      </c>
      <c r="J85">
        <f t="shared" si="15"/>
        <v>99.433178284643759</v>
      </c>
      <c r="Q85">
        <f t="shared" si="10"/>
        <v>1.0666919999999999E-3</v>
      </c>
      <c r="R85">
        <f t="shared" si="11"/>
        <v>2.4581599999999999E-4</v>
      </c>
      <c r="T85">
        <f t="shared" si="16"/>
        <v>75.528698121534745</v>
      </c>
      <c r="U85">
        <f t="shared" si="16"/>
        <v>93.125961543388399</v>
      </c>
      <c r="W85">
        <f t="shared" si="17"/>
        <v>2.9398026110063569</v>
      </c>
      <c r="X85">
        <f t="shared" si="17"/>
        <v>6.3072167412553597</v>
      </c>
    </row>
    <row r="86" spans="1:24" x14ac:dyDescent="0.35">
      <c r="A86">
        <v>549.649</v>
      </c>
      <c r="B86">
        <v>1.18166E-3</v>
      </c>
      <c r="C86">
        <v>2.4061500000000001E-4</v>
      </c>
      <c r="D86">
        <f t="shared" si="12"/>
        <v>73.354936432260615</v>
      </c>
      <c r="E86">
        <f t="shared" si="13"/>
        <v>85.883931853956454</v>
      </c>
      <c r="G86">
        <v>9.8653999999999994E-4</v>
      </c>
      <c r="H86">
        <v>2.6183599999999999E-4</v>
      </c>
      <c r="I86">
        <f t="shared" si="14"/>
        <v>80.29790004883607</v>
      </c>
      <c r="J86">
        <f t="shared" si="15"/>
        <v>104.81238041102581</v>
      </c>
      <c r="Q86">
        <f t="shared" si="10"/>
        <v>1.0841E-3</v>
      </c>
      <c r="R86">
        <f t="shared" si="11"/>
        <v>2.512255E-4</v>
      </c>
      <c r="T86">
        <f t="shared" si="16"/>
        <v>76.82641824054835</v>
      </c>
      <c r="U86">
        <f t="shared" si="16"/>
        <v>95.348156132491141</v>
      </c>
      <c r="W86">
        <f t="shared" si="17"/>
        <v>3.4714818082877272</v>
      </c>
      <c r="X86">
        <f t="shared" si="17"/>
        <v>9.4642242785346795</v>
      </c>
    </row>
    <row r="87" spans="1:24" x14ac:dyDescent="0.35">
      <c r="A87">
        <v>555.86300000000006</v>
      </c>
      <c r="B87">
        <v>1.1914899999999999E-3</v>
      </c>
      <c r="C87">
        <v>2.43501E-4</v>
      </c>
      <c r="D87">
        <f t="shared" si="12"/>
        <v>73.965161899086212</v>
      </c>
      <c r="E87">
        <f t="shared" si="13"/>
        <v>86.914046465807402</v>
      </c>
      <c r="G87">
        <v>9.9577400000000005E-4</v>
      </c>
      <c r="H87">
        <v>2.6150700000000002E-4</v>
      </c>
      <c r="I87">
        <f t="shared" si="14"/>
        <v>81.049487221227409</v>
      </c>
      <c r="J87">
        <f t="shared" si="15"/>
        <v>104.68068242772624</v>
      </c>
      <c r="Q87">
        <f t="shared" si="10"/>
        <v>1.093632E-3</v>
      </c>
      <c r="R87">
        <f t="shared" si="11"/>
        <v>2.5250400000000002E-4</v>
      </c>
      <c r="T87">
        <f t="shared" si="16"/>
        <v>77.507324560156803</v>
      </c>
      <c r="U87">
        <f t="shared" si="16"/>
        <v>95.797364446766821</v>
      </c>
      <c r="W87">
        <f t="shared" si="17"/>
        <v>3.5421626610705985</v>
      </c>
      <c r="X87">
        <f t="shared" si="17"/>
        <v>8.8833179809594185</v>
      </c>
    </row>
    <row r="88" spans="1:24" x14ac:dyDescent="0.35">
      <c r="A88">
        <v>562.19600000000003</v>
      </c>
      <c r="B88">
        <v>1.19921E-3</v>
      </c>
      <c r="C88">
        <v>2.4293599999999999E-4</v>
      </c>
      <c r="D88">
        <f t="shared" si="12"/>
        <v>74.444403059197455</v>
      </c>
      <c r="E88">
        <f t="shared" si="13"/>
        <v>86.712378151290508</v>
      </c>
      <c r="G88">
        <v>1.00563E-3</v>
      </c>
      <c r="H88">
        <v>2.6545300000000002E-4</v>
      </c>
      <c r="I88">
        <f t="shared" si="14"/>
        <v>81.851701123229688</v>
      </c>
      <c r="J88">
        <f t="shared" si="15"/>
        <v>106.26025763167797</v>
      </c>
      <c r="Q88">
        <f t="shared" si="10"/>
        <v>1.10242E-3</v>
      </c>
      <c r="R88">
        <f t="shared" si="11"/>
        <v>2.5419450000000002E-4</v>
      </c>
      <c r="T88">
        <f t="shared" si="16"/>
        <v>78.148052091213572</v>
      </c>
      <c r="U88">
        <f t="shared" si="16"/>
        <v>96.486317891484248</v>
      </c>
      <c r="W88">
        <f t="shared" si="17"/>
        <v>3.7036490320161164</v>
      </c>
      <c r="X88">
        <f t="shared" si="17"/>
        <v>9.773939740193665</v>
      </c>
    </row>
    <row r="89" spans="1:24" x14ac:dyDescent="0.35">
      <c r="A89">
        <v>568.34699999999998</v>
      </c>
      <c r="B89">
        <v>1.2078799999999999E-3</v>
      </c>
      <c r="C89">
        <v>2.43284E-4</v>
      </c>
      <c r="D89">
        <f t="shared" si="12"/>
        <v>74.982618196265378</v>
      </c>
      <c r="E89">
        <f t="shared" si="13"/>
        <v>86.836591555630122</v>
      </c>
      <c r="G89">
        <v>1.00994E-3</v>
      </c>
      <c r="H89">
        <v>2.6495300000000001E-4</v>
      </c>
      <c r="I89">
        <f t="shared" si="14"/>
        <v>82.202506918443746</v>
      </c>
      <c r="J89">
        <f t="shared" si="15"/>
        <v>106.06010872088834</v>
      </c>
      <c r="Q89">
        <f t="shared" si="10"/>
        <v>1.1089099999999998E-3</v>
      </c>
      <c r="R89">
        <f t="shared" si="11"/>
        <v>2.5411850000000002E-4</v>
      </c>
      <c r="T89">
        <f t="shared" si="16"/>
        <v>78.592562557354569</v>
      </c>
      <c r="U89">
        <f t="shared" si="16"/>
        <v>96.448350138259229</v>
      </c>
      <c r="W89">
        <f t="shared" si="17"/>
        <v>3.6099443610891839</v>
      </c>
      <c r="X89">
        <f t="shared" si="17"/>
        <v>9.6117585826291077</v>
      </c>
    </row>
    <row r="90" spans="1:24" x14ac:dyDescent="0.35">
      <c r="A90">
        <v>574.55200000000002</v>
      </c>
      <c r="B90">
        <v>1.2147499999999999E-3</v>
      </c>
      <c r="C90">
        <v>2.4267900000000001E-4</v>
      </c>
      <c r="D90">
        <f t="shared" si="12"/>
        <v>75.409093166468011</v>
      </c>
      <c r="E90">
        <f t="shared" si="13"/>
        <v>86.620645838315554</v>
      </c>
      <c r="G90">
        <v>1.01512E-3</v>
      </c>
      <c r="H90">
        <v>2.6508400000000001E-4</v>
      </c>
      <c r="I90">
        <f t="shared" si="14"/>
        <v>82.624125020348359</v>
      </c>
      <c r="J90">
        <f t="shared" si="15"/>
        <v>106.11254773551522</v>
      </c>
      <c r="Q90">
        <f t="shared" si="10"/>
        <v>1.1149350000000001E-3</v>
      </c>
      <c r="R90">
        <f t="shared" si="11"/>
        <v>2.5388150000000003E-4</v>
      </c>
      <c r="T90">
        <f t="shared" si="16"/>
        <v>79.016609093408192</v>
      </c>
      <c r="U90">
        <f t="shared" si="16"/>
        <v>96.36659678691538</v>
      </c>
      <c r="W90">
        <f t="shared" si="17"/>
        <v>3.6075159269401738</v>
      </c>
      <c r="X90">
        <f t="shared" si="17"/>
        <v>9.7459509485999618</v>
      </c>
    </row>
    <row r="91" spans="1:24" x14ac:dyDescent="0.35">
      <c r="A91">
        <v>580.73699999999997</v>
      </c>
      <c r="B91">
        <v>1.2205600000000001E-3</v>
      </c>
      <c r="C91">
        <v>2.4273400000000001E-4</v>
      </c>
      <c r="D91">
        <f t="shared" si="12"/>
        <v>75.769765593961068</v>
      </c>
      <c r="E91">
        <f t="shared" si="13"/>
        <v>86.640277267162332</v>
      </c>
      <c r="G91">
        <v>1.0209800000000001E-3</v>
      </c>
      <c r="H91">
        <v>2.6492200000000001E-4</v>
      </c>
      <c r="I91">
        <f t="shared" si="14"/>
        <v>83.101090672309951</v>
      </c>
      <c r="J91">
        <f t="shared" si="15"/>
        <v>106.04769948841938</v>
      </c>
      <c r="Q91">
        <f t="shared" si="10"/>
        <v>1.1207700000000001E-3</v>
      </c>
      <c r="R91">
        <f t="shared" si="11"/>
        <v>2.53828E-4</v>
      </c>
      <c r="T91">
        <f t="shared" si="16"/>
        <v>79.435428133135503</v>
      </c>
      <c r="U91">
        <f t="shared" si="16"/>
        <v>96.343988377790851</v>
      </c>
      <c r="W91">
        <f t="shared" si="17"/>
        <v>3.6656625391744413</v>
      </c>
      <c r="X91">
        <f t="shared" si="17"/>
        <v>9.7037111106286265</v>
      </c>
    </row>
    <row r="92" spans="1:24" x14ac:dyDescent="0.35">
      <c r="A92">
        <v>587.00400000000002</v>
      </c>
      <c r="B92">
        <v>1.2259E-3</v>
      </c>
      <c r="C92">
        <v>2.40163E-4</v>
      </c>
      <c r="D92">
        <f t="shared" si="12"/>
        <v>76.101261422328164</v>
      </c>
      <c r="E92">
        <f t="shared" si="13"/>
        <v>85.722597202342925</v>
      </c>
      <c r="G92">
        <v>1.02648E-3</v>
      </c>
      <c r="H92">
        <v>2.6470399999999999E-4</v>
      </c>
      <c r="I92">
        <f t="shared" si="14"/>
        <v>83.548754680123722</v>
      </c>
      <c r="J92">
        <f t="shared" si="15"/>
        <v>105.9604345633151</v>
      </c>
      <c r="Q92">
        <f t="shared" si="10"/>
        <v>1.12619E-3</v>
      </c>
      <c r="R92">
        <f t="shared" si="11"/>
        <v>2.5243349999999999E-4</v>
      </c>
      <c r="T92">
        <f t="shared" si="16"/>
        <v>79.82500805122595</v>
      </c>
      <c r="U92">
        <f t="shared" si="16"/>
        <v>95.841515882829015</v>
      </c>
      <c r="W92">
        <f t="shared" si="17"/>
        <v>3.7237466288977785</v>
      </c>
      <c r="X92">
        <f t="shared" si="17"/>
        <v>10.1189186804861</v>
      </c>
    </row>
    <row r="93" spans="1:24" x14ac:dyDescent="0.35">
      <c r="A93">
        <v>593.21</v>
      </c>
      <c r="B93">
        <v>1.2329000000000001E-3</v>
      </c>
      <c r="C93">
        <v>2.4183599999999999E-4</v>
      </c>
      <c r="D93">
        <f t="shared" si="12"/>
        <v>76.535806515693281</v>
      </c>
      <c r="E93">
        <f t="shared" si="13"/>
        <v>86.31974957435493</v>
      </c>
      <c r="G93">
        <v>1.03169E-3</v>
      </c>
      <c r="H93">
        <v>2.6330400000000001E-4</v>
      </c>
      <c r="I93">
        <f t="shared" si="14"/>
        <v>83.972814585707312</v>
      </c>
      <c r="J93">
        <f t="shared" si="15"/>
        <v>105.40001761310415</v>
      </c>
      <c r="Q93">
        <f t="shared" si="10"/>
        <v>1.1322950000000002E-3</v>
      </c>
      <c r="R93">
        <f t="shared" si="11"/>
        <v>2.5257000000000003E-4</v>
      </c>
      <c r="T93">
        <f t="shared" si="16"/>
        <v>80.254310550700296</v>
      </c>
      <c r="U93">
        <f t="shared" si="16"/>
        <v>95.859883593729535</v>
      </c>
      <c r="W93">
        <f t="shared" si="17"/>
        <v>3.7185040350070153</v>
      </c>
      <c r="X93">
        <f t="shared" si="17"/>
        <v>9.5401340193746123</v>
      </c>
    </row>
    <row r="94" spans="1:24" x14ac:dyDescent="0.35">
      <c r="A94">
        <v>599.31799999999998</v>
      </c>
      <c r="B94">
        <v>1.23726E-3</v>
      </c>
      <c r="C94">
        <v>2.44059E-4</v>
      </c>
      <c r="D94">
        <f t="shared" si="12"/>
        <v>76.80646603098927</v>
      </c>
      <c r="E94">
        <f t="shared" si="13"/>
        <v>87.113216234834724</v>
      </c>
      <c r="G94">
        <v>1.03802E-3</v>
      </c>
      <c r="H94">
        <v>2.6561599999999999E-4</v>
      </c>
      <c r="I94">
        <f t="shared" si="14"/>
        <v>84.488035161972974</v>
      </c>
      <c r="J94">
        <f t="shared" si="15"/>
        <v>106.32550617659537</v>
      </c>
      <c r="Q94">
        <f t="shared" si="10"/>
        <v>1.1376400000000001E-3</v>
      </c>
      <c r="R94">
        <f t="shared" si="11"/>
        <v>2.5483750000000001E-4</v>
      </c>
      <c r="T94">
        <f t="shared" si="16"/>
        <v>80.647250596481115</v>
      </c>
      <c r="U94">
        <f t="shared" si="16"/>
        <v>96.719361205715046</v>
      </c>
      <c r="W94">
        <f t="shared" si="17"/>
        <v>3.8407845654918518</v>
      </c>
      <c r="X94">
        <f t="shared" si="17"/>
        <v>9.6061449708803224</v>
      </c>
    </row>
    <row r="95" spans="1:24" x14ac:dyDescent="0.35">
      <c r="A95">
        <v>605.59400000000005</v>
      </c>
      <c r="B95">
        <v>1.2423600000000001E-3</v>
      </c>
      <c r="C95">
        <v>2.4231599999999999E-4</v>
      </c>
      <c r="D95">
        <f t="shared" si="12"/>
        <v>77.123063170441</v>
      </c>
      <c r="E95">
        <f t="shared" si="13"/>
        <v>86.491078407926807</v>
      </c>
      <c r="G95">
        <v>1.04404E-3</v>
      </c>
      <c r="H95">
        <v>2.66505E-4</v>
      </c>
      <c r="I95">
        <f t="shared" si="14"/>
        <v>84.978023766889137</v>
      </c>
      <c r="J95">
        <f t="shared" si="15"/>
        <v>106.68137093997933</v>
      </c>
      <c r="Q95">
        <f t="shared" si="10"/>
        <v>1.1432E-3</v>
      </c>
      <c r="R95">
        <f t="shared" si="11"/>
        <v>2.5441050000000001E-4</v>
      </c>
      <c r="T95">
        <f t="shared" si="16"/>
        <v>81.050543468665069</v>
      </c>
      <c r="U95">
        <f t="shared" si="16"/>
        <v>96.586224673953069</v>
      </c>
      <c r="W95">
        <f t="shared" si="17"/>
        <v>3.9274802982240686</v>
      </c>
      <c r="X95">
        <f t="shared" si="17"/>
        <v>10.09514626602628</v>
      </c>
    </row>
    <row r="96" spans="1:24" x14ac:dyDescent="0.35">
      <c r="A96">
        <v>611.76900000000001</v>
      </c>
      <c r="B96">
        <v>1.2474400000000001E-3</v>
      </c>
      <c r="C96">
        <v>2.4411300000000001E-4</v>
      </c>
      <c r="D96">
        <f t="shared" si="12"/>
        <v>77.438418752483116</v>
      </c>
      <c r="E96">
        <f t="shared" si="13"/>
        <v>87.132490728611572</v>
      </c>
      <c r="G96">
        <v>1.0380700000000001E-3</v>
      </c>
      <c r="H96">
        <v>2.5190899999999998E-4</v>
      </c>
      <c r="I96">
        <f t="shared" si="14"/>
        <v>84.492104834771283</v>
      </c>
      <c r="J96">
        <f t="shared" si="15"/>
        <v>100.83862393620852</v>
      </c>
      <c r="Q96">
        <f t="shared" si="10"/>
        <v>1.1427550000000001E-3</v>
      </c>
      <c r="R96">
        <f t="shared" si="11"/>
        <v>2.4801100000000002E-4</v>
      </c>
      <c r="T96">
        <f t="shared" si="16"/>
        <v>80.965261793627207</v>
      </c>
      <c r="U96">
        <f t="shared" si="16"/>
        <v>93.985557332410053</v>
      </c>
      <c r="W96">
        <f t="shared" si="17"/>
        <v>3.5268430411440832</v>
      </c>
      <c r="X96">
        <f t="shared" si="17"/>
        <v>6.8530666037984744</v>
      </c>
    </row>
    <row r="97" spans="1:24" x14ac:dyDescent="0.35">
      <c r="A97">
        <v>617.947</v>
      </c>
      <c r="B97">
        <v>1.2508599999999999E-3</v>
      </c>
      <c r="C97">
        <v>2.42413E-4</v>
      </c>
      <c r="D97">
        <f t="shared" si="12"/>
        <v>77.650725069527198</v>
      </c>
      <c r="E97">
        <f t="shared" si="13"/>
        <v>86.525701109711122</v>
      </c>
      <c r="G97">
        <v>1.0415000000000001E-3</v>
      </c>
      <c r="H97">
        <v>2.5626199999999999E-4</v>
      </c>
      <c r="I97">
        <f t="shared" si="14"/>
        <v>84.77128438873514</v>
      </c>
      <c r="J97">
        <f t="shared" si="15"/>
        <v>102.58112035354303</v>
      </c>
      <c r="Q97">
        <f t="shared" si="10"/>
        <v>1.1461800000000001E-3</v>
      </c>
      <c r="R97">
        <f t="shared" si="11"/>
        <v>2.4933749999999998E-4</v>
      </c>
      <c r="T97">
        <f t="shared" si="16"/>
        <v>81.211004729131162</v>
      </c>
      <c r="U97">
        <f t="shared" si="16"/>
        <v>94.553410731627082</v>
      </c>
      <c r="W97">
        <f t="shared" si="17"/>
        <v>3.560279659603971</v>
      </c>
      <c r="X97">
        <f t="shared" si="17"/>
        <v>8.0277096219159532</v>
      </c>
    </row>
    <row r="98" spans="1:24" x14ac:dyDescent="0.35">
      <c r="A98">
        <v>624.12199999999996</v>
      </c>
      <c r="B98">
        <v>1.25537E-3</v>
      </c>
      <c r="C98">
        <v>2.4424199999999998E-4</v>
      </c>
      <c r="D98">
        <f t="shared" si="12"/>
        <v>77.930696265395312</v>
      </c>
      <c r="E98">
        <f t="shared" si="13"/>
        <v>87.178535352634</v>
      </c>
      <c r="G98">
        <v>1.0456700000000001E-3</v>
      </c>
      <c r="H98">
        <v>2.5766E-4</v>
      </c>
      <c r="I98">
        <f t="shared" si="14"/>
        <v>85.110695100113958</v>
      </c>
      <c r="J98">
        <f t="shared" si="15"/>
        <v>103.14073670811084</v>
      </c>
      <c r="Q98">
        <f t="shared" si="10"/>
        <v>1.1505199999999999E-3</v>
      </c>
      <c r="R98">
        <f t="shared" si="11"/>
        <v>2.5095100000000002E-4</v>
      </c>
      <c r="T98">
        <f t="shared" si="16"/>
        <v>81.520695682754635</v>
      </c>
      <c r="U98">
        <f t="shared" si="16"/>
        <v>95.159636030372411</v>
      </c>
      <c r="W98">
        <f t="shared" si="17"/>
        <v>3.5899994173593228</v>
      </c>
      <c r="X98">
        <f t="shared" si="17"/>
        <v>7.9811006777384179</v>
      </c>
    </row>
    <row r="99" spans="1:24" x14ac:dyDescent="0.35">
      <c r="A99">
        <v>630.39800000000002</v>
      </c>
      <c r="B99">
        <v>1.2580499999999999E-3</v>
      </c>
      <c r="C99">
        <v>2.42675E-4</v>
      </c>
      <c r="D99">
        <f t="shared" si="12"/>
        <v>78.097064958283653</v>
      </c>
      <c r="E99">
        <f t="shared" si="13"/>
        <v>86.619218098035788</v>
      </c>
      <c r="G99">
        <v>1.0484400000000001E-3</v>
      </c>
      <c r="H99">
        <v>2.5957699999999998E-4</v>
      </c>
      <c r="I99">
        <f t="shared" si="14"/>
        <v>85.336154973140168</v>
      </c>
      <c r="J99">
        <f t="shared" si="15"/>
        <v>103.90810763207826</v>
      </c>
      <c r="Q99">
        <f t="shared" ref="Q99:Q109" si="18">AVERAGE(B99,G99,L99)</f>
        <v>1.153245E-3</v>
      </c>
      <c r="R99">
        <f t="shared" ref="R99:R109" si="19">AVERAGE(C99,H99,M99)</f>
        <v>2.5112600000000001E-4</v>
      </c>
      <c r="T99">
        <f t="shared" si="16"/>
        <v>81.71660996571191</v>
      </c>
      <c r="U99">
        <f t="shared" si="16"/>
        <v>95.263662865057029</v>
      </c>
      <c r="W99">
        <f t="shared" si="17"/>
        <v>3.6195450074282576</v>
      </c>
      <c r="X99">
        <f t="shared" si="17"/>
        <v>8.6444447670212341</v>
      </c>
    </row>
    <row r="100" spans="1:24" x14ac:dyDescent="0.35">
      <c r="A100">
        <v>636.58100000000002</v>
      </c>
      <c r="B100">
        <v>1.2606799999999999E-3</v>
      </c>
      <c r="C100">
        <v>2.41544E-4</v>
      </c>
      <c r="D100">
        <f t="shared" si="12"/>
        <v>78.26032975764798</v>
      </c>
      <c r="E100">
        <f t="shared" si="13"/>
        <v>86.215524533932026</v>
      </c>
      <c r="G100">
        <v>1.0523100000000001E-3</v>
      </c>
      <c r="H100">
        <v>2.5729799999999999E-4</v>
      </c>
      <c r="I100">
        <f t="shared" si="14"/>
        <v>85.651147647729132</v>
      </c>
      <c r="J100">
        <f t="shared" si="15"/>
        <v>102.99582889669914</v>
      </c>
      <c r="Q100">
        <f t="shared" si="18"/>
        <v>1.156495E-3</v>
      </c>
      <c r="R100">
        <f t="shared" si="19"/>
        <v>2.49421E-4</v>
      </c>
      <c r="T100">
        <f t="shared" si="16"/>
        <v>81.955738702688564</v>
      </c>
      <c r="U100">
        <f t="shared" si="16"/>
        <v>94.605676715315582</v>
      </c>
      <c r="W100">
        <f t="shared" si="17"/>
        <v>3.695408945040576</v>
      </c>
      <c r="X100">
        <f t="shared" si="17"/>
        <v>8.3901521813835558</v>
      </c>
    </row>
    <row r="101" spans="1:24" x14ac:dyDescent="0.35">
      <c r="A101">
        <v>642.83500000000004</v>
      </c>
      <c r="B101">
        <v>1.2657600000000001E-3</v>
      </c>
      <c r="C101">
        <v>2.4292500000000001E-4</v>
      </c>
      <c r="D101">
        <f t="shared" si="12"/>
        <v>78.575685339690111</v>
      </c>
      <c r="E101">
        <f t="shared" si="13"/>
        <v>86.708451865521155</v>
      </c>
      <c r="G101">
        <v>1.0624199999999999E-3</v>
      </c>
      <c r="H101">
        <v>2.61809E-4</v>
      </c>
      <c r="I101">
        <f t="shared" si="14"/>
        <v>86.474035487546786</v>
      </c>
      <c r="J101">
        <f t="shared" si="15"/>
        <v>104.80157236984316</v>
      </c>
      <c r="Q101">
        <f t="shared" si="18"/>
        <v>1.16409E-3</v>
      </c>
      <c r="R101">
        <f t="shared" si="19"/>
        <v>2.5236699999999998E-4</v>
      </c>
      <c r="T101">
        <f t="shared" si="16"/>
        <v>82.524860413618455</v>
      </c>
      <c r="U101">
        <f t="shared" si="16"/>
        <v>95.755012117682156</v>
      </c>
      <c r="W101">
        <f t="shared" si="17"/>
        <v>3.9491750739283376</v>
      </c>
      <c r="X101">
        <f t="shared" si="17"/>
        <v>9.0465602521610009</v>
      </c>
    </row>
    <row r="102" spans="1:24" x14ac:dyDescent="0.35">
      <c r="A102">
        <v>649.06100000000004</v>
      </c>
      <c r="B102">
        <v>1.2691200000000001E-3</v>
      </c>
      <c r="C102">
        <v>2.4273E-4</v>
      </c>
      <c r="D102">
        <f t="shared" si="12"/>
        <v>78.784266984505365</v>
      </c>
      <c r="E102">
        <f t="shared" si="13"/>
        <v>86.638849526882566</v>
      </c>
      <c r="G102">
        <v>1.05718E-3</v>
      </c>
      <c r="H102">
        <v>2.5597199999999998E-4</v>
      </c>
      <c r="I102">
        <f t="shared" si="14"/>
        <v>86.047533778284219</v>
      </c>
      <c r="J102">
        <f t="shared" si="15"/>
        <v>102.46503398528503</v>
      </c>
      <c r="Q102">
        <f t="shared" si="18"/>
        <v>1.1631499999999999E-3</v>
      </c>
      <c r="R102">
        <f t="shared" si="19"/>
        <v>2.4935099999999998E-4</v>
      </c>
      <c r="T102">
        <f t="shared" si="16"/>
        <v>82.415900381394792</v>
      </c>
      <c r="U102">
        <f t="shared" si="16"/>
        <v>94.551941756083806</v>
      </c>
      <c r="W102">
        <f t="shared" si="17"/>
        <v>3.631633396889427</v>
      </c>
      <c r="X102">
        <f t="shared" si="17"/>
        <v>7.9130922292012329</v>
      </c>
    </row>
    <row r="103" spans="1:24" x14ac:dyDescent="0.35">
      <c r="A103">
        <v>655.28099999999995</v>
      </c>
      <c r="B103">
        <v>1.2726300000000001E-3</v>
      </c>
      <c r="C103">
        <v>2.4227299999999999E-4</v>
      </c>
      <c r="D103">
        <f t="shared" si="12"/>
        <v>79.00216030989273</v>
      </c>
      <c r="E103">
        <f t="shared" si="13"/>
        <v>86.475730199919326</v>
      </c>
      <c r="G103">
        <v>1.06423E-3</v>
      </c>
      <c r="H103">
        <v>2.5734899999999998E-4</v>
      </c>
      <c r="I103">
        <f t="shared" si="14"/>
        <v>86.62135764284551</v>
      </c>
      <c r="J103">
        <f t="shared" si="15"/>
        <v>103.01624408559968</v>
      </c>
      <c r="Q103">
        <f t="shared" si="18"/>
        <v>1.16843E-3</v>
      </c>
      <c r="R103">
        <f t="shared" si="19"/>
        <v>2.4981099999999996E-4</v>
      </c>
      <c r="T103">
        <f t="shared" si="16"/>
        <v>82.81175897636912</v>
      </c>
      <c r="U103">
        <f t="shared" si="16"/>
        <v>94.745987142759503</v>
      </c>
      <c r="W103">
        <f t="shared" si="17"/>
        <v>3.8095986664763899</v>
      </c>
      <c r="X103">
        <f t="shared" si="17"/>
        <v>8.2702569428401773</v>
      </c>
    </row>
    <row r="104" spans="1:24" x14ac:dyDescent="0.35">
      <c r="A104">
        <v>661.45299999999997</v>
      </c>
      <c r="B104">
        <v>1.2764600000000001E-3</v>
      </c>
      <c r="C104">
        <v>2.44143E-4</v>
      </c>
      <c r="D104">
        <f t="shared" si="12"/>
        <v>79.239918553833931</v>
      </c>
      <c r="E104">
        <f t="shared" si="13"/>
        <v>87.143198780709795</v>
      </c>
      <c r="G104">
        <v>1.06814E-3</v>
      </c>
      <c r="H104">
        <v>2.6035700000000001E-4</v>
      </c>
      <c r="I104">
        <f t="shared" si="14"/>
        <v>86.93960605567311</v>
      </c>
      <c r="J104">
        <f t="shared" si="15"/>
        <v>104.22033993291009</v>
      </c>
      <c r="Q104">
        <f t="shared" si="18"/>
        <v>1.1723E-3</v>
      </c>
      <c r="R104">
        <f t="shared" si="19"/>
        <v>2.5224999999999998E-4</v>
      </c>
      <c r="T104">
        <f t="shared" si="16"/>
        <v>83.089762304753521</v>
      </c>
      <c r="U104">
        <f t="shared" si="16"/>
        <v>95.681769356809951</v>
      </c>
      <c r="W104">
        <f t="shared" si="17"/>
        <v>3.8498437509195895</v>
      </c>
      <c r="X104">
        <f t="shared" si="17"/>
        <v>8.5385705761001489</v>
      </c>
    </row>
    <row r="105" spans="1:24" x14ac:dyDescent="0.35">
      <c r="A105">
        <v>667.70500000000004</v>
      </c>
      <c r="B105">
        <v>1.2797799999999999E-3</v>
      </c>
      <c r="C105">
        <v>2.44291E-4</v>
      </c>
      <c r="D105">
        <f t="shared" si="12"/>
        <v>79.446017083829943</v>
      </c>
      <c r="E105">
        <f t="shared" si="13"/>
        <v>87.196025171061137</v>
      </c>
      <c r="G105">
        <v>1.06313E-3</v>
      </c>
      <c r="H105">
        <v>2.5104899999999999E-4</v>
      </c>
      <c r="I105">
        <f t="shared" si="14"/>
        <v>86.531824841282756</v>
      </c>
      <c r="J105">
        <f t="shared" si="15"/>
        <v>100.49436780965037</v>
      </c>
      <c r="Q105">
        <f t="shared" si="18"/>
        <v>1.1714550000000001E-3</v>
      </c>
      <c r="R105">
        <f t="shared" si="19"/>
        <v>2.4766999999999996E-4</v>
      </c>
      <c r="T105">
        <f t="shared" si="16"/>
        <v>82.98892096255635</v>
      </c>
      <c r="U105">
        <f t="shared" si="16"/>
        <v>93.845196490355761</v>
      </c>
      <c r="W105">
        <f t="shared" si="17"/>
        <v>3.5429038787264062</v>
      </c>
      <c r="X105">
        <f t="shared" si="17"/>
        <v>6.6491713192946165</v>
      </c>
    </row>
    <row r="106" spans="1:24" x14ac:dyDescent="0.35">
      <c r="A106">
        <v>673.85199999999998</v>
      </c>
      <c r="B106">
        <v>1.28371E-3</v>
      </c>
      <c r="C106">
        <v>2.4457100000000001E-4</v>
      </c>
      <c r="D106">
        <f t="shared" si="12"/>
        <v>79.689983114819213</v>
      </c>
      <c r="E106">
        <f t="shared" si="13"/>
        <v>87.295966990644729</v>
      </c>
      <c r="G106">
        <v>1.06762E-3</v>
      </c>
      <c r="H106">
        <v>2.4983299999999998E-4</v>
      </c>
      <c r="I106">
        <f t="shared" si="14"/>
        <v>86.897281458570731</v>
      </c>
      <c r="J106">
        <f t="shared" si="15"/>
        <v>100.00760565861</v>
      </c>
      <c r="Q106">
        <f t="shared" si="18"/>
        <v>1.175665E-3</v>
      </c>
      <c r="R106">
        <f t="shared" si="19"/>
        <v>2.4720199999999997E-4</v>
      </c>
      <c r="T106">
        <f t="shared" si="16"/>
        <v>83.293632286694972</v>
      </c>
      <c r="U106">
        <f t="shared" si="16"/>
        <v>93.651786324627366</v>
      </c>
      <c r="W106">
        <f t="shared" si="17"/>
        <v>3.6036491718757588</v>
      </c>
      <c r="X106">
        <f t="shared" si="17"/>
        <v>6.3558193339826374</v>
      </c>
    </row>
    <row r="107" spans="1:24" x14ac:dyDescent="0.35">
      <c r="A107">
        <v>680.23400000000004</v>
      </c>
      <c r="B107">
        <v>1.2846800000000001E-3</v>
      </c>
      <c r="C107">
        <v>2.4427500000000002E-4</v>
      </c>
      <c r="D107">
        <f t="shared" si="12"/>
        <v>79.750198649185535</v>
      </c>
      <c r="E107">
        <f t="shared" si="13"/>
        <v>87.190314209942073</v>
      </c>
      <c r="G107">
        <v>1.0682700000000001E-3</v>
      </c>
      <c r="H107">
        <v>2.4840499999999999E-4</v>
      </c>
      <c r="I107">
        <f t="shared" si="14"/>
        <v>86.950187204948719</v>
      </c>
      <c r="J107">
        <f t="shared" si="15"/>
        <v>99.435980369394827</v>
      </c>
      <c r="Q107">
        <f t="shared" si="18"/>
        <v>1.1764750000000002E-3</v>
      </c>
      <c r="R107">
        <f t="shared" si="19"/>
        <v>2.4634E-4</v>
      </c>
      <c r="T107">
        <f t="shared" si="16"/>
        <v>83.350192927067127</v>
      </c>
      <c r="U107">
        <f t="shared" si="16"/>
        <v>93.31314728966845</v>
      </c>
      <c r="W107">
        <f t="shared" si="17"/>
        <v>3.5999942778815921</v>
      </c>
      <c r="X107">
        <f t="shared" si="17"/>
        <v>6.1228330797263766</v>
      </c>
    </row>
    <row r="108" spans="1:24" x14ac:dyDescent="0.35">
      <c r="A108">
        <v>686.39200000000005</v>
      </c>
      <c r="B108">
        <v>1.2884299999999999E-3</v>
      </c>
      <c r="C108">
        <v>2.45338E-4</v>
      </c>
      <c r="D108">
        <f t="shared" si="12"/>
        <v>79.98299066348828</v>
      </c>
      <c r="E108">
        <f t="shared" si="13"/>
        <v>87.569736189289799</v>
      </c>
      <c r="G108">
        <v>1.0729299999999999E-3</v>
      </c>
      <c r="H108">
        <v>2.5571099999999999E-4</v>
      </c>
      <c r="I108">
        <f t="shared" si="14"/>
        <v>87.329480709750925</v>
      </c>
      <c r="J108">
        <f t="shared" si="15"/>
        <v>102.36055625385285</v>
      </c>
      <c r="Q108">
        <f t="shared" si="18"/>
        <v>1.1806799999999999E-3</v>
      </c>
      <c r="R108">
        <f t="shared" si="19"/>
        <v>2.5052449999999997E-4</v>
      </c>
      <c r="T108">
        <f t="shared" si="16"/>
        <v>83.656235686619596</v>
      </c>
      <c r="U108">
        <f t="shared" si="16"/>
        <v>94.965146221571331</v>
      </c>
      <c r="W108">
        <f t="shared" si="17"/>
        <v>3.6732450231313223</v>
      </c>
      <c r="X108">
        <f t="shared" si="17"/>
        <v>7.395410032281525</v>
      </c>
    </row>
    <row r="109" spans="1:24" x14ac:dyDescent="0.35">
      <c r="A109">
        <v>692.49400000000003</v>
      </c>
      <c r="B109">
        <v>1.29108E-3</v>
      </c>
      <c r="C109">
        <v>2.4448500000000001E-4</v>
      </c>
      <c r="D109">
        <f t="shared" si="12"/>
        <v>80.147497020262222</v>
      </c>
      <c r="E109">
        <f t="shared" si="13"/>
        <v>87.265270574629767</v>
      </c>
      <c r="G109">
        <v>1.08197E-3</v>
      </c>
      <c r="H109">
        <v>2.6371000000000001E-4</v>
      </c>
      <c r="I109">
        <f t="shared" si="14"/>
        <v>88.065277551684844</v>
      </c>
      <c r="J109">
        <f t="shared" si="15"/>
        <v>105.56253852866533</v>
      </c>
      <c r="Q109">
        <f t="shared" si="18"/>
        <v>1.1865249999999999E-3</v>
      </c>
      <c r="R109">
        <f t="shared" si="19"/>
        <v>2.5409750000000001E-4</v>
      </c>
      <c r="T109">
        <f t="shared" si="16"/>
        <v>84.10638728597354</v>
      </c>
      <c r="U109">
        <f t="shared" si="16"/>
        <v>96.413904551647548</v>
      </c>
      <c r="W109">
        <f t="shared" si="17"/>
        <v>3.958890265711311</v>
      </c>
      <c r="X109">
        <f t="shared" si="17"/>
        <v>9.1486339770177807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4241-225D-45F4-A886-D42BCDF4A09B}">
  <dimension ref="A1:X109"/>
  <sheetViews>
    <sheetView topLeftCell="A36" workbookViewId="0">
      <selection activeCell="AA30" sqref="AA30"/>
    </sheetView>
  </sheetViews>
  <sheetFormatPr defaultColWidth="8.81640625" defaultRowHeight="14.5" x14ac:dyDescent="0.35"/>
  <cols>
    <col min="1" max="1" width="9.453125" bestFit="1" customWidth="1"/>
    <col min="2" max="3" width="8.81640625" bestFit="1" customWidth="1"/>
    <col min="4" max="5" width="12.453125" customWidth="1"/>
    <col min="7" max="8" width="8.81640625" bestFit="1" customWidth="1"/>
    <col min="9" max="10" width="12.1796875" customWidth="1"/>
    <col min="16" max="16" width="8.816406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s="2" t="s">
        <v>5</v>
      </c>
      <c r="B1" s="2" t="s">
        <v>0</v>
      </c>
      <c r="C1" s="2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s="2" t="s">
        <v>6</v>
      </c>
      <c r="B2" s="2" t="s">
        <v>2</v>
      </c>
      <c r="C2" s="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 s="5">
        <v>6.0990200000000003</v>
      </c>
      <c r="B3" s="4">
        <v>7.8509000000000001E-4</v>
      </c>
      <c r="C3" s="4">
        <v>1.7369799999999999E-4</v>
      </c>
      <c r="D3">
        <f>B3/$B$3*100</f>
        <v>100</v>
      </c>
      <c r="E3">
        <f>C3/$C$3*100</f>
        <v>100</v>
      </c>
      <c r="G3" s="4">
        <v>6.92412E-4</v>
      </c>
      <c r="H3" s="4">
        <v>1.54401E-4</v>
      </c>
      <c r="I3">
        <f>G3/$G$3*100</f>
        <v>100</v>
      </c>
      <c r="J3">
        <f>H3/$H$3*100</f>
        <v>100</v>
      </c>
      <c r="L3" s="4">
        <v>7.5824300000000002E-4</v>
      </c>
      <c r="M3" s="4">
        <v>1.61991E-4</v>
      </c>
      <c r="N3" s="3">
        <f>L3/$L$3*100</f>
        <v>100</v>
      </c>
      <c r="O3" s="3">
        <f>M3/$M$3*100</f>
        <v>100</v>
      </c>
      <c r="Q3">
        <f t="shared" ref="Q3:Q66" si="0">AVERAGE(B3,G3,L3)</f>
        <v>7.4524833333333327E-4</v>
      </c>
      <c r="R3">
        <f t="shared" ref="R3:R66" si="1">AVERAGE(C3,H3,M3)</f>
        <v>1.6336333333333332E-4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 s="5">
        <v>12.444100000000001</v>
      </c>
      <c r="B4" s="4">
        <v>7.9104999999999996E-4</v>
      </c>
      <c r="C4" s="4">
        <v>1.7557900000000001E-4</v>
      </c>
      <c r="D4">
        <f t="shared" ref="D4:D67" si="2">B4/$B$3*100</f>
        <v>100.75914863264084</v>
      </c>
      <c r="E4">
        <f t="shared" ref="E4:E67" si="3">C4/$C$3*100</f>
        <v>101.08291402318967</v>
      </c>
      <c r="G4" s="4">
        <v>6.9768100000000002E-4</v>
      </c>
      <c r="H4" s="4">
        <v>1.5511100000000001E-4</v>
      </c>
      <c r="I4">
        <f t="shared" ref="I4:I67" si="4">G4/$G$3*100</f>
        <v>100.76096312600014</v>
      </c>
      <c r="J4">
        <f t="shared" ref="J4:J67" si="5">H4/$H$3*100</f>
        <v>100.45984158133692</v>
      </c>
      <c r="L4" s="4">
        <v>7.6362800000000003E-4</v>
      </c>
      <c r="M4" s="4">
        <v>1.6590299999999999E-4</v>
      </c>
      <c r="N4" s="3">
        <f t="shared" ref="N4:N67" si="6">L4/$L$3*100</f>
        <v>100.7101944891018</v>
      </c>
      <c r="O4" s="3">
        <f t="shared" ref="O4:O67" si="7">M4/$M$3*100</f>
        <v>102.41494897864696</v>
      </c>
      <c r="Q4">
        <f t="shared" si="0"/>
        <v>7.5078633333333341E-4</v>
      </c>
      <c r="R4">
        <f t="shared" si="1"/>
        <v>1.6553100000000001E-4</v>
      </c>
      <c r="T4">
        <f t="shared" ref="T4:T67" si="8">AVERAGE(D4,I4,N4)</f>
        <v>100.74343541591425</v>
      </c>
      <c r="U4">
        <f t="shared" ref="U4:U67" si="9">AVERAGE(E4,J4,O4)</f>
        <v>101.31923486105785</v>
      </c>
      <c r="W4">
        <f t="shared" ref="W4:W67" si="10">_xlfn.STDEV.P(D4,I4,N4)</f>
        <v>2.3516554566962295E-2</v>
      </c>
      <c r="X4">
        <f t="shared" ref="X4:X67" si="11">_xlfn.STDEV.P(E4,J4,O4)</f>
        <v>0.81547404927528788</v>
      </c>
    </row>
    <row r="5" spans="1:24" x14ac:dyDescent="0.35">
      <c r="A5" s="5">
        <v>18.657</v>
      </c>
      <c r="B5" s="4">
        <v>7.9674599999999998E-4</v>
      </c>
      <c r="C5" s="4">
        <v>1.74568E-4</v>
      </c>
      <c r="D5">
        <f t="shared" si="2"/>
        <v>101.48467054732578</v>
      </c>
      <c r="E5">
        <f t="shared" si="3"/>
        <v>100.50086932492026</v>
      </c>
      <c r="G5" s="4">
        <v>7.0299000000000002E-4</v>
      </c>
      <c r="H5" s="4">
        <v>1.54862E-4</v>
      </c>
      <c r="I5">
        <f t="shared" si="4"/>
        <v>101.52770315939065</v>
      </c>
      <c r="J5">
        <f t="shared" si="5"/>
        <v>100.29857319576945</v>
      </c>
      <c r="L5" s="4">
        <v>7.6899300000000004E-4</v>
      </c>
      <c r="M5" s="4">
        <v>1.64475E-4</v>
      </c>
      <c r="N5" s="3">
        <f t="shared" si="6"/>
        <v>101.41775130136381</v>
      </c>
      <c r="O5" s="3">
        <f t="shared" si="7"/>
        <v>101.53341852325129</v>
      </c>
      <c r="Q5">
        <f t="shared" si="0"/>
        <v>7.5624300000000008E-4</v>
      </c>
      <c r="R5">
        <f t="shared" si="1"/>
        <v>1.64635E-4</v>
      </c>
      <c r="T5">
        <f t="shared" si="8"/>
        <v>101.47670833602676</v>
      </c>
      <c r="U5">
        <f t="shared" si="9"/>
        <v>100.77762034798032</v>
      </c>
      <c r="W5">
        <f t="shared" si="10"/>
        <v>4.523936617200236E-2</v>
      </c>
      <c r="X5">
        <f t="shared" si="11"/>
        <v>0.5407735769398796</v>
      </c>
    </row>
    <row r="6" spans="1:24" x14ac:dyDescent="0.35">
      <c r="A6" s="5">
        <v>24.842700000000001</v>
      </c>
      <c r="B6" s="4">
        <v>8.0190199999999995E-4</v>
      </c>
      <c r="C6" s="4">
        <v>1.73537E-4</v>
      </c>
      <c r="D6">
        <f t="shared" si="2"/>
        <v>102.1414105389191</v>
      </c>
      <c r="E6">
        <f t="shared" si="3"/>
        <v>99.907310389296384</v>
      </c>
      <c r="G6" s="4">
        <v>7.0701399999999995E-4</v>
      </c>
      <c r="H6" s="4">
        <v>1.55055E-4</v>
      </c>
      <c r="I6">
        <f t="shared" si="4"/>
        <v>102.10886004286463</v>
      </c>
      <c r="J6">
        <f t="shared" si="5"/>
        <v>100.42357238618919</v>
      </c>
      <c r="L6" s="4">
        <v>7.7507699999999999E-4</v>
      </c>
      <c r="M6" s="4">
        <v>1.67078E-4</v>
      </c>
      <c r="N6" s="3">
        <f t="shared" si="6"/>
        <v>102.22013259601472</v>
      </c>
      <c r="O6" s="3">
        <f t="shared" si="7"/>
        <v>103.14029791778556</v>
      </c>
      <c r="Q6">
        <f t="shared" si="0"/>
        <v>7.6133099999999997E-4</v>
      </c>
      <c r="R6">
        <f t="shared" si="1"/>
        <v>1.6522333333333333E-4</v>
      </c>
      <c r="T6">
        <f t="shared" si="8"/>
        <v>102.15680105926616</v>
      </c>
      <c r="U6">
        <f t="shared" si="9"/>
        <v>101.15706023109038</v>
      </c>
      <c r="W6">
        <f t="shared" si="10"/>
        <v>4.671221366730155E-2</v>
      </c>
      <c r="X6">
        <f t="shared" si="11"/>
        <v>1.4181103398078674</v>
      </c>
    </row>
    <row r="7" spans="1:24" x14ac:dyDescent="0.35">
      <c r="A7" s="5">
        <v>31.046900000000001</v>
      </c>
      <c r="B7" s="4">
        <v>8.0577800000000005E-4</v>
      </c>
      <c r="C7" s="4">
        <v>1.7361699999999999E-4</v>
      </c>
      <c r="D7">
        <f t="shared" si="2"/>
        <v>102.63511189799897</v>
      </c>
      <c r="E7">
        <f t="shared" si="3"/>
        <v>99.953367338714315</v>
      </c>
      <c r="G7" s="4">
        <v>7.1148499999999998E-4</v>
      </c>
      <c r="H7" s="4">
        <v>1.55401E-4</v>
      </c>
      <c r="I7">
        <f t="shared" si="4"/>
        <v>102.75457386642634</v>
      </c>
      <c r="J7">
        <f t="shared" si="5"/>
        <v>100.64766419906606</v>
      </c>
      <c r="L7" s="4">
        <v>7.7641500000000003E-4</v>
      </c>
      <c r="M7" s="4">
        <v>1.6717300000000001E-4</v>
      </c>
      <c r="N7" s="3">
        <f t="shared" si="6"/>
        <v>102.39659317659377</v>
      </c>
      <c r="O7" s="3">
        <f t="shared" si="7"/>
        <v>103.19894315116271</v>
      </c>
      <c r="Q7">
        <f t="shared" si="0"/>
        <v>7.6455933333333332E-4</v>
      </c>
      <c r="R7">
        <f t="shared" si="1"/>
        <v>1.6539699999999999E-4</v>
      </c>
      <c r="T7">
        <f t="shared" si="8"/>
        <v>102.59542631367303</v>
      </c>
      <c r="U7">
        <f t="shared" si="9"/>
        <v>101.2666582296477</v>
      </c>
      <c r="W7">
        <f t="shared" si="10"/>
        <v>0.14881476802996799</v>
      </c>
      <c r="X7">
        <f t="shared" si="11"/>
        <v>1.3954224679308385</v>
      </c>
    </row>
    <row r="8" spans="1:24" x14ac:dyDescent="0.35">
      <c r="A8" s="5">
        <v>37.143900000000002</v>
      </c>
      <c r="B8" s="4">
        <v>8.1046600000000003E-4</v>
      </c>
      <c r="C8" s="4">
        <v>1.7516400000000001E-4</v>
      </c>
      <c r="D8">
        <f t="shared" si="2"/>
        <v>103.23224088957954</v>
      </c>
      <c r="E8">
        <f t="shared" si="3"/>
        <v>100.84399359808404</v>
      </c>
      <c r="G8" s="4">
        <v>7.1597399999999997E-4</v>
      </c>
      <c r="H8" s="4">
        <v>1.5738500000000001E-4</v>
      </c>
      <c r="I8">
        <f t="shared" si="4"/>
        <v>103.40288729831373</v>
      </c>
      <c r="J8">
        <f t="shared" si="5"/>
        <v>101.93262997001315</v>
      </c>
      <c r="L8" s="4">
        <v>7.8024099999999999E-4</v>
      </c>
      <c r="M8" s="4">
        <v>1.6903299999999999E-4</v>
      </c>
      <c r="N8" s="3">
        <f t="shared" si="6"/>
        <v>102.90118075603732</v>
      </c>
      <c r="O8" s="3">
        <f t="shared" si="7"/>
        <v>104.34715508886296</v>
      </c>
      <c r="Q8">
        <f t="shared" si="0"/>
        <v>7.6889366666666673E-4</v>
      </c>
      <c r="R8">
        <f t="shared" si="1"/>
        <v>1.6719399999999999E-4</v>
      </c>
      <c r="T8">
        <f t="shared" si="8"/>
        <v>103.17876964797686</v>
      </c>
      <c r="U8">
        <f t="shared" si="9"/>
        <v>102.37459288565339</v>
      </c>
      <c r="W8">
        <f t="shared" si="10"/>
        <v>0.20828145044568364</v>
      </c>
      <c r="X8">
        <f t="shared" si="11"/>
        <v>1.4639065365703305</v>
      </c>
    </row>
    <row r="9" spans="1:24" x14ac:dyDescent="0.35">
      <c r="A9" s="5">
        <v>43.364899999999999</v>
      </c>
      <c r="B9" s="4">
        <v>8.1400400000000001E-4</v>
      </c>
      <c r="C9" s="4">
        <v>1.7582000000000001E-4</v>
      </c>
      <c r="D9">
        <f t="shared" si="2"/>
        <v>103.6828898597613</v>
      </c>
      <c r="E9">
        <f t="shared" si="3"/>
        <v>101.22166058331128</v>
      </c>
      <c r="G9" s="4">
        <v>7.1863299999999999E-4</v>
      </c>
      <c r="H9" s="4">
        <v>1.57959E-4</v>
      </c>
      <c r="I9">
        <f t="shared" si="4"/>
        <v>103.7869072170904</v>
      </c>
      <c r="J9">
        <f t="shared" si="5"/>
        <v>102.30438922027707</v>
      </c>
      <c r="L9" s="4">
        <v>7.84656E-4</v>
      </c>
      <c r="M9" s="4">
        <v>1.6758699999999999E-4</v>
      </c>
      <c r="N9" s="3">
        <f t="shared" si="6"/>
        <v>103.48344791841137</v>
      </c>
      <c r="O9" s="3">
        <f t="shared" si="7"/>
        <v>103.45451290503793</v>
      </c>
      <c r="Q9">
        <f t="shared" si="0"/>
        <v>7.7243099999999996E-4</v>
      </c>
      <c r="R9">
        <f t="shared" si="1"/>
        <v>1.6712199999999999E-4</v>
      </c>
      <c r="T9">
        <f t="shared" si="8"/>
        <v>103.65108166508769</v>
      </c>
      <c r="U9">
        <f t="shared" si="9"/>
        <v>102.32685423620876</v>
      </c>
      <c r="W9">
        <f t="shared" si="10"/>
        <v>0.1259118936002154</v>
      </c>
      <c r="X9">
        <f t="shared" si="11"/>
        <v>0.91169654321513327</v>
      </c>
    </row>
    <row r="10" spans="1:24" x14ac:dyDescent="0.35">
      <c r="A10" s="5">
        <v>49.609099999999998</v>
      </c>
      <c r="B10" s="4">
        <v>8.19416E-4</v>
      </c>
      <c r="C10" s="4">
        <v>1.7508700000000001E-4</v>
      </c>
      <c r="D10">
        <f t="shared" si="2"/>
        <v>104.37223757785732</v>
      </c>
      <c r="E10">
        <f t="shared" si="3"/>
        <v>100.79966378426926</v>
      </c>
      <c r="G10" s="4">
        <v>7.2495299999999997E-4</v>
      </c>
      <c r="H10" s="4">
        <v>1.5740400000000001E-4</v>
      </c>
      <c r="I10">
        <f t="shared" si="4"/>
        <v>104.69965858477322</v>
      </c>
      <c r="J10">
        <f t="shared" si="5"/>
        <v>101.94493558979541</v>
      </c>
      <c r="L10" s="4">
        <v>7.8821000000000002E-4</v>
      </c>
      <c r="M10" s="4">
        <v>1.6930299999999999E-4</v>
      </c>
      <c r="N10" s="3">
        <f t="shared" si="6"/>
        <v>103.95216309283435</v>
      </c>
      <c r="O10" s="3">
        <f t="shared" si="7"/>
        <v>104.51383101530331</v>
      </c>
      <c r="Q10">
        <f t="shared" si="0"/>
        <v>7.7752633333333333E-4</v>
      </c>
      <c r="R10">
        <f t="shared" si="1"/>
        <v>1.672646666666667E-4</v>
      </c>
      <c r="T10">
        <f t="shared" si="8"/>
        <v>104.34135308515495</v>
      </c>
      <c r="U10">
        <f t="shared" si="9"/>
        <v>102.41947679645598</v>
      </c>
      <c r="W10">
        <f t="shared" si="10"/>
        <v>0.30594418503417947</v>
      </c>
      <c r="X10">
        <f t="shared" si="11"/>
        <v>1.5529867079568445</v>
      </c>
    </row>
    <row r="11" spans="1:24" x14ac:dyDescent="0.35">
      <c r="A11" s="5">
        <v>55.872999999999998</v>
      </c>
      <c r="B11" s="4">
        <v>8.2422400000000003E-4</v>
      </c>
      <c r="C11" s="4">
        <v>1.7557900000000001E-4</v>
      </c>
      <c r="D11">
        <f t="shared" si="2"/>
        <v>104.98465144123602</v>
      </c>
      <c r="E11">
        <f t="shared" si="3"/>
        <v>101.08291402318967</v>
      </c>
      <c r="G11" s="4">
        <v>7.2639999999999998E-4</v>
      </c>
      <c r="H11" s="4">
        <v>1.57663E-4</v>
      </c>
      <c r="I11">
        <f t="shared" si="4"/>
        <v>104.90863820962086</v>
      </c>
      <c r="J11">
        <f t="shared" si="5"/>
        <v>102.1126806173535</v>
      </c>
      <c r="L11" s="4">
        <v>7.9240799999999998E-4</v>
      </c>
      <c r="M11" s="4">
        <v>1.69612E-4</v>
      </c>
      <c r="N11" s="3">
        <f t="shared" si="6"/>
        <v>104.50581146149716</v>
      </c>
      <c r="O11" s="3">
        <f t="shared" si="7"/>
        <v>104.70458235334061</v>
      </c>
      <c r="Q11">
        <f t="shared" si="0"/>
        <v>7.810106666666667E-4</v>
      </c>
      <c r="R11">
        <f t="shared" si="1"/>
        <v>1.6761799999999999E-4</v>
      </c>
      <c r="T11">
        <f t="shared" si="8"/>
        <v>104.79970037078469</v>
      </c>
      <c r="U11">
        <f t="shared" si="9"/>
        <v>102.63339233129459</v>
      </c>
      <c r="W11">
        <f t="shared" si="10"/>
        <v>0.2101150813194238</v>
      </c>
      <c r="X11">
        <f t="shared" si="11"/>
        <v>1.5236963586798113</v>
      </c>
    </row>
    <row r="12" spans="1:24" x14ac:dyDescent="0.35">
      <c r="A12" s="5">
        <v>62.003399999999999</v>
      </c>
      <c r="B12" s="4">
        <v>8.2699499999999997E-4</v>
      </c>
      <c r="C12" s="4">
        <v>1.7604099999999999E-4</v>
      </c>
      <c r="D12">
        <f t="shared" si="2"/>
        <v>105.33760460584136</v>
      </c>
      <c r="E12">
        <f t="shared" si="3"/>
        <v>101.34889290607836</v>
      </c>
      <c r="G12" s="4">
        <v>7.3068000000000004E-4</v>
      </c>
      <c r="H12" s="4">
        <v>1.59328E-4</v>
      </c>
      <c r="I12">
        <f t="shared" si="4"/>
        <v>105.5267673003934</v>
      </c>
      <c r="J12">
        <f t="shared" si="5"/>
        <v>103.19104150879852</v>
      </c>
      <c r="L12" s="4">
        <v>7.9691300000000001E-4</v>
      </c>
      <c r="M12" s="4">
        <v>1.7031300000000001E-4</v>
      </c>
      <c r="N12" s="3">
        <f t="shared" si="6"/>
        <v>105.09994816965009</v>
      </c>
      <c r="O12" s="3">
        <f t="shared" si="7"/>
        <v>105.13732244383948</v>
      </c>
      <c r="Q12">
        <f t="shared" si="0"/>
        <v>7.8486266666666674E-4</v>
      </c>
      <c r="R12">
        <f t="shared" si="1"/>
        <v>1.6856066666666664E-4</v>
      </c>
      <c r="T12">
        <f t="shared" si="8"/>
        <v>105.32144002529496</v>
      </c>
      <c r="U12">
        <f t="shared" si="9"/>
        <v>103.22575228623879</v>
      </c>
      <c r="W12">
        <f t="shared" si="10"/>
        <v>0.17462266527248602</v>
      </c>
      <c r="X12">
        <f t="shared" si="11"/>
        <v>1.5468146234974012</v>
      </c>
    </row>
    <row r="13" spans="1:24" x14ac:dyDescent="0.35">
      <c r="A13" s="5">
        <v>68.266199999999998</v>
      </c>
      <c r="B13" s="4">
        <v>8.3052400000000002E-4</v>
      </c>
      <c r="C13" s="4">
        <v>1.7622499999999999E-4</v>
      </c>
      <c r="D13">
        <f t="shared" si="2"/>
        <v>105.78710721063827</v>
      </c>
      <c r="E13">
        <f t="shared" si="3"/>
        <v>101.45482388973966</v>
      </c>
      <c r="G13" s="4">
        <v>7.3426700000000004E-4</v>
      </c>
      <c r="H13" s="4">
        <v>1.57985E-4</v>
      </c>
      <c r="I13">
        <f t="shared" si="4"/>
        <v>106.04481147062732</v>
      </c>
      <c r="J13">
        <f t="shared" si="5"/>
        <v>102.32122848945279</v>
      </c>
      <c r="L13" s="4">
        <v>7.9789300000000004E-4</v>
      </c>
      <c r="M13" s="4">
        <v>1.72203E-4</v>
      </c>
      <c r="N13" s="3">
        <f t="shared" si="6"/>
        <v>105.2291943347977</v>
      </c>
      <c r="O13" s="3">
        <f t="shared" si="7"/>
        <v>106.30405392892197</v>
      </c>
      <c r="Q13">
        <f t="shared" si="0"/>
        <v>7.8756133333333347E-4</v>
      </c>
      <c r="R13">
        <f t="shared" si="1"/>
        <v>1.6880433333333334E-4</v>
      </c>
      <c r="T13">
        <f t="shared" si="8"/>
        <v>105.68703767202111</v>
      </c>
      <c r="U13">
        <f t="shared" si="9"/>
        <v>103.36003543603813</v>
      </c>
      <c r="W13">
        <f t="shared" si="10"/>
        <v>0.34040981427687134</v>
      </c>
      <c r="X13">
        <f t="shared" si="11"/>
        <v>2.1115709629613861</v>
      </c>
    </row>
    <row r="14" spans="1:24" x14ac:dyDescent="0.35">
      <c r="A14" s="5">
        <v>74.369799999999998</v>
      </c>
      <c r="B14" s="4">
        <v>8.3618099999999997E-4</v>
      </c>
      <c r="C14" s="4">
        <v>1.7667E-4</v>
      </c>
      <c r="D14">
        <f t="shared" si="2"/>
        <v>106.50766154198881</v>
      </c>
      <c r="E14">
        <f t="shared" si="3"/>
        <v>101.71101567087703</v>
      </c>
      <c r="G14" s="4">
        <v>7.3714099999999997E-4</v>
      </c>
      <c r="H14" s="4">
        <v>1.5958500000000001E-4</v>
      </c>
      <c r="I14">
        <f t="shared" si="4"/>
        <v>106.45988226662737</v>
      </c>
      <c r="J14">
        <f t="shared" si="5"/>
        <v>103.3574912079585</v>
      </c>
      <c r="L14" s="4">
        <v>8.0238399999999995E-4</v>
      </c>
      <c r="M14" s="4">
        <v>1.70335E-4</v>
      </c>
      <c r="N14" s="3">
        <f t="shared" si="6"/>
        <v>105.82148466916277</v>
      </c>
      <c r="O14" s="3">
        <f t="shared" si="7"/>
        <v>105.15090344525314</v>
      </c>
      <c r="Q14">
        <f t="shared" si="0"/>
        <v>7.9190200000000004E-4</v>
      </c>
      <c r="R14">
        <f t="shared" si="1"/>
        <v>1.6886333333333335E-4</v>
      </c>
      <c r="T14">
        <f t="shared" si="8"/>
        <v>106.26300949259299</v>
      </c>
      <c r="U14">
        <f t="shared" si="9"/>
        <v>103.40647010802957</v>
      </c>
      <c r="W14">
        <f t="shared" si="10"/>
        <v>0.31281394051131761</v>
      </c>
      <c r="X14">
        <f t="shared" si="11"/>
        <v>1.404755298872292</v>
      </c>
    </row>
    <row r="15" spans="1:24" x14ac:dyDescent="0.35">
      <c r="A15" s="5">
        <v>80.683999999999997</v>
      </c>
      <c r="B15" s="4">
        <v>8.3795600000000005E-4</v>
      </c>
      <c r="C15" s="4">
        <v>1.7600600000000001E-4</v>
      </c>
      <c r="D15">
        <f t="shared" si="2"/>
        <v>106.7337502706696</v>
      </c>
      <c r="E15">
        <f t="shared" si="3"/>
        <v>101.32874299070802</v>
      </c>
      <c r="G15" s="4">
        <v>7.4012600000000002E-4</v>
      </c>
      <c r="H15" s="4">
        <v>1.6019499999999999E-4</v>
      </c>
      <c r="I15">
        <f t="shared" si="4"/>
        <v>106.89098398063581</v>
      </c>
      <c r="J15">
        <f t="shared" si="5"/>
        <v>103.75256636938879</v>
      </c>
      <c r="L15" s="4">
        <v>8.0548999999999996E-4</v>
      </c>
      <c r="M15" s="4">
        <v>1.7001599999999999E-4</v>
      </c>
      <c r="N15" s="3">
        <f t="shared" si="6"/>
        <v>106.23111588237543</v>
      </c>
      <c r="O15" s="3">
        <f t="shared" si="7"/>
        <v>104.95397892475506</v>
      </c>
      <c r="Q15">
        <f t="shared" si="0"/>
        <v>7.9452400000000001E-4</v>
      </c>
      <c r="R15">
        <f t="shared" si="1"/>
        <v>1.68739E-4</v>
      </c>
      <c r="T15">
        <f t="shared" si="8"/>
        <v>106.61861671122695</v>
      </c>
      <c r="U15">
        <f t="shared" si="9"/>
        <v>103.34509609495062</v>
      </c>
      <c r="W15">
        <f t="shared" si="10"/>
        <v>0.28142290733330205</v>
      </c>
      <c r="X15">
        <f t="shared" si="11"/>
        <v>1.5077815740991829</v>
      </c>
    </row>
    <row r="16" spans="1:24" x14ac:dyDescent="0.35">
      <c r="A16" s="5">
        <v>86.883899999999997</v>
      </c>
      <c r="B16" s="4">
        <v>8.4285100000000004E-4</v>
      </c>
      <c r="C16" s="4">
        <v>1.76381E-4</v>
      </c>
      <c r="D16">
        <f t="shared" si="2"/>
        <v>107.35724566610199</v>
      </c>
      <c r="E16">
        <f t="shared" si="3"/>
        <v>101.54463494110469</v>
      </c>
      <c r="G16" s="4">
        <v>7.4309300000000001E-4</v>
      </c>
      <c r="H16" s="4">
        <v>1.5976599999999999E-4</v>
      </c>
      <c r="I16">
        <f t="shared" si="4"/>
        <v>107.31948608631856</v>
      </c>
      <c r="J16">
        <f t="shared" si="5"/>
        <v>103.47471842798946</v>
      </c>
      <c r="L16" s="4">
        <v>8.0660400000000004E-4</v>
      </c>
      <c r="M16" s="4">
        <v>1.7281800000000001E-4</v>
      </c>
      <c r="N16" s="3">
        <f t="shared" si="6"/>
        <v>106.37803448234932</v>
      </c>
      <c r="O16" s="3">
        <f t="shared" si="7"/>
        <v>106.68370465025836</v>
      </c>
      <c r="Q16">
        <f t="shared" si="0"/>
        <v>7.9751600000000018E-4</v>
      </c>
      <c r="R16">
        <f t="shared" si="1"/>
        <v>1.69655E-4</v>
      </c>
      <c r="T16">
        <f t="shared" si="8"/>
        <v>107.01825541158996</v>
      </c>
      <c r="U16">
        <f t="shared" si="9"/>
        <v>103.90101933978417</v>
      </c>
      <c r="W16">
        <f t="shared" si="10"/>
        <v>0.45296694150505301</v>
      </c>
      <c r="X16">
        <f t="shared" si="11"/>
        <v>2.119561073969948</v>
      </c>
    </row>
    <row r="17" spans="1:24" x14ac:dyDescent="0.35">
      <c r="A17" s="5">
        <v>93.152100000000004</v>
      </c>
      <c r="B17" s="4">
        <v>8.4676399999999996E-4</v>
      </c>
      <c r="C17" s="4">
        <v>1.77071E-4</v>
      </c>
      <c r="D17">
        <f t="shared" si="2"/>
        <v>107.85565986065291</v>
      </c>
      <c r="E17">
        <f t="shared" si="3"/>
        <v>101.94187612983454</v>
      </c>
      <c r="G17" s="4">
        <v>7.47052E-4</v>
      </c>
      <c r="H17" s="4">
        <v>1.6055600000000001E-4</v>
      </c>
      <c r="I17">
        <f t="shared" si="4"/>
        <v>107.89125549528316</v>
      </c>
      <c r="J17">
        <f t="shared" si="5"/>
        <v>103.98637314525165</v>
      </c>
      <c r="L17" s="4">
        <v>8.1118100000000001E-4</v>
      </c>
      <c r="M17" s="4">
        <v>1.7405099999999999E-4</v>
      </c>
      <c r="N17" s="3">
        <f t="shared" si="6"/>
        <v>106.98166682712534</v>
      </c>
      <c r="O17" s="3">
        <f t="shared" si="7"/>
        <v>107.4448580476693</v>
      </c>
      <c r="Q17">
        <f t="shared" si="0"/>
        <v>8.0166566666666666E-4</v>
      </c>
      <c r="R17">
        <f t="shared" si="1"/>
        <v>1.7055933333333333E-4</v>
      </c>
      <c r="T17">
        <f t="shared" si="8"/>
        <v>107.57619406102047</v>
      </c>
      <c r="U17">
        <f t="shared" si="9"/>
        <v>104.45770244091848</v>
      </c>
      <c r="W17">
        <f t="shared" si="10"/>
        <v>0.42064532659825526</v>
      </c>
      <c r="X17">
        <f t="shared" si="11"/>
        <v>2.2711694455675526</v>
      </c>
    </row>
    <row r="18" spans="1:24" x14ac:dyDescent="0.35">
      <c r="A18" s="5">
        <v>99.296199999999999</v>
      </c>
      <c r="B18" s="4">
        <v>8.4859499999999995E-4</v>
      </c>
      <c r="C18" s="4">
        <v>1.7578599999999999E-4</v>
      </c>
      <c r="D18">
        <f t="shared" si="2"/>
        <v>108.08888152950615</v>
      </c>
      <c r="E18">
        <f t="shared" si="3"/>
        <v>101.20208637980863</v>
      </c>
      <c r="G18" s="4">
        <v>7.4981899999999998E-4</v>
      </c>
      <c r="H18" s="4">
        <v>1.6034600000000001E-4</v>
      </c>
      <c r="I18">
        <f t="shared" si="4"/>
        <v>108.29087306401391</v>
      </c>
      <c r="J18">
        <f t="shared" si="5"/>
        <v>103.85036366344778</v>
      </c>
      <c r="L18" s="4">
        <v>8.1515899999999998E-4</v>
      </c>
      <c r="M18" s="4">
        <v>1.7631299999999999E-4</v>
      </c>
      <c r="N18" s="3">
        <f t="shared" si="6"/>
        <v>107.50630075055095</v>
      </c>
      <c r="O18" s="3">
        <f t="shared" si="7"/>
        <v>108.84123192029188</v>
      </c>
      <c r="Q18">
        <f t="shared" si="0"/>
        <v>8.045243333333332E-4</v>
      </c>
      <c r="R18">
        <f t="shared" si="1"/>
        <v>1.7081500000000002E-4</v>
      </c>
      <c r="T18">
        <f t="shared" si="8"/>
        <v>107.96201844802367</v>
      </c>
      <c r="U18">
        <f t="shared" si="9"/>
        <v>104.63122732118275</v>
      </c>
      <c r="W18">
        <f t="shared" si="10"/>
        <v>0.33262502395899041</v>
      </c>
      <c r="X18">
        <f t="shared" si="11"/>
        <v>3.1671698392676166</v>
      </c>
    </row>
    <row r="19" spans="1:24" x14ac:dyDescent="0.35">
      <c r="A19" s="5">
        <v>105.44</v>
      </c>
      <c r="B19" s="4">
        <v>8.5203399999999999E-4</v>
      </c>
      <c r="C19" s="4">
        <v>1.7628500000000001E-4</v>
      </c>
      <c r="D19">
        <f t="shared" si="2"/>
        <v>108.52692048045446</v>
      </c>
      <c r="E19">
        <f t="shared" si="3"/>
        <v>101.48936660180314</v>
      </c>
      <c r="G19" s="4">
        <v>7.5392299999999998E-4</v>
      </c>
      <c r="H19" s="4">
        <v>1.6155400000000001E-4</v>
      </c>
      <c r="I19">
        <f t="shared" si="4"/>
        <v>108.8835837622687</v>
      </c>
      <c r="J19">
        <f t="shared" si="5"/>
        <v>104.63274201591959</v>
      </c>
      <c r="L19" s="4">
        <v>8.1839499999999997E-4</v>
      </c>
      <c r="M19" s="4">
        <v>1.75215E-4</v>
      </c>
      <c r="N19" s="3">
        <f t="shared" si="6"/>
        <v>107.93307686322193</v>
      </c>
      <c r="O19" s="3">
        <f t="shared" si="7"/>
        <v>108.16341648610108</v>
      </c>
      <c r="Q19">
        <f t="shared" si="0"/>
        <v>8.0811733333333328E-4</v>
      </c>
      <c r="R19">
        <f t="shared" si="1"/>
        <v>1.7101799999999999E-4</v>
      </c>
      <c r="T19">
        <f t="shared" si="8"/>
        <v>108.44786036864836</v>
      </c>
      <c r="U19">
        <f t="shared" si="9"/>
        <v>104.76184170127461</v>
      </c>
      <c r="W19">
        <f t="shared" si="10"/>
        <v>0.39204907621620749</v>
      </c>
      <c r="X19">
        <f t="shared" si="11"/>
        <v>2.7261982700081839</v>
      </c>
    </row>
    <row r="20" spans="1:24" x14ac:dyDescent="0.35">
      <c r="A20" s="5">
        <v>111.748</v>
      </c>
      <c r="B20" s="4">
        <v>8.5606500000000004E-4</v>
      </c>
      <c r="C20" s="4">
        <v>1.7802000000000001E-4</v>
      </c>
      <c r="D20">
        <f t="shared" si="2"/>
        <v>109.04036479894026</v>
      </c>
      <c r="E20">
        <f t="shared" si="3"/>
        <v>102.48822669230503</v>
      </c>
      <c r="G20" s="4">
        <v>7.5509299999999998E-4</v>
      </c>
      <c r="H20" s="4">
        <v>1.6075900000000001E-4</v>
      </c>
      <c r="I20">
        <f t="shared" si="4"/>
        <v>109.05255830343783</v>
      </c>
      <c r="J20">
        <f t="shared" si="5"/>
        <v>104.11784897766208</v>
      </c>
      <c r="L20" s="4">
        <v>8.2113599999999998E-4</v>
      </c>
      <c r="M20" s="4">
        <v>1.7700800000000001E-4</v>
      </c>
      <c r="N20" s="3">
        <f t="shared" si="6"/>
        <v>108.29457047410922</v>
      </c>
      <c r="O20" s="3">
        <f t="shared" si="7"/>
        <v>109.27026810131429</v>
      </c>
      <c r="Q20">
        <f t="shared" si="0"/>
        <v>8.107646666666667E-4</v>
      </c>
      <c r="R20">
        <f t="shared" si="1"/>
        <v>1.71929E-4</v>
      </c>
      <c r="T20">
        <f t="shared" si="8"/>
        <v>108.79583119216244</v>
      </c>
      <c r="U20">
        <f t="shared" si="9"/>
        <v>105.29211459042715</v>
      </c>
      <c r="W20">
        <f t="shared" si="10"/>
        <v>0.35447980759172848</v>
      </c>
      <c r="X20">
        <f t="shared" si="11"/>
        <v>2.8905819731639877</v>
      </c>
    </row>
    <row r="21" spans="1:24" x14ac:dyDescent="0.35">
      <c r="A21" s="5">
        <v>117.976</v>
      </c>
      <c r="B21" s="4">
        <v>8.5954300000000005E-4</v>
      </c>
      <c r="C21" s="4">
        <v>1.8080900000000001E-4</v>
      </c>
      <c r="D21">
        <f t="shared" si="2"/>
        <v>109.48337133322295</v>
      </c>
      <c r="E21">
        <f t="shared" si="3"/>
        <v>104.09388709138851</v>
      </c>
      <c r="G21" s="4">
        <v>7.5871499999999998E-4</v>
      </c>
      <c r="H21" s="4">
        <v>1.62757E-4</v>
      </c>
      <c r="I21">
        <f t="shared" si="4"/>
        <v>109.57565726763833</v>
      </c>
      <c r="J21">
        <f t="shared" si="5"/>
        <v>105.41188204739606</v>
      </c>
      <c r="L21" s="4">
        <v>8.2243699999999997E-4</v>
      </c>
      <c r="M21" s="4">
        <v>1.7890700000000001E-4</v>
      </c>
      <c r="N21" s="3">
        <f t="shared" si="6"/>
        <v>108.46615135253475</v>
      </c>
      <c r="O21" s="3">
        <f t="shared" si="7"/>
        <v>110.44255545061145</v>
      </c>
      <c r="Q21">
        <f t="shared" si="0"/>
        <v>8.1356500000000003E-4</v>
      </c>
      <c r="R21">
        <f t="shared" si="1"/>
        <v>1.741576666666667E-4</v>
      </c>
      <c r="T21">
        <f t="shared" si="8"/>
        <v>109.17505998446534</v>
      </c>
      <c r="U21">
        <f t="shared" si="9"/>
        <v>106.64944152979866</v>
      </c>
      <c r="W21">
        <f t="shared" si="10"/>
        <v>0.50268794809637052</v>
      </c>
      <c r="X21">
        <f t="shared" si="11"/>
        <v>2.735575818508551</v>
      </c>
    </row>
    <row r="22" spans="1:24" x14ac:dyDescent="0.35">
      <c r="A22" s="5">
        <v>124.21299999999999</v>
      </c>
      <c r="B22" s="4">
        <v>8.6455699999999996E-4</v>
      </c>
      <c r="C22" s="4">
        <v>1.81361E-4</v>
      </c>
      <c r="D22">
        <f t="shared" si="2"/>
        <v>110.1220242265218</v>
      </c>
      <c r="E22">
        <f t="shared" si="3"/>
        <v>104.4116800423724</v>
      </c>
      <c r="G22" s="4">
        <v>7.6106000000000004E-4</v>
      </c>
      <c r="H22" s="4">
        <v>1.6120199999999999E-4</v>
      </c>
      <c r="I22">
        <f t="shared" si="4"/>
        <v>109.91432846340041</v>
      </c>
      <c r="J22">
        <f t="shared" si="5"/>
        <v>104.40476421784832</v>
      </c>
      <c r="L22" s="4">
        <v>8.2568300000000002E-4</v>
      </c>
      <c r="M22" s="4">
        <v>1.7701300000000001E-4</v>
      </c>
      <c r="N22" s="3">
        <f t="shared" si="6"/>
        <v>108.89424630362561</v>
      </c>
      <c r="O22" s="3">
        <f t="shared" si="7"/>
        <v>109.27335469254464</v>
      </c>
      <c r="Q22">
        <f t="shared" si="0"/>
        <v>8.1709999999999997E-4</v>
      </c>
      <c r="R22">
        <f t="shared" si="1"/>
        <v>1.7319199999999999E-4</v>
      </c>
      <c r="T22">
        <f t="shared" si="8"/>
        <v>109.64353299784928</v>
      </c>
      <c r="U22">
        <f t="shared" si="9"/>
        <v>106.02993298425513</v>
      </c>
      <c r="W22">
        <f t="shared" si="10"/>
        <v>0.53656766899128761</v>
      </c>
      <c r="X22">
        <f t="shared" si="11"/>
        <v>2.2934472220524289</v>
      </c>
    </row>
    <row r="23" spans="1:24" x14ac:dyDescent="0.35">
      <c r="A23" s="5">
        <v>130.339</v>
      </c>
      <c r="B23" s="4">
        <v>8.6654099999999997E-4</v>
      </c>
      <c r="C23" s="4">
        <v>1.8169799999999999E-4</v>
      </c>
      <c r="D23">
        <f t="shared" si="2"/>
        <v>110.37473410691767</v>
      </c>
      <c r="E23">
        <f t="shared" si="3"/>
        <v>104.60569494179552</v>
      </c>
      <c r="G23" s="4">
        <v>7.6345700000000005E-4</v>
      </c>
      <c r="H23" s="4">
        <v>1.58901E-4</v>
      </c>
      <c r="I23">
        <f t="shared" si="4"/>
        <v>110.26050963876999</v>
      </c>
      <c r="J23">
        <f t="shared" si="5"/>
        <v>102.91448889579731</v>
      </c>
      <c r="L23" s="4">
        <v>8.2902900000000001E-4</v>
      </c>
      <c r="M23" s="4">
        <v>1.7619700000000001E-4</v>
      </c>
      <c r="N23" s="3">
        <f t="shared" si="6"/>
        <v>109.33552963891522</v>
      </c>
      <c r="O23" s="3">
        <f t="shared" si="7"/>
        <v>108.76962300374713</v>
      </c>
      <c r="Q23">
        <f t="shared" si="0"/>
        <v>8.196756666666666E-4</v>
      </c>
      <c r="R23">
        <f t="shared" si="1"/>
        <v>1.7226533333333335E-4</v>
      </c>
      <c r="T23">
        <f t="shared" si="8"/>
        <v>109.99025779486762</v>
      </c>
      <c r="U23">
        <f t="shared" si="9"/>
        <v>105.42993561377999</v>
      </c>
      <c r="W23">
        <f t="shared" si="10"/>
        <v>0.46530529471056975</v>
      </c>
      <c r="X23">
        <f t="shared" si="11"/>
        <v>2.4603764440337708</v>
      </c>
    </row>
    <row r="24" spans="1:24" x14ac:dyDescent="0.35">
      <c r="A24" s="5">
        <v>136.51400000000001</v>
      </c>
      <c r="B24" s="4">
        <v>8.6996199999999995E-4</v>
      </c>
      <c r="C24" s="4">
        <v>1.81953E-4</v>
      </c>
      <c r="D24">
        <f t="shared" si="2"/>
        <v>110.81048032709624</v>
      </c>
      <c r="E24">
        <f t="shared" si="3"/>
        <v>104.75250146806528</v>
      </c>
      <c r="G24" s="4">
        <v>7.6699400000000001E-4</v>
      </c>
      <c r="H24" s="4">
        <v>1.5813700000000001E-4</v>
      </c>
      <c r="I24">
        <f t="shared" si="4"/>
        <v>110.77133267476589</v>
      </c>
      <c r="J24">
        <f t="shared" si="5"/>
        <v>102.41967344771084</v>
      </c>
      <c r="L24" s="4">
        <v>8.2996299999999997E-4</v>
      </c>
      <c r="M24" s="4">
        <v>1.7557799999999999E-4</v>
      </c>
      <c r="N24" s="3">
        <f t="shared" si="6"/>
        <v>109.45870914733138</v>
      </c>
      <c r="O24" s="3">
        <f t="shared" si="7"/>
        <v>108.38750300942644</v>
      </c>
      <c r="Q24">
        <f t="shared" si="0"/>
        <v>8.2230633333333324E-4</v>
      </c>
      <c r="R24">
        <f t="shared" si="1"/>
        <v>1.7188933333333334E-4</v>
      </c>
      <c r="T24">
        <f t="shared" si="8"/>
        <v>110.34684071639784</v>
      </c>
      <c r="U24">
        <f t="shared" si="9"/>
        <v>105.18655930840085</v>
      </c>
      <c r="W24">
        <f t="shared" si="10"/>
        <v>0.6282071832604712</v>
      </c>
      <c r="X24">
        <f t="shared" si="11"/>
        <v>2.4556129005456393</v>
      </c>
    </row>
    <row r="25" spans="1:24" x14ac:dyDescent="0.35">
      <c r="A25" s="5">
        <v>142.72999999999999</v>
      </c>
      <c r="B25" s="4">
        <v>8.7423100000000005E-4</v>
      </c>
      <c r="C25" s="4">
        <v>1.82065E-4</v>
      </c>
      <c r="D25">
        <f t="shared" si="2"/>
        <v>111.35423964131502</v>
      </c>
      <c r="E25">
        <f t="shared" si="3"/>
        <v>104.8169811972504</v>
      </c>
      <c r="G25" s="4">
        <v>7.7106199999999998E-4</v>
      </c>
      <c r="H25" s="4">
        <v>1.5450500000000001E-4</v>
      </c>
      <c r="I25">
        <f t="shared" si="4"/>
        <v>111.35884415636932</v>
      </c>
      <c r="J25">
        <f t="shared" si="5"/>
        <v>100.06735707670286</v>
      </c>
      <c r="L25" s="4">
        <v>8.3229699999999996E-4</v>
      </c>
      <c r="M25" s="4">
        <v>1.7781700000000001E-4</v>
      </c>
      <c r="N25" s="3">
        <f t="shared" si="6"/>
        <v>109.7665260345298</v>
      </c>
      <c r="O25" s="3">
        <f t="shared" si="7"/>
        <v>109.76967856238929</v>
      </c>
      <c r="Q25">
        <f t="shared" si="0"/>
        <v>8.258633333333333E-4</v>
      </c>
      <c r="R25">
        <f t="shared" si="1"/>
        <v>1.7146233333333334E-4</v>
      </c>
      <c r="T25">
        <f t="shared" si="8"/>
        <v>110.82653661073805</v>
      </c>
      <c r="U25">
        <f t="shared" si="9"/>
        <v>104.88467227878084</v>
      </c>
      <c r="W25">
        <f t="shared" si="10"/>
        <v>0.7495430237350037</v>
      </c>
      <c r="X25">
        <f t="shared" si="11"/>
        <v>3.9612453525620945</v>
      </c>
    </row>
    <row r="26" spans="1:24" x14ac:dyDescent="0.35">
      <c r="A26" s="5">
        <v>149.00700000000001</v>
      </c>
      <c r="B26" s="4">
        <v>8.7748999999999998E-4</v>
      </c>
      <c r="C26" s="4">
        <v>1.80194E-4</v>
      </c>
      <c r="D26">
        <f t="shared" si="2"/>
        <v>111.76935128456608</v>
      </c>
      <c r="E26">
        <f t="shared" si="3"/>
        <v>103.73982429273798</v>
      </c>
      <c r="G26" s="4">
        <v>7.71965E-4</v>
      </c>
      <c r="H26" s="4">
        <v>1.6126899999999999E-4</v>
      </c>
      <c r="I26">
        <f t="shared" si="4"/>
        <v>111.48925784070755</v>
      </c>
      <c r="J26">
        <f t="shared" si="5"/>
        <v>104.44815771918574</v>
      </c>
      <c r="L26" s="4">
        <v>8.3626499999999999E-4</v>
      </c>
      <c r="M26" s="4">
        <v>1.7629399999999999E-4</v>
      </c>
      <c r="N26" s="3">
        <f t="shared" si="6"/>
        <v>110.28984111953555</v>
      </c>
      <c r="O26" s="3">
        <f t="shared" si="7"/>
        <v>108.82950287361643</v>
      </c>
      <c r="Q26">
        <f t="shared" si="0"/>
        <v>8.2857333333333325E-4</v>
      </c>
      <c r="R26">
        <f t="shared" si="1"/>
        <v>1.7258566666666667E-4</v>
      </c>
      <c r="T26">
        <f t="shared" si="8"/>
        <v>111.18281674826973</v>
      </c>
      <c r="U26">
        <f t="shared" si="9"/>
        <v>105.67249496184672</v>
      </c>
      <c r="W26">
        <f t="shared" si="10"/>
        <v>0.64169940494389999</v>
      </c>
      <c r="X26">
        <f t="shared" si="11"/>
        <v>2.2509935994264461</v>
      </c>
    </row>
    <row r="27" spans="1:24" x14ac:dyDescent="0.35">
      <c r="A27" s="5">
        <v>155.268</v>
      </c>
      <c r="B27" s="4">
        <v>8.8090399999999995E-4</v>
      </c>
      <c r="C27" s="4">
        <v>1.8499200000000001E-4</v>
      </c>
      <c r="D27">
        <f t="shared" si="2"/>
        <v>112.20420588722311</v>
      </c>
      <c r="E27">
        <f t="shared" si="3"/>
        <v>106.50208983407985</v>
      </c>
      <c r="G27" s="4">
        <v>7.7509900000000001E-4</v>
      </c>
      <c r="H27" s="4">
        <v>1.6260800000000001E-4</v>
      </c>
      <c r="I27">
        <f t="shared" si="4"/>
        <v>111.94187853474521</v>
      </c>
      <c r="J27">
        <f t="shared" si="5"/>
        <v>105.31538008173523</v>
      </c>
      <c r="L27" s="4">
        <v>8.3832600000000002E-4</v>
      </c>
      <c r="M27" s="4">
        <v>1.74086E-4</v>
      </c>
      <c r="N27" s="3">
        <f t="shared" si="6"/>
        <v>110.56165371787145</v>
      </c>
      <c r="O27" s="3">
        <f t="shared" si="7"/>
        <v>107.46646418628197</v>
      </c>
      <c r="Q27">
        <f t="shared" si="0"/>
        <v>8.3144299999999996E-4</v>
      </c>
      <c r="R27">
        <f t="shared" si="1"/>
        <v>1.7389533333333332E-4</v>
      </c>
      <c r="T27">
        <f t="shared" si="8"/>
        <v>111.56924604661326</v>
      </c>
      <c r="U27">
        <f t="shared" si="9"/>
        <v>106.42797803403236</v>
      </c>
      <c r="W27">
        <f t="shared" si="10"/>
        <v>0.72047930142325867</v>
      </c>
      <c r="X27">
        <f t="shared" si="11"/>
        <v>0.87973864504867727</v>
      </c>
    </row>
    <row r="28" spans="1:24" x14ac:dyDescent="0.35">
      <c r="A28" s="5">
        <v>161.42699999999999</v>
      </c>
      <c r="B28" s="4">
        <v>8.8526200000000005E-4</v>
      </c>
      <c r="C28" s="4">
        <v>1.8482000000000001E-4</v>
      </c>
      <c r="D28">
        <f t="shared" si="2"/>
        <v>112.75930148135882</v>
      </c>
      <c r="E28">
        <f t="shared" si="3"/>
        <v>106.40306739283125</v>
      </c>
      <c r="G28" s="4">
        <v>7.7825599999999996E-4</v>
      </c>
      <c r="H28" s="4">
        <v>1.6435500000000001E-4</v>
      </c>
      <c r="I28">
        <f t="shared" si="4"/>
        <v>112.39782095053235</v>
      </c>
      <c r="J28">
        <f t="shared" si="5"/>
        <v>106.44684943750364</v>
      </c>
      <c r="L28" s="4">
        <v>8.4044000000000002E-4</v>
      </c>
      <c r="M28" s="4">
        <v>1.7581699999999999E-4</v>
      </c>
      <c r="N28" s="3">
        <f t="shared" si="6"/>
        <v>110.84045615983267</v>
      </c>
      <c r="O28" s="3">
        <f t="shared" si="7"/>
        <v>108.53504207023845</v>
      </c>
      <c r="Q28">
        <f t="shared" si="0"/>
        <v>8.3465266666666671E-4</v>
      </c>
      <c r="R28">
        <f t="shared" si="1"/>
        <v>1.7499733333333333E-4</v>
      </c>
      <c r="T28">
        <f t="shared" si="8"/>
        <v>111.99919286390794</v>
      </c>
      <c r="U28">
        <f t="shared" si="9"/>
        <v>107.12831963352444</v>
      </c>
      <c r="W28">
        <f t="shared" si="10"/>
        <v>0.83253432584691744</v>
      </c>
      <c r="X28">
        <f t="shared" si="11"/>
        <v>0.99486355088687284</v>
      </c>
    </row>
    <row r="29" spans="1:24" x14ac:dyDescent="0.35">
      <c r="A29" s="5">
        <v>167.62</v>
      </c>
      <c r="B29" s="4">
        <v>8.8921099999999999E-4</v>
      </c>
      <c r="C29" s="4">
        <v>1.83098E-4</v>
      </c>
      <c r="D29">
        <f t="shared" si="2"/>
        <v>113.26230113744921</v>
      </c>
      <c r="E29">
        <f t="shared" si="3"/>
        <v>105.41169155660977</v>
      </c>
      <c r="G29" s="4">
        <v>7.7993500000000005E-4</v>
      </c>
      <c r="H29" s="4">
        <v>1.6082999999999999E-4</v>
      </c>
      <c r="I29">
        <f t="shared" si="4"/>
        <v>112.6403066382443</v>
      </c>
      <c r="J29">
        <f t="shared" si="5"/>
        <v>104.16383313579574</v>
      </c>
      <c r="L29" s="4">
        <v>8.4317400000000003E-4</v>
      </c>
      <c r="M29" s="4">
        <v>1.7673600000000001E-4</v>
      </c>
      <c r="N29" s="3">
        <f t="shared" si="6"/>
        <v>111.20102658382602</v>
      </c>
      <c r="O29" s="3">
        <f t="shared" si="7"/>
        <v>109.10235753838178</v>
      </c>
      <c r="Q29">
        <f t="shared" si="0"/>
        <v>8.3744000000000006E-4</v>
      </c>
      <c r="R29">
        <f t="shared" si="1"/>
        <v>1.7355466666666667E-4</v>
      </c>
      <c r="T29">
        <f t="shared" si="8"/>
        <v>112.36787811983986</v>
      </c>
      <c r="U29">
        <f t="shared" si="9"/>
        <v>106.22596074359576</v>
      </c>
      <c r="W29">
        <f t="shared" si="10"/>
        <v>0.86327908565100664</v>
      </c>
      <c r="X29">
        <f t="shared" si="11"/>
        <v>2.0967485225765756</v>
      </c>
    </row>
    <row r="30" spans="1:24" x14ac:dyDescent="0.35">
      <c r="A30" s="5">
        <v>173.833</v>
      </c>
      <c r="B30" s="4">
        <v>8.9095600000000004E-4</v>
      </c>
      <c r="C30" s="4">
        <v>1.83993E-4</v>
      </c>
      <c r="D30">
        <f t="shared" si="2"/>
        <v>113.48456864818046</v>
      </c>
      <c r="E30">
        <f t="shared" si="3"/>
        <v>105.92695367822313</v>
      </c>
      <c r="G30" s="4">
        <v>7.8389099999999999E-4</v>
      </c>
      <c r="H30" s="4">
        <v>1.54838E-4</v>
      </c>
      <c r="I30">
        <f t="shared" si="4"/>
        <v>113.2116427791546</v>
      </c>
      <c r="J30">
        <f t="shared" si="5"/>
        <v>100.28302925499186</v>
      </c>
      <c r="L30" s="4">
        <v>8.4480000000000004E-4</v>
      </c>
      <c r="M30" s="4">
        <v>1.77238E-4</v>
      </c>
      <c r="N30" s="3">
        <f t="shared" si="6"/>
        <v>111.41546971089744</v>
      </c>
      <c r="O30" s="3">
        <f t="shared" si="7"/>
        <v>109.41225129791161</v>
      </c>
      <c r="Q30">
        <f t="shared" si="0"/>
        <v>8.3988233333333339E-4</v>
      </c>
      <c r="R30">
        <f t="shared" si="1"/>
        <v>1.7202299999999999E-4</v>
      </c>
      <c r="T30">
        <f t="shared" si="8"/>
        <v>112.70389371274416</v>
      </c>
      <c r="U30">
        <f t="shared" si="9"/>
        <v>105.20741141037553</v>
      </c>
      <c r="W30">
        <f t="shared" si="10"/>
        <v>0.91784146739217376</v>
      </c>
      <c r="X30">
        <f t="shared" si="11"/>
        <v>3.7615581508773208</v>
      </c>
    </row>
    <row r="31" spans="1:24" x14ac:dyDescent="0.35">
      <c r="A31" s="5">
        <v>179.90100000000001</v>
      </c>
      <c r="B31" s="4">
        <v>8.9495799999999995E-4</v>
      </c>
      <c r="C31" s="4">
        <v>1.8707000000000001E-4</v>
      </c>
      <c r="D31">
        <f t="shared" si="2"/>
        <v>113.99431912264835</v>
      </c>
      <c r="E31">
        <f t="shared" si="3"/>
        <v>107.69841909521125</v>
      </c>
      <c r="G31" s="4">
        <v>7.8529000000000001E-4</v>
      </c>
      <c r="H31" s="4">
        <v>1.6149900000000001E-4</v>
      </c>
      <c r="I31">
        <f t="shared" si="4"/>
        <v>113.41369011513376</v>
      </c>
      <c r="J31">
        <f t="shared" si="5"/>
        <v>104.59712048497096</v>
      </c>
      <c r="L31" s="4">
        <v>8.4865899999999998E-4</v>
      </c>
      <c r="M31" s="4">
        <v>1.7840799999999999E-4</v>
      </c>
      <c r="N31" s="3">
        <f t="shared" si="6"/>
        <v>111.92440945712654</v>
      </c>
      <c r="O31" s="3">
        <f t="shared" si="7"/>
        <v>110.13451364581984</v>
      </c>
      <c r="Q31">
        <f t="shared" si="0"/>
        <v>8.4296899999999994E-4</v>
      </c>
      <c r="R31">
        <f t="shared" si="1"/>
        <v>1.7565899999999999E-4</v>
      </c>
      <c r="T31">
        <f t="shared" si="8"/>
        <v>113.11080623163622</v>
      </c>
      <c r="U31">
        <f t="shared" si="9"/>
        <v>107.47668440866734</v>
      </c>
      <c r="W31">
        <f t="shared" si="10"/>
        <v>0.87175512273308475</v>
      </c>
      <c r="X31">
        <f t="shared" si="11"/>
        <v>2.2660619964844337</v>
      </c>
    </row>
    <row r="32" spans="1:24" x14ac:dyDescent="0.35">
      <c r="A32" s="5">
        <v>193.15199999999999</v>
      </c>
      <c r="B32" s="4">
        <v>6.4751199999999996E-7</v>
      </c>
      <c r="C32" s="4">
        <v>2.13279E-5</v>
      </c>
      <c r="D32">
        <f t="shared" si="2"/>
        <v>8.2476149231298312E-2</v>
      </c>
      <c r="E32">
        <f t="shared" si="3"/>
        <v>12.278725143640111</v>
      </c>
      <c r="G32" s="4">
        <v>6.1961899999999996E-7</v>
      </c>
      <c r="H32" s="4">
        <v>1.9281699999999999E-5</v>
      </c>
      <c r="I32">
        <f t="shared" si="4"/>
        <v>8.9487039508269639E-2</v>
      </c>
      <c r="J32">
        <f t="shared" si="5"/>
        <v>12.488066787132206</v>
      </c>
      <c r="L32" s="4">
        <v>5.4309699999999996E-7</v>
      </c>
      <c r="M32" s="4">
        <v>2.0527399999999999E-5</v>
      </c>
      <c r="N32" s="3">
        <f t="shared" si="6"/>
        <v>7.1625718931793619E-2</v>
      </c>
      <c r="O32" s="3">
        <f t="shared" si="7"/>
        <v>12.671938564488149</v>
      </c>
      <c r="Q32">
        <f t="shared" si="0"/>
        <v>6.0340933333333329E-7</v>
      </c>
      <c r="R32">
        <f t="shared" si="1"/>
        <v>2.0378999999999999E-5</v>
      </c>
      <c r="T32">
        <f t="shared" si="8"/>
        <v>8.1196302557120528E-2</v>
      </c>
      <c r="U32">
        <f t="shared" si="9"/>
        <v>12.479576831753489</v>
      </c>
      <c r="W32">
        <f t="shared" si="10"/>
        <v>7.3477978023334476E-3</v>
      </c>
      <c r="X32">
        <f t="shared" si="11"/>
        <v>0.16064092066988747</v>
      </c>
    </row>
    <row r="33" spans="1:24" x14ac:dyDescent="0.35">
      <c r="A33" s="5">
        <v>199.35499999999999</v>
      </c>
      <c r="B33" s="4">
        <v>6.1832699999999998E-7</v>
      </c>
      <c r="C33" s="4">
        <v>2.1250599999999999E-5</v>
      </c>
      <c r="D33">
        <f t="shared" si="2"/>
        <v>7.8758741036059551E-2</v>
      </c>
      <c r="E33">
        <f t="shared" si="3"/>
        <v>12.234222616265013</v>
      </c>
      <c r="G33" s="4">
        <v>5.9329499999999997E-7</v>
      </c>
      <c r="H33" s="4">
        <v>1.92267E-5</v>
      </c>
      <c r="I33">
        <f t="shared" si="4"/>
        <v>8.5685256754648956E-2</v>
      </c>
      <c r="J33">
        <f t="shared" si="5"/>
        <v>12.452445256183573</v>
      </c>
      <c r="L33" s="4">
        <v>5.0452199999999997E-7</v>
      </c>
      <c r="M33" s="4">
        <v>2.0385900000000001E-5</v>
      </c>
      <c r="N33" s="3">
        <f t="shared" si="6"/>
        <v>6.6538299727132322E-2</v>
      </c>
      <c r="O33" s="3">
        <f t="shared" si="7"/>
        <v>12.584588032668481</v>
      </c>
      <c r="Q33">
        <f t="shared" si="0"/>
        <v>5.7204799999999994E-7</v>
      </c>
      <c r="R33">
        <f t="shared" si="1"/>
        <v>2.0287733333333336E-5</v>
      </c>
      <c r="T33">
        <f t="shared" si="8"/>
        <v>7.6994099172613614E-2</v>
      </c>
      <c r="U33">
        <f t="shared" si="9"/>
        <v>12.423751968372358</v>
      </c>
      <c r="W33">
        <f t="shared" si="10"/>
        <v>7.9156790204867721E-3</v>
      </c>
      <c r="X33">
        <f t="shared" si="11"/>
        <v>0.14446789684207104</v>
      </c>
    </row>
    <row r="34" spans="1:24" x14ac:dyDescent="0.35">
      <c r="A34" s="5">
        <v>205.6</v>
      </c>
      <c r="B34" s="4">
        <v>6.0708099999999998E-7</v>
      </c>
      <c r="C34" s="4">
        <v>2.11009E-5</v>
      </c>
      <c r="D34">
        <f t="shared" si="2"/>
        <v>7.7326293800710752E-2</v>
      </c>
      <c r="E34">
        <f t="shared" si="3"/>
        <v>12.148038549666664</v>
      </c>
      <c r="G34" s="4">
        <v>5.97431E-7</v>
      </c>
      <c r="H34" s="4">
        <v>1.9159699999999999E-5</v>
      </c>
      <c r="I34">
        <f t="shared" si="4"/>
        <v>8.6282588978816077E-2</v>
      </c>
      <c r="J34">
        <f t="shared" si="5"/>
        <v>12.409051754846146</v>
      </c>
      <c r="L34" s="4">
        <v>4.8352800000000004E-7</v>
      </c>
      <c r="M34" s="4">
        <v>2.0231999999999999E-5</v>
      </c>
      <c r="N34" s="3">
        <f t="shared" si="6"/>
        <v>6.3769530348450301E-2</v>
      </c>
      <c r="O34" s="3">
        <f t="shared" si="7"/>
        <v>12.489582754597476</v>
      </c>
      <c r="Q34">
        <f t="shared" si="0"/>
        <v>5.6268000000000001E-7</v>
      </c>
      <c r="R34">
        <f t="shared" si="1"/>
        <v>2.0164199999999999E-5</v>
      </c>
      <c r="T34">
        <f t="shared" si="8"/>
        <v>7.5792804375992381E-2</v>
      </c>
      <c r="U34">
        <f t="shared" si="9"/>
        <v>12.34889101970343</v>
      </c>
      <c r="W34">
        <f t="shared" si="10"/>
        <v>9.2546616932715833E-3</v>
      </c>
      <c r="X34">
        <f t="shared" si="11"/>
        <v>0.14577973457729387</v>
      </c>
    </row>
    <row r="35" spans="1:24" x14ac:dyDescent="0.35">
      <c r="A35" s="5">
        <v>211.679</v>
      </c>
      <c r="B35" s="4">
        <v>5.9696599999999997E-7</v>
      </c>
      <c r="C35" s="4">
        <v>2.0936300000000001E-5</v>
      </c>
      <c r="D35">
        <f t="shared" si="2"/>
        <v>7.6037906482059381E-2</v>
      </c>
      <c r="E35">
        <f t="shared" si="3"/>
        <v>12.053276376239221</v>
      </c>
      <c r="G35" s="4">
        <v>6.05885E-7</v>
      </c>
      <c r="H35" s="4">
        <v>1.90781E-5</v>
      </c>
      <c r="I35">
        <f t="shared" si="4"/>
        <v>8.7503538355776622E-2</v>
      </c>
      <c r="J35">
        <f t="shared" si="5"/>
        <v>12.356202356202356</v>
      </c>
      <c r="L35" s="4">
        <v>4.7806600000000004E-7</v>
      </c>
      <c r="M35" s="4">
        <v>2.0167299999999999E-5</v>
      </c>
      <c r="N35" s="3">
        <f t="shared" si="6"/>
        <v>6.30491808035155E-2</v>
      </c>
      <c r="O35" s="3">
        <f t="shared" si="7"/>
        <v>12.449642264076399</v>
      </c>
      <c r="Q35">
        <f t="shared" si="0"/>
        <v>5.6030566666666667E-7</v>
      </c>
      <c r="R35">
        <f t="shared" si="1"/>
        <v>2.0060566666666666E-5</v>
      </c>
      <c r="T35">
        <f t="shared" si="8"/>
        <v>7.5530208547117172E-2</v>
      </c>
      <c r="U35">
        <f t="shared" si="9"/>
        <v>12.286373665505991</v>
      </c>
      <c r="W35">
        <f t="shared" si="10"/>
        <v>9.9899021923245089E-3</v>
      </c>
      <c r="X35">
        <f t="shared" si="11"/>
        <v>0.16918138942865404</v>
      </c>
    </row>
    <row r="36" spans="1:24" x14ac:dyDescent="0.35">
      <c r="A36" s="5">
        <v>217.96899999999999</v>
      </c>
      <c r="B36" s="4">
        <v>5.85011E-7</v>
      </c>
      <c r="C36" s="4">
        <v>2.0802399999999999E-5</v>
      </c>
      <c r="D36">
        <f t="shared" si="2"/>
        <v>7.4515151129169913E-2</v>
      </c>
      <c r="E36">
        <f t="shared" si="3"/>
        <v>11.976188557150918</v>
      </c>
      <c r="G36" s="4">
        <v>6.0937200000000001E-7</v>
      </c>
      <c r="H36" s="4">
        <v>1.8992400000000001E-5</v>
      </c>
      <c r="I36">
        <f t="shared" si="4"/>
        <v>8.8007140257534533E-2</v>
      </c>
      <c r="J36">
        <f t="shared" si="5"/>
        <v>12.300697534342394</v>
      </c>
      <c r="L36" s="4">
        <v>4.7779400000000005E-7</v>
      </c>
      <c r="M36" s="4">
        <v>2.0126400000000001E-5</v>
      </c>
      <c r="N36" s="3">
        <f t="shared" si="6"/>
        <v>6.3013308398494949E-2</v>
      </c>
      <c r="O36" s="3">
        <f t="shared" si="7"/>
        <v>12.424393947811915</v>
      </c>
      <c r="Q36">
        <f t="shared" si="0"/>
        <v>5.5739233333333339E-7</v>
      </c>
      <c r="R36">
        <f t="shared" si="1"/>
        <v>1.9973733333333332E-5</v>
      </c>
      <c r="T36">
        <f t="shared" si="8"/>
        <v>7.5178533261733127E-2</v>
      </c>
      <c r="U36">
        <f t="shared" si="9"/>
        <v>12.233760013101742</v>
      </c>
      <c r="W36">
        <f t="shared" si="10"/>
        <v>1.0214465710936281E-2</v>
      </c>
      <c r="X36">
        <f t="shared" si="11"/>
        <v>0.18900174931602473</v>
      </c>
    </row>
    <row r="37" spans="1:24" x14ac:dyDescent="0.35">
      <c r="A37" s="5">
        <v>224.15899999999999</v>
      </c>
      <c r="B37" s="4">
        <v>5.8073399999999999E-7</v>
      </c>
      <c r="C37" s="4">
        <v>2.07099E-5</v>
      </c>
      <c r="D37">
        <f t="shared" si="2"/>
        <v>7.3970372823497943E-2</v>
      </c>
      <c r="E37">
        <f t="shared" si="3"/>
        <v>11.922935209386406</v>
      </c>
      <c r="G37" s="4">
        <v>6.1272500000000003E-7</v>
      </c>
      <c r="H37" s="4">
        <v>1.8984600000000001E-5</v>
      </c>
      <c r="I37">
        <f t="shared" si="4"/>
        <v>8.8491389519534627E-2</v>
      </c>
      <c r="J37">
        <f t="shared" si="5"/>
        <v>12.295645753589678</v>
      </c>
      <c r="L37" s="4">
        <v>4.6461799999999999E-7</v>
      </c>
      <c r="M37" s="4">
        <v>2.00548E-5</v>
      </c>
      <c r="N37" s="3">
        <f t="shared" si="6"/>
        <v>6.1275606896469867E-2</v>
      </c>
      <c r="O37" s="3">
        <f t="shared" si="7"/>
        <v>12.380193961392918</v>
      </c>
      <c r="Q37">
        <f t="shared" si="0"/>
        <v>5.5269233333333335E-7</v>
      </c>
      <c r="R37">
        <f t="shared" si="1"/>
        <v>1.9916433333333331E-5</v>
      </c>
      <c r="T37">
        <f t="shared" si="8"/>
        <v>7.457912307983415E-2</v>
      </c>
      <c r="U37">
        <f t="shared" si="9"/>
        <v>12.199591641456335</v>
      </c>
      <c r="W37">
        <f t="shared" si="10"/>
        <v>1.1119131818699364E-2</v>
      </c>
      <c r="X37">
        <f t="shared" si="11"/>
        <v>0.19864740272642537</v>
      </c>
    </row>
    <row r="38" spans="1:24" x14ac:dyDescent="0.35">
      <c r="A38" s="5">
        <v>230.37799999999999</v>
      </c>
      <c r="B38" s="4">
        <v>5.82729E-7</v>
      </c>
      <c r="C38" s="4">
        <v>2.0629099999999999E-5</v>
      </c>
      <c r="D38">
        <f t="shared" si="2"/>
        <v>7.4224483817141987E-2</v>
      </c>
      <c r="E38">
        <f t="shared" si="3"/>
        <v>11.876417690474272</v>
      </c>
      <c r="G38" s="4">
        <v>6.0931999999999995E-7</v>
      </c>
      <c r="H38" s="4">
        <v>1.89408E-5</v>
      </c>
      <c r="I38">
        <f t="shared" si="4"/>
        <v>8.799963027792701E-2</v>
      </c>
      <c r="J38">
        <f t="shared" si="5"/>
        <v>12.267278061670584</v>
      </c>
      <c r="L38" s="4">
        <v>4.5159300000000001E-7</v>
      </c>
      <c r="M38" s="4">
        <v>1.9988199999999999E-5</v>
      </c>
      <c r="N38" s="3">
        <f t="shared" si="6"/>
        <v>5.9557819854584873E-2</v>
      </c>
      <c r="O38" s="3">
        <f t="shared" si="7"/>
        <v>12.339080566204295</v>
      </c>
      <c r="Q38">
        <f t="shared" si="0"/>
        <v>5.4788066666666674E-7</v>
      </c>
      <c r="R38">
        <f t="shared" si="1"/>
        <v>1.9852699999999997E-5</v>
      </c>
      <c r="T38">
        <f t="shared" si="8"/>
        <v>7.3927311316551281E-2</v>
      </c>
      <c r="U38">
        <f t="shared" si="9"/>
        <v>12.160925439449718</v>
      </c>
      <c r="W38">
        <f t="shared" si="10"/>
        <v>1.1613221736758111E-2</v>
      </c>
      <c r="X38">
        <f t="shared" si="11"/>
        <v>0.20330173689147321</v>
      </c>
    </row>
    <row r="39" spans="1:24" x14ac:dyDescent="0.35">
      <c r="A39" s="5">
        <v>236.678</v>
      </c>
      <c r="B39" s="4">
        <v>5.86833E-7</v>
      </c>
      <c r="C39" s="4">
        <v>2.0539499999999999E-5</v>
      </c>
      <c r="D39">
        <f t="shared" si="2"/>
        <v>7.47472264326383E-2</v>
      </c>
      <c r="E39">
        <f t="shared" si="3"/>
        <v>11.824833907126161</v>
      </c>
      <c r="G39" s="4">
        <v>5.9908200000000004E-7</v>
      </c>
      <c r="H39" s="4">
        <v>1.8882500000000001E-5</v>
      </c>
      <c r="I39">
        <f t="shared" si="4"/>
        <v>8.6521030831354748E-2</v>
      </c>
      <c r="J39">
        <f t="shared" si="5"/>
        <v>12.229519238865032</v>
      </c>
      <c r="L39" s="4">
        <v>4.3974699999999997E-7</v>
      </c>
      <c r="M39" s="4">
        <v>1.99034E-5</v>
      </c>
      <c r="N39" s="3">
        <f t="shared" si="6"/>
        <v>5.7995523862402948E-2</v>
      </c>
      <c r="O39" s="3">
        <f t="shared" si="7"/>
        <v>12.286731978937102</v>
      </c>
      <c r="Q39">
        <f t="shared" si="0"/>
        <v>5.4188733333333336E-7</v>
      </c>
      <c r="R39">
        <f t="shared" si="1"/>
        <v>1.9775133333333337E-5</v>
      </c>
      <c r="T39">
        <f t="shared" si="8"/>
        <v>7.3087927042132003E-2</v>
      </c>
      <c r="U39">
        <f t="shared" si="9"/>
        <v>12.113695041642766</v>
      </c>
      <c r="W39">
        <f t="shared" si="10"/>
        <v>1.1704446243755155E-2</v>
      </c>
      <c r="X39">
        <f t="shared" si="11"/>
        <v>0.20558678732237523</v>
      </c>
    </row>
    <row r="40" spans="1:24" x14ac:dyDescent="0.35">
      <c r="A40" s="5">
        <v>242.821</v>
      </c>
      <c r="B40" s="4">
        <v>5.6820199999999997E-7</v>
      </c>
      <c r="C40" s="4">
        <v>2.0476199999999999E-5</v>
      </c>
      <c r="D40">
        <f t="shared" si="2"/>
        <v>7.2374122712045755E-2</v>
      </c>
      <c r="E40">
        <f t="shared" si="3"/>
        <v>11.788391345899205</v>
      </c>
      <c r="G40" s="4">
        <v>5.7727500000000001E-7</v>
      </c>
      <c r="H40" s="4">
        <v>1.8845999999999999E-5</v>
      </c>
      <c r="I40">
        <f t="shared" si="4"/>
        <v>8.3371605344794722E-2</v>
      </c>
      <c r="J40">
        <f t="shared" si="5"/>
        <v>12.205879495599122</v>
      </c>
      <c r="L40" s="4">
        <v>4.1974000000000002E-7</v>
      </c>
      <c r="M40" s="4">
        <v>1.97969E-5</v>
      </c>
      <c r="N40" s="3">
        <f t="shared" si="6"/>
        <v>5.535692383576242E-2</v>
      </c>
      <c r="O40" s="3">
        <f t="shared" si="7"/>
        <v>12.220987585730072</v>
      </c>
      <c r="Q40">
        <f t="shared" si="0"/>
        <v>5.2173899999999993E-7</v>
      </c>
      <c r="R40">
        <f t="shared" si="1"/>
        <v>1.9706366666666668E-5</v>
      </c>
      <c r="T40">
        <f t="shared" si="8"/>
        <v>7.0367550630867637E-2</v>
      </c>
      <c r="U40">
        <f t="shared" si="9"/>
        <v>12.071752809076132</v>
      </c>
      <c r="W40">
        <f t="shared" si="10"/>
        <v>1.1524621285197743E-2</v>
      </c>
      <c r="X40">
        <f t="shared" si="11"/>
        <v>0.20046172154500103</v>
      </c>
    </row>
    <row r="41" spans="1:24" x14ac:dyDescent="0.35">
      <c r="A41" s="5">
        <v>249.15799999999999</v>
      </c>
      <c r="B41" s="4">
        <v>5.4895899999999999E-7</v>
      </c>
      <c r="C41" s="4">
        <v>2.0412400000000001E-5</v>
      </c>
      <c r="D41">
        <f t="shared" si="2"/>
        <v>6.9923066145282708E-2</v>
      </c>
      <c r="E41">
        <f t="shared" si="3"/>
        <v>11.751660928738387</v>
      </c>
      <c r="G41" s="4">
        <v>5.7077899999999995E-7</v>
      </c>
      <c r="H41" s="4">
        <v>1.8844200000000002E-5</v>
      </c>
      <c r="I41">
        <f t="shared" si="4"/>
        <v>8.2433435584594136E-2</v>
      </c>
      <c r="J41">
        <f t="shared" si="5"/>
        <v>12.204713700040804</v>
      </c>
      <c r="L41" s="4">
        <v>4.0131399999999999E-7</v>
      </c>
      <c r="M41" s="4">
        <v>1.9723200000000001E-5</v>
      </c>
      <c r="N41" s="3">
        <f t="shared" si="6"/>
        <v>5.2926832163303843E-2</v>
      </c>
      <c r="O41" s="3">
        <f t="shared" si="7"/>
        <v>12.175491230994314</v>
      </c>
      <c r="Q41">
        <f t="shared" si="0"/>
        <v>5.0701733333333326E-7</v>
      </c>
      <c r="R41">
        <f t="shared" si="1"/>
        <v>1.9659933333333335E-5</v>
      </c>
      <c r="T41">
        <f t="shared" si="8"/>
        <v>6.8427777964393574E-2</v>
      </c>
      <c r="U41">
        <f t="shared" si="9"/>
        <v>12.043955286591169</v>
      </c>
      <c r="W41">
        <f t="shared" si="10"/>
        <v>1.209233438790196E-2</v>
      </c>
      <c r="X41">
        <f t="shared" si="11"/>
        <v>0.20702734424663277</v>
      </c>
    </row>
    <row r="42" spans="1:24" x14ac:dyDescent="0.35">
      <c r="A42" s="5">
        <v>262.31900000000002</v>
      </c>
      <c r="B42" s="4">
        <v>6.4026800000000004E-4</v>
      </c>
      <c r="C42" s="4">
        <v>1.7609400000000001E-4</v>
      </c>
      <c r="D42">
        <f t="shared" si="2"/>
        <v>81.553452470417412</v>
      </c>
      <c r="E42">
        <f t="shared" si="3"/>
        <v>101.37940563506777</v>
      </c>
      <c r="G42" s="4">
        <v>5.8701900000000004E-4</v>
      </c>
      <c r="H42" s="4">
        <v>1.5191099999999999E-4</v>
      </c>
      <c r="I42">
        <f t="shared" si="4"/>
        <v>84.778859985095593</v>
      </c>
      <c r="J42">
        <f t="shared" si="5"/>
        <v>98.387316144325482</v>
      </c>
      <c r="L42" s="4">
        <v>6.3639600000000001E-4</v>
      </c>
      <c r="M42" s="4">
        <v>1.79564E-4</v>
      </c>
      <c r="N42" s="3">
        <f t="shared" si="6"/>
        <v>83.930349505369648</v>
      </c>
      <c r="O42" s="3">
        <f t="shared" si="7"/>
        <v>110.84813353828299</v>
      </c>
      <c r="Q42">
        <f t="shared" si="0"/>
        <v>6.2122766666666666E-4</v>
      </c>
      <c r="R42">
        <f t="shared" si="1"/>
        <v>1.6918966666666668E-4</v>
      </c>
      <c r="T42">
        <f t="shared" si="8"/>
        <v>83.420887320294227</v>
      </c>
      <c r="U42">
        <f t="shared" si="9"/>
        <v>103.53828510589209</v>
      </c>
      <c r="W42">
        <f t="shared" si="10"/>
        <v>1.3651562053362234</v>
      </c>
      <c r="X42">
        <f t="shared" si="11"/>
        <v>5.3112185016590763</v>
      </c>
    </row>
    <row r="43" spans="1:24" x14ac:dyDescent="0.35">
      <c r="A43" s="5">
        <v>268.40899999999999</v>
      </c>
      <c r="B43" s="4">
        <v>6.6333600000000005E-4</v>
      </c>
      <c r="C43" s="4">
        <v>1.8356399999999999E-4</v>
      </c>
      <c r="D43">
        <f t="shared" si="2"/>
        <v>84.491714325746102</v>
      </c>
      <c r="E43">
        <f t="shared" si="3"/>
        <v>105.67997328696934</v>
      </c>
      <c r="G43" s="4">
        <v>6.0839800000000001E-4</v>
      </c>
      <c r="H43" s="4">
        <v>1.5680300000000001E-4</v>
      </c>
      <c r="I43">
        <f t="shared" si="4"/>
        <v>87.866472562578352</v>
      </c>
      <c r="J43">
        <f t="shared" si="5"/>
        <v>101.55568940615669</v>
      </c>
      <c r="L43" s="4">
        <v>6.5836900000000001E-4</v>
      </c>
      <c r="M43" s="4">
        <v>1.85272E-4</v>
      </c>
      <c r="N43" s="3">
        <f t="shared" si="6"/>
        <v>86.82823316535729</v>
      </c>
      <c r="O43" s="3">
        <f t="shared" si="7"/>
        <v>114.37178608688137</v>
      </c>
      <c r="Q43">
        <f t="shared" si="0"/>
        <v>6.4336766666666669E-4</v>
      </c>
      <c r="R43">
        <f t="shared" si="1"/>
        <v>1.7521300000000002E-4</v>
      </c>
      <c r="T43">
        <f t="shared" si="8"/>
        <v>86.395473351227238</v>
      </c>
      <c r="U43">
        <f t="shared" si="9"/>
        <v>107.20248292666913</v>
      </c>
      <c r="W43">
        <f t="shared" si="10"/>
        <v>1.4113135918500845</v>
      </c>
      <c r="X43">
        <f t="shared" si="11"/>
        <v>5.3417606482416549</v>
      </c>
    </row>
    <row r="44" spans="1:24" x14ac:dyDescent="0.35">
      <c r="A44" s="5">
        <v>274.76100000000002</v>
      </c>
      <c r="B44" s="4">
        <v>6.77139E-4</v>
      </c>
      <c r="C44" s="4">
        <v>1.80972E-4</v>
      </c>
      <c r="D44">
        <f t="shared" si="2"/>
        <v>86.249856704326888</v>
      </c>
      <c r="E44">
        <f t="shared" si="3"/>
        <v>104.18772812582759</v>
      </c>
      <c r="G44" s="4">
        <v>6.2293400000000001E-4</v>
      </c>
      <c r="H44" s="4">
        <v>1.5583599999999999E-4</v>
      </c>
      <c r="I44">
        <f t="shared" si="4"/>
        <v>89.96580070824885</v>
      </c>
      <c r="J44">
        <f t="shared" si="5"/>
        <v>100.9293981256598</v>
      </c>
      <c r="L44" s="4">
        <v>6.73276E-4</v>
      </c>
      <c r="M44" s="4">
        <v>1.83986E-4</v>
      </c>
      <c r="N44" s="3">
        <f t="shared" si="6"/>
        <v>88.794225597862422</v>
      </c>
      <c r="O44" s="3">
        <f t="shared" si="7"/>
        <v>113.57791482242841</v>
      </c>
      <c r="Q44">
        <f t="shared" si="0"/>
        <v>6.57783E-4</v>
      </c>
      <c r="R44">
        <f t="shared" si="1"/>
        <v>1.7359799999999999E-4</v>
      </c>
      <c r="T44">
        <f t="shared" si="8"/>
        <v>88.336627670146058</v>
      </c>
      <c r="U44">
        <f t="shared" si="9"/>
        <v>106.23168035797192</v>
      </c>
      <c r="W44">
        <f t="shared" si="10"/>
        <v>1.5511515846103139</v>
      </c>
      <c r="X44">
        <f t="shared" si="11"/>
        <v>5.3621854501421629</v>
      </c>
    </row>
    <row r="45" spans="1:24" x14ac:dyDescent="0.35">
      <c r="A45" s="5">
        <v>280.85500000000002</v>
      </c>
      <c r="B45" s="4">
        <v>6.9209999999999996E-4</v>
      </c>
      <c r="C45" s="4">
        <v>1.7578900000000001E-4</v>
      </c>
      <c r="D45">
        <f t="shared" si="2"/>
        <v>88.155498095759725</v>
      </c>
      <c r="E45">
        <f t="shared" si="3"/>
        <v>101.20381351541181</v>
      </c>
      <c r="G45" s="4">
        <v>6.3268299999999999E-4</v>
      </c>
      <c r="H45" s="4">
        <v>1.5476699999999999E-4</v>
      </c>
      <c r="I45">
        <f t="shared" si="4"/>
        <v>91.373777461973503</v>
      </c>
      <c r="J45">
        <f t="shared" si="5"/>
        <v>100.23704509685818</v>
      </c>
      <c r="L45" s="4">
        <v>6.8446999999999996E-4</v>
      </c>
      <c r="M45" s="4">
        <v>1.8370499999999999E-4</v>
      </c>
      <c r="N45" s="3">
        <f t="shared" si="6"/>
        <v>90.270533325068598</v>
      </c>
      <c r="O45" s="3">
        <f t="shared" si="7"/>
        <v>113.40444839528121</v>
      </c>
      <c r="Q45">
        <f t="shared" si="0"/>
        <v>6.6975100000000001E-4</v>
      </c>
      <c r="R45">
        <f t="shared" si="1"/>
        <v>1.7142033333333333E-4</v>
      </c>
      <c r="T45">
        <f t="shared" si="8"/>
        <v>89.933269627600609</v>
      </c>
      <c r="U45">
        <f t="shared" si="9"/>
        <v>104.94843566918375</v>
      </c>
      <c r="W45">
        <f t="shared" si="10"/>
        <v>1.3353253338847613</v>
      </c>
      <c r="X45">
        <f t="shared" si="11"/>
        <v>5.9923158412375654</v>
      </c>
    </row>
    <row r="46" spans="1:24" x14ac:dyDescent="0.35">
      <c r="A46" s="5">
        <v>287.06200000000001</v>
      </c>
      <c r="B46" s="4">
        <v>7.0276500000000005E-4</v>
      </c>
      <c r="C46" s="4">
        <v>1.77128E-4</v>
      </c>
      <c r="D46">
        <f t="shared" si="2"/>
        <v>89.513941076819222</v>
      </c>
      <c r="E46">
        <f t="shared" si="3"/>
        <v>101.97469170629485</v>
      </c>
      <c r="G46" s="4">
        <v>6.4227999999999996E-4</v>
      </c>
      <c r="H46" s="4">
        <v>1.53633E-4</v>
      </c>
      <c r="I46">
        <f t="shared" si="4"/>
        <v>92.759801967614649</v>
      </c>
      <c r="J46">
        <f t="shared" si="5"/>
        <v>99.502593895117258</v>
      </c>
      <c r="L46" s="4">
        <v>6.9834499999999996E-4</v>
      </c>
      <c r="M46" s="4">
        <v>1.84721E-4</v>
      </c>
      <c r="N46" s="3">
        <f t="shared" si="6"/>
        <v>92.100421632642821</v>
      </c>
      <c r="O46" s="3">
        <f t="shared" si="7"/>
        <v>114.03164373329382</v>
      </c>
      <c r="Q46">
        <f t="shared" si="0"/>
        <v>6.8112999999999995E-4</v>
      </c>
      <c r="R46">
        <f t="shared" si="1"/>
        <v>1.7182733333333334E-4</v>
      </c>
      <c r="T46">
        <f t="shared" si="8"/>
        <v>91.458054892358902</v>
      </c>
      <c r="U46">
        <f t="shared" si="9"/>
        <v>105.16964311156865</v>
      </c>
      <c r="W46">
        <f t="shared" si="10"/>
        <v>1.4008044123207841</v>
      </c>
      <c r="X46">
        <f t="shared" si="11"/>
        <v>6.3471310139096353</v>
      </c>
    </row>
    <row r="47" spans="1:24" x14ac:dyDescent="0.35">
      <c r="A47" s="5">
        <v>293.27199999999999</v>
      </c>
      <c r="B47" s="4">
        <v>7.1338900000000004E-4</v>
      </c>
      <c r="C47" s="4">
        <v>1.78004E-4</v>
      </c>
      <c r="D47">
        <f t="shared" si="2"/>
        <v>90.867161726681019</v>
      </c>
      <c r="E47">
        <f t="shared" si="3"/>
        <v>102.47901530242144</v>
      </c>
      <c r="G47" s="4">
        <v>6.5081399999999999E-4</v>
      </c>
      <c r="H47" s="4">
        <v>1.5396600000000001E-4</v>
      </c>
      <c r="I47">
        <f t="shared" si="4"/>
        <v>93.992305159355993</v>
      </c>
      <c r="J47">
        <f t="shared" si="5"/>
        <v>99.718266073406269</v>
      </c>
      <c r="L47" s="4">
        <v>7.0833400000000003E-4</v>
      </c>
      <c r="M47" s="4">
        <v>1.8593099999999999E-4</v>
      </c>
      <c r="N47" s="3">
        <f t="shared" si="6"/>
        <v>93.417809330254286</v>
      </c>
      <c r="O47" s="3">
        <f t="shared" si="7"/>
        <v>114.77859881104506</v>
      </c>
      <c r="Q47">
        <f t="shared" si="0"/>
        <v>6.9084566666666669E-4</v>
      </c>
      <c r="R47">
        <f t="shared" si="1"/>
        <v>1.7263366666666667E-4</v>
      </c>
      <c r="T47">
        <f t="shared" si="8"/>
        <v>92.75909207209709</v>
      </c>
      <c r="U47">
        <f t="shared" si="9"/>
        <v>105.65862672895759</v>
      </c>
      <c r="W47">
        <f t="shared" si="10"/>
        <v>1.3582002032944118</v>
      </c>
      <c r="X47">
        <f t="shared" si="11"/>
        <v>6.5465437272868439</v>
      </c>
    </row>
    <row r="48" spans="1:24" x14ac:dyDescent="0.35">
      <c r="A48" s="5">
        <v>299.61900000000003</v>
      </c>
      <c r="B48" s="4">
        <v>7.21581E-4</v>
      </c>
      <c r="C48" s="4">
        <v>1.7989300000000001E-4</v>
      </c>
      <c r="D48">
        <f t="shared" si="2"/>
        <v>91.910608974767229</v>
      </c>
      <c r="E48">
        <f t="shared" si="3"/>
        <v>103.56653502055293</v>
      </c>
      <c r="G48" s="4">
        <v>6.5751600000000002E-4</v>
      </c>
      <c r="H48" s="4">
        <v>1.54809E-4</v>
      </c>
      <c r="I48">
        <f t="shared" si="4"/>
        <v>94.960225992617126</v>
      </c>
      <c r="J48">
        <f t="shared" si="5"/>
        <v>100.26424699321896</v>
      </c>
      <c r="L48" s="4">
        <v>7.1440399999999997E-4</v>
      </c>
      <c r="M48" s="4">
        <v>1.8743699999999999E-4</v>
      </c>
      <c r="N48" s="3">
        <f t="shared" si="6"/>
        <v>94.218344251117387</v>
      </c>
      <c r="O48" s="3">
        <f t="shared" si="7"/>
        <v>115.70828008963461</v>
      </c>
      <c r="Q48">
        <f t="shared" si="0"/>
        <v>6.9783366666666677E-4</v>
      </c>
      <c r="R48">
        <f t="shared" si="1"/>
        <v>1.7404633333333334E-4</v>
      </c>
      <c r="T48">
        <f t="shared" si="8"/>
        <v>93.696393072833914</v>
      </c>
      <c r="U48">
        <f t="shared" si="9"/>
        <v>106.51302070113552</v>
      </c>
      <c r="W48">
        <f t="shared" si="10"/>
        <v>1.2985545202964599</v>
      </c>
      <c r="X48">
        <f t="shared" si="11"/>
        <v>6.6403249403526488</v>
      </c>
    </row>
    <row r="49" spans="1:24" x14ac:dyDescent="0.35">
      <c r="A49" s="5">
        <v>305.72500000000002</v>
      </c>
      <c r="B49" s="4">
        <v>7.2799500000000005E-4</v>
      </c>
      <c r="C49" s="4">
        <v>1.8142700000000001E-4</v>
      </c>
      <c r="D49">
        <f t="shared" si="2"/>
        <v>92.727585372377703</v>
      </c>
      <c r="E49">
        <f t="shared" si="3"/>
        <v>104.44967702564223</v>
      </c>
      <c r="G49" s="4">
        <v>6.6282699999999995E-4</v>
      </c>
      <c r="H49" s="4">
        <v>1.54983E-4</v>
      </c>
      <c r="I49">
        <f t="shared" si="4"/>
        <v>95.727254871377156</v>
      </c>
      <c r="J49">
        <f t="shared" si="5"/>
        <v>100.37694056385644</v>
      </c>
      <c r="L49" s="4">
        <v>7.2020899999999998E-4</v>
      </c>
      <c r="M49" s="4">
        <v>1.8451200000000001E-4</v>
      </c>
      <c r="N49" s="3">
        <f t="shared" si="6"/>
        <v>94.983929953853846</v>
      </c>
      <c r="O49" s="3">
        <f t="shared" si="7"/>
        <v>113.90262421986408</v>
      </c>
      <c r="Q49">
        <f t="shared" si="0"/>
        <v>7.0367699999999988E-4</v>
      </c>
      <c r="R49">
        <f t="shared" si="1"/>
        <v>1.7364066666666669E-4</v>
      </c>
      <c r="T49">
        <f t="shared" si="8"/>
        <v>94.479590065869573</v>
      </c>
      <c r="U49">
        <f t="shared" si="9"/>
        <v>106.24308060312092</v>
      </c>
      <c r="W49">
        <f t="shared" si="10"/>
        <v>1.2754798620560817</v>
      </c>
      <c r="X49">
        <f t="shared" si="11"/>
        <v>5.6655833406268705</v>
      </c>
    </row>
    <row r="50" spans="1:24" x14ac:dyDescent="0.35">
      <c r="A50" s="5">
        <v>312.08699999999999</v>
      </c>
      <c r="B50" s="4">
        <v>7.339E-4</v>
      </c>
      <c r="C50" s="4">
        <v>1.82731E-4</v>
      </c>
      <c r="D50">
        <f t="shared" si="2"/>
        <v>93.479728438777727</v>
      </c>
      <c r="E50">
        <f t="shared" si="3"/>
        <v>105.20040530115489</v>
      </c>
      <c r="G50" s="4">
        <v>6.6783700000000001E-4</v>
      </c>
      <c r="H50" s="4">
        <v>1.5799600000000001E-4</v>
      </c>
      <c r="I50">
        <f t="shared" si="4"/>
        <v>96.450812522024464</v>
      </c>
      <c r="J50">
        <f t="shared" si="5"/>
        <v>102.32835279564252</v>
      </c>
      <c r="L50" s="4">
        <v>7.2595299999999999E-4</v>
      </c>
      <c r="M50" s="4">
        <v>1.9098100000000001E-4</v>
      </c>
      <c r="N50" s="3">
        <f t="shared" si="6"/>
        <v>95.741470742229069</v>
      </c>
      <c r="O50" s="3">
        <f t="shared" si="7"/>
        <v>117.89605595372583</v>
      </c>
      <c r="Q50">
        <f t="shared" si="0"/>
        <v>7.0923000000000004E-4</v>
      </c>
      <c r="R50">
        <f t="shared" si="1"/>
        <v>1.77236E-4</v>
      </c>
      <c r="T50">
        <f t="shared" si="8"/>
        <v>95.22400390101042</v>
      </c>
      <c r="U50">
        <f t="shared" si="9"/>
        <v>108.47493801684107</v>
      </c>
      <c r="W50">
        <f t="shared" si="10"/>
        <v>1.2669291235769351</v>
      </c>
      <c r="X50">
        <f t="shared" si="11"/>
        <v>6.7641342774038096</v>
      </c>
    </row>
    <row r="51" spans="1:24" x14ac:dyDescent="0.35">
      <c r="A51" s="5">
        <v>318.18900000000002</v>
      </c>
      <c r="B51" s="4">
        <v>7.3673E-4</v>
      </c>
      <c r="C51" s="4">
        <v>1.82585E-4</v>
      </c>
      <c r="D51">
        <f t="shared" si="2"/>
        <v>93.840196665350476</v>
      </c>
      <c r="E51">
        <f t="shared" si="3"/>
        <v>105.11635136846711</v>
      </c>
      <c r="G51" s="4">
        <v>6.7165400000000004E-4</v>
      </c>
      <c r="H51" s="4">
        <v>1.58424E-4</v>
      </c>
      <c r="I51">
        <f t="shared" si="4"/>
        <v>97.002073909753165</v>
      </c>
      <c r="J51">
        <f t="shared" si="5"/>
        <v>102.60555307284278</v>
      </c>
      <c r="L51" s="4">
        <v>7.2908499999999998E-4</v>
      </c>
      <c r="M51" s="4">
        <v>1.9257599999999999E-4</v>
      </c>
      <c r="N51" s="3">
        <f t="shared" si="6"/>
        <v>96.154530935333398</v>
      </c>
      <c r="O51" s="3">
        <f t="shared" si="7"/>
        <v>118.8806785562161</v>
      </c>
      <c r="Q51">
        <f t="shared" si="0"/>
        <v>7.124896666666666E-4</v>
      </c>
      <c r="R51">
        <f t="shared" si="1"/>
        <v>1.7786166666666664E-4</v>
      </c>
      <c r="T51">
        <f t="shared" si="8"/>
        <v>95.665600503479013</v>
      </c>
      <c r="U51">
        <f t="shared" si="9"/>
        <v>108.86752766584199</v>
      </c>
      <c r="W51">
        <f t="shared" si="10"/>
        <v>1.3363274679915029</v>
      </c>
      <c r="X51">
        <f t="shared" si="11"/>
        <v>7.1541792021809298</v>
      </c>
    </row>
    <row r="52" spans="1:24" x14ac:dyDescent="0.35">
      <c r="A52" s="5">
        <v>324.435</v>
      </c>
      <c r="B52" s="4">
        <v>7.4009200000000003E-4</v>
      </c>
      <c r="C52" s="4">
        <v>1.8183199999999999E-4</v>
      </c>
      <c r="D52">
        <f t="shared" si="2"/>
        <v>94.268427823561623</v>
      </c>
      <c r="E52">
        <f t="shared" si="3"/>
        <v>104.6828403320706</v>
      </c>
      <c r="G52" s="4">
        <v>6.7470599999999996E-4</v>
      </c>
      <c r="H52" s="4">
        <v>1.5680699999999999E-4</v>
      </c>
      <c r="I52">
        <f t="shared" si="4"/>
        <v>97.442851943640491</v>
      </c>
      <c r="J52">
        <f t="shared" si="5"/>
        <v>101.55828006295296</v>
      </c>
      <c r="L52" s="4">
        <v>7.30849E-4</v>
      </c>
      <c r="M52" s="4">
        <v>1.89851E-4</v>
      </c>
      <c r="N52" s="3">
        <f t="shared" si="6"/>
        <v>96.387174032599049</v>
      </c>
      <c r="O52" s="3">
        <f t="shared" si="7"/>
        <v>117.19848633566062</v>
      </c>
      <c r="Q52">
        <f t="shared" si="0"/>
        <v>7.152156666666667E-4</v>
      </c>
      <c r="R52">
        <f t="shared" si="1"/>
        <v>1.7616333333333331E-4</v>
      </c>
      <c r="T52">
        <f t="shared" si="8"/>
        <v>96.032817933267054</v>
      </c>
      <c r="U52">
        <f t="shared" si="9"/>
        <v>107.81320224356141</v>
      </c>
      <c r="W52">
        <f t="shared" si="10"/>
        <v>1.319954117229071</v>
      </c>
      <c r="X52">
        <f t="shared" si="11"/>
        <v>6.7578787271300467</v>
      </c>
    </row>
    <row r="53" spans="1:24" x14ac:dyDescent="0.35">
      <c r="A53" s="5">
        <v>330.709</v>
      </c>
      <c r="B53" s="4">
        <v>7.4390299999999997E-4</v>
      </c>
      <c r="C53" s="4">
        <v>1.81559E-4</v>
      </c>
      <c r="D53">
        <f t="shared" si="2"/>
        <v>94.75384987708415</v>
      </c>
      <c r="E53">
        <f t="shared" si="3"/>
        <v>104.52567099218184</v>
      </c>
      <c r="G53" s="4">
        <v>6.8050300000000005E-4</v>
      </c>
      <c r="H53" s="4">
        <v>1.54582E-4</v>
      </c>
      <c r="I53">
        <f t="shared" si="4"/>
        <v>98.280070247193876</v>
      </c>
      <c r="J53">
        <f t="shared" si="5"/>
        <v>100.11722722003095</v>
      </c>
      <c r="L53" s="4">
        <v>7.3728699999999999E-4</v>
      </c>
      <c r="M53" s="4">
        <v>1.9136199999999999E-4</v>
      </c>
      <c r="N53" s="3">
        <f t="shared" si="6"/>
        <v>97.236242207313481</v>
      </c>
      <c r="O53" s="3">
        <f t="shared" si="7"/>
        <v>118.13125420548054</v>
      </c>
      <c r="Q53">
        <f t="shared" si="0"/>
        <v>7.2056433333333341E-4</v>
      </c>
      <c r="R53">
        <f t="shared" si="1"/>
        <v>1.758343333333333E-4</v>
      </c>
      <c r="T53">
        <f t="shared" si="8"/>
        <v>96.756720777197174</v>
      </c>
      <c r="U53">
        <f t="shared" si="9"/>
        <v>107.59138413923112</v>
      </c>
      <c r="W53">
        <f t="shared" si="10"/>
        <v>1.4789665594821695</v>
      </c>
      <c r="X53">
        <f t="shared" si="11"/>
        <v>7.6670394061471372</v>
      </c>
    </row>
    <row r="54" spans="1:24" x14ac:dyDescent="0.35">
      <c r="A54" s="5">
        <v>336.78800000000001</v>
      </c>
      <c r="B54" s="4">
        <v>7.4812700000000002E-4</v>
      </c>
      <c r="C54" s="4">
        <v>1.7909800000000001E-4</v>
      </c>
      <c r="D54">
        <f t="shared" si="2"/>
        <v>95.291877364378607</v>
      </c>
      <c r="E54">
        <f t="shared" si="3"/>
        <v>103.10884408571199</v>
      </c>
      <c r="G54" s="4">
        <v>6.84204E-4</v>
      </c>
      <c r="H54" s="4">
        <v>1.5609099999999999E-4</v>
      </c>
      <c r="I54">
        <f t="shared" si="4"/>
        <v>98.814578603490418</v>
      </c>
      <c r="J54">
        <f t="shared" si="5"/>
        <v>101.09455249642166</v>
      </c>
      <c r="L54" s="4">
        <v>7.4068400000000003E-4</v>
      </c>
      <c r="M54" s="4">
        <v>1.90316E-4</v>
      </c>
      <c r="N54" s="3">
        <f t="shared" si="6"/>
        <v>97.684251618544451</v>
      </c>
      <c r="O54" s="3">
        <f t="shared" si="7"/>
        <v>117.48553932008568</v>
      </c>
      <c r="Q54">
        <f t="shared" si="0"/>
        <v>7.2433833333333331E-4</v>
      </c>
      <c r="R54">
        <f t="shared" si="1"/>
        <v>1.7516833333333333E-4</v>
      </c>
      <c r="T54">
        <f t="shared" si="8"/>
        <v>97.263569195471163</v>
      </c>
      <c r="U54">
        <f t="shared" si="9"/>
        <v>107.22964530073978</v>
      </c>
      <c r="W54">
        <f t="shared" si="10"/>
        <v>1.4685789686682575</v>
      </c>
      <c r="X54">
        <f t="shared" si="11"/>
        <v>7.2984867953895183</v>
      </c>
    </row>
    <row r="55" spans="1:24" x14ac:dyDescent="0.35">
      <c r="A55" s="5">
        <v>343.13499999999999</v>
      </c>
      <c r="B55" s="4">
        <v>7.5372700000000004E-4</v>
      </c>
      <c r="C55" s="4">
        <v>1.79798E-4</v>
      </c>
      <c r="D55">
        <f t="shared" si="2"/>
        <v>96.005171381625047</v>
      </c>
      <c r="E55">
        <f t="shared" si="3"/>
        <v>103.5118423931191</v>
      </c>
      <c r="G55" s="4">
        <v>6.8934300000000003E-4</v>
      </c>
      <c r="H55" s="4">
        <v>1.57415E-4</v>
      </c>
      <c r="I55">
        <f t="shared" si="4"/>
        <v>99.556766780471747</v>
      </c>
      <c r="J55">
        <f t="shared" si="5"/>
        <v>101.95205989598513</v>
      </c>
      <c r="L55" s="4">
        <v>7.4732300000000004E-4</v>
      </c>
      <c r="M55" s="4">
        <v>1.8993600000000001E-4</v>
      </c>
      <c r="N55" s="3">
        <f t="shared" si="6"/>
        <v>98.55982844549834</v>
      </c>
      <c r="O55" s="3">
        <f t="shared" si="7"/>
        <v>117.25095838657704</v>
      </c>
      <c r="Q55">
        <f t="shared" si="0"/>
        <v>7.3013100000000007E-4</v>
      </c>
      <c r="R55">
        <f t="shared" si="1"/>
        <v>1.7571633333333332E-4</v>
      </c>
      <c r="T55">
        <f t="shared" si="8"/>
        <v>98.040588869198373</v>
      </c>
      <c r="U55">
        <f t="shared" si="9"/>
        <v>107.57162022522709</v>
      </c>
      <c r="W55">
        <f t="shared" si="10"/>
        <v>1.495697111154614</v>
      </c>
      <c r="X55">
        <f t="shared" si="11"/>
        <v>6.8738839477603175</v>
      </c>
    </row>
    <row r="56" spans="1:24" x14ac:dyDescent="0.35">
      <c r="A56" s="5">
        <v>349.267</v>
      </c>
      <c r="B56" s="4">
        <v>7.5924E-4</v>
      </c>
      <c r="C56" s="4">
        <v>1.79956E-4</v>
      </c>
      <c r="D56">
        <f t="shared" si="2"/>
        <v>96.707383866817821</v>
      </c>
      <c r="E56">
        <f t="shared" si="3"/>
        <v>103.60280486821955</v>
      </c>
      <c r="G56" s="4">
        <v>6.9329999999999999E-4</v>
      </c>
      <c r="H56" s="4">
        <v>1.594E-4</v>
      </c>
      <c r="I56">
        <f t="shared" si="4"/>
        <v>100.12824734406682</v>
      </c>
      <c r="J56">
        <f t="shared" si="5"/>
        <v>103.23767333113128</v>
      </c>
      <c r="L56" s="4">
        <v>7.51438E-4</v>
      </c>
      <c r="M56" s="4">
        <v>1.9204500000000001E-4</v>
      </c>
      <c r="N56" s="3">
        <f t="shared" si="6"/>
        <v>99.102530455276209</v>
      </c>
      <c r="O56" s="3">
        <f t="shared" si="7"/>
        <v>118.55288256755006</v>
      </c>
      <c r="Q56">
        <f t="shared" si="0"/>
        <v>7.346593333333334E-4</v>
      </c>
      <c r="R56">
        <f t="shared" si="1"/>
        <v>1.7713366666666664E-4</v>
      </c>
      <c r="T56">
        <f t="shared" si="8"/>
        <v>98.646053888720289</v>
      </c>
      <c r="U56">
        <f t="shared" si="9"/>
        <v>108.46445358896695</v>
      </c>
      <c r="W56">
        <f t="shared" si="10"/>
        <v>1.4333771018949257</v>
      </c>
      <c r="X56">
        <f t="shared" si="11"/>
        <v>7.1351538036111721</v>
      </c>
    </row>
    <row r="57" spans="1:24" x14ac:dyDescent="0.35">
      <c r="A57" s="5">
        <v>355.55900000000003</v>
      </c>
      <c r="B57" s="4">
        <v>7.6230000000000004E-4</v>
      </c>
      <c r="C57" s="4">
        <v>1.7961799999999999E-4</v>
      </c>
      <c r="D57">
        <f t="shared" si="2"/>
        <v>97.097148097670342</v>
      </c>
      <c r="E57">
        <f t="shared" si="3"/>
        <v>103.4082142569287</v>
      </c>
      <c r="G57" s="4">
        <v>6.9607899999999995E-4</v>
      </c>
      <c r="H57" s="4">
        <v>1.58973E-4</v>
      </c>
      <c r="I57">
        <f t="shared" si="4"/>
        <v>100.52959798501469</v>
      </c>
      <c r="J57">
        <f t="shared" si="5"/>
        <v>102.96112071813006</v>
      </c>
      <c r="L57" s="4">
        <v>7.5442499999999997E-4</v>
      </c>
      <c r="M57" s="4">
        <v>1.91633E-4</v>
      </c>
      <c r="N57" s="3">
        <f t="shared" si="6"/>
        <v>99.496467491292364</v>
      </c>
      <c r="O57" s="3">
        <f t="shared" si="7"/>
        <v>118.29854745016699</v>
      </c>
      <c r="Q57">
        <f t="shared" si="0"/>
        <v>7.3760133333333332E-4</v>
      </c>
      <c r="R57">
        <f t="shared" si="1"/>
        <v>1.767413333333333E-4</v>
      </c>
      <c r="T57">
        <f t="shared" si="8"/>
        <v>99.041071191325798</v>
      </c>
      <c r="U57">
        <f t="shared" si="9"/>
        <v>108.22262747507524</v>
      </c>
      <c r="W57">
        <f t="shared" si="10"/>
        <v>1.4378148698169235</v>
      </c>
      <c r="X57">
        <f t="shared" si="11"/>
        <v>7.1270889647152318</v>
      </c>
    </row>
    <row r="58" spans="1:24" x14ac:dyDescent="0.35">
      <c r="A58" s="5">
        <v>361.702</v>
      </c>
      <c r="B58" s="4">
        <v>7.6437200000000003E-4</v>
      </c>
      <c r="C58" s="4">
        <v>1.8196600000000001E-4</v>
      </c>
      <c r="D58">
        <f t="shared" si="2"/>
        <v>97.36106688405151</v>
      </c>
      <c r="E58">
        <f t="shared" si="3"/>
        <v>104.75998572234569</v>
      </c>
      <c r="G58" s="4">
        <v>6.9939299999999998E-4</v>
      </c>
      <c r="H58" s="4">
        <v>1.60006E-4</v>
      </c>
      <c r="I58">
        <f t="shared" si="4"/>
        <v>101.00821476230915</v>
      </c>
      <c r="J58">
        <f t="shared" si="5"/>
        <v>103.6301578357653</v>
      </c>
      <c r="L58" s="4">
        <v>7.5766500000000003E-4</v>
      </c>
      <c r="M58" s="4">
        <v>1.94952E-4</v>
      </c>
      <c r="N58" s="3">
        <f t="shared" si="6"/>
        <v>99.923771139331322</v>
      </c>
      <c r="O58" s="3">
        <f t="shared" si="7"/>
        <v>120.34742670889122</v>
      </c>
      <c r="Q58">
        <f t="shared" si="0"/>
        <v>7.4047666666666664E-4</v>
      </c>
      <c r="R58">
        <f t="shared" si="1"/>
        <v>1.7897466666666668E-4</v>
      </c>
      <c r="T58">
        <f t="shared" si="8"/>
        <v>99.431017595230671</v>
      </c>
      <c r="U58">
        <f t="shared" si="9"/>
        <v>109.57919008900073</v>
      </c>
      <c r="W58">
        <f t="shared" si="10"/>
        <v>1.52916675630611</v>
      </c>
      <c r="X58">
        <f t="shared" si="11"/>
        <v>7.6282508999895242</v>
      </c>
    </row>
    <row r="59" spans="1:24" x14ac:dyDescent="0.35">
      <c r="A59" s="5">
        <v>367.85</v>
      </c>
      <c r="B59" s="4">
        <v>7.6857100000000001E-4</v>
      </c>
      <c r="C59" s="4">
        <v>1.84248E-4</v>
      </c>
      <c r="D59">
        <f t="shared" si="2"/>
        <v>97.895910023054682</v>
      </c>
      <c r="E59">
        <f t="shared" si="3"/>
        <v>106.07376020449286</v>
      </c>
      <c r="G59" s="4">
        <v>7.0204000000000002E-4</v>
      </c>
      <c r="H59" s="4">
        <v>1.6134299999999999E-4</v>
      </c>
      <c r="I59">
        <f t="shared" si="4"/>
        <v>101.3905016088687</v>
      </c>
      <c r="J59">
        <f t="shared" si="5"/>
        <v>104.49608486991664</v>
      </c>
      <c r="L59" s="4">
        <v>7.6149900000000001E-4</v>
      </c>
      <c r="M59" s="4">
        <v>1.9576500000000001E-4</v>
      </c>
      <c r="N59" s="3">
        <f t="shared" si="6"/>
        <v>100.42941378951076</v>
      </c>
      <c r="O59" s="3">
        <f t="shared" si="7"/>
        <v>120.84930644295054</v>
      </c>
      <c r="Q59">
        <f t="shared" si="0"/>
        <v>7.4403666666666675E-4</v>
      </c>
      <c r="R59">
        <f t="shared" si="1"/>
        <v>1.80452E-4</v>
      </c>
      <c r="T59">
        <f t="shared" si="8"/>
        <v>99.905275140478054</v>
      </c>
      <c r="U59">
        <f t="shared" si="9"/>
        <v>110.47305050578667</v>
      </c>
      <c r="W59">
        <f t="shared" si="10"/>
        <v>1.4740157349833858</v>
      </c>
      <c r="X59">
        <f t="shared" si="11"/>
        <v>7.3653368477157324</v>
      </c>
    </row>
    <row r="60" spans="1:24" x14ac:dyDescent="0.35">
      <c r="A60" s="5">
        <v>374.05900000000003</v>
      </c>
      <c r="B60" s="4">
        <v>7.7011899999999999E-4</v>
      </c>
      <c r="C60" s="4">
        <v>1.85496E-4</v>
      </c>
      <c r="D60">
        <f t="shared" si="2"/>
        <v>98.09308486925066</v>
      </c>
      <c r="E60">
        <f t="shared" si="3"/>
        <v>106.79224861541297</v>
      </c>
      <c r="G60" s="4">
        <v>7.0271600000000004E-4</v>
      </c>
      <c r="H60" s="4">
        <v>1.6235300000000001E-4</v>
      </c>
      <c r="I60">
        <f t="shared" si="4"/>
        <v>101.48813134376644</v>
      </c>
      <c r="J60">
        <f t="shared" si="5"/>
        <v>105.15022571097339</v>
      </c>
      <c r="L60" s="4">
        <v>7.6344399999999995E-4</v>
      </c>
      <c r="M60" s="4">
        <v>1.96329E-4</v>
      </c>
      <c r="N60" s="3">
        <f t="shared" si="6"/>
        <v>100.6859278621761</v>
      </c>
      <c r="O60" s="3">
        <f t="shared" si="7"/>
        <v>121.19747393373706</v>
      </c>
      <c r="Q60">
        <f t="shared" si="0"/>
        <v>7.4542633333333325E-4</v>
      </c>
      <c r="R60">
        <f t="shared" si="1"/>
        <v>1.8139266666666667E-4</v>
      </c>
      <c r="T60">
        <f t="shared" si="8"/>
        <v>100.0890480250644</v>
      </c>
      <c r="U60">
        <f t="shared" si="9"/>
        <v>111.04664942004115</v>
      </c>
      <c r="W60">
        <f t="shared" si="10"/>
        <v>1.4488580091445296</v>
      </c>
      <c r="X60">
        <f t="shared" si="11"/>
        <v>7.2089522371175656</v>
      </c>
    </row>
    <row r="61" spans="1:24" x14ac:dyDescent="0.35">
      <c r="A61" s="5">
        <v>380.30599999999998</v>
      </c>
      <c r="B61" s="4">
        <v>7.7234700000000005E-4</v>
      </c>
      <c r="C61" s="4">
        <v>1.8504200000000001E-4</v>
      </c>
      <c r="D61">
        <f t="shared" si="2"/>
        <v>98.376873988969422</v>
      </c>
      <c r="E61">
        <f t="shared" si="3"/>
        <v>106.53087542746607</v>
      </c>
      <c r="G61" s="4">
        <v>7.0644399999999997E-4</v>
      </c>
      <c r="H61" s="4">
        <v>1.61094E-4</v>
      </c>
      <c r="I61">
        <f t="shared" si="4"/>
        <v>102.02653911255149</v>
      </c>
      <c r="J61">
        <f t="shared" si="5"/>
        <v>104.33481648434919</v>
      </c>
      <c r="L61" s="4">
        <v>7.6310500000000003E-4</v>
      </c>
      <c r="M61" s="4">
        <v>1.96138E-4</v>
      </c>
      <c r="N61" s="3">
        <f t="shared" si="6"/>
        <v>100.64121923974241</v>
      </c>
      <c r="O61" s="3">
        <f t="shared" si="7"/>
        <v>121.07956614873665</v>
      </c>
      <c r="Q61">
        <f t="shared" si="0"/>
        <v>7.4729866666666672E-4</v>
      </c>
      <c r="R61">
        <f t="shared" si="1"/>
        <v>1.8075800000000002E-4</v>
      </c>
      <c r="T61">
        <f t="shared" si="8"/>
        <v>100.3482107804211</v>
      </c>
      <c r="U61">
        <f t="shared" si="9"/>
        <v>110.6484193535173</v>
      </c>
      <c r="W61">
        <f t="shared" si="10"/>
        <v>1.50430589675066</v>
      </c>
      <c r="X61">
        <f t="shared" si="11"/>
        <v>7.4302214555589119</v>
      </c>
    </row>
    <row r="62" spans="1:24" x14ac:dyDescent="0.35">
      <c r="A62" s="5">
        <v>386.613</v>
      </c>
      <c r="B62" s="4">
        <v>7.7446800000000005E-4</v>
      </c>
      <c r="C62" s="4">
        <v>1.8465300000000001E-4</v>
      </c>
      <c r="D62">
        <f t="shared" si="2"/>
        <v>98.647034098001512</v>
      </c>
      <c r="E62">
        <f t="shared" si="3"/>
        <v>106.30692351092125</v>
      </c>
      <c r="G62" s="4">
        <v>7.10336E-4</v>
      </c>
      <c r="H62" s="4">
        <v>1.6194000000000001E-4</v>
      </c>
      <c r="I62">
        <f t="shared" si="4"/>
        <v>102.58863220163718</v>
      </c>
      <c r="J62">
        <f t="shared" si="5"/>
        <v>104.88274039675909</v>
      </c>
      <c r="L62" s="4">
        <v>7.6628799999999995E-4</v>
      </c>
      <c r="M62" s="4">
        <v>1.9234699999999999E-4</v>
      </c>
      <c r="N62" s="3">
        <f t="shared" si="6"/>
        <v>101.06100550878807</v>
      </c>
      <c r="O62" s="3">
        <f t="shared" si="7"/>
        <v>118.73931267786482</v>
      </c>
      <c r="Q62">
        <f t="shared" si="0"/>
        <v>7.50364E-4</v>
      </c>
      <c r="R62">
        <f t="shared" si="1"/>
        <v>1.7964666666666666E-4</v>
      </c>
      <c r="T62">
        <f t="shared" si="8"/>
        <v>100.76555726947559</v>
      </c>
      <c r="U62">
        <f t="shared" si="9"/>
        <v>109.97632552851506</v>
      </c>
      <c r="W62">
        <f t="shared" si="10"/>
        <v>1.6226554674834111</v>
      </c>
      <c r="X62">
        <f t="shared" si="11"/>
        <v>6.2235859020566799</v>
      </c>
    </row>
    <row r="63" spans="1:24" x14ac:dyDescent="0.35">
      <c r="A63" s="5">
        <v>392.71100000000001</v>
      </c>
      <c r="B63" s="4">
        <v>7.7802199999999996E-4</v>
      </c>
      <c r="C63" s="4">
        <v>1.83554E-4</v>
      </c>
      <c r="D63">
        <f t="shared" si="2"/>
        <v>99.099721051089674</v>
      </c>
      <c r="E63">
        <f t="shared" si="3"/>
        <v>105.67421616829209</v>
      </c>
      <c r="G63" s="4">
        <v>7.1162899999999997E-4</v>
      </c>
      <c r="H63" s="4">
        <v>1.62325E-4</v>
      </c>
      <c r="I63">
        <f t="shared" si="4"/>
        <v>102.77537073303178</v>
      </c>
      <c r="J63">
        <f t="shared" si="5"/>
        <v>105.13209111339951</v>
      </c>
      <c r="L63" s="4">
        <v>7.7043200000000004E-4</v>
      </c>
      <c r="M63" s="4">
        <v>1.96033E-4</v>
      </c>
      <c r="N63" s="3">
        <f t="shared" si="6"/>
        <v>101.6075321499836</v>
      </c>
      <c r="O63" s="3">
        <f t="shared" si="7"/>
        <v>121.01474773289873</v>
      </c>
      <c r="Q63">
        <f t="shared" si="0"/>
        <v>7.5336100000000003E-4</v>
      </c>
      <c r="R63">
        <f t="shared" si="1"/>
        <v>1.8063733333333333E-4</v>
      </c>
      <c r="T63">
        <f t="shared" si="8"/>
        <v>101.16087464470168</v>
      </c>
      <c r="U63">
        <f t="shared" si="9"/>
        <v>110.60701833819678</v>
      </c>
      <c r="W63">
        <f t="shared" si="10"/>
        <v>1.5334552142919535</v>
      </c>
      <c r="X63">
        <f t="shared" si="11"/>
        <v>7.3627032290589591</v>
      </c>
    </row>
    <row r="64" spans="1:24" x14ac:dyDescent="0.35">
      <c r="A64" s="5">
        <v>399.05700000000002</v>
      </c>
      <c r="B64" s="4">
        <v>7.8150500000000005E-4</v>
      </c>
      <c r="C64" s="4">
        <v>1.8200599999999999E-4</v>
      </c>
      <c r="D64">
        <f t="shared" si="2"/>
        <v>99.543364455030641</v>
      </c>
      <c r="E64">
        <f t="shared" si="3"/>
        <v>104.78301419705467</v>
      </c>
      <c r="G64" s="4">
        <v>7.15762E-4</v>
      </c>
      <c r="H64" s="4">
        <v>1.6299399999999999E-4</v>
      </c>
      <c r="I64">
        <f t="shared" si="4"/>
        <v>103.37226968914462</v>
      </c>
      <c r="J64">
        <f t="shared" si="5"/>
        <v>105.56537846257473</v>
      </c>
      <c r="L64" s="4">
        <v>7.7074999999999995E-4</v>
      </c>
      <c r="M64" s="4">
        <v>1.9425000000000001E-4</v>
      </c>
      <c r="N64" s="3">
        <f t="shared" si="6"/>
        <v>101.64947121173553</v>
      </c>
      <c r="O64" s="3">
        <f t="shared" si="7"/>
        <v>119.91406930014629</v>
      </c>
      <c r="Q64">
        <f t="shared" si="0"/>
        <v>7.5600566666666656E-4</v>
      </c>
      <c r="R64">
        <f t="shared" si="1"/>
        <v>1.7975000000000001E-4</v>
      </c>
      <c r="T64">
        <f t="shared" si="8"/>
        <v>101.52170178530361</v>
      </c>
      <c r="U64">
        <f t="shared" si="9"/>
        <v>110.08748731992523</v>
      </c>
      <c r="W64">
        <f t="shared" si="10"/>
        <v>1.5657527673517313</v>
      </c>
      <c r="X64">
        <f t="shared" si="11"/>
        <v>6.9557797799860746</v>
      </c>
    </row>
    <row r="65" spans="1:24" x14ac:dyDescent="0.35">
      <c r="A65" s="5">
        <v>405.13299999999998</v>
      </c>
      <c r="B65" s="4">
        <v>7.8487299999999995E-4</v>
      </c>
      <c r="C65" s="4">
        <v>1.83986E-4</v>
      </c>
      <c r="D65">
        <f t="shared" si="2"/>
        <v>99.972359856831687</v>
      </c>
      <c r="E65">
        <f t="shared" si="3"/>
        <v>105.92292369514907</v>
      </c>
      <c r="G65" s="4">
        <v>7.1619700000000001E-4</v>
      </c>
      <c r="H65" s="4">
        <v>1.6491100000000001E-4</v>
      </c>
      <c r="I65">
        <f t="shared" si="4"/>
        <v>103.43509355701519</v>
      </c>
      <c r="J65">
        <f t="shared" si="5"/>
        <v>106.80695073218438</v>
      </c>
      <c r="L65" s="4">
        <v>7.7682900000000004E-4</v>
      </c>
      <c r="M65" s="4">
        <v>1.97123E-4</v>
      </c>
      <c r="N65" s="3">
        <f t="shared" si="6"/>
        <v>102.45119308717653</v>
      </c>
      <c r="O65" s="3">
        <f t="shared" si="7"/>
        <v>121.68762462112093</v>
      </c>
      <c r="Q65">
        <f t="shared" si="0"/>
        <v>7.592996666666666E-4</v>
      </c>
      <c r="R65">
        <f t="shared" si="1"/>
        <v>1.8200666666666669E-4</v>
      </c>
      <c r="T65">
        <f t="shared" si="8"/>
        <v>101.95288216700781</v>
      </c>
      <c r="U65">
        <f t="shared" si="9"/>
        <v>111.47249968281812</v>
      </c>
      <c r="W65">
        <f t="shared" si="10"/>
        <v>1.456906883198372</v>
      </c>
      <c r="X65">
        <f t="shared" si="11"/>
        <v>7.2321946452145172</v>
      </c>
    </row>
    <row r="66" spans="1:24" x14ac:dyDescent="0.35">
      <c r="A66" s="5">
        <v>411.40199999999999</v>
      </c>
      <c r="B66" s="4">
        <v>7.8669999999999999E-4</v>
      </c>
      <c r="C66" s="4">
        <v>1.8652999999999999E-4</v>
      </c>
      <c r="D66">
        <f t="shared" si="2"/>
        <v>100.20507202995834</v>
      </c>
      <c r="E66">
        <f t="shared" si="3"/>
        <v>107.38753468664004</v>
      </c>
      <c r="G66" s="4">
        <v>7.2016699999999996E-4</v>
      </c>
      <c r="H66" s="4">
        <v>1.66319E-4</v>
      </c>
      <c r="I66">
        <f t="shared" si="4"/>
        <v>104.00845161551216</v>
      </c>
      <c r="J66">
        <f t="shared" si="5"/>
        <v>107.71886192446939</v>
      </c>
      <c r="L66" s="4">
        <v>7.80903E-4</v>
      </c>
      <c r="M66" s="4">
        <v>1.9875900000000001E-4</v>
      </c>
      <c r="N66" s="3">
        <f t="shared" si="6"/>
        <v>102.98848785943294</v>
      </c>
      <c r="O66" s="3">
        <f t="shared" si="7"/>
        <v>122.69755727170029</v>
      </c>
      <c r="Q66">
        <f t="shared" si="0"/>
        <v>7.6258999999999995E-4</v>
      </c>
      <c r="R66">
        <f t="shared" si="1"/>
        <v>1.8386933333333337E-4</v>
      </c>
      <c r="T66">
        <f t="shared" si="8"/>
        <v>102.40067050163448</v>
      </c>
      <c r="U66">
        <f t="shared" si="9"/>
        <v>112.60131796093657</v>
      </c>
      <c r="W66">
        <f t="shared" si="10"/>
        <v>1.6073935428821289</v>
      </c>
      <c r="X66">
        <f t="shared" si="11"/>
        <v>7.1404005769886547</v>
      </c>
    </row>
    <row r="67" spans="1:24" x14ac:dyDescent="0.35">
      <c r="A67" s="5">
        <v>417.62299999999999</v>
      </c>
      <c r="B67" s="4">
        <v>7.9212E-4</v>
      </c>
      <c r="C67" s="4">
        <v>1.8715100000000001E-4</v>
      </c>
      <c r="D67">
        <f t="shared" si="2"/>
        <v>100.89543873950757</v>
      </c>
      <c r="E67">
        <f t="shared" si="3"/>
        <v>107.74505175649691</v>
      </c>
      <c r="G67" s="4">
        <v>7.2093600000000004E-4</v>
      </c>
      <c r="H67" s="4">
        <v>1.6706199999999999E-4</v>
      </c>
      <c r="I67">
        <f t="shared" si="4"/>
        <v>104.11951266009257</v>
      </c>
      <c r="J67">
        <f t="shared" si="5"/>
        <v>108.20007642437548</v>
      </c>
      <c r="L67" s="4">
        <v>7.8321E-4</v>
      </c>
      <c r="M67" s="4">
        <v>1.9918099999999999E-4</v>
      </c>
      <c r="N67" s="3">
        <f t="shared" si="6"/>
        <v>103.29274388289768</v>
      </c>
      <c r="O67" s="3">
        <f t="shared" si="7"/>
        <v>122.9580655715441</v>
      </c>
      <c r="Q67">
        <f t="shared" ref="Q67:R109" si="12">AVERAGE(B67,G67,L67)</f>
        <v>7.6542199999999998E-4</v>
      </c>
      <c r="R67">
        <f t="shared" si="12"/>
        <v>1.8446466666666668E-4</v>
      </c>
      <c r="T67">
        <f t="shared" si="8"/>
        <v>102.76923176083261</v>
      </c>
      <c r="U67">
        <f t="shared" si="9"/>
        <v>112.9677312508055</v>
      </c>
      <c r="W67">
        <f t="shared" si="10"/>
        <v>1.3672873065089846</v>
      </c>
      <c r="X67">
        <f t="shared" si="11"/>
        <v>7.0666751607900311</v>
      </c>
    </row>
    <row r="68" spans="1:24" x14ac:dyDescent="0.35">
      <c r="A68" s="5">
        <v>423.78100000000001</v>
      </c>
      <c r="B68" s="4">
        <v>7.9289200000000001E-4</v>
      </c>
      <c r="C68" s="4">
        <v>1.9001099999999999E-4</v>
      </c>
      <c r="D68">
        <f t="shared" ref="D68:D109" si="13">B68/$B$3*100</f>
        <v>100.99377141474226</v>
      </c>
      <c r="E68">
        <f t="shared" ref="E68:E109" si="14">C68/$C$3*100</f>
        <v>109.39158769818881</v>
      </c>
      <c r="G68" s="4">
        <v>7.2163999999999996E-4</v>
      </c>
      <c r="H68" s="4">
        <v>1.6788799999999999E-4</v>
      </c>
      <c r="I68">
        <f t="shared" ref="I68:I109" si="15">G68/$G$3*100</f>
        <v>104.22118623016354</v>
      </c>
      <c r="J68">
        <f t="shared" ref="J68:J109" si="16">H68/$H$3*100</f>
        <v>108.73504705280406</v>
      </c>
      <c r="L68" s="4">
        <v>7.8591900000000005E-4</v>
      </c>
      <c r="M68" s="4">
        <v>2.0075900000000001E-4</v>
      </c>
      <c r="N68" s="3">
        <f t="shared" ref="N68:N109" si="17">L68/$L$3*100</f>
        <v>103.65001721084137</v>
      </c>
      <c r="O68" s="3">
        <f t="shared" ref="O68:O109" si="18">M68/$M$3*100</f>
        <v>123.93219376385107</v>
      </c>
      <c r="Q68">
        <f t="shared" si="12"/>
        <v>7.6681699999999993E-4</v>
      </c>
      <c r="R68">
        <f t="shared" si="12"/>
        <v>1.8621933333333332E-4</v>
      </c>
      <c r="T68">
        <f t="shared" ref="T68:T109" si="19">AVERAGE(D68,I68,N68)</f>
        <v>102.95499161858238</v>
      </c>
      <c r="U68">
        <f t="shared" ref="U68:U109" si="20">AVERAGE(E68,J68,O68)</f>
        <v>114.01960950494799</v>
      </c>
      <c r="W68">
        <f t="shared" ref="W68:W109" si="21">_xlfn.STDEV.P(D68,I68,N68)</f>
        <v>1.4062591103400091</v>
      </c>
      <c r="X68">
        <f t="shared" ref="X68:X109" si="22">_xlfn.STDEV.P(E68,J68,O68)</f>
        <v>7.0143783959402777</v>
      </c>
    </row>
    <row r="69" spans="1:24" x14ac:dyDescent="0.35">
      <c r="A69" s="5">
        <v>429.93200000000002</v>
      </c>
      <c r="B69" s="4">
        <v>7.9353599999999996E-4</v>
      </c>
      <c r="C69" s="4">
        <v>1.9037899999999999E-4</v>
      </c>
      <c r="D69">
        <f t="shared" si="13"/>
        <v>101.0758002267256</v>
      </c>
      <c r="E69">
        <f t="shared" si="14"/>
        <v>109.60344966551141</v>
      </c>
      <c r="G69" s="4">
        <v>7.2502000000000005E-4</v>
      </c>
      <c r="H69" s="4">
        <v>1.6782200000000001E-4</v>
      </c>
      <c r="I69">
        <f t="shared" si="15"/>
        <v>104.70933490465215</v>
      </c>
      <c r="J69">
        <f t="shared" si="16"/>
        <v>108.69230121566571</v>
      </c>
      <c r="L69" s="4">
        <v>7.8517699999999997E-4</v>
      </c>
      <c r="M69" s="4">
        <v>2.0158099999999999E-4</v>
      </c>
      <c r="N69" s="3">
        <f t="shared" si="17"/>
        <v>103.55215940008678</v>
      </c>
      <c r="O69" s="3">
        <f t="shared" si="18"/>
        <v>124.43962936212505</v>
      </c>
      <c r="Q69">
        <f t="shared" si="12"/>
        <v>7.6791099999999992E-4</v>
      </c>
      <c r="R69">
        <f t="shared" si="12"/>
        <v>1.86594E-4</v>
      </c>
      <c r="T69">
        <f t="shared" si="19"/>
        <v>103.11243151048818</v>
      </c>
      <c r="U69">
        <f t="shared" si="20"/>
        <v>114.2451267477674</v>
      </c>
      <c r="W69">
        <f t="shared" si="21"/>
        <v>1.5156217704497439</v>
      </c>
      <c r="X69">
        <f t="shared" si="22"/>
        <v>7.2181927812079074</v>
      </c>
    </row>
    <row r="70" spans="1:24" x14ac:dyDescent="0.35">
      <c r="A70" s="5">
        <v>436.23500000000001</v>
      </c>
      <c r="B70" s="4">
        <v>7.9643300000000004E-4</v>
      </c>
      <c r="C70" s="4">
        <v>1.8909299999999999E-4</v>
      </c>
      <c r="D70">
        <f t="shared" si="13"/>
        <v>101.44480250671899</v>
      </c>
      <c r="E70">
        <f t="shared" si="14"/>
        <v>108.86308420361776</v>
      </c>
      <c r="G70" s="4">
        <v>7.2723700000000004E-4</v>
      </c>
      <c r="H70" s="4">
        <v>1.66572E-4</v>
      </c>
      <c r="I70">
        <f t="shared" si="15"/>
        <v>105.02951999676493</v>
      </c>
      <c r="J70">
        <f t="shared" si="16"/>
        <v>107.88272096683312</v>
      </c>
      <c r="L70" s="4">
        <v>7.8861100000000004E-4</v>
      </c>
      <c r="M70" s="4">
        <v>2.0287199999999999E-4</v>
      </c>
      <c r="N70" s="3">
        <f t="shared" si="17"/>
        <v>104.00504851347128</v>
      </c>
      <c r="O70" s="3">
        <f t="shared" si="18"/>
        <v>125.23658721780839</v>
      </c>
      <c r="Q70">
        <f t="shared" si="12"/>
        <v>7.7076033333333337E-4</v>
      </c>
      <c r="R70">
        <f t="shared" si="12"/>
        <v>1.8617899999999999E-4</v>
      </c>
      <c r="T70">
        <f t="shared" si="19"/>
        <v>103.49312367231839</v>
      </c>
      <c r="U70">
        <f t="shared" si="20"/>
        <v>113.99413079608642</v>
      </c>
      <c r="W70">
        <f t="shared" si="21"/>
        <v>1.507558766815273</v>
      </c>
      <c r="X70">
        <f t="shared" si="22"/>
        <v>7.959685831938673</v>
      </c>
    </row>
    <row r="71" spans="1:24" x14ac:dyDescent="0.35">
      <c r="A71" s="5">
        <v>449.41500000000002</v>
      </c>
      <c r="B71" s="4">
        <v>4.53307E-7</v>
      </c>
      <c r="C71" s="4">
        <v>2.0542399999999998E-5</v>
      </c>
      <c r="D71">
        <f t="shared" si="13"/>
        <v>5.7739494834987068E-2</v>
      </c>
      <c r="E71">
        <f t="shared" si="14"/>
        <v>11.826503471542562</v>
      </c>
      <c r="G71" s="4">
        <v>4.9053500000000002E-7</v>
      </c>
      <c r="H71" s="4">
        <v>1.88604E-5</v>
      </c>
      <c r="I71">
        <f t="shared" si="15"/>
        <v>7.0844381668717468E-2</v>
      </c>
      <c r="J71">
        <f t="shared" si="16"/>
        <v>12.215205860065673</v>
      </c>
      <c r="L71" s="4">
        <v>3.1944299999999998E-7</v>
      </c>
      <c r="M71" s="4">
        <v>1.9837500000000001E-5</v>
      </c>
      <c r="N71" s="3">
        <f t="shared" si="17"/>
        <v>4.2129370135959049E-2</v>
      </c>
      <c r="O71" s="3">
        <f t="shared" si="18"/>
        <v>12.246050706520734</v>
      </c>
      <c r="Q71">
        <f t="shared" si="12"/>
        <v>4.21095E-7</v>
      </c>
      <c r="R71">
        <f t="shared" si="12"/>
        <v>1.9746766666666669E-5</v>
      </c>
      <c r="T71">
        <f t="shared" si="19"/>
        <v>5.6904415546554531E-2</v>
      </c>
      <c r="U71">
        <f t="shared" si="20"/>
        <v>12.095920012709655</v>
      </c>
      <c r="W71">
        <f t="shared" si="21"/>
        <v>1.1737716697185719E-2</v>
      </c>
      <c r="X71">
        <f t="shared" si="22"/>
        <v>0.19092198341912595</v>
      </c>
    </row>
    <row r="72" spans="1:24" x14ac:dyDescent="0.35">
      <c r="A72" s="5">
        <v>455.67</v>
      </c>
      <c r="B72" s="4">
        <v>4.7394599999999997E-7</v>
      </c>
      <c r="C72" s="4">
        <v>2.0608300000000001E-5</v>
      </c>
      <c r="D72">
        <f t="shared" si="13"/>
        <v>6.036836541033512E-2</v>
      </c>
      <c r="E72">
        <f t="shared" si="14"/>
        <v>11.864442883625605</v>
      </c>
      <c r="G72" s="4">
        <v>4.8551599999999996E-7</v>
      </c>
      <c r="H72" s="4">
        <v>1.8865899999999998E-5</v>
      </c>
      <c r="I72">
        <f t="shared" si="15"/>
        <v>7.0119524213907311E-2</v>
      </c>
      <c r="J72">
        <f t="shared" si="16"/>
        <v>12.218768013160537</v>
      </c>
      <c r="L72" s="4">
        <v>3.3279400000000001E-7</v>
      </c>
      <c r="M72" s="4">
        <v>1.9891600000000001E-5</v>
      </c>
      <c r="N72" s="3">
        <f t="shared" si="17"/>
        <v>4.3890151310331908E-2</v>
      </c>
      <c r="O72" s="3">
        <f t="shared" si="18"/>
        <v>12.279447623633413</v>
      </c>
      <c r="Q72">
        <f t="shared" si="12"/>
        <v>4.3075199999999997E-7</v>
      </c>
      <c r="R72">
        <f t="shared" si="12"/>
        <v>1.9788599999999999E-5</v>
      </c>
      <c r="T72">
        <f t="shared" si="19"/>
        <v>5.8126013644858116E-2</v>
      </c>
      <c r="U72">
        <f t="shared" si="20"/>
        <v>12.120886173473187</v>
      </c>
      <c r="W72">
        <f t="shared" si="21"/>
        <v>1.0824851247901958E-2</v>
      </c>
      <c r="X72">
        <f t="shared" si="22"/>
        <v>0.18301707472741868</v>
      </c>
    </row>
    <row r="73" spans="1:24" x14ac:dyDescent="0.35">
      <c r="A73" s="5">
        <v>461.959</v>
      </c>
      <c r="B73" s="4">
        <v>4.6608400000000001E-7</v>
      </c>
      <c r="C73" s="4">
        <v>2.0531799999999999E-5</v>
      </c>
      <c r="D73">
        <f t="shared" si="13"/>
        <v>5.9366951559693799E-2</v>
      </c>
      <c r="E73">
        <f t="shared" si="14"/>
        <v>11.820400925744682</v>
      </c>
      <c r="G73" s="4">
        <v>4.7164200000000001E-7</v>
      </c>
      <c r="H73" s="4">
        <v>1.87942E-5</v>
      </c>
      <c r="I73">
        <f t="shared" si="15"/>
        <v>6.8115803885547915E-2</v>
      </c>
      <c r="J73">
        <f t="shared" si="16"/>
        <v>12.172330490087498</v>
      </c>
      <c r="L73" s="4">
        <v>3.2034599999999998E-7</v>
      </c>
      <c r="M73" s="4">
        <v>1.9805300000000002E-5</v>
      </c>
      <c r="N73" s="3">
        <f t="shared" si="17"/>
        <v>4.2248461245273608E-2</v>
      </c>
      <c r="O73" s="3">
        <f t="shared" si="18"/>
        <v>12.226173058997105</v>
      </c>
      <c r="Q73">
        <f t="shared" si="12"/>
        <v>4.1935733333333333E-7</v>
      </c>
      <c r="R73">
        <f t="shared" si="12"/>
        <v>1.971043333333333E-5</v>
      </c>
      <c r="T73">
        <f t="shared" si="19"/>
        <v>5.6577072230171777E-2</v>
      </c>
      <c r="U73">
        <f t="shared" si="20"/>
        <v>12.07296815827643</v>
      </c>
      <c r="W73">
        <f t="shared" si="21"/>
        <v>1.0742979841810146E-2</v>
      </c>
      <c r="X73">
        <f t="shared" si="22"/>
        <v>0.179939639450299</v>
      </c>
    </row>
    <row r="74" spans="1:24" x14ac:dyDescent="0.35">
      <c r="A74" s="5">
        <v>468.24799999999999</v>
      </c>
      <c r="B74" s="4">
        <v>4.5446299999999998E-7</v>
      </c>
      <c r="C74" s="4">
        <v>2.0460100000000001E-5</v>
      </c>
      <c r="D74">
        <f t="shared" si="13"/>
        <v>5.7886739099975798E-2</v>
      </c>
      <c r="E74">
        <f t="shared" si="14"/>
        <v>11.779122384828842</v>
      </c>
      <c r="G74" s="4">
        <v>4.4111699999999999E-7</v>
      </c>
      <c r="H74" s="4">
        <v>1.8686300000000001E-5</v>
      </c>
      <c r="I74">
        <f t="shared" si="15"/>
        <v>6.3707301433250721E-2</v>
      </c>
      <c r="J74">
        <f t="shared" si="16"/>
        <v>12.102447523008271</v>
      </c>
      <c r="L74" s="4">
        <v>3.0693899999999999E-7</v>
      </c>
      <c r="M74" s="4">
        <v>1.9741999999999998E-5</v>
      </c>
      <c r="N74" s="3">
        <f t="shared" si="17"/>
        <v>4.0480294575749462E-2</v>
      </c>
      <c r="O74" s="3">
        <f t="shared" si="18"/>
        <v>12.187096814020531</v>
      </c>
      <c r="Q74">
        <f t="shared" si="12"/>
        <v>4.0083966666666669E-7</v>
      </c>
      <c r="R74">
        <f t="shared" si="12"/>
        <v>1.9629466666666666E-5</v>
      </c>
      <c r="T74">
        <f t="shared" si="19"/>
        <v>5.402477836965866E-2</v>
      </c>
      <c r="U74">
        <f t="shared" si="20"/>
        <v>12.02288890728588</v>
      </c>
      <c r="W74">
        <f t="shared" si="21"/>
        <v>9.8677764263785141E-3</v>
      </c>
      <c r="X74">
        <f t="shared" si="22"/>
        <v>0.17579905900453199</v>
      </c>
    </row>
    <row r="75" spans="1:24" x14ac:dyDescent="0.35">
      <c r="A75" s="5">
        <v>474.43900000000002</v>
      </c>
      <c r="B75" s="4">
        <v>4.4525100000000002E-7</v>
      </c>
      <c r="C75" s="4">
        <v>2.04195E-5</v>
      </c>
      <c r="D75">
        <f t="shared" si="13"/>
        <v>5.6713370441605418E-2</v>
      </c>
      <c r="E75">
        <f t="shared" si="14"/>
        <v>11.755748482999229</v>
      </c>
      <c r="G75" s="4">
        <v>4.1388100000000003E-7</v>
      </c>
      <c r="H75" s="4">
        <v>1.8592899999999999E-5</v>
      </c>
      <c r="I75">
        <f t="shared" si="15"/>
        <v>5.977380519112898E-2</v>
      </c>
      <c r="J75">
        <f t="shared" si="16"/>
        <v>12.041955686815498</v>
      </c>
      <c r="L75" s="4">
        <v>2.9210399999999998E-7</v>
      </c>
      <c r="M75" s="4">
        <v>1.9686599999999999E-5</v>
      </c>
      <c r="N75" s="3">
        <f t="shared" si="17"/>
        <v>3.8523797779867398E-2</v>
      </c>
      <c r="O75" s="3">
        <f t="shared" si="18"/>
        <v>12.152897383187954</v>
      </c>
      <c r="Q75">
        <f t="shared" si="12"/>
        <v>3.8374533333333334E-7</v>
      </c>
      <c r="R75">
        <f t="shared" si="12"/>
        <v>1.9566333333333333E-5</v>
      </c>
      <c r="T75">
        <f t="shared" si="19"/>
        <v>5.1670324470867258E-2</v>
      </c>
      <c r="U75">
        <f t="shared" si="20"/>
        <v>11.983533851000894</v>
      </c>
      <c r="W75">
        <f t="shared" si="21"/>
        <v>9.379585571580534E-3</v>
      </c>
      <c r="X75">
        <f t="shared" si="22"/>
        <v>0.16731536172796554</v>
      </c>
    </row>
    <row r="76" spans="1:24" x14ac:dyDescent="0.35">
      <c r="A76" s="5">
        <v>480.51799999999997</v>
      </c>
      <c r="B76" s="4">
        <v>4.4713800000000002E-7</v>
      </c>
      <c r="C76" s="4">
        <v>2.0398799999999999E-5</v>
      </c>
      <c r="D76">
        <f t="shared" si="13"/>
        <v>5.6953725050631142E-2</v>
      </c>
      <c r="E76">
        <f t="shared" si="14"/>
        <v>11.743831247337333</v>
      </c>
      <c r="G76" s="4">
        <v>3.96278E-7</v>
      </c>
      <c r="H76" s="4">
        <v>1.85265E-5</v>
      </c>
      <c r="I76">
        <f t="shared" si="15"/>
        <v>5.7231532671299747E-2</v>
      </c>
      <c r="J76">
        <f t="shared" si="16"/>
        <v>11.998950783997513</v>
      </c>
      <c r="L76" s="4">
        <v>2.8193799999999999E-7</v>
      </c>
      <c r="M76" s="4">
        <v>1.963E-5</v>
      </c>
      <c r="N76" s="3">
        <f t="shared" si="17"/>
        <v>3.7183066642224191E-2</v>
      </c>
      <c r="O76" s="3">
        <f t="shared" si="18"/>
        <v>12.117957170460087</v>
      </c>
      <c r="Q76">
        <f t="shared" si="12"/>
        <v>3.7511800000000004E-7</v>
      </c>
      <c r="R76">
        <f t="shared" si="12"/>
        <v>1.9518433333333333E-5</v>
      </c>
      <c r="T76">
        <f t="shared" si="19"/>
        <v>5.0456108121385033E-2</v>
      </c>
      <c r="U76">
        <f t="shared" si="20"/>
        <v>11.953579733931646</v>
      </c>
      <c r="W76">
        <f t="shared" si="21"/>
        <v>9.3861428659191715E-3</v>
      </c>
      <c r="X76">
        <f t="shared" si="22"/>
        <v>0.15606932375533841</v>
      </c>
    </row>
    <row r="77" spans="1:24" x14ac:dyDescent="0.35">
      <c r="A77" s="5">
        <v>486.79199999999997</v>
      </c>
      <c r="B77" s="4">
        <v>4.3782500000000002E-7</v>
      </c>
      <c r="C77" s="4">
        <v>2.03456E-5</v>
      </c>
      <c r="D77">
        <f t="shared" si="13"/>
        <v>5.5767491625163999E-2</v>
      </c>
      <c r="E77">
        <f t="shared" si="14"/>
        <v>11.713203375974393</v>
      </c>
      <c r="G77" s="4">
        <v>3.8068899999999998E-7</v>
      </c>
      <c r="H77" s="4">
        <v>1.8461499999999999E-5</v>
      </c>
      <c r="I77">
        <f t="shared" si="15"/>
        <v>5.4980127438577032E-2</v>
      </c>
      <c r="J77">
        <f t="shared" si="16"/>
        <v>11.956852611058217</v>
      </c>
      <c r="L77" s="4">
        <v>2.6631899999999999E-7</v>
      </c>
      <c r="M77" s="4">
        <v>1.95867E-5</v>
      </c>
      <c r="N77" s="3">
        <f t="shared" si="17"/>
        <v>3.5123172914224066E-2</v>
      </c>
      <c r="O77" s="3">
        <f t="shared" si="18"/>
        <v>12.091227290405023</v>
      </c>
      <c r="Q77">
        <f t="shared" si="12"/>
        <v>3.6161099999999999E-7</v>
      </c>
      <c r="R77">
        <f t="shared" si="12"/>
        <v>1.94646E-5</v>
      </c>
      <c r="T77">
        <f t="shared" si="19"/>
        <v>4.8623597325988366E-2</v>
      </c>
      <c r="U77">
        <f t="shared" si="20"/>
        <v>11.920427759145879</v>
      </c>
      <c r="W77">
        <f t="shared" si="21"/>
        <v>9.551651866349313E-3</v>
      </c>
      <c r="X77">
        <f t="shared" si="22"/>
        <v>0.15646213034467454</v>
      </c>
    </row>
    <row r="78" spans="1:24" x14ac:dyDescent="0.35">
      <c r="A78" s="5">
        <v>493.08600000000001</v>
      </c>
      <c r="B78" s="4">
        <v>4.2826899999999998E-7</v>
      </c>
      <c r="C78" s="4">
        <v>2.02912E-5</v>
      </c>
      <c r="D78">
        <f t="shared" si="13"/>
        <v>5.4550306334305618E-2</v>
      </c>
      <c r="E78">
        <f t="shared" si="14"/>
        <v>11.681884650370183</v>
      </c>
      <c r="G78" s="4">
        <v>3.66584E-7</v>
      </c>
      <c r="H78" s="4">
        <v>1.8416399999999999E-5</v>
      </c>
      <c r="I78">
        <f t="shared" si="15"/>
        <v>5.2943045470038065E-2</v>
      </c>
      <c r="J78">
        <f t="shared" si="16"/>
        <v>11.927642955680339</v>
      </c>
      <c r="L78" s="4">
        <v>2.4928000000000002E-7</v>
      </c>
      <c r="M78" s="4">
        <v>1.9542500000000001E-5</v>
      </c>
      <c r="N78" s="3">
        <f t="shared" si="17"/>
        <v>3.2876004130601932E-2</v>
      </c>
      <c r="O78" s="3">
        <f t="shared" si="18"/>
        <v>12.063941823928491</v>
      </c>
      <c r="Q78">
        <f t="shared" si="12"/>
        <v>3.4804433333333333E-7</v>
      </c>
      <c r="R78">
        <f t="shared" si="12"/>
        <v>1.94167E-5</v>
      </c>
      <c r="T78">
        <f t="shared" si="19"/>
        <v>4.6789785311648541E-2</v>
      </c>
      <c r="U78">
        <f t="shared" si="20"/>
        <v>11.891156476659669</v>
      </c>
      <c r="W78">
        <f t="shared" si="21"/>
        <v>9.8603854534862773E-3</v>
      </c>
      <c r="X78">
        <f t="shared" si="22"/>
        <v>0.15809357636188162</v>
      </c>
    </row>
    <row r="79" spans="1:24" x14ac:dyDescent="0.35">
      <c r="A79" s="5">
        <v>499.2</v>
      </c>
      <c r="B79" s="4">
        <v>4.1592199999999998E-7</v>
      </c>
      <c r="C79" s="4">
        <v>2.0241199999999999E-5</v>
      </c>
      <c r="D79">
        <f t="shared" si="13"/>
        <v>5.297762040020889E-2</v>
      </c>
      <c r="E79">
        <f t="shared" si="14"/>
        <v>11.65309905698396</v>
      </c>
      <c r="G79" s="4">
        <v>3.5836500000000002E-7</v>
      </c>
      <c r="H79" s="4">
        <v>1.8387199999999999E-5</v>
      </c>
      <c r="I79">
        <f t="shared" si="15"/>
        <v>5.1756035423996115E-2</v>
      </c>
      <c r="J79">
        <f t="shared" si="16"/>
        <v>11.90873116106761</v>
      </c>
      <c r="L79" s="4">
        <v>2.31823E-7</v>
      </c>
      <c r="M79" s="4">
        <v>1.9488300000000001E-5</v>
      </c>
      <c r="N79" s="3">
        <f t="shared" si="17"/>
        <v>3.0573707901029087E-2</v>
      </c>
      <c r="O79" s="3">
        <f t="shared" si="18"/>
        <v>12.030483174991204</v>
      </c>
      <c r="Q79">
        <f t="shared" si="12"/>
        <v>3.3537000000000002E-7</v>
      </c>
      <c r="R79">
        <f t="shared" si="12"/>
        <v>1.9372233333333334E-5</v>
      </c>
      <c r="T79">
        <f t="shared" si="19"/>
        <v>4.5102454575078027E-2</v>
      </c>
      <c r="U79">
        <f t="shared" si="20"/>
        <v>11.864104464347591</v>
      </c>
      <c r="W79">
        <f t="shared" si="21"/>
        <v>1.0285472842883572E-2</v>
      </c>
      <c r="X79">
        <f t="shared" si="22"/>
        <v>0.15726485022859116</v>
      </c>
    </row>
    <row r="80" spans="1:24" x14ac:dyDescent="0.35">
      <c r="A80" s="5">
        <v>505.45100000000002</v>
      </c>
      <c r="B80" s="4">
        <v>4.0254800000000001E-7</v>
      </c>
      <c r="C80" s="4">
        <v>2.0191600000000002E-5</v>
      </c>
      <c r="D80">
        <f t="shared" si="13"/>
        <v>5.1274121438306439E-2</v>
      </c>
      <c r="E80">
        <f t="shared" si="14"/>
        <v>11.624543748344831</v>
      </c>
      <c r="G80" s="4">
        <v>3.51669E-7</v>
      </c>
      <c r="H80" s="4">
        <v>1.8365200000000002E-5</v>
      </c>
      <c r="I80">
        <f t="shared" si="15"/>
        <v>5.0788981126843553E-2</v>
      </c>
      <c r="J80">
        <f t="shared" si="16"/>
        <v>11.894482548688156</v>
      </c>
      <c r="L80" s="4">
        <v>2.2280899999999999E-7</v>
      </c>
      <c r="M80" s="4">
        <v>1.94463E-5</v>
      </c>
      <c r="N80" s="3">
        <f t="shared" si="17"/>
        <v>2.9384906949355284E-2</v>
      </c>
      <c r="O80" s="3">
        <f t="shared" si="18"/>
        <v>12.004555808656036</v>
      </c>
      <c r="Q80">
        <f t="shared" si="12"/>
        <v>3.2567533333333335E-7</v>
      </c>
      <c r="R80">
        <f t="shared" si="12"/>
        <v>1.9334366666666666E-5</v>
      </c>
      <c r="T80">
        <f t="shared" si="19"/>
        <v>4.3816003171501756E-2</v>
      </c>
      <c r="U80">
        <f t="shared" si="20"/>
        <v>11.841194035229675</v>
      </c>
      <c r="W80">
        <f t="shared" si="21"/>
        <v>1.020624788744909E-2</v>
      </c>
      <c r="X80">
        <f t="shared" si="22"/>
        <v>0.15964970142043891</v>
      </c>
    </row>
    <row r="81" spans="1:24" x14ac:dyDescent="0.35">
      <c r="A81" s="5">
        <v>518.71</v>
      </c>
      <c r="B81" s="4">
        <v>6.55139E-4</v>
      </c>
      <c r="C81" s="4">
        <v>1.72129E-4</v>
      </c>
      <c r="D81">
        <f t="shared" si="13"/>
        <v>83.447630208001627</v>
      </c>
      <c r="E81">
        <f t="shared" si="14"/>
        <v>99.096708079540363</v>
      </c>
      <c r="G81" s="4">
        <v>5.9209599999999996E-4</v>
      </c>
      <c r="H81" s="4">
        <v>1.5762299999999999E-4</v>
      </c>
      <c r="I81">
        <f t="shared" si="15"/>
        <v>85.512093955621793</v>
      </c>
      <c r="J81">
        <f t="shared" si="16"/>
        <v>102.08677404939085</v>
      </c>
      <c r="L81" s="4">
        <v>6.2749099999999999E-4</v>
      </c>
      <c r="M81" s="4">
        <v>1.77424E-4</v>
      </c>
      <c r="N81" s="3">
        <f t="shared" si="17"/>
        <v>82.755923892472467</v>
      </c>
      <c r="O81" s="3">
        <f t="shared" si="18"/>
        <v>109.52707249168164</v>
      </c>
      <c r="Q81">
        <f t="shared" si="12"/>
        <v>6.2490866666666661E-4</v>
      </c>
      <c r="R81">
        <f t="shared" si="12"/>
        <v>1.6905866666666667E-4</v>
      </c>
      <c r="T81">
        <f t="shared" si="19"/>
        <v>83.905216018698638</v>
      </c>
      <c r="U81">
        <f t="shared" si="20"/>
        <v>103.57018487353763</v>
      </c>
      <c r="W81">
        <f t="shared" si="21"/>
        <v>1.1707994234321453</v>
      </c>
      <c r="X81">
        <f t="shared" si="22"/>
        <v>4.385468899096395</v>
      </c>
    </row>
    <row r="82" spans="1:24" x14ac:dyDescent="0.35">
      <c r="A82" s="5">
        <v>524.85799999999995</v>
      </c>
      <c r="B82" s="4">
        <v>6.7531399999999999E-4</v>
      </c>
      <c r="C82" s="4">
        <v>1.79929E-4</v>
      </c>
      <c r="D82">
        <f t="shared" si="13"/>
        <v>86.01739927906354</v>
      </c>
      <c r="E82">
        <f t="shared" si="14"/>
        <v>103.587260647791</v>
      </c>
      <c r="G82" s="4">
        <v>6.1038200000000003E-4</v>
      </c>
      <c r="H82" s="4">
        <v>1.6259600000000001E-4</v>
      </c>
      <c r="I82">
        <f t="shared" si="15"/>
        <v>88.153007169142072</v>
      </c>
      <c r="J82">
        <f t="shared" si="16"/>
        <v>105.30760811134643</v>
      </c>
      <c r="L82" s="4">
        <v>6.4931400000000001E-4</v>
      </c>
      <c r="M82" s="4">
        <v>1.7377199999999999E-4</v>
      </c>
      <c r="N82" s="3">
        <f t="shared" si="17"/>
        <v>85.634024976161996</v>
      </c>
      <c r="O82" s="3">
        <f t="shared" si="18"/>
        <v>107.27262625701428</v>
      </c>
      <c r="Q82">
        <f t="shared" si="12"/>
        <v>6.4500333333333338E-4</v>
      </c>
      <c r="R82">
        <f t="shared" si="12"/>
        <v>1.7209899999999999E-4</v>
      </c>
      <c r="T82">
        <f t="shared" si="19"/>
        <v>86.60147714145586</v>
      </c>
      <c r="U82">
        <f t="shared" si="20"/>
        <v>105.3891650053839</v>
      </c>
      <c r="W82">
        <f t="shared" si="21"/>
        <v>1.1082051657643761</v>
      </c>
      <c r="X82">
        <f t="shared" si="22"/>
        <v>1.5056490435767127</v>
      </c>
    </row>
    <row r="83" spans="1:24" x14ac:dyDescent="0.35">
      <c r="A83" s="5">
        <v>531.15700000000004</v>
      </c>
      <c r="B83" s="4">
        <v>6.8971600000000005E-4</v>
      </c>
      <c r="C83" s="4">
        <v>1.76699E-4</v>
      </c>
      <c r="D83">
        <f t="shared" si="13"/>
        <v>87.851838642703399</v>
      </c>
      <c r="E83">
        <f t="shared" si="14"/>
        <v>101.72771131504106</v>
      </c>
      <c r="G83" s="4">
        <v>6.2334200000000004E-4</v>
      </c>
      <c r="H83" s="4">
        <v>1.5952100000000001E-4</v>
      </c>
      <c r="I83">
        <f t="shared" si="15"/>
        <v>90.024725163630904</v>
      </c>
      <c r="J83">
        <f t="shared" si="16"/>
        <v>103.31604069921826</v>
      </c>
      <c r="L83" s="4">
        <v>6.6525999999999998E-4</v>
      </c>
      <c r="M83" s="4">
        <v>1.7303899999999999E-4</v>
      </c>
      <c r="N83" s="3">
        <f t="shared" si="17"/>
        <v>87.73704472049198</v>
      </c>
      <c r="O83" s="3">
        <f t="shared" si="18"/>
        <v>106.820131982641</v>
      </c>
      <c r="Q83">
        <f t="shared" si="12"/>
        <v>6.5943933333333343E-4</v>
      </c>
      <c r="R83">
        <f t="shared" si="12"/>
        <v>1.69753E-4</v>
      </c>
      <c r="T83">
        <f t="shared" si="19"/>
        <v>88.537869508942094</v>
      </c>
      <c r="U83">
        <f t="shared" si="20"/>
        <v>103.95462799896677</v>
      </c>
      <c r="W83">
        <f t="shared" si="21"/>
        <v>1.0524096840281159</v>
      </c>
      <c r="X83">
        <f t="shared" si="22"/>
        <v>2.1274448474637087</v>
      </c>
    </row>
    <row r="84" spans="1:24" x14ac:dyDescent="0.35">
      <c r="A84" s="5">
        <v>537.36500000000001</v>
      </c>
      <c r="B84" s="4">
        <v>7.0347200000000002E-4</v>
      </c>
      <c r="C84" s="4">
        <v>1.7453E-4</v>
      </c>
      <c r="D84">
        <f t="shared" si="13"/>
        <v>89.603994446496586</v>
      </c>
      <c r="E84">
        <f t="shared" si="14"/>
        <v>100.47899227394674</v>
      </c>
      <c r="G84" s="4">
        <v>6.34977E-4</v>
      </c>
      <c r="H84" s="4">
        <v>1.55181E-4</v>
      </c>
      <c r="I84">
        <f t="shared" si="15"/>
        <v>91.705083100812814</v>
      </c>
      <c r="J84">
        <f t="shared" si="16"/>
        <v>100.50517807527153</v>
      </c>
      <c r="L84" s="4">
        <v>6.7702300000000001E-4</v>
      </c>
      <c r="M84" s="4">
        <v>1.72936E-4</v>
      </c>
      <c r="N84" s="3">
        <f t="shared" si="17"/>
        <v>89.288394353788959</v>
      </c>
      <c r="O84" s="3">
        <f t="shared" si="18"/>
        <v>106.75654820329525</v>
      </c>
      <c r="Q84">
        <f t="shared" si="12"/>
        <v>6.7182400000000001E-4</v>
      </c>
      <c r="R84">
        <f t="shared" si="12"/>
        <v>1.6754899999999999E-4</v>
      </c>
      <c r="T84">
        <f t="shared" si="19"/>
        <v>90.199157300366139</v>
      </c>
      <c r="U84">
        <f t="shared" si="20"/>
        <v>102.58023951750452</v>
      </c>
      <c r="W84">
        <f t="shared" si="21"/>
        <v>1.0726168132088703</v>
      </c>
      <c r="X84">
        <f t="shared" si="22"/>
        <v>2.9531155416278767</v>
      </c>
    </row>
    <row r="85" spans="1:24" x14ac:dyDescent="0.35">
      <c r="A85" s="5">
        <v>543.48299999999995</v>
      </c>
      <c r="B85" s="4">
        <v>7.1615199999999996E-4</v>
      </c>
      <c r="C85" s="4">
        <v>1.7053899999999999E-4</v>
      </c>
      <c r="D85">
        <f t="shared" si="13"/>
        <v>91.219095899833135</v>
      </c>
      <c r="E85">
        <f t="shared" si="14"/>
        <v>98.181326209858483</v>
      </c>
      <c r="G85" s="4">
        <v>6.4529599999999996E-4</v>
      </c>
      <c r="H85" s="4">
        <v>1.5550000000000001E-4</v>
      </c>
      <c r="I85">
        <f t="shared" si="15"/>
        <v>93.195380784850641</v>
      </c>
      <c r="J85">
        <f t="shared" si="16"/>
        <v>100.71178295477361</v>
      </c>
      <c r="L85" s="4">
        <v>6.8729100000000003E-4</v>
      </c>
      <c r="M85" s="4">
        <v>1.7285600000000001E-4</v>
      </c>
      <c r="N85" s="3">
        <f t="shared" si="17"/>
        <v>90.642577643314866</v>
      </c>
      <c r="O85" s="3">
        <f t="shared" si="18"/>
        <v>106.70716274360923</v>
      </c>
      <c r="Q85">
        <f t="shared" si="12"/>
        <v>6.8291299999999994E-4</v>
      </c>
      <c r="R85">
        <f t="shared" si="12"/>
        <v>1.6629833333333332E-4</v>
      </c>
      <c r="T85">
        <f t="shared" si="19"/>
        <v>91.685684775999562</v>
      </c>
      <c r="U85">
        <f t="shared" si="20"/>
        <v>101.8667573027471</v>
      </c>
      <c r="W85">
        <f t="shared" si="21"/>
        <v>1.0931544125085617</v>
      </c>
      <c r="X85">
        <f t="shared" si="22"/>
        <v>3.5751873105631216</v>
      </c>
    </row>
    <row r="86" spans="1:24" x14ac:dyDescent="0.35">
      <c r="A86" s="5">
        <v>549.77599999999995</v>
      </c>
      <c r="B86" s="4">
        <v>7.2515299999999997E-4</v>
      </c>
      <c r="C86" s="4">
        <v>1.7278500000000001E-4</v>
      </c>
      <c r="D86">
        <f t="shared" si="13"/>
        <v>92.365588658625114</v>
      </c>
      <c r="E86">
        <f t="shared" si="14"/>
        <v>99.474375064767599</v>
      </c>
      <c r="G86" s="4">
        <v>6.5461100000000004E-4</v>
      </c>
      <c r="H86" s="4">
        <v>1.5618699999999999E-4</v>
      </c>
      <c r="I86">
        <f t="shared" si="15"/>
        <v>94.540678093389502</v>
      </c>
      <c r="J86">
        <f t="shared" si="16"/>
        <v>101.15672825953199</v>
      </c>
      <c r="L86" s="4">
        <v>6.9482699999999997E-4</v>
      </c>
      <c r="M86" s="4">
        <v>1.7571899999999999E-4</v>
      </c>
      <c r="N86" s="3">
        <f t="shared" si="17"/>
        <v>91.636454276531396</v>
      </c>
      <c r="O86" s="3">
        <f t="shared" si="18"/>
        <v>108.47454488212307</v>
      </c>
      <c r="Q86">
        <f t="shared" si="12"/>
        <v>6.9153033333333325E-4</v>
      </c>
      <c r="R86">
        <f t="shared" si="12"/>
        <v>1.682303333333333E-4</v>
      </c>
      <c r="T86">
        <f t="shared" si="19"/>
        <v>92.847573676181995</v>
      </c>
      <c r="U86">
        <f t="shared" si="20"/>
        <v>103.03521606880754</v>
      </c>
      <c r="W86">
        <f t="shared" si="21"/>
        <v>1.2336561277934392</v>
      </c>
      <c r="X86">
        <f t="shared" si="22"/>
        <v>3.9070279857803918</v>
      </c>
    </row>
    <row r="87" spans="1:24" x14ac:dyDescent="0.35">
      <c r="A87" s="5">
        <v>555.86800000000005</v>
      </c>
      <c r="B87" s="4">
        <v>7.3241400000000003E-4</v>
      </c>
      <c r="C87" s="4">
        <v>1.7327E-4</v>
      </c>
      <c r="D87">
        <f t="shared" si="13"/>
        <v>93.290450776344116</v>
      </c>
      <c r="E87">
        <f t="shared" si="14"/>
        <v>99.75359532061394</v>
      </c>
      <c r="G87" s="4">
        <v>6.6023199999999996E-4</v>
      </c>
      <c r="H87" s="4">
        <v>1.58319E-4</v>
      </c>
      <c r="I87">
        <f t="shared" si="15"/>
        <v>95.352478004425095</v>
      </c>
      <c r="J87">
        <f t="shared" si="16"/>
        <v>102.53754833194087</v>
      </c>
      <c r="L87" s="4">
        <v>7.0173000000000002E-4</v>
      </c>
      <c r="M87" s="4">
        <v>1.7446900000000001E-4</v>
      </c>
      <c r="N87" s="3">
        <f t="shared" si="17"/>
        <v>92.546848437769953</v>
      </c>
      <c r="O87" s="3">
        <f t="shared" si="18"/>
        <v>107.70289707452885</v>
      </c>
      <c r="Q87">
        <f t="shared" si="12"/>
        <v>6.9812533333333344E-4</v>
      </c>
      <c r="R87">
        <f t="shared" si="12"/>
        <v>1.68686E-4</v>
      </c>
      <c r="T87">
        <f t="shared" si="19"/>
        <v>93.729925739513064</v>
      </c>
      <c r="U87">
        <f t="shared" si="20"/>
        <v>103.33134690902789</v>
      </c>
      <c r="W87">
        <f t="shared" si="21"/>
        <v>1.1868004602744964</v>
      </c>
      <c r="X87">
        <f t="shared" si="22"/>
        <v>3.2934720007349583</v>
      </c>
    </row>
    <row r="88" spans="1:24" x14ac:dyDescent="0.35">
      <c r="A88" s="5">
        <v>562.19299999999998</v>
      </c>
      <c r="B88" s="4">
        <v>7.3719900000000001E-4</v>
      </c>
      <c r="C88" s="4">
        <v>1.74661E-4</v>
      </c>
      <c r="D88">
        <f t="shared" si="13"/>
        <v>93.89993503929486</v>
      </c>
      <c r="E88">
        <f t="shared" si="14"/>
        <v>100.55441052861865</v>
      </c>
      <c r="G88" s="4">
        <v>6.6656500000000004E-4</v>
      </c>
      <c r="H88" s="4">
        <v>1.6113E-4</v>
      </c>
      <c r="I88">
        <f t="shared" si="15"/>
        <v>96.267106867009815</v>
      </c>
      <c r="J88">
        <f t="shared" si="16"/>
        <v>104.35813239551557</v>
      </c>
      <c r="L88" s="4">
        <v>7.0716400000000003E-4</v>
      </c>
      <c r="M88" s="4">
        <v>1.7191900000000001E-4</v>
      </c>
      <c r="N88" s="3">
        <f t="shared" si="17"/>
        <v>93.263505235129102</v>
      </c>
      <c r="O88" s="3">
        <f t="shared" si="18"/>
        <v>106.12873554703657</v>
      </c>
      <c r="Q88">
        <f t="shared" si="12"/>
        <v>7.0364266666666673E-4</v>
      </c>
      <c r="R88">
        <f t="shared" si="12"/>
        <v>1.6923666666666666E-4</v>
      </c>
      <c r="T88">
        <f t="shared" si="19"/>
        <v>94.476849047144597</v>
      </c>
      <c r="U88">
        <f t="shared" si="20"/>
        <v>103.68042615705694</v>
      </c>
      <c r="W88">
        <f t="shared" si="21"/>
        <v>1.2922920258463386</v>
      </c>
      <c r="X88">
        <f t="shared" si="22"/>
        <v>2.3256166439569403</v>
      </c>
    </row>
    <row r="89" spans="1:24" x14ac:dyDescent="0.35">
      <c r="A89" s="5">
        <v>568.33199999999999</v>
      </c>
      <c r="B89" s="4">
        <v>7.4254500000000005E-4</v>
      </c>
      <c r="C89" s="4">
        <v>1.7474299999999999E-4</v>
      </c>
      <c r="D89">
        <f t="shared" si="13"/>
        <v>94.580876077901905</v>
      </c>
      <c r="E89">
        <f t="shared" si="14"/>
        <v>100.60161890177204</v>
      </c>
      <c r="G89" s="4">
        <v>6.70322E-4</v>
      </c>
      <c r="H89" s="4">
        <v>1.6050600000000001E-4</v>
      </c>
      <c r="I89">
        <f t="shared" si="15"/>
        <v>96.809702893652911</v>
      </c>
      <c r="J89">
        <f t="shared" si="16"/>
        <v>103.95398993529837</v>
      </c>
      <c r="L89" s="4">
        <v>7.1121699999999999E-4</v>
      </c>
      <c r="M89" s="4">
        <v>1.7169599999999999E-4</v>
      </c>
      <c r="N89" s="3">
        <f t="shared" si="17"/>
        <v>93.798030446703763</v>
      </c>
      <c r="O89" s="3">
        <f t="shared" si="18"/>
        <v>105.99107357816176</v>
      </c>
      <c r="Q89">
        <f t="shared" si="12"/>
        <v>7.0802799999999998E-4</v>
      </c>
      <c r="R89">
        <f t="shared" si="12"/>
        <v>1.6898166666666666E-4</v>
      </c>
      <c r="T89">
        <f t="shared" si="19"/>
        <v>95.062869806086198</v>
      </c>
      <c r="U89">
        <f t="shared" si="20"/>
        <v>103.51556080507738</v>
      </c>
      <c r="W89">
        <f t="shared" si="21"/>
        <v>1.2758738697940613</v>
      </c>
      <c r="X89">
        <f t="shared" si="22"/>
        <v>2.2219691722860739</v>
      </c>
    </row>
    <row r="90" spans="1:24" x14ac:dyDescent="0.35">
      <c r="A90" s="5">
        <v>574.577</v>
      </c>
      <c r="B90" s="4">
        <v>7.4600100000000004E-4</v>
      </c>
      <c r="C90" s="4">
        <v>1.75899E-4</v>
      </c>
      <c r="D90">
        <f t="shared" si="13"/>
        <v>95.021080385688279</v>
      </c>
      <c r="E90">
        <f t="shared" si="14"/>
        <v>101.2671418208615</v>
      </c>
      <c r="G90" s="4">
        <v>6.7247400000000005E-4</v>
      </c>
      <c r="H90" s="4">
        <v>1.6178699999999999E-4</v>
      </c>
      <c r="I90">
        <f t="shared" si="15"/>
        <v>97.12050051125631</v>
      </c>
      <c r="J90">
        <f t="shared" si="16"/>
        <v>104.78364777430198</v>
      </c>
      <c r="L90" s="4">
        <v>7.1644500000000002E-4</v>
      </c>
      <c r="M90" s="4">
        <v>1.6986099999999999E-4</v>
      </c>
      <c r="N90" s="3">
        <f t="shared" si="17"/>
        <v>94.487519172613531</v>
      </c>
      <c r="O90" s="3">
        <f t="shared" si="18"/>
        <v>104.85829459661338</v>
      </c>
      <c r="Q90">
        <f t="shared" si="12"/>
        <v>7.1164000000000004E-4</v>
      </c>
      <c r="R90">
        <f t="shared" si="12"/>
        <v>1.6918233333333333E-4</v>
      </c>
      <c r="T90">
        <f t="shared" si="19"/>
        <v>95.543033356519388</v>
      </c>
      <c r="U90">
        <f t="shared" si="20"/>
        <v>103.63636139725895</v>
      </c>
      <c r="W90">
        <f t="shared" si="21"/>
        <v>1.1365074747458648</v>
      </c>
      <c r="X90">
        <f t="shared" si="22"/>
        <v>1.6755683787716136</v>
      </c>
    </row>
    <row r="91" spans="1:24" x14ac:dyDescent="0.35">
      <c r="A91" s="5">
        <v>580.88099999999997</v>
      </c>
      <c r="B91" s="4">
        <v>7.5003799999999996E-4</v>
      </c>
      <c r="C91" s="4">
        <v>1.7318600000000001E-4</v>
      </c>
      <c r="D91">
        <f t="shared" si="13"/>
        <v>95.535288947763945</v>
      </c>
      <c r="E91">
        <f t="shared" si="14"/>
        <v>99.705235523725094</v>
      </c>
      <c r="G91" s="4">
        <v>6.7486599999999999E-4</v>
      </c>
      <c r="H91" s="4">
        <v>1.6019799999999999E-4</v>
      </c>
      <c r="I91">
        <f t="shared" si="15"/>
        <v>97.46595957320207</v>
      </c>
      <c r="J91">
        <f t="shared" si="16"/>
        <v>103.75450936198598</v>
      </c>
      <c r="L91" s="4">
        <v>7.2019300000000005E-4</v>
      </c>
      <c r="M91" s="4">
        <v>1.72516E-4</v>
      </c>
      <c r="N91" s="3">
        <f t="shared" si="17"/>
        <v>94.981819812382057</v>
      </c>
      <c r="O91" s="3">
        <f t="shared" si="18"/>
        <v>106.49727453994358</v>
      </c>
      <c r="Q91">
        <f t="shared" si="12"/>
        <v>7.1503233333333326E-4</v>
      </c>
      <c r="R91">
        <f t="shared" si="12"/>
        <v>1.6863333333333333E-4</v>
      </c>
      <c r="T91">
        <f t="shared" si="19"/>
        <v>95.994356111116019</v>
      </c>
      <c r="U91">
        <f t="shared" si="20"/>
        <v>103.31900647521822</v>
      </c>
      <c r="W91">
        <f t="shared" si="21"/>
        <v>1.0648300594219475</v>
      </c>
      <c r="X91">
        <f t="shared" si="22"/>
        <v>2.7898859681291421</v>
      </c>
    </row>
    <row r="92" spans="1:24" x14ac:dyDescent="0.35">
      <c r="A92" s="5">
        <v>586.971</v>
      </c>
      <c r="B92" s="4">
        <v>7.5234100000000001E-4</v>
      </c>
      <c r="C92" s="4">
        <v>1.7407499999999999E-4</v>
      </c>
      <c r="D92">
        <f t="shared" si="13"/>
        <v>95.828631112356547</v>
      </c>
      <c r="E92">
        <f t="shared" si="14"/>
        <v>100.2170433741321</v>
      </c>
      <c r="G92" s="4">
        <v>6.78537E-4</v>
      </c>
      <c r="H92" s="4">
        <v>1.5843500000000001E-4</v>
      </c>
      <c r="I92">
        <f t="shared" si="15"/>
        <v>97.996135248955824</v>
      </c>
      <c r="J92">
        <f t="shared" si="16"/>
        <v>102.61267737903252</v>
      </c>
      <c r="L92" s="4">
        <v>7.2264400000000004E-4</v>
      </c>
      <c r="M92" s="4">
        <v>1.7139600000000001E-4</v>
      </c>
      <c r="N92" s="3">
        <f t="shared" si="17"/>
        <v>95.305067109093002</v>
      </c>
      <c r="O92" s="3">
        <f t="shared" si="18"/>
        <v>105.80587810433914</v>
      </c>
      <c r="Q92">
        <f t="shared" si="12"/>
        <v>7.1784066666666672E-4</v>
      </c>
      <c r="R92">
        <f t="shared" si="12"/>
        <v>1.6796866666666667E-4</v>
      </c>
      <c r="T92">
        <f t="shared" si="19"/>
        <v>96.376611156801786</v>
      </c>
      <c r="U92">
        <f t="shared" si="20"/>
        <v>102.87853295250125</v>
      </c>
      <c r="W92">
        <f t="shared" si="21"/>
        <v>1.1649530835127639</v>
      </c>
      <c r="X92">
        <f t="shared" si="22"/>
        <v>2.2893634923052875</v>
      </c>
    </row>
    <row r="93" spans="1:24" x14ac:dyDescent="0.35">
      <c r="A93" s="5">
        <v>593.14599999999996</v>
      </c>
      <c r="B93" s="4">
        <v>7.5779600000000003E-4</v>
      </c>
      <c r="C93" s="4">
        <v>1.73225E-4</v>
      </c>
      <c r="D93">
        <f t="shared" si="13"/>
        <v>96.523455909513572</v>
      </c>
      <c r="E93">
        <f t="shared" si="14"/>
        <v>99.727688286566334</v>
      </c>
      <c r="G93" s="4">
        <v>6.8232999999999998E-4</v>
      </c>
      <c r="H93" s="4">
        <v>1.59512E-4</v>
      </c>
      <c r="I93">
        <f t="shared" si="15"/>
        <v>98.543930492250269</v>
      </c>
      <c r="J93">
        <f t="shared" si="16"/>
        <v>103.31021172142667</v>
      </c>
      <c r="L93" s="4">
        <v>7.27916E-4</v>
      </c>
      <c r="M93" s="4">
        <v>1.7025100000000001E-4</v>
      </c>
      <c r="N93" s="3">
        <f t="shared" si="17"/>
        <v>96.000358724050201</v>
      </c>
      <c r="O93" s="3">
        <f t="shared" si="18"/>
        <v>105.0990487125828</v>
      </c>
      <c r="Q93">
        <f t="shared" si="12"/>
        <v>7.226806666666666E-4</v>
      </c>
      <c r="R93">
        <f t="shared" si="12"/>
        <v>1.6766266666666668E-4</v>
      </c>
      <c r="T93">
        <f t="shared" si="19"/>
        <v>97.022581708604676</v>
      </c>
      <c r="U93">
        <f t="shared" si="20"/>
        <v>102.71231624019192</v>
      </c>
      <c r="W93">
        <f t="shared" si="21"/>
        <v>1.0967479982459833</v>
      </c>
      <c r="X93">
        <f t="shared" si="22"/>
        <v>2.2332319571127748</v>
      </c>
    </row>
    <row r="94" spans="1:24" x14ac:dyDescent="0.35">
      <c r="A94" s="5">
        <v>599.44500000000005</v>
      </c>
      <c r="B94" s="4">
        <v>7.6144199999999998E-4</v>
      </c>
      <c r="C94" s="4">
        <v>1.7185200000000001E-4</v>
      </c>
      <c r="D94">
        <f t="shared" si="13"/>
        <v>96.987861264313651</v>
      </c>
      <c r="E94">
        <f t="shared" si="14"/>
        <v>98.937235892180695</v>
      </c>
      <c r="G94" s="4">
        <v>6.8730500000000003E-4</v>
      </c>
      <c r="H94" s="4">
        <v>1.6178699999999999E-4</v>
      </c>
      <c r="I94">
        <f t="shared" si="15"/>
        <v>99.262433348930983</v>
      </c>
      <c r="J94">
        <f t="shared" si="16"/>
        <v>104.78364777430198</v>
      </c>
      <c r="L94" s="4">
        <v>7.2977000000000003E-4</v>
      </c>
      <c r="M94" s="4">
        <v>1.73442E-4</v>
      </c>
      <c r="N94" s="3">
        <f t="shared" si="17"/>
        <v>96.244871367094717</v>
      </c>
      <c r="O94" s="3">
        <f t="shared" si="18"/>
        <v>107.0689112358094</v>
      </c>
      <c r="Q94">
        <f t="shared" si="12"/>
        <v>7.2617233333333335E-4</v>
      </c>
      <c r="R94">
        <f t="shared" si="12"/>
        <v>1.6902699999999998E-4</v>
      </c>
      <c r="T94">
        <f t="shared" si="19"/>
        <v>97.498388660113122</v>
      </c>
      <c r="U94">
        <f t="shared" si="20"/>
        <v>103.59659830076403</v>
      </c>
      <c r="W94">
        <f t="shared" si="21"/>
        <v>1.2837182310128763</v>
      </c>
      <c r="X94">
        <f t="shared" si="22"/>
        <v>3.4242128840571806</v>
      </c>
    </row>
    <row r="95" spans="1:24" x14ac:dyDescent="0.35">
      <c r="A95" s="5">
        <v>605.70299999999997</v>
      </c>
      <c r="B95" s="4">
        <v>7.6734199999999996E-4</v>
      </c>
      <c r="C95" s="4">
        <v>1.7205399999999999E-4</v>
      </c>
      <c r="D95">
        <f t="shared" si="13"/>
        <v>97.739367461055409</v>
      </c>
      <c r="E95">
        <f t="shared" si="14"/>
        <v>99.053529689461016</v>
      </c>
      <c r="G95" s="4">
        <v>6.9164300000000003E-4</v>
      </c>
      <c r="H95" s="4">
        <v>1.60684E-4</v>
      </c>
      <c r="I95">
        <f t="shared" si="15"/>
        <v>99.888938955419619</v>
      </c>
      <c r="J95">
        <f t="shared" si="16"/>
        <v>104.0692741627321</v>
      </c>
      <c r="L95" s="4">
        <v>7.3267600000000003E-4</v>
      </c>
      <c r="M95" s="4">
        <v>1.7382399999999999E-4</v>
      </c>
      <c r="N95" s="3">
        <f t="shared" si="17"/>
        <v>96.628125811909911</v>
      </c>
      <c r="O95" s="3">
        <f t="shared" si="18"/>
        <v>107.3047268058102</v>
      </c>
      <c r="Q95">
        <f t="shared" si="12"/>
        <v>7.3055366666666675E-4</v>
      </c>
      <c r="R95">
        <f t="shared" si="12"/>
        <v>1.6885399999999997E-4</v>
      </c>
      <c r="T95">
        <f t="shared" si="19"/>
        <v>98.085477409461646</v>
      </c>
      <c r="U95">
        <f t="shared" si="20"/>
        <v>103.47584355266777</v>
      </c>
      <c r="W95">
        <f t="shared" si="21"/>
        <v>1.3535311008643878</v>
      </c>
      <c r="X95">
        <f t="shared" si="22"/>
        <v>3.3945724698831894</v>
      </c>
    </row>
    <row r="96" spans="1:24" x14ac:dyDescent="0.35">
      <c r="A96" s="5">
        <v>611.80399999999997</v>
      </c>
      <c r="B96" s="4">
        <v>7.7110099999999995E-4</v>
      </c>
      <c r="C96" s="4">
        <v>1.7427100000000001E-4</v>
      </c>
      <c r="D96">
        <f t="shared" si="13"/>
        <v>98.218166070132085</v>
      </c>
      <c r="E96">
        <f t="shared" si="14"/>
        <v>100.32988290020613</v>
      </c>
      <c r="G96" s="4">
        <v>6.9335000000000002E-4</v>
      </c>
      <c r="H96" s="4">
        <v>1.6003600000000001E-4</v>
      </c>
      <c r="I96">
        <f t="shared" si="15"/>
        <v>100.13546847830483</v>
      </c>
      <c r="J96">
        <f t="shared" si="16"/>
        <v>103.64958776173729</v>
      </c>
      <c r="L96" s="4">
        <v>7.3641500000000003E-4</v>
      </c>
      <c r="M96" s="4">
        <v>1.7344499999999999E-4</v>
      </c>
      <c r="N96" s="3">
        <f t="shared" si="17"/>
        <v>97.121239497100532</v>
      </c>
      <c r="O96" s="3">
        <f t="shared" si="18"/>
        <v>107.07076319054762</v>
      </c>
      <c r="Q96">
        <f t="shared" si="12"/>
        <v>7.3362200000000007E-4</v>
      </c>
      <c r="R96">
        <f t="shared" si="12"/>
        <v>1.6925066666666666E-4</v>
      </c>
      <c r="T96">
        <f t="shared" si="19"/>
        <v>98.491624681845806</v>
      </c>
      <c r="U96">
        <f t="shared" si="20"/>
        <v>103.68341128416368</v>
      </c>
      <c r="W96">
        <f t="shared" si="21"/>
        <v>1.2456534555601129</v>
      </c>
      <c r="X96">
        <f t="shared" si="22"/>
        <v>2.7520567817762047</v>
      </c>
    </row>
    <row r="97" spans="1:24" x14ac:dyDescent="0.35">
      <c r="A97" s="5">
        <v>618.12300000000005</v>
      </c>
      <c r="B97" s="4">
        <v>7.7358500000000003E-4</v>
      </c>
      <c r="C97" s="4">
        <v>1.7628899999999999E-4</v>
      </c>
      <c r="D97">
        <f t="shared" si="13"/>
        <v>98.534562916353536</v>
      </c>
      <c r="E97">
        <f t="shared" si="14"/>
        <v>101.49166944927404</v>
      </c>
      <c r="G97" s="4">
        <v>6.9594299999999997E-4</v>
      </c>
      <c r="H97" s="4">
        <v>1.6399200000000001E-4</v>
      </c>
      <c r="I97">
        <f t="shared" si="15"/>
        <v>100.50995649988734</v>
      </c>
      <c r="J97">
        <f t="shared" si="16"/>
        <v>106.21174733324266</v>
      </c>
      <c r="L97" s="4">
        <v>7.3929900000000001E-4</v>
      </c>
      <c r="M97" s="4">
        <v>1.7502500000000001E-4</v>
      </c>
      <c r="N97" s="3">
        <f t="shared" si="17"/>
        <v>97.501592497391997</v>
      </c>
      <c r="O97" s="3">
        <f t="shared" si="18"/>
        <v>108.04612601934676</v>
      </c>
      <c r="Q97">
        <f t="shared" si="12"/>
        <v>7.3627566666666663E-4</v>
      </c>
      <c r="R97">
        <f t="shared" si="12"/>
        <v>1.7176866666666665E-4</v>
      </c>
      <c r="T97">
        <f t="shared" si="19"/>
        <v>98.848703971210952</v>
      </c>
      <c r="U97">
        <f t="shared" si="20"/>
        <v>105.24984760062114</v>
      </c>
      <c r="W97">
        <f t="shared" si="21"/>
        <v>1.2480857194486943</v>
      </c>
      <c r="X97">
        <f t="shared" si="22"/>
        <v>2.7609374680779881</v>
      </c>
    </row>
    <row r="98" spans="1:24" x14ac:dyDescent="0.35">
      <c r="A98" s="5">
        <v>624.23299999999995</v>
      </c>
      <c r="B98" s="4">
        <v>7.7479100000000004E-4</v>
      </c>
      <c r="C98" s="4">
        <v>1.7697200000000001E-4</v>
      </c>
      <c r="D98">
        <f t="shared" si="13"/>
        <v>98.688175877924834</v>
      </c>
      <c r="E98">
        <f t="shared" si="14"/>
        <v>101.88488065492984</v>
      </c>
      <c r="G98" s="4">
        <v>6.9757800000000002E-4</v>
      </c>
      <c r="H98" s="4">
        <v>1.6572700000000001E-4</v>
      </c>
      <c r="I98">
        <f t="shared" si="15"/>
        <v>100.74608758946985</v>
      </c>
      <c r="J98">
        <f t="shared" si="16"/>
        <v>107.33544471862228</v>
      </c>
      <c r="L98" s="4">
        <v>7.4183599999999995E-4</v>
      </c>
      <c r="M98" s="4">
        <v>1.7826499999999999E-4</v>
      </c>
      <c r="N98" s="3">
        <f t="shared" si="17"/>
        <v>97.836181804513842</v>
      </c>
      <c r="O98" s="3">
        <f t="shared" si="18"/>
        <v>110.04623713663105</v>
      </c>
      <c r="Q98">
        <f t="shared" si="12"/>
        <v>7.380683333333333E-4</v>
      </c>
      <c r="R98">
        <f t="shared" si="12"/>
        <v>1.736546666666667E-4</v>
      </c>
      <c r="T98">
        <f t="shared" si="19"/>
        <v>99.090148423969524</v>
      </c>
      <c r="U98">
        <f t="shared" si="20"/>
        <v>106.4221875033944</v>
      </c>
      <c r="W98">
        <f t="shared" si="21"/>
        <v>1.221494812421879</v>
      </c>
      <c r="X98">
        <f t="shared" si="22"/>
        <v>3.3938634780267676</v>
      </c>
    </row>
    <row r="99" spans="1:24" x14ac:dyDescent="0.35">
      <c r="A99" s="5">
        <v>630.39700000000005</v>
      </c>
      <c r="B99" s="4">
        <v>7.7543600000000001E-4</v>
      </c>
      <c r="C99" s="4">
        <v>1.77018E-4</v>
      </c>
      <c r="D99">
        <f t="shared" si="13"/>
        <v>98.770332063839817</v>
      </c>
      <c r="E99">
        <f t="shared" si="14"/>
        <v>101.91136340084515</v>
      </c>
      <c r="G99" s="4">
        <v>6.9752099999999999E-4</v>
      </c>
      <c r="H99" s="4">
        <v>1.67591E-4</v>
      </c>
      <c r="I99">
        <f t="shared" si="15"/>
        <v>100.73785549643854</v>
      </c>
      <c r="J99">
        <f t="shared" si="16"/>
        <v>108.54269078568144</v>
      </c>
      <c r="L99" s="4">
        <v>7.44277E-4</v>
      </c>
      <c r="M99" s="4">
        <v>1.7510200000000001E-4</v>
      </c>
      <c r="N99" s="3">
        <f t="shared" si="17"/>
        <v>98.158110262804925</v>
      </c>
      <c r="O99" s="3">
        <f t="shared" si="18"/>
        <v>108.09365952429457</v>
      </c>
      <c r="Q99">
        <f t="shared" si="12"/>
        <v>7.3907800000000011E-4</v>
      </c>
      <c r="R99">
        <f t="shared" si="12"/>
        <v>1.7323699999999999E-4</v>
      </c>
      <c r="T99">
        <f t="shared" si="19"/>
        <v>99.222099274361099</v>
      </c>
      <c r="U99">
        <f t="shared" si="20"/>
        <v>106.1825712369404</v>
      </c>
      <c r="W99">
        <f t="shared" si="21"/>
        <v>1.1005579121489466</v>
      </c>
      <c r="X99">
        <f t="shared" si="22"/>
        <v>3.0257582578880622</v>
      </c>
    </row>
    <row r="100" spans="1:24" x14ac:dyDescent="0.35">
      <c r="A100" s="5">
        <v>636.76</v>
      </c>
      <c r="B100" s="4">
        <v>7.7806900000000005E-4</v>
      </c>
      <c r="C100" s="4">
        <v>1.7568099999999999E-4</v>
      </c>
      <c r="D100">
        <f t="shared" si="13"/>
        <v>99.105707625877287</v>
      </c>
      <c r="E100">
        <f t="shared" si="14"/>
        <v>101.14163663369757</v>
      </c>
      <c r="G100" s="4">
        <v>7.0149899999999996E-4</v>
      </c>
      <c r="H100" s="4">
        <v>1.6815299999999999E-4</v>
      </c>
      <c r="I100">
        <f t="shared" si="15"/>
        <v>101.31236893641358</v>
      </c>
      <c r="J100">
        <f t="shared" si="16"/>
        <v>108.90667806555656</v>
      </c>
      <c r="L100" s="4">
        <v>7.4512299999999999E-4</v>
      </c>
      <c r="M100" s="4">
        <v>1.6805300000000001E-4</v>
      </c>
      <c r="N100" s="3">
        <f t="shared" si="17"/>
        <v>98.269683993126208</v>
      </c>
      <c r="O100" s="3">
        <f t="shared" si="18"/>
        <v>103.74218320770908</v>
      </c>
      <c r="Q100">
        <f t="shared" si="12"/>
        <v>7.4156366666666663E-4</v>
      </c>
      <c r="R100">
        <f t="shared" si="12"/>
        <v>1.7062900000000002E-4</v>
      </c>
      <c r="T100">
        <f t="shared" si="19"/>
        <v>99.56258685180569</v>
      </c>
      <c r="U100">
        <f t="shared" si="20"/>
        <v>104.59683263565439</v>
      </c>
      <c r="W100">
        <f t="shared" si="21"/>
        <v>1.2834944192426703</v>
      </c>
      <c r="X100">
        <f t="shared" si="22"/>
        <v>3.227154199718087</v>
      </c>
    </row>
    <row r="101" spans="1:24" x14ac:dyDescent="0.35">
      <c r="A101" s="5">
        <v>642.91800000000001</v>
      </c>
      <c r="B101" s="4">
        <v>7.8119300000000001E-4</v>
      </c>
      <c r="C101" s="4">
        <v>1.73747E-4</v>
      </c>
      <c r="D101">
        <f t="shared" si="13"/>
        <v>99.503623788355483</v>
      </c>
      <c r="E101">
        <f t="shared" si="14"/>
        <v>100.02820988151851</v>
      </c>
      <c r="G101" s="4">
        <v>7.01522E-4</v>
      </c>
      <c r="H101" s="4">
        <v>1.673E-4</v>
      </c>
      <c r="I101">
        <f t="shared" si="15"/>
        <v>101.31569065816306</v>
      </c>
      <c r="J101">
        <f t="shared" si="16"/>
        <v>108.35422050375321</v>
      </c>
      <c r="L101" s="4">
        <v>7.4923600000000002E-4</v>
      </c>
      <c r="M101" s="4">
        <v>1.7471500000000001E-4</v>
      </c>
      <c r="N101" s="3">
        <f t="shared" si="17"/>
        <v>98.812122235220116</v>
      </c>
      <c r="O101" s="3">
        <f t="shared" si="18"/>
        <v>107.85475736306338</v>
      </c>
      <c r="Q101">
        <f t="shared" si="12"/>
        <v>7.4398366666666657E-4</v>
      </c>
      <c r="R101">
        <f t="shared" si="12"/>
        <v>1.7192066666666666E-4</v>
      </c>
      <c r="T101">
        <f t="shared" si="19"/>
        <v>99.87714556057955</v>
      </c>
      <c r="U101">
        <f t="shared" si="20"/>
        <v>105.41239591611172</v>
      </c>
      <c r="W101">
        <f t="shared" si="21"/>
        <v>1.0556522779253017</v>
      </c>
      <c r="X101">
        <f t="shared" si="22"/>
        <v>3.8126508974341573</v>
      </c>
    </row>
    <row r="102" spans="1:24" x14ac:dyDescent="0.35">
      <c r="A102" s="5">
        <v>649.14400000000001</v>
      </c>
      <c r="B102" s="4">
        <v>7.8457500000000003E-4</v>
      </c>
      <c r="C102" s="4">
        <v>1.75179E-4</v>
      </c>
      <c r="D102">
        <f t="shared" si="13"/>
        <v>99.934402425199664</v>
      </c>
      <c r="E102">
        <f t="shared" si="14"/>
        <v>100.8526292760999</v>
      </c>
      <c r="G102" s="4">
        <v>7.0452700000000004E-4</v>
      </c>
      <c r="H102" s="4">
        <v>1.6770899999999999E-4</v>
      </c>
      <c r="I102">
        <f t="shared" si="15"/>
        <v>101.74968082586669</v>
      </c>
      <c r="J102">
        <f t="shared" si="16"/>
        <v>108.61911516117122</v>
      </c>
      <c r="L102" s="4">
        <v>7.4966400000000004E-4</v>
      </c>
      <c r="M102" s="4">
        <v>1.7437099999999999E-4</v>
      </c>
      <c r="N102" s="3">
        <f t="shared" si="17"/>
        <v>98.868568519590681</v>
      </c>
      <c r="O102" s="3">
        <f t="shared" si="18"/>
        <v>107.64239988641344</v>
      </c>
      <c r="Q102">
        <f t="shared" si="12"/>
        <v>7.4625533333333341E-4</v>
      </c>
      <c r="R102">
        <f t="shared" si="12"/>
        <v>1.7241966666666666E-4</v>
      </c>
      <c r="T102">
        <f t="shared" si="19"/>
        <v>100.18421725688567</v>
      </c>
      <c r="U102">
        <f t="shared" si="20"/>
        <v>105.70471477456152</v>
      </c>
      <c r="W102">
        <f t="shared" si="21"/>
        <v>1.1893997415899891</v>
      </c>
      <c r="X102">
        <f t="shared" si="22"/>
        <v>3.4540356536735835</v>
      </c>
    </row>
    <row r="103" spans="1:24" x14ac:dyDescent="0.35">
      <c r="A103" s="5">
        <v>655.38400000000001</v>
      </c>
      <c r="B103" s="4">
        <v>7.8711199999999997E-4</v>
      </c>
      <c r="C103" s="4">
        <v>1.7375800000000001E-4</v>
      </c>
      <c r="D103">
        <f t="shared" si="13"/>
        <v>100.25755008979861</v>
      </c>
      <c r="E103">
        <f t="shared" si="14"/>
        <v>100.03454271206348</v>
      </c>
      <c r="G103" s="4">
        <v>7.0862400000000004E-4</v>
      </c>
      <c r="H103" s="4">
        <v>1.65083E-4</v>
      </c>
      <c r="I103">
        <f t="shared" si="15"/>
        <v>102.34138056532815</v>
      </c>
      <c r="J103">
        <f t="shared" si="16"/>
        <v>106.91834897442374</v>
      </c>
      <c r="L103" s="4">
        <v>7.5379400000000001E-4</v>
      </c>
      <c r="M103" s="4">
        <v>1.75921E-4</v>
      </c>
      <c r="N103" s="3">
        <f t="shared" si="17"/>
        <v>99.413248786998366</v>
      </c>
      <c r="O103" s="3">
        <f t="shared" si="18"/>
        <v>108.59924316783032</v>
      </c>
      <c r="Q103">
        <f t="shared" si="12"/>
        <v>7.498433333333333E-4</v>
      </c>
      <c r="R103">
        <f t="shared" si="12"/>
        <v>1.7158733333333333E-4</v>
      </c>
      <c r="T103">
        <f t="shared" si="19"/>
        <v>100.67072648070837</v>
      </c>
      <c r="U103">
        <f t="shared" si="20"/>
        <v>105.18404495143919</v>
      </c>
      <c r="W103">
        <f t="shared" si="21"/>
        <v>1.2305892830456204</v>
      </c>
      <c r="X103">
        <f t="shared" si="22"/>
        <v>3.7053458054868496</v>
      </c>
    </row>
    <row r="104" spans="1:24" x14ac:dyDescent="0.35">
      <c r="A104" s="5">
        <v>661.52099999999996</v>
      </c>
      <c r="B104" s="4">
        <v>7.8964699999999998E-4</v>
      </c>
      <c r="C104" s="4">
        <v>1.7283899999999999E-4</v>
      </c>
      <c r="D104">
        <f t="shared" si="13"/>
        <v>100.58044300653428</v>
      </c>
      <c r="E104">
        <f t="shared" si="14"/>
        <v>99.505463505624704</v>
      </c>
      <c r="G104" s="4">
        <v>7.0991299999999995E-4</v>
      </c>
      <c r="H104" s="4">
        <v>1.6683E-4</v>
      </c>
      <c r="I104">
        <f t="shared" si="15"/>
        <v>102.52754140598373</v>
      </c>
      <c r="J104">
        <f t="shared" si="16"/>
        <v>108.04981833019215</v>
      </c>
      <c r="L104" s="4">
        <v>7.5682400000000002E-4</v>
      </c>
      <c r="M104" s="4">
        <v>1.77579E-4</v>
      </c>
      <c r="N104" s="3">
        <f t="shared" si="17"/>
        <v>99.812856828219978</v>
      </c>
      <c r="O104" s="3">
        <f t="shared" si="18"/>
        <v>109.62275681982332</v>
      </c>
      <c r="Q104">
        <f t="shared" si="12"/>
        <v>7.5212800000000002E-4</v>
      </c>
      <c r="R104">
        <f t="shared" si="12"/>
        <v>1.72416E-4</v>
      </c>
      <c r="T104">
        <f t="shared" si="19"/>
        <v>100.97361374691268</v>
      </c>
      <c r="U104">
        <f t="shared" si="20"/>
        <v>105.72601288521339</v>
      </c>
      <c r="W104">
        <f t="shared" si="21"/>
        <v>1.1426039011848763</v>
      </c>
      <c r="X104">
        <f t="shared" si="22"/>
        <v>4.4452191405273993</v>
      </c>
    </row>
    <row r="105" spans="1:24" x14ac:dyDescent="0.35">
      <c r="A105" s="5">
        <v>667.82100000000003</v>
      </c>
      <c r="B105" s="4">
        <v>7.9177900000000005E-4</v>
      </c>
      <c r="C105" s="4">
        <v>1.74143E-4</v>
      </c>
      <c r="D105">
        <f t="shared" si="13"/>
        <v>100.85200422881454</v>
      </c>
      <c r="E105">
        <f t="shared" si="14"/>
        <v>100.25619178113739</v>
      </c>
      <c r="G105" s="4">
        <v>7.1345999999999996E-4</v>
      </c>
      <c r="H105" s="4">
        <v>1.6918099999999999E-4</v>
      </c>
      <c r="I105">
        <f t="shared" si="15"/>
        <v>103.03980866882722</v>
      </c>
      <c r="J105">
        <f t="shared" si="16"/>
        <v>109.57247686219648</v>
      </c>
      <c r="L105" s="4">
        <v>7.5818200000000004E-4</v>
      </c>
      <c r="M105" s="4">
        <v>1.7410700000000001E-4</v>
      </c>
      <c r="N105" s="3">
        <f t="shared" si="17"/>
        <v>99.991955085638779</v>
      </c>
      <c r="O105" s="3">
        <f t="shared" si="18"/>
        <v>107.47942786944952</v>
      </c>
      <c r="Q105">
        <f t="shared" si="12"/>
        <v>7.5447366666666661E-4</v>
      </c>
      <c r="R105">
        <f t="shared" si="12"/>
        <v>1.7247700000000001E-4</v>
      </c>
      <c r="T105">
        <f t="shared" si="19"/>
        <v>101.29458932776019</v>
      </c>
      <c r="U105">
        <f t="shared" si="20"/>
        <v>105.76936550426113</v>
      </c>
      <c r="W105">
        <f t="shared" si="21"/>
        <v>1.2830339157624786</v>
      </c>
      <c r="X105">
        <f t="shared" si="22"/>
        <v>3.9909503377446618</v>
      </c>
    </row>
    <row r="106" spans="1:24" x14ac:dyDescent="0.35">
      <c r="A106" s="5">
        <v>673.91700000000003</v>
      </c>
      <c r="B106" s="4">
        <v>7.9298499999999996E-4</v>
      </c>
      <c r="C106" s="4">
        <v>1.7599799999999999E-4</v>
      </c>
      <c r="D106">
        <f t="shared" si="13"/>
        <v>101.00561719038581</v>
      </c>
      <c r="E106">
        <f t="shared" si="14"/>
        <v>101.32413729576622</v>
      </c>
      <c r="G106" s="4">
        <v>7.1384499999999995E-4</v>
      </c>
      <c r="H106" s="4">
        <v>1.69653E-4</v>
      </c>
      <c r="I106">
        <f t="shared" si="15"/>
        <v>103.09541140245979</v>
      </c>
      <c r="J106">
        <f t="shared" si="16"/>
        <v>109.87817436415568</v>
      </c>
      <c r="L106" s="4">
        <v>7.5942800000000003E-4</v>
      </c>
      <c r="M106" s="4">
        <v>1.7310900000000001E-4</v>
      </c>
      <c r="N106" s="3">
        <f t="shared" si="17"/>
        <v>100.156282352755</v>
      </c>
      <c r="O106" s="3">
        <f t="shared" si="18"/>
        <v>106.8633442598663</v>
      </c>
      <c r="Q106">
        <f t="shared" si="12"/>
        <v>7.5541933333333328E-4</v>
      </c>
      <c r="R106">
        <f t="shared" si="12"/>
        <v>1.7292000000000002E-4</v>
      </c>
      <c r="T106">
        <f t="shared" si="19"/>
        <v>101.41910364853352</v>
      </c>
      <c r="U106">
        <f t="shared" si="20"/>
        <v>106.02188530659608</v>
      </c>
      <c r="W106">
        <f t="shared" si="21"/>
        <v>1.235002882859876</v>
      </c>
      <c r="X106">
        <f t="shared" si="22"/>
        <v>3.5424969931179162</v>
      </c>
    </row>
    <row r="107" spans="1:24" x14ac:dyDescent="0.35">
      <c r="A107" s="5">
        <v>680.09400000000005</v>
      </c>
      <c r="B107" s="4">
        <v>7.9551399999999999E-4</v>
      </c>
      <c r="C107" s="4">
        <v>1.7601199999999999E-4</v>
      </c>
      <c r="D107">
        <f t="shared" si="13"/>
        <v>101.32774586353158</v>
      </c>
      <c r="E107">
        <f t="shared" si="14"/>
        <v>101.33219726191436</v>
      </c>
      <c r="G107" s="4">
        <v>7.1509500000000001E-4</v>
      </c>
      <c r="H107" s="4">
        <v>1.7136199999999999E-4</v>
      </c>
      <c r="I107">
        <f t="shared" si="15"/>
        <v>103.27593975840973</v>
      </c>
      <c r="J107">
        <f t="shared" si="16"/>
        <v>110.98503248035958</v>
      </c>
      <c r="L107" s="4">
        <v>7.6202400000000003E-4</v>
      </c>
      <c r="M107" s="4">
        <v>1.76198E-4</v>
      </c>
      <c r="N107" s="3">
        <f t="shared" si="17"/>
        <v>100.49865280655411</v>
      </c>
      <c r="O107" s="3">
        <f t="shared" si="18"/>
        <v>108.77024032199319</v>
      </c>
      <c r="Q107">
        <f t="shared" si="12"/>
        <v>7.5754433333333334E-4</v>
      </c>
      <c r="R107">
        <f t="shared" si="12"/>
        <v>1.7452400000000001E-4</v>
      </c>
      <c r="T107">
        <f t="shared" si="19"/>
        <v>101.70077947616512</v>
      </c>
      <c r="U107">
        <f t="shared" si="20"/>
        <v>107.02915668808903</v>
      </c>
      <c r="W107">
        <f t="shared" si="21"/>
        <v>1.1641008720188923</v>
      </c>
      <c r="X107">
        <f t="shared" si="22"/>
        <v>4.128586207069012</v>
      </c>
    </row>
    <row r="108" spans="1:24" x14ac:dyDescent="0.35">
      <c r="A108" s="5">
        <v>686.39300000000003</v>
      </c>
      <c r="B108" s="4">
        <v>7.9571299999999998E-4</v>
      </c>
      <c r="C108" s="4">
        <v>1.7666099999999999E-4</v>
      </c>
      <c r="D108">
        <f t="shared" si="13"/>
        <v>101.35309327593014</v>
      </c>
      <c r="E108">
        <f t="shared" si="14"/>
        <v>101.70583426406752</v>
      </c>
      <c r="G108" s="4">
        <v>7.1728099999999995E-4</v>
      </c>
      <c r="H108" s="4">
        <v>1.72592E-4</v>
      </c>
      <c r="I108">
        <f t="shared" si="15"/>
        <v>103.59164774729494</v>
      </c>
      <c r="J108">
        <f t="shared" si="16"/>
        <v>111.78165944521086</v>
      </c>
      <c r="L108" s="4">
        <v>7.6360499999999999E-4</v>
      </c>
      <c r="M108" s="4">
        <v>1.7586199999999999E-4</v>
      </c>
      <c r="N108" s="3">
        <f t="shared" si="17"/>
        <v>100.70716116073606</v>
      </c>
      <c r="O108" s="3">
        <f t="shared" si="18"/>
        <v>108.56282139131186</v>
      </c>
      <c r="Q108">
        <f t="shared" si="12"/>
        <v>7.5886633333333323E-4</v>
      </c>
      <c r="R108">
        <f t="shared" si="12"/>
        <v>1.7503833333333335E-4</v>
      </c>
      <c r="T108">
        <f t="shared" si="19"/>
        <v>101.88396739465372</v>
      </c>
      <c r="U108">
        <f t="shared" si="20"/>
        <v>107.35010503353008</v>
      </c>
      <c r="W108">
        <f t="shared" si="21"/>
        <v>1.2359709312809977</v>
      </c>
      <c r="X108">
        <f t="shared" si="22"/>
        <v>4.2018705353341703</v>
      </c>
    </row>
    <row r="109" spans="1:24" x14ac:dyDescent="0.35">
      <c r="A109" s="5">
        <v>692.51599999999996</v>
      </c>
      <c r="B109" s="4">
        <v>7.9622099999999995E-4</v>
      </c>
      <c r="C109" s="4">
        <v>1.73482E-4</v>
      </c>
      <c r="D109">
        <f t="shared" si="13"/>
        <v>101.41779923320892</v>
      </c>
      <c r="E109">
        <f t="shared" si="14"/>
        <v>99.875646236571527</v>
      </c>
      <c r="G109" s="4">
        <v>7.1640500000000004E-4</v>
      </c>
      <c r="H109" s="4">
        <v>1.7148700000000001E-4</v>
      </c>
      <c r="I109">
        <f t="shared" si="15"/>
        <v>103.46513347544526</v>
      </c>
      <c r="J109">
        <f t="shared" si="16"/>
        <v>111.06599050524284</v>
      </c>
      <c r="L109" s="4">
        <v>7.6523300000000004E-4</v>
      </c>
      <c r="M109" s="4">
        <v>1.7501999999999999E-4</v>
      </c>
      <c r="N109" s="3">
        <f t="shared" si="17"/>
        <v>100.92186805549144</v>
      </c>
      <c r="O109" s="3">
        <f t="shared" si="18"/>
        <v>108.04303942811637</v>
      </c>
      <c r="Q109">
        <f t="shared" si="12"/>
        <v>7.5928633333333334E-4</v>
      </c>
      <c r="R109">
        <f t="shared" si="12"/>
        <v>1.7332966666666668E-4</v>
      </c>
      <c r="T109">
        <f t="shared" si="19"/>
        <v>101.93493358804854</v>
      </c>
      <c r="U109">
        <f t="shared" si="20"/>
        <v>106.32822538997691</v>
      </c>
      <c r="W109">
        <f t="shared" si="21"/>
        <v>1.1007938665041548</v>
      </c>
      <c r="X109">
        <f t="shared" si="22"/>
        <v>4.7266190596024931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537C-E41C-4043-9048-538522BC52C8}">
  <dimension ref="A1:X109"/>
  <sheetViews>
    <sheetView workbookViewId="0">
      <selection activeCell="X3" sqref="X3:X109"/>
    </sheetView>
  </sheetViews>
  <sheetFormatPr defaultColWidth="8.81640625" defaultRowHeight="14.5" x14ac:dyDescent="0.35"/>
  <cols>
    <col min="1" max="1" width="9.453125" bestFit="1" customWidth="1"/>
    <col min="2" max="3" width="8.81640625" bestFit="1" customWidth="1"/>
    <col min="4" max="5" width="12.453125" customWidth="1"/>
    <col min="7" max="8" width="8.81640625" bestFit="1" customWidth="1"/>
    <col min="9" max="10" width="12.1796875" customWidth="1"/>
    <col min="16" max="16" width="8.816406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8.3867100000000003E-4</v>
      </c>
      <c r="C3">
        <v>1.7873499999999999E-4</v>
      </c>
      <c r="D3">
        <f>B3/$B$3*100</f>
        <v>100</v>
      </c>
      <c r="E3">
        <f>C3/$C$3*100</f>
        <v>100</v>
      </c>
      <c r="G3">
        <v>8.7938399999999998E-4</v>
      </c>
      <c r="H3">
        <v>1.7554199999999999E-4</v>
      </c>
      <c r="I3">
        <f>G3/$G$3*100</f>
        <v>100</v>
      </c>
      <c r="J3">
        <f>H3/$H$3*100</f>
        <v>100</v>
      </c>
      <c r="L3" s="4">
        <v>1.1967200000000001E-3</v>
      </c>
      <c r="M3" s="4">
        <v>2.1869700000000001E-4</v>
      </c>
      <c r="N3" s="3">
        <f>L3/$L$3*100</f>
        <v>100</v>
      </c>
      <c r="O3" s="3">
        <f>M3/$M$3*100</f>
        <v>100</v>
      </c>
      <c r="Q3">
        <f t="shared" ref="Q3:R66" si="0">AVERAGE(B3,G3,L3)</f>
        <v>9.715916666666667E-4</v>
      </c>
      <c r="R3">
        <f t="shared" si="0"/>
        <v>1.9099133333333332E-4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8.4277099999999997E-4</v>
      </c>
      <c r="C4">
        <v>1.8032500000000001E-4</v>
      </c>
      <c r="D4">
        <f t="shared" ref="D4:D67" si="1">B4/$B$3*100</f>
        <v>100.48886869821419</v>
      </c>
      <c r="E4">
        <f t="shared" ref="E4:E67" si="2">C4/$C$3*100</f>
        <v>100.88958514001176</v>
      </c>
      <c r="G4">
        <v>8.8157700000000003E-4</v>
      </c>
      <c r="H4">
        <v>1.75207E-4</v>
      </c>
      <c r="I4">
        <f t="shared" ref="I4:I67" si="3">G4/$G$3*100</f>
        <v>100.24937911083214</v>
      </c>
      <c r="J4">
        <f t="shared" ref="J4:J67" si="4">H4/$H$3*100</f>
        <v>99.809162479634509</v>
      </c>
      <c r="L4" s="4">
        <v>1.2029600000000001E-3</v>
      </c>
      <c r="M4" s="4">
        <v>2.1884699999999999E-4</v>
      </c>
      <c r="N4" s="3">
        <f t="shared" ref="N4:N67" si="5">L4/$L$3*100</f>
        <v>100.52142522895915</v>
      </c>
      <c r="O4" s="3">
        <f t="shared" ref="O4:O67" si="6">M4/$M$3*100</f>
        <v>100.06858804647524</v>
      </c>
      <c r="Q4">
        <f t="shared" si="0"/>
        <v>9.7576933333333329E-4</v>
      </c>
      <c r="R4">
        <f t="shared" si="0"/>
        <v>1.9145966666666667E-4</v>
      </c>
      <c r="T4">
        <f t="shared" ref="T4:U67" si="7">AVERAGE(D4,I4,N4)</f>
        <v>100.41989101266849</v>
      </c>
      <c r="U4">
        <f t="shared" si="7"/>
        <v>100.25577855537385</v>
      </c>
      <c r="W4">
        <f t="shared" ref="W4:X67" si="8">_xlfn.STDEV.P(D4,I4,N4)</f>
        <v>0.1213004903107006</v>
      </c>
      <c r="X4">
        <f t="shared" si="8"/>
        <v>0.4605131168819197</v>
      </c>
    </row>
    <row r="5" spans="1:24" x14ac:dyDescent="0.35">
      <c r="A5">
        <v>18.545500000000001</v>
      </c>
      <c r="B5">
        <v>8.4700800000000001E-4</v>
      </c>
      <c r="C5">
        <v>1.8387399999999999E-4</v>
      </c>
      <c r="D5">
        <f t="shared" si="1"/>
        <v>100.99407276512483</v>
      </c>
      <c r="E5">
        <f t="shared" si="2"/>
        <v>102.87520631101911</v>
      </c>
      <c r="G5">
        <v>8.8416700000000005E-4</v>
      </c>
      <c r="H5">
        <v>1.75935E-4</v>
      </c>
      <c r="I5">
        <f t="shared" si="3"/>
        <v>100.54390345969453</v>
      </c>
      <c r="J5">
        <f t="shared" si="4"/>
        <v>100.22387804627952</v>
      </c>
      <c r="L5" s="4">
        <v>1.20718E-3</v>
      </c>
      <c r="M5" s="4">
        <v>2.2109699999999999E-4</v>
      </c>
      <c r="N5" s="3">
        <f t="shared" si="5"/>
        <v>100.87405575238986</v>
      </c>
      <c r="O5" s="3">
        <f t="shared" si="6"/>
        <v>101.09740874360415</v>
      </c>
      <c r="Q5">
        <f t="shared" si="0"/>
        <v>9.7945166666666664E-4</v>
      </c>
      <c r="R5">
        <f t="shared" si="0"/>
        <v>1.9363533333333332E-4</v>
      </c>
      <c r="T5">
        <f t="shared" si="7"/>
        <v>100.80401065906976</v>
      </c>
      <c r="U5">
        <f t="shared" si="7"/>
        <v>101.39883103363427</v>
      </c>
      <c r="W5">
        <f t="shared" si="8"/>
        <v>0.19033801023716856</v>
      </c>
      <c r="X5">
        <f t="shared" si="8"/>
        <v>1.1031853695993281</v>
      </c>
    </row>
    <row r="6" spans="1:24" x14ac:dyDescent="0.35">
      <c r="A6">
        <v>24.791399999999999</v>
      </c>
      <c r="B6">
        <v>8.4804200000000002E-4</v>
      </c>
      <c r="C6">
        <v>1.81814E-4</v>
      </c>
      <c r="D6">
        <f t="shared" si="1"/>
        <v>101.1173630660891</v>
      </c>
      <c r="E6">
        <f t="shared" si="2"/>
        <v>101.72266204156992</v>
      </c>
      <c r="G6">
        <v>8.8552699999999999E-4</v>
      </c>
      <c r="H6">
        <v>1.7364100000000001E-4</v>
      </c>
      <c r="I6">
        <f t="shared" si="3"/>
        <v>100.69855717183846</v>
      </c>
      <c r="J6">
        <f t="shared" si="4"/>
        <v>98.917068279955799</v>
      </c>
      <c r="L6" s="4">
        <v>1.21108E-3</v>
      </c>
      <c r="M6" s="4">
        <v>2.1826899999999999E-4</v>
      </c>
      <c r="N6" s="3">
        <f t="shared" si="5"/>
        <v>101.19994652048933</v>
      </c>
      <c r="O6" s="3">
        <f t="shared" si="6"/>
        <v>99.804295440723905</v>
      </c>
      <c r="Q6">
        <f t="shared" si="0"/>
        <v>9.815496666666665E-4</v>
      </c>
      <c r="R6">
        <f t="shared" si="0"/>
        <v>1.9124133333333336E-4</v>
      </c>
      <c r="T6">
        <f t="shared" si="7"/>
        <v>101.00528891947231</v>
      </c>
      <c r="U6">
        <f t="shared" si="7"/>
        <v>100.14800858741654</v>
      </c>
      <c r="W6">
        <f t="shared" si="8"/>
        <v>0.21949681924810099</v>
      </c>
      <c r="X6">
        <f t="shared" si="8"/>
        <v>1.17088090319754</v>
      </c>
    </row>
    <row r="7" spans="1:24" x14ac:dyDescent="0.35">
      <c r="A7">
        <v>31.106999999999999</v>
      </c>
      <c r="B7">
        <v>8.5159099999999996E-4</v>
      </c>
      <c r="C7">
        <v>1.83635E-4</v>
      </c>
      <c r="D7">
        <f t="shared" si="1"/>
        <v>101.540532580714</v>
      </c>
      <c r="E7">
        <f t="shared" si="2"/>
        <v>102.74148879626264</v>
      </c>
      <c r="G7">
        <v>8.8675600000000005E-4</v>
      </c>
      <c r="H7">
        <v>1.74988E-4</v>
      </c>
      <c r="I7">
        <f t="shared" si="3"/>
        <v>100.8383140925921</v>
      </c>
      <c r="J7">
        <f t="shared" si="4"/>
        <v>99.684406011097053</v>
      </c>
      <c r="L7" s="4">
        <v>1.2149999999999999E-3</v>
      </c>
      <c r="M7" s="4">
        <v>2.19896E-4</v>
      </c>
      <c r="N7" s="3">
        <f t="shared" si="5"/>
        <v>101.527508523297</v>
      </c>
      <c r="O7" s="3">
        <f t="shared" si="6"/>
        <v>100.54824711815891</v>
      </c>
      <c r="Q7">
        <f t="shared" si="0"/>
        <v>9.8444899999999987E-4</v>
      </c>
      <c r="R7">
        <f t="shared" si="0"/>
        <v>1.9283966666666666E-4</v>
      </c>
      <c r="T7">
        <f t="shared" si="7"/>
        <v>101.30211839886771</v>
      </c>
      <c r="U7">
        <f t="shared" si="7"/>
        <v>100.99138064183954</v>
      </c>
      <c r="W7">
        <f t="shared" si="8"/>
        <v>0.32800226869921062</v>
      </c>
      <c r="X7">
        <f t="shared" si="8"/>
        <v>1.2867826231072483</v>
      </c>
    </row>
    <row r="8" spans="1:24" x14ac:dyDescent="0.35">
      <c r="A8">
        <v>37.192399999999999</v>
      </c>
      <c r="B8">
        <v>8.5367500000000003E-4</v>
      </c>
      <c r="C8">
        <v>1.8387500000000001E-4</v>
      </c>
      <c r="D8">
        <f t="shared" si="1"/>
        <v>101.78902096292826</v>
      </c>
      <c r="E8">
        <f t="shared" si="2"/>
        <v>102.87576579852855</v>
      </c>
      <c r="G8">
        <v>8.8781799999999996E-4</v>
      </c>
      <c r="H8">
        <v>1.71674E-4</v>
      </c>
      <c r="I8">
        <f t="shared" si="3"/>
        <v>100.95908044722215</v>
      </c>
      <c r="J8">
        <f t="shared" si="4"/>
        <v>97.796538720078388</v>
      </c>
      <c r="L8" s="4">
        <v>1.21773E-3</v>
      </c>
      <c r="M8" s="4">
        <v>2.17627E-4</v>
      </c>
      <c r="N8" s="3">
        <f t="shared" si="5"/>
        <v>101.75563206096663</v>
      </c>
      <c r="O8" s="3">
        <f t="shared" si="6"/>
        <v>99.510738601809805</v>
      </c>
      <c r="Q8">
        <f t="shared" si="0"/>
        <v>9.8640766666666666E-4</v>
      </c>
      <c r="R8">
        <f t="shared" si="0"/>
        <v>1.9105866666666667E-4</v>
      </c>
      <c r="T8">
        <f t="shared" si="7"/>
        <v>101.50124449037234</v>
      </c>
      <c r="U8">
        <f t="shared" si="7"/>
        <v>100.06101437347225</v>
      </c>
      <c r="W8">
        <f t="shared" si="8"/>
        <v>0.38361012495959912</v>
      </c>
      <c r="X8">
        <f t="shared" si="8"/>
        <v>2.1097771599980817</v>
      </c>
    </row>
    <row r="9" spans="1:24" x14ac:dyDescent="0.35">
      <c r="A9">
        <v>43.526200000000003</v>
      </c>
      <c r="B9">
        <v>8.5484000000000005E-4</v>
      </c>
      <c r="C9">
        <v>1.79254E-4</v>
      </c>
      <c r="D9">
        <f t="shared" si="1"/>
        <v>101.92793121498181</v>
      </c>
      <c r="E9">
        <f t="shared" si="2"/>
        <v>100.29037401740007</v>
      </c>
      <c r="G9">
        <v>8.9017700000000003E-4</v>
      </c>
      <c r="H9">
        <v>1.7416099999999999E-4</v>
      </c>
      <c r="I9">
        <f t="shared" si="3"/>
        <v>101.22733640821302</v>
      </c>
      <c r="J9">
        <f t="shared" si="4"/>
        <v>99.213293684702236</v>
      </c>
      <c r="L9" s="4">
        <v>1.22196E-3</v>
      </c>
      <c r="M9" s="4">
        <v>2.1860400000000001E-4</v>
      </c>
      <c r="N9" s="3">
        <f t="shared" si="5"/>
        <v>102.10909820175145</v>
      </c>
      <c r="O9" s="3">
        <f t="shared" si="6"/>
        <v>99.957475411185342</v>
      </c>
      <c r="Q9">
        <f t="shared" si="0"/>
        <v>9.8899233333333333E-4</v>
      </c>
      <c r="R9">
        <f t="shared" si="0"/>
        <v>1.9067300000000001E-4</v>
      </c>
      <c r="T9">
        <f t="shared" si="7"/>
        <v>101.75478860831544</v>
      </c>
      <c r="U9">
        <f t="shared" si="7"/>
        <v>99.820381037762544</v>
      </c>
      <c r="W9">
        <f t="shared" si="8"/>
        <v>0.38022777105172983</v>
      </c>
      <c r="X9">
        <f t="shared" si="8"/>
        <v>0.45027522042210255</v>
      </c>
    </row>
    <row r="10" spans="1:24" x14ac:dyDescent="0.35">
      <c r="A10">
        <v>49.688299999999998</v>
      </c>
      <c r="B10">
        <v>8.5338000000000005E-4</v>
      </c>
      <c r="C10">
        <v>1.7754899999999999E-4</v>
      </c>
      <c r="D10">
        <f t="shared" si="1"/>
        <v>101.75384626391039</v>
      </c>
      <c r="E10">
        <f t="shared" si="2"/>
        <v>99.33644781380255</v>
      </c>
      <c r="G10">
        <v>8.9312599999999995E-4</v>
      </c>
      <c r="H10">
        <v>1.7432999999999999E-4</v>
      </c>
      <c r="I10">
        <f t="shared" si="3"/>
        <v>101.56268478844281</v>
      </c>
      <c r="J10">
        <f t="shared" si="4"/>
        <v>99.309566941244825</v>
      </c>
      <c r="L10" s="4">
        <v>1.2260400000000001E-3</v>
      </c>
      <c r="M10" s="4">
        <v>2.17493E-4</v>
      </c>
      <c r="N10" s="3">
        <f t="shared" si="5"/>
        <v>102.45003008222476</v>
      </c>
      <c r="O10" s="3">
        <f t="shared" si="6"/>
        <v>99.449466613625233</v>
      </c>
      <c r="Q10">
        <f t="shared" si="0"/>
        <v>9.9084866666666687E-4</v>
      </c>
      <c r="R10">
        <f t="shared" si="0"/>
        <v>1.8979066666666665E-4</v>
      </c>
      <c r="T10">
        <f t="shared" si="7"/>
        <v>101.92218704485931</v>
      </c>
      <c r="U10">
        <f t="shared" si="7"/>
        <v>99.365160456224203</v>
      </c>
      <c r="W10">
        <f t="shared" si="8"/>
        <v>0.38131297862089986</v>
      </c>
      <c r="X10">
        <f t="shared" si="8"/>
        <v>6.0615132649428347E-2</v>
      </c>
    </row>
    <row r="11" spans="1:24" x14ac:dyDescent="0.35">
      <c r="A11">
        <v>55.8005</v>
      </c>
      <c r="B11">
        <v>8.5649900000000004E-4</v>
      </c>
      <c r="C11">
        <v>1.7851799999999999E-4</v>
      </c>
      <c r="D11">
        <f t="shared" si="1"/>
        <v>102.12574418335676</v>
      </c>
      <c r="E11">
        <f t="shared" si="2"/>
        <v>99.878591210451233</v>
      </c>
      <c r="G11">
        <v>8.9611599999999997E-4</v>
      </c>
      <c r="H11">
        <v>1.8047199999999999E-4</v>
      </c>
      <c r="I11">
        <f t="shared" si="3"/>
        <v>101.90269552322991</v>
      </c>
      <c r="J11">
        <f t="shared" si="4"/>
        <v>102.80844470269224</v>
      </c>
      <c r="L11" s="4">
        <v>1.2294999999999999E-3</v>
      </c>
      <c r="M11" s="4">
        <v>2.17791E-4</v>
      </c>
      <c r="N11" s="3">
        <f t="shared" si="5"/>
        <v>102.73915368674376</v>
      </c>
      <c r="O11" s="3">
        <f t="shared" si="6"/>
        <v>99.58572819928942</v>
      </c>
      <c r="Q11">
        <f t="shared" si="0"/>
        <v>9.940383333333332E-4</v>
      </c>
      <c r="R11">
        <f t="shared" si="0"/>
        <v>1.9226033333333333E-4</v>
      </c>
      <c r="T11">
        <f t="shared" si="7"/>
        <v>102.25586446444346</v>
      </c>
      <c r="U11">
        <f t="shared" si="7"/>
        <v>100.75758803747762</v>
      </c>
      <c r="W11">
        <f t="shared" si="8"/>
        <v>0.35366088322931333</v>
      </c>
      <c r="X11">
        <f t="shared" si="8"/>
        <v>1.4550949526332371</v>
      </c>
    </row>
    <row r="12" spans="1:24" x14ac:dyDescent="0.35">
      <c r="A12">
        <v>62.111400000000003</v>
      </c>
      <c r="B12">
        <v>8.5919900000000005E-4</v>
      </c>
      <c r="C12">
        <v>1.7989500000000001E-4</v>
      </c>
      <c r="D12">
        <f t="shared" si="1"/>
        <v>102.44768210657101</v>
      </c>
      <c r="E12">
        <f t="shared" si="2"/>
        <v>100.64900551095197</v>
      </c>
      <c r="G12">
        <v>8.9838199999999998E-4</v>
      </c>
      <c r="H12">
        <v>1.8356000000000001E-4</v>
      </c>
      <c r="I12">
        <f t="shared" si="3"/>
        <v>102.16037589949327</v>
      </c>
      <c r="J12">
        <f t="shared" si="4"/>
        <v>104.56756787549419</v>
      </c>
      <c r="L12" s="4">
        <v>1.2333800000000001E-3</v>
      </c>
      <c r="M12" s="4">
        <v>2.1919100000000001E-4</v>
      </c>
      <c r="N12" s="3">
        <f t="shared" si="5"/>
        <v>103.06337322013503</v>
      </c>
      <c r="O12" s="3">
        <f t="shared" si="6"/>
        <v>100.2258832997252</v>
      </c>
      <c r="Q12">
        <f t="shared" si="0"/>
        <v>9.9698700000000018E-4</v>
      </c>
      <c r="R12">
        <f t="shared" si="0"/>
        <v>1.9421533333333334E-4</v>
      </c>
      <c r="T12">
        <f t="shared" si="7"/>
        <v>102.55714374206644</v>
      </c>
      <c r="U12">
        <f t="shared" si="7"/>
        <v>101.81415222872378</v>
      </c>
      <c r="W12">
        <f t="shared" si="8"/>
        <v>0.37668503864240926</v>
      </c>
      <c r="X12">
        <f t="shared" si="8"/>
        <v>1.9546067625515589</v>
      </c>
    </row>
    <row r="13" spans="1:24" x14ac:dyDescent="0.35">
      <c r="A13">
        <v>68.338800000000006</v>
      </c>
      <c r="B13">
        <v>8.6029599999999998E-4</v>
      </c>
      <c r="C13">
        <v>1.7880000000000001E-4</v>
      </c>
      <c r="D13">
        <f t="shared" si="1"/>
        <v>102.57848429241025</v>
      </c>
      <c r="E13">
        <f t="shared" si="2"/>
        <v>100.0363666881137</v>
      </c>
      <c r="G13">
        <v>9.0056200000000004E-4</v>
      </c>
      <c r="H13">
        <v>1.84105E-4</v>
      </c>
      <c r="I13">
        <f t="shared" si="3"/>
        <v>102.40827670278287</v>
      </c>
      <c r="J13">
        <f t="shared" si="4"/>
        <v>104.87803488623805</v>
      </c>
      <c r="L13" s="4">
        <v>1.23712E-3</v>
      </c>
      <c r="M13" s="4">
        <v>2.1928400000000001E-4</v>
      </c>
      <c r="N13" s="3">
        <f t="shared" si="5"/>
        <v>103.37589411056889</v>
      </c>
      <c r="O13" s="3">
        <f t="shared" si="6"/>
        <v>100.26840788853985</v>
      </c>
      <c r="Q13">
        <f t="shared" si="0"/>
        <v>9.9932600000000003E-4</v>
      </c>
      <c r="R13">
        <f t="shared" si="0"/>
        <v>1.9406299999999999E-4</v>
      </c>
      <c r="T13">
        <f t="shared" si="7"/>
        <v>102.78755170192068</v>
      </c>
      <c r="U13">
        <f t="shared" si="7"/>
        <v>101.7276031542972</v>
      </c>
      <c r="W13">
        <f t="shared" si="8"/>
        <v>0.42178410611131673</v>
      </c>
      <c r="X13">
        <f t="shared" si="8"/>
        <v>2.2297048912189665</v>
      </c>
    </row>
    <row r="14" spans="1:24" x14ac:dyDescent="0.35">
      <c r="A14">
        <v>74.508499999999998</v>
      </c>
      <c r="B14">
        <v>8.6204800000000002E-4</v>
      </c>
      <c r="C14">
        <v>1.79474E-4</v>
      </c>
      <c r="D14">
        <f t="shared" si="1"/>
        <v>102.78738623369593</v>
      </c>
      <c r="E14">
        <f t="shared" si="2"/>
        <v>100.41346126947717</v>
      </c>
      <c r="G14">
        <v>9.0015600000000005E-4</v>
      </c>
      <c r="H14">
        <v>1.7836600000000001E-4</v>
      </c>
      <c r="I14">
        <f t="shared" si="3"/>
        <v>102.3621080210693</v>
      </c>
      <c r="J14">
        <f t="shared" si="4"/>
        <v>101.60873181346915</v>
      </c>
      <c r="L14" s="4">
        <v>1.23919E-3</v>
      </c>
      <c r="M14" s="4">
        <v>2.1750200000000001E-4</v>
      </c>
      <c r="N14" s="3">
        <f t="shared" si="5"/>
        <v>103.54886690286784</v>
      </c>
      <c r="O14" s="3">
        <f t="shared" si="6"/>
        <v>99.453581896413752</v>
      </c>
      <c r="Q14">
        <f t="shared" si="0"/>
        <v>1.0004646666666667E-3</v>
      </c>
      <c r="R14">
        <f t="shared" si="0"/>
        <v>1.9178066666666665E-4</v>
      </c>
      <c r="T14">
        <f t="shared" si="7"/>
        <v>102.89945371921101</v>
      </c>
      <c r="U14">
        <f t="shared" si="7"/>
        <v>100.49192499312004</v>
      </c>
      <c r="W14">
        <f t="shared" si="8"/>
        <v>0.49093007096339586</v>
      </c>
      <c r="X14">
        <f t="shared" si="8"/>
        <v>0.88158388074794014</v>
      </c>
    </row>
    <row r="15" spans="1:24" x14ac:dyDescent="0.35">
      <c r="A15">
        <v>80.784599999999998</v>
      </c>
      <c r="B15">
        <v>8.6621699999999996E-4</v>
      </c>
      <c r="C15">
        <v>1.8337799999999999E-4</v>
      </c>
      <c r="D15">
        <f t="shared" si="1"/>
        <v>103.28448223439226</v>
      </c>
      <c r="E15">
        <f t="shared" si="2"/>
        <v>102.59770050633618</v>
      </c>
      <c r="G15">
        <v>9.0183899999999998E-4</v>
      </c>
      <c r="H15">
        <v>1.7856E-4</v>
      </c>
      <c r="I15">
        <f t="shared" si="3"/>
        <v>102.55349198984744</v>
      </c>
      <c r="J15">
        <f t="shared" si="4"/>
        <v>101.71924667600916</v>
      </c>
      <c r="L15" s="4">
        <v>1.24244E-3</v>
      </c>
      <c r="M15" s="4">
        <v>2.1708799999999999E-4</v>
      </c>
      <c r="N15" s="3">
        <f t="shared" si="5"/>
        <v>103.82044254295073</v>
      </c>
      <c r="O15" s="3">
        <f t="shared" si="6"/>
        <v>99.26427888814203</v>
      </c>
      <c r="Q15">
        <f t="shared" si="0"/>
        <v>1.0034986666666668E-3</v>
      </c>
      <c r="R15">
        <f t="shared" si="0"/>
        <v>1.9300866666666669E-4</v>
      </c>
      <c r="T15">
        <f t="shared" si="7"/>
        <v>103.21947225573014</v>
      </c>
      <c r="U15">
        <f t="shared" si="7"/>
        <v>101.1937420234958</v>
      </c>
      <c r="W15">
        <f t="shared" si="8"/>
        <v>0.51926913317111167</v>
      </c>
      <c r="X15">
        <f t="shared" si="8"/>
        <v>1.4106833511980232</v>
      </c>
    </row>
    <row r="16" spans="1:24" x14ac:dyDescent="0.35">
      <c r="A16">
        <v>86.936599999999999</v>
      </c>
      <c r="B16">
        <v>8.6852299999999995E-4</v>
      </c>
      <c r="C16">
        <v>1.8552999999999999E-4</v>
      </c>
      <c r="D16">
        <f t="shared" si="1"/>
        <v>103.55944106807078</v>
      </c>
      <c r="E16">
        <f t="shared" si="2"/>
        <v>103.80171762665398</v>
      </c>
      <c r="G16">
        <v>9.0301300000000004E-4</v>
      </c>
      <c r="H16">
        <v>1.7936800000000001E-4</v>
      </c>
      <c r="I16">
        <f t="shared" si="3"/>
        <v>102.68699453253643</v>
      </c>
      <c r="J16">
        <f t="shared" si="4"/>
        <v>102.17953538184594</v>
      </c>
      <c r="L16" s="4">
        <v>1.24347E-3</v>
      </c>
      <c r="M16" s="4">
        <v>2.1820699999999999E-4</v>
      </c>
      <c r="N16" s="3">
        <f t="shared" si="5"/>
        <v>103.90651113042316</v>
      </c>
      <c r="O16" s="3">
        <f t="shared" si="6"/>
        <v>99.775945714847481</v>
      </c>
      <c r="Q16">
        <f t="shared" si="0"/>
        <v>1.0050019999999998E-3</v>
      </c>
      <c r="R16">
        <f t="shared" si="0"/>
        <v>1.9436833333333334E-4</v>
      </c>
      <c r="T16">
        <f t="shared" si="7"/>
        <v>103.38431557701013</v>
      </c>
      <c r="U16">
        <f t="shared" si="7"/>
        <v>101.9190662411158</v>
      </c>
      <c r="W16">
        <f t="shared" si="8"/>
        <v>0.51303468781017791</v>
      </c>
      <c r="X16">
        <f t="shared" si="8"/>
        <v>1.6538022859312345</v>
      </c>
    </row>
    <row r="17" spans="1:24" x14ac:dyDescent="0.35">
      <c r="A17">
        <v>93.113100000000003</v>
      </c>
      <c r="B17">
        <v>8.6947999999999995E-4</v>
      </c>
      <c r="C17">
        <v>1.84916E-4</v>
      </c>
      <c r="D17">
        <f t="shared" si="1"/>
        <v>103.67355017641005</v>
      </c>
      <c r="E17">
        <f t="shared" si="2"/>
        <v>103.458192295857</v>
      </c>
      <c r="G17">
        <v>9.04849E-4</v>
      </c>
      <c r="H17">
        <v>1.7803400000000001E-4</v>
      </c>
      <c r="I17">
        <f t="shared" si="3"/>
        <v>102.89577704393076</v>
      </c>
      <c r="J17">
        <f t="shared" si="4"/>
        <v>101.41960328582333</v>
      </c>
      <c r="L17" s="4">
        <v>1.2476900000000001E-3</v>
      </c>
      <c r="M17" s="4">
        <v>2.1973300000000001E-4</v>
      </c>
      <c r="N17" s="3">
        <f t="shared" si="5"/>
        <v>104.25914165385386</v>
      </c>
      <c r="O17" s="3">
        <f t="shared" si="6"/>
        <v>100.47371477432246</v>
      </c>
      <c r="Q17">
        <f t="shared" si="0"/>
        <v>1.0073396666666666E-3</v>
      </c>
      <c r="R17">
        <f t="shared" si="0"/>
        <v>1.9422766666666669E-4</v>
      </c>
      <c r="T17">
        <f t="shared" si="7"/>
        <v>103.60948962473157</v>
      </c>
      <c r="U17">
        <f t="shared" si="7"/>
        <v>101.78383678533426</v>
      </c>
      <c r="W17">
        <f t="shared" si="8"/>
        <v>0.55843148228390749</v>
      </c>
      <c r="X17">
        <f t="shared" si="8"/>
        <v>1.2453315624793075</v>
      </c>
    </row>
    <row r="18" spans="1:24" x14ac:dyDescent="0.35">
      <c r="A18">
        <v>99.351399999999998</v>
      </c>
      <c r="B18">
        <v>8.7145899999999999E-4</v>
      </c>
      <c r="C18">
        <v>1.8546400000000001E-4</v>
      </c>
      <c r="D18">
        <f t="shared" si="1"/>
        <v>103.9095187504993</v>
      </c>
      <c r="E18">
        <f t="shared" si="2"/>
        <v>103.76479145103087</v>
      </c>
      <c r="G18">
        <v>9.0492399999999998E-4</v>
      </c>
      <c r="H18">
        <v>1.7729700000000001E-4</v>
      </c>
      <c r="I18">
        <f t="shared" si="3"/>
        <v>102.90430574129164</v>
      </c>
      <c r="J18">
        <f t="shared" si="4"/>
        <v>100.99976074101924</v>
      </c>
      <c r="L18" s="4">
        <v>1.2499399999999999E-3</v>
      </c>
      <c r="M18" s="4">
        <v>2.1488400000000001E-4</v>
      </c>
      <c r="N18" s="3">
        <f t="shared" si="5"/>
        <v>104.44715555852665</v>
      </c>
      <c r="O18" s="3">
        <f t="shared" si="6"/>
        <v>98.256491858598878</v>
      </c>
      <c r="Q18">
        <f t="shared" si="0"/>
        <v>1.0087743333333334E-3</v>
      </c>
      <c r="R18">
        <f t="shared" si="0"/>
        <v>1.9254833333333333E-4</v>
      </c>
      <c r="T18">
        <f t="shared" si="7"/>
        <v>103.75366001677253</v>
      </c>
      <c r="U18">
        <f t="shared" si="7"/>
        <v>101.00701468354968</v>
      </c>
      <c r="W18">
        <f t="shared" si="8"/>
        <v>0.63943482769015647</v>
      </c>
      <c r="X18">
        <f t="shared" si="8"/>
        <v>2.2487597418367158</v>
      </c>
    </row>
    <row r="19" spans="1:24" x14ac:dyDescent="0.35">
      <c r="A19">
        <v>105.571</v>
      </c>
      <c r="B19">
        <v>8.7539900000000001E-4</v>
      </c>
      <c r="C19">
        <v>1.89101E-4</v>
      </c>
      <c r="D19">
        <f t="shared" si="1"/>
        <v>104.37930964585635</v>
      </c>
      <c r="E19">
        <f t="shared" si="2"/>
        <v>105.79964752286905</v>
      </c>
      <c r="G19">
        <v>9.0731799999999995E-4</v>
      </c>
      <c r="H19">
        <v>1.77541E-4</v>
      </c>
      <c r="I19">
        <f t="shared" si="3"/>
        <v>103.17654176105091</v>
      </c>
      <c r="J19">
        <f t="shared" si="4"/>
        <v>101.13875881555413</v>
      </c>
      <c r="L19" s="4">
        <v>1.25237E-3</v>
      </c>
      <c r="M19" s="4">
        <v>2.1562099999999999E-4</v>
      </c>
      <c r="N19" s="3">
        <f t="shared" si="5"/>
        <v>104.65021057557323</v>
      </c>
      <c r="O19" s="3">
        <f t="shared" si="6"/>
        <v>98.593487793613988</v>
      </c>
      <c r="Q19">
        <f t="shared" si="0"/>
        <v>1.0116956666666667E-3</v>
      </c>
      <c r="R19">
        <f t="shared" si="0"/>
        <v>1.9408766666666665E-4</v>
      </c>
      <c r="T19">
        <f t="shared" si="7"/>
        <v>104.06868732749349</v>
      </c>
      <c r="U19">
        <f t="shared" si="7"/>
        <v>101.84396471067906</v>
      </c>
      <c r="W19">
        <f t="shared" si="8"/>
        <v>0.64046317209903425</v>
      </c>
      <c r="X19">
        <f t="shared" si="8"/>
        <v>2.9838644994674905</v>
      </c>
    </row>
    <row r="20" spans="1:24" x14ac:dyDescent="0.35">
      <c r="A20">
        <v>111.708</v>
      </c>
      <c r="B20">
        <v>8.76211E-4</v>
      </c>
      <c r="C20">
        <v>1.8678799999999999E-4</v>
      </c>
      <c r="D20">
        <f t="shared" si="1"/>
        <v>104.47612949535635</v>
      </c>
      <c r="E20">
        <f t="shared" si="2"/>
        <v>104.5055529135312</v>
      </c>
      <c r="G20">
        <v>9.08974E-4</v>
      </c>
      <c r="H20">
        <v>1.7883800000000001E-4</v>
      </c>
      <c r="I20">
        <f t="shared" si="3"/>
        <v>103.36485539877916</v>
      </c>
      <c r="J20">
        <f t="shared" si="4"/>
        <v>101.87761333470053</v>
      </c>
      <c r="L20" s="4">
        <v>1.25486E-3</v>
      </c>
      <c r="M20" s="4">
        <v>2.1649199999999999E-4</v>
      </c>
      <c r="N20" s="3">
        <f t="shared" si="5"/>
        <v>104.85827929674443</v>
      </c>
      <c r="O20" s="3">
        <f t="shared" si="6"/>
        <v>98.991755716813671</v>
      </c>
      <c r="Q20">
        <f t="shared" si="0"/>
        <v>1.0133483333333332E-3</v>
      </c>
      <c r="R20">
        <f t="shared" si="0"/>
        <v>1.9403933333333331E-4</v>
      </c>
      <c r="T20">
        <f t="shared" si="7"/>
        <v>104.23308806362665</v>
      </c>
      <c r="U20">
        <f t="shared" si="7"/>
        <v>101.79164065501514</v>
      </c>
      <c r="W20">
        <f t="shared" si="8"/>
        <v>0.63344591345347689</v>
      </c>
      <c r="X20">
        <f t="shared" si="8"/>
        <v>2.2518190214241978</v>
      </c>
    </row>
    <row r="21" spans="1:24" x14ac:dyDescent="0.35">
      <c r="A21">
        <v>118.009</v>
      </c>
      <c r="B21">
        <v>8.7912899999999998E-4</v>
      </c>
      <c r="C21">
        <v>1.8632699999999999E-4</v>
      </c>
      <c r="D21">
        <f t="shared" si="1"/>
        <v>104.82406092496342</v>
      </c>
      <c r="E21">
        <f t="shared" si="2"/>
        <v>104.24762917167874</v>
      </c>
      <c r="G21">
        <v>9.1099900000000001E-4</v>
      </c>
      <c r="H21">
        <v>1.78011E-4</v>
      </c>
      <c r="I21">
        <f t="shared" si="3"/>
        <v>103.59513022752292</v>
      </c>
      <c r="J21">
        <f t="shared" si="4"/>
        <v>101.40650100830571</v>
      </c>
      <c r="L21" s="4">
        <v>1.2577700000000001E-3</v>
      </c>
      <c r="M21" s="4">
        <v>2.2059299999999999E-4</v>
      </c>
      <c r="N21" s="3">
        <f t="shared" si="5"/>
        <v>105.10144394678788</v>
      </c>
      <c r="O21" s="3">
        <f t="shared" si="6"/>
        <v>100.86695290744727</v>
      </c>
      <c r="Q21">
        <f t="shared" si="0"/>
        <v>1.0159660000000001E-3</v>
      </c>
      <c r="R21">
        <f t="shared" si="0"/>
        <v>1.9497699999999996E-4</v>
      </c>
      <c r="T21">
        <f t="shared" si="7"/>
        <v>104.50687836642474</v>
      </c>
      <c r="U21">
        <f t="shared" si="7"/>
        <v>102.17369436247725</v>
      </c>
      <c r="W21">
        <f t="shared" si="8"/>
        <v>0.65457306024223216</v>
      </c>
      <c r="X21">
        <f t="shared" si="8"/>
        <v>1.4829435217157867</v>
      </c>
    </row>
    <row r="22" spans="1:24" x14ac:dyDescent="0.35">
      <c r="A22">
        <v>124.221</v>
      </c>
      <c r="B22">
        <v>8.8087899999999999E-4</v>
      </c>
      <c r="C22">
        <v>1.8811300000000001E-4</v>
      </c>
      <c r="D22">
        <f t="shared" si="1"/>
        <v>105.03272439371338</v>
      </c>
      <c r="E22">
        <f t="shared" si="2"/>
        <v>105.24687386354101</v>
      </c>
      <c r="G22">
        <v>9.1131999999999997E-4</v>
      </c>
      <c r="H22">
        <v>1.7966400000000001E-4</v>
      </c>
      <c r="I22">
        <f t="shared" si="3"/>
        <v>103.63163305222747</v>
      </c>
      <c r="J22">
        <f t="shared" si="4"/>
        <v>102.34815599685545</v>
      </c>
      <c r="L22" s="4">
        <v>1.25998E-3</v>
      </c>
      <c r="M22" s="4">
        <v>2.1912799999999999E-4</v>
      </c>
      <c r="N22" s="3">
        <f t="shared" si="5"/>
        <v>105.28611538204424</v>
      </c>
      <c r="O22" s="3">
        <f t="shared" si="6"/>
        <v>100.19707632020558</v>
      </c>
      <c r="Q22">
        <f t="shared" si="0"/>
        <v>1.0173929999999999E-3</v>
      </c>
      <c r="R22">
        <f t="shared" si="0"/>
        <v>1.9563499999999999E-4</v>
      </c>
      <c r="T22">
        <f t="shared" si="7"/>
        <v>104.65015760932836</v>
      </c>
      <c r="U22">
        <f t="shared" si="7"/>
        <v>102.59736872686734</v>
      </c>
      <c r="W22">
        <f t="shared" si="8"/>
        <v>0.72759693663685443</v>
      </c>
      <c r="X22">
        <f t="shared" si="8"/>
        <v>2.0690890178641617</v>
      </c>
    </row>
    <row r="23" spans="1:24" x14ac:dyDescent="0.35">
      <c r="A23">
        <v>130.28700000000001</v>
      </c>
      <c r="B23">
        <v>8.8247200000000003E-4</v>
      </c>
      <c r="C23">
        <v>1.87715E-4</v>
      </c>
      <c r="D23">
        <f t="shared" si="1"/>
        <v>105.22266776840978</v>
      </c>
      <c r="E23">
        <f t="shared" si="2"/>
        <v>105.02419783478334</v>
      </c>
      <c r="G23">
        <v>9.1629899999999998E-4</v>
      </c>
      <c r="H23">
        <v>1.87276E-4</v>
      </c>
      <c r="I23">
        <f t="shared" si="3"/>
        <v>104.1978248410251</v>
      </c>
      <c r="J23">
        <f t="shared" si="4"/>
        <v>106.68444019095145</v>
      </c>
      <c r="L23" s="4">
        <v>1.2634199999999999E-3</v>
      </c>
      <c r="M23" s="4">
        <v>2.21022E-4</v>
      </c>
      <c r="N23" s="3">
        <f t="shared" si="5"/>
        <v>105.57356775185505</v>
      </c>
      <c r="O23" s="3">
        <f t="shared" si="6"/>
        <v>101.06311472036653</v>
      </c>
      <c r="Q23">
        <f t="shared" si="0"/>
        <v>1.0207303333333332E-3</v>
      </c>
      <c r="R23">
        <f t="shared" si="0"/>
        <v>1.9867099999999998E-4</v>
      </c>
      <c r="T23">
        <f t="shared" si="7"/>
        <v>104.99802012042998</v>
      </c>
      <c r="U23">
        <f t="shared" si="7"/>
        <v>104.25725091536709</v>
      </c>
      <c r="W23">
        <f t="shared" si="8"/>
        <v>0.5836763163956904</v>
      </c>
      <c r="X23">
        <f t="shared" si="8"/>
        <v>2.3581038561328937</v>
      </c>
    </row>
    <row r="24" spans="1:24" x14ac:dyDescent="0.35">
      <c r="A24">
        <v>136.62799999999999</v>
      </c>
      <c r="B24">
        <v>8.8485099999999998E-4</v>
      </c>
      <c r="C24">
        <v>1.88211E-4</v>
      </c>
      <c r="D24">
        <f t="shared" si="1"/>
        <v>105.50633084964187</v>
      </c>
      <c r="E24">
        <f t="shared" si="2"/>
        <v>105.30170363946625</v>
      </c>
      <c r="G24">
        <v>9.1734300000000004E-4</v>
      </c>
      <c r="H24">
        <v>1.8645099999999999E-4</v>
      </c>
      <c r="I24">
        <f t="shared" si="3"/>
        <v>104.31654430828854</v>
      </c>
      <c r="J24">
        <f t="shared" si="4"/>
        <v>106.21446719303643</v>
      </c>
      <c r="L24" s="4">
        <v>1.26567E-3</v>
      </c>
      <c r="M24" s="4">
        <v>2.19874E-4</v>
      </c>
      <c r="N24" s="3">
        <f t="shared" si="5"/>
        <v>105.76158165652782</v>
      </c>
      <c r="O24" s="3">
        <f t="shared" si="6"/>
        <v>100.53818753800921</v>
      </c>
      <c r="Q24">
        <f t="shared" si="0"/>
        <v>1.0226213333333334E-3</v>
      </c>
      <c r="R24">
        <f t="shared" si="0"/>
        <v>1.9817866666666667E-4</v>
      </c>
      <c r="T24">
        <f t="shared" si="7"/>
        <v>105.19481893815275</v>
      </c>
      <c r="U24">
        <f t="shared" si="7"/>
        <v>104.01811945683728</v>
      </c>
      <c r="W24">
        <f t="shared" si="8"/>
        <v>0.62971580240682656</v>
      </c>
      <c r="X24">
        <f t="shared" si="8"/>
        <v>2.4887384951604705</v>
      </c>
    </row>
    <row r="25" spans="1:24" x14ac:dyDescent="0.35">
      <c r="A25">
        <v>142.79400000000001</v>
      </c>
      <c r="B25">
        <v>8.8641100000000003E-4</v>
      </c>
      <c r="C25">
        <v>1.9055499999999999E-4</v>
      </c>
      <c r="D25">
        <f t="shared" si="1"/>
        <v>105.69233942749898</v>
      </c>
      <c r="E25">
        <f t="shared" si="2"/>
        <v>106.61314236159679</v>
      </c>
      <c r="G25">
        <v>9.1790700000000003E-4</v>
      </c>
      <c r="H25">
        <v>1.84821E-4</v>
      </c>
      <c r="I25">
        <f t="shared" si="3"/>
        <v>104.38068011244235</v>
      </c>
      <c r="J25">
        <f t="shared" si="4"/>
        <v>105.2859144820043</v>
      </c>
      <c r="L25" s="4">
        <v>1.2664799999999999E-3</v>
      </c>
      <c r="M25" s="4">
        <v>2.2209399999999999E-4</v>
      </c>
      <c r="N25" s="3">
        <f t="shared" si="5"/>
        <v>105.82926666221002</v>
      </c>
      <c r="O25" s="3">
        <f t="shared" si="6"/>
        <v>101.55329062584306</v>
      </c>
      <c r="Q25">
        <f t="shared" si="0"/>
        <v>1.0235993333333334E-3</v>
      </c>
      <c r="R25">
        <f t="shared" si="0"/>
        <v>1.9915666666666664E-4</v>
      </c>
      <c r="T25">
        <f t="shared" si="7"/>
        <v>105.30076206738379</v>
      </c>
      <c r="U25">
        <f t="shared" si="7"/>
        <v>104.48411582314804</v>
      </c>
      <c r="W25">
        <f t="shared" si="8"/>
        <v>0.65299329744290624</v>
      </c>
      <c r="X25">
        <f t="shared" si="8"/>
        <v>2.1420684262273633</v>
      </c>
    </row>
    <row r="26" spans="1:24" x14ac:dyDescent="0.35">
      <c r="A26">
        <v>149.03399999999999</v>
      </c>
      <c r="B26">
        <v>8.8670000000000003E-4</v>
      </c>
      <c r="C26">
        <v>1.89075E-4</v>
      </c>
      <c r="D26">
        <f t="shared" si="1"/>
        <v>105.72679870890968</v>
      </c>
      <c r="E26">
        <f t="shared" si="2"/>
        <v>105.78510084762358</v>
      </c>
      <c r="G26">
        <v>9.1699000000000001E-4</v>
      </c>
      <c r="H26">
        <v>1.8167899999999999E-4</v>
      </c>
      <c r="I26">
        <f t="shared" si="3"/>
        <v>104.27640257270998</v>
      </c>
      <c r="J26">
        <f t="shared" si="4"/>
        <v>103.49602944024792</v>
      </c>
      <c r="L26" s="4">
        <v>1.2687600000000001E-3</v>
      </c>
      <c r="M26" s="4">
        <v>2.2176800000000001E-4</v>
      </c>
      <c r="N26" s="3">
        <f t="shared" si="5"/>
        <v>106.01978741894511</v>
      </c>
      <c r="O26" s="3">
        <f t="shared" si="6"/>
        <v>101.40422593817016</v>
      </c>
      <c r="Q26">
        <f t="shared" si="0"/>
        <v>1.0241499999999999E-3</v>
      </c>
      <c r="R26">
        <f t="shared" si="0"/>
        <v>1.9750733333333335E-4</v>
      </c>
      <c r="T26">
        <f t="shared" si="7"/>
        <v>105.34099623352159</v>
      </c>
      <c r="U26">
        <f t="shared" si="7"/>
        <v>103.56178540868056</v>
      </c>
      <c r="W26">
        <f t="shared" si="8"/>
        <v>0.76222496374419357</v>
      </c>
      <c r="X26">
        <f t="shared" si="8"/>
        <v>1.7890889913785775</v>
      </c>
    </row>
    <row r="27" spans="1:24" x14ac:dyDescent="0.35">
      <c r="A27">
        <v>155.125</v>
      </c>
      <c r="B27">
        <v>8.8716499999999998E-4</v>
      </c>
      <c r="C27">
        <v>1.8794999999999999E-4</v>
      </c>
      <c r="D27">
        <f t="shared" si="1"/>
        <v>105.78224357346325</v>
      </c>
      <c r="E27">
        <f t="shared" si="2"/>
        <v>105.15567739950204</v>
      </c>
      <c r="G27">
        <v>9.1921899999999998E-4</v>
      </c>
      <c r="H27">
        <v>1.80077E-4</v>
      </c>
      <c r="I27">
        <f t="shared" si="3"/>
        <v>104.52987545827534</v>
      </c>
      <c r="J27">
        <f t="shared" si="4"/>
        <v>102.58342732793292</v>
      </c>
      <c r="L27" s="4">
        <v>1.27119E-3</v>
      </c>
      <c r="M27" s="4">
        <v>2.24272E-4</v>
      </c>
      <c r="N27" s="3">
        <f t="shared" si="5"/>
        <v>106.22284243599169</v>
      </c>
      <c r="O27" s="3">
        <f t="shared" si="6"/>
        <v>102.54918906066383</v>
      </c>
      <c r="Q27">
        <f t="shared" si="0"/>
        <v>1.0258579999999999E-3</v>
      </c>
      <c r="R27">
        <f t="shared" si="0"/>
        <v>1.9743300000000001E-4</v>
      </c>
      <c r="T27">
        <f t="shared" si="7"/>
        <v>105.51165382257676</v>
      </c>
      <c r="U27">
        <f t="shared" si="7"/>
        <v>103.42943126269959</v>
      </c>
      <c r="W27">
        <f t="shared" si="8"/>
        <v>0.71714638527668262</v>
      </c>
      <c r="X27">
        <f t="shared" si="8"/>
        <v>1.2207203770330066</v>
      </c>
    </row>
    <row r="28" spans="1:24" x14ac:dyDescent="0.35">
      <c r="A28">
        <v>161.47300000000001</v>
      </c>
      <c r="B28">
        <v>8.8781000000000005E-4</v>
      </c>
      <c r="C28">
        <v>1.84687E-4</v>
      </c>
      <c r="D28">
        <f t="shared" si="1"/>
        <v>105.85915096623111</v>
      </c>
      <c r="E28">
        <f t="shared" si="2"/>
        <v>103.33006965619494</v>
      </c>
      <c r="G28">
        <v>9.2080600000000003E-4</v>
      </c>
      <c r="H28">
        <v>1.8410599999999999E-4</v>
      </c>
      <c r="I28">
        <f t="shared" si="3"/>
        <v>104.71034269443156</v>
      </c>
      <c r="J28">
        <f t="shared" si="4"/>
        <v>104.87860455047795</v>
      </c>
      <c r="L28" s="4">
        <v>1.27414E-3</v>
      </c>
      <c r="M28" s="4">
        <v>2.2366700000000001E-4</v>
      </c>
      <c r="N28" s="3">
        <f t="shared" si="5"/>
        <v>106.46934955545156</v>
      </c>
      <c r="O28" s="3">
        <f t="shared" si="6"/>
        <v>102.27255060654696</v>
      </c>
      <c r="Q28">
        <f t="shared" si="0"/>
        <v>1.0275853333333333E-3</v>
      </c>
      <c r="R28">
        <f t="shared" si="0"/>
        <v>1.9748666666666664E-4</v>
      </c>
      <c r="T28">
        <f t="shared" si="7"/>
        <v>105.67961440537141</v>
      </c>
      <c r="U28">
        <f t="shared" si="7"/>
        <v>103.49374160440659</v>
      </c>
      <c r="W28">
        <f t="shared" si="8"/>
        <v>0.72924678803674026</v>
      </c>
      <c r="X28">
        <f t="shared" si="8"/>
        <v>1.0701933375619934</v>
      </c>
    </row>
    <row r="29" spans="1:24" x14ac:dyDescent="0.35">
      <c r="A29">
        <v>167.614</v>
      </c>
      <c r="B29">
        <v>8.9282000000000001E-4</v>
      </c>
      <c r="C29">
        <v>1.9212E-4</v>
      </c>
      <c r="D29">
        <f t="shared" si="1"/>
        <v>106.45652466819526</v>
      </c>
      <c r="E29">
        <f t="shared" si="2"/>
        <v>107.4887403138725</v>
      </c>
      <c r="G29">
        <v>9.2294600000000001E-4</v>
      </c>
      <c r="H29">
        <v>1.8543800000000001E-4</v>
      </c>
      <c r="I29">
        <f t="shared" si="3"/>
        <v>104.95369485912866</v>
      </c>
      <c r="J29">
        <f t="shared" si="4"/>
        <v>105.63739731802077</v>
      </c>
      <c r="L29" s="4">
        <v>1.2757700000000001E-3</v>
      </c>
      <c r="M29" s="4">
        <v>2.2456399999999999E-4</v>
      </c>
      <c r="N29" s="3">
        <f t="shared" si="5"/>
        <v>106.60555518417006</v>
      </c>
      <c r="O29" s="3">
        <f t="shared" si="6"/>
        <v>102.682707124469</v>
      </c>
      <c r="Q29">
        <f t="shared" si="0"/>
        <v>1.0305119999999999E-3</v>
      </c>
      <c r="R29">
        <f t="shared" si="0"/>
        <v>2.0070733333333332E-4</v>
      </c>
      <c r="T29">
        <f t="shared" si="7"/>
        <v>106.00525823716465</v>
      </c>
      <c r="U29">
        <f t="shared" si="7"/>
        <v>105.26961491878744</v>
      </c>
      <c r="W29">
        <f t="shared" si="8"/>
        <v>0.74605257955579718</v>
      </c>
      <c r="X29">
        <f t="shared" si="8"/>
        <v>1.9792147726310314</v>
      </c>
    </row>
    <row r="30" spans="1:24" x14ac:dyDescent="0.35">
      <c r="A30">
        <v>173.85</v>
      </c>
      <c r="B30">
        <v>8.9253300000000004E-4</v>
      </c>
      <c r="C30">
        <v>1.87546E-4</v>
      </c>
      <c r="D30">
        <f t="shared" si="1"/>
        <v>106.42230385932028</v>
      </c>
      <c r="E30">
        <f t="shared" si="2"/>
        <v>104.92964444568776</v>
      </c>
      <c r="G30">
        <v>9.2292700000000004E-4</v>
      </c>
      <c r="H30">
        <v>1.8047699999999999E-4</v>
      </c>
      <c r="I30">
        <f t="shared" si="3"/>
        <v>104.95153425579724</v>
      </c>
      <c r="J30">
        <f t="shared" si="4"/>
        <v>102.81129302389172</v>
      </c>
      <c r="L30" s="4">
        <v>1.2783600000000001E-3</v>
      </c>
      <c r="M30" s="4">
        <v>2.24124E-4</v>
      </c>
      <c r="N30" s="3">
        <f t="shared" si="5"/>
        <v>106.82198007888229</v>
      </c>
      <c r="O30" s="3">
        <f t="shared" si="6"/>
        <v>102.4815155214749</v>
      </c>
      <c r="Q30">
        <f t="shared" si="0"/>
        <v>1.0312733333333335E-3</v>
      </c>
      <c r="R30">
        <f t="shared" si="0"/>
        <v>1.9738233333333334E-4</v>
      </c>
      <c r="T30">
        <f t="shared" si="7"/>
        <v>106.06527273133327</v>
      </c>
      <c r="U30">
        <f t="shared" si="7"/>
        <v>103.40748433035147</v>
      </c>
      <c r="W30">
        <f t="shared" si="8"/>
        <v>0.80425755163290558</v>
      </c>
      <c r="X30">
        <f t="shared" si="8"/>
        <v>1.0847171252806027</v>
      </c>
    </row>
    <row r="31" spans="1:24" x14ac:dyDescent="0.35">
      <c r="A31">
        <v>179.93600000000001</v>
      </c>
      <c r="B31">
        <v>8.9458199999999999E-4</v>
      </c>
      <c r="C31">
        <v>1.88137E-4</v>
      </c>
      <c r="D31">
        <f t="shared" si="1"/>
        <v>106.66661897215953</v>
      </c>
      <c r="E31">
        <f t="shared" si="2"/>
        <v>105.2603015637676</v>
      </c>
      <c r="G31">
        <v>9.2425899999999997E-4</v>
      </c>
      <c r="H31">
        <v>1.8020800000000001E-4</v>
      </c>
      <c r="I31">
        <f t="shared" si="3"/>
        <v>105.10300392092647</v>
      </c>
      <c r="J31">
        <f t="shared" si="4"/>
        <v>102.65805334335943</v>
      </c>
      <c r="L31" s="4">
        <v>1.2802499999999999E-3</v>
      </c>
      <c r="M31" s="4">
        <v>2.2308899999999999E-4</v>
      </c>
      <c r="N31" s="3">
        <f t="shared" si="5"/>
        <v>106.97991175880739</v>
      </c>
      <c r="O31" s="3">
        <f t="shared" si="6"/>
        <v>102.00825800079561</v>
      </c>
      <c r="Q31">
        <f t="shared" si="0"/>
        <v>1.0330303333333333E-3</v>
      </c>
      <c r="R31">
        <f t="shared" si="0"/>
        <v>1.9714466666666668E-4</v>
      </c>
      <c r="T31">
        <f t="shared" si="7"/>
        <v>106.24984488396446</v>
      </c>
      <c r="U31">
        <f t="shared" si="7"/>
        <v>103.30887096930753</v>
      </c>
      <c r="W31">
        <f t="shared" si="8"/>
        <v>0.82096335217346095</v>
      </c>
      <c r="X31">
        <f t="shared" si="8"/>
        <v>1.4051380763826375</v>
      </c>
    </row>
    <row r="32" spans="1:24" x14ac:dyDescent="0.35">
      <c r="A32">
        <v>193.119</v>
      </c>
      <c r="B32">
        <v>1.3152299999999999E-6</v>
      </c>
      <c r="C32">
        <v>2.2890800000000001E-5</v>
      </c>
      <c r="D32">
        <f t="shared" si="1"/>
        <v>0.15682311657372197</v>
      </c>
      <c r="E32">
        <f t="shared" si="2"/>
        <v>12.807116681120096</v>
      </c>
      <c r="G32">
        <v>1.32009E-6</v>
      </c>
      <c r="H32">
        <v>2.39983E-5</v>
      </c>
      <c r="I32">
        <f t="shared" si="3"/>
        <v>0.1501153079883191</v>
      </c>
      <c r="J32">
        <f t="shared" si="4"/>
        <v>13.670973328320288</v>
      </c>
      <c r="L32" s="4">
        <v>7.09759E-7</v>
      </c>
      <c r="M32" s="4">
        <v>3.0567500000000002E-5</v>
      </c>
      <c r="N32" s="3">
        <f t="shared" si="5"/>
        <v>5.9308693762952065E-2</v>
      </c>
      <c r="O32" s="3">
        <f t="shared" si="6"/>
        <v>13.977100737550128</v>
      </c>
      <c r="Q32">
        <f t="shared" si="0"/>
        <v>1.1150263333333331E-6</v>
      </c>
      <c r="R32">
        <f t="shared" si="0"/>
        <v>2.5818866666666668E-5</v>
      </c>
      <c r="T32">
        <f t="shared" si="7"/>
        <v>0.12208237277499771</v>
      </c>
      <c r="U32">
        <f t="shared" si="7"/>
        <v>13.48506358233017</v>
      </c>
      <c r="W32">
        <f t="shared" si="8"/>
        <v>4.4472086800112422E-2</v>
      </c>
      <c r="X32">
        <f t="shared" si="8"/>
        <v>0.49540387450759166</v>
      </c>
    </row>
    <row r="33" spans="1:24" x14ac:dyDescent="0.35">
      <c r="A33">
        <v>199.374</v>
      </c>
      <c r="B33">
        <v>1.29027E-6</v>
      </c>
      <c r="C33">
        <v>2.2750100000000001E-5</v>
      </c>
      <c r="D33">
        <f t="shared" si="1"/>
        <v>0.15384697932800823</v>
      </c>
      <c r="E33">
        <f t="shared" si="2"/>
        <v>12.728396788541696</v>
      </c>
      <c r="G33">
        <v>1.27558E-6</v>
      </c>
      <c r="H33">
        <v>2.3801199999999998E-5</v>
      </c>
      <c r="I33">
        <f t="shared" si="3"/>
        <v>0.1450538103945489</v>
      </c>
      <c r="J33">
        <f t="shared" si="4"/>
        <v>13.558692506636588</v>
      </c>
      <c r="L33" s="4">
        <v>6.2792399999999998E-7</v>
      </c>
      <c r="M33" s="4">
        <v>3.0322299999999999E-5</v>
      </c>
      <c r="N33" s="3">
        <f t="shared" si="5"/>
        <v>5.2470419145664811E-2</v>
      </c>
      <c r="O33" s="3">
        <f t="shared" si="6"/>
        <v>13.864982144245234</v>
      </c>
      <c r="Q33">
        <f t="shared" si="0"/>
        <v>1.0645913333333335E-6</v>
      </c>
      <c r="R33">
        <f t="shared" si="0"/>
        <v>2.5624533333333332E-5</v>
      </c>
      <c r="T33">
        <f t="shared" si="7"/>
        <v>0.11712373628940731</v>
      </c>
      <c r="U33">
        <f t="shared" si="7"/>
        <v>13.384023813141171</v>
      </c>
      <c r="W33">
        <f t="shared" si="8"/>
        <v>4.5857522234562575E-2</v>
      </c>
      <c r="X33">
        <f t="shared" si="8"/>
        <v>0.48016554927474819</v>
      </c>
    </row>
    <row r="34" spans="1:24" x14ac:dyDescent="0.35">
      <c r="A34">
        <v>205.643</v>
      </c>
      <c r="B34">
        <v>1.26553E-6</v>
      </c>
      <c r="C34">
        <v>2.25921E-5</v>
      </c>
      <c r="D34">
        <f t="shared" si="1"/>
        <v>0.15089707406122305</v>
      </c>
      <c r="E34">
        <f t="shared" si="2"/>
        <v>12.639997762049962</v>
      </c>
      <c r="G34">
        <v>1.23081E-6</v>
      </c>
      <c r="H34">
        <v>2.3568299999999999E-5</v>
      </c>
      <c r="I34">
        <f t="shared" si="3"/>
        <v>0.13996274664992767</v>
      </c>
      <c r="J34">
        <f t="shared" si="4"/>
        <v>13.426017705164575</v>
      </c>
      <c r="L34" s="4">
        <v>5.7830800000000005E-7</v>
      </c>
      <c r="M34" s="4">
        <v>2.9909699999999999E-5</v>
      </c>
      <c r="N34" s="3">
        <f t="shared" si="5"/>
        <v>4.8324420081556255E-2</v>
      </c>
      <c r="O34" s="3">
        <f t="shared" si="6"/>
        <v>13.676319291073952</v>
      </c>
      <c r="Q34">
        <f t="shared" si="0"/>
        <v>1.0248826666666665E-6</v>
      </c>
      <c r="R34">
        <f t="shared" si="0"/>
        <v>2.5356700000000001E-5</v>
      </c>
      <c r="T34">
        <f t="shared" si="7"/>
        <v>0.11306141359756898</v>
      </c>
      <c r="U34">
        <f t="shared" si="7"/>
        <v>13.247444919429498</v>
      </c>
      <c r="W34">
        <f t="shared" si="8"/>
        <v>4.5993105469577827E-2</v>
      </c>
      <c r="X34">
        <f t="shared" si="8"/>
        <v>0.44151765365501522</v>
      </c>
    </row>
    <row r="35" spans="1:24" x14ac:dyDescent="0.35">
      <c r="A35">
        <v>211.75800000000001</v>
      </c>
      <c r="B35">
        <v>1.24774E-6</v>
      </c>
      <c r="C35">
        <v>2.2510400000000001E-5</v>
      </c>
      <c r="D35">
        <f t="shared" si="1"/>
        <v>0.14877586085604486</v>
      </c>
      <c r="E35">
        <f t="shared" si="2"/>
        <v>12.594287632528605</v>
      </c>
      <c r="G35">
        <v>1.1923E-6</v>
      </c>
      <c r="H35">
        <v>2.3401299999999999E-5</v>
      </c>
      <c r="I35">
        <f t="shared" si="3"/>
        <v>0.13558354484502788</v>
      </c>
      <c r="J35">
        <f t="shared" si="4"/>
        <v>13.330883777101777</v>
      </c>
      <c r="L35" s="4">
        <v>5.3215899999999999E-7</v>
      </c>
      <c r="M35" s="4">
        <v>2.95286E-5</v>
      </c>
      <c r="N35" s="3">
        <f t="shared" si="5"/>
        <v>4.4468129554114576E-2</v>
      </c>
      <c r="O35" s="3">
        <f t="shared" si="6"/>
        <v>13.502059927662474</v>
      </c>
      <c r="Q35">
        <f t="shared" si="0"/>
        <v>9.9073299999999996E-7</v>
      </c>
      <c r="R35">
        <f t="shared" si="0"/>
        <v>2.5146766666666664E-5</v>
      </c>
      <c r="T35">
        <f t="shared" si="7"/>
        <v>0.10960917841839578</v>
      </c>
      <c r="U35">
        <f t="shared" si="7"/>
        <v>13.142410445764284</v>
      </c>
      <c r="W35">
        <f t="shared" si="8"/>
        <v>4.6375471144328273E-2</v>
      </c>
      <c r="X35">
        <f t="shared" si="8"/>
        <v>0.39383099795237203</v>
      </c>
    </row>
    <row r="36" spans="1:24" x14ac:dyDescent="0.35">
      <c r="A36">
        <v>218.077</v>
      </c>
      <c r="B36">
        <v>1.2397899999999999E-6</v>
      </c>
      <c r="C36">
        <v>2.2439500000000001E-5</v>
      </c>
      <c r="D36">
        <f t="shared" si="1"/>
        <v>0.14782793252658072</v>
      </c>
      <c r="E36">
        <f t="shared" si="2"/>
        <v>12.554619968109213</v>
      </c>
      <c r="G36">
        <v>1.1716999999999999E-6</v>
      </c>
      <c r="H36">
        <v>2.3294599999999999E-5</v>
      </c>
      <c r="I36">
        <f t="shared" si="3"/>
        <v>0.13324099596990621</v>
      </c>
      <c r="J36">
        <f t="shared" si="4"/>
        <v>13.270100602704765</v>
      </c>
      <c r="L36" s="4">
        <v>4.9457500000000005E-7</v>
      </c>
      <c r="M36" s="4">
        <v>2.9257100000000001E-5</v>
      </c>
      <c r="N36" s="3">
        <f t="shared" si="5"/>
        <v>4.1327545290460593E-2</v>
      </c>
      <c r="O36" s="3">
        <f t="shared" si="6"/>
        <v>13.377915563542253</v>
      </c>
      <c r="Q36">
        <f t="shared" si="0"/>
        <v>9.6868833333333337E-7</v>
      </c>
      <c r="R36">
        <f t="shared" si="0"/>
        <v>2.4997066666666668E-5</v>
      </c>
      <c r="T36">
        <f t="shared" si="7"/>
        <v>0.10746549126231582</v>
      </c>
      <c r="U36">
        <f t="shared" si="7"/>
        <v>13.067545378118744</v>
      </c>
      <c r="W36">
        <f t="shared" si="8"/>
        <v>4.7144215640656996E-2</v>
      </c>
      <c r="X36">
        <f t="shared" si="8"/>
        <v>0.36535405076918753</v>
      </c>
    </row>
    <row r="37" spans="1:24" x14ac:dyDescent="0.35">
      <c r="A37">
        <v>224.21</v>
      </c>
      <c r="B37">
        <v>1.2195200000000001E-6</v>
      </c>
      <c r="C37">
        <v>2.2373899999999999E-5</v>
      </c>
      <c r="D37">
        <f t="shared" si="1"/>
        <v>0.14541101337711687</v>
      </c>
      <c r="E37">
        <f t="shared" si="2"/>
        <v>12.51791758748986</v>
      </c>
      <c r="G37">
        <v>1.1488699999999999E-6</v>
      </c>
      <c r="H37">
        <v>2.3213600000000001E-5</v>
      </c>
      <c r="I37">
        <f t="shared" si="3"/>
        <v>0.13064486049325438</v>
      </c>
      <c r="J37">
        <f t="shared" si="4"/>
        <v>13.223957799273109</v>
      </c>
      <c r="L37" s="4">
        <v>4.6975300000000001E-7</v>
      </c>
      <c r="M37" s="4">
        <v>2.9080800000000001E-5</v>
      </c>
      <c r="N37" s="3">
        <f t="shared" si="5"/>
        <v>3.925337589411057E-2</v>
      </c>
      <c r="O37" s="3">
        <f t="shared" si="6"/>
        <v>13.297301746251664</v>
      </c>
      <c r="Q37">
        <f t="shared" si="0"/>
        <v>9.4604766666666674E-7</v>
      </c>
      <c r="R37">
        <f t="shared" si="0"/>
        <v>2.4889433333333336E-5</v>
      </c>
      <c r="T37">
        <f t="shared" si="7"/>
        <v>0.10510308325482727</v>
      </c>
      <c r="U37">
        <f t="shared" si="7"/>
        <v>13.013059044338211</v>
      </c>
      <c r="W37">
        <f t="shared" si="8"/>
        <v>4.6951377596874393E-2</v>
      </c>
      <c r="X37">
        <f t="shared" si="8"/>
        <v>0.35139591190662112</v>
      </c>
    </row>
    <row r="38" spans="1:24" x14ac:dyDescent="0.35">
      <c r="A38">
        <v>230.48099999999999</v>
      </c>
      <c r="B38">
        <v>1.1987799999999999E-6</v>
      </c>
      <c r="C38">
        <v>2.23109E-5</v>
      </c>
      <c r="D38">
        <f t="shared" si="1"/>
        <v>0.14293805318176017</v>
      </c>
      <c r="E38">
        <f t="shared" si="2"/>
        <v>12.482669874395055</v>
      </c>
      <c r="G38">
        <v>1.13402E-6</v>
      </c>
      <c r="H38">
        <v>2.3109099999999999E-5</v>
      </c>
      <c r="I38">
        <f t="shared" si="3"/>
        <v>0.12895617841580015</v>
      </c>
      <c r="J38">
        <f t="shared" si="4"/>
        <v>13.164427886203873</v>
      </c>
      <c r="L38" s="4">
        <v>4.4808700000000001E-7</v>
      </c>
      <c r="M38" s="4">
        <v>2.89118E-5</v>
      </c>
      <c r="N38" s="3">
        <f t="shared" si="5"/>
        <v>3.7442927334714889E-2</v>
      </c>
      <c r="O38" s="3">
        <f t="shared" si="6"/>
        <v>13.220025880556202</v>
      </c>
      <c r="Q38">
        <f t="shared" si="0"/>
        <v>9.2696233333333322E-7</v>
      </c>
      <c r="R38">
        <f t="shared" si="0"/>
        <v>2.4777266666666664E-5</v>
      </c>
      <c r="T38">
        <f t="shared" si="7"/>
        <v>0.10311238631075841</v>
      </c>
      <c r="U38">
        <f t="shared" si="7"/>
        <v>12.955707880385043</v>
      </c>
      <c r="W38">
        <f t="shared" si="8"/>
        <v>4.678483790821867E-2</v>
      </c>
      <c r="X38">
        <f t="shared" si="8"/>
        <v>0.33525761296574935</v>
      </c>
    </row>
    <row r="39" spans="1:24" x14ac:dyDescent="0.35">
      <c r="A39">
        <v>236.60900000000001</v>
      </c>
      <c r="B39">
        <v>1.18733E-6</v>
      </c>
      <c r="C39">
        <v>2.2236299999999999E-5</v>
      </c>
      <c r="D39">
        <f t="shared" si="1"/>
        <v>0.14157279791479613</v>
      </c>
      <c r="E39">
        <f t="shared" si="2"/>
        <v>12.440932106190731</v>
      </c>
      <c r="G39">
        <v>1.1200099999999999E-6</v>
      </c>
      <c r="H39">
        <v>2.3038299999999999E-5</v>
      </c>
      <c r="I39">
        <f t="shared" si="3"/>
        <v>0.12736301774878778</v>
      </c>
      <c r="J39">
        <f t="shared" si="4"/>
        <v>13.124095658019163</v>
      </c>
      <c r="L39" s="4">
        <v>4.2026100000000001E-7</v>
      </c>
      <c r="M39" s="4">
        <v>2.8781799999999999E-5</v>
      </c>
      <c r="N39" s="3">
        <f t="shared" si="5"/>
        <v>3.5117738485192861E-2</v>
      </c>
      <c r="O39" s="3">
        <f t="shared" si="6"/>
        <v>13.16058290694431</v>
      </c>
      <c r="Q39">
        <f t="shared" si="0"/>
        <v>9.0920033333333336E-7</v>
      </c>
      <c r="R39">
        <f t="shared" si="0"/>
        <v>2.4685466666666666E-5</v>
      </c>
      <c r="T39">
        <f t="shared" si="7"/>
        <v>0.10135118471625892</v>
      </c>
      <c r="U39">
        <f t="shared" si="7"/>
        <v>12.908536890384733</v>
      </c>
      <c r="W39">
        <f t="shared" si="8"/>
        <v>4.7192029784870859E-2</v>
      </c>
      <c r="X39">
        <f t="shared" si="8"/>
        <v>0.33098187813874036</v>
      </c>
    </row>
    <row r="40" spans="1:24" x14ac:dyDescent="0.35">
      <c r="A40">
        <v>242.952</v>
      </c>
      <c r="B40">
        <v>1.1645199999999999E-6</v>
      </c>
      <c r="C40">
        <v>2.2180000000000001E-5</v>
      </c>
      <c r="D40">
        <f t="shared" si="1"/>
        <v>0.13885301864497518</v>
      </c>
      <c r="E40">
        <f t="shared" si="2"/>
        <v>12.409432959409182</v>
      </c>
      <c r="G40">
        <v>1.1030300000000001E-6</v>
      </c>
      <c r="H40">
        <v>2.29583E-5</v>
      </c>
      <c r="I40">
        <f t="shared" si="3"/>
        <v>0.12543212066628459</v>
      </c>
      <c r="J40">
        <f t="shared" si="4"/>
        <v>13.078522518827404</v>
      </c>
      <c r="L40" s="4">
        <v>3.96401E-7</v>
      </c>
      <c r="M40" s="4">
        <v>2.8668100000000001E-5</v>
      </c>
      <c r="N40" s="3">
        <f t="shared" si="5"/>
        <v>3.3123955478307369E-2</v>
      </c>
      <c r="O40" s="3">
        <f t="shared" si="6"/>
        <v>13.108593167716062</v>
      </c>
      <c r="Q40">
        <f t="shared" si="0"/>
        <v>8.8798366666666665E-7</v>
      </c>
      <c r="R40">
        <f t="shared" si="0"/>
        <v>2.4602133333333336E-5</v>
      </c>
      <c r="T40">
        <f t="shared" si="7"/>
        <v>9.9136364929855711E-2</v>
      </c>
      <c r="U40">
        <f t="shared" si="7"/>
        <v>12.86551621531755</v>
      </c>
      <c r="W40">
        <f t="shared" si="8"/>
        <v>4.6998289166293124E-2</v>
      </c>
      <c r="X40">
        <f t="shared" si="8"/>
        <v>0.32273313353412098</v>
      </c>
    </row>
    <row r="41" spans="1:24" x14ac:dyDescent="0.35">
      <c r="A41">
        <v>249.15899999999999</v>
      </c>
      <c r="B41">
        <v>1.15075E-6</v>
      </c>
      <c r="C41">
        <v>2.21238E-5</v>
      </c>
      <c r="D41">
        <f t="shared" si="1"/>
        <v>0.13721113523658263</v>
      </c>
      <c r="E41">
        <f t="shared" si="2"/>
        <v>12.377989761378579</v>
      </c>
      <c r="G41">
        <v>1.0930299999999999E-6</v>
      </c>
      <c r="H41">
        <v>2.28855E-5</v>
      </c>
      <c r="I41">
        <f t="shared" si="3"/>
        <v>0.12429496101816724</v>
      </c>
      <c r="J41">
        <f t="shared" si="4"/>
        <v>13.037050962162903</v>
      </c>
      <c r="L41" s="4">
        <v>3.7636000000000002E-7</v>
      </c>
      <c r="M41" s="4">
        <v>2.8599299999999999E-5</v>
      </c>
      <c r="N41" s="3">
        <f t="shared" si="5"/>
        <v>3.1449294738953137E-2</v>
      </c>
      <c r="O41" s="3">
        <f t="shared" si="6"/>
        <v>13.077134117066077</v>
      </c>
      <c r="Q41">
        <f t="shared" si="0"/>
        <v>8.7337999999999995E-7</v>
      </c>
      <c r="R41">
        <f t="shared" si="0"/>
        <v>2.4536199999999997E-5</v>
      </c>
      <c r="T41">
        <f t="shared" si="7"/>
        <v>9.7651796997900997E-2</v>
      </c>
      <c r="U41">
        <f t="shared" si="7"/>
        <v>12.830724946869188</v>
      </c>
      <c r="W41">
        <f t="shared" si="8"/>
        <v>4.7108282131840415E-2</v>
      </c>
      <c r="X41">
        <f t="shared" si="8"/>
        <v>0.32055007509244565</v>
      </c>
    </row>
    <row r="42" spans="1:24" x14ac:dyDescent="0.35">
      <c r="A42">
        <v>262.24700000000001</v>
      </c>
      <c r="B42">
        <v>6.8119999999999997E-4</v>
      </c>
      <c r="C42">
        <v>1.95222E-4</v>
      </c>
      <c r="D42">
        <f t="shared" si="1"/>
        <v>81.223745664271206</v>
      </c>
      <c r="E42">
        <f t="shared" si="2"/>
        <v>109.22427056815958</v>
      </c>
      <c r="G42">
        <v>6.9227199999999996E-4</v>
      </c>
      <c r="H42">
        <v>1.84129E-4</v>
      </c>
      <c r="I42">
        <f t="shared" si="3"/>
        <v>78.722378392147235</v>
      </c>
      <c r="J42">
        <f t="shared" si="4"/>
        <v>104.89170682799558</v>
      </c>
      <c r="L42" s="4">
        <v>9.3022899999999997E-4</v>
      </c>
      <c r="M42" s="4">
        <v>2.12828E-4</v>
      </c>
      <c r="N42" s="3">
        <f t="shared" si="5"/>
        <v>77.731549568821436</v>
      </c>
      <c r="O42" s="3">
        <f t="shared" si="6"/>
        <v>97.316378368244642</v>
      </c>
      <c r="Q42">
        <f t="shared" si="0"/>
        <v>7.6790033333333334E-4</v>
      </c>
      <c r="R42">
        <f t="shared" si="0"/>
        <v>1.97393E-4</v>
      </c>
      <c r="T42">
        <f t="shared" si="7"/>
        <v>79.225891208413302</v>
      </c>
      <c r="U42">
        <f t="shared" si="7"/>
        <v>103.81078525479994</v>
      </c>
      <c r="W42">
        <f t="shared" si="8"/>
        <v>1.4694675360771077</v>
      </c>
      <c r="X42">
        <f t="shared" si="8"/>
        <v>4.9210952538873274</v>
      </c>
    </row>
    <row r="43" spans="1:24" x14ac:dyDescent="0.35">
      <c r="A43">
        <v>268.46699999999998</v>
      </c>
      <c r="B43">
        <v>7.0211799999999995E-4</v>
      </c>
      <c r="C43">
        <v>2.00359E-4</v>
      </c>
      <c r="D43">
        <f t="shared" si="1"/>
        <v>83.71792991530647</v>
      </c>
      <c r="E43">
        <f t="shared" si="2"/>
        <v>112.09835790415978</v>
      </c>
      <c r="G43">
        <v>7.1284899999999999E-4</v>
      </c>
      <c r="H43">
        <v>1.84267E-4</v>
      </c>
      <c r="I43">
        <f t="shared" si="3"/>
        <v>81.062311800078234</v>
      </c>
      <c r="J43">
        <f t="shared" si="4"/>
        <v>104.97032049310138</v>
      </c>
      <c r="L43" s="4">
        <v>9.6198099999999999E-4</v>
      </c>
      <c r="M43" s="4">
        <v>2.1647300000000001E-4</v>
      </c>
      <c r="N43" s="3">
        <f t="shared" si="5"/>
        <v>80.384801791563604</v>
      </c>
      <c r="O43" s="3">
        <f t="shared" si="6"/>
        <v>98.983067897593486</v>
      </c>
      <c r="Q43">
        <f t="shared" si="0"/>
        <v>7.9231600000000005E-4</v>
      </c>
      <c r="R43">
        <f t="shared" si="0"/>
        <v>2.0036633333333335E-4</v>
      </c>
      <c r="T43">
        <f t="shared" si="7"/>
        <v>81.721681168982769</v>
      </c>
      <c r="U43">
        <f t="shared" si="7"/>
        <v>105.35058209828487</v>
      </c>
      <c r="W43">
        <f t="shared" si="8"/>
        <v>1.4384046129441663</v>
      </c>
      <c r="X43">
        <f t="shared" si="8"/>
        <v>5.361042010366206</v>
      </c>
    </row>
    <row r="44" spans="1:24" x14ac:dyDescent="0.35">
      <c r="A44">
        <v>274.76</v>
      </c>
      <c r="B44">
        <v>7.1738399999999995E-4</v>
      </c>
      <c r="C44">
        <v>1.95117E-4</v>
      </c>
      <c r="D44">
        <f t="shared" si="1"/>
        <v>85.538190780413288</v>
      </c>
      <c r="E44">
        <f t="shared" si="2"/>
        <v>109.16552437966823</v>
      </c>
      <c r="G44">
        <v>7.29045E-4</v>
      </c>
      <c r="H44">
        <v>1.8299399999999999E-4</v>
      </c>
      <c r="I44">
        <f t="shared" si="3"/>
        <v>82.904055566169049</v>
      </c>
      <c r="J44">
        <f t="shared" si="4"/>
        <v>104.24513791571248</v>
      </c>
      <c r="L44" s="4">
        <v>9.8294799999999998E-4</v>
      </c>
      <c r="M44" s="4">
        <v>2.1564899999999999E-4</v>
      </c>
      <c r="N44" s="3">
        <f t="shared" si="5"/>
        <v>82.136840697907616</v>
      </c>
      <c r="O44" s="3">
        <f t="shared" si="6"/>
        <v>98.606290895622706</v>
      </c>
      <c r="Q44">
        <f t="shared" si="0"/>
        <v>8.0979233333333331E-4</v>
      </c>
      <c r="R44">
        <f t="shared" si="0"/>
        <v>1.9792E-4</v>
      </c>
      <c r="T44">
        <f t="shared" si="7"/>
        <v>83.526362348163318</v>
      </c>
      <c r="U44">
        <f t="shared" si="7"/>
        <v>104.0056510636678</v>
      </c>
      <c r="W44">
        <f t="shared" si="8"/>
        <v>1.4566502426520427</v>
      </c>
      <c r="X44">
        <f t="shared" si="8"/>
        <v>4.314113922686305</v>
      </c>
    </row>
    <row r="45" spans="1:24" x14ac:dyDescent="0.35">
      <c r="A45">
        <v>280.99099999999999</v>
      </c>
      <c r="B45">
        <v>7.3161799999999996E-4</v>
      </c>
      <c r="C45">
        <v>1.9004800000000001E-4</v>
      </c>
      <c r="D45">
        <f t="shared" si="1"/>
        <v>87.235399817091547</v>
      </c>
      <c r="E45">
        <f t="shared" si="2"/>
        <v>106.32948219431002</v>
      </c>
      <c r="G45">
        <v>7.4286899999999995E-4</v>
      </c>
      <c r="H45">
        <v>1.8210000000000001E-4</v>
      </c>
      <c r="I45">
        <f t="shared" si="3"/>
        <v>84.476065063726423</v>
      </c>
      <c r="J45">
        <f t="shared" si="4"/>
        <v>103.73585808524457</v>
      </c>
      <c r="L45" s="4">
        <v>9.987380000000001E-4</v>
      </c>
      <c r="M45" s="4">
        <v>2.1317100000000001E-4</v>
      </c>
      <c r="N45" s="3">
        <f t="shared" si="5"/>
        <v>83.456280500033429</v>
      </c>
      <c r="O45" s="3">
        <f t="shared" si="6"/>
        <v>97.473216367851407</v>
      </c>
      <c r="Q45">
        <f t="shared" si="0"/>
        <v>8.2440833333333326E-4</v>
      </c>
      <c r="R45">
        <f t="shared" si="0"/>
        <v>1.9510633333333331E-4</v>
      </c>
      <c r="T45">
        <f t="shared" si="7"/>
        <v>85.055915126950467</v>
      </c>
      <c r="U45">
        <f t="shared" si="7"/>
        <v>102.512852215802</v>
      </c>
      <c r="W45">
        <f t="shared" si="8"/>
        <v>1.5963719856821488</v>
      </c>
      <c r="X45">
        <f t="shared" si="8"/>
        <v>3.71754117796005</v>
      </c>
    </row>
    <row r="46" spans="1:24" x14ac:dyDescent="0.35">
      <c r="A46">
        <v>287.21100000000001</v>
      </c>
      <c r="B46">
        <v>7.4379700000000003E-4</v>
      </c>
      <c r="C46">
        <v>1.89583E-4</v>
      </c>
      <c r="D46">
        <f t="shared" si="1"/>
        <v>88.68757832332345</v>
      </c>
      <c r="E46">
        <f t="shared" si="2"/>
        <v>106.0693205024198</v>
      </c>
      <c r="G46">
        <v>7.5297700000000005E-4</v>
      </c>
      <c r="H46">
        <v>1.8285099999999999E-4</v>
      </c>
      <c r="I46">
        <f t="shared" si="3"/>
        <v>85.625506036043419</v>
      </c>
      <c r="J46">
        <f t="shared" si="4"/>
        <v>104.1636759294072</v>
      </c>
      <c r="L46" s="4">
        <v>1.01278E-3</v>
      </c>
      <c r="M46" s="4">
        <v>2.1211600000000001E-4</v>
      </c>
      <c r="N46" s="3">
        <f t="shared" si="5"/>
        <v>84.629654388662345</v>
      </c>
      <c r="O46" s="3">
        <f t="shared" si="6"/>
        <v>96.990813774308748</v>
      </c>
      <c r="Q46">
        <f t="shared" si="0"/>
        <v>8.3651800000000007E-4</v>
      </c>
      <c r="R46">
        <f t="shared" si="0"/>
        <v>1.9484999999999999E-4</v>
      </c>
      <c r="T46">
        <f t="shared" si="7"/>
        <v>86.314246249343071</v>
      </c>
      <c r="U46">
        <f t="shared" si="7"/>
        <v>102.4079367353786</v>
      </c>
      <c r="W46">
        <f t="shared" si="8"/>
        <v>1.7267424003859413</v>
      </c>
      <c r="X46">
        <f t="shared" si="8"/>
        <v>3.9086899929239389</v>
      </c>
    </row>
    <row r="47" spans="1:24" x14ac:dyDescent="0.35">
      <c r="A47">
        <v>293.38900000000001</v>
      </c>
      <c r="B47">
        <v>7.5205699999999999E-4</v>
      </c>
      <c r="C47">
        <v>1.9014499999999999E-4</v>
      </c>
      <c r="D47">
        <f t="shared" si="1"/>
        <v>89.672469895823269</v>
      </c>
      <c r="E47">
        <f t="shared" si="2"/>
        <v>106.38375248272582</v>
      </c>
      <c r="G47">
        <v>7.6309100000000003E-4</v>
      </c>
      <c r="H47">
        <v>1.83504E-4</v>
      </c>
      <c r="I47">
        <f t="shared" si="3"/>
        <v>86.775629304149277</v>
      </c>
      <c r="J47">
        <f t="shared" si="4"/>
        <v>104.53566667805995</v>
      </c>
      <c r="L47" s="4">
        <v>1.0232399999999999E-3</v>
      </c>
      <c r="M47" s="4">
        <v>2.1385299999999999E-4</v>
      </c>
      <c r="N47" s="3">
        <f t="shared" si="5"/>
        <v>85.503710141052196</v>
      </c>
      <c r="O47" s="3">
        <f t="shared" si="6"/>
        <v>97.785063352492259</v>
      </c>
      <c r="Q47">
        <f t="shared" si="0"/>
        <v>8.4612933333333331E-4</v>
      </c>
      <c r="R47">
        <f t="shared" si="0"/>
        <v>1.9583399999999998E-4</v>
      </c>
      <c r="T47">
        <f t="shared" si="7"/>
        <v>87.317269780341576</v>
      </c>
      <c r="U47">
        <f t="shared" si="7"/>
        <v>102.90149417109268</v>
      </c>
      <c r="W47">
        <f t="shared" si="8"/>
        <v>1.7444522115050165</v>
      </c>
      <c r="X47">
        <f t="shared" si="8"/>
        <v>3.6956960126156662</v>
      </c>
    </row>
    <row r="48" spans="1:24" x14ac:dyDescent="0.35">
      <c r="A48">
        <v>299.65600000000001</v>
      </c>
      <c r="B48">
        <v>7.6058699999999996E-4</v>
      </c>
      <c r="C48">
        <v>1.9198500000000001E-4</v>
      </c>
      <c r="D48">
        <f t="shared" si="1"/>
        <v>90.689555260644511</v>
      </c>
      <c r="E48">
        <f t="shared" si="2"/>
        <v>107.41320950009792</v>
      </c>
      <c r="G48">
        <v>7.6789299999999996E-4</v>
      </c>
      <c r="H48">
        <v>1.83072E-4</v>
      </c>
      <c r="I48">
        <f t="shared" si="3"/>
        <v>87.3216933671752</v>
      </c>
      <c r="J48">
        <f t="shared" si="4"/>
        <v>104.28957172642446</v>
      </c>
      <c r="L48" s="4">
        <v>1.0322700000000001E-3</v>
      </c>
      <c r="M48" s="4">
        <v>2.1333999999999999E-4</v>
      </c>
      <c r="N48" s="3">
        <f t="shared" si="5"/>
        <v>86.258272611805594</v>
      </c>
      <c r="O48" s="3">
        <f t="shared" si="6"/>
        <v>97.550492233546862</v>
      </c>
      <c r="Q48">
        <f t="shared" si="0"/>
        <v>8.5358333333333336E-4</v>
      </c>
      <c r="R48">
        <f t="shared" si="0"/>
        <v>1.9613233333333336E-4</v>
      </c>
      <c r="T48">
        <f t="shared" si="7"/>
        <v>88.089840413208435</v>
      </c>
      <c r="U48">
        <f t="shared" si="7"/>
        <v>103.08442448668974</v>
      </c>
      <c r="W48">
        <f t="shared" si="8"/>
        <v>1.8888451307121326</v>
      </c>
      <c r="X48">
        <f t="shared" si="8"/>
        <v>4.1156273618215433</v>
      </c>
    </row>
    <row r="49" spans="1:24" x14ac:dyDescent="0.35">
      <c r="A49">
        <v>305.76400000000001</v>
      </c>
      <c r="B49">
        <v>7.6532800000000002E-4</v>
      </c>
      <c r="C49">
        <v>1.8970900000000001E-4</v>
      </c>
      <c r="D49">
        <f t="shared" si="1"/>
        <v>91.254854406555125</v>
      </c>
      <c r="E49">
        <f t="shared" si="2"/>
        <v>106.13981592860941</v>
      </c>
      <c r="G49">
        <v>7.7750900000000001E-4</v>
      </c>
      <c r="H49">
        <v>1.9091600000000001E-4</v>
      </c>
      <c r="I49">
        <f t="shared" si="3"/>
        <v>88.415186084804816</v>
      </c>
      <c r="J49">
        <f t="shared" si="4"/>
        <v>108.75801802417658</v>
      </c>
      <c r="L49" s="4">
        <v>1.0412500000000001E-3</v>
      </c>
      <c r="M49" s="4">
        <v>2.16746E-4</v>
      </c>
      <c r="N49" s="3">
        <f t="shared" si="5"/>
        <v>87.008656995788485</v>
      </c>
      <c r="O49" s="3">
        <f t="shared" si="6"/>
        <v>99.107898142178442</v>
      </c>
      <c r="Q49">
        <f t="shared" si="0"/>
        <v>8.6136233333333333E-4</v>
      </c>
      <c r="R49">
        <f t="shared" si="0"/>
        <v>1.9912366666666667E-4</v>
      </c>
      <c r="T49">
        <f t="shared" si="7"/>
        <v>88.892899162382818</v>
      </c>
      <c r="U49">
        <f t="shared" si="7"/>
        <v>104.66857736498814</v>
      </c>
      <c r="W49">
        <f t="shared" si="8"/>
        <v>1.7661078583837229</v>
      </c>
      <c r="X49">
        <f t="shared" si="8"/>
        <v>4.0746869505561367</v>
      </c>
    </row>
    <row r="50" spans="1:24" x14ac:dyDescent="0.35">
      <c r="A50">
        <v>311.92599999999999</v>
      </c>
      <c r="B50">
        <v>7.7101399999999999E-4</v>
      </c>
      <c r="C50">
        <v>1.90354E-4</v>
      </c>
      <c r="D50">
        <f t="shared" si="1"/>
        <v>91.932831825590725</v>
      </c>
      <c r="E50">
        <f t="shared" si="2"/>
        <v>106.50068537219907</v>
      </c>
      <c r="G50">
        <v>7.8304399999999999E-4</v>
      </c>
      <c r="H50">
        <v>1.9259600000000001E-4</v>
      </c>
      <c r="I50">
        <f t="shared" si="3"/>
        <v>89.044603950037754</v>
      </c>
      <c r="J50">
        <f t="shared" si="4"/>
        <v>109.71505394720353</v>
      </c>
      <c r="L50" s="4">
        <v>1.0477500000000001E-3</v>
      </c>
      <c r="M50" s="4">
        <v>2.17519E-4</v>
      </c>
      <c r="N50" s="3">
        <f t="shared" si="5"/>
        <v>87.551808275954272</v>
      </c>
      <c r="O50" s="3">
        <f t="shared" si="6"/>
        <v>99.461355208347626</v>
      </c>
      <c r="Q50">
        <f t="shared" si="0"/>
        <v>8.6726933333333342E-4</v>
      </c>
      <c r="R50">
        <f t="shared" si="0"/>
        <v>2.0015633333333332E-4</v>
      </c>
      <c r="T50">
        <f t="shared" si="7"/>
        <v>89.509748017194241</v>
      </c>
      <c r="U50">
        <f t="shared" si="7"/>
        <v>105.22569817591675</v>
      </c>
      <c r="W50">
        <f t="shared" si="8"/>
        <v>1.8185362406847001</v>
      </c>
      <c r="X50">
        <f t="shared" si="8"/>
        <v>4.2820383557223991</v>
      </c>
    </row>
    <row r="51" spans="1:24" x14ac:dyDescent="0.35">
      <c r="A51">
        <v>318.20600000000002</v>
      </c>
      <c r="B51">
        <v>7.7409500000000003E-4</v>
      </c>
      <c r="C51">
        <v>1.91273E-4</v>
      </c>
      <c r="D51">
        <f t="shared" si="1"/>
        <v>92.300198766858514</v>
      </c>
      <c r="E51">
        <f t="shared" si="2"/>
        <v>107.01485439337569</v>
      </c>
      <c r="G51">
        <v>7.8545799999999995E-4</v>
      </c>
      <c r="H51">
        <v>1.8982299999999999E-4</v>
      </c>
      <c r="I51">
        <f t="shared" si="3"/>
        <v>89.319114289093278</v>
      </c>
      <c r="J51">
        <f t="shared" si="4"/>
        <v>108.13537500996912</v>
      </c>
      <c r="L51" s="4">
        <v>1.0535399999999999E-3</v>
      </c>
      <c r="M51" s="4">
        <v>2.0995700000000001E-4</v>
      </c>
      <c r="N51" s="3">
        <f t="shared" si="5"/>
        <v>88.035630723978869</v>
      </c>
      <c r="O51" s="3">
        <f t="shared" si="6"/>
        <v>96.00360315870816</v>
      </c>
      <c r="Q51">
        <f t="shared" si="0"/>
        <v>8.7103099999999998E-4</v>
      </c>
      <c r="R51">
        <f t="shared" si="0"/>
        <v>1.9701766666666668E-4</v>
      </c>
      <c r="T51">
        <f t="shared" si="7"/>
        <v>89.884981259976897</v>
      </c>
      <c r="U51">
        <f t="shared" si="7"/>
        <v>103.71794418735099</v>
      </c>
      <c r="W51">
        <f t="shared" si="8"/>
        <v>1.7863910022986429</v>
      </c>
      <c r="X51">
        <f t="shared" si="8"/>
        <v>5.4740103971831795</v>
      </c>
    </row>
    <row r="52" spans="1:24" x14ac:dyDescent="0.35">
      <c r="A52">
        <v>324.48599999999999</v>
      </c>
      <c r="B52">
        <v>7.7859000000000001E-4</v>
      </c>
      <c r="C52">
        <v>1.8974399999999999E-4</v>
      </c>
      <c r="D52">
        <f t="shared" si="1"/>
        <v>92.836165790876279</v>
      </c>
      <c r="E52">
        <f t="shared" si="2"/>
        <v>106.15939799143985</v>
      </c>
      <c r="G52">
        <v>7.9073900000000005E-4</v>
      </c>
      <c r="H52">
        <v>1.9176800000000001E-4</v>
      </c>
      <c r="I52">
        <f t="shared" si="3"/>
        <v>89.919648299264026</v>
      </c>
      <c r="J52">
        <f t="shared" si="4"/>
        <v>109.24337195656881</v>
      </c>
      <c r="L52" s="4">
        <v>1.0614400000000001E-3</v>
      </c>
      <c r="M52" s="4">
        <v>2.2192100000000001E-4</v>
      </c>
      <c r="N52" s="3">
        <f t="shared" si="5"/>
        <v>88.69576843371884</v>
      </c>
      <c r="O52" s="3">
        <f t="shared" si="6"/>
        <v>101.47418574557491</v>
      </c>
      <c r="Q52">
        <f t="shared" si="0"/>
        <v>8.7692299999999994E-4</v>
      </c>
      <c r="R52">
        <f t="shared" si="0"/>
        <v>2.0114433333333334E-4</v>
      </c>
      <c r="T52">
        <f t="shared" si="7"/>
        <v>90.483860841286386</v>
      </c>
      <c r="U52">
        <f t="shared" si="7"/>
        <v>105.62565189786119</v>
      </c>
      <c r="W52">
        <f t="shared" si="8"/>
        <v>1.7367545236677471</v>
      </c>
      <c r="X52">
        <f t="shared" si="8"/>
        <v>3.1941328781149427</v>
      </c>
    </row>
    <row r="53" spans="1:24" x14ac:dyDescent="0.35">
      <c r="A53">
        <v>330.68</v>
      </c>
      <c r="B53">
        <v>7.8480800000000001E-4</v>
      </c>
      <c r="C53">
        <v>1.91857E-4</v>
      </c>
      <c r="D53">
        <f t="shared" si="1"/>
        <v>93.57757690441187</v>
      </c>
      <c r="E53">
        <f t="shared" si="2"/>
        <v>107.34159509888943</v>
      </c>
      <c r="G53">
        <v>7.95081E-4</v>
      </c>
      <c r="H53">
        <v>1.9066100000000001E-4</v>
      </c>
      <c r="I53">
        <f t="shared" si="3"/>
        <v>90.413403018476572</v>
      </c>
      <c r="J53">
        <f t="shared" si="4"/>
        <v>108.61275364300282</v>
      </c>
      <c r="L53" s="4">
        <v>1.06539E-3</v>
      </c>
      <c r="M53" s="4">
        <v>2.2196600000000001E-4</v>
      </c>
      <c r="N53" s="3">
        <f t="shared" si="5"/>
        <v>89.025837288588804</v>
      </c>
      <c r="O53" s="3">
        <f t="shared" si="6"/>
        <v>101.49476215951752</v>
      </c>
      <c r="Q53">
        <f t="shared" si="0"/>
        <v>8.8175966666666683E-4</v>
      </c>
      <c r="R53">
        <f t="shared" si="0"/>
        <v>2.0149466666666665E-4</v>
      </c>
      <c r="T53">
        <f t="shared" si="7"/>
        <v>91.005605737159087</v>
      </c>
      <c r="U53">
        <f t="shared" si="7"/>
        <v>105.81637030046993</v>
      </c>
      <c r="W53">
        <f t="shared" si="8"/>
        <v>1.9048379506884561</v>
      </c>
      <c r="X53">
        <f t="shared" si="8"/>
        <v>3.0995896184309815</v>
      </c>
    </row>
    <row r="54" spans="1:24" x14ac:dyDescent="0.35">
      <c r="A54">
        <v>336.81799999999998</v>
      </c>
      <c r="B54">
        <v>7.8739800000000003E-4</v>
      </c>
      <c r="C54">
        <v>1.8593200000000001E-4</v>
      </c>
      <c r="D54">
        <f t="shared" si="1"/>
        <v>93.886398838161796</v>
      </c>
      <c r="E54">
        <f t="shared" si="2"/>
        <v>104.02663160544942</v>
      </c>
      <c r="G54">
        <v>7.9712700000000001E-4</v>
      </c>
      <c r="H54">
        <v>1.8650200000000001E-4</v>
      </c>
      <c r="I54">
        <f t="shared" si="3"/>
        <v>90.646065882481381</v>
      </c>
      <c r="J54">
        <f t="shared" si="4"/>
        <v>106.24352006927118</v>
      </c>
      <c r="L54" s="4">
        <v>1.0709700000000001E-3</v>
      </c>
      <c r="M54" s="4">
        <v>2.21938E-4</v>
      </c>
      <c r="N54" s="3">
        <f t="shared" si="5"/>
        <v>89.492111772177282</v>
      </c>
      <c r="O54" s="3">
        <f t="shared" si="6"/>
        <v>101.48195905750879</v>
      </c>
      <c r="Q54">
        <f t="shared" si="0"/>
        <v>8.8516499999999993E-4</v>
      </c>
      <c r="R54">
        <f t="shared" si="0"/>
        <v>1.9812400000000002E-4</v>
      </c>
      <c r="T54">
        <f t="shared" si="7"/>
        <v>91.341525497606824</v>
      </c>
      <c r="U54">
        <f t="shared" si="7"/>
        <v>103.91737024407648</v>
      </c>
      <c r="W54">
        <f t="shared" si="8"/>
        <v>1.860141170587601</v>
      </c>
      <c r="X54">
        <f t="shared" si="8"/>
        <v>1.9454338592373575</v>
      </c>
    </row>
    <row r="55" spans="1:24" x14ac:dyDescent="0.35">
      <c r="A55">
        <v>343.04300000000001</v>
      </c>
      <c r="B55">
        <v>7.8967299999999996E-4</v>
      </c>
      <c r="C55">
        <v>1.8644399999999999E-4</v>
      </c>
      <c r="D55">
        <f t="shared" si="1"/>
        <v>94.157661347536745</v>
      </c>
      <c r="E55">
        <f t="shared" si="2"/>
        <v>104.31308921028337</v>
      </c>
      <c r="G55">
        <v>8.0282400000000005E-4</v>
      </c>
      <c r="H55">
        <v>1.8857600000000001E-4</v>
      </c>
      <c r="I55">
        <f t="shared" si="3"/>
        <v>91.293905734013819</v>
      </c>
      <c r="J55">
        <f t="shared" si="4"/>
        <v>107.42500370281756</v>
      </c>
      <c r="L55" s="4">
        <v>1.07548E-3</v>
      </c>
      <c r="M55" s="4">
        <v>2.2253099999999999E-4</v>
      </c>
      <c r="N55" s="3">
        <f t="shared" si="5"/>
        <v>89.868975198876925</v>
      </c>
      <c r="O55" s="3">
        <f t="shared" si="6"/>
        <v>101.75311046790765</v>
      </c>
      <c r="Q55">
        <f t="shared" si="0"/>
        <v>8.893256666666667E-4</v>
      </c>
      <c r="R55">
        <f t="shared" si="0"/>
        <v>1.9918366666666666E-4</v>
      </c>
      <c r="T55">
        <f t="shared" si="7"/>
        <v>91.773514093475839</v>
      </c>
      <c r="U55">
        <f t="shared" si="7"/>
        <v>104.49706779366953</v>
      </c>
      <c r="W55">
        <f t="shared" si="8"/>
        <v>1.7833910310185355</v>
      </c>
      <c r="X55">
        <f t="shared" si="8"/>
        <v>2.3191922884793033</v>
      </c>
    </row>
    <row r="56" spans="1:24" x14ac:dyDescent="0.35">
      <c r="A56">
        <v>349.23899999999998</v>
      </c>
      <c r="B56">
        <v>7.9368400000000001E-4</v>
      </c>
      <c r="C56">
        <v>1.8513500000000001E-4</v>
      </c>
      <c r="D56">
        <f t="shared" si="1"/>
        <v>94.635918017911663</v>
      </c>
      <c r="E56">
        <f t="shared" si="2"/>
        <v>103.58072006042467</v>
      </c>
      <c r="G56">
        <v>8.09913E-4</v>
      </c>
      <c r="H56">
        <v>1.9388700000000001E-4</v>
      </c>
      <c r="I56">
        <f t="shared" si="3"/>
        <v>92.100038208564186</v>
      </c>
      <c r="J56">
        <f t="shared" si="4"/>
        <v>110.45049048091056</v>
      </c>
      <c r="L56" s="4">
        <v>1.08136E-3</v>
      </c>
      <c r="M56" s="4">
        <v>2.22E-4</v>
      </c>
      <c r="N56" s="3">
        <f t="shared" si="5"/>
        <v>90.360318203088426</v>
      </c>
      <c r="O56" s="3">
        <f t="shared" si="6"/>
        <v>101.51030878338523</v>
      </c>
      <c r="Q56">
        <f t="shared" si="0"/>
        <v>8.9498566666666669E-4</v>
      </c>
      <c r="R56">
        <f t="shared" si="0"/>
        <v>2.0034066666666666E-4</v>
      </c>
      <c r="T56">
        <f t="shared" si="7"/>
        <v>92.365424809854758</v>
      </c>
      <c r="U56">
        <f t="shared" si="7"/>
        <v>105.18050644157347</v>
      </c>
      <c r="W56">
        <f t="shared" si="8"/>
        <v>1.7555646727359162</v>
      </c>
      <c r="X56">
        <f t="shared" si="8"/>
        <v>3.8210992785823343</v>
      </c>
    </row>
    <row r="57" spans="1:24" x14ac:dyDescent="0.35">
      <c r="A57">
        <v>355.53699999999998</v>
      </c>
      <c r="B57">
        <v>7.9654900000000002E-4</v>
      </c>
      <c r="C57">
        <v>1.82158E-4</v>
      </c>
      <c r="D57">
        <f t="shared" si="1"/>
        <v>94.97752992532233</v>
      </c>
      <c r="E57">
        <f t="shared" si="2"/>
        <v>101.91512574481776</v>
      </c>
      <c r="G57">
        <v>8.1190699999999995E-4</v>
      </c>
      <c r="H57">
        <v>1.9364499999999999E-4</v>
      </c>
      <c r="I57">
        <f t="shared" si="3"/>
        <v>92.326787842398758</v>
      </c>
      <c r="J57">
        <f t="shared" si="4"/>
        <v>110.31263173485549</v>
      </c>
      <c r="L57" s="4">
        <v>1.0846E-3</v>
      </c>
      <c r="M57" s="4">
        <v>2.2323500000000001E-4</v>
      </c>
      <c r="N57" s="3">
        <f t="shared" si="5"/>
        <v>90.631058225817227</v>
      </c>
      <c r="O57" s="3">
        <f t="shared" si="6"/>
        <v>102.07501703269821</v>
      </c>
      <c r="Q57">
        <f t="shared" si="0"/>
        <v>8.9768533333333333E-4</v>
      </c>
      <c r="R57">
        <f t="shared" si="0"/>
        <v>1.9967933333333332E-4</v>
      </c>
      <c r="T57">
        <f t="shared" si="7"/>
        <v>92.645125331179443</v>
      </c>
      <c r="U57">
        <f t="shared" si="7"/>
        <v>104.76759150412381</v>
      </c>
      <c r="W57">
        <f t="shared" si="8"/>
        <v>1.7886602297477823</v>
      </c>
      <c r="X57">
        <f t="shared" si="8"/>
        <v>3.9214788601843855</v>
      </c>
    </row>
    <row r="58" spans="1:24" x14ac:dyDescent="0.35">
      <c r="A58">
        <v>361.666</v>
      </c>
      <c r="B58">
        <v>7.9749599999999997E-4</v>
      </c>
      <c r="C58">
        <v>1.8029999999999999E-4</v>
      </c>
      <c r="D58">
        <f t="shared" si="1"/>
        <v>95.090446670983013</v>
      </c>
      <c r="E58">
        <f t="shared" si="2"/>
        <v>100.87559795227573</v>
      </c>
      <c r="G58">
        <v>8.1378099999999997E-4</v>
      </c>
      <c r="H58">
        <v>1.9641099999999999E-4</v>
      </c>
      <c r="I58">
        <f t="shared" si="3"/>
        <v>92.539891560455956</v>
      </c>
      <c r="J58">
        <f t="shared" si="4"/>
        <v>111.88832302241059</v>
      </c>
      <c r="L58" s="4">
        <v>1.0895E-3</v>
      </c>
      <c r="M58" s="4">
        <v>2.20616E-4</v>
      </c>
      <c r="N58" s="3">
        <f t="shared" si="5"/>
        <v>91.040510729326812</v>
      </c>
      <c r="O58" s="3">
        <f t="shared" si="6"/>
        <v>100.87746974124016</v>
      </c>
      <c r="Q58">
        <f t="shared" si="0"/>
        <v>9.0025899999999993E-4</v>
      </c>
      <c r="R58">
        <f t="shared" si="0"/>
        <v>1.9910899999999997E-4</v>
      </c>
      <c r="T58">
        <f t="shared" si="7"/>
        <v>92.890282986921932</v>
      </c>
      <c r="U58">
        <f t="shared" si="7"/>
        <v>104.54713023864217</v>
      </c>
      <c r="W58">
        <f t="shared" si="8"/>
        <v>1.6718404821603685</v>
      </c>
      <c r="X58">
        <f t="shared" si="8"/>
        <v>5.1910072556450109</v>
      </c>
    </row>
    <row r="59" spans="1:24" x14ac:dyDescent="0.35">
      <c r="A59">
        <v>367.87200000000001</v>
      </c>
      <c r="B59">
        <v>8.0060799999999996E-4</v>
      </c>
      <c r="C59">
        <v>1.7898799999999999E-4</v>
      </c>
      <c r="D59">
        <f t="shared" si="1"/>
        <v>95.461509936554378</v>
      </c>
      <c r="E59">
        <f t="shared" si="2"/>
        <v>100.14155033988865</v>
      </c>
      <c r="G59">
        <v>8.1753700000000002E-4</v>
      </c>
      <c r="H59">
        <v>1.96489E-4</v>
      </c>
      <c r="I59">
        <f t="shared" si="3"/>
        <v>92.967008724288831</v>
      </c>
      <c r="J59">
        <f t="shared" si="4"/>
        <v>111.93275683312255</v>
      </c>
      <c r="L59" s="4">
        <v>1.09209E-3</v>
      </c>
      <c r="M59" s="4">
        <v>2.1938E-4</v>
      </c>
      <c r="N59" s="3">
        <f t="shared" si="5"/>
        <v>91.256935624039031</v>
      </c>
      <c r="O59" s="3">
        <f t="shared" si="6"/>
        <v>100.31230423828401</v>
      </c>
      <c r="Q59">
        <f t="shared" si="0"/>
        <v>9.0341166666666666E-4</v>
      </c>
      <c r="R59">
        <f t="shared" si="0"/>
        <v>1.9828566666666664E-4</v>
      </c>
      <c r="T59">
        <f t="shared" si="7"/>
        <v>93.228484761627428</v>
      </c>
      <c r="U59">
        <f t="shared" si="7"/>
        <v>104.12887047043175</v>
      </c>
      <c r="W59">
        <f t="shared" si="8"/>
        <v>1.7264392210448056</v>
      </c>
      <c r="X59">
        <f t="shared" si="8"/>
        <v>5.5186212646999699</v>
      </c>
    </row>
    <row r="60" spans="1:24" x14ac:dyDescent="0.35">
      <c r="A60">
        <v>374.14400000000001</v>
      </c>
      <c r="B60">
        <v>8.0255500000000004E-4</v>
      </c>
      <c r="C60">
        <v>1.7682E-4</v>
      </c>
      <c r="D60">
        <f t="shared" si="1"/>
        <v>95.693662950072195</v>
      </c>
      <c r="E60">
        <f t="shared" si="2"/>
        <v>98.928581419419828</v>
      </c>
      <c r="G60">
        <v>8.2053900000000001E-4</v>
      </c>
      <c r="H60">
        <v>1.96474E-4</v>
      </c>
      <c r="I60">
        <f t="shared" si="3"/>
        <v>93.308384050653643</v>
      </c>
      <c r="J60">
        <f t="shared" si="4"/>
        <v>111.9242118695241</v>
      </c>
      <c r="L60" s="4">
        <v>1.09315E-3</v>
      </c>
      <c r="M60" s="4">
        <v>2.1997400000000001E-4</v>
      </c>
      <c r="N60" s="3">
        <f t="shared" si="5"/>
        <v>91.345511063573753</v>
      </c>
      <c r="O60" s="3">
        <f t="shared" si="6"/>
        <v>100.58391290232605</v>
      </c>
      <c r="Q60">
        <f t="shared" si="0"/>
        <v>9.0541466666666664E-4</v>
      </c>
      <c r="R60">
        <f t="shared" si="0"/>
        <v>1.9775600000000002E-4</v>
      </c>
      <c r="T60">
        <f t="shared" si="7"/>
        <v>93.449186021433206</v>
      </c>
      <c r="U60">
        <f t="shared" si="7"/>
        <v>103.81223539708999</v>
      </c>
      <c r="W60">
        <f t="shared" si="8"/>
        <v>1.7779154654157108</v>
      </c>
      <c r="X60">
        <f t="shared" si="8"/>
        <v>5.7757049957310267</v>
      </c>
    </row>
    <row r="61" spans="1:24" x14ac:dyDescent="0.35">
      <c r="A61">
        <v>380.34899999999999</v>
      </c>
      <c r="B61">
        <v>8.04804E-4</v>
      </c>
      <c r="C61">
        <v>1.72103E-4</v>
      </c>
      <c r="D61">
        <f t="shared" si="1"/>
        <v>95.961825316482859</v>
      </c>
      <c r="E61">
        <f t="shared" si="2"/>
        <v>96.289478837384962</v>
      </c>
      <c r="G61">
        <v>8.24312E-4</v>
      </c>
      <c r="H61">
        <v>1.9610600000000001E-4</v>
      </c>
      <c r="I61">
        <f t="shared" si="3"/>
        <v>93.737434385888307</v>
      </c>
      <c r="J61">
        <f t="shared" si="4"/>
        <v>111.71457542924202</v>
      </c>
      <c r="L61" s="4">
        <v>1.09847E-3</v>
      </c>
      <c r="M61" s="4">
        <v>2.2449199999999999E-4</v>
      </c>
      <c r="N61" s="3">
        <f t="shared" si="5"/>
        <v>91.790059495955617</v>
      </c>
      <c r="O61" s="3">
        <f t="shared" si="6"/>
        <v>102.64978486216087</v>
      </c>
      <c r="Q61">
        <f t="shared" si="0"/>
        <v>9.0919533333333328E-4</v>
      </c>
      <c r="R61">
        <f t="shared" si="0"/>
        <v>1.9756699999999997E-4</v>
      </c>
      <c r="T61">
        <f t="shared" si="7"/>
        <v>93.829773066108928</v>
      </c>
      <c r="U61">
        <f t="shared" si="7"/>
        <v>103.55127970959596</v>
      </c>
      <c r="W61">
        <f t="shared" si="8"/>
        <v>1.7043673976441613</v>
      </c>
      <c r="X61">
        <f t="shared" si="8"/>
        <v>6.3294507890755698</v>
      </c>
    </row>
    <row r="62" spans="1:24" x14ac:dyDescent="0.35">
      <c r="A62">
        <v>386.57</v>
      </c>
      <c r="B62">
        <v>8.09218E-4</v>
      </c>
      <c r="C62">
        <v>1.81977E-4</v>
      </c>
      <c r="D62">
        <f t="shared" si="1"/>
        <v>96.488134202804204</v>
      </c>
      <c r="E62">
        <f t="shared" si="2"/>
        <v>101.81385850560886</v>
      </c>
      <c r="G62">
        <v>8.2535599999999996E-4</v>
      </c>
      <c r="H62">
        <v>1.95971E-4</v>
      </c>
      <c r="I62">
        <f t="shared" si="3"/>
        <v>93.856153853151753</v>
      </c>
      <c r="J62">
        <f t="shared" si="4"/>
        <v>111.63767075685591</v>
      </c>
      <c r="L62" s="4">
        <v>1.10396E-3</v>
      </c>
      <c r="M62" s="4">
        <v>2.2433300000000001E-4</v>
      </c>
      <c r="N62" s="3">
        <f t="shared" si="5"/>
        <v>92.248813423357163</v>
      </c>
      <c r="O62" s="3">
        <f t="shared" si="6"/>
        <v>102.57708153289711</v>
      </c>
      <c r="Q62">
        <f t="shared" si="0"/>
        <v>9.1284466666666664E-4</v>
      </c>
      <c r="R62">
        <f t="shared" si="0"/>
        <v>2.0076033333333337E-4</v>
      </c>
      <c r="T62">
        <f t="shared" si="7"/>
        <v>94.197700493104378</v>
      </c>
      <c r="U62">
        <f t="shared" si="7"/>
        <v>105.34287026512062</v>
      </c>
      <c r="W62">
        <f t="shared" si="8"/>
        <v>1.7474649730795868</v>
      </c>
      <c r="X62">
        <f t="shared" si="8"/>
        <v>4.4619885156290895</v>
      </c>
    </row>
    <row r="63" spans="1:24" x14ac:dyDescent="0.35">
      <c r="A63">
        <v>392.74099999999999</v>
      </c>
      <c r="B63">
        <v>8.1140599999999998E-4</v>
      </c>
      <c r="C63">
        <v>1.7887299999999999E-4</v>
      </c>
      <c r="D63">
        <f t="shared" si="1"/>
        <v>96.749023156875566</v>
      </c>
      <c r="E63">
        <f t="shared" si="2"/>
        <v>100.07720927630291</v>
      </c>
      <c r="G63">
        <v>8.2638799999999995E-4</v>
      </c>
      <c r="H63">
        <v>1.9550899999999999E-4</v>
      </c>
      <c r="I63">
        <f t="shared" si="3"/>
        <v>93.973508728837459</v>
      </c>
      <c r="J63">
        <f t="shared" si="4"/>
        <v>111.37448587802351</v>
      </c>
      <c r="L63" s="4">
        <v>1.1052799999999999E-3</v>
      </c>
      <c r="M63" s="4">
        <v>2.1966100000000001E-4</v>
      </c>
      <c r="N63" s="3">
        <f t="shared" si="5"/>
        <v>92.359114914098527</v>
      </c>
      <c r="O63" s="3">
        <f t="shared" si="6"/>
        <v>100.44079251201434</v>
      </c>
      <c r="Q63">
        <f t="shared" si="0"/>
        <v>9.1435799999999999E-4</v>
      </c>
      <c r="R63">
        <f t="shared" si="0"/>
        <v>1.9801433333333334E-4</v>
      </c>
      <c r="T63">
        <f t="shared" si="7"/>
        <v>94.360548933270522</v>
      </c>
      <c r="U63">
        <f t="shared" si="7"/>
        <v>103.96416255544692</v>
      </c>
      <c r="W63">
        <f t="shared" si="8"/>
        <v>1.8129485532112481</v>
      </c>
      <c r="X63">
        <f t="shared" si="8"/>
        <v>5.241991797091667</v>
      </c>
    </row>
    <row r="64" spans="1:24" x14ac:dyDescent="0.35">
      <c r="A64">
        <v>399.01299999999998</v>
      </c>
      <c r="B64">
        <v>8.1193300000000003E-4</v>
      </c>
      <c r="C64">
        <v>1.7280099999999999E-4</v>
      </c>
      <c r="D64">
        <f t="shared" si="1"/>
        <v>96.811860670036282</v>
      </c>
      <c r="E64">
        <f t="shared" si="2"/>
        <v>96.680001118975028</v>
      </c>
      <c r="G64">
        <v>8.3080000000000003E-4</v>
      </c>
      <c r="H64">
        <v>1.9716199999999999E-4</v>
      </c>
      <c r="I64">
        <f t="shared" si="3"/>
        <v>94.47522356558683</v>
      </c>
      <c r="J64">
        <f t="shared" si="4"/>
        <v>112.31614086657325</v>
      </c>
      <c r="L64" s="4">
        <v>1.10939E-3</v>
      </c>
      <c r="M64" s="4">
        <v>2.2043099999999999E-4</v>
      </c>
      <c r="N64" s="3">
        <f t="shared" si="5"/>
        <v>92.702553646634129</v>
      </c>
      <c r="O64" s="3">
        <f t="shared" si="6"/>
        <v>100.79287781725399</v>
      </c>
      <c r="Q64">
        <f t="shared" si="0"/>
        <v>9.1737433333333336E-4</v>
      </c>
      <c r="R64">
        <f t="shared" si="0"/>
        <v>1.9679799999999998E-4</v>
      </c>
      <c r="T64">
        <f t="shared" si="7"/>
        <v>94.663212627419099</v>
      </c>
      <c r="U64">
        <f t="shared" si="7"/>
        <v>103.26300660093409</v>
      </c>
      <c r="W64">
        <f t="shared" si="8"/>
        <v>1.6828757071695246</v>
      </c>
      <c r="X64">
        <f t="shared" si="8"/>
        <v>6.618074680125579</v>
      </c>
    </row>
    <row r="65" spans="1:24" x14ac:dyDescent="0.35">
      <c r="A65">
        <v>405.089</v>
      </c>
      <c r="B65">
        <v>8.1775800000000003E-4</v>
      </c>
      <c r="C65">
        <v>1.8065999999999999E-4</v>
      </c>
      <c r="D65">
        <f t="shared" si="1"/>
        <v>97.506411930304012</v>
      </c>
      <c r="E65">
        <f t="shared" si="2"/>
        <v>101.07701345567462</v>
      </c>
      <c r="G65">
        <v>8.3323999999999996E-4</v>
      </c>
      <c r="H65">
        <v>1.9803400000000001E-4</v>
      </c>
      <c r="I65">
        <f t="shared" si="3"/>
        <v>94.752690519727452</v>
      </c>
      <c r="J65">
        <f t="shared" si="4"/>
        <v>112.81288808376344</v>
      </c>
      <c r="L65" s="4">
        <v>1.11086E-3</v>
      </c>
      <c r="M65" s="4">
        <v>2.2042200000000001E-4</v>
      </c>
      <c r="N65" s="3">
        <f t="shared" si="5"/>
        <v>92.825389397687005</v>
      </c>
      <c r="O65" s="3">
        <f t="shared" si="6"/>
        <v>100.78876253446549</v>
      </c>
      <c r="Q65">
        <f t="shared" si="0"/>
        <v>9.2061933333333328E-4</v>
      </c>
      <c r="R65">
        <f t="shared" si="0"/>
        <v>1.9970533333333335E-4</v>
      </c>
      <c r="T65">
        <f t="shared" si="7"/>
        <v>95.028163949239499</v>
      </c>
      <c r="U65">
        <f t="shared" si="7"/>
        <v>104.8928880246345</v>
      </c>
      <c r="W65">
        <f t="shared" si="8"/>
        <v>1.9209211671300443</v>
      </c>
      <c r="X65">
        <f t="shared" si="8"/>
        <v>5.6015219866774357</v>
      </c>
    </row>
    <row r="66" spans="1:24" x14ac:dyDescent="0.35">
      <c r="A66">
        <v>411.38600000000002</v>
      </c>
      <c r="B66">
        <v>8.1828900000000004E-4</v>
      </c>
      <c r="C66">
        <v>1.81989E-4</v>
      </c>
      <c r="D66">
        <f t="shared" si="1"/>
        <v>97.569726388536154</v>
      </c>
      <c r="E66">
        <f t="shared" si="2"/>
        <v>101.82057235572218</v>
      </c>
      <c r="G66">
        <v>8.3498700000000003E-4</v>
      </c>
      <c r="H66">
        <v>1.9776799999999999E-4</v>
      </c>
      <c r="I66">
        <f t="shared" si="3"/>
        <v>94.95135231025354</v>
      </c>
      <c r="J66">
        <f t="shared" si="4"/>
        <v>112.66135739595083</v>
      </c>
      <c r="L66" s="4">
        <v>1.11451E-3</v>
      </c>
      <c r="M66" s="4">
        <v>2.25045E-4</v>
      </c>
      <c r="N66" s="3">
        <f t="shared" si="5"/>
        <v>93.130389731933946</v>
      </c>
      <c r="O66" s="3">
        <f t="shared" si="6"/>
        <v>102.90264612683302</v>
      </c>
      <c r="Q66">
        <f t="shared" si="0"/>
        <v>9.2259533333333328E-4</v>
      </c>
      <c r="R66">
        <f t="shared" si="0"/>
        <v>2.0160066666666666E-4</v>
      </c>
      <c r="T66">
        <f t="shared" si="7"/>
        <v>95.217156143574542</v>
      </c>
      <c r="U66">
        <f t="shared" si="7"/>
        <v>105.79485862616868</v>
      </c>
      <c r="W66">
        <f t="shared" si="8"/>
        <v>1.8220713937748843</v>
      </c>
      <c r="X66">
        <f t="shared" si="8"/>
        <v>4.8754025425665377</v>
      </c>
    </row>
    <row r="67" spans="1:24" x14ac:dyDescent="0.35">
      <c r="A67">
        <v>417.61700000000002</v>
      </c>
      <c r="B67">
        <v>8.1976399999999995E-4</v>
      </c>
      <c r="C67">
        <v>1.7666700000000001E-4</v>
      </c>
      <c r="D67">
        <f t="shared" si="1"/>
        <v>97.745599883625388</v>
      </c>
      <c r="E67">
        <f t="shared" si="2"/>
        <v>98.842979830475301</v>
      </c>
      <c r="G67">
        <v>8.3643200000000002E-4</v>
      </c>
      <c r="H67">
        <v>1.9816199999999999E-4</v>
      </c>
      <c r="I67">
        <f t="shared" si="3"/>
        <v>95.115671879406491</v>
      </c>
      <c r="J67">
        <f t="shared" si="4"/>
        <v>112.88580510647024</v>
      </c>
      <c r="L67" s="4">
        <v>1.11706E-3</v>
      </c>
      <c r="M67" s="4">
        <v>2.23038E-4</v>
      </c>
      <c r="N67" s="3">
        <f t="shared" si="5"/>
        <v>93.343472157229755</v>
      </c>
      <c r="O67" s="3">
        <f t="shared" si="6"/>
        <v>101.98493806499403</v>
      </c>
      <c r="Q67">
        <f t="shared" ref="Q67:R109" si="9">AVERAGE(B67,G67,L67)</f>
        <v>9.2441866666666663E-4</v>
      </c>
      <c r="R67">
        <f t="shared" si="9"/>
        <v>1.9928899999999998E-4</v>
      </c>
      <c r="T67">
        <f t="shared" si="7"/>
        <v>95.401581306753883</v>
      </c>
      <c r="U67">
        <f t="shared" si="7"/>
        <v>104.57124100064652</v>
      </c>
      <c r="W67">
        <f t="shared" si="8"/>
        <v>1.8084966648867746</v>
      </c>
      <c r="X67">
        <f t="shared" si="8"/>
        <v>6.0175829914927448</v>
      </c>
    </row>
    <row r="68" spans="1:24" x14ac:dyDescent="0.35">
      <c r="A68">
        <v>423.72800000000001</v>
      </c>
      <c r="B68">
        <v>8.2135499999999996E-4</v>
      </c>
      <c r="C68">
        <v>1.7471899999999999E-4</v>
      </c>
      <c r="D68">
        <f t="shared" ref="D68:D109" si="10">B68/$B$3*100</f>
        <v>97.935304785786073</v>
      </c>
      <c r="E68">
        <f t="shared" ref="E68:E109" si="11">C68/$C$3*100</f>
        <v>97.753098162083532</v>
      </c>
      <c r="G68">
        <v>8.3737600000000003E-4</v>
      </c>
      <c r="H68">
        <v>1.9741100000000001E-4</v>
      </c>
      <c r="I68">
        <f t="shared" ref="I68:I109" si="12">G68/$G$3*100</f>
        <v>95.223019750188769</v>
      </c>
      <c r="J68">
        <f t="shared" ref="J68:J109" si="13">H68/$H$3*100</f>
        <v>112.4579872623076</v>
      </c>
      <c r="L68" s="4">
        <v>1.1186900000000001E-3</v>
      </c>
      <c r="M68" s="4">
        <v>2.2238600000000001E-4</v>
      </c>
      <c r="N68" s="3">
        <f t="shared" ref="N68:N109" si="14">L68/$L$3*100</f>
        <v>93.479677785948255</v>
      </c>
      <c r="O68" s="3">
        <f t="shared" ref="O68:O109" si="15">M68/$M$3*100</f>
        <v>101.68680868964823</v>
      </c>
      <c r="Q68">
        <f t="shared" si="9"/>
        <v>9.2580700000000017E-4</v>
      </c>
      <c r="R68">
        <f t="shared" si="9"/>
        <v>1.9817200000000001E-4</v>
      </c>
      <c r="T68">
        <f t="shared" ref="T68:U109" si="16">AVERAGE(D68,I68,N68)</f>
        <v>95.546000773974356</v>
      </c>
      <c r="U68">
        <f t="shared" si="16"/>
        <v>103.96596470467978</v>
      </c>
      <c r="W68">
        <f t="shared" ref="W68:X109" si="17">_xlfn.STDEV.P(D68,I68,N68)</f>
        <v>1.83328312901838</v>
      </c>
      <c r="X68">
        <f t="shared" si="17"/>
        <v>6.2158053899240349</v>
      </c>
    </row>
    <row r="69" spans="1:24" x14ac:dyDescent="0.35">
      <c r="A69">
        <v>429.99799999999999</v>
      </c>
      <c r="B69">
        <v>8.2494600000000001E-4</v>
      </c>
      <c r="C69">
        <v>1.8280299999999999E-4</v>
      </c>
      <c r="D69">
        <f t="shared" si="10"/>
        <v>98.363482223661009</v>
      </c>
      <c r="E69">
        <f t="shared" si="11"/>
        <v>102.27599518840742</v>
      </c>
      <c r="G69">
        <v>8.3922200000000004E-4</v>
      </c>
      <c r="H69">
        <v>1.9842199999999999E-4</v>
      </c>
      <c r="I69">
        <f t="shared" si="12"/>
        <v>95.432939421231239</v>
      </c>
      <c r="J69">
        <f t="shared" si="13"/>
        <v>113.03391780884347</v>
      </c>
      <c r="L69" s="4">
        <v>1.12129E-3</v>
      </c>
      <c r="M69" s="4">
        <v>2.23697E-4</v>
      </c>
      <c r="N69" s="3">
        <f t="shared" si="14"/>
        <v>93.696938298014572</v>
      </c>
      <c r="O69" s="3">
        <f t="shared" si="15"/>
        <v>102.28626821584201</v>
      </c>
      <c r="Q69">
        <f t="shared" si="9"/>
        <v>9.2848600000000007E-4</v>
      </c>
      <c r="R69">
        <f t="shared" si="9"/>
        <v>2.0164066666666667E-4</v>
      </c>
      <c r="T69">
        <f t="shared" si="16"/>
        <v>95.831119980968936</v>
      </c>
      <c r="U69">
        <f t="shared" si="16"/>
        <v>105.86539373769763</v>
      </c>
      <c r="W69">
        <f t="shared" si="17"/>
        <v>1.9258018020401588</v>
      </c>
      <c r="X69">
        <f t="shared" si="17"/>
        <v>5.0689137168115943</v>
      </c>
    </row>
    <row r="70" spans="1:24" x14ac:dyDescent="0.35">
      <c r="A70">
        <v>436.13900000000001</v>
      </c>
      <c r="B70">
        <v>8.26949E-4</v>
      </c>
      <c r="C70">
        <v>1.7963300000000001E-4</v>
      </c>
      <c r="D70">
        <f t="shared" si="10"/>
        <v>98.602312468178823</v>
      </c>
      <c r="E70">
        <f t="shared" si="11"/>
        <v>100.50241978347833</v>
      </c>
      <c r="G70">
        <v>8.4247100000000002E-4</v>
      </c>
      <c r="H70">
        <v>1.98438E-4</v>
      </c>
      <c r="I70">
        <f t="shared" si="12"/>
        <v>95.802402590904549</v>
      </c>
      <c r="J70">
        <f t="shared" si="13"/>
        <v>113.04303243668184</v>
      </c>
      <c r="L70" s="4">
        <v>1.1244600000000001E-3</v>
      </c>
      <c r="M70" s="4">
        <v>2.2598299999999999E-4</v>
      </c>
      <c r="N70" s="3">
        <f t="shared" si="14"/>
        <v>93.961828999264668</v>
      </c>
      <c r="O70" s="3">
        <f t="shared" si="15"/>
        <v>103.33155004412498</v>
      </c>
      <c r="Q70">
        <f t="shared" si="9"/>
        <v>9.312933333333334E-4</v>
      </c>
      <c r="R70">
        <f t="shared" si="9"/>
        <v>2.0135133333333335E-4</v>
      </c>
      <c r="T70">
        <f t="shared" si="16"/>
        <v>96.122181352782675</v>
      </c>
      <c r="U70">
        <f t="shared" si="16"/>
        <v>105.62566742142837</v>
      </c>
      <c r="W70">
        <f t="shared" si="17"/>
        <v>1.9079160618726776</v>
      </c>
      <c r="X70">
        <f t="shared" si="17"/>
        <v>5.3705351896594742</v>
      </c>
    </row>
    <row r="71" spans="1:24" x14ac:dyDescent="0.35">
      <c r="A71">
        <v>449.34300000000002</v>
      </c>
      <c r="B71">
        <v>1.0311200000000001E-6</v>
      </c>
      <c r="C71">
        <v>2.2133900000000002E-5</v>
      </c>
      <c r="D71">
        <f t="shared" si="10"/>
        <v>0.12294690051283519</v>
      </c>
      <c r="E71">
        <f t="shared" si="11"/>
        <v>12.383640585223937</v>
      </c>
      <c r="G71">
        <v>9.78982E-7</v>
      </c>
      <c r="H71">
        <v>2.2816E-5</v>
      </c>
      <c r="I71">
        <f t="shared" si="12"/>
        <v>0.11132588266331887</v>
      </c>
      <c r="J71">
        <f t="shared" si="13"/>
        <v>12.99745929749006</v>
      </c>
      <c r="L71" s="4">
        <v>2.7854299999999998E-7</v>
      </c>
      <c r="M71" s="4">
        <v>2.8464100000000001E-5</v>
      </c>
      <c r="N71" s="3">
        <f t="shared" si="14"/>
        <v>2.327553646634133E-2</v>
      </c>
      <c r="O71" s="3">
        <f t="shared" si="15"/>
        <v>13.015313424509708</v>
      </c>
      <c r="Q71">
        <f t="shared" si="9"/>
        <v>7.6288166666666673E-7</v>
      </c>
      <c r="R71">
        <f t="shared" si="9"/>
        <v>2.4471333333333334E-5</v>
      </c>
      <c r="T71">
        <f t="shared" si="16"/>
        <v>8.584943988083181E-2</v>
      </c>
      <c r="U71">
        <f t="shared" si="16"/>
        <v>12.798804435741234</v>
      </c>
      <c r="W71">
        <f t="shared" si="17"/>
        <v>4.4500052849101059E-2</v>
      </c>
      <c r="X71">
        <f t="shared" si="17"/>
        <v>0.2936556481608697</v>
      </c>
    </row>
    <row r="72" spans="1:24" x14ac:dyDescent="0.35">
      <c r="A72">
        <v>455.57600000000002</v>
      </c>
      <c r="B72">
        <v>1.0374E-6</v>
      </c>
      <c r="C72">
        <v>2.2192999999999999E-5</v>
      </c>
      <c r="D72">
        <f t="shared" si="10"/>
        <v>0.12369570427497791</v>
      </c>
      <c r="E72">
        <f t="shared" si="11"/>
        <v>12.416706297031919</v>
      </c>
      <c r="G72">
        <v>9.826759999999999E-7</v>
      </c>
      <c r="H72">
        <v>2.28996E-5</v>
      </c>
      <c r="I72">
        <f t="shared" si="12"/>
        <v>0.1117459494373334</v>
      </c>
      <c r="J72">
        <f t="shared" si="13"/>
        <v>13.045083227945451</v>
      </c>
      <c r="L72" s="4">
        <v>2.5711800000000001E-7</v>
      </c>
      <c r="M72" s="4">
        <v>2.8528299999999999E-5</v>
      </c>
      <c r="N72" s="3">
        <f t="shared" si="14"/>
        <v>2.1485226285179491E-2</v>
      </c>
      <c r="O72" s="3">
        <f t="shared" si="15"/>
        <v>13.04466910840112</v>
      </c>
      <c r="Q72">
        <f t="shared" si="9"/>
        <v>7.5906466666666661E-7</v>
      </c>
      <c r="R72">
        <f t="shared" si="9"/>
        <v>2.4540299999999999E-5</v>
      </c>
      <c r="T72">
        <f t="shared" si="16"/>
        <v>8.5642293332496941E-2</v>
      </c>
      <c r="U72">
        <f t="shared" si="16"/>
        <v>12.835486211126161</v>
      </c>
      <c r="W72">
        <f t="shared" si="17"/>
        <v>4.5627448604653495E-2</v>
      </c>
      <c r="X72">
        <f t="shared" si="17"/>
        <v>0.29612216534209473</v>
      </c>
    </row>
    <row r="73" spans="1:24" x14ac:dyDescent="0.35">
      <c r="A73">
        <v>461.834</v>
      </c>
      <c r="B73">
        <v>1.03477E-6</v>
      </c>
      <c r="C73">
        <v>2.2141899999999999E-5</v>
      </c>
      <c r="D73">
        <f t="shared" si="10"/>
        <v>0.12338211289051368</v>
      </c>
      <c r="E73">
        <f t="shared" si="11"/>
        <v>12.388116485299467</v>
      </c>
      <c r="G73">
        <v>9.7835400000000003E-7</v>
      </c>
      <c r="H73">
        <v>2.2878E-5</v>
      </c>
      <c r="I73">
        <f t="shared" si="12"/>
        <v>0.11125446903741711</v>
      </c>
      <c r="J73">
        <f t="shared" si="13"/>
        <v>13.032778480363675</v>
      </c>
      <c r="L73" s="4">
        <v>2.57827E-7</v>
      </c>
      <c r="M73" s="4">
        <v>2.8449599999999999E-5</v>
      </c>
      <c r="N73" s="3">
        <f t="shared" si="14"/>
        <v>2.1544471555585264E-2</v>
      </c>
      <c r="O73" s="3">
        <f t="shared" si="15"/>
        <v>13.008683246683766</v>
      </c>
      <c r="Q73">
        <f t="shared" si="9"/>
        <v>7.5698366666666665E-7</v>
      </c>
      <c r="R73">
        <f t="shared" si="9"/>
        <v>2.4489833333333334E-5</v>
      </c>
      <c r="T73">
        <f t="shared" si="16"/>
        <v>8.5393684494505351E-2</v>
      </c>
      <c r="U73">
        <f t="shared" si="16"/>
        <v>12.809859404115636</v>
      </c>
      <c r="W73">
        <f t="shared" si="17"/>
        <v>4.5418875892786821E-2</v>
      </c>
      <c r="X73">
        <f t="shared" si="17"/>
        <v>0.29837947008265475</v>
      </c>
    </row>
    <row r="74" spans="1:24" x14ac:dyDescent="0.35">
      <c r="A74">
        <v>468.06400000000002</v>
      </c>
      <c r="B74">
        <v>1.01763E-6</v>
      </c>
      <c r="C74">
        <v>2.2086499999999999E-5</v>
      </c>
      <c r="D74">
        <f t="shared" si="10"/>
        <v>0.12133840325944262</v>
      </c>
      <c r="E74">
        <f t="shared" si="11"/>
        <v>12.357120877276415</v>
      </c>
      <c r="G74">
        <v>9.6750800000000006E-7</v>
      </c>
      <c r="H74">
        <v>2.2873600000000001E-5</v>
      </c>
      <c r="I74">
        <f t="shared" si="12"/>
        <v>0.11002110568306905</v>
      </c>
      <c r="J74">
        <f t="shared" si="13"/>
        <v>13.030271957708129</v>
      </c>
      <c r="L74" s="4">
        <v>2.5190900000000001E-7</v>
      </c>
      <c r="M74" s="4">
        <v>2.84218E-5</v>
      </c>
      <c r="N74" s="3">
        <f t="shared" si="14"/>
        <v>2.1049953205428167E-2</v>
      </c>
      <c r="O74" s="3">
        <f t="shared" si="15"/>
        <v>12.995971595403685</v>
      </c>
      <c r="Q74">
        <f t="shared" si="9"/>
        <v>7.4568233333333339E-7</v>
      </c>
      <c r="R74">
        <f t="shared" si="9"/>
        <v>2.4460633333333334E-5</v>
      </c>
      <c r="T74">
        <f t="shared" si="16"/>
        <v>8.4136487382646619E-2</v>
      </c>
      <c r="U74">
        <f t="shared" si="16"/>
        <v>12.794454810129409</v>
      </c>
      <c r="W74">
        <f t="shared" si="17"/>
        <v>4.4847544726388015E-2</v>
      </c>
      <c r="X74">
        <f t="shared" si="17"/>
        <v>0.30955867007946924</v>
      </c>
    </row>
    <row r="75" spans="1:24" x14ac:dyDescent="0.35">
      <c r="A75">
        <v>474.19400000000002</v>
      </c>
      <c r="B75">
        <v>1.0084599999999999E-6</v>
      </c>
      <c r="C75">
        <v>2.2053100000000001E-5</v>
      </c>
      <c r="D75">
        <f t="shared" si="10"/>
        <v>0.1202450066831928</v>
      </c>
      <c r="E75">
        <f t="shared" si="11"/>
        <v>12.338433994461075</v>
      </c>
      <c r="G75">
        <v>9.5963299999999995E-7</v>
      </c>
      <c r="H75">
        <v>2.2855200000000001E-5</v>
      </c>
      <c r="I75">
        <f t="shared" si="12"/>
        <v>0.10912559246017667</v>
      </c>
      <c r="J75">
        <f t="shared" si="13"/>
        <v>13.019790135694024</v>
      </c>
      <c r="L75" s="4">
        <v>2.4915999999999999E-7</v>
      </c>
      <c r="M75" s="4">
        <v>2.8379400000000001E-5</v>
      </c>
      <c r="N75" s="3">
        <f t="shared" si="14"/>
        <v>2.0820241994785747E-2</v>
      </c>
      <c r="O75" s="3">
        <f t="shared" si="15"/>
        <v>12.976584040933345</v>
      </c>
      <c r="Q75">
        <f t="shared" si="9"/>
        <v>7.3908433333333327E-7</v>
      </c>
      <c r="R75">
        <f t="shared" si="9"/>
        <v>2.4429233333333333E-5</v>
      </c>
      <c r="T75">
        <f t="shared" si="16"/>
        <v>8.3396947046051731E-2</v>
      </c>
      <c r="U75">
        <f t="shared" si="16"/>
        <v>12.778269390362816</v>
      </c>
      <c r="W75">
        <f t="shared" si="17"/>
        <v>4.4480657627562183E-2</v>
      </c>
      <c r="X75">
        <f t="shared" si="17"/>
        <v>0.31151037786045682</v>
      </c>
    </row>
    <row r="76" spans="1:24" x14ac:dyDescent="0.35">
      <c r="A76">
        <v>480.49299999999999</v>
      </c>
      <c r="B76">
        <v>9.9924600000000011E-7</v>
      </c>
      <c r="C76">
        <v>2.2005899999999999E-5</v>
      </c>
      <c r="D76">
        <f t="shared" si="10"/>
        <v>0.11914636371115729</v>
      </c>
      <c r="E76">
        <f t="shared" si="11"/>
        <v>12.312026184015441</v>
      </c>
      <c r="G76">
        <v>9.4330000000000004E-7</v>
      </c>
      <c r="H76">
        <v>2.2818899999999999E-5</v>
      </c>
      <c r="I76">
        <f t="shared" si="12"/>
        <v>0.10726826960690666</v>
      </c>
      <c r="J76">
        <f t="shared" si="13"/>
        <v>12.999111323785762</v>
      </c>
      <c r="L76" s="4">
        <v>2.36983E-7</v>
      </c>
      <c r="M76" s="4">
        <v>2.8308300000000001E-5</v>
      </c>
      <c r="N76" s="3">
        <f t="shared" si="14"/>
        <v>1.9802710742696704E-2</v>
      </c>
      <c r="O76" s="3">
        <f t="shared" si="15"/>
        <v>12.944073306904071</v>
      </c>
      <c r="Q76">
        <f t="shared" si="9"/>
        <v>7.2650966666666678E-7</v>
      </c>
      <c r="R76">
        <f t="shared" si="9"/>
        <v>2.4377699999999999E-5</v>
      </c>
      <c r="T76">
        <f t="shared" si="16"/>
        <v>8.2072448020253555E-2</v>
      </c>
      <c r="U76">
        <f t="shared" si="16"/>
        <v>12.751736938235091</v>
      </c>
      <c r="W76">
        <f t="shared" si="17"/>
        <v>4.4297572659980085E-2</v>
      </c>
      <c r="X76">
        <f t="shared" si="17"/>
        <v>0.31173327953864433</v>
      </c>
    </row>
    <row r="77" spans="1:24" x14ac:dyDescent="0.35">
      <c r="A77">
        <v>486.74799999999999</v>
      </c>
      <c r="B77">
        <v>9.8416900000000003E-7</v>
      </c>
      <c r="C77">
        <v>2.1965999999999999E-5</v>
      </c>
      <c r="D77">
        <f t="shared" si="10"/>
        <v>0.11734863850067546</v>
      </c>
      <c r="E77">
        <f t="shared" si="11"/>
        <v>12.289702632388732</v>
      </c>
      <c r="G77">
        <v>9.3222600000000003E-7</v>
      </c>
      <c r="H77">
        <v>2.2781499999999999E-5</v>
      </c>
      <c r="I77">
        <f t="shared" si="12"/>
        <v>0.10600897901258154</v>
      </c>
      <c r="J77">
        <f t="shared" si="13"/>
        <v>12.977805881213611</v>
      </c>
      <c r="L77" s="4">
        <v>2.2335700000000001E-7</v>
      </c>
      <c r="M77" s="4">
        <v>2.8274699999999999E-5</v>
      </c>
      <c r="N77" s="3">
        <f t="shared" si="14"/>
        <v>1.8664098535998395E-2</v>
      </c>
      <c r="O77" s="3">
        <f t="shared" si="15"/>
        <v>12.928709584493614</v>
      </c>
      <c r="Q77">
        <f t="shared" si="9"/>
        <v>7.132506666666667E-7</v>
      </c>
      <c r="R77">
        <f t="shared" si="9"/>
        <v>2.4340733333333332E-5</v>
      </c>
      <c r="T77">
        <f t="shared" si="16"/>
        <v>8.0673905349751801E-2</v>
      </c>
      <c r="U77">
        <f t="shared" si="16"/>
        <v>12.732072699365318</v>
      </c>
      <c r="W77">
        <f t="shared" si="17"/>
        <v>4.4091261984931074E-2</v>
      </c>
      <c r="X77">
        <f t="shared" si="17"/>
        <v>0.31344437965456973</v>
      </c>
    </row>
    <row r="78" spans="1:24" x14ac:dyDescent="0.35">
      <c r="A78">
        <v>492.90800000000002</v>
      </c>
      <c r="B78">
        <v>9.6892399999999997E-7</v>
      </c>
      <c r="C78">
        <v>2.1928799999999999E-5</v>
      </c>
      <c r="D78">
        <f t="shared" si="10"/>
        <v>0.11553088159719366</v>
      </c>
      <c r="E78">
        <f t="shared" si="11"/>
        <v>12.268889697037514</v>
      </c>
      <c r="G78">
        <v>9.10051E-7</v>
      </c>
      <c r="H78">
        <v>2.27437E-5</v>
      </c>
      <c r="I78">
        <f t="shared" si="12"/>
        <v>0.10348732749288138</v>
      </c>
      <c r="J78">
        <f t="shared" si="13"/>
        <v>12.956272572945506</v>
      </c>
      <c r="L78" s="4">
        <v>2.07947E-7</v>
      </c>
      <c r="M78" s="4">
        <v>2.8205399999999999E-5</v>
      </c>
      <c r="N78" s="3">
        <f t="shared" si="14"/>
        <v>1.737641219332843E-2</v>
      </c>
      <c r="O78" s="3">
        <f t="shared" si="15"/>
        <v>12.897021907022044</v>
      </c>
      <c r="Q78">
        <f t="shared" si="9"/>
        <v>6.9564066666666669E-7</v>
      </c>
      <c r="R78">
        <f t="shared" si="9"/>
        <v>2.4292633333333335E-5</v>
      </c>
      <c r="T78">
        <f t="shared" si="16"/>
        <v>7.8798207094467818E-2</v>
      </c>
      <c r="U78">
        <f t="shared" si="16"/>
        <v>12.707394725668356</v>
      </c>
      <c r="W78">
        <f t="shared" si="17"/>
        <v>4.3709186414483479E-2</v>
      </c>
      <c r="X78">
        <f t="shared" si="17"/>
        <v>0.31101195631250195</v>
      </c>
    </row>
    <row r="79" spans="1:24" x14ac:dyDescent="0.35">
      <c r="A79">
        <v>499.07900000000001</v>
      </c>
      <c r="B79">
        <v>9.5844800000000006E-7</v>
      </c>
      <c r="C79">
        <v>2.1891599999999999E-5</v>
      </c>
      <c r="D79">
        <f t="shared" si="10"/>
        <v>0.11428176245512245</v>
      </c>
      <c r="E79">
        <f t="shared" si="11"/>
        <v>12.248076761686296</v>
      </c>
      <c r="G79">
        <v>9.0396500000000003E-7</v>
      </c>
      <c r="H79">
        <v>2.2719500000000002E-5</v>
      </c>
      <c r="I79">
        <f t="shared" si="12"/>
        <v>0.10279525213103717</v>
      </c>
      <c r="J79">
        <f t="shared" si="13"/>
        <v>12.94248669834</v>
      </c>
      <c r="L79" s="4">
        <v>1.909E-7</v>
      </c>
      <c r="M79" s="4">
        <v>2.81423E-5</v>
      </c>
      <c r="N79" s="3">
        <f t="shared" si="14"/>
        <v>1.5951935289792097E-2</v>
      </c>
      <c r="O79" s="3">
        <f t="shared" si="15"/>
        <v>12.868169202138116</v>
      </c>
      <c r="Q79">
        <f t="shared" si="9"/>
        <v>6.8443766666666671E-7</v>
      </c>
      <c r="R79">
        <f t="shared" si="9"/>
        <v>2.4251133333333332E-5</v>
      </c>
      <c r="T79">
        <f t="shared" si="16"/>
        <v>7.7676316625317252E-2</v>
      </c>
      <c r="U79">
        <f t="shared" si="16"/>
        <v>12.686244220721472</v>
      </c>
      <c r="W79">
        <f t="shared" si="17"/>
        <v>4.3896920304248528E-2</v>
      </c>
      <c r="X79">
        <f t="shared" si="17"/>
        <v>0.31131314800206722</v>
      </c>
    </row>
    <row r="80" spans="1:24" x14ac:dyDescent="0.35">
      <c r="A80">
        <v>505.34300000000002</v>
      </c>
      <c r="B80">
        <v>9.5152700000000002E-7</v>
      </c>
      <c r="C80">
        <v>2.18506E-5</v>
      </c>
      <c r="D80">
        <f t="shared" si="10"/>
        <v>0.11345652824528332</v>
      </c>
      <c r="E80">
        <f t="shared" si="11"/>
        <v>12.225137773799201</v>
      </c>
      <c r="G80">
        <v>8.9925000000000001E-7</v>
      </c>
      <c r="H80">
        <v>2.26908E-5</v>
      </c>
      <c r="I80">
        <f t="shared" si="12"/>
        <v>0.10225908135694987</v>
      </c>
      <c r="J80">
        <f t="shared" si="13"/>
        <v>12.926137334654955</v>
      </c>
      <c r="L80" s="4">
        <v>1.7013300000000001E-7</v>
      </c>
      <c r="M80" s="4">
        <v>2.8076899999999999E-5</v>
      </c>
      <c r="N80" s="3">
        <f t="shared" si="14"/>
        <v>1.4216608730530114E-2</v>
      </c>
      <c r="O80" s="3">
        <f t="shared" si="15"/>
        <v>12.838264813874902</v>
      </c>
      <c r="Q80">
        <f t="shared" si="9"/>
        <v>6.7363666666666672E-7</v>
      </c>
      <c r="R80">
        <f t="shared" si="9"/>
        <v>2.4206099999999999E-5</v>
      </c>
      <c r="T80">
        <f t="shared" si="16"/>
        <v>7.6644072777587766E-2</v>
      </c>
      <c r="U80">
        <f t="shared" si="16"/>
        <v>12.663179974109687</v>
      </c>
      <c r="W80">
        <f t="shared" si="17"/>
        <v>4.4378950751561438E-2</v>
      </c>
      <c r="X80">
        <f t="shared" si="17"/>
        <v>0.31181310846584437</v>
      </c>
    </row>
    <row r="81" spans="1:24" x14ac:dyDescent="0.35">
      <c r="A81">
        <v>518.67100000000005</v>
      </c>
      <c r="B81">
        <v>6.9908999999999998E-4</v>
      </c>
      <c r="C81">
        <v>2.1290799999999999E-4</v>
      </c>
      <c r="D81">
        <f t="shared" si="10"/>
        <v>83.356882496235102</v>
      </c>
      <c r="E81">
        <f t="shared" si="11"/>
        <v>119.11936666013932</v>
      </c>
      <c r="G81">
        <v>7.04256E-4</v>
      </c>
      <c r="H81">
        <v>1.76885E-4</v>
      </c>
      <c r="I81">
        <f t="shared" si="12"/>
        <v>80.08515051445103</v>
      </c>
      <c r="J81">
        <f t="shared" si="13"/>
        <v>100.76505907418168</v>
      </c>
      <c r="L81" s="4">
        <v>9.2939900000000002E-4</v>
      </c>
      <c r="M81" s="4">
        <v>2.2139800000000001E-4</v>
      </c>
      <c r="N81" s="3">
        <f t="shared" si="14"/>
        <v>77.662193328431044</v>
      </c>
      <c r="O81" s="3">
        <f t="shared" si="15"/>
        <v>101.23504209019785</v>
      </c>
      <c r="Q81">
        <f t="shared" si="9"/>
        <v>7.7758166666666659E-4</v>
      </c>
      <c r="R81">
        <f t="shared" si="9"/>
        <v>2.0373033333333332E-4</v>
      </c>
      <c r="T81">
        <f t="shared" si="16"/>
        <v>80.368075446372401</v>
      </c>
      <c r="U81">
        <f t="shared" si="16"/>
        <v>107.03982260817294</v>
      </c>
      <c r="W81">
        <f t="shared" si="17"/>
        <v>2.3334389596049356</v>
      </c>
      <c r="X81">
        <f t="shared" si="17"/>
        <v>8.5436822423114887</v>
      </c>
    </row>
    <row r="82" spans="1:24" x14ac:dyDescent="0.35">
      <c r="A82">
        <v>524.91800000000001</v>
      </c>
      <c r="B82">
        <v>7.1993100000000004E-4</v>
      </c>
      <c r="C82">
        <v>2.1291100000000001E-4</v>
      </c>
      <c r="D82">
        <f t="shared" si="10"/>
        <v>85.841885554645387</v>
      </c>
      <c r="E82">
        <f t="shared" si="11"/>
        <v>119.12104512266765</v>
      </c>
      <c r="G82">
        <v>7.2744400000000005E-4</v>
      </c>
      <c r="H82">
        <v>1.8280099999999999E-4</v>
      </c>
      <c r="I82">
        <f t="shared" si="12"/>
        <v>82.721996306505474</v>
      </c>
      <c r="J82">
        <f t="shared" si="13"/>
        <v>104.13519271741237</v>
      </c>
      <c r="L82" s="4">
        <v>9.6002200000000005E-4</v>
      </c>
      <c r="M82" s="4">
        <v>2.28874E-4</v>
      </c>
      <c r="N82" s="3">
        <f t="shared" si="14"/>
        <v>80.221104351895178</v>
      </c>
      <c r="O82" s="3">
        <f t="shared" si="15"/>
        <v>104.65347032652484</v>
      </c>
      <c r="Q82">
        <f t="shared" si="9"/>
        <v>8.0246566666666679E-4</v>
      </c>
      <c r="R82">
        <f t="shared" si="9"/>
        <v>2.0819533333333334E-4</v>
      </c>
      <c r="T82">
        <f t="shared" si="16"/>
        <v>82.928328737682008</v>
      </c>
      <c r="U82">
        <f t="shared" si="16"/>
        <v>109.30323605553495</v>
      </c>
      <c r="W82">
        <f t="shared" si="17"/>
        <v>2.2993078866496526</v>
      </c>
      <c r="X82">
        <f t="shared" si="17"/>
        <v>6.9454629833213959</v>
      </c>
    </row>
    <row r="83" spans="1:24" x14ac:dyDescent="0.35">
      <c r="A83">
        <v>531.04899999999998</v>
      </c>
      <c r="B83">
        <v>7.3708200000000001E-4</v>
      </c>
      <c r="C83">
        <v>2.1072800000000001E-4</v>
      </c>
      <c r="D83">
        <f t="shared" si="10"/>
        <v>87.886906784662884</v>
      </c>
      <c r="E83">
        <f t="shared" si="11"/>
        <v>117.89968388955718</v>
      </c>
      <c r="G83">
        <v>7.4328600000000001E-4</v>
      </c>
      <c r="H83">
        <v>1.8290299999999999E-4</v>
      </c>
      <c r="I83">
        <f t="shared" si="12"/>
        <v>84.52348462105293</v>
      </c>
      <c r="J83">
        <f t="shared" si="13"/>
        <v>104.19329846988185</v>
      </c>
      <c r="L83" s="4">
        <v>9.8216699999999994E-4</v>
      </c>
      <c r="M83" s="4">
        <v>2.2707200000000001E-4</v>
      </c>
      <c r="N83" s="3">
        <f t="shared" si="14"/>
        <v>82.071578982552296</v>
      </c>
      <c r="O83" s="3">
        <f t="shared" si="15"/>
        <v>103.82949926153537</v>
      </c>
      <c r="Q83">
        <f t="shared" si="9"/>
        <v>8.2084500000000006E-4</v>
      </c>
      <c r="R83">
        <f t="shared" si="9"/>
        <v>2.06901E-4</v>
      </c>
      <c r="T83">
        <f t="shared" si="16"/>
        <v>84.827323462756041</v>
      </c>
      <c r="U83">
        <f t="shared" si="16"/>
        <v>108.64082720699146</v>
      </c>
      <c r="W83">
        <f t="shared" si="17"/>
        <v>2.3837991935557694</v>
      </c>
      <c r="X83">
        <f t="shared" si="17"/>
        <v>6.5486847415959382</v>
      </c>
    </row>
    <row r="84" spans="1:24" x14ac:dyDescent="0.35">
      <c r="A84">
        <v>537.19200000000001</v>
      </c>
      <c r="B84">
        <v>7.5047899999999997E-4</v>
      </c>
      <c r="C84">
        <v>2.05355E-4</v>
      </c>
      <c r="D84">
        <f t="shared" si="10"/>
        <v>89.484315065144727</v>
      </c>
      <c r="E84">
        <f t="shared" si="11"/>
        <v>114.89355750132879</v>
      </c>
      <c r="G84">
        <v>7.57346E-4</v>
      </c>
      <c r="H84">
        <v>1.8510600000000001E-4</v>
      </c>
      <c r="I84">
        <f t="shared" si="12"/>
        <v>86.122331086305877</v>
      </c>
      <c r="J84">
        <f t="shared" si="13"/>
        <v>105.44826879037497</v>
      </c>
      <c r="L84" s="4">
        <v>9.9691899999999997E-4</v>
      </c>
      <c r="M84" s="4">
        <v>2.2098800000000001E-4</v>
      </c>
      <c r="N84" s="3">
        <f t="shared" si="14"/>
        <v>83.304281703322403</v>
      </c>
      <c r="O84" s="3">
        <f t="shared" si="15"/>
        <v>101.04756809649879</v>
      </c>
      <c r="Q84">
        <f t="shared" si="9"/>
        <v>8.3491466666666661E-4</v>
      </c>
      <c r="R84">
        <f t="shared" si="9"/>
        <v>2.0381633333333335E-4</v>
      </c>
      <c r="T84">
        <f t="shared" si="16"/>
        <v>86.303642618257683</v>
      </c>
      <c r="U84">
        <f t="shared" si="16"/>
        <v>107.12979812940084</v>
      </c>
      <c r="W84">
        <f t="shared" si="17"/>
        <v>2.5262433891746938</v>
      </c>
      <c r="X84">
        <f t="shared" si="17"/>
        <v>5.7763028162871164</v>
      </c>
    </row>
    <row r="85" spans="1:24" x14ac:dyDescent="0.35">
      <c r="A85">
        <v>543.55200000000002</v>
      </c>
      <c r="B85">
        <v>7.5834999999999997E-4</v>
      </c>
      <c r="C85">
        <v>1.90576E-4</v>
      </c>
      <c r="D85">
        <f t="shared" si="10"/>
        <v>90.422823729448126</v>
      </c>
      <c r="E85">
        <f t="shared" si="11"/>
        <v>106.62489159929504</v>
      </c>
      <c r="G85">
        <v>7.6711499999999996E-4</v>
      </c>
      <c r="H85">
        <v>1.8562099999999999E-4</v>
      </c>
      <c r="I85">
        <f t="shared" si="12"/>
        <v>87.233222346551671</v>
      </c>
      <c r="J85">
        <f t="shared" si="13"/>
        <v>105.74164587392193</v>
      </c>
      <c r="L85" s="4">
        <v>1.0107200000000001E-3</v>
      </c>
      <c r="M85" s="4">
        <v>2.2146899999999999E-4</v>
      </c>
      <c r="N85" s="3">
        <f t="shared" si="14"/>
        <v>84.457517213717509</v>
      </c>
      <c r="O85" s="3">
        <f t="shared" si="15"/>
        <v>101.26750709886281</v>
      </c>
      <c r="Q85">
        <f t="shared" si="9"/>
        <v>8.4539499999999998E-4</v>
      </c>
      <c r="R85">
        <f t="shared" si="9"/>
        <v>1.9922199999999998E-4</v>
      </c>
      <c r="T85">
        <f t="shared" si="16"/>
        <v>87.371187763239107</v>
      </c>
      <c r="U85">
        <f t="shared" si="16"/>
        <v>104.5446815240266</v>
      </c>
      <c r="W85">
        <f t="shared" si="17"/>
        <v>2.4372793984011274</v>
      </c>
      <c r="X85">
        <f t="shared" si="17"/>
        <v>2.3451986287673159</v>
      </c>
    </row>
    <row r="86" spans="1:24" x14ac:dyDescent="0.35">
      <c r="A86">
        <v>549.649</v>
      </c>
      <c r="B86">
        <v>7.6698200000000004E-4</v>
      </c>
      <c r="C86">
        <v>1.91731E-4</v>
      </c>
      <c r="D86">
        <f t="shared" si="10"/>
        <v>91.452071193590811</v>
      </c>
      <c r="E86">
        <f t="shared" si="11"/>
        <v>107.2710996726998</v>
      </c>
      <c r="G86">
        <v>7.76792E-4</v>
      </c>
      <c r="H86">
        <v>1.87126E-4</v>
      </c>
      <c r="I86">
        <f t="shared" si="12"/>
        <v>88.333651738034817</v>
      </c>
      <c r="J86">
        <f t="shared" si="13"/>
        <v>106.59899055496692</v>
      </c>
      <c r="L86" s="4">
        <v>1.02059E-3</v>
      </c>
      <c r="M86" s="4">
        <v>2.26107E-4</v>
      </c>
      <c r="N86" s="3">
        <f t="shared" si="14"/>
        <v>85.282271542215383</v>
      </c>
      <c r="O86" s="3">
        <f t="shared" si="15"/>
        <v>103.38824949587786</v>
      </c>
      <c r="Q86">
        <f t="shared" si="9"/>
        <v>8.5478799999999999E-4</v>
      </c>
      <c r="R86">
        <f t="shared" si="9"/>
        <v>2.0165466666666667E-4</v>
      </c>
      <c r="T86">
        <f t="shared" si="16"/>
        <v>88.355998157946999</v>
      </c>
      <c r="U86">
        <f t="shared" si="16"/>
        <v>105.75277990784819</v>
      </c>
      <c r="W86">
        <f t="shared" si="17"/>
        <v>2.5188597230215444</v>
      </c>
      <c r="X86">
        <f t="shared" si="17"/>
        <v>1.6943407210248225</v>
      </c>
    </row>
    <row r="87" spans="1:24" x14ac:dyDescent="0.35">
      <c r="A87">
        <v>555.86300000000006</v>
      </c>
      <c r="B87">
        <v>7.7428100000000004E-4</v>
      </c>
      <c r="C87">
        <v>1.9212100000000001E-4</v>
      </c>
      <c r="D87">
        <f t="shared" si="10"/>
        <v>92.32237671267994</v>
      </c>
      <c r="E87">
        <f t="shared" si="11"/>
        <v>107.48929980138196</v>
      </c>
      <c r="G87">
        <v>7.85E-4</v>
      </c>
      <c r="H87">
        <v>1.9383200000000001E-4</v>
      </c>
      <c r="I87">
        <f t="shared" si="12"/>
        <v>89.267032377209503</v>
      </c>
      <c r="J87">
        <f t="shared" si="13"/>
        <v>110.41915894771623</v>
      </c>
      <c r="L87" s="4">
        <v>1.0316100000000001E-3</v>
      </c>
      <c r="M87" s="4">
        <v>2.25522E-4</v>
      </c>
      <c r="N87" s="3">
        <f t="shared" si="14"/>
        <v>86.203121866434927</v>
      </c>
      <c r="O87" s="3">
        <f t="shared" si="15"/>
        <v>103.12075611462434</v>
      </c>
      <c r="Q87">
        <f t="shared" si="9"/>
        <v>8.6363033333333337E-4</v>
      </c>
      <c r="R87">
        <f t="shared" si="9"/>
        <v>2.0382500000000001E-4</v>
      </c>
      <c r="T87">
        <f t="shared" si="16"/>
        <v>89.264176985441452</v>
      </c>
      <c r="U87">
        <f t="shared" si="16"/>
        <v>107.00973828790751</v>
      </c>
      <c r="W87">
        <f t="shared" si="17"/>
        <v>2.4981761458138325</v>
      </c>
      <c r="X87">
        <f t="shared" si="17"/>
        <v>2.9987948037420344</v>
      </c>
    </row>
    <row r="88" spans="1:24" x14ac:dyDescent="0.35">
      <c r="A88">
        <v>562.19600000000003</v>
      </c>
      <c r="B88">
        <v>7.8331600000000005E-4</v>
      </c>
      <c r="C88">
        <v>1.93494E-4</v>
      </c>
      <c r="D88">
        <f t="shared" si="10"/>
        <v>93.399676392769038</v>
      </c>
      <c r="E88">
        <f t="shared" si="11"/>
        <v>108.25747615184491</v>
      </c>
      <c r="G88">
        <v>7.9327900000000003E-4</v>
      </c>
      <c r="H88">
        <v>1.9607399999999999E-4</v>
      </c>
      <c r="I88">
        <f t="shared" si="12"/>
        <v>90.208486849885844</v>
      </c>
      <c r="J88">
        <f t="shared" si="13"/>
        <v>111.6963461735653</v>
      </c>
      <c r="L88" s="4">
        <v>1.03921E-3</v>
      </c>
      <c r="M88" s="4">
        <v>2.2374299999999999E-4</v>
      </c>
      <c r="N88" s="3">
        <f t="shared" si="14"/>
        <v>86.838191055551846</v>
      </c>
      <c r="O88" s="3">
        <f t="shared" si="15"/>
        <v>102.30730188342774</v>
      </c>
      <c r="Q88">
        <f t="shared" si="9"/>
        <v>8.7193500000000001E-4</v>
      </c>
      <c r="R88">
        <f t="shared" si="9"/>
        <v>2.0443699999999999E-4</v>
      </c>
      <c r="T88">
        <f t="shared" si="16"/>
        <v>90.148784766068914</v>
      </c>
      <c r="U88">
        <f t="shared" si="16"/>
        <v>107.42037473627931</v>
      </c>
      <c r="W88">
        <f t="shared" si="17"/>
        <v>2.6790478049409168</v>
      </c>
      <c r="X88">
        <f t="shared" si="17"/>
        <v>3.8784956065892038</v>
      </c>
    </row>
    <row r="89" spans="1:24" x14ac:dyDescent="0.35">
      <c r="A89">
        <v>568.34699999999998</v>
      </c>
      <c r="B89">
        <v>7.8530699999999995E-4</v>
      </c>
      <c r="C89">
        <v>1.87691E-4</v>
      </c>
      <c r="D89">
        <f t="shared" si="10"/>
        <v>93.637075802072559</v>
      </c>
      <c r="E89">
        <f t="shared" si="11"/>
        <v>105.01077013455675</v>
      </c>
      <c r="G89">
        <v>7.9905899999999997E-4</v>
      </c>
      <c r="H89">
        <v>1.9678999999999999E-4</v>
      </c>
      <c r="I89">
        <f t="shared" si="12"/>
        <v>90.865765126497635</v>
      </c>
      <c r="J89">
        <f t="shared" si="13"/>
        <v>112.10422576933155</v>
      </c>
      <c r="L89" s="4">
        <v>1.0463E-3</v>
      </c>
      <c r="M89" s="4">
        <v>2.2418899999999999E-4</v>
      </c>
      <c r="N89" s="3">
        <f t="shared" si="14"/>
        <v>87.430643759609595</v>
      </c>
      <c r="O89" s="3">
        <f t="shared" si="15"/>
        <v>102.51123700828086</v>
      </c>
      <c r="Q89">
        <f t="shared" si="9"/>
        <v>8.7688866666666657E-4</v>
      </c>
      <c r="R89">
        <f t="shared" si="9"/>
        <v>2.0288999999999998E-4</v>
      </c>
      <c r="T89">
        <f t="shared" si="16"/>
        <v>90.644494896059939</v>
      </c>
      <c r="U89">
        <f t="shared" si="16"/>
        <v>106.54207763738971</v>
      </c>
      <c r="W89">
        <f t="shared" si="17"/>
        <v>2.5385914809313999</v>
      </c>
      <c r="X89">
        <f t="shared" si="17"/>
        <v>4.063252830232253</v>
      </c>
    </row>
    <row r="90" spans="1:24" x14ac:dyDescent="0.35">
      <c r="A90">
        <v>574.55200000000002</v>
      </c>
      <c r="B90">
        <v>7.8972999999999999E-4</v>
      </c>
      <c r="C90">
        <v>1.8742499999999999E-4</v>
      </c>
      <c r="D90">
        <f t="shared" si="10"/>
        <v>94.164457814804607</v>
      </c>
      <c r="E90">
        <f t="shared" si="11"/>
        <v>104.86194645704533</v>
      </c>
      <c r="G90">
        <v>8.0354700000000005E-4</v>
      </c>
      <c r="H90">
        <v>1.95992E-4</v>
      </c>
      <c r="I90">
        <f t="shared" si="12"/>
        <v>91.376122376572695</v>
      </c>
      <c r="J90">
        <f t="shared" si="13"/>
        <v>111.64963370589376</v>
      </c>
      <c r="L90" s="4">
        <v>1.05156E-3</v>
      </c>
      <c r="M90" s="4">
        <v>2.2359499999999999E-4</v>
      </c>
      <c r="N90" s="3">
        <f t="shared" si="14"/>
        <v>87.870178487866838</v>
      </c>
      <c r="O90" s="3">
        <f t="shared" si="15"/>
        <v>102.23962834423884</v>
      </c>
      <c r="Q90">
        <f t="shared" si="9"/>
        <v>8.8161233333333342E-4</v>
      </c>
      <c r="R90">
        <f t="shared" si="9"/>
        <v>2.0233733333333332E-4</v>
      </c>
      <c r="T90">
        <f t="shared" si="16"/>
        <v>91.136919559748051</v>
      </c>
      <c r="U90">
        <f t="shared" si="16"/>
        <v>106.25040283572598</v>
      </c>
      <c r="W90">
        <f t="shared" si="17"/>
        <v>2.5751895143285641</v>
      </c>
      <c r="X90">
        <f t="shared" si="17"/>
        <v>3.9650900421232835</v>
      </c>
    </row>
    <row r="91" spans="1:24" x14ac:dyDescent="0.35">
      <c r="A91">
        <v>580.73699999999997</v>
      </c>
      <c r="B91">
        <v>7.9261800000000003E-4</v>
      </c>
      <c r="C91">
        <v>1.8652799999999999E-4</v>
      </c>
      <c r="D91">
        <f t="shared" si="10"/>
        <v>94.508812156375981</v>
      </c>
      <c r="E91">
        <f t="shared" si="11"/>
        <v>104.36008616107645</v>
      </c>
      <c r="G91">
        <v>8.0749499999999998E-4</v>
      </c>
      <c r="H91">
        <v>1.9737800000000001E-4</v>
      </c>
      <c r="I91">
        <f t="shared" si="12"/>
        <v>91.825073005649401</v>
      </c>
      <c r="J91">
        <f t="shared" si="13"/>
        <v>112.43918834239099</v>
      </c>
      <c r="L91" s="4">
        <v>1.05747E-3</v>
      </c>
      <c r="M91" s="4">
        <v>2.2394799999999999E-4</v>
      </c>
      <c r="N91" s="3">
        <f t="shared" si="14"/>
        <v>88.36402834414065</v>
      </c>
      <c r="O91" s="3">
        <f t="shared" si="15"/>
        <v>102.40103888027727</v>
      </c>
      <c r="Q91">
        <f t="shared" si="9"/>
        <v>8.8586099999999994E-4</v>
      </c>
      <c r="R91">
        <f t="shared" si="9"/>
        <v>2.02618E-4</v>
      </c>
      <c r="T91">
        <f t="shared" si="16"/>
        <v>91.565971168722015</v>
      </c>
      <c r="U91">
        <f t="shared" si="16"/>
        <v>106.40010446124825</v>
      </c>
      <c r="W91">
        <f t="shared" si="17"/>
        <v>2.5152789568557075</v>
      </c>
      <c r="X91">
        <f t="shared" si="17"/>
        <v>4.3445266067171868</v>
      </c>
    </row>
    <row r="92" spans="1:24" x14ac:dyDescent="0.35">
      <c r="A92">
        <v>587.00400000000002</v>
      </c>
      <c r="B92">
        <v>7.9929700000000003E-4</v>
      </c>
      <c r="C92">
        <v>1.8754700000000001E-4</v>
      </c>
      <c r="D92">
        <f t="shared" si="10"/>
        <v>95.305191189393696</v>
      </c>
      <c r="E92">
        <f t="shared" si="11"/>
        <v>104.93020393319721</v>
      </c>
      <c r="G92">
        <v>8.1068600000000002E-4</v>
      </c>
      <c r="H92">
        <v>1.9612699999999999E-4</v>
      </c>
      <c r="I92">
        <f t="shared" si="12"/>
        <v>92.187940649363654</v>
      </c>
      <c r="J92">
        <f t="shared" si="13"/>
        <v>111.72653837827984</v>
      </c>
      <c r="L92" s="4">
        <v>1.06167E-3</v>
      </c>
      <c r="M92" s="4">
        <v>2.23532E-4</v>
      </c>
      <c r="N92" s="3">
        <f t="shared" si="14"/>
        <v>88.714987632863156</v>
      </c>
      <c r="O92" s="3">
        <f t="shared" si="15"/>
        <v>102.21082136471922</v>
      </c>
      <c r="Q92">
        <f t="shared" si="9"/>
        <v>8.9055100000000017E-4</v>
      </c>
      <c r="R92">
        <f t="shared" si="9"/>
        <v>2.0240199999999999E-4</v>
      </c>
      <c r="T92">
        <f t="shared" si="16"/>
        <v>92.069373157206826</v>
      </c>
      <c r="U92">
        <f t="shared" si="16"/>
        <v>106.28918789206541</v>
      </c>
      <c r="W92">
        <f t="shared" si="17"/>
        <v>2.6917453342610518</v>
      </c>
      <c r="X92">
        <f t="shared" si="17"/>
        <v>4.0018617018322526</v>
      </c>
    </row>
    <row r="93" spans="1:24" x14ac:dyDescent="0.35">
      <c r="A93">
        <v>593.21</v>
      </c>
      <c r="B93">
        <v>8.0431700000000003E-4</v>
      </c>
      <c r="C93">
        <v>1.8718200000000001E-4</v>
      </c>
      <c r="D93">
        <f t="shared" si="10"/>
        <v>95.903757254036449</v>
      </c>
      <c r="E93">
        <f t="shared" si="11"/>
        <v>104.7259909922511</v>
      </c>
      <c r="G93">
        <v>8.12227E-4</v>
      </c>
      <c r="H93">
        <v>1.9042899999999999E-4</v>
      </c>
      <c r="I93">
        <f t="shared" si="12"/>
        <v>92.363176951138527</v>
      </c>
      <c r="J93">
        <f t="shared" si="13"/>
        <v>108.4805915393467</v>
      </c>
      <c r="L93" s="4">
        <v>1.06784E-3</v>
      </c>
      <c r="M93" s="4">
        <v>2.2416100000000001E-4</v>
      </c>
      <c r="N93" s="3">
        <f t="shared" si="14"/>
        <v>89.230563540343596</v>
      </c>
      <c r="O93" s="3">
        <f t="shared" si="15"/>
        <v>102.49843390627215</v>
      </c>
      <c r="Q93">
        <f t="shared" si="9"/>
        <v>8.9479466666666672E-4</v>
      </c>
      <c r="R93">
        <f t="shared" si="9"/>
        <v>2.0059066666666667E-4</v>
      </c>
      <c r="T93">
        <f t="shared" si="16"/>
        <v>92.499165915172853</v>
      </c>
      <c r="U93">
        <f t="shared" si="16"/>
        <v>105.23500547929</v>
      </c>
      <c r="W93">
        <f t="shared" si="17"/>
        <v>2.7260164262004247</v>
      </c>
      <c r="X93">
        <f t="shared" si="17"/>
        <v>2.4685858701896009</v>
      </c>
    </row>
    <row r="94" spans="1:24" x14ac:dyDescent="0.35">
      <c r="A94">
        <v>599.31799999999998</v>
      </c>
      <c r="B94">
        <v>8.0741600000000004E-4</v>
      </c>
      <c r="C94">
        <v>1.8313100000000001E-4</v>
      </c>
      <c r="D94">
        <f t="shared" si="10"/>
        <v>96.273270448125672</v>
      </c>
      <c r="E94">
        <f t="shared" si="11"/>
        <v>102.45950709150419</v>
      </c>
      <c r="G94">
        <v>8.1956200000000002E-4</v>
      </c>
      <c r="H94">
        <v>1.93353E-4</v>
      </c>
      <c r="I94">
        <f t="shared" si="12"/>
        <v>93.197283553032577</v>
      </c>
      <c r="J94">
        <f t="shared" si="13"/>
        <v>110.14628977680556</v>
      </c>
      <c r="L94" s="4">
        <v>1.0738200000000001E-3</v>
      </c>
      <c r="M94" s="4">
        <v>2.22745E-4</v>
      </c>
      <c r="N94" s="3">
        <f t="shared" si="14"/>
        <v>89.730262718096128</v>
      </c>
      <c r="O94" s="3">
        <f t="shared" si="15"/>
        <v>101.85096274754568</v>
      </c>
      <c r="Q94">
        <f t="shared" si="9"/>
        <v>9.0026599999999994E-4</v>
      </c>
      <c r="R94">
        <f t="shared" si="9"/>
        <v>1.9974299999999997E-4</v>
      </c>
      <c r="T94">
        <f t="shared" si="16"/>
        <v>93.066938906418116</v>
      </c>
      <c r="U94">
        <f t="shared" si="16"/>
        <v>104.81891987195182</v>
      </c>
      <c r="W94">
        <f t="shared" si="17"/>
        <v>2.6727613478675787</v>
      </c>
      <c r="X94">
        <f t="shared" si="17"/>
        <v>3.7752027876655894</v>
      </c>
    </row>
    <row r="95" spans="1:24" x14ac:dyDescent="0.35">
      <c r="A95">
        <v>605.59400000000005</v>
      </c>
      <c r="B95">
        <v>8.1492900000000004E-4</v>
      </c>
      <c r="C95">
        <v>1.9338800000000001E-4</v>
      </c>
      <c r="D95">
        <f t="shared" si="10"/>
        <v>97.169092528536211</v>
      </c>
      <c r="E95">
        <f t="shared" si="11"/>
        <v>108.19817047584415</v>
      </c>
      <c r="G95">
        <v>8.2295000000000003E-4</v>
      </c>
      <c r="H95">
        <v>1.9612699999999999E-4</v>
      </c>
      <c r="I95">
        <f t="shared" si="12"/>
        <v>93.582553241814722</v>
      </c>
      <c r="J95">
        <f t="shared" si="13"/>
        <v>111.72653837827984</v>
      </c>
      <c r="L95" s="4">
        <v>1.07799E-3</v>
      </c>
      <c r="M95" s="4">
        <v>2.23198E-4</v>
      </c>
      <c r="N95" s="3">
        <f t="shared" si="14"/>
        <v>90.078715154756324</v>
      </c>
      <c r="O95" s="3">
        <f t="shared" si="15"/>
        <v>102.05809864790096</v>
      </c>
      <c r="Q95">
        <f t="shared" si="9"/>
        <v>9.0528966666666673E-4</v>
      </c>
      <c r="R95">
        <f t="shared" si="9"/>
        <v>2.0423766666666666E-4</v>
      </c>
      <c r="T95">
        <f t="shared" si="16"/>
        <v>93.610120308369076</v>
      </c>
      <c r="U95">
        <f t="shared" si="16"/>
        <v>107.32760250067498</v>
      </c>
      <c r="W95">
        <f t="shared" si="17"/>
        <v>2.8947000746215781</v>
      </c>
      <c r="X95">
        <f t="shared" si="17"/>
        <v>3.9948381823326966</v>
      </c>
    </row>
    <row r="96" spans="1:24" x14ac:dyDescent="0.35">
      <c r="A96">
        <v>611.76900000000001</v>
      </c>
      <c r="B96">
        <v>8.1819300000000005E-4</v>
      </c>
      <c r="C96">
        <v>1.96374E-4</v>
      </c>
      <c r="D96">
        <f t="shared" si="10"/>
        <v>97.558279706821878</v>
      </c>
      <c r="E96">
        <f t="shared" si="11"/>
        <v>109.86880017903601</v>
      </c>
      <c r="G96">
        <v>8.2787900000000001E-4</v>
      </c>
      <c r="H96">
        <v>1.9850600000000001E-4</v>
      </c>
      <c r="I96">
        <f t="shared" si="12"/>
        <v>94.143059232371755</v>
      </c>
      <c r="J96">
        <f t="shared" si="13"/>
        <v>113.08176960499483</v>
      </c>
      <c r="L96" s="4">
        <v>1.08142E-3</v>
      </c>
      <c r="M96" s="4">
        <v>2.2193700000000001E-4</v>
      </c>
      <c r="N96" s="3">
        <f t="shared" si="14"/>
        <v>90.365331907213047</v>
      </c>
      <c r="O96" s="3">
        <f t="shared" si="15"/>
        <v>101.48150180386561</v>
      </c>
      <c r="Q96">
        <f t="shared" si="9"/>
        <v>9.0916400000000007E-4</v>
      </c>
      <c r="R96">
        <f t="shared" si="9"/>
        <v>2.0560566666666665E-4</v>
      </c>
      <c r="T96">
        <f t="shared" si="16"/>
        <v>94.022223615468889</v>
      </c>
      <c r="U96">
        <f t="shared" si="16"/>
        <v>108.14402386263215</v>
      </c>
      <c r="W96">
        <f t="shared" si="17"/>
        <v>2.9377514583672779</v>
      </c>
      <c r="X96">
        <f t="shared" si="17"/>
        <v>4.8903096882644421</v>
      </c>
    </row>
    <row r="97" spans="1:24" x14ac:dyDescent="0.35">
      <c r="A97">
        <v>617.947</v>
      </c>
      <c r="B97">
        <v>8.1777399999999995E-4</v>
      </c>
      <c r="C97">
        <v>1.8278200000000001E-4</v>
      </c>
      <c r="D97">
        <f t="shared" si="10"/>
        <v>97.508319710589717</v>
      </c>
      <c r="E97">
        <f t="shared" si="11"/>
        <v>102.26424595070915</v>
      </c>
      <c r="G97">
        <v>8.2981899999999998E-4</v>
      </c>
      <c r="H97">
        <v>1.9791700000000001E-4</v>
      </c>
      <c r="I97">
        <f t="shared" si="12"/>
        <v>94.363668204106517</v>
      </c>
      <c r="J97">
        <f t="shared" si="13"/>
        <v>112.74623736769549</v>
      </c>
      <c r="L97" s="4">
        <v>1.08607E-3</v>
      </c>
      <c r="M97" s="4">
        <v>2.2514900000000001E-4</v>
      </c>
      <c r="N97" s="3">
        <f t="shared" si="14"/>
        <v>90.753893976870103</v>
      </c>
      <c r="O97" s="3">
        <f t="shared" si="15"/>
        <v>102.95020050572252</v>
      </c>
      <c r="Q97">
        <f t="shared" si="9"/>
        <v>9.1122099999999993E-4</v>
      </c>
      <c r="R97">
        <f t="shared" si="9"/>
        <v>2.0194933333333333E-4</v>
      </c>
      <c r="T97">
        <f t="shared" si="16"/>
        <v>94.208627297188784</v>
      </c>
      <c r="U97">
        <f t="shared" si="16"/>
        <v>105.98689460804239</v>
      </c>
      <c r="W97">
        <f t="shared" si="17"/>
        <v>2.7596612123226096</v>
      </c>
      <c r="X97">
        <f t="shared" si="17"/>
        <v>4.7877739656853739</v>
      </c>
    </row>
    <row r="98" spans="1:24" x14ac:dyDescent="0.35">
      <c r="A98">
        <v>624.12199999999996</v>
      </c>
      <c r="B98">
        <v>8.2059400000000001E-4</v>
      </c>
      <c r="C98">
        <v>1.8249499999999999E-4</v>
      </c>
      <c r="D98">
        <f t="shared" si="10"/>
        <v>97.844565985946801</v>
      </c>
      <c r="E98">
        <f t="shared" si="11"/>
        <v>102.10367303549947</v>
      </c>
      <c r="G98">
        <v>8.2956000000000002E-4</v>
      </c>
      <c r="H98">
        <v>1.9693900000000001E-4</v>
      </c>
      <c r="I98">
        <f t="shared" si="12"/>
        <v>94.334215769220279</v>
      </c>
      <c r="J98">
        <f t="shared" si="13"/>
        <v>112.18910574107622</v>
      </c>
      <c r="L98" s="4">
        <v>1.0890800000000001E-3</v>
      </c>
      <c r="M98" s="4">
        <v>2.2306299999999999E-4</v>
      </c>
      <c r="N98" s="3">
        <f t="shared" si="14"/>
        <v>91.005414800454574</v>
      </c>
      <c r="O98" s="3">
        <f t="shared" si="15"/>
        <v>101.99636940607324</v>
      </c>
      <c r="Q98">
        <f t="shared" si="9"/>
        <v>9.13078E-4</v>
      </c>
      <c r="R98">
        <f t="shared" si="9"/>
        <v>2.0083233333333334E-4</v>
      </c>
      <c r="T98">
        <f t="shared" si="16"/>
        <v>94.394732185207218</v>
      </c>
      <c r="U98">
        <f t="shared" si="16"/>
        <v>105.42971606088298</v>
      </c>
      <c r="W98">
        <f t="shared" si="17"/>
        <v>2.7923996743491504</v>
      </c>
      <c r="X98">
        <f t="shared" si="17"/>
        <v>4.7798110251172892</v>
      </c>
    </row>
    <row r="99" spans="1:24" x14ac:dyDescent="0.35">
      <c r="A99">
        <v>630.39800000000002</v>
      </c>
      <c r="B99">
        <v>8.2562E-4</v>
      </c>
      <c r="C99">
        <v>1.9372500000000001E-4</v>
      </c>
      <c r="D99">
        <f t="shared" si="10"/>
        <v>98.443847468196694</v>
      </c>
      <c r="E99">
        <f t="shared" si="11"/>
        <v>108.38671776652586</v>
      </c>
      <c r="G99">
        <v>8.3434999999999998E-4</v>
      </c>
      <c r="H99">
        <v>1.94806E-4</v>
      </c>
      <c r="I99">
        <f t="shared" si="12"/>
        <v>94.878915240668476</v>
      </c>
      <c r="J99">
        <f t="shared" si="13"/>
        <v>110.9740119173759</v>
      </c>
      <c r="L99" s="4">
        <v>1.0920700000000001E-3</v>
      </c>
      <c r="M99" s="4">
        <v>2.2206999999999999E-4</v>
      </c>
      <c r="N99" s="3">
        <f t="shared" si="14"/>
        <v>91.255264389330833</v>
      </c>
      <c r="O99" s="3">
        <f t="shared" si="15"/>
        <v>101.54231653840702</v>
      </c>
      <c r="Q99">
        <f t="shared" si="9"/>
        <v>9.1734666666666662E-4</v>
      </c>
      <c r="R99">
        <f t="shared" si="9"/>
        <v>2.0353366666666666E-4</v>
      </c>
      <c r="T99">
        <f t="shared" si="16"/>
        <v>94.859342366065334</v>
      </c>
      <c r="U99">
        <f t="shared" si="16"/>
        <v>106.96768207410292</v>
      </c>
      <c r="W99">
        <f t="shared" si="17"/>
        <v>2.9347593874687941</v>
      </c>
      <c r="X99">
        <f t="shared" si="17"/>
        <v>3.9790674077136394</v>
      </c>
    </row>
    <row r="100" spans="1:24" x14ac:dyDescent="0.35">
      <c r="A100">
        <v>636.58100000000002</v>
      </c>
      <c r="B100">
        <v>8.2463899999999995E-4</v>
      </c>
      <c r="C100">
        <v>1.88362E-4</v>
      </c>
      <c r="D100">
        <f t="shared" si="10"/>
        <v>98.326876689428858</v>
      </c>
      <c r="E100">
        <f t="shared" si="11"/>
        <v>105.38618625339188</v>
      </c>
      <c r="G100">
        <v>8.3585799999999998E-4</v>
      </c>
      <c r="H100">
        <v>1.9488900000000001E-4</v>
      </c>
      <c r="I100">
        <f t="shared" si="12"/>
        <v>95.050398915604561</v>
      </c>
      <c r="J100">
        <f t="shared" si="13"/>
        <v>111.02129404928735</v>
      </c>
      <c r="L100" s="4">
        <v>1.09526E-3</v>
      </c>
      <c r="M100" s="4">
        <v>2.2178399999999999E-4</v>
      </c>
      <c r="N100" s="3">
        <f t="shared" si="14"/>
        <v>91.521826325289126</v>
      </c>
      <c r="O100" s="3">
        <f t="shared" si="15"/>
        <v>101.41154199646085</v>
      </c>
      <c r="Q100">
        <f t="shared" si="9"/>
        <v>9.1858566666666672E-4</v>
      </c>
      <c r="R100">
        <f t="shared" si="9"/>
        <v>2.0167833333333335E-4</v>
      </c>
      <c r="T100">
        <f t="shared" si="16"/>
        <v>94.966367310107515</v>
      </c>
      <c r="U100">
        <f t="shared" si="16"/>
        <v>105.93967409971337</v>
      </c>
      <c r="W100">
        <f t="shared" si="17"/>
        <v>2.778785537803806</v>
      </c>
      <c r="X100">
        <f t="shared" si="17"/>
        <v>3.9426383067027544</v>
      </c>
    </row>
    <row r="101" spans="1:24" x14ac:dyDescent="0.35">
      <c r="A101">
        <v>642.83500000000004</v>
      </c>
      <c r="B101">
        <v>8.2864799999999997E-4</v>
      </c>
      <c r="C101">
        <v>1.88424E-4</v>
      </c>
      <c r="D101">
        <f t="shared" si="10"/>
        <v>98.804894887268063</v>
      </c>
      <c r="E101">
        <f t="shared" si="11"/>
        <v>105.42087447897725</v>
      </c>
      <c r="G101">
        <v>8.3972099999999998E-4</v>
      </c>
      <c r="H101">
        <v>1.9327400000000001E-4</v>
      </c>
      <c r="I101">
        <f t="shared" si="12"/>
        <v>95.489683687672283</v>
      </c>
      <c r="J101">
        <f t="shared" si="13"/>
        <v>110.10128630185369</v>
      </c>
      <c r="L101" s="4">
        <v>1.10008E-3</v>
      </c>
      <c r="M101" s="4">
        <v>2.2357200000000001E-4</v>
      </c>
      <c r="N101" s="3">
        <f t="shared" si="14"/>
        <v>91.924593889965905</v>
      </c>
      <c r="O101" s="3">
        <f t="shared" si="15"/>
        <v>102.22911151044596</v>
      </c>
      <c r="Q101">
        <f t="shared" si="9"/>
        <v>9.228163333333334E-4</v>
      </c>
      <c r="R101">
        <f t="shared" si="9"/>
        <v>2.0175666666666665E-4</v>
      </c>
      <c r="T101">
        <f t="shared" si="16"/>
        <v>95.406390821635412</v>
      </c>
      <c r="U101">
        <f t="shared" si="16"/>
        <v>105.91709076375896</v>
      </c>
      <c r="W101">
        <f t="shared" si="17"/>
        <v>2.8094885334663964</v>
      </c>
      <c r="X101">
        <f t="shared" si="17"/>
        <v>3.2328993115139193</v>
      </c>
    </row>
    <row r="102" spans="1:24" x14ac:dyDescent="0.35">
      <c r="A102">
        <v>649.06100000000004</v>
      </c>
      <c r="B102">
        <v>8.3192200000000002E-4</v>
      </c>
      <c r="C102">
        <v>1.9078500000000001E-4</v>
      </c>
      <c r="D102">
        <f t="shared" si="10"/>
        <v>99.195274428232281</v>
      </c>
      <c r="E102">
        <f t="shared" si="11"/>
        <v>106.7418244887683</v>
      </c>
      <c r="G102">
        <v>8.42869E-4</v>
      </c>
      <c r="H102">
        <v>1.9468E-4</v>
      </c>
      <c r="I102">
        <f t="shared" si="12"/>
        <v>95.847661544899609</v>
      </c>
      <c r="J102">
        <f t="shared" si="13"/>
        <v>110.90223422314889</v>
      </c>
      <c r="L102" s="4">
        <v>1.1021399999999999E-3</v>
      </c>
      <c r="M102" s="4">
        <v>2.24866E-4</v>
      </c>
      <c r="N102" s="3">
        <f t="shared" si="14"/>
        <v>92.096731064910742</v>
      </c>
      <c r="O102" s="3">
        <f t="shared" si="15"/>
        <v>102.82079772470587</v>
      </c>
      <c r="Q102">
        <f t="shared" si="9"/>
        <v>9.2564366666666661E-4</v>
      </c>
      <c r="R102">
        <f t="shared" si="9"/>
        <v>2.0344366666666665E-4</v>
      </c>
      <c r="T102">
        <f t="shared" si="16"/>
        <v>95.713222346014206</v>
      </c>
      <c r="U102">
        <f t="shared" si="16"/>
        <v>106.82161881220769</v>
      </c>
      <c r="W102">
        <f t="shared" si="17"/>
        <v>2.8995269607169578</v>
      </c>
      <c r="X102">
        <f t="shared" si="17"/>
        <v>3.2997150705408518</v>
      </c>
    </row>
    <row r="103" spans="1:24" x14ac:dyDescent="0.35">
      <c r="A103">
        <v>655.28099999999995</v>
      </c>
      <c r="B103">
        <v>8.3513599999999999E-4</v>
      </c>
      <c r="C103">
        <v>1.8939299999999999E-4</v>
      </c>
      <c r="D103">
        <f t="shared" si="10"/>
        <v>99.578499793125076</v>
      </c>
      <c r="E103">
        <f t="shared" si="11"/>
        <v>105.96301787562592</v>
      </c>
      <c r="G103">
        <v>8.4709200000000003E-4</v>
      </c>
      <c r="H103">
        <v>1.9701199999999999E-4</v>
      </c>
      <c r="I103">
        <f t="shared" si="12"/>
        <v>96.327884064299568</v>
      </c>
      <c r="J103">
        <f t="shared" si="13"/>
        <v>112.23069123058869</v>
      </c>
      <c r="L103" s="4">
        <v>1.10574E-3</v>
      </c>
      <c r="M103" s="4">
        <v>2.2180299999999999E-4</v>
      </c>
      <c r="N103" s="3">
        <f t="shared" si="14"/>
        <v>92.397553312387188</v>
      </c>
      <c r="O103" s="3">
        <f t="shared" si="15"/>
        <v>101.42022981568104</v>
      </c>
      <c r="Q103">
        <f t="shared" si="9"/>
        <v>9.2932266666666664E-4</v>
      </c>
      <c r="R103">
        <f t="shared" si="9"/>
        <v>2.0273599999999999E-4</v>
      </c>
      <c r="T103">
        <f t="shared" si="16"/>
        <v>96.101312389937277</v>
      </c>
      <c r="U103">
        <f t="shared" si="16"/>
        <v>106.53797964063187</v>
      </c>
      <c r="W103">
        <f t="shared" si="17"/>
        <v>2.9359835526926874</v>
      </c>
      <c r="X103">
        <f t="shared" si="17"/>
        <v>4.4320390171429267</v>
      </c>
    </row>
    <row r="104" spans="1:24" x14ac:dyDescent="0.35">
      <c r="A104">
        <v>661.45299999999997</v>
      </c>
      <c r="B104">
        <v>8.4017800000000002E-4</v>
      </c>
      <c r="C104">
        <v>1.88362E-4</v>
      </c>
      <c r="D104">
        <f t="shared" si="10"/>
        <v>100.17968905566067</v>
      </c>
      <c r="E104">
        <f t="shared" si="11"/>
        <v>105.38618625339188</v>
      </c>
      <c r="G104">
        <v>8.4841599999999995E-4</v>
      </c>
      <c r="H104">
        <v>1.9757800000000001E-4</v>
      </c>
      <c r="I104">
        <f t="shared" si="12"/>
        <v>96.478444001710287</v>
      </c>
      <c r="J104">
        <f t="shared" si="13"/>
        <v>112.5531211903704</v>
      </c>
      <c r="L104" s="4">
        <v>1.1110099999999999E-3</v>
      </c>
      <c r="M104" s="4">
        <v>2.2656799999999999E-4</v>
      </c>
      <c r="N104" s="3">
        <f t="shared" si="14"/>
        <v>92.837923657998516</v>
      </c>
      <c r="O104" s="3">
        <f t="shared" si="15"/>
        <v>103.59904342537848</v>
      </c>
      <c r="Q104">
        <f t="shared" si="9"/>
        <v>9.3320133333333331E-4</v>
      </c>
      <c r="R104">
        <f t="shared" si="9"/>
        <v>2.0416933333333332E-4</v>
      </c>
      <c r="T104">
        <f t="shared" si="16"/>
        <v>96.498685571789835</v>
      </c>
      <c r="U104">
        <f t="shared" si="16"/>
        <v>107.1794502897136</v>
      </c>
      <c r="W104">
        <f t="shared" si="17"/>
        <v>2.9972973469941007</v>
      </c>
      <c r="X104">
        <f t="shared" si="17"/>
        <v>3.869170805513269</v>
      </c>
    </row>
    <row r="105" spans="1:24" x14ac:dyDescent="0.35">
      <c r="A105">
        <v>667.70500000000004</v>
      </c>
      <c r="B105">
        <v>8.3911000000000001E-4</v>
      </c>
      <c r="C105">
        <v>1.85785E-4</v>
      </c>
      <c r="D105">
        <f t="shared" si="10"/>
        <v>100.05234472158928</v>
      </c>
      <c r="E105">
        <f t="shared" si="11"/>
        <v>103.94438694156153</v>
      </c>
      <c r="G105">
        <v>8.5117799999999996E-4</v>
      </c>
      <c r="H105">
        <v>1.9748500000000001E-4</v>
      </c>
      <c r="I105">
        <f t="shared" si="12"/>
        <v>96.792527496520293</v>
      </c>
      <c r="J105">
        <f t="shared" si="13"/>
        <v>112.50014241605999</v>
      </c>
      <c r="L105" s="4">
        <v>1.1116699999999999E-3</v>
      </c>
      <c r="M105" s="4">
        <v>2.2771299999999999E-4</v>
      </c>
      <c r="N105" s="3">
        <f t="shared" si="14"/>
        <v>92.893074403369198</v>
      </c>
      <c r="O105" s="3">
        <f t="shared" si="15"/>
        <v>104.1225988468063</v>
      </c>
      <c r="Q105">
        <f t="shared" si="9"/>
        <v>9.3398599999999993E-4</v>
      </c>
      <c r="R105">
        <f t="shared" si="9"/>
        <v>2.0366100000000003E-4</v>
      </c>
      <c r="T105">
        <f t="shared" si="16"/>
        <v>96.579315540492928</v>
      </c>
      <c r="U105">
        <f t="shared" si="16"/>
        <v>106.85570940147595</v>
      </c>
      <c r="W105">
        <f t="shared" si="17"/>
        <v>2.9266456767639331</v>
      </c>
      <c r="X105">
        <f t="shared" si="17"/>
        <v>3.9918799174396944</v>
      </c>
    </row>
    <row r="106" spans="1:24" x14ac:dyDescent="0.35">
      <c r="A106">
        <v>673.85199999999998</v>
      </c>
      <c r="B106">
        <v>8.4175700000000005E-4</v>
      </c>
      <c r="C106">
        <v>1.8703700000000001E-4</v>
      </c>
      <c r="D106">
        <f t="shared" si="10"/>
        <v>100.36796312260708</v>
      </c>
      <c r="E106">
        <f t="shared" si="11"/>
        <v>104.6448653033821</v>
      </c>
      <c r="G106">
        <v>8.5893500000000002E-4</v>
      </c>
      <c r="H106">
        <v>2.0933900000000001E-4</v>
      </c>
      <c r="I106">
        <f t="shared" si="12"/>
        <v>97.674622235564897</v>
      </c>
      <c r="J106">
        <f t="shared" si="13"/>
        <v>119.25294231579909</v>
      </c>
      <c r="L106" s="4">
        <v>1.11557E-3</v>
      </c>
      <c r="M106" s="4">
        <v>2.2933799999999999E-4</v>
      </c>
      <c r="N106" s="3">
        <f t="shared" si="14"/>
        <v>93.218965171468668</v>
      </c>
      <c r="O106" s="3">
        <f t="shared" si="15"/>
        <v>104.86563601695495</v>
      </c>
      <c r="Q106">
        <f t="shared" si="9"/>
        <v>9.3875399999999998E-4</v>
      </c>
      <c r="R106">
        <f t="shared" si="9"/>
        <v>2.0857133333333335E-4</v>
      </c>
      <c r="T106">
        <f t="shared" si="16"/>
        <v>97.087183509880219</v>
      </c>
      <c r="U106">
        <f t="shared" si="16"/>
        <v>109.58781454537872</v>
      </c>
      <c r="W106">
        <f t="shared" si="17"/>
        <v>2.9479773991298774</v>
      </c>
      <c r="X106">
        <f t="shared" si="17"/>
        <v>6.8348716662375946</v>
      </c>
    </row>
    <row r="107" spans="1:24" x14ac:dyDescent="0.35">
      <c r="A107">
        <v>680.23400000000004</v>
      </c>
      <c r="B107">
        <v>8.4371399999999997E-4</v>
      </c>
      <c r="C107">
        <v>1.8511999999999999E-4</v>
      </c>
      <c r="D107">
        <f t="shared" si="10"/>
        <v>100.60130849880346</v>
      </c>
      <c r="E107">
        <f t="shared" si="11"/>
        <v>103.57232774778302</v>
      </c>
      <c r="G107">
        <v>8.6102499999999996E-4</v>
      </c>
      <c r="H107">
        <v>2.09454E-4</v>
      </c>
      <c r="I107">
        <f t="shared" si="12"/>
        <v>97.91228860202142</v>
      </c>
      <c r="J107">
        <f t="shared" si="13"/>
        <v>119.31845370338723</v>
      </c>
      <c r="L107" s="4">
        <v>1.11593E-3</v>
      </c>
      <c r="M107" s="4">
        <v>2.26457E-4</v>
      </c>
      <c r="N107" s="3">
        <f t="shared" si="14"/>
        <v>93.249047396216326</v>
      </c>
      <c r="O107" s="3">
        <f t="shared" si="15"/>
        <v>103.54828827098679</v>
      </c>
      <c r="Q107">
        <f t="shared" si="9"/>
        <v>9.4022299999999991E-4</v>
      </c>
      <c r="R107">
        <f t="shared" si="9"/>
        <v>2.0701033333333333E-4</v>
      </c>
      <c r="T107">
        <f t="shared" si="16"/>
        <v>97.254214832347074</v>
      </c>
      <c r="U107">
        <f t="shared" si="16"/>
        <v>108.81302324071902</v>
      </c>
      <c r="W107">
        <f t="shared" si="17"/>
        <v>3.0374036769258499</v>
      </c>
      <c r="X107">
        <f t="shared" si="17"/>
        <v>7.428467602342546</v>
      </c>
    </row>
    <row r="108" spans="1:24" x14ac:dyDescent="0.35">
      <c r="A108">
        <v>686.39200000000005</v>
      </c>
      <c r="B108">
        <v>8.4469299999999998E-4</v>
      </c>
      <c r="C108">
        <v>1.86892E-4</v>
      </c>
      <c r="D108">
        <f t="shared" si="10"/>
        <v>100.71804080503557</v>
      </c>
      <c r="E108">
        <f t="shared" si="11"/>
        <v>104.56373961451311</v>
      </c>
      <c r="G108">
        <v>8.5978499999999995E-4</v>
      </c>
      <c r="H108">
        <v>2.0383000000000001E-4</v>
      </c>
      <c r="I108">
        <f t="shared" si="12"/>
        <v>97.771280805654868</v>
      </c>
      <c r="J108">
        <f t="shared" si="13"/>
        <v>116.11466201820649</v>
      </c>
      <c r="L108" s="4">
        <v>1.11754E-3</v>
      </c>
      <c r="M108" s="4">
        <v>2.27693E-4</v>
      </c>
      <c r="N108" s="3">
        <f t="shared" si="14"/>
        <v>93.383581790226614</v>
      </c>
      <c r="O108" s="3">
        <f t="shared" si="15"/>
        <v>104.11345377394295</v>
      </c>
      <c r="Q108">
        <f t="shared" si="9"/>
        <v>9.4067266666666668E-4</v>
      </c>
      <c r="R108">
        <f t="shared" si="9"/>
        <v>2.0613833333333332E-4</v>
      </c>
      <c r="T108">
        <f t="shared" si="16"/>
        <v>97.29096780030568</v>
      </c>
      <c r="U108">
        <f t="shared" si="16"/>
        <v>108.26395180222084</v>
      </c>
      <c r="W108">
        <f t="shared" si="17"/>
        <v>3.0134805676392173</v>
      </c>
      <c r="X108">
        <f t="shared" si="17"/>
        <v>5.5543332936900383</v>
      </c>
    </row>
    <row r="109" spans="1:24" x14ac:dyDescent="0.35">
      <c r="A109">
        <v>692.49400000000003</v>
      </c>
      <c r="B109">
        <v>8.4989199999999999E-4</v>
      </c>
      <c r="C109">
        <v>1.84883E-4</v>
      </c>
      <c r="D109">
        <f t="shared" si="10"/>
        <v>101.33795016162475</v>
      </c>
      <c r="E109">
        <f t="shared" si="11"/>
        <v>103.43972920804543</v>
      </c>
      <c r="G109">
        <v>8.5473400000000001E-4</v>
      </c>
      <c r="H109">
        <v>1.92881E-4</v>
      </c>
      <c r="I109">
        <f t="shared" si="12"/>
        <v>97.196901467390816</v>
      </c>
      <c r="J109">
        <f t="shared" si="13"/>
        <v>109.87740825557417</v>
      </c>
      <c r="L109" s="4">
        <v>1.1212800000000001E-3</v>
      </c>
      <c r="M109" s="4">
        <v>2.2488200000000001E-4</v>
      </c>
      <c r="N109" s="3">
        <f t="shared" si="14"/>
        <v>93.696102680660474</v>
      </c>
      <c r="O109" s="3">
        <f t="shared" si="15"/>
        <v>102.82811378299657</v>
      </c>
      <c r="Q109">
        <f t="shared" si="9"/>
        <v>9.419686666666667E-4</v>
      </c>
      <c r="R109">
        <f t="shared" si="9"/>
        <v>2.0088199999999999E-4</v>
      </c>
      <c r="T109">
        <f t="shared" si="16"/>
        <v>97.41031810322535</v>
      </c>
      <c r="U109">
        <f t="shared" si="16"/>
        <v>105.38175041553872</v>
      </c>
      <c r="W109">
        <f t="shared" si="17"/>
        <v>3.1234188774395064</v>
      </c>
      <c r="X109">
        <f t="shared" si="17"/>
        <v>3.1887011899354407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D20C-A1F1-4FEC-BD80-4D8508D8D706}">
  <dimension ref="A1:X109"/>
  <sheetViews>
    <sheetView workbookViewId="0">
      <selection activeCell="M11" sqref="M11"/>
    </sheetView>
  </sheetViews>
  <sheetFormatPr defaultColWidth="8.81640625" defaultRowHeight="14.5" x14ac:dyDescent="0.35"/>
  <cols>
    <col min="1" max="1" width="9.453125" bestFit="1" customWidth="1"/>
    <col min="2" max="3" width="8.81640625" bestFit="1" customWidth="1"/>
    <col min="4" max="5" width="12.453125" customWidth="1"/>
    <col min="7" max="8" width="8.81640625" bestFit="1" customWidth="1"/>
    <col min="9" max="10" width="12.1796875" customWidth="1"/>
    <col min="16" max="16" width="8.81640625" style="1"/>
    <col min="17" max="18" width="8.81640625" bestFit="1" customWidth="1"/>
    <col min="20" max="21" width="11.81640625" bestFit="1" customWidth="1"/>
    <col min="23" max="24" width="9.4531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I1" t="s">
        <v>70</v>
      </c>
      <c r="J1" t="s">
        <v>71</v>
      </c>
      <c r="L1" t="s">
        <v>0</v>
      </c>
      <c r="M1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I2" t="s">
        <v>2</v>
      </c>
      <c r="J2" t="s">
        <v>2</v>
      </c>
      <c r="L2" t="s">
        <v>2</v>
      </c>
      <c r="M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6.2718699999999998</v>
      </c>
      <c r="B3">
        <v>6.5088600000000004E-4</v>
      </c>
      <c r="C3">
        <v>1.60722E-4</v>
      </c>
      <c r="D3">
        <f>B3/$B$3*100</f>
        <v>100</v>
      </c>
      <c r="E3">
        <f>C3/$C$3*100</f>
        <v>100</v>
      </c>
      <c r="G3">
        <v>6.7394199999999997E-4</v>
      </c>
      <c r="H3">
        <v>1.8338999999999999E-4</v>
      </c>
      <c r="I3">
        <f>G3/$G$3*100</f>
        <v>100</v>
      </c>
      <c r="J3">
        <f>H3/$H$3*100</f>
        <v>100</v>
      </c>
      <c r="Q3">
        <f t="shared" ref="Q3:Q34" si="0">AVERAGE(B3,G3,L3)</f>
        <v>6.6241400000000006E-4</v>
      </c>
      <c r="R3">
        <f t="shared" ref="R3:R34" si="1">AVERAGE(C3,H3,M3)</f>
        <v>1.7205599999999999E-4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12.437099999999999</v>
      </c>
      <c r="B4">
        <v>6.5257499999999996E-4</v>
      </c>
      <c r="C4">
        <v>1.6004499999999999E-4</v>
      </c>
      <c r="D4">
        <f t="shared" ref="D4:D67" si="2">B4/$B$3*100</f>
        <v>100.25949244568173</v>
      </c>
      <c r="E4">
        <f t="shared" ref="E4:E67" si="3">C4/$C$3*100</f>
        <v>99.578775774318387</v>
      </c>
      <c r="G4">
        <v>6.76788E-4</v>
      </c>
      <c r="H4">
        <v>1.7728000000000001E-4</v>
      </c>
      <c r="I4">
        <f t="shared" ref="I4:I67" si="4">G4/$G$3*100</f>
        <v>100.42229153250577</v>
      </c>
      <c r="J4">
        <f t="shared" ref="J4:J67" si="5">H4/$H$3*100</f>
        <v>96.668302524674203</v>
      </c>
      <c r="Q4">
        <f t="shared" si="0"/>
        <v>6.6468150000000004E-4</v>
      </c>
      <c r="R4">
        <f t="shared" si="1"/>
        <v>1.6866249999999999E-4</v>
      </c>
      <c r="T4">
        <f t="shared" ref="T4:U67" si="6">AVERAGE(D4,I4,N4)</f>
        <v>100.34089198909375</v>
      </c>
      <c r="U4">
        <f t="shared" si="6"/>
        <v>98.123539149496295</v>
      </c>
      <c r="W4">
        <f t="shared" ref="W4:X67" si="7">_xlfn.STDEV.P(D4,I4,N4)</f>
        <v>8.1399543412018716E-2</v>
      </c>
      <c r="X4">
        <f t="shared" si="7"/>
        <v>1.455236624822092</v>
      </c>
    </row>
    <row r="5" spans="1:24" x14ac:dyDescent="0.35">
      <c r="A5">
        <v>18.545500000000001</v>
      </c>
      <c r="B5">
        <v>6.5627399999999998E-4</v>
      </c>
      <c r="C5">
        <v>1.6248900000000001E-4</v>
      </c>
      <c r="D5">
        <f t="shared" si="2"/>
        <v>100.82779472903087</v>
      </c>
      <c r="E5">
        <f t="shared" si="3"/>
        <v>101.09941389479972</v>
      </c>
      <c r="G5">
        <v>6.8401400000000004E-4</v>
      </c>
      <c r="H5">
        <v>1.84826E-4</v>
      </c>
      <c r="I5">
        <f t="shared" si="4"/>
        <v>101.49449062382223</v>
      </c>
      <c r="J5">
        <f t="shared" si="5"/>
        <v>100.78303069960195</v>
      </c>
      <c r="Q5">
        <f t="shared" si="0"/>
        <v>6.7014400000000001E-4</v>
      </c>
      <c r="R5">
        <f t="shared" si="1"/>
        <v>1.736575E-4</v>
      </c>
      <c r="T5">
        <f t="shared" si="6"/>
        <v>101.16114267642655</v>
      </c>
      <c r="U5">
        <f t="shared" si="6"/>
        <v>100.94122229720084</v>
      </c>
      <c r="W5">
        <f t="shared" si="7"/>
        <v>0.33334794739567997</v>
      </c>
      <c r="X5">
        <f t="shared" si="7"/>
        <v>0.15819159759888635</v>
      </c>
    </row>
    <row r="6" spans="1:24" x14ac:dyDescent="0.35">
      <c r="A6">
        <v>24.791399999999999</v>
      </c>
      <c r="B6">
        <v>6.5759800000000001E-4</v>
      </c>
      <c r="C6">
        <v>1.6255299999999999E-4</v>
      </c>
      <c r="D6">
        <f t="shared" si="2"/>
        <v>101.03120976637999</v>
      </c>
      <c r="E6">
        <f t="shared" si="3"/>
        <v>101.13923420564701</v>
      </c>
      <c r="G6">
        <v>6.8804599999999999E-4</v>
      </c>
      <c r="H6">
        <v>1.9269400000000001E-4</v>
      </c>
      <c r="I6">
        <f t="shared" si="4"/>
        <v>102.09276169165892</v>
      </c>
      <c r="J6">
        <f t="shared" si="5"/>
        <v>105.07334096733739</v>
      </c>
      <c r="Q6">
        <f t="shared" si="0"/>
        <v>6.72822E-4</v>
      </c>
      <c r="R6">
        <f t="shared" si="1"/>
        <v>1.776235E-4</v>
      </c>
      <c r="T6">
        <f t="shared" si="6"/>
        <v>101.56198572901945</v>
      </c>
      <c r="U6">
        <f t="shared" si="6"/>
        <v>103.1062875864922</v>
      </c>
      <c r="W6">
        <f t="shared" si="7"/>
        <v>0.53077596263946702</v>
      </c>
      <c r="X6">
        <f t="shared" si="7"/>
        <v>1.9670533808451864</v>
      </c>
    </row>
    <row r="7" spans="1:24" x14ac:dyDescent="0.35">
      <c r="A7">
        <v>31.106999999999999</v>
      </c>
      <c r="B7">
        <v>6.5927200000000003E-4</v>
      </c>
      <c r="C7">
        <v>1.62468E-4</v>
      </c>
      <c r="D7">
        <f t="shared" si="2"/>
        <v>101.28839766103435</v>
      </c>
      <c r="E7">
        <f t="shared" si="3"/>
        <v>101.08634785530295</v>
      </c>
      <c r="G7">
        <v>6.8622799999999999E-4</v>
      </c>
      <c r="H7">
        <v>1.9081E-4</v>
      </c>
      <c r="I7">
        <f t="shared" si="4"/>
        <v>101.82300554053614</v>
      </c>
      <c r="J7">
        <f t="shared" si="5"/>
        <v>104.04602213861172</v>
      </c>
      <c r="Q7">
        <f t="shared" si="0"/>
        <v>6.7274999999999995E-4</v>
      </c>
      <c r="R7">
        <f t="shared" si="1"/>
        <v>1.76639E-4</v>
      </c>
      <c r="T7">
        <f t="shared" si="6"/>
        <v>101.55570160078526</v>
      </c>
      <c r="U7">
        <f t="shared" si="6"/>
        <v>102.56618499695733</v>
      </c>
      <c r="W7">
        <f t="shared" si="7"/>
        <v>0.26730393975089584</v>
      </c>
      <c r="X7">
        <f t="shared" si="7"/>
        <v>1.4798371416543858</v>
      </c>
    </row>
    <row r="8" spans="1:24" x14ac:dyDescent="0.35">
      <c r="A8">
        <v>37.192399999999999</v>
      </c>
      <c r="B8">
        <v>6.60386E-4</v>
      </c>
      <c r="C8">
        <v>1.6146500000000001E-4</v>
      </c>
      <c r="D8">
        <f t="shared" si="2"/>
        <v>101.45954898400026</v>
      </c>
      <c r="E8">
        <f t="shared" si="3"/>
        <v>100.46228892124289</v>
      </c>
      <c r="G8">
        <v>6.9168099999999998E-4</v>
      </c>
      <c r="H8">
        <v>1.92146E-4</v>
      </c>
      <c r="I8">
        <f t="shared" si="4"/>
        <v>102.63212561318333</v>
      </c>
      <c r="J8">
        <f t="shared" si="5"/>
        <v>104.77452423796281</v>
      </c>
      <c r="Q8">
        <f t="shared" si="0"/>
        <v>6.7603349999999999E-4</v>
      </c>
      <c r="R8">
        <f t="shared" si="1"/>
        <v>1.7680549999999999E-4</v>
      </c>
      <c r="T8">
        <f t="shared" si="6"/>
        <v>102.04583729859181</v>
      </c>
      <c r="U8">
        <f t="shared" si="6"/>
        <v>102.61840657960285</v>
      </c>
      <c r="W8">
        <f t="shared" si="7"/>
        <v>0.58628831459153474</v>
      </c>
      <c r="X8">
        <f t="shared" si="7"/>
        <v>2.1561176583599604</v>
      </c>
    </row>
    <row r="9" spans="1:24" x14ac:dyDescent="0.35">
      <c r="A9">
        <v>43.526200000000003</v>
      </c>
      <c r="B9">
        <v>6.6276300000000002E-4</v>
      </c>
      <c r="C9">
        <v>1.61853E-4</v>
      </c>
      <c r="D9">
        <f t="shared" si="2"/>
        <v>101.82474350347066</v>
      </c>
      <c r="E9">
        <f t="shared" si="3"/>
        <v>100.70369955575467</v>
      </c>
      <c r="G9">
        <v>6.9638999999999996E-4</v>
      </c>
      <c r="H9">
        <v>1.9529000000000001E-4</v>
      </c>
      <c r="I9">
        <f t="shared" si="4"/>
        <v>103.33085042926542</v>
      </c>
      <c r="J9">
        <f t="shared" si="5"/>
        <v>106.48890342984896</v>
      </c>
      <c r="Q9">
        <f t="shared" si="0"/>
        <v>6.7957650000000005E-4</v>
      </c>
      <c r="R9">
        <f t="shared" si="1"/>
        <v>1.7857149999999999E-4</v>
      </c>
      <c r="T9">
        <f t="shared" si="6"/>
        <v>102.57779696636804</v>
      </c>
      <c r="U9">
        <f t="shared" si="6"/>
        <v>103.59630149280181</v>
      </c>
      <c r="W9">
        <f t="shared" si="7"/>
        <v>0.75305346289738395</v>
      </c>
      <c r="X9">
        <f t="shared" si="7"/>
        <v>2.8926019370471465</v>
      </c>
    </row>
    <row r="10" spans="1:24" x14ac:dyDescent="0.35">
      <c r="A10">
        <v>49.688299999999998</v>
      </c>
      <c r="B10">
        <v>6.6434399999999998E-4</v>
      </c>
      <c r="C10">
        <v>1.6231000000000001E-4</v>
      </c>
      <c r="D10">
        <f t="shared" si="2"/>
        <v>102.06764318175532</v>
      </c>
      <c r="E10">
        <f t="shared" si="3"/>
        <v>100.98804146289868</v>
      </c>
      <c r="G10">
        <v>6.9977799999999997E-4</v>
      </c>
      <c r="H10">
        <v>1.9696899999999999E-4</v>
      </c>
      <c r="I10">
        <f t="shared" si="4"/>
        <v>103.83356431265598</v>
      </c>
      <c r="J10">
        <f t="shared" si="5"/>
        <v>107.40443862806042</v>
      </c>
      <c r="Q10">
        <f t="shared" si="0"/>
        <v>6.8206099999999997E-4</v>
      </c>
      <c r="R10">
        <f t="shared" si="1"/>
        <v>1.796395E-4</v>
      </c>
      <c r="T10">
        <f t="shared" si="6"/>
        <v>102.95060374720565</v>
      </c>
      <c r="U10">
        <f t="shared" si="6"/>
        <v>104.19624004547956</v>
      </c>
      <c r="W10">
        <f t="shared" si="7"/>
        <v>0.88296056545033252</v>
      </c>
      <c r="X10">
        <f t="shared" si="7"/>
        <v>3.2081985825808701</v>
      </c>
    </row>
    <row r="11" spans="1:24" x14ac:dyDescent="0.35">
      <c r="A11">
        <v>55.8005</v>
      </c>
      <c r="B11">
        <v>6.6785800000000002E-4</v>
      </c>
      <c r="C11">
        <v>1.6319699999999999E-4</v>
      </c>
      <c r="D11">
        <f t="shared" si="2"/>
        <v>102.60752266910028</v>
      </c>
      <c r="E11">
        <f t="shared" si="3"/>
        <v>101.53992608354798</v>
      </c>
      <c r="G11">
        <v>7.0228200000000004E-4</v>
      </c>
      <c r="H11">
        <v>1.9765599999999999E-4</v>
      </c>
      <c r="I11">
        <f t="shared" si="4"/>
        <v>104.2051096385149</v>
      </c>
      <c r="J11">
        <f t="shared" si="5"/>
        <v>107.77905011178363</v>
      </c>
      <c r="Q11">
        <f t="shared" si="0"/>
        <v>6.8507000000000008E-4</v>
      </c>
      <c r="R11">
        <f t="shared" si="1"/>
        <v>1.8042649999999998E-4</v>
      </c>
      <c r="T11">
        <f t="shared" si="6"/>
        <v>103.40631615380758</v>
      </c>
      <c r="U11">
        <f t="shared" si="6"/>
        <v>104.65948809766581</v>
      </c>
      <c r="W11">
        <f t="shared" si="7"/>
        <v>0.7987934847073106</v>
      </c>
      <c r="X11">
        <f t="shared" si="7"/>
        <v>3.1195620141178253</v>
      </c>
    </row>
    <row r="12" spans="1:24" x14ac:dyDescent="0.35">
      <c r="A12">
        <v>62.111400000000003</v>
      </c>
      <c r="B12">
        <v>6.7013800000000003E-4</v>
      </c>
      <c r="C12">
        <v>1.64816E-4</v>
      </c>
      <c r="D12">
        <f t="shared" si="2"/>
        <v>102.95781442526032</v>
      </c>
      <c r="E12">
        <f t="shared" si="3"/>
        <v>102.54725550951333</v>
      </c>
      <c r="G12">
        <v>7.03946E-4</v>
      </c>
      <c r="H12">
        <v>1.9744399999999999E-4</v>
      </c>
      <c r="I12">
        <f t="shared" si="4"/>
        <v>104.45201515857447</v>
      </c>
      <c r="J12">
        <f t="shared" si="5"/>
        <v>107.66344947925187</v>
      </c>
      <c r="Q12">
        <f t="shared" si="0"/>
        <v>6.8704200000000001E-4</v>
      </c>
      <c r="R12">
        <f t="shared" si="1"/>
        <v>1.8113E-4</v>
      </c>
      <c r="T12">
        <f t="shared" si="6"/>
        <v>103.70491479191739</v>
      </c>
      <c r="U12">
        <f t="shared" si="6"/>
        <v>105.1053524943826</v>
      </c>
      <c r="W12">
        <f t="shared" si="7"/>
        <v>0.74710036665707236</v>
      </c>
      <c r="X12">
        <f t="shared" si="7"/>
        <v>2.5580969848692661</v>
      </c>
    </row>
    <row r="13" spans="1:24" x14ac:dyDescent="0.35">
      <c r="A13">
        <v>68.338800000000006</v>
      </c>
      <c r="B13">
        <v>6.7150300000000005E-4</v>
      </c>
      <c r="C13">
        <v>1.6366199999999999E-4</v>
      </c>
      <c r="D13">
        <f t="shared" si="2"/>
        <v>103.16752856875091</v>
      </c>
      <c r="E13">
        <f t="shared" si="3"/>
        <v>101.8292455295479</v>
      </c>
      <c r="G13">
        <v>7.06962E-4</v>
      </c>
      <c r="H13">
        <v>1.9993800000000001E-4</v>
      </c>
      <c r="I13">
        <f t="shared" si="4"/>
        <v>104.8995314136825</v>
      </c>
      <c r="J13">
        <f t="shared" si="5"/>
        <v>109.02339276950761</v>
      </c>
      <c r="Q13">
        <f t="shared" si="0"/>
        <v>6.8923250000000008E-4</v>
      </c>
      <c r="R13">
        <f t="shared" si="1"/>
        <v>1.818E-4</v>
      </c>
      <c r="T13">
        <f t="shared" si="6"/>
        <v>104.03352999121671</v>
      </c>
      <c r="U13">
        <f t="shared" si="6"/>
        <v>105.42631914952776</v>
      </c>
      <c r="W13">
        <f t="shared" si="7"/>
        <v>0.86600142246579281</v>
      </c>
      <c r="X13">
        <f t="shared" si="7"/>
        <v>3.5970736199798523</v>
      </c>
    </row>
    <row r="14" spans="1:24" x14ac:dyDescent="0.35">
      <c r="A14">
        <v>74.508499999999998</v>
      </c>
      <c r="B14">
        <v>6.7326199999999999E-4</v>
      </c>
      <c r="C14">
        <v>1.6669100000000001E-4</v>
      </c>
      <c r="D14">
        <f t="shared" si="2"/>
        <v>103.43777558589369</v>
      </c>
      <c r="E14">
        <f t="shared" si="3"/>
        <v>103.71386617886786</v>
      </c>
      <c r="G14">
        <v>7.0964699999999999E-4</v>
      </c>
      <c r="H14">
        <v>2.00337E-4</v>
      </c>
      <c r="I14">
        <f t="shared" si="4"/>
        <v>105.29793365007671</v>
      </c>
      <c r="J14">
        <f t="shared" si="5"/>
        <v>109.24096188450842</v>
      </c>
      <c r="Q14">
        <f t="shared" si="0"/>
        <v>6.9145449999999994E-4</v>
      </c>
      <c r="R14">
        <f t="shared" si="1"/>
        <v>1.8351400000000002E-4</v>
      </c>
      <c r="T14">
        <f t="shared" si="6"/>
        <v>104.3678546179852</v>
      </c>
      <c r="U14">
        <f t="shared" si="6"/>
        <v>106.47741403168814</v>
      </c>
      <c r="W14">
        <f t="shared" si="7"/>
        <v>0.93007903209151266</v>
      </c>
      <c r="X14">
        <f t="shared" si="7"/>
        <v>2.763547852820281</v>
      </c>
    </row>
    <row r="15" spans="1:24" x14ac:dyDescent="0.35">
      <c r="A15">
        <v>80.784599999999998</v>
      </c>
      <c r="B15">
        <v>6.7548100000000002E-4</v>
      </c>
      <c r="C15">
        <v>1.6711300000000001E-4</v>
      </c>
      <c r="D15">
        <f t="shared" si="2"/>
        <v>103.77869550120913</v>
      </c>
      <c r="E15">
        <f t="shared" si="3"/>
        <v>103.97643135351726</v>
      </c>
      <c r="G15">
        <v>7.1131999999999999E-4</v>
      </c>
      <c r="H15">
        <v>1.9938700000000001E-4</v>
      </c>
      <c r="I15">
        <f t="shared" si="4"/>
        <v>105.54617459662701</v>
      </c>
      <c r="J15">
        <f t="shared" si="5"/>
        <v>108.72294018212554</v>
      </c>
      <c r="Q15">
        <f t="shared" si="0"/>
        <v>6.934005E-4</v>
      </c>
      <c r="R15">
        <f t="shared" si="1"/>
        <v>1.8325000000000001E-4</v>
      </c>
      <c r="T15">
        <f t="shared" si="6"/>
        <v>104.66243504891807</v>
      </c>
      <c r="U15">
        <f t="shared" si="6"/>
        <v>106.3496857678214</v>
      </c>
      <c r="W15">
        <f t="shared" si="7"/>
        <v>0.88373954770894159</v>
      </c>
      <c r="X15">
        <f t="shared" si="7"/>
        <v>2.3732544143041423</v>
      </c>
    </row>
    <row r="16" spans="1:24" x14ac:dyDescent="0.35">
      <c r="A16">
        <v>86.936599999999999</v>
      </c>
      <c r="B16">
        <v>6.7214499999999997E-4</v>
      </c>
      <c r="C16">
        <v>1.5584999999999999E-4</v>
      </c>
      <c r="D16">
        <f t="shared" si="2"/>
        <v>103.26616335272227</v>
      </c>
      <c r="E16">
        <f t="shared" si="3"/>
        <v>96.968678836749163</v>
      </c>
      <c r="G16">
        <v>7.1199999999999996E-4</v>
      </c>
      <c r="H16">
        <v>1.98388E-4</v>
      </c>
      <c r="I16">
        <f t="shared" si="4"/>
        <v>105.64707348703597</v>
      </c>
      <c r="J16">
        <f t="shared" si="5"/>
        <v>108.17819946561973</v>
      </c>
      <c r="Q16">
        <f t="shared" si="0"/>
        <v>6.9207249999999991E-4</v>
      </c>
      <c r="R16">
        <f t="shared" si="1"/>
        <v>1.77119E-4</v>
      </c>
      <c r="T16">
        <f t="shared" si="6"/>
        <v>104.45661841987912</v>
      </c>
      <c r="U16">
        <f t="shared" si="6"/>
        <v>102.57343915118444</v>
      </c>
      <c r="W16">
        <f t="shared" si="7"/>
        <v>1.1904550671568472</v>
      </c>
      <c r="X16">
        <f t="shared" si="7"/>
        <v>5.604760314435282</v>
      </c>
    </row>
    <row r="17" spans="1:24" x14ac:dyDescent="0.35">
      <c r="A17">
        <v>93.113100000000003</v>
      </c>
      <c r="B17">
        <v>6.7445199999999997E-4</v>
      </c>
      <c r="C17">
        <v>1.5994499999999999E-4</v>
      </c>
      <c r="D17">
        <f t="shared" si="2"/>
        <v>103.62060330073162</v>
      </c>
      <c r="E17">
        <f t="shared" si="3"/>
        <v>99.516556538619469</v>
      </c>
      <c r="G17">
        <v>7.1332800000000005E-4</v>
      </c>
      <c r="H17">
        <v>1.9757100000000001E-4</v>
      </c>
      <c r="I17">
        <f t="shared" si="4"/>
        <v>105.84412308477586</v>
      </c>
      <c r="J17">
        <f t="shared" si="5"/>
        <v>107.73270080157043</v>
      </c>
      <c r="Q17">
        <f t="shared" si="0"/>
        <v>6.9388999999999996E-4</v>
      </c>
      <c r="R17">
        <f t="shared" si="1"/>
        <v>1.78758E-4</v>
      </c>
      <c r="T17">
        <f t="shared" si="6"/>
        <v>104.73236319275374</v>
      </c>
      <c r="U17">
        <f t="shared" si="6"/>
        <v>103.62462867009495</v>
      </c>
      <c r="W17">
        <f t="shared" si="7"/>
        <v>1.1117598920221212</v>
      </c>
      <c r="X17">
        <f t="shared" si="7"/>
        <v>4.1080721314754811</v>
      </c>
    </row>
    <row r="18" spans="1:24" x14ac:dyDescent="0.35">
      <c r="A18">
        <v>99.351399999999998</v>
      </c>
      <c r="B18">
        <v>6.7958199999999997E-4</v>
      </c>
      <c r="C18">
        <v>1.6456000000000001E-4</v>
      </c>
      <c r="D18">
        <f t="shared" si="2"/>
        <v>104.40875975209177</v>
      </c>
      <c r="E18">
        <f t="shared" si="3"/>
        <v>102.38797426612412</v>
      </c>
      <c r="G18">
        <v>7.1365299999999997E-4</v>
      </c>
      <c r="H18">
        <v>1.9743699999999999E-4</v>
      </c>
      <c r="I18">
        <f t="shared" si="4"/>
        <v>105.89234681916248</v>
      </c>
      <c r="J18">
        <f t="shared" si="5"/>
        <v>107.65963247723431</v>
      </c>
      <c r="Q18">
        <f t="shared" si="0"/>
        <v>6.9661750000000002E-4</v>
      </c>
      <c r="R18">
        <f t="shared" si="1"/>
        <v>1.8099849999999998E-4</v>
      </c>
      <c r="T18">
        <f t="shared" si="6"/>
        <v>105.15055328562713</v>
      </c>
      <c r="U18">
        <f t="shared" si="6"/>
        <v>105.02380337167921</v>
      </c>
      <c r="W18">
        <f t="shared" si="7"/>
        <v>0.7417935335353576</v>
      </c>
      <c r="X18">
        <f t="shared" si="7"/>
        <v>2.6358291055550964</v>
      </c>
    </row>
    <row r="19" spans="1:24" x14ac:dyDescent="0.35">
      <c r="A19">
        <v>105.571</v>
      </c>
      <c r="B19">
        <v>6.8271100000000002E-4</v>
      </c>
      <c r="C19">
        <v>1.6528699999999999E-4</v>
      </c>
      <c r="D19">
        <f t="shared" si="2"/>
        <v>104.88948909640089</v>
      </c>
      <c r="E19">
        <f t="shared" si="3"/>
        <v>102.84030810965518</v>
      </c>
      <c r="G19">
        <v>7.1708000000000004E-4</v>
      </c>
      <c r="H19">
        <v>1.98424E-4</v>
      </c>
      <c r="I19">
        <f t="shared" si="4"/>
        <v>106.40084755067944</v>
      </c>
      <c r="J19">
        <f t="shared" si="5"/>
        <v>108.19782976171001</v>
      </c>
      <c r="Q19">
        <f t="shared" si="0"/>
        <v>6.9989550000000003E-4</v>
      </c>
      <c r="R19">
        <f t="shared" si="1"/>
        <v>1.8185549999999998E-4</v>
      </c>
      <c r="T19">
        <f t="shared" si="6"/>
        <v>105.64516832354016</v>
      </c>
      <c r="U19">
        <f t="shared" si="6"/>
        <v>105.5190689356826</v>
      </c>
      <c r="W19">
        <f t="shared" si="7"/>
        <v>0.75567922713927516</v>
      </c>
      <c r="X19">
        <f t="shared" si="7"/>
        <v>2.6787608260274141</v>
      </c>
    </row>
    <row r="20" spans="1:24" x14ac:dyDescent="0.35">
      <c r="A20">
        <v>111.708</v>
      </c>
      <c r="B20">
        <v>6.7828099999999998E-4</v>
      </c>
      <c r="C20">
        <v>1.57372E-4</v>
      </c>
      <c r="D20">
        <f t="shared" si="2"/>
        <v>104.20887835965129</v>
      </c>
      <c r="E20">
        <f t="shared" si="3"/>
        <v>97.915655604086567</v>
      </c>
      <c r="G20">
        <v>7.1730600000000002E-4</v>
      </c>
      <c r="H20">
        <v>1.9825600000000001E-4</v>
      </c>
      <c r="I20">
        <f t="shared" si="4"/>
        <v>106.43438159366832</v>
      </c>
      <c r="J20">
        <f t="shared" si="5"/>
        <v>108.10622171328863</v>
      </c>
      <c r="Q20">
        <f t="shared" si="0"/>
        <v>6.977935E-4</v>
      </c>
      <c r="R20">
        <f t="shared" si="1"/>
        <v>1.7781399999999999E-4</v>
      </c>
      <c r="T20">
        <f t="shared" si="6"/>
        <v>105.32162997665981</v>
      </c>
      <c r="U20">
        <f t="shared" si="6"/>
        <v>103.01093865868759</v>
      </c>
      <c r="W20">
        <f t="shared" si="7"/>
        <v>1.112751617008513</v>
      </c>
      <c r="X20">
        <f t="shared" si="7"/>
        <v>5.0952830546010333</v>
      </c>
    </row>
    <row r="21" spans="1:24" x14ac:dyDescent="0.35">
      <c r="A21">
        <v>118.009</v>
      </c>
      <c r="B21">
        <v>6.7990300000000004E-4</v>
      </c>
      <c r="C21">
        <v>1.5698E-4</v>
      </c>
      <c r="D21">
        <f t="shared" si="2"/>
        <v>104.45807714407746</v>
      </c>
      <c r="E21">
        <f t="shared" si="3"/>
        <v>97.671756200146845</v>
      </c>
      <c r="G21">
        <v>7.1972799999999999E-4</v>
      </c>
      <c r="H21">
        <v>2.00185E-4</v>
      </c>
      <c r="I21">
        <f t="shared" si="4"/>
        <v>106.79375970038964</v>
      </c>
      <c r="J21">
        <f t="shared" si="5"/>
        <v>109.15807841212717</v>
      </c>
      <c r="Q21">
        <f t="shared" si="0"/>
        <v>6.9981550000000007E-4</v>
      </c>
      <c r="R21">
        <f t="shared" si="1"/>
        <v>1.785825E-4</v>
      </c>
      <c r="T21">
        <f t="shared" si="6"/>
        <v>105.62591842223355</v>
      </c>
      <c r="U21">
        <f t="shared" si="6"/>
        <v>103.414917306137</v>
      </c>
      <c r="W21">
        <f t="shared" si="7"/>
        <v>1.1678412781560894</v>
      </c>
      <c r="X21">
        <f t="shared" si="7"/>
        <v>5.7431611059901613</v>
      </c>
    </row>
    <row r="22" spans="1:24" x14ac:dyDescent="0.35">
      <c r="A22">
        <v>124.221</v>
      </c>
      <c r="B22">
        <v>6.8137600000000003E-4</v>
      </c>
      <c r="C22">
        <v>1.5824200000000001E-4</v>
      </c>
      <c r="D22">
        <f t="shared" si="2"/>
        <v>104.68438405496508</v>
      </c>
      <c r="E22">
        <f t="shared" si="3"/>
        <v>98.456962954667077</v>
      </c>
      <c r="G22">
        <v>7.2169499999999995E-4</v>
      </c>
      <c r="H22">
        <v>2.0044099999999999E-4</v>
      </c>
      <c r="I22">
        <f t="shared" si="4"/>
        <v>107.08562457896971</v>
      </c>
      <c r="J22">
        <f t="shared" si="5"/>
        <v>109.29767162876929</v>
      </c>
      <c r="Q22">
        <f t="shared" si="0"/>
        <v>7.0153550000000005E-4</v>
      </c>
      <c r="R22">
        <f t="shared" si="1"/>
        <v>1.793415E-4</v>
      </c>
      <c r="T22">
        <f t="shared" si="6"/>
        <v>105.8850043169674</v>
      </c>
      <c r="U22">
        <f t="shared" si="6"/>
        <v>103.87731729171819</v>
      </c>
      <c r="W22">
        <f t="shared" si="7"/>
        <v>1.2006202620023174</v>
      </c>
      <c r="X22">
        <f t="shared" si="7"/>
        <v>5.4203543370511085</v>
      </c>
    </row>
    <row r="23" spans="1:24" x14ac:dyDescent="0.35">
      <c r="A23">
        <v>130.28700000000001</v>
      </c>
      <c r="B23">
        <v>6.8351000000000002E-4</v>
      </c>
      <c r="C23">
        <v>1.49455E-4</v>
      </c>
      <c r="D23">
        <f t="shared" si="2"/>
        <v>105.01224484779208</v>
      </c>
      <c r="E23">
        <f t="shared" si="3"/>
        <v>92.989758713803965</v>
      </c>
      <c r="G23">
        <v>7.2499399999999996E-4</v>
      </c>
      <c r="H23">
        <v>2.01366E-4</v>
      </c>
      <c r="I23">
        <f t="shared" si="4"/>
        <v>107.57513257817439</v>
      </c>
      <c r="J23">
        <f t="shared" si="5"/>
        <v>109.80206118108948</v>
      </c>
      <c r="Q23">
        <f t="shared" si="0"/>
        <v>7.0425200000000005E-4</v>
      </c>
      <c r="R23">
        <f t="shared" si="1"/>
        <v>1.7541049999999998E-4</v>
      </c>
      <c r="T23">
        <f t="shared" si="6"/>
        <v>106.29368871298323</v>
      </c>
      <c r="U23">
        <f t="shared" si="6"/>
        <v>101.39590994744673</v>
      </c>
      <c r="W23">
        <f t="shared" si="7"/>
        <v>1.2814438651911573</v>
      </c>
      <c r="X23">
        <f t="shared" si="7"/>
        <v>8.4061512336427597</v>
      </c>
    </row>
    <row r="24" spans="1:24" x14ac:dyDescent="0.35">
      <c r="A24">
        <v>136.62799999999999</v>
      </c>
      <c r="B24">
        <v>6.83302E-4</v>
      </c>
      <c r="C24">
        <v>1.5132000000000001E-4</v>
      </c>
      <c r="D24">
        <f t="shared" si="2"/>
        <v>104.98028840687923</v>
      </c>
      <c r="E24">
        <f t="shared" si="3"/>
        <v>94.150147459588624</v>
      </c>
      <c r="G24">
        <v>7.2615199999999998E-4</v>
      </c>
      <c r="H24">
        <v>2.0230399999999999E-4</v>
      </c>
      <c r="I24">
        <f t="shared" si="4"/>
        <v>107.74695745331202</v>
      </c>
      <c r="J24">
        <f t="shared" si="5"/>
        <v>110.3135394514423</v>
      </c>
      <c r="Q24">
        <f t="shared" si="0"/>
        <v>7.0472700000000004E-4</v>
      </c>
      <c r="R24">
        <f t="shared" si="1"/>
        <v>1.7681199999999999E-4</v>
      </c>
      <c r="T24">
        <f t="shared" si="6"/>
        <v>106.36362293009563</v>
      </c>
      <c r="U24">
        <f t="shared" si="6"/>
        <v>102.23184345551546</v>
      </c>
      <c r="W24">
        <f t="shared" si="7"/>
        <v>1.3833345232163978</v>
      </c>
      <c r="X24">
        <f t="shared" si="7"/>
        <v>8.081695995926836</v>
      </c>
    </row>
    <row r="25" spans="1:24" x14ac:dyDescent="0.35">
      <c r="A25">
        <v>142.79400000000001</v>
      </c>
      <c r="B25">
        <v>6.8552900000000004E-4</v>
      </c>
      <c r="C25">
        <v>1.55117E-4</v>
      </c>
      <c r="D25">
        <f t="shared" si="2"/>
        <v>105.32243741607594</v>
      </c>
      <c r="E25">
        <f t="shared" si="3"/>
        <v>96.512611839076172</v>
      </c>
      <c r="G25">
        <v>7.2604799999999997E-4</v>
      </c>
      <c r="H25">
        <v>2.0127200000000001E-4</v>
      </c>
      <c r="I25">
        <f t="shared" si="4"/>
        <v>107.73152585830827</v>
      </c>
      <c r="J25">
        <f t="shared" si="5"/>
        <v>109.75080429685372</v>
      </c>
      <c r="Q25">
        <f t="shared" si="0"/>
        <v>7.0578850000000001E-4</v>
      </c>
      <c r="R25">
        <f t="shared" si="1"/>
        <v>1.7819450000000002E-4</v>
      </c>
      <c r="T25">
        <f t="shared" si="6"/>
        <v>106.52698163719211</v>
      </c>
      <c r="U25">
        <f t="shared" si="6"/>
        <v>103.13170806796495</v>
      </c>
      <c r="W25">
        <f t="shared" si="7"/>
        <v>1.2045442211161657</v>
      </c>
      <c r="X25">
        <f t="shared" si="7"/>
        <v>6.6190962288887718</v>
      </c>
    </row>
    <row r="26" spans="1:24" x14ac:dyDescent="0.35">
      <c r="A26">
        <v>149.03399999999999</v>
      </c>
      <c r="B26">
        <v>6.8903699999999998E-4</v>
      </c>
      <c r="C26">
        <v>1.58245E-4</v>
      </c>
      <c r="D26">
        <f t="shared" si="2"/>
        <v>105.86139508300991</v>
      </c>
      <c r="E26">
        <f t="shared" si="3"/>
        <v>98.458829531738033</v>
      </c>
      <c r="G26">
        <v>7.2941900000000003E-4</v>
      </c>
      <c r="H26">
        <v>2.0123600000000001E-4</v>
      </c>
      <c r="I26">
        <f t="shared" si="4"/>
        <v>108.23171726943863</v>
      </c>
      <c r="J26">
        <f t="shared" si="5"/>
        <v>109.73117400076342</v>
      </c>
      <c r="Q26">
        <f t="shared" si="0"/>
        <v>7.0922800000000001E-4</v>
      </c>
      <c r="R26">
        <f t="shared" si="1"/>
        <v>1.7974050000000002E-4</v>
      </c>
      <c r="T26">
        <f t="shared" si="6"/>
        <v>107.04655617622427</v>
      </c>
      <c r="U26">
        <f t="shared" si="6"/>
        <v>104.09500176625073</v>
      </c>
      <c r="W26">
        <f t="shared" si="7"/>
        <v>1.1851610932143615</v>
      </c>
      <c r="X26">
        <f t="shared" si="7"/>
        <v>5.6361722345126921</v>
      </c>
    </row>
    <row r="27" spans="1:24" x14ac:dyDescent="0.35">
      <c r="A27">
        <v>155.125</v>
      </c>
      <c r="B27">
        <v>6.8962400000000001E-4</v>
      </c>
      <c r="C27">
        <v>1.5817300000000001E-4</v>
      </c>
      <c r="D27">
        <f t="shared" si="2"/>
        <v>105.95157984654762</v>
      </c>
      <c r="E27">
        <f t="shared" si="3"/>
        <v>98.414031682034818</v>
      </c>
      <c r="G27">
        <v>7.2905699999999997E-4</v>
      </c>
      <c r="H27">
        <v>2.0048E-4</v>
      </c>
      <c r="I27">
        <f t="shared" si="4"/>
        <v>108.17800344836796</v>
      </c>
      <c r="J27">
        <f t="shared" si="5"/>
        <v>109.31893778286712</v>
      </c>
      <c r="Q27">
        <f t="shared" si="0"/>
        <v>7.0934049999999999E-4</v>
      </c>
      <c r="R27">
        <f t="shared" si="1"/>
        <v>1.793265E-4</v>
      </c>
      <c r="T27">
        <f t="shared" si="6"/>
        <v>107.06479164745778</v>
      </c>
      <c r="U27">
        <f t="shared" si="6"/>
        <v>103.86648473245097</v>
      </c>
      <c r="W27">
        <f t="shared" si="7"/>
        <v>1.1132118009101717</v>
      </c>
      <c r="X27">
        <f t="shared" si="7"/>
        <v>5.4524530504161532</v>
      </c>
    </row>
    <row r="28" spans="1:24" x14ac:dyDescent="0.35">
      <c r="A28">
        <v>161.47300000000001</v>
      </c>
      <c r="B28">
        <v>6.9098599999999999E-4</v>
      </c>
      <c r="C28">
        <v>1.5895699999999999E-4</v>
      </c>
      <c r="D28">
        <f t="shared" si="2"/>
        <v>106.16083307983271</v>
      </c>
      <c r="E28">
        <f t="shared" si="3"/>
        <v>98.901830489914261</v>
      </c>
      <c r="G28">
        <v>7.3059700000000004E-4</v>
      </c>
      <c r="H28">
        <v>1.99762E-4</v>
      </c>
      <c r="I28">
        <f t="shared" si="4"/>
        <v>108.40650975900003</v>
      </c>
      <c r="J28">
        <f t="shared" si="5"/>
        <v>108.92742243306614</v>
      </c>
      <c r="Q28">
        <f t="shared" si="0"/>
        <v>7.1079150000000007E-4</v>
      </c>
      <c r="R28">
        <f t="shared" si="1"/>
        <v>1.7935949999999998E-4</v>
      </c>
      <c r="T28">
        <f t="shared" si="6"/>
        <v>107.28367141941638</v>
      </c>
      <c r="U28">
        <f t="shared" si="6"/>
        <v>103.9146264614902</v>
      </c>
      <c r="W28">
        <f t="shared" si="7"/>
        <v>1.1228383395836588</v>
      </c>
      <c r="X28">
        <f t="shared" si="7"/>
        <v>5.0127959715759403</v>
      </c>
    </row>
    <row r="29" spans="1:24" x14ac:dyDescent="0.35">
      <c r="A29">
        <v>167.614</v>
      </c>
      <c r="B29">
        <v>6.9180800000000003E-4</v>
      </c>
      <c r="C29">
        <v>1.57851E-4</v>
      </c>
      <c r="D29">
        <f t="shared" si="2"/>
        <v>106.28712247613252</v>
      </c>
      <c r="E29">
        <f t="shared" si="3"/>
        <v>98.213685743084341</v>
      </c>
      <c r="G29">
        <v>7.3270099999999999E-4</v>
      </c>
      <c r="H29">
        <v>1.9993300000000001E-4</v>
      </c>
      <c r="I29">
        <f t="shared" si="4"/>
        <v>108.71870279638307</v>
      </c>
      <c r="J29">
        <f t="shared" si="5"/>
        <v>109.02066633949508</v>
      </c>
      <c r="Q29">
        <f t="shared" si="0"/>
        <v>7.1225450000000001E-4</v>
      </c>
      <c r="R29">
        <f t="shared" si="1"/>
        <v>1.7889199999999999E-4</v>
      </c>
      <c r="T29">
        <f t="shared" si="6"/>
        <v>107.5029126362578</v>
      </c>
      <c r="U29">
        <f t="shared" si="6"/>
        <v>103.61717604128971</v>
      </c>
      <c r="W29">
        <f t="shared" si="7"/>
        <v>1.2157901601252732</v>
      </c>
      <c r="X29">
        <f t="shared" si="7"/>
        <v>5.4034902982053694</v>
      </c>
    </row>
    <row r="30" spans="1:24" x14ac:dyDescent="0.35">
      <c r="A30">
        <v>173.85</v>
      </c>
      <c r="B30">
        <v>6.9869599999999995E-4</v>
      </c>
      <c r="C30">
        <v>1.6506800000000001E-4</v>
      </c>
      <c r="D30">
        <f t="shared" si="2"/>
        <v>107.34537230790029</v>
      </c>
      <c r="E30">
        <f t="shared" si="3"/>
        <v>102.7040479834746</v>
      </c>
      <c r="G30">
        <v>7.3552899999999996E-4</v>
      </c>
      <c r="H30">
        <v>2.01299E-4</v>
      </c>
      <c r="I30">
        <f t="shared" si="4"/>
        <v>109.13832347590741</v>
      </c>
      <c r="J30">
        <f t="shared" si="5"/>
        <v>109.76552701892143</v>
      </c>
      <c r="Q30">
        <f t="shared" si="0"/>
        <v>7.1711249999999995E-4</v>
      </c>
      <c r="R30">
        <f t="shared" si="1"/>
        <v>1.8318350000000002E-4</v>
      </c>
      <c r="T30">
        <f t="shared" si="6"/>
        <v>108.24184789190386</v>
      </c>
      <c r="U30">
        <f t="shared" si="6"/>
        <v>106.23478750119801</v>
      </c>
      <c r="W30">
        <f t="shared" si="7"/>
        <v>0.89647558400356075</v>
      </c>
      <c r="X30">
        <f t="shared" si="7"/>
        <v>3.5307395177234184</v>
      </c>
    </row>
    <row r="31" spans="1:24" x14ac:dyDescent="0.35">
      <c r="A31">
        <v>179.93600000000001</v>
      </c>
      <c r="B31">
        <v>6.9742000000000003E-4</v>
      </c>
      <c r="C31">
        <v>1.64396E-4</v>
      </c>
      <c r="D31">
        <f t="shared" si="2"/>
        <v>107.14933183383879</v>
      </c>
      <c r="E31">
        <f t="shared" si="3"/>
        <v>102.2859347195779</v>
      </c>
      <c r="G31">
        <v>7.3729500000000001E-4</v>
      </c>
      <c r="H31">
        <v>2.0140300000000001E-4</v>
      </c>
      <c r="I31">
        <f t="shared" si="4"/>
        <v>109.40036382952836</v>
      </c>
      <c r="J31">
        <f t="shared" si="5"/>
        <v>109.8222367631823</v>
      </c>
      <c r="Q31">
        <f t="shared" si="0"/>
        <v>7.1735750000000002E-4</v>
      </c>
      <c r="R31">
        <f t="shared" si="1"/>
        <v>1.8289949999999999E-4</v>
      </c>
      <c r="T31">
        <f t="shared" si="6"/>
        <v>108.27484783168357</v>
      </c>
      <c r="U31">
        <f t="shared" si="6"/>
        <v>106.05408574138011</v>
      </c>
      <c r="W31">
        <f t="shared" si="7"/>
        <v>1.1255159978447864</v>
      </c>
      <c r="X31">
        <f t="shared" si="7"/>
        <v>3.7681510218022041</v>
      </c>
    </row>
    <row r="32" spans="1:24" x14ac:dyDescent="0.35">
      <c r="A32">
        <v>193.119</v>
      </c>
      <c r="B32">
        <v>1.5966000000000001E-6</v>
      </c>
      <c r="C32">
        <v>2.0757699999999999E-5</v>
      </c>
      <c r="D32">
        <f t="shared" si="2"/>
        <v>0.2452964113531402</v>
      </c>
      <c r="E32">
        <f t="shared" si="3"/>
        <v>12.915282288672367</v>
      </c>
      <c r="G32">
        <v>1.57863E-6</v>
      </c>
      <c r="H32">
        <v>2.0962699999999998E-5</v>
      </c>
      <c r="I32">
        <f t="shared" si="4"/>
        <v>0.23423825789162864</v>
      </c>
      <c r="J32">
        <f t="shared" si="5"/>
        <v>11.430666884781067</v>
      </c>
      <c r="Q32">
        <f t="shared" si="0"/>
        <v>1.587615E-6</v>
      </c>
      <c r="R32">
        <f t="shared" si="1"/>
        <v>2.0860200000000001E-5</v>
      </c>
      <c r="T32">
        <f t="shared" si="6"/>
        <v>0.23976733462238442</v>
      </c>
      <c r="U32">
        <f t="shared" si="6"/>
        <v>12.172974586726717</v>
      </c>
      <c r="W32">
        <f t="shared" si="7"/>
        <v>5.5290767307557831E-3</v>
      </c>
      <c r="X32">
        <f t="shared" si="7"/>
        <v>0.74230770194565032</v>
      </c>
    </row>
    <row r="33" spans="1:24" x14ac:dyDescent="0.35">
      <c r="A33">
        <v>199.374</v>
      </c>
      <c r="B33">
        <v>1.58288E-6</v>
      </c>
      <c r="C33">
        <v>2.07177E-5</v>
      </c>
      <c r="D33">
        <f t="shared" si="2"/>
        <v>0.24318851534677347</v>
      </c>
      <c r="E33">
        <f t="shared" si="3"/>
        <v>12.890394594392804</v>
      </c>
      <c r="G33">
        <v>1.55699E-6</v>
      </c>
      <c r="H33">
        <v>2.0846600000000001E-5</v>
      </c>
      <c r="I33">
        <f t="shared" si="4"/>
        <v>0.23102729908508449</v>
      </c>
      <c r="J33">
        <f t="shared" si="5"/>
        <v>11.367359179889853</v>
      </c>
      <c r="Q33">
        <f t="shared" si="0"/>
        <v>1.5699349999999999E-6</v>
      </c>
      <c r="R33">
        <f t="shared" si="1"/>
        <v>2.0782150000000002E-5</v>
      </c>
      <c r="T33">
        <f t="shared" si="6"/>
        <v>0.23710790721592898</v>
      </c>
      <c r="U33">
        <f t="shared" si="6"/>
        <v>12.128876887141328</v>
      </c>
      <c r="W33">
        <f t="shared" si="7"/>
        <v>6.0806081308444893E-3</v>
      </c>
      <c r="X33">
        <f t="shared" si="7"/>
        <v>0.76151770725147561</v>
      </c>
    </row>
    <row r="34" spans="1:24" x14ac:dyDescent="0.35">
      <c r="A34">
        <v>205.643</v>
      </c>
      <c r="B34">
        <v>1.55665E-6</v>
      </c>
      <c r="C34">
        <v>2.0602500000000001E-5</v>
      </c>
      <c r="D34">
        <f t="shared" si="2"/>
        <v>0.2391586237835811</v>
      </c>
      <c r="E34">
        <f t="shared" si="3"/>
        <v>12.818718034867659</v>
      </c>
      <c r="G34">
        <v>1.5316399999999999E-6</v>
      </c>
      <c r="H34">
        <v>2.0713600000000001E-5</v>
      </c>
      <c r="I34">
        <f t="shared" si="4"/>
        <v>0.22726584780292666</v>
      </c>
      <c r="J34">
        <f t="shared" si="5"/>
        <v>11.294836141556248</v>
      </c>
      <c r="Q34">
        <f t="shared" si="0"/>
        <v>1.5441449999999999E-6</v>
      </c>
      <c r="R34">
        <f t="shared" si="1"/>
        <v>2.0658050000000001E-5</v>
      </c>
      <c r="T34">
        <f t="shared" si="6"/>
        <v>0.2332122357932539</v>
      </c>
      <c r="U34">
        <f t="shared" si="6"/>
        <v>12.056777088211954</v>
      </c>
      <c r="W34">
        <f t="shared" si="7"/>
        <v>5.9463879903272204E-3</v>
      </c>
      <c r="X34">
        <f t="shared" si="7"/>
        <v>0.76194094665570589</v>
      </c>
    </row>
    <row r="35" spans="1:24" x14ac:dyDescent="0.35">
      <c r="A35">
        <v>211.75800000000001</v>
      </c>
      <c r="B35">
        <v>1.5241599999999999E-6</v>
      </c>
      <c r="C35">
        <v>2.0510299999999999E-5</v>
      </c>
      <c r="D35">
        <f t="shared" si="2"/>
        <v>0.23416696625830022</v>
      </c>
      <c r="E35">
        <f t="shared" si="3"/>
        <v>12.761351899553267</v>
      </c>
      <c r="G35">
        <v>1.50411E-6</v>
      </c>
      <c r="H35">
        <v>2.0642E-5</v>
      </c>
      <c r="I35">
        <f t="shared" si="4"/>
        <v>0.22318092654857541</v>
      </c>
      <c r="J35">
        <f t="shared" si="5"/>
        <v>11.255793663776652</v>
      </c>
      <c r="Q35">
        <f t="shared" ref="Q35:Q66" si="8">AVERAGE(B35,G35,L35)</f>
        <v>1.5141349999999999E-6</v>
      </c>
      <c r="R35">
        <f t="shared" ref="R35:R66" si="9">AVERAGE(C35,H35,M35)</f>
        <v>2.0576149999999998E-5</v>
      </c>
      <c r="T35">
        <f t="shared" si="6"/>
        <v>0.2286739464034378</v>
      </c>
      <c r="U35">
        <f t="shared" si="6"/>
        <v>12.008572781664959</v>
      </c>
      <c r="W35">
        <f t="shared" si="7"/>
        <v>5.4930198548624048E-3</v>
      </c>
      <c r="X35">
        <f t="shared" si="7"/>
        <v>0.75277911788830743</v>
      </c>
    </row>
    <row r="36" spans="1:24" x14ac:dyDescent="0.35">
      <c r="A36">
        <v>218.077</v>
      </c>
      <c r="B36">
        <v>1.5046599999999999E-6</v>
      </c>
      <c r="C36">
        <v>2.04568E-5</v>
      </c>
      <c r="D36">
        <f t="shared" si="2"/>
        <v>0.23117104992272072</v>
      </c>
      <c r="E36">
        <f t="shared" si="3"/>
        <v>12.728064608454352</v>
      </c>
      <c r="G36">
        <v>1.48938E-6</v>
      </c>
      <c r="H36">
        <v>2.0582899999999999E-5</v>
      </c>
      <c r="I36">
        <f t="shared" si="4"/>
        <v>0.22099527852545175</v>
      </c>
      <c r="J36">
        <f t="shared" si="5"/>
        <v>11.223567261028409</v>
      </c>
      <c r="Q36">
        <f t="shared" si="8"/>
        <v>1.4970199999999999E-6</v>
      </c>
      <c r="R36">
        <f t="shared" si="9"/>
        <v>2.051985E-5</v>
      </c>
      <c r="T36">
        <f t="shared" si="6"/>
        <v>0.22608316422408625</v>
      </c>
      <c r="U36">
        <f t="shared" si="6"/>
        <v>11.97581593474138</v>
      </c>
      <c r="W36">
        <f t="shared" si="7"/>
        <v>5.0878856986344839E-3</v>
      </c>
      <c r="X36">
        <f t="shared" si="7"/>
        <v>0.75224867371297144</v>
      </c>
    </row>
    <row r="37" spans="1:24" x14ac:dyDescent="0.35">
      <c r="A37">
        <v>224.21</v>
      </c>
      <c r="B37">
        <v>1.4818999999999999E-6</v>
      </c>
      <c r="C37">
        <v>2.0395E-5</v>
      </c>
      <c r="D37">
        <f t="shared" si="2"/>
        <v>0.22767427783052635</v>
      </c>
      <c r="E37">
        <f t="shared" si="3"/>
        <v>12.689613120792426</v>
      </c>
      <c r="G37">
        <v>1.4818200000000001E-6</v>
      </c>
      <c r="H37">
        <v>2.0528999999999999E-5</v>
      </c>
      <c r="I37">
        <f t="shared" si="4"/>
        <v>0.21987352027325796</v>
      </c>
      <c r="J37">
        <f t="shared" si="5"/>
        <v>11.194176345493211</v>
      </c>
      <c r="Q37">
        <f t="shared" si="8"/>
        <v>1.4818599999999999E-6</v>
      </c>
      <c r="R37">
        <f t="shared" si="9"/>
        <v>2.0462000000000002E-5</v>
      </c>
      <c r="T37">
        <f t="shared" si="6"/>
        <v>0.22377389905189216</v>
      </c>
      <c r="U37">
        <f t="shared" si="6"/>
        <v>11.941894733142819</v>
      </c>
      <c r="W37">
        <f t="shared" si="7"/>
        <v>3.9003787786341948E-3</v>
      </c>
      <c r="X37">
        <f t="shared" si="7"/>
        <v>0.74771838764960741</v>
      </c>
    </row>
    <row r="38" spans="1:24" x14ac:dyDescent="0.35">
      <c r="A38">
        <v>230.48099999999999</v>
      </c>
      <c r="B38">
        <v>1.4616999999999999E-6</v>
      </c>
      <c r="C38">
        <v>2.0333899999999999E-5</v>
      </c>
      <c r="D38">
        <f t="shared" si="2"/>
        <v>0.22457081578033633</v>
      </c>
      <c r="E38">
        <f t="shared" si="3"/>
        <v>12.651597167780389</v>
      </c>
      <c r="G38">
        <v>1.47367E-6</v>
      </c>
      <c r="H38">
        <v>2.04952E-5</v>
      </c>
      <c r="I38">
        <f t="shared" si="4"/>
        <v>0.21866421739556224</v>
      </c>
      <c r="J38">
        <f t="shared" si="5"/>
        <v>11.175745678608431</v>
      </c>
      <c r="Q38">
        <f t="shared" si="8"/>
        <v>1.467685E-6</v>
      </c>
      <c r="R38">
        <f t="shared" si="9"/>
        <v>2.0414549999999999E-5</v>
      </c>
      <c r="T38">
        <f t="shared" si="6"/>
        <v>0.22161751658794929</v>
      </c>
      <c r="U38">
        <f t="shared" si="6"/>
        <v>11.91367142319441</v>
      </c>
      <c r="W38">
        <f t="shared" si="7"/>
        <v>2.9532991923870433E-3</v>
      </c>
      <c r="X38">
        <f t="shared" si="7"/>
        <v>0.73792574458597926</v>
      </c>
    </row>
    <row r="39" spans="1:24" x14ac:dyDescent="0.35">
      <c r="A39">
        <v>236.60900000000001</v>
      </c>
      <c r="B39">
        <v>1.43997E-6</v>
      </c>
      <c r="C39">
        <v>2.0272299999999999E-5</v>
      </c>
      <c r="D39">
        <f t="shared" si="2"/>
        <v>0.22123228952535468</v>
      </c>
      <c r="E39">
        <f t="shared" si="3"/>
        <v>12.613270118589861</v>
      </c>
      <c r="G39">
        <v>1.4574400000000001E-6</v>
      </c>
      <c r="H39">
        <v>2.0442299999999999E-5</v>
      </c>
      <c r="I39">
        <f t="shared" si="4"/>
        <v>0.21625599829065409</v>
      </c>
      <c r="J39">
        <f t="shared" si="5"/>
        <v>11.146900049075741</v>
      </c>
      <c r="Q39">
        <f t="shared" si="8"/>
        <v>1.4487050000000001E-6</v>
      </c>
      <c r="R39">
        <f t="shared" si="9"/>
        <v>2.0357299999999999E-5</v>
      </c>
      <c r="T39">
        <f t="shared" si="6"/>
        <v>0.2187441439080044</v>
      </c>
      <c r="U39">
        <f t="shared" si="6"/>
        <v>11.880085083832801</v>
      </c>
      <c r="W39">
        <f t="shared" si="7"/>
        <v>2.488145617350293E-3</v>
      </c>
      <c r="X39">
        <f t="shared" si="7"/>
        <v>0.73318503475706009</v>
      </c>
    </row>
    <row r="40" spans="1:24" x14ac:dyDescent="0.35">
      <c r="A40">
        <v>242.952</v>
      </c>
      <c r="B40">
        <v>1.4254200000000001E-6</v>
      </c>
      <c r="C40">
        <v>2.02374E-5</v>
      </c>
      <c r="D40">
        <f t="shared" si="2"/>
        <v>0.21899687502880688</v>
      </c>
      <c r="E40">
        <f t="shared" si="3"/>
        <v>12.591555605330946</v>
      </c>
      <c r="G40">
        <v>1.4407700000000001E-6</v>
      </c>
      <c r="H40">
        <v>2.0404400000000001E-5</v>
      </c>
      <c r="I40">
        <f t="shared" si="4"/>
        <v>0.2137824916684225</v>
      </c>
      <c r="J40">
        <f t="shared" si="5"/>
        <v>11.126233709580676</v>
      </c>
      <c r="Q40">
        <f t="shared" si="8"/>
        <v>1.433095E-6</v>
      </c>
      <c r="R40">
        <f t="shared" si="9"/>
        <v>2.0320900000000001E-5</v>
      </c>
      <c r="T40">
        <f t="shared" si="6"/>
        <v>0.21638968334861469</v>
      </c>
      <c r="U40">
        <f t="shared" si="6"/>
        <v>11.85889465745581</v>
      </c>
      <c r="W40">
        <f t="shared" si="7"/>
        <v>2.6071916801921891E-3</v>
      </c>
      <c r="X40">
        <f t="shared" si="7"/>
        <v>0.73266094787513492</v>
      </c>
    </row>
    <row r="41" spans="1:24" x14ac:dyDescent="0.35">
      <c r="A41">
        <v>249.15899999999999</v>
      </c>
      <c r="B41">
        <v>1.4168600000000001E-6</v>
      </c>
      <c r="C41">
        <v>2.0228700000000002E-5</v>
      </c>
      <c r="D41">
        <f t="shared" si="2"/>
        <v>0.21768174457585504</v>
      </c>
      <c r="E41">
        <f t="shared" si="3"/>
        <v>12.586142531825139</v>
      </c>
      <c r="G41">
        <v>1.42841E-6</v>
      </c>
      <c r="H41">
        <v>2.0373900000000002E-5</v>
      </c>
      <c r="I41">
        <f t="shared" si="4"/>
        <v>0.21194850595451833</v>
      </c>
      <c r="J41">
        <f t="shared" si="5"/>
        <v>11.109602486504173</v>
      </c>
      <c r="Q41">
        <f t="shared" si="8"/>
        <v>1.4226350000000001E-6</v>
      </c>
      <c r="R41">
        <f t="shared" si="9"/>
        <v>2.0301300000000002E-5</v>
      </c>
      <c r="T41">
        <f t="shared" si="6"/>
        <v>0.2148151252651867</v>
      </c>
      <c r="U41">
        <f t="shared" si="6"/>
        <v>11.847872509164656</v>
      </c>
      <c r="W41">
        <f t="shared" si="7"/>
        <v>2.866619310668353E-3</v>
      </c>
      <c r="X41">
        <f t="shared" si="7"/>
        <v>0.73827002266048325</v>
      </c>
    </row>
    <row r="42" spans="1:24" x14ac:dyDescent="0.35">
      <c r="A42">
        <v>262.24700000000001</v>
      </c>
      <c r="B42">
        <v>5.5284599999999996E-4</v>
      </c>
      <c r="C42">
        <v>1.81449E-4</v>
      </c>
      <c r="D42">
        <f t="shared" si="2"/>
        <v>84.937454485117186</v>
      </c>
      <c r="E42">
        <f t="shared" si="3"/>
        <v>112.8961809833128</v>
      </c>
      <c r="G42">
        <v>5.5601299999999995E-4</v>
      </c>
      <c r="H42">
        <v>2.0412100000000001E-4</v>
      </c>
      <c r="I42">
        <f t="shared" si="4"/>
        <v>82.501609930824898</v>
      </c>
      <c r="J42">
        <f t="shared" si="5"/>
        <v>111.30432411799991</v>
      </c>
      <c r="Q42">
        <f t="shared" si="8"/>
        <v>5.544294999999999E-4</v>
      </c>
      <c r="R42">
        <f t="shared" si="9"/>
        <v>1.92785E-4</v>
      </c>
      <c r="T42">
        <f t="shared" si="6"/>
        <v>83.719532207971042</v>
      </c>
      <c r="U42">
        <f t="shared" si="6"/>
        <v>112.10025255065636</v>
      </c>
      <c r="W42">
        <f t="shared" si="7"/>
        <v>1.217922277146144</v>
      </c>
      <c r="X42">
        <f t="shared" si="7"/>
        <v>0.79592843265644575</v>
      </c>
    </row>
    <row r="43" spans="1:24" x14ac:dyDescent="0.35">
      <c r="A43">
        <v>268.46699999999998</v>
      </c>
      <c r="B43">
        <v>5.7306399999999997E-4</v>
      </c>
      <c r="C43">
        <v>1.91447E-4</v>
      </c>
      <c r="D43">
        <f t="shared" si="2"/>
        <v>88.043681996540087</v>
      </c>
      <c r="E43">
        <f t="shared" si="3"/>
        <v>119.11686016848971</v>
      </c>
      <c r="G43">
        <v>5.7255700000000001E-4</v>
      </c>
      <c r="H43">
        <v>2.09345E-4</v>
      </c>
      <c r="I43">
        <f t="shared" si="4"/>
        <v>84.95642058218661</v>
      </c>
      <c r="J43">
        <f t="shared" si="5"/>
        <v>114.15289819510332</v>
      </c>
      <c r="Q43">
        <f t="shared" si="8"/>
        <v>5.7281049999999994E-4</v>
      </c>
      <c r="R43">
        <f t="shared" si="9"/>
        <v>2.0039599999999998E-4</v>
      </c>
      <c r="T43">
        <f t="shared" si="6"/>
        <v>86.500051289363341</v>
      </c>
      <c r="U43">
        <f t="shared" si="6"/>
        <v>116.63487918179652</v>
      </c>
      <c r="W43">
        <f t="shared" si="7"/>
        <v>1.5436307071767388</v>
      </c>
      <c r="X43">
        <f t="shared" si="7"/>
        <v>2.4819809866931948</v>
      </c>
    </row>
    <row r="44" spans="1:24" x14ac:dyDescent="0.35">
      <c r="A44">
        <v>274.76</v>
      </c>
      <c r="B44">
        <v>5.8430699999999995E-4</v>
      </c>
      <c r="C44">
        <v>1.9136700000000001E-4</v>
      </c>
      <c r="D44">
        <f t="shared" si="2"/>
        <v>89.771019809920617</v>
      </c>
      <c r="E44">
        <f t="shared" si="3"/>
        <v>119.06708477993058</v>
      </c>
      <c r="G44">
        <v>5.8651299999999999E-4</v>
      </c>
      <c r="H44">
        <v>2.0900199999999999E-4</v>
      </c>
      <c r="I44">
        <f t="shared" si="4"/>
        <v>87.027221927109451</v>
      </c>
      <c r="J44">
        <f t="shared" si="5"/>
        <v>113.96586509624298</v>
      </c>
      <c r="Q44">
        <f t="shared" si="8"/>
        <v>5.8540999999999997E-4</v>
      </c>
      <c r="R44">
        <f t="shared" si="9"/>
        <v>2.0018450000000001E-4</v>
      </c>
      <c r="T44">
        <f t="shared" si="6"/>
        <v>88.399120868515041</v>
      </c>
      <c r="U44">
        <f t="shared" si="6"/>
        <v>116.51647493808679</v>
      </c>
      <c r="W44">
        <f t="shared" si="7"/>
        <v>1.3718989414055827</v>
      </c>
      <c r="X44">
        <f t="shared" si="7"/>
        <v>2.5506098418438015</v>
      </c>
    </row>
    <row r="45" spans="1:24" x14ac:dyDescent="0.35">
      <c r="A45">
        <v>280.99099999999999</v>
      </c>
      <c r="B45">
        <v>5.9776800000000004E-4</v>
      </c>
      <c r="C45">
        <v>1.8921300000000001E-4</v>
      </c>
      <c r="D45">
        <f t="shared" si="2"/>
        <v>91.839123901881436</v>
      </c>
      <c r="E45">
        <f t="shared" si="3"/>
        <v>117.72688244297606</v>
      </c>
      <c r="G45">
        <v>5.9758900000000004E-4</v>
      </c>
      <c r="H45">
        <v>2.0883800000000001E-4</v>
      </c>
      <c r="I45">
        <f t="shared" si="4"/>
        <v>88.670686795006105</v>
      </c>
      <c r="J45">
        <f t="shared" si="5"/>
        <v>113.87643819183162</v>
      </c>
      <c r="Q45">
        <f t="shared" si="8"/>
        <v>5.976785000000001E-4</v>
      </c>
      <c r="R45">
        <f t="shared" si="9"/>
        <v>1.9902550000000001E-4</v>
      </c>
      <c r="T45">
        <f t="shared" si="6"/>
        <v>90.254905348443771</v>
      </c>
      <c r="U45">
        <f t="shared" si="6"/>
        <v>115.80166031740384</v>
      </c>
      <c r="W45">
        <f t="shared" si="7"/>
        <v>1.5842185534376654</v>
      </c>
      <c r="X45">
        <f t="shared" si="7"/>
        <v>1.9252221255722191</v>
      </c>
    </row>
    <row r="46" spans="1:24" x14ac:dyDescent="0.35">
      <c r="A46">
        <v>287.21100000000001</v>
      </c>
      <c r="B46">
        <v>6.0853199999999995E-4</v>
      </c>
      <c r="C46">
        <v>1.9082999999999999E-4</v>
      </c>
      <c r="D46">
        <f t="shared" si="2"/>
        <v>93.492869719121302</v>
      </c>
      <c r="E46">
        <f t="shared" si="3"/>
        <v>118.73296748422742</v>
      </c>
      <c r="G46">
        <v>6.0873500000000001E-4</v>
      </c>
      <c r="H46">
        <v>2.08667E-4</v>
      </c>
      <c r="I46">
        <f t="shared" si="4"/>
        <v>90.324538313386029</v>
      </c>
      <c r="J46">
        <f t="shared" si="5"/>
        <v>113.78319428540269</v>
      </c>
      <c r="Q46">
        <f t="shared" si="8"/>
        <v>6.0863349999999998E-4</v>
      </c>
      <c r="R46">
        <f t="shared" si="9"/>
        <v>1.9974849999999998E-4</v>
      </c>
      <c r="T46">
        <f t="shared" si="6"/>
        <v>91.908704016253665</v>
      </c>
      <c r="U46">
        <f t="shared" si="6"/>
        <v>116.25808088481506</v>
      </c>
      <c r="W46">
        <f t="shared" si="7"/>
        <v>1.5841657028676366</v>
      </c>
      <c r="X46">
        <f t="shared" si="7"/>
        <v>2.4748865994123648</v>
      </c>
    </row>
    <row r="47" spans="1:24" x14ac:dyDescent="0.35">
      <c r="A47">
        <v>293.38900000000001</v>
      </c>
      <c r="B47">
        <v>6.15827E-4</v>
      </c>
      <c r="C47">
        <v>1.93041E-4</v>
      </c>
      <c r="D47">
        <f t="shared" si="2"/>
        <v>94.613649702098371</v>
      </c>
      <c r="E47">
        <f t="shared" si="3"/>
        <v>120.10863478553028</v>
      </c>
      <c r="G47">
        <v>6.1875400000000001E-4</v>
      </c>
      <c r="H47">
        <v>2.1053000000000001E-4</v>
      </c>
      <c r="I47">
        <f t="shared" si="4"/>
        <v>91.8111647589852</v>
      </c>
      <c r="J47">
        <f t="shared" si="5"/>
        <v>114.79906210807569</v>
      </c>
      <c r="Q47">
        <f t="shared" si="8"/>
        <v>6.172905E-4</v>
      </c>
      <c r="R47">
        <f t="shared" si="9"/>
        <v>2.0178550000000001E-4</v>
      </c>
      <c r="T47">
        <f t="shared" si="6"/>
        <v>93.212407230541785</v>
      </c>
      <c r="U47">
        <f t="shared" si="6"/>
        <v>117.45384844680299</v>
      </c>
      <c r="W47">
        <f t="shared" si="7"/>
        <v>1.4012424715565857</v>
      </c>
      <c r="X47">
        <f t="shared" si="7"/>
        <v>2.6547863387272983</v>
      </c>
    </row>
    <row r="48" spans="1:24" x14ac:dyDescent="0.35">
      <c r="A48">
        <v>299.65600000000001</v>
      </c>
      <c r="B48">
        <v>6.2640500000000002E-4</v>
      </c>
      <c r="C48">
        <v>1.9685899999999999E-4</v>
      </c>
      <c r="D48">
        <f t="shared" si="2"/>
        <v>96.23881908659888</v>
      </c>
      <c r="E48">
        <f t="shared" si="3"/>
        <v>122.48416520451461</v>
      </c>
      <c r="G48">
        <v>6.2824699999999996E-4</v>
      </c>
      <c r="H48">
        <v>2.14195E-4</v>
      </c>
      <c r="I48">
        <f t="shared" si="4"/>
        <v>93.219742945238622</v>
      </c>
      <c r="J48">
        <f t="shared" si="5"/>
        <v>116.79753530726866</v>
      </c>
      <c r="Q48">
        <f t="shared" si="8"/>
        <v>6.2732599999999999E-4</v>
      </c>
      <c r="R48">
        <f t="shared" si="9"/>
        <v>2.05527E-4</v>
      </c>
      <c r="T48">
        <f t="shared" si="6"/>
        <v>94.729281015918758</v>
      </c>
      <c r="U48">
        <f t="shared" si="6"/>
        <v>119.64085025589164</v>
      </c>
      <c r="W48">
        <f t="shared" si="7"/>
        <v>1.5095380706801294</v>
      </c>
      <c r="X48">
        <f t="shared" si="7"/>
        <v>2.8433149486229752</v>
      </c>
    </row>
    <row r="49" spans="1:24" x14ac:dyDescent="0.35">
      <c r="A49">
        <v>305.76400000000001</v>
      </c>
      <c r="B49">
        <v>6.2889399999999996E-4</v>
      </c>
      <c r="C49">
        <v>1.97741E-4</v>
      </c>
      <c r="D49">
        <f t="shared" si="2"/>
        <v>96.621220920406941</v>
      </c>
      <c r="E49">
        <f t="shared" si="3"/>
        <v>123.032938863379</v>
      </c>
      <c r="G49">
        <v>6.33207E-4</v>
      </c>
      <c r="H49">
        <v>2.14685E-4</v>
      </c>
      <c r="I49">
        <f t="shared" si="4"/>
        <v>93.955711322339326</v>
      </c>
      <c r="J49">
        <f t="shared" si="5"/>
        <v>117.06472544849773</v>
      </c>
      <c r="Q49">
        <f t="shared" si="8"/>
        <v>6.3105049999999992E-4</v>
      </c>
      <c r="R49">
        <f t="shared" si="9"/>
        <v>2.0621300000000001E-4</v>
      </c>
      <c r="T49">
        <f t="shared" si="6"/>
        <v>95.288466121373133</v>
      </c>
      <c r="U49">
        <f t="shared" si="6"/>
        <v>120.04883215593836</v>
      </c>
      <c r="W49">
        <f t="shared" si="7"/>
        <v>1.3327547990338076</v>
      </c>
      <c r="X49">
        <f t="shared" si="7"/>
        <v>2.9841067074406382</v>
      </c>
    </row>
    <row r="50" spans="1:24" x14ac:dyDescent="0.35">
      <c r="A50">
        <v>311.92599999999999</v>
      </c>
      <c r="B50">
        <v>6.2912799999999996E-4</v>
      </c>
      <c r="C50">
        <v>1.92824E-4</v>
      </c>
      <c r="D50">
        <f t="shared" si="2"/>
        <v>96.657171916433896</v>
      </c>
      <c r="E50">
        <f t="shared" si="3"/>
        <v>119.97361904406367</v>
      </c>
      <c r="G50">
        <v>6.3839699999999997E-4</v>
      </c>
      <c r="H50">
        <v>2.16145E-4</v>
      </c>
      <c r="I50">
        <f t="shared" si="4"/>
        <v>94.725807265313634</v>
      </c>
      <c r="J50">
        <f t="shared" si="5"/>
        <v>117.86084301215989</v>
      </c>
      <c r="Q50">
        <f t="shared" si="8"/>
        <v>6.3376249999999991E-4</v>
      </c>
      <c r="R50">
        <f t="shared" si="9"/>
        <v>2.0448450000000001E-4</v>
      </c>
      <c r="T50">
        <f t="shared" si="6"/>
        <v>95.691489590873772</v>
      </c>
      <c r="U50">
        <f t="shared" si="6"/>
        <v>118.91723102811179</v>
      </c>
      <c r="W50">
        <f t="shared" si="7"/>
        <v>0.96568232556013101</v>
      </c>
      <c r="X50">
        <f t="shared" si="7"/>
        <v>1.0563880159518888</v>
      </c>
    </row>
    <row r="51" spans="1:24" x14ac:dyDescent="0.35">
      <c r="A51">
        <v>318.20600000000002</v>
      </c>
      <c r="B51">
        <v>6.3263399999999997E-4</v>
      </c>
      <c r="C51">
        <v>1.94052E-4</v>
      </c>
      <c r="D51">
        <f t="shared" si="2"/>
        <v>97.195822309897579</v>
      </c>
      <c r="E51">
        <f t="shared" si="3"/>
        <v>120.73767125844628</v>
      </c>
      <c r="G51">
        <v>6.44094E-4</v>
      </c>
      <c r="H51">
        <v>2.1746999999999999E-4</v>
      </c>
      <c r="I51">
        <f t="shared" si="4"/>
        <v>95.57113223393111</v>
      </c>
      <c r="J51">
        <f t="shared" si="5"/>
        <v>118.5833469654834</v>
      </c>
      <c r="Q51">
        <f t="shared" si="8"/>
        <v>6.3836399999999999E-4</v>
      </c>
      <c r="R51">
        <f t="shared" si="9"/>
        <v>2.05761E-4</v>
      </c>
      <c r="T51">
        <f t="shared" si="6"/>
        <v>96.383477271914344</v>
      </c>
      <c r="U51">
        <f t="shared" si="6"/>
        <v>119.66050911196484</v>
      </c>
      <c r="W51">
        <f t="shared" si="7"/>
        <v>0.81234503798323487</v>
      </c>
      <c r="X51">
        <f t="shared" si="7"/>
        <v>1.0771621464814416</v>
      </c>
    </row>
    <row r="52" spans="1:24" x14ac:dyDescent="0.35">
      <c r="A52">
        <v>324.48599999999999</v>
      </c>
      <c r="B52">
        <v>6.3595100000000005E-4</v>
      </c>
      <c r="C52">
        <v>1.9646400000000001E-4</v>
      </c>
      <c r="D52">
        <f t="shared" si="2"/>
        <v>97.705435360416416</v>
      </c>
      <c r="E52">
        <f t="shared" si="3"/>
        <v>122.23839922350395</v>
      </c>
      <c r="G52">
        <v>6.4853399999999998E-4</v>
      </c>
      <c r="H52">
        <v>2.18335E-4</v>
      </c>
      <c r="I52">
        <f t="shared" si="4"/>
        <v>96.229942636013192</v>
      </c>
      <c r="J52">
        <f t="shared" si="5"/>
        <v>119.05501935765311</v>
      </c>
      <c r="Q52">
        <f t="shared" si="8"/>
        <v>6.4224250000000007E-4</v>
      </c>
      <c r="R52">
        <f t="shared" si="9"/>
        <v>2.0739949999999999E-4</v>
      </c>
      <c r="T52">
        <f t="shared" si="6"/>
        <v>96.967688998214811</v>
      </c>
      <c r="U52">
        <f t="shared" si="6"/>
        <v>120.64670929057853</v>
      </c>
      <c r="W52">
        <f t="shared" si="7"/>
        <v>0.73774636220161227</v>
      </c>
      <c r="X52">
        <f t="shared" si="7"/>
        <v>1.5916899329254193</v>
      </c>
    </row>
    <row r="53" spans="1:24" x14ac:dyDescent="0.35">
      <c r="A53">
        <v>330.68</v>
      </c>
      <c r="B53">
        <v>6.4148999999999999E-4</v>
      </c>
      <c r="C53">
        <v>1.9729700000000001E-4</v>
      </c>
      <c r="D53">
        <f t="shared" si="2"/>
        <v>98.55642923645614</v>
      </c>
      <c r="E53">
        <f t="shared" si="3"/>
        <v>122.75668545687586</v>
      </c>
      <c r="G53">
        <v>6.5320199999999997E-4</v>
      </c>
      <c r="H53">
        <v>2.1872499999999999E-4</v>
      </c>
      <c r="I53">
        <f t="shared" si="4"/>
        <v>96.922583842526507</v>
      </c>
      <c r="J53">
        <f t="shared" si="5"/>
        <v>119.26768089863134</v>
      </c>
      <c r="Q53">
        <f t="shared" si="8"/>
        <v>6.4734600000000003E-4</v>
      </c>
      <c r="R53">
        <f t="shared" si="9"/>
        <v>2.08011E-4</v>
      </c>
      <c r="T53">
        <f t="shared" si="6"/>
        <v>97.739506539491316</v>
      </c>
      <c r="U53">
        <f t="shared" si="6"/>
        <v>121.0121831777536</v>
      </c>
      <c r="W53">
        <f t="shared" si="7"/>
        <v>0.81692269696481645</v>
      </c>
      <c r="X53">
        <f t="shared" si="7"/>
        <v>1.7445022791222584</v>
      </c>
    </row>
    <row r="54" spans="1:24" x14ac:dyDescent="0.35">
      <c r="A54">
        <v>336.81799999999998</v>
      </c>
      <c r="B54">
        <v>6.3892899999999999E-4</v>
      </c>
      <c r="C54">
        <v>1.89972E-4</v>
      </c>
      <c r="D54">
        <f t="shared" si="2"/>
        <v>98.162965557716703</v>
      </c>
      <c r="E54">
        <f t="shared" si="3"/>
        <v>118.1991264419308</v>
      </c>
      <c r="G54">
        <v>6.5989399999999995E-4</v>
      </c>
      <c r="H54">
        <v>2.1947399999999999E-4</v>
      </c>
      <c r="I54">
        <f t="shared" si="4"/>
        <v>97.915547628727694</v>
      </c>
      <c r="J54">
        <f t="shared" si="5"/>
        <v>119.67610011451006</v>
      </c>
      <c r="Q54">
        <f t="shared" si="8"/>
        <v>6.4941149999999997E-4</v>
      </c>
      <c r="R54">
        <f t="shared" si="9"/>
        <v>2.04723E-4</v>
      </c>
      <c r="T54">
        <f t="shared" si="6"/>
        <v>98.039256593222206</v>
      </c>
      <c r="U54">
        <f t="shared" si="6"/>
        <v>118.93761327822043</v>
      </c>
      <c r="W54">
        <f t="shared" si="7"/>
        <v>0.12370896449450441</v>
      </c>
      <c r="X54">
        <f t="shared" si="7"/>
        <v>0.7384868362896313</v>
      </c>
    </row>
    <row r="55" spans="1:24" x14ac:dyDescent="0.35">
      <c r="A55">
        <v>343.04300000000001</v>
      </c>
      <c r="B55">
        <v>6.4320100000000004E-4</v>
      </c>
      <c r="C55">
        <v>1.9054400000000001E-4</v>
      </c>
      <c r="D55">
        <f t="shared" si="2"/>
        <v>98.819301690311363</v>
      </c>
      <c r="E55">
        <f t="shared" si="3"/>
        <v>118.55502047012855</v>
      </c>
      <c r="G55">
        <v>6.6306799999999995E-4</v>
      </c>
      <c r="H55">
        <v>2.19566E-4</v>
      </c>
      <c r="I55">
        <f t="shared" si="4"/>
        <v>98.386508037783656</v>
      </c>
      <c r="J55">
        <f t="shared" si="5"/>
        <v>119.72626642674082</v>
      </c>
      <c r="Q55">
        <f t="shared" si="8"/>
        <v>6.5313450000000005E-4</v>
      </c>
      <c r="R55">
        <f t="shared" si="9"/>
        <v>2.0505499999999999E-4</v>
      </c>
      <c r="T55">
        <f t="shared" si="6"/>
        <v>98.602904864047503</v>
      </c>
      <c r="U55">
        <f t="shared" si="6"/>
        <v>119.14064344843469</v>
      </c>
      <c r="W55">
        <f t="shared" si="7"/>
        <v>0.21639682626385337</v>
      </c>
      <c r="X55">
        <f t="shared" si="7"/>
        <v>0.58562297830613375</v>
      </c>
    </row>
    <row r="56" spans="1:24" x14ac:dyDescent="0.35">
      <c r="A56">
        <v>349.23899999999998</v>
      </c>
      <c r="B56">
        <v>6.4769199999999995E-4</v>
      </c>
      <c r="C56">
        <v>1.91795E-4</v>
      </c>
      <c r="D56">
        <f t="shared" si="2"/>
        <v>99.509284267905585</v>
      </c>
      <c r="E56">
        <f t="shared" si="3"/>
        <v>119.3333831087219</v>
      </c>
      <c r="G56">
        <v>6.6531499999999998E-4</v>
      </c>
      <c r="H56">
        <v>2.18917E-4</v>
      </c>
      <c r="I56">
        <f t="shared" si="4"/>
        <v>98.719919518296834</v>
      </c>
      <c r="J56">
        <f t="shared" si="5"/>
        <v>119.37237581111293</v>
      </c>
      <c r="Q56">
        <f t="shared" si="8"/>
        <v>6.5650349999999997E-4</v>
      </c>
      <c r="R56">
        <f t="shared" si="9"/>
        <v>2.0535600000000002E-4</v>
      </c>
      <c r="T56">
        <f t="shared" si="6"/>
        <v>99.114601893101209</v>
      </c>
      <c r="U56">
        <f t="shared" si="6"/>
        <v>119.35287945991742</v>
      </c>
      <c r="W56">
        <f t="shared" si="7"/>
        <v>0.39468237480437551</v>
      </c>
      <c r="X56">
        <f t="shared" si="7"/>
        <v>1.9496351195513739E-2</v>
      </c>
    </row>
    <row r="57" spans="1:24" x14ac:dyDescent="0.35">
      <c r="A57">
        <v>355.53699999999998</v>
      </c>
      <c r="B57">
        <v>6.5089499999999997E-4</v>
      </c>
      <c r="C57">
        <v>1.9326099999999999E-4</v>
      </c>
      <c r="D57">
        <f t="shared" si="2"/>
        <v>100.0013827306164</v>
      </c>
      <c r="E57">
        <f t="shared" si="3"/>
        <v>120.2455171040679</v>
      </c>
      <c r="G57">
        <v>6.73166E-4</v>
      </c>
      <c r="H57">
        <v>2.2204399999999999E-4</v>
      </c>
      <c r="I57">
        <f t="shared" si="4"/>
        <v>99.884856560356823</v>
      </c>
      <c r="J57">
        <f t="shared" si="5"/>
        <v>121.07748514095644</v>
      </c>
      <c r="Q57">
        <f t="shared" si="8"/>
        <v>6.6203050000000004E-4</v>
      </c>
      <c r="R57">
        <f t="shared" si="9"/>
        <v>2.0765249999999999E-4</v>
      </c>
      <c r="T57">
        <f t="shared" si="6"/>
        <v>99.943119645486604</v>
      </c>
      <c r="U57">
        <f t="shared" si="6"/>
        <v>120.66150112251216</v>
      </c>
      <c r="W57">
        <f t="shared" si="7"/>
        <v>5.8263085129787839E-2</v>
      </c>
      <c r="X57">
        <f t="shared" si="7"/>
        <v>0.41598401844427002</v>
      </c>
    </row>
    <row r="58" spans="1:24" x14ac:dyDescent="0.35">
      <c r="A58">
        <v>361.666</v>
      </c>
      <c r="B58">
        <v>6.5209700000000003E-4</v>
      </c>
      <c r="C58">
        <v>1.9239999999999999E-4</v>
      </c>
      <c r="D58">
        <f t="shared" si="2"/>
        <v>100.18605408627623</v>
      </c>
      <c r="E58">
        <f t="shared" si="3"/>
        <v>119.70980948470029</v>
      </c>
      <c r="G58">
        <v>6.7390899999999999E-4</v>
      </c>
      <c r="H58">
        <v>2.2179599999999999E-4</v>
      </c>
      <c r="I58">
        <f t="shared" si="4"/>
        <v>99.99510343620075</v>
      </c>
      <c r="J58">
        <f t="shared" si="5"/>
        <v>120.94225421233438</v>
      </c>
      <c r="Q58">
        <f t="shared" si="8"/>
        <v>6.6300300000000001E-4</v>
      </c>
      <c r="R58">
        <f t="shared" si="9"/>
        <v>2.0709799999999999E-4</v>
      </c>
      <c r="T58">
        <f t="shared" si="6"/>
        <v>100.09057876123849</v>
      </c>
      <c r="U58">
        <f t="shared" si="6"/>
        <v>120.32603184851733</v>
      </c>
      <c r="W58">
        <f t="shared" si="7"/>
        <v>9.5475325037739367E-2</v>
      </c>
      <c r="X58">
        <f t="shared" si="7"/>
        <v>0.61622236381704454</v>
      </c>
    </row>
    <row r="59" spans="1:24" x14ac:dyDescent="0.35">
      <c r="A59">
        <v>367.87200000000001</v>
      </c>
      <c r="B59">
        <v>6.55304E-4</v>
      </c>
      <c r="C59">
        <v>1.95365E-4</v>
      </c>
      <c r="D59">
        <f t="shared" si="2"/>
        <v>100.6787670959277</v>
      </c>
      <c r="E59">
        <f t="shared" si="3"/>
        <v>121.55460982317294</v>
      </c>
      <c r="G59">
        <v>6.7735500000000004E-4</v>
      </c>
      <c r="H59">
        <v>2.23248E-4</v>
      </c>
      <c r="I59">
        <f t="shared" si="4"/>
        <v>100.50642340142031</v>
      </c>
      <c r="J59">
        <f t="shared" si="5"/>
        <v>121.73400948797646</v>
      </c>
      <c r="Q59">
        <f t="shared" si="8"/>
        <v>6.6632949999999996E-4</v>
      </c>
      <c r="R59">
        <f t="shared" si="9"/>
        <v>2.0930649999999999E-4</v>
      </c>
      <c r="T59">
        <f t="shared" si="6"/>
        <v>100.592595248674</v>
      </c>
      <c r="U59">
        <f t="shared" si="6"/>
        <v>121.6443096555747</v>
      </c>
      <c r="W59">
        <f t="shared" si="7"/>
        <v>8.6171847253694978E-2</v>
      </c>
      <c r="X59">
        <f t="shared" si="7"/>
        <v>8.9699832401763047E-2</v>
      </c>
    </row>
    <row r="60" spans="1:24" x14ac:dyDescent="0.35">
      <c r="A60">
        <v>374.14400000000001</v>
      </c>
      <c r="B60">
        <v>6.6126100000000001E-4</v>
      </c>
      <c r="C60">
        <v>2.0012400000000001E-4</v>
      </c>
      <c r="D60">
        <f t="shared" si="2"/>
        <v>101.59398112726346</v>
      </c>
      <c r="E60">
        <f t="shared" si="3"/>
        <v>124.515623250084</v>
      </c>
      <c r="G60">
        <v>6.7984700000000003E-4</v>
      </c>
      <c r="H60">
        <v>2.2377000000000001E-4</v>
      </c>
      <c r="I60">
        <f t="shared" si="4"/>
        <v>100.87618815862494</v>
      </c>
      <c r="J60">
        <f t="shared" si="5"/>
        <v>122.01864878128579</v>
      </c>
      <c r="Q60">
        <f t="shared" si="8"/>
        <v>6.7055400000000007E-4</v>
      </c>
      <c r="R60">
        <f t="shared" si="9"/>
        <v>2.1194700000000001E-4</v>
      </c>
      <c r="T60">
        <f t="shared" si="6"/>
        <v>101.2350846429442</v>
      </c>
      <c r="U60">
        <f t="shared" si="6"/>
        <v>123.2671360156849</v>
      </c>
      <c r="W60">
        <f t="shared" si="7"/>
        <v>0.35889648431925991</v>
      </c>
      <c r="X60">
        <f t="shared" si="7"/>
        <v>1.2484872343991071</v>
      </c>
    </row>
    <row r="61" spans="1:24" x14ac:dyDescent="0.35">
      <c r="A61">
        <v>380.34899999999999</v>
      </c>
      <c r="B61">
        <v>6.66611E-4</v>
      </c>
      <c r="C61">
        <v>2.05224E-4</v>
      </c>
      <c r="D61">
        <f t="shared" si="2"/>
        <v>102.41593766035835</v>
      </c>
      <c r="E61">
        <f t="shared" si="3"/>
        <v>127.68880427072835</v>
      </c>
      <c r="G61">
        <v>6.8481300000000004E-4</v>
      </c>
      <c r="H61">
        <v>2.2457999999999999E-4</v>
      </c>
      <c r="I61">
        <f t="shared" si="4"/>
        <v>101.61304682005277</v>
      </c>
      <c r="J61">
        <f t="shared" si="5"/>
        <v>122.46033044331752</v>
      </c>
      <c r="Q61">
        <f t="shared" si="8"/>
        <v>6.7571199999999997E-4</v>
      </c>
      <c r="R61">
        <f t="shared" si="9"/>
        <v>2.14902E-4</v>
      </c>
      <c r="T61">
        <f t="shared" si="6"/>
        <v>102.01449224020556</v>
      </c>
      <c r="U61">
        <f t="shared" si="6"/>
        <v>125.07456735702294</v>
      </c>
      <c r="W61">
        <f t="shared" si="7"/>
        <v>0.40144542015278972</v>
      </c>
      <c r="X61">
        <f t="shared" si="7"/>
        <v>2.6142369137054189</v>
      </c>
    </row>
    <row r="62" spans="1:24" x14ac:dyDescent="0.35">
      <c r="A62">
        <v>386.57</v>
      </c>
      <c r="B62">
        <v>6.6381999999999997E-4</v>
      </c>
      <c r="C62">
        <v>1.9849099999999999E-4</v>
      </c>
      <c r="D62">
        <f t="shared" si="2"/>
        <v>101.98713753253257</v>
      </c>
      <c r="E62">
        <f t="shared" si="3"/>
        <v>123.49958313112081</v>
      </c>
      <c r="G62">
        <v>6.868E-4</v>
      </c>
      <c r="H62">
        <v>2.24009E-4</v>
      </c>
      <c r="I62">
        <f t="shared" si="4"/>
        <v>101.90787931305663</v>
      </c>
      <c r="J62">
        <f t="shared" si="5"/>
        <v>122.14897213588527</v>
      </c>
      <c r="Q62">
        <f t="shared" si="8"/>
        <v>6.7530999999999993E-4</v>
      </c>
      <c r="R62">
        <f t="shared" si="9"/>
        <v>2.1125000000000001E-4</v>
      </c>
      <c r="T62">
        <f t="shared" si="6"/>
        <v>101.9475084227946</v>
      </c>
      <c r="U62">
        <f t="shared" si="6"/>
        <v>122.82427763350304</v>
      </c>
      <c r="W62">
        <f t="shared" si="7"/>
        <v>3.9629109737973067E-2</v>
      </c>
      <c r="X62">
        <f t="shared" si="7"/>
        <v>0.67530549761777081</v>
      </c>
    </row>
    <row r="63" spans="1:24" x14ac:dyDescent="0.35">
      <c r="A63">
        <v>392.74099999999999</v>
      </c>
      <c r="B63">
        <v>6.6817899999999997E-4</v>
      </c>
      <c r="C63">
        <v>1.9960299999999999E-4</v>
      </c>
      <c r="D63">
        <f t="shared" si="2"/>
        <v>102.65684006108596</v>
      </c>
      <c r="E63">
        <f t="shared" si="3"/>
        <v>124.19146103209269</v>
      </c>
      <c r="G63">
        <v>6.9097199999999998E-4</v>
      </c>
      <c r="H63">
        <v>2.2556400000000001E-4</v>
      </c>
      <c r="I63">
        <f t="shared" si="4"/>
        <v>102.52692368185987</v>
      </c>
      <c r="J63">
        <f t="shared" si="5"/>
        <v>122.99689186978571</v>
      </c>
      <c r="Q63">
        <f t="shared" si="8"/>
        <v>6.7957549999999992E-4</v>
      </c>
      <c r="R63">
        <f t="shared" si="9"/>
        <v>2.125835E-4</v>
      </c>
      <c r="T63">
        <f t="shared" si="6"/>
        <v>102.59188187147291</v>
      </c>
      <c r="U63">
        <f t="shared" si="6"/>
        <v>123.5941764509392</v>
      </c>
      <c r="W63">
        <f t="shared" si="7"/>
        <v>6.4958189613044226E-2</v>
      </c>
      <c r="X63">
        <f t="shared" si="7"/>
        <v>0.59728458115348815</v>
      </c>
    </row>
    <row r="64" spans="1:24" x14ac:dyDescent="0.35">
      <c r="A64">
        <v>399.01299999999998</v>
      </c>
      <c r="B64">
        <v>6.75266E-4</v>
      </c>
      <c r="C64">
        <v>2.0528199999999999E-4</v>
      </c>
      <c r="D64">
        <f t="shared" si="2"/>
        <v>103.74566360315016</v>
      </c>
      <c r="E64">
        <f t="shared" si="3"/>
        <v>127.7248914274337</v>
      </c>
      <c r="G64">
        <v>6.9564300000000002E-4</v>
      </c>
      <c r="H64">
        <v>2.2586000000000001E-4</v>
      </c>
      <c r="I64">
        <f t="shared" si="4"/>
        <v>103.22001003053676</v>
      </c>
      <c r="J64">
        <f t="shared" si="5"/>
        <v>123.15829652652816</v>
      </c>
      <c r="Q64">
        <f t="shared" si="8"/>
        <v>6.8545450000000001E-4</v>
      </c>
      <c r="R64">
        <f t="shared" si="9"/>
        <v>2.1557100000000001E-4</v>
      </c>
      <c r="T64">
        <f t="shared" si="6"/>
        <v>103.48283681684346</v>
      </c>
      <c r="U64">
        <f t="shared" si="6"/>
        <v>125.44159397698093</v>
      </c>
      <c r="W64">
        <f t="shared" si="7"/>
        <v>0.26282678630670375</v>
      </c>
      <c r="X64">
        <f t="shared" si="7"/>
        <v>2.2832974504527712</v>
      </c>
    </row>
    <row r="65" spans="1:24" x14ac:dyDescent="0.35">
      <c r="A65">
        <v>405.089</v>
      </c>
      <c r="B65">
        <v>6.8117999999999998E-4</v>
      </c>
      <c r="C65">
        <v>2.09705E-4</v>
      </c>
      <c r="D65">
        <f t="shared" si="2"/>
        <v>104.65427125487412</v>
      </c>
      <c r="E65">
        <f t="shared" si="3"/>
        <v>130.47684822239646</v>
      </c>
      <c r="G65">
        <v>6.9793999999999998E-4</v>
      </c>
      <c r="H65">
        <v>2.26763E-4</v>
      </c>
      <c r="I65">
        <f t="shared" si="4"/>
        <v>103.56084054710939</v>
      </c>
      <c r="J65">
        <f t="shared" si="5"/>
        <v>123.65068978679319</v>
      </c>
      <c r="Q65">
        <f t="shared" si="8"/>
        <v>6.8955999999999998E-4</v>
      </c>
      <c r="R65">
        <f t="shared" si="9"/>
        <v>2.1823399999999998E-4</v>
      </c>
      <c r="T65">
        <f t="shared" si="6"/>
        <v>104.10755590099176</v>
      </c>
      <c r="U65">
        <f t="shared" si="6"/>
        <v>127.06376900459483</v>
      </c>
      <c r="W65">
        <f t="shared" si="7"/>
        <v>0.54671535388236236</v>
      </c>
      <c r="X65">
        <f t="shared" si="7"/>
        <v>3.4130792178016307</v>
      </c>
    </row>
    <row r="66" spans="1:24" x14ac:dyDescent="0.35">
      <c r="A66">
        <v>411.38600000000002</v>
      </c>
      <c r="B66">
        <v>6.8121700000000002E-4</v>
      </c>
      <c r="C66">
        <v>2.0659899999999999E-4</v>
      </c>
      <c r="D66">
        <f t="shared" si="2"/>
        <v>104.65995581407496</v>
      </c>
      <c r="E66">
        <f t="shared" si="3"/>
        <v>128.54431876158833</v>
      </c>
      <c r="G66">
        <v>7.0136500000000002E-4</v>
      </c>
      <c r="H66">
        <v>2.2769199999999999E-4</v>
      </c>
      <c r="I66">
        <f t="shared" si="4"/>
        <v>104.06904451718397</v>
      </c>
      <c r="J66">
        <f t="shared" si="5"/>
        <v>124.15726048312339</v>
      </c>
      <c r="Q66">
        <f t="shared" si="8"/>
        <v>6.9129100000000002E-4</v>
      </c>
      <c r="R66">
        <f t="shared" si="9"/>
        <v>2.1714549999999998E-4</v>
      </c>
      <c r="T66">
        <f t="shared" si="6"/>
        <v>104.36450016562947</v>
      </c>
      <c r="U66">
        <f t="shared" si="6"/>
        <v>126.35078962235586</v>
      </c>
      <c r="W66">
        <f t="shared" si="7"/>
        <v>0.29545564844549688</v>
      </c>
      <c r="X66">
        <f t="shared" si="7"/>
        <v>2.1935291392324672</v>
      </c>
    </row>
    <row r="67" spans="1:24" x14ac:dyDescent="0.35">
      <c r="A67">
        <v>417.61700000000002</v>
      </c>
      <c r="B67">
        <v>6.8584799999999997E-4</v>
      </c>
      <c r="C67">
        <v>2.1018E-4</v>
      </c>
      <c r="D67">
        <f t="shared" si="2"/>
        <v>105.37144753459128</v>
      </c>
      <c r="E67">
        <f t="shared" si="3"/>
        <v>130.77238959196623</v>
      </c>
      <c r="G67">
        <v>7.0245799999999999E-4</v>
      </c>
      <c r="H67">
        <v>2.2793299999999999E-4</v>
      </c>
      <c r="I67">
        <f t="shared" si="4"/>
        <v>104.23122464544427</v>
      </c>
      <c r="J67">
        <f t="shared" si="5"/>
        <v>124.2886744097279</v>
      </c>
      <c r="Q67">
        <f t="shared" ref="Q67:Q98" si="10">AVERAGE(B67,G67,L67)</f>
        <v>6.9415299999999998E-4</v>
      </c>
      <c r="R67">
        <f t="shared" ref="R67:R98" si="11">AVERAGE(C67,H67,M67)</f>
        <v>2.1905649999999998E-4</v>
      </c>
      <c r="T67">
        <f t="shared" si="6"/>
        <v>104.80133609001777</v>
      </c>
      <c r="U67">
        <f t="shared" si="6"/>
        <v>127.53053200084707</v>
      </c>
      <c r="W67">
        <f t="shared" si="7"/>
        <v>0.57011144457350582</v>
      </c>
      <c r="X67">
        <f t="shared" si="7"/>
        <v>3.2418575911191638</v>
      </c>
    </row>
    <row r="68" spans="1:24" x14ac:dyDescent="0.35">
      <c r="A68">
        <v>423.72800000000001</v>
      </c>
      <c r="B68">
        <v>6.8756999999999998E-4</v>
      </c>
      <c r="C68">
        <v>2.14918E-4</v>
      </c>
      <c r="D68">
        <f t="shared" ref="D68:D109" si="12">B68/$B$3*100</f>
        <v>105.63600999253325</v>
      </c>
      <c r="E68">
        <f t="shared" ref="E68:E109" si="13">C68/$C$3*100</f>
        <v>133.72033697938056</v>
      </c>
      <c r="G68">
        <v>7.0385900000000004E-4</v>
      </c>
      <c r="H68">
        <v>2.2836800000000001E-4</v>
      </c>
      <c r="I68">
        <f t="shared" ref="I68:I109" si="14">G68/$G$3*100</f>
        <v>104.439106035831</v>
      </c>
      <c r="J68">
        <f t="shared" ref="J68:J109" si="15">H68/$H$3*100</f>
        <v>124.52587382081903</v>
      </c>
      <c r="Q68">
        <f t="shared" si="10"/>
        <v>6.9571450000000001E-4</v>
      </c>
      <c r="R68">
        <f t="shared" si="11"/>
        <v>2.2164299999999999E-4</v>
      </c>
      <c r="T68">
        <f t="shared" ref="T68:U109" si="16">AVERAGE(D68,I68,N68)</f>
        <v>105.03755801418212</v>
      </c>
      <c r="U68">
        <f t="shared" si="16"/>
        <v>129.1231054000998</v>
      </c>
      <c r="W68">
        <f t="shared" ref="W68:X109" si="17">_xlfn.STDEV.P(D68,I68,N68)</f>
        <v>0.59845197835112174</v>
      </c>
      <c r="X68">
        <f t="shared" si="17"/>
        <v>4.5972315792807663</v>
      </c>
    </row>
    <row r="69" spans="1:24" x14ac:dyDescent="0.35">
      <c r="A69">
        <v>429.99799999999999</v>
      </c>
      <c r="B69">
        <v>6.8871600000000002E-4</v>
      </c>
      <c r="C69">
        <v>2.1400499999999999E-4</v>
      </c>
      <c r="D69">
        <f t="shared" si="12"/>
        <v>105.81207769102423</v>
      </c>
      <c r="E69">
        <f t="shared" si="13"/>
        <v>133.15227535744953</v>
      </c>
      <c r="G69">
        <v>7.0794900000000003E-4</v>
      </c>
      <c r="H69">
        <v>2.2902099999999999E-4</v>
      </c>
      <c r="I69">
        <f t="shared" si="14"/>
        <v>105.0459831854967</v>
      </c>
      <c r="J69">
        <f t="shared" si="15"/>
        <v>124.88194558045696</v>
      </c>
      <c r="Q69">
        <f t="shared" si="10"/>
        <v>6.9833250000000003E-4</v>
      </c>
      <c r="R69">
        <f t="shared" si="11"/>
        <v>2.2151300000000001E-4</v>
      </c>
      <c r="T69">
        <f t="shared" si="16"/>
        <v>105.42903043826047</v>
      </c>
      <c r="U69">
        <f t="shared" si="16"/>
        <v>129.01711046895323</v>
      </c>
      <c r="W69">
        <f t="shared" si="17"/>
        <v>0.38304725276376672</v>
      </c>
      <c r="X69">
        <f t="shared" si="17"/>
        <v>4.1351648884962842</v>
      </c>
    </row>
    <row r="70" spans="1:24" x14ac:dyDescent="0.35">
      <c r="A70">
        <v>436.13900000000001</v>
      </c>
      <c r="B70">
        <v>6.8983100000000002E-4</v>
      </c>
      <c r="C70">
        <v>2.1329500000000001E-4</v>
      </c>
      <c r="D70">
        <f t="shared" si="12"/>
        <v>105.9833826507253</v>
      </c>
      <c r="E70">
        <f t="shared" si="13"/>
        <v>132.71051878398728</v>
      </c>
      <c r="G70">
        <v>7.06019E-4</v>
      </c>
      <c r="H70">
        <v>2.2587099999999999E-4</v>
      </c>
      <c r="I70">
        <f t="shared" si="14"/>
        <v>104.75960839360063</v>
      </c>
      <c r="J70">
        <f t="shared" si="15"/>
        <v>123.16429467255577</v>
      </c>
      <c r="Q70">
        <f t="shared" si="10"/>
        <v>6.9792500000000006E-4</v>
      </c>
      <c r="R70">
        <f t="shared" si="11"/>
        <v>2.19583E-4</v>
      </c>
      <c r="T70">
        <f t="shared" si="16"/>
        <v>105.37149552216297</v>
      </c>
      <c r="U70">
        <f t="shared" si="16"/>
        <v>127.93740672827153</v>
      </c>
      <c r="W70">
        <f t="shared" si="17"/>
        <v>0.61188712856233707</v>
      </c>
      <c r="X70">
        <f t="shared" si="17"/>
        <v>4.7731120557157567</v>
      </c>
    </row>
    <row r="71" spans="1:24" x14ac:dyDescent="0.35">
      <c r="A71">
        <v>449.34300000000002</v>
      </c>
      <c r="B71">
        <v>1.3217899999999999E-6</v>
      </c>
      <c r="C71">
        <v>2.03993E-5</v>
      </c>
      <c r="D71">
        <f t="shared" si="12"/>
        <v>0.2030755001643913</v>
      </c>
      <c r="E71">
        <f t="shared" si="13"/>
        <v>12.692288547927477</v>
      </c>
      <c r="G71">
        <v>1.3083499999999999E-6</v>
      </c>
      <c r="H71">
        <v>2.0418999999999999E-5</v>
      </c>
      <c r="I71">
        <f t="shared" si="14"/>
        <v>0.19413391656848808</v>
      </c>
      <c r="J71">
        <f t="shared" si="15"/>
        <v>11.134194885217298</v>
      </c>
      <c r="Q71">
        <f t="shared" si="10"/>
        <v>1.3150699999999999E-6</v>
      </c>
      <c r="R71">
        <f t="shared" si="11"/>
        <v>2.0409149999999998E-5</v>
      </c>
      <c r="T71">
        <f t="shared" si="16"/>
        <v>0.19860470836643968</v>
      </c>
      <c r="U71">
        <f t="shared" si="16"/>
        <v>11.913241716572387</v>
      </c>
      <c r="W71">
        <f t="shared" si="17"/>
        <v>4.4707917979516093E-3</v>
      </c>
      <c r="X71">
        <f t="shared" si="17"/>
        <v>0.77904683135508979</v>
      </c>
    </row>
    <row r="72" spans="1:24" x14ac:dyDescent="0.35">
      <c r="A72">
        <v>455.57600000000002</v>
      </c>
      <c r="B72">
        <v>1.3300200000000001E-6</v>
      </c>
      <c r="C72">
        <v>2.04457E-5</v>
      </c>
      <c r="D72">
        <f t="shared" si="12"/>
        <v>0.20433993049474103</v>
      </c>
      <c r="E72">
        <f t="shared" si="13"/>
        <v>12.721158273291772</v>
      </c>
      <c r="G72">
        <v>1.3166400000000001E-6</v>
      </c>
      <c r="H72">
        <v>2.0492900000000002E-5</v>
      </c>
      <c r="I72">
        <f t="shared" si="14"/>
        <v>0.19536399274715038</v>
      </c>
      <c r="J72">
        <f t="shared" si="15"/>
        <v>11.174491520802663</v>
      </c>
      <c r="Q72">
        <f t="shared" si="10"/>
        <v>1.3233300000000001E-6</v>
      </c>
      <c r="R72">
        <f t="shared" si="11"/>
        <v>2.0469300000000001E-5</v>
      </c>
      <c r="T72">
        <f t="shared" si="16"/>
        <v>0.19985196162094571</v>
      </c>
      <c r="U72">
        <f t="shared" si="16"/>
        <v>11.947824897047218</v>
      </c>
      <c r="W72">
        <f t="shared" si="17"/>
        <v>4.4879688737953227E-3</v>
      </c>
      <c r="X72">
        <f t="shared" si="17"/>
        <v>0.77333337624455467</v>
      </c>
    </row>
    <row r="73" spans="1:24" x14ac:dyDescent="0.35">
      <c r="A73">
        <v>461.834</v>
      </c>
      <c r="B73">
        <v>1.3184900000000001E-6</v>
      </c>
      <c r="C73">
        <v>2.0368900000000001E-5</v>
      </c>
      <c r="D73">
        <f t="shared" si="12"/>
        <v>0.20256849893837015</v>
      </c>
      <c r="E73">
        <f t="shared" si="13"/>
        <v>12.67337390027501</v>
      </c>
      <c r="G73">
        <v>1.31356E-6</v>
      </c>
      <c r="H73">
        <v>2.0456199999999999E-5</v>
      </c>
      <c r="I73">
        <f t="shared" si="14"/>
        <v>0.1949069801258862</v>
      </c>
      <c r="J73">
        <f t="shared" si="15"/>
        <v>11.154479524510606</v>
      </c>
      <c r="Q73">
        <f t="shared" si="10"/>
        <v>1.316025E-6</v>
      </c>
      <c r="R73">
        <f t="shared" si="11"/>
        <v>2.0412549999999998E-5</v>
      </c>
      <c r="T73">
        <f t="shared" si="16"/>
        <v>0.19873773953212817</v>
      </c>
      <c r="U73">
        <f t="shared" si="16"/>
        <v>11.913926712392808</v>
      </c>
      <c r="W73">
        <f t="shared" si="17"/>
        <v>3.8307594062419736E-3</v>
      </c>
      <c r="X73">
        <f t="shared" si="17"/>
        <v>0.759447187882202</v>
      </c>
    </row>
    <row r="74" spans="1:24" x14ac:dyDescent="0.35">
      <c r="A74">
        <v>468.06400000000002</v>
      </c>
      <c r="B74">
        <v>1.30098E-6</v>
      </c>
      <c r="C74">
        <v>2.0305E-5</v>
      </c>
      <c r="D74">
        <f t="shared" si="12"/>
        <v>0.19987831970575493</v>
      </c>
      <c r="E74">
        <f t="shared" si="13"/>
        <v>12.633615808663407</v>
      </c>
      <c r="G74">
        <v>1.31083E-6</v>
      </c>
      <c r="H74">
        <v>2.0437000000000001E-5</v>
      </c>
      <c r="I74">
        <f t="shared" si="14"/>
        <v>0.19450190075703844</v>
      </c>
      <c r="J74">
        <f t="shared" si="15"/>
        <v>11.144010033262447</v>
      </c>
      <c r="Q74">
        <f t="shared" si="10"/>
        <v>1.305905E-6</v>
      </c>
      <c r="R74">
        <f t="shared" si="11"/>
        <v>2.0370999999999999E-5</v>
      </c>
      <c r="T74">
        <f t="shared" si="16"/>
        <v>0.19719011023139668</v>
      </c>
      <c r="U74">
        <f t="shared" si="16"/>
        <v>11.888812920962927</v>
      </c>
      <c r="W74">
        <f t="shared" si="17"/>
        <v>2.6882094743582441E-3</v>
      </c>
      <c r="X74">
        <f t="shared" si="17"/>
        <v>0.7448028877004802</v>
      </c>
    </row>
    <row r="75" spans="1:24" x14ac:dyDescent="0.35">
      <c r="A75">
        <v>474.19400000000002</v>
      </c>
      <c r="B75">
        <v>1.29436E-6</v>
      </c>
      <c r="C75">
        <v>2.02666E-5</v>
      </c>
      <c r="D75">
        <f t="shared" si="12"/>
        <v>0.19886124451900947</v>
      </c>
      <c r="E75">
        <f t="shared" si="13"/>
        <v>12.609723622155025</v>
      </c>
      <c r="G75">
        <v>1.3063099999999999E-6</v>
      </c>
      <c r="H75">
        <v>2.0428099999999998E-5</v>
      </c>
      <c r="I75">
        <f t="shared" si="14"/>
        <v>0.19383121989726121</v>
      </c>
      <c r="J75">
        <f t="shared" si="15"/>
        <v>11.139156987840122</v>
      </c>
      <c r="Q75">
        <f t="shared" si="10"/>
        <v>1.300335E-6</v>
      </c>
      <c r="R75">
        <f t="shared" si="11"/>
        <v>2.0347349999999998E-5</v>
      </c>
      <c r="T75">
        <f t="shared" si="16"/>
        <v>0.19634623220813535</v>
      </c>
      <c r="U75">
        <f t="shared" si="16"/>
        <v>11.874440304997574</v>
      </c>
      <c r="W75">
        <f t="shared" si="17"/>
        <v>2.515012310874129E-3</v>
      </c>
      <c r="X75">
        <f t="shared" si="17"/>
        <v>0.73528331715745132</v>
      </c>
    </row>
    <row r="76" spans="1:24" x14ac:dyDescent="0.35">
      <c r="A76">
        <v>480.49299999999999</v>
      </c>
      <c r="B76">
        <v>1.2865600000000001E-6</v>
      </c>
      <c r="C76">
        <v>2.02358E-5</v>
      </c>
      <c r="D76">
        <f t="shared" si="12"/>
        <v>0.19766287798477769</v>
      </c>
      <c r="E76">
        <f t="shared" si="13"/>
        <v>12.590560097559761</v>
      </c>
      <c r="G76">
        <v>1.2962800000000001E-6</v>
      </c>
      <c r="H76">
        <v>2.0412400000000001E-5</v>
      </c>
      <c r="I76">
        <f t="shared" si="14"/>
        <v>0.19234296126372893</v>
      </c>
      <c r="J76">
        <f t="shared" si="15"/>
        <v>11.130595997600743</v>
      </c>
      <c r="Q76">
        <f t="shared" si="10"/>
        <v>1.2914200000000002E-6</v>
      </c>
      <c r="R76">
        <f t="shared" si="11"/>
        <v>2.0324100000000001E-5</v>
      </c>
      <c r="T76">
        <f t="shared" si="16"/>
        <v>0.19500291962425331</v>
      </c>
      <c r="U76">
        <f t="shared" si="16"/>
        <v>11.860578047580251</v>
      </c>
      <c r="W76">
        <f t="shared" si="17"/>
        <v>2.6599583605243782E-3</v>
      </c>
      <c r="X76">
        <f t="shared" si="17"/>
        <v>0.72998204997950911</v>
      </c>
    </row>
    <row r="77" spans="1:24" x14ac:dyDescent="0.35">
      <c r="A77">
        <v>486.74799999999999</v>
      </c>
      <c r="B77">
        <v>1.27618E-6</v>
      </c>
      <c r="C77">
        <v>2.01953E-5</v>
      </c>
      <c r="D77">
        <f t="shared" si="12"/>
        <v>0.19606812867383841</v>
      </c>
      <c r="E77">
        <f t="shared" si="13"/>
        <v>12.565361307101702</v>
      </c>
      <c r="G77">
        <v>1.28372E-6</v>
      </c>
      <c r="H77">
        <v>2.03761E-5</v>
      </c>
      <c r="I77">
        <f t="shared" si="14"/>
        <v>0.19047929940558683</v>
      </c>
      <c r="J77">
        <f t="shared" si="15"/>
        <v>11.11080211570969</v>
      </c>
      <c r="Q77">
        <f t="shared" si="10"/>
        <v>1.2799499999999999E-6</v>
      </c>
      <c r="R77">
        <f t="shared" si="11"/>
        <v>2.0285700000000001E-5</v>
      </c>
      <c r="T77">
        <f t="shared" si="16"/>
        <v>0.19327371403971261</v>
      </c>
      <c r="U77">
        <f t="shared" si="16"/>
        <v>11.838081711405696</v>
      </c>
      <c r="W77">
        <f t="shared" si="17"/>
        <v>2.7944146341257886E-3</v>
      </c>
      <c r="X77">
        <f t="shared" si="17"/>
        <v>0.72727959569600564</v>
      </c>
    </row>
    <row r="78" spans="1:24" x14ac:dyDescent="0.35">
      <c r="A78">
        <v>492.90800000000002</v>
      </c>
      <c r="B78">
        <v>1.26612E-6</v>
      </c>
      <c r="C78">
        <v>2.0166500000000001E-5</v>
      </c>
      <c r="D78">
        <f t="shared" si="12"/>
        <v>0.1945225431181497</v>
      </c>
      <c r="E78">
        <f t="shared" si="13"/>
        <v>12.547442167220419</v>
      </c>
      <c r="G78">
        <v>1.2712899999999999E-6</v>
      </c>
      <c r="H78">
        <v>2.03409E-5</v>
      </c>
      <c r="I78">
        <f t="shared" si="14"/>
        <v>0.18863492704119939</v>
      </c>
      <c r="J78">
        <f t="shared" si="15"/>
        <v>11.091608048421397</v>
      </c>
      <c r="Q78">
        <f t="shared" si="10"/>
        <v>1.268705E-6</v>
      </c>
      <c r="R78">
        <f t="shared" si="11"/>
        <v>2.0253699999999999E-5</v>
      </c>
      <c r="T78">
        <f t="shared" si="16"/>
        <v>0.19157873507967454</v>
      </c>
      <c r="U78">
        <f t="shared" si="16"/>
        <v>11.819525107820908</v>
      </c>
      <c r="W78">
        <f t="shared" si="17"/>
        <v>2.9438080384751597E-3</v>
      </c>
      <c r="X78">
        <f t="shared" si="17"/>
        <v>0.72791705939951079</v>
      </c>
    </row>
    <row r="79" spans="1:24" x14ac:dyDescent="0.35">
      <c r="A79">
        <v>499.07900000000001</v>
      </c>
      <c r="B79">
        <v>1.2558900000000001E-6</v>
      </c>
      <c r="C79">
        <v>2.0145599999999999E-5</v>
      </c>
      <c r="D79">
        <f t="shared" si="12"/>
        <v>0.19295083931748416</v>
      </c>
      <c r="E79">
        <f t="shared" si="13"/>
        <v>12.534438346959345</v>
      </c>
      <c r="G79">
        <v>1.2632499999999999E-6</v>
      </c>
      <c r="H79">
        <v>2.03004E-5</v>
      </c>
      <c r="I79">
        <f t="shared" si="14"/>
        <v>0.18744194604283454</v>
      </c>
      <c r="J79">
        <f t="shared" si="15"/>
        <v>11.06952396531981</v>
      </c>
      <c r="Q79">
        <f t="shared" si="10"/>
        <v>1.25957E-6</v>
      </c>
      <c r="R79">
        <f t="shared" si="11"/>
        <v>2.0222999999999999E-5</v>
      </c>
      <c r="T79">
        <f t="shared" si="16"/>
        <v>0.19019639268015937</v>
      </c>
      <c r="U79">
        <f t="shared" si="16"/>
        <v>11.801981156139577</v>
      </c>
      <c r="W79">
        <f t="shared" si="17"/>
        <v>2.7544466373248117E-3</v>
      </c>
      <c r="X79">
        <f t="shared" si="17"/>
        <v>0.73245719081976723</v>
      </c>
    </row>
    <row r="80" spans="1:24" x14ac:dyDescent="0.35">
      <c r="A80">
        <v>505.34300000000002</v>
      </c>
      <c r="B80">
        <v>1.24551E-6</v>
      </c>
      <c r="C80">
        <v>2.0103799999999999E-5</v>
      </c>
      <c r="D80">
        <f t="shared" si="12"/>
        <v>0.19135609000654491</v>
      </c>
      <c r="E80">
        <f t="shared" si="13"/>
        <v>12.508430706437201</v>
      </c>
      <c r="G80">
        <v>1.2472300000000001E-6</v>
      </c>
      <c r="H80">
        <v>2.0275000000000002E-5</v>
      </c>
      <c r="I80">
        <f t="shared" si="14"/>
        <v>0.18506488688937625</v>
      </c>
      <c r="J80">
        <f t="shared" si="15"/>
        <v>11.055673700856101</v>
      </c>
      <c r="Q80">
        <f t="shared" si="10"/>
        <v>1.2463700000000001E-6</v>
      </c>
      <c r="R80">
        <f t="shared" si="11"/>
        <v>2.01894E-5</v>
      </c>
      <c r="T80">
        <f t="shared" si="16"/>
        <v>0.18821048844796057</v>
      </c>
      <c r="U80">
        <f t="shared" si="16"/>
        <v>11.78205220364665</v>
      </c>
      <c r="W80">
        <f t="shared" si="17"/>
        <v>3.1456015585843294E-3</v>
      </c>
      <c r="X80">
        <f t="shared" si="17"/>
        <v>0.72637850279055005</v>
      </c>
    </row>
    <row r="81" spans="1:24" x14ac:dyDescent="0.35">
      <c r="A81">
        <v>518.67100000000005</v>
      </c>
      <c r="B81">
        <v>5.6203799999999995E-4</v>
      </c>
      <c r="C81">
        <v>1.6662099999999999E-4</v>
      </c>
      <c r="D81">
        <f t="shared" si="12"/>
        <v>86.349683354688821</v>
      </c>
      <c r="E81">
        <f t="shared" si="13"/>
        <v>103.67031271387862</v>
      </c>
      <c r="G81">
        <v>5.6585399999999997E-4</v>
      </c>
      <c r="H81">
        <v>1.96524E-4</v>
      </c>
      <c r="I81">
        <f t="shared" si="14"/>
        <v>83.961824608052325</v>
      </c>
      <c r="J81">
        <f t="shared" si="15"/>
        <v>107.16178635694422</v>
      </c>
      <c r="Q81">
        <f t="shared" si="10"/>
        <v>5.6394599999999996E-4</v>
      </c>
      <c r="R81">
        <f t="shared" si="11"/>
        <v>1.815725E-4</v>
      </c>
      <c r="T81">
        <f t="shared" si="16"/>
        <v>85.155753981370566</v>
      </c>
      <c r="U81">
        <f t="shared" si="16"/>
        <v>105.41604953541142</v>
      </c>
      <c r="W81">
        <f t="shared" si="17"/>
        <v>1.1939293733182481</v>
      </c>
      <c r="X81">
        <f t="shared" si="17"/>
        <v>1.7457368215328017</v>
      </c>
    </row>
    <row r="82" spans="1:24" x14ac:dyDescent="0.35">
      <c r="A82">
        <v>524.91800000000001</v>
      </c>
      <c r="B82">
        <v>5.7788399999999997E-4</v>
      </c>
      <c r="C82">
        <v>1.66601E-4</v>
      </c>
      <c r="D82">
        <f t="shared" si="12"/>
        <v>88.784211060001283</v>
      </c>
      <c r="E82">
        <f t="shared" si="13"/>
        <v>103.65786886673885</v>
      </c>
      <c r="G82">
        <v>5.8744199999999998E-4</v>
      </c>
      <c r="H82">
        <v>1.93575E-4</v>
      </c>
      <c r="I82">
        <f t="shared" si="14"/>
        <v>87.16506761709465</v>
      </c>
      <c r="J82">
        <f t="shared" si="15"/>
        <v>105.5537379355472</v>
      </c>
      <c r="Q82">
        <f t="shared" si="10"/>
        <v>5.8266299999999997E-4</v>
      </c>
      <c r="R82">
        <f t="shared" si="11"/>
        <v>1.8008800000000001E-4</v>
      </c>
      <c r="T82">
        <f t="shared" si="16"/>
        <v>87.974639338547973</v>
      </c>
      <c r="U82">
        <f t="shared" si="16"/>
        <v>104.60580340114302</v>
      </c>
      <c r="W82">
        <f t="shared" si="17"/>
        <v>0.80957172145331668</v>
      </c>
      <c r="X82">
        <f t="shared" si="17"/>
        <v>0.94793453440417608</v>
      </c>
    </row>
    <row r="83" spans="1:24" x14ac:dyDescent="0.35">
      <c r="A83">
        <v>531.04899999999998</v>
      </c>
      <c r="B83">
        <v>5.9251300000000002E-4</v>
      </c>
      <c r="C83">
        <v>1.6530000000000001E-4</v>
      </c>
      <c r="D83">
        <f t="shared" si="12"/>
        <v>91.031762858626536</v>
      </c>
      <c r="E83">
        <f t="shared" si="13"/>
        <v>102.84839661029605</v>
      </c>
      <c r="G83">
        <v>6.0080799999999998E-4</v>
      </c>
      <c r="H83">
        <v>1.91893E-4</v>
      </c>
      <c r="I83">
        <f t="shared" si="14"/>
        <v>89.1483243365156</v>
      </c>
      <c r="J83">
        <f t="shared" si="15"/>
        <v>104.63656687932821</v>
      </c>
      <c r="Q83">
        <f t="shared" si="10"/>
        <v>5.966605E-4</v>
      </c>
      <c r="R83">
        <f t="shared" si="11"/>
        <v>1.785965E-4</v>
      </c>
      <c r="T83">
        <f t="shared" si="16"/>
        <v>90.090043597571068</v>
      </c>
      <c r="U83">
        <f t="shared" si="16"/>
        <v>103.74248174481212</v>
      </c>
      <c r="W83">
        <f t="shared" si="17"/>
        <v>0.94171926105546788</v>
      </c>
      <c r="X83">
        <f t="shared" si="17"/>
        <v>0.89408513451608229</v>
      </c>
    </row>
    <row r="84" spans="1:24" x14ac:dyDescent="0.35">
      <c r="A84">
        <v>537.19200000000001</v>
      </c>
      <c r="B84">
        <v>6.1055199999999999E-4</v>
      </c>
      <c r="C84">
        <v>1.8296600000000001E-4</v>
      </c>
      <c r="D84">
        <f t="shared" si="12"/>
        <v>93.803215924140318</v>
      </c>
      <c r="E84">
        <f t="shared" si="13"/>
        <v>113.84004678886525</v>
      </c>
      <c r="G84">
        <v>6.1665999999999999E-4</v>
      </c>
      <c r="H84">
        <v>1.9815499999999999E-4</v>
      </c>
      <c r="I84">
        <f t="shared" si="14"/>
        <v>91.500455528814058</v>
      </c>
      <c r="J84">
        <f t="shared" si="15"/>
        <v>108.05114782703529</v>
      </c>
      <c r="Q84">
        <f t="shared" si="10"/>
        <v>6.1360600000000005E-4</v>
      </c>
      <c r="R84">
        <f t="shared" si="11"/>
        <v>1.905605E-4</v>
      </c>
      <c r="T84">
        <f t="shared" si="16"/>
        <v>92.651835726477188</v>
      </c>
      <c r="U84">
        <f t="shared" si="16"/>
        <v>110.94559730795027</v>
      </c>
      <c r="W84">
        <f t="shared" si="17"/>
        <v>1.1513801976631299</v>
      </c>
      <c r="X84">
        <f t="shared" si="17"/>
        <v>2.8944494809149788</v>
      </c>
    </row>
    <row r="85" spans="1:24" x14ac:dyDescent="0.35">
      <c r="A85">
        <v>543.55200000000002</v>
      </c>
      <c r="B85">
        <v>6.1920300000000003E-4</v>
      </c>
      <c r="C85">
        <v>1.82812E-4</v>
      </c>
      <c r="D85">
        <f t="shared" si="12"/>
        <v>95.132327319991518</v>
      </c>
      <c r="E85">
        <f t="shared" si="13"/>
        <v>113.74422916588894</v>
      </c>
      <c r="G85">
        <v>6.2790899999999995E-4</v>
      </c>
      <c r="H85">
        <v>2.0002099999999999E-4</v>
      </c>
      <c r="I85">
        <f t="shared" si="14"/>
        <v>93.169590261476515</v>
      </c>
      <c r="J85">
        <f t="shared" si="15"/>
        <v>109.06865150771578</v>
      </c>
      <c r="Q85">
        <f t="shared" si="10"/>
        <v>6.2355599999999994E-4</v>
      </c>
      <c r="R85">
        <f t="shared" si="11"/>
        <v>1.9141649999999998E-4</v>
      </c>
      <c r="T85">
        <f t="shared" si="16"/>
        <v>94.150958790734023</v>
      </c>
      <c r="U85">
        <f t="shared" si="16"/>
        <v>111.40644033680236</v>
      </c>
      <c r="W85">
        <f t="shared" si="17"/>
        <v>0.98136852925750162</v>
      </c>
      <c r="X85">
        <f t="shared" si="17"/>
        <v>2.3377888290865769</v>
      </c>
    </row>
    <row r="86" spans="1:24" x14ac:dyDescent="0.35">
      <c r="A86">
        <v>549.649</v>
      </c>
      <c r="B86">
        <v>6.2683300000000003E-4</v>
      </c>
      <c r="C86">
        <v>1.8423499999999999E-4</v>
      </c>
      <c r="D86">
        <f t="shared" si="12"/>
        <v>96.30457560924647</v>
      </c>
      <c r="E86">
        <f t="shared" si="13"/>
        <v>114.62960888988438</v>
      </c>
      <c r="G86">
        <v>6.3550800000000001E-4</v>
      </c>
      <c r="H86">
        <v>2.02296E-4</v>
      </c>
      <c r="I86">
        <f t="shared" si="14"/>
        <v>94.29713536179672</v>
      </c>
      <c r="J86">
        <f t="shared" si="15"/>
        <v>110.30917716342221</v>
      </c>
      <c r="Q86">
        <f t="shared" si="10"/>
        <v>6.3117050000000008E-4</v>
      </c>
      <c r="R86">
        <f t="shared" si="11"/>
        <v>1.9326549999999998E-4</v>
      </c>
      <c r="T86">
        <f t="shared" si="16"/>
        <v>95.300855485521595</v>
      </c>
      <c r="U86">
        <f t="shared" si="16"/>
        <v>112.46939302665329</v>
      </c>
      <c r="W86">
        <f t="shared" si="17"/>
        <v>1.0037201237248752</v>
      </c>
      <c r="X86">
        <f t="shared" si="17"/>
        <v>2.1602158632310875</v>
      </c>
    </row>
    <row r="87" spans="1:24" x14ac:dyDescent="0.35">
      <c r="A87">
        <v>555.86300000000006</v>
      </c>
      <c r="B87">
        <v>6.3152800000000002E-4</v>
      </c>
      <c r="C87">
        <v>1.8379900000000001E-4</v>
      </c>
      <c r="D87">
        <f t="shared" si="12"/>
        <v>97.025900080812917</v>
      </c>
      <c r="E87">
        <f t="shared" si="13"/>
        <v>114.35833302223716</v>
      </c>
      <c r="G87">
        <v>6.4232799999999995E-4</v>
      </c>
      <c r="H87">
        <v>2.0365100000000001E-4</v>
      </c>
      <c r="I87">
        <f t="shared" si="14"/>
        <v>95.309091880310177</v>
      </c>
      <c r="J87">
        <f t="shared" si="15"/>
        <v>111.04803969682099</v>
      </c>
      <c r="Q87">
        <f t="shared" si="10"/>
        <v>6.3692799999999993E-4</v>
      </c>
      <c r="R87">
        <f t="shared" si="11"/>
        <v>1.9372500000000001E-4</v>
      </c>
      <c r="T87">
        <f t="shared" si="16"/>
        <v>96.16749598056154</v>
      </c>
      <c r="U87">
        <f t="shared" si="16"/>
        <v>112.70318635952907</v>
      </c>
      <c r="W87">
        <f t="shared" si="17"/>
        <v>0.85840410025137004</v>
      </c>
      <c r="X87">
        <f t="shared" si="17"/>
        <v>1.6551466627080842</v>
      </c>
    </row>
    <row r="88" spans="1:24" x14ac:dyDescent="0.35">
      <c r="A88">
        <v>562.19600000000003</v>
      </c>
      <c r="B88">
        <v>6.3576799999999999E-4</v>
      </c>
      <c r="C88">
        <v>1.8449499999999999E-4</v>
      </c>
      <c r="D88">
        <f t="shared" si="12"/>
        <v>97.677319837882507</v>
      </c>
      <c r="E88">
        <f t="shared" si="13"/>
        <v>114.79137890270155</v>
      </c>
      <c r="G88">
        <v>6.4855499999999999E-4</v>
      </c>
      <c r="H88">
        <v>2.0428800000000001E-4</v>
      </c>
      <c r="I88">
        <f t="shared" si="14"/>
        <v>96.233058631158173</v>
      </c>
      <c r="J88">
        <f t="shared" si="15"/>
        <v>111.39538688041878</v>
      </c>
      <c r="Q88">
        <f t="shared" si="10"/>
        <v>6.4216149999999999E-4</v>
      </c>
      <c r="R88">
        <f t="shared" si="11"/>
        <v>1.9439149999999998E-4</v>
      </c>
      <c r="T88">
        <f t="shared" si="16"/>
        <v>96.955189234520333</v>
      </c>
      <c r="U88">
        <f t="shared" si="16"/>
        <v>113.09338289156017</v>
      </c>
      <c r="W88">
        <f t="shared" si="17"/>
        <v>0.72213060336216728</v>
      </c>
      <c r="X88">
        <f t="shared" si="17"/>
        <v>1.6979960111413845</v>
      </c>
    </row>
    <row r="89" spans="1:24" x14ac:dyDescent="0.35">
      <c r="A89">
        <v>568.34699999999998</v>
      </c>
      <c r="B89">
        <v>6.4212000000000004E-4</v>
      </c>
      <c r="C89">
        <v>1.87519E-4</v>
      </c>
      <c r="D89">
        <f t="shared" si="12"/>
        <v>98.653220379605642</v>
      </c>
      <c r="E89">
        <f t="shared" si="13"/>
        <v>116.67288859023657</v>
      </c>
      <c r="G89">
        <v>6.5377100000000004E-4</v>
      </c>
      <c r="H89">
        <v>2.0572200000000001E-4</v>
      </c>
      <c r="I89">
        <f t="shared" si="14"/>
        <v>97.007012472883432</v>
      </c>
      <c r="J89">
        <f t="shared" si="15"/>
        <v>112.17732700801571</v>
      </c>
      <c r="Q89">
        <f t="shared" si="10"/>
        <v>6.4794549999999999E-4</v>
      </c>
      <c r="R89">
        <f t="shared" si="11"/>
        <v>1.9662050000000001E-4</v>
      </c>
      <c r="T89">
        <f t="shared" si="16"/>
        <v>97.83011642624453</v>
      </c>
      <c r="U89">
        <f t="shared" si="16"/>
        <v>114.42510779912614</v>
      </c>
      <c r="W89">
        <f t="shared" si="17"/>
        <v>0.82310395336110531</v>
      </c>
      <c r="X89">
        <f t="shared" si="17"/>
        <v>2.2477807911104293</v>
      </c>
    </row>
    <row r="90" spans="1:24" x14ac:dyDescent="0.35">
      <c r="A90">
        <v>574.55200000000002</v>
      </c>
      <c r="B90">
        <v>6.4672899999999997E-4</v>
      </c>
      <c r="C90">
        <v>1.8760200000000001E-4</v>
      </c>
      <c r="D90">
        <f t="shared" si="12"/>
        <v>99.361332091948512</v>
      </c>
      <c r="E90">
        <f t="shared" si="13"/>
        <v>116.72453055586666</v>
      </c>
      <c r="G90">
        <v>6.5920499999999995E-4</v>
      </c>
      <c r="H90">
        <v>2.0718900000000001E-4</v>
      </c>
      <c r="I90">
        <f t="shared" si="14"/>
        <v>97.813313311828026</v>
      </c>
      <c r="J90">
        <f t="shared" si="15"/>
        <v>112.97726157369542</v>
      </c>
      <c r="Q90">
        <f t="shared" si="10"/>
        <v>6.5296699999999996E-4</v>
      </c>
      <c r="R90">
        <f t="shared" si="11"/>
        <v>1.9739550000000001E-4</v>
      </c>
      <c r="T90">
        <f t="shared" si="16"/>
        <v>98.587322701888269</v>
      </c>
      <c r="U90">
        <f t="shared" si="16"/>
        <v>114.85089606478104</v>
      </c>
      <c r="W90">
        <f t="shared" si="17"/>
        <v>0.77400939006024316</v>
      </c>
      <c r="X90">
        <f t="shared" si="17"/>
        <v>1.8736344910856246</v>
      </c>
    </row>
    <row r="91" spans="1:24" x14ac:dyDescent="0.35">
      <c r="A91">
        <v>580.73699999999997</v>
      </c>
      <c r="B91">
        <v>6.4881900000000002E-4</v>
      </c>
      <c r="C91">
        <v>1.8754500000000001E-4</v>
      </c>
      <c r="D91">
        <f t="shared" si="12"/>
        <v>99.682432868428577</v>
      </c>
      <c r="E91">
        <f t="shared" si="13"/>
        <v>116.68906559151829</v>
      </c>
      <c r="G91">
        <v>6.65929E-4</v>
      </c>
      <c r="H91">
        <v>2.0955799999999999E-4</v>
      </c>
      <c r="I91">
        <f t="shared" si="14"/>
        <v>98.811025281107277</v>
      </c>
      <c r="J91">
        <f t="shared" si="15"/>
        <v>114.26904411363761</v>
      </c>
      <c r="Q91">
        <f t="shared" si="10"/>
        <v>6.5737400000000007E-4</v>
      </c>
      <c r="R91">
        <f t="shared" si="11"/>
        <v>1.985515E-4</v>
      </c>
      <c r="T91">
        <f t="shared" si="16"/>
        <v>99.246729074767927</v>
      </c>
      <c r="U91">
        <f t="shared" si="16"/>
        <v>115.47905485257795</v>
      </c>
      <c r="W91">
        <f t="shared" si="17"/>
        <v>0.43570379366065026</v>
      </c>
      <c r="X91">
        <f t="shared" si="17"/>
        <v>1.2100107389403405</v>
      </c>
    </row>
    <row r="92" spans="1:24" x14ac:dyDescent="0.35">
      <c r="A92">
        <v>587.00400000000002</v>
      </c>
      <c r="B92">
        <v>6.5232599999999995E-4</v>
      </c>
      <c r="C92">
        <v>1.8808400000000001E-4</v>
      </c>
      <c r="D92">
        <f t="shared" si="12"/>
        <v>100.22123689862738</v>
      </c>
      <c r="E92">
        <f t="shared" si="13"/>
        <v>117.02442727193541</v>
      </c>
      <c r="G92">
        <v>6.6839899999999997E-4</v>
      </c>
      <c r="H92">
        <v>2.1043099999999999E-4</v>
      </c>
      <c r="I92">
        <f t="shared" si="14"/>
        <v>99.177525662445731</v>
      </c>
      <c r="J92">
        <f t="shared" si="15"/>
        <v>114.74507879382736</v>
      </c>
      <c r="Q92">
        <f t="shared" si="10"/>
        <v>6.6036250000000001E-4</v>
      </c>
      <c r="R92">
        <f t="shared" si="11"/>
        <v>1.992575E-4</v>
      </c>
      <c r="T92">
        <f t="shared" si="16"/>
        <v>99.699381280536556</v>
      </c>
      <c r="U92">
        <f t="shared" si="16"/>
        <v>115.88475303288138</v>
      </c>
      <c r="W92">
        <f t="shared" si="17"/>
        <v>0.52185561809082515</v>
      </c>
      <c r="X92">
        <f t="shared" si="17"/>
        <v>1.139674239054024</v>
      </c>
    </row>
    <row r="93" spans="1:24" x14ac:dyDescent="0.35">
      <c r="A93">
        <v>593.21</v>
      </c>
      <c r="B93">
        <v>6.5651800000000003E-4</v>
      </c>
      <c r="C93">
        <v>1.8795199999999999E-4</v>
      </c>
      <c r="D93">
        <f t="shared" si="12"/>
        <v>100.86528209240942</v>
      </c>
      <c r="E93">
        <f t="shared" si="13"/>
        <v>116.94229788081283</v>
      </c>
      <c r="G93">
        <v>6.73097E-4</v>
      </c>
      <c r="H93">
        <v>2.1107E-4</v>
      </c>
      <c r="I93">
        <f t="shared" si="14"/>
        <v>99.874618290594739</v>
      </c>
      <c r="J93">
        <f t="shared" si="15"/>
        <v>115.09351654943019</v>
      </c>
      <c r="Q93">
        <f t="shared" si="10"/>
        <v>6.6480750000000007E-4</v>
      </c>
      <c r="R93">
        <f t="shared" si="11"/>
        <v>1.9951099999999998E-4</v>
      </c>
      <c r="T93">
        <f t="shared" si="16"/>
        <v>100.36995019150208</v>
      </c>
      <c r="U93">
        <f t="shared" si="16"/>
        <v>116.01790721512151</v>
      </c>
      <c r="W93">
        <f t="shared" si="17"/>
        <v>0.49533190090733825</v>
      </c>
      <c r="X93">
        <f t="shared" si="17"/>
        <v>0.92439066569131967</v>
      </c>
    </row>
    <row r="94" spans="1:24" x14ac:dyDescent="0.35">
      <c r="A94">
        <v>599.31799999999998</v>
      </c>
      <c r="B94">
        <v>6.6067299999999997E-4</v>
      </c>
      <c r="C94">
        <v>1.8810100000000001E-4</v>
      </c>
      <c r="D94">
        <f t="shared" si="12"/>
        <v>101.50364272699058</v>
      </c>
      <c r="E94">
        <f t="shared" si="13"/>
        <v>117.03500454200422</v>
      </c>
      <c r="G94">
        <v>6.7561900000000002E-4</v>
      </c>
      <c r="H94">
        <v>2.1137799999999999E-4</v>
      </c>
      <c r="I94">
        <f t="shared" si="14"/>
        <v>100.24883446943507</v>
      </c>
      <c r="J94">
        <f t="shared" si="15"/>
        <v>115.26146463820275</v>
      </c>
      <c r="Q94">
        <f t="shared" si="10"/>
        <v>6.68146E-4</v>
      </c>
      <c r="R94">
        <f t="shared" si="11"/>
        <v>1.997395E-4</v>
      </c>
      <c r="T94">
        <f t="shared" si="16"/>
        <v>100.87623859821282</v>
      </c>
      <c r="U94">
        <f t="shared" si="16"/>
        <v>116.14823459010348</v>
      </c>
      <c r="W94">
        <f t="shared" si="17"/>
        <v>0.62740412877775498</v>
      </c>
      <c r="X94">
        <f t="shared" si="17"/>
        <v>0.88676995190073171</v>
      </c>
    </row>
    <row r="95" spans="1:24" x14ac:dyDescent="0.35">
      <c r="A95">
        <v>605.59400000000005</v>
      </c>
      <c r="B95">
        <v>6.6425499999999999E-4</v>
      </c>
      <c r="C95">
        <v>1.8895699999999999E-4</v>
      </c>
      <c r="D95">
        <f t="shared" si="12"/>
        <v>102.05396951232626</v>
      </c>
      <c r="E95">
        <f t="shared" si="13"/>
        <v>117.56760119958687</v>
      </c>
      <c r="G95">
        <v>6.7896500000000002E-4</v>
      </c>
      <c r="H95">
        <v>2.11685E-4</v>
      </c>
      <c r="I95">
        <f t="shared" si="14"/>
        <v>100.74531636253565</v>
      </c>
      <c r="J95">
        <f t="shared" si="15"/>
        <v>115.42886744097281</v>
      </c>
      <c r="Q95">
        <f t="shared" si="10"/>
        <v>6.7161E-4</v>
      </c>
      <c r="R95">
        <f t="shared" si="11"/>
        <v>2.00321E-4</v>
      </c>
      <c r="T95">
        <f t="shared" si="16"/>
        <v>101.39964293743095</v>
      </c>
      <c r="U95">
        <f t="shared" si="16"/>
        <v>116.49823432027983</v>
      </c>
      <c r="W95">
        <f t="shared" si="17"/>
        <v>0.65432657489530754</v>
      </c>
      <c r="X95">
        <f t="shared" si="17"/>
        <v>1.069366879307033</v>
      </c>
    </row>
    <row r="96" spans="1:24" x14ac:dyDescent="0.35">
      <c r="A96">
        <v>611.76900000000001</v>
      </c>
      <c r="B96">
        <v>6.6817099999999996E-4</v>
      </c>
      <c r="C96">
        <v>1.90063E-4</v>
      </c>
      <c r="D96">
        <f t="shared" si="12"/>
        <v>102.65561096720468</v>
      </c>
      <c r="E96">
        <f t="shared" si="13"/>
        <v>118.25574594641679</v>
      </c>
      <c r="G96">
        <v>6.8300299999999995E-4</v>
      </c>
      <c r="H96">
        <v>2.1257099999999999E-4</v>
      </c>
      <c r="I96">
        <f t="shared" si="14"/>
        <v>101.34447771469948</v>
      </c>
      <c r="J96">
        <f t="shared" si="15"/>
        <v>115.91199083919517</v>
      </c>
      <c r="Q96">
        <f t="shared" si="10"/>
        <v>6.7558699999999995E-4</v>
      </c>
      <c r="R96">
        <f t="shared" si="11"/>
        <v>2.0131700000000001E-4</v>
      </c>
      <c r="T96">
        <f t="shared" si="16"/>
        <v>102.00004434095209</v>
      </c>
      <c r="U96">
        <f t="shared" si="16"/>
        <v>117.08386839280598</v>
      </c>
      <c r="W96">
        <f t="shared" si="17"/>
        <v>0.65556662625260032</v>
      </c>
      <c r="X96">
        <f t="shared" si="17"/>
        <v>1.1718775536108126</v>
      </c>
    </row>
    <row r="97" spans="1:24" x14ac:dyDescent="0.35">
      <c r="A97">
        <v>617.947</v>
      </c>
      <c r="B97">
        <v>6.6704999999999998E-4</v>
      </c>
      <c r="C97">
        <v>1.8633300000000001E-4</v>
      </c>
      <c r="D97">
        <f t="shared" si="12"/>
        <v>102.48338418709267</v>
      </c>
      <c r="E97">
        <f t="shared" si="13"/>
        <v>115.93496845484749</v>
      </c>
      <c r="G97">
        <v>6.8884199999999995E-4</v>
      </c>
      <c r="H97">
        <v>2.1557600000000001E-4</v>
      </c>
      <c r="I97">
        <f t="shared" si="14"/>
        <v>102.21087274572589</v>
      </c>
      <c r="J97">
        <f t="shared" si="15"/>
        <v>117.55057527673264</v>
      </c>
      <c r="Q97">
        <f t="shared" si="10"/>
        <v>6.7794600000000002E-4</v>
      </c>
      <c r="R97">
        <f t="shared" si="11"/>
        <v>2.009545E-4</v>
      </c>
      <c r="T97">
        <f t="shared" si="16"/>
        <v>102.34712846640929</v>
      </c>
      <c r="U97">
        <f t="shared" si="16"/>
        <v>116.74277186579008</v>
      </c>
      <c r="W97">
        <f t="shared" si="17"/>
        <v>0.13625572068338698</v>
      </c>
      <c r="X97">
        <f t="shared" si="17"/>
        <v>0.80780341094257591</v>
      </c>
    </row>
    <row r="98" spans="1:24" x14ac:dyDescent="0.35">
      <c r="A98">
        <v>624.12199999999996</v>
      </c>
      <c r="B98">
        <v>6.7162099999999996E-4</v>
      </c>
      <c r="C98">
        <v>1.90144E-4</v>
      </c>
      <c r="D98">
        <f t="shared" si="12"/>
        <v>103.18565770349952</v>
      </c>
      <c r="E98">
        <f t="shared" si="13"/>
        <v>118.30614352733291</v>
      </c>
      <c r="G98">
        <v>6.8819599999999997E-4</v>
      </c>
      <c r="H98">
        <v>2.1578499999999999E-4</v>
      </c>
      <c r="I98">
        <f t="shared" si="14"/>
        <v>102.11501879983737</v>
      </c>
      <c r="J98">
        <f t="shared" si="15"/>
        <v>117.66454005125688</v>
      </c>
      <c r="Q98">
        <f t="shared" si="10"/>
        <v>6.7990849999999996E-4</v>
      </c>
      <c r="R98">
        <f t="shared" si="11"/>
        <v>2.0296449999999998E-4</v>
      </c>
      <c r="T98">
        <f t="shared" si="16"/>
        <v>102.65033825166844</v>
      </c>
      <c r="U98">
        <f t="shared" si="16"/>
        <v>117.98534178929489</v>
      </c>
      <c r="W98">
        <f t="shared" si="17"/>
        <v>0.53531945183107155</v>
      </c>
      <c r="X98">
        <f t="shared" si="17"/>
        <v>0.32080173803801415</v>
      </c>
    </row>
    <row r="99" spans="1:24" x14ac:dyDescent="0.35">
      <c r="A99">
        <v>630.39800000000002</v>
      </c>
      <c r="B99">
        <v>6.7285900000000004E-4</v>
      </c>
      <c r="C99">
        <v>1.9083500000000001E-4</v>
      </c>
      <c r="D99">
        <f t="shared" si="12"/>
        <v>103.37585998162504</v>
      </c>
      <c r="E99">
        <f t="shared" si="13"/>
        <v>118.73607844601237</v>
      </c>
      <c r="G99">
        <v>6.9324700000000003E-4</v>
      </c>
      <c r="H99">
        <v>2.1449300000000001E-4</v>
      </c>
      <c r="I99">
        <f t="shared" si="14"/>
        <v>102.86448982256636</v>
      </c>
      <c r="J99">
        <f t="shared" si="15"/>
        <v>116.96003053601616</v>
      </c>
      <c r="Q99">
        <f t="shared" ref="Q99:Q109" si="18">AVERAGE(B99,G99,L99)</f>
        <v>6.8305300000000009E-4</v>
      </c>
      <c r="R99">
        <f t="shared" ref="R99:R109" si="19">AVERAGE(C99,H99,M99)</f>
        <v>2.0266400000000002E-4</v>
      </c>
      <c r="T99">
        <f t="shared" si="16"/>
        <v>103.1201749020957</v>
      </c>
      <c r="U99">
        <f t="shared" si="16"/>
        <v>117.84805449101427</v>
      </c>
      <c r="W99">
        <f t="shared" si="17"/>
        <v>0.25568507952934283</v>
      </c>
      <c r="X99">
        <f t="shared" si="17"/>
        <v>0.88802395499810416</v>
      </c>
    </row>
    <row r="100" spans="1:24" x14ac:dyDescent="0.35">
      <c r="A100">
        <v>636.58100000000002</v>
      </c>
      <c r="B100">
        <v>6.7540600000000003E-4</v>
      </c>
      <c r="C100">
        <v>1.92456E-4</v>
      </c>
      <c r="D100">
        <f t="shared" si="12"/>
        <v>103.76717274607228</v>
      </c>
      <c r="E100">
        <f t="shared" si="13"/>
        <v>119.74465225669168</v>
      </c>
      <c r="G100">
        <v>6.9893500000000003E-4</v>
      </c>
      <c r="H100">
        <v>2.1713900000000001E-4</v>
      </c>
      <c r="I100">
        <f t="shared" si="14"/>
        <v>103.70847936469312</v>
      </c>
      <c r="J100">
        <f t="shared" si="15"/>
        <v>118.40285729865316</v>
      </c>
      <c r="Q100">
        <f t="shared" si="18"/>
        <v>6.8717050000000003E-4</v>
      </c>
      <c r="R100">
        <f t="shared" si="19"/>
        <v>2.0479750000000001E-4</v>
      </c>
      <c r="T100">
        <f t="shared" si="16"/>
        <v>103.7378260553827</v>
      </c>
      <c r="U100">
        <f t="shared" si="16"/>
        <v>119.07375477767242</v>
      </c>
      <c r="W100">
        <f t="shared" si="17"/>
        <v>2.9346690689578736E-2</v>
      </c>
      <c r="X100">
        <f t="shared" si="17"/>
        <v>0.67089747901925989</v>
      </c>
    </row>
    <row r="101" spans="1:24" x14ac:dyDescent="0.35">
      <c r="A101">
        <v>642.83500000000004</v>
      </c>
      <c r="B101">
        <v>6.7657700000000004E-4</v>
      </c>
      <c r="C101">
        <v>1.9034100000000001E-4</v>
      </c>
      <c r="D101">
        <f t="shared" si="12"/>
        <v>103.9470813629422</v>
      </c>
      <c r="E101">
        <f t="shared" si="13"/>
        <v>118.42871542165977</v>
      </c>
      <c r="G101">
        <v>7.0270399999999996E-4</v>
      </c>
      <c r="H101">
        <v>2.17562E-4</v>
      </c>
      <c r="I101">
        <f t="shared" si="14"/>
        <v>104.26772630285693</v>
      </c>
      <c r="J101">
        <f t="shared" si="15"/>
        <v>118.63351327771416</v>
      </c>
      <c r="Q101">
        <f t="shared" si="18"/>
        <v>6.896405E-4</v>
      </c>
      <c r="R101">
        <f t="shared" si="19"/>
        <v>2.0395150000000002E-4</v>
      </c>
      <c r="T101">
        <f t="shared" si="16"/>
        <v>104.10740383289956</v>
      </c>
      <c r="U101">
        <f t="shared" si="16"/>
        <v>118.53111434968696</v>
      </c>
      <c r="W101">
        <f t="shared" si="17"/>
        <v>0.16032246995736443</v>
      </c>
      <c r="X101">
        <f t="shared" si="17"/>
        <v>0.10239892802719197</v>
      </c>
    </row>
    <row r="102" spans="1:24" x14ac:dyDescent="0.35">
      <c r="A102">
        <v>649.06100000000004</v>
      </c>
      <c r="B102">
        <v>6.8209399999999995E-4</v>
      </c>
      <c r="C102">
        <v>1.95002E-4</v>
      </c>
      <c r="D102">
        <f t="shared" si="12"/>
        <v>104.79469523080844</v>
      </c>
      <c r="E102">
        <f t="shared" si="13"/>
        <v>121.32875399758589</v>
      </c>
      <c r="G102">
        <v>7.0571800000000004E-4</v>
      </c>
      <c r="H102">
        <v>2.1904100000000001E-4</v>
      </c>
      <c r="I102">
        <f t="shared" si="14"/>
        <v>104.71494579652256</v>
      </c>
      <c r="J102">
        <f t="shared" si="15"/>
        <v>119.43999127542398</v>
      </c>
      <c r="Q102">
        <f t="shared" si="18"/>
        <v>6.9390599999999999E-4</v>
      </c>
      <c r="R102">
        <f t="shared" si="19"/>
        <v>2.070215E-4</v>
      </c>
      <c r="T102">
        <f t="shared" si="16"/>
        <v>104.75482051366549</v>
      </c>
      <c r="U102">
        <f t="shared" si="16"/>
        <v>120.38437263650493</v>
      </c>
      <c r="W102">
        <f t="shared" si="17"/>
        <v>3.9874717142943439E-2</v>
      </c>
      <c r="X102">
        <f t="shared" si="17"/>
        <v>0.94438136108095705</v>
      </c>
    </row>
    <row r="103" spans="1:24" x14ac:dyDescent="0.35">
      <c r="A103">
        <v>655.28099999999995</v>
      </c>
      <c r="B103">
        <v>6.8442899999999996E-4</v>
      </c>
      <c r="C103">
        <v>1.9388000000000001E-4</v>
      </c>
      <c r="D103">
        <f t="shared" si="12"/>
        <v>105.1534370074022</v>
      </c>
      <c r="E103">
        <f t="shared" si="13"/>
        <v>120.63065417304415</v>
      </c>
      <c r="G103">
        <v>7.0990799999999998E-4</v>
      </c>
      <c r="H103">
        <v>2.19533E-4</v>
      </c>
      <c r="I103">
        <f t="shared" si="14"/>
        <v>105.33666101830721</v>
      </c>
      <c r="J103">
        <f t="shared" si="15"/>
        <v>119.70827198865805</v>
      </c>
      <c r="Q103">
        <f t="shared" si="18"/>
        <v>6.9716849999999992E-4</v>
      </c>
      <c r="R103">
        <f t="shared" si="19"/>
        <v>2.067065E-4</v>
      </c>
      <c r="T103">
        <f t="shared" si="16"/>
        <v>105.24504901285471</v>
      </c>
      <c r="U103">
        <f t="shared" si="16"/>
        <v>120.1694630808511</v>
      </c>
      <c r="W103">
        <f t="shared" si="17"/>
        <v>9.1612005452503809E-2</v>
      </c>
      <c r="X103">
        <f t="shared" si="17"/>
        <v>0.46119109219304733</v>
      </c>
    </row>
    <row r="104" spans="1:24" x14ac:dyDescent="0.35">
      <c r="A104">
        <v>661.45299999999997</v>
      </c>
      <c r="B104">
        <v>6.8661799999999995E-4</v>
      </c>
      <c r="C104">
        <v>1.94181E-4</v>
      </c>
      <c r="D104">
        <f t="shared" si="12"/>
        <v>105.4897478206629</v>
      </c>
      <c r="E104">
        <f t="shared" si="13"/>
        <v>120.81793407249786</v>
      </c>
      <c r="G104">
        <v>7.1246600000000003E-4</v>
      </c>
      <c r="H104">
        <v>2.2085099999999999E-4</v>
      </c>
      <c r="I104">
        <f t="shared" si="14"/>
        <v>105.71621890311036</v>
      </c>
      <c r="J104">
        <f t="shared" si="15"/>
        <v>120.426958939964</v>
      </c>
      <c r="Q104">
        <f t="shared" si="18"/>
        <v>6.9954200000000005E-4</v>
      </c>
      <c r="R104">
        <f t="shared" si="19"/>
        <v>2.0751599999999998E-4</v>
      </c>
      <c r="T104">
        <f t="shared" si="16"/>
        <v>105.60298336188663</v>
      </c>
      <c r="U104">
        <f t="shared" si="16"/>
        <v>120.62244650623093</v>
      </c>
      <c r="W104">
        <f t="shared" si="17"/>
        <v>0.11323554122373025</v>
      </c>
      <c r="X104">
        <f t="shared" si="17"/>
        <v>0.19548756626693375</v>
      </c>
    </row>
    <row r="105" spans="1:24" x14ac:dyDescent="0.35">
      <c r="A105">
        <v>667.70500000000004</v>
      </c>
      <c r="B105">
        <v>6.8790099999999999E-4</v>
      </c>
      <c r="C105">
        <v>1.93761E-4</v>
      </c>
      <c r="D105">
        <f t="shared" si="12"/>
        <v>105.6868637518705</v>
      </c>
      <c r="E105">
        <f t="shared" si="13"/>
        <v>120.55661328256244</v>
      </c>
      <c r="G105">
        <v>7.1457499999999995E-4</v>
      </c>
      <c r="H105">
        <v>2.21232E-4</v>
      </c>
      <c r="I105">
        <f t="shared" si="14"/>
        <v>106.02915384409934</v>
      </c>
      <c r="J105">
        <f t="shared" si="15"/>
        <v>120.63471290691969</v>
      </c>
      <c r="Q105">
        <f t="shared" si="18"/>
        <v>7.0123799999999997E-4</v>
      </c>
      <c r="R105">
        <f t="shared" si="19"/>
        <v>2.074965E-4</v>
      </c>
      <c r="T105">
        <f t="shared" si="16"/>
        <v>105.85800879798492</v>
      </c>
      <c r="U105">
        <f t="shared" si="16"/>
        <v>120.59566309474107</v>
      </c>
      <c r="W105">
        <f t="shared" si="17"/>
        <v>0.17114504611441816</v>
      </c>
      <c r="X105">
        <f t="shared" si="17"/>
        <v>3.9049812178625132E-2</v>
      </c>
    </row>
    <row r="106" spans="1:24" x14ac:dyDescent="0.35">
      <c r="A106">
        <v>673.85199999999998</v>
      </c>
      <c r="B106">
        <v>6.9006999999999998E-4</v>
      </c>
      <c r="C106">
        <v>1.9604299999999999E-4</v>
      </c>
      <c r="D106">
        <f t="shared" si="12"/>
        <v>106.02010183042805</v>
      </c>
      <c r="E106">
        <f t="shared" si="13"/>
        <v>121.97645624121154</v>
      </c>
      <c r="G106">
        <v>7.1693600000000005E-4</v>
      </c>
      <c r="H106">
        <v>2.2026599999999999E-4</v>
      </c>
      <c r="I106">
        <f t="shared" si="14"/>
        <v>106.37948072682815</v>
      </c>
      <c r="J106">
        <f t="shared" si="15"/>
        <v>120.10796662849665</v>
      </c>
      <c r="Q106">
        <f t="shared" si="18"/>
        <v>7.0350300000000007E-4</v>
      </c>
      <c r="R106">
        <f t="shared" si="19"/>
        <v>2.0815450000000001E-4</v>
      </c>
      <c r="T106">
        <f t="shared" si="16"/>
        <v>106.1997912786281</v>
      </c>
      <c r="U106">
        <f t="shared" si="16"/>
        <v>121.0422114348541</v>
      </c>
      <c r="W106">
        <f t="shared" si="17"/>
        <v>0.17968944820005106</v>
      </c>
      <c r="X106">
        <f t="shared" si="17"/>
        <v>0.93424480635744089</v>
      </c>
    </row>
    <row r="107" spans="1:24" x14ac:dyDescent="0.35">
      <c r="A107">
        <v>680.23400000000004</v>
      </c>
      <c r="B107">
        <v>6.9194199999999997E-4</v>
      </c>
      <c r="C107">
        <v>1.9518000000000001E-4</v>
      </c>
      <c r="D107">
        <f t="shared" si="12"/>
        <v>106.30770979864369</v>
      </c>
      <c r="E107">
        <f t="shared" si="13"/>
        <v>121.43950423712997</v>
      </c>
      <c r="G107">
        <v>7.2010499999999996E-4</v>
      </c>
      <c r="H107">
        <v>2.21926E-4</v>
      </c>
      <c r="I107">
        <f t="shared" si="14"/>
        <v>106.84969923227814</v>
      </c>
      <c r="J107">
        <f t="shared" si="15"/>
        <v>121.01314139266046</v>
      </c>
      <c r="Q107">
        <f t="shared" si="18"/>
        <v>7.0602350000000002E-4</v>
      </c>
      <c r="R107">
        <f t="shared" si="19"/>
        <v>2.0855299999999999E-4</v>
      </c>
      <c r="T107">
        <f t="shared" si="16"/>
        <v>106.57870451546091</v>
      </c>
      <c r="U107">
        <f t="shared" si="16"/>
        <v>121.22632281489521</v>
      </c>
      <c r="W107">
        <f t="shared" si="17"/>
        <v>0.27099471681722775</v>
      </c>
      <c r="X107">
        <f t="shared" si="17"/>
        <v>0.21318142223475434</v>
      </c>
    </row>
    <row r="108" spans="1:24" x14ac:dyDescent="0.35">
      <c r="A108">
        <v>686.39200000000005</v>
      </c>
      <c r="B108">
        <v>6.8664699999999997E-4</v>
      </c>
      <c r="C108">
        <v>1.9270800000000001E-4</v>
      </c>
      <c r="D108">
        <f t="shared" si="12"/>
        <v>105.49420328598249</v>
      </c>
      <c r="E108">
        <f t="shared" si="13"/>
        <v>119.90144473065294</v>
      </c>
      <c r="G108">
        <v>7.2871500000000001E-4</v>
      </c>
      <c r="H108">
        <v>2.2584300000000001E-4</v>
      </c>
      <c r="I108">
        <f t="shared" si="14"/>
        <v>108.1272572417211</v>
      </c>
      <c r="J108">
        <f t="shared" si="15"/>
        <v>123.14902666448553</v>
      </c>
      <c r="Q108">
        <f t="shared" si="18"/>
        <v>7.0768099999999994E-4</v>
      </c>
      <c r="R108">
        <f t="shared" si="19"/>
        <v>2.0927550000000001E-4</v>
      </c>
      <c r="T108">
        <f t="shared" si="16"/>
        <v>106.8107302638518</v>
      </c>
      <c r="U108">
        <f t="shared" si="16"/>
        <v>121.52523569756923</v>
      </c>
      <c r="W108">
        <f t="shared" si="17"/>
        <v>1.3165269778693016</v>
      </c>
      <c r="X108">
        <f t="shared" si="17"/>
        <v>1.623790966916296</v>
      </c>
    </row>
    <row r="109" spans="1:24" x14ac:dyDescent="0.35">
      <c r="A109">
        <v>692.49400000000003</v>
      </c>
      <c r="B109">
        <v>6.9414499999999996E-4</v>
      </c>
      <c r="C109">
        <v>1.9692000000000001E-4</v>
      </c>
      <c r="D109">
        <f t="shared" si="12"/>
        <v>106.64617152619658</v>
      </c>
      <c r="E109">
        <f t="shared" si="13"/>
        <v>122.52211893829097</v>
      </c>
      <c r="G109">
        <v>7.30553E-4</v>
      </c>
      <c r="H109">
        <v>2.2662100000000001E-4</v>
      </c>
      <c r="I109">
        <f t="shared" si="14"/>
        <v>108.39998100726768</v>
      </c>
      <c r="J109">
        <f t="shared" si="15"/>
        <v>123.573259174437</v>
      </c>
      <c r="Q109">
        <f t="shared" si="18"/>
        <v>7.1234899999999992E-4</v>
      </c>
      <c r="R109">
        <f t="shared" si="19"/>
        <v>2.1177050000000002E-4</v>
      </c>
      <c r="T109">
        <f t="shared" si="16"/>
        <v>107.52307626673213</v>
      </c>
      <c r="U109">
        <f t="shared" si="16"/>
        <v>123.04768905636399</v>
      </c>
      <c r="W109">
        <f t="shared" si="17"/>
        <v>0.87690474053555079</v>
      </c>
      <c r="X109">
        <f t="shared" si="17"/>
        <v>0.52557011807301279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33F7-B8D7-438E-B383-B86D9049EC88}">
  <dimension ref="A1:X108"/>
  <sheetViews>
    <sheetView tabSelected="1" topLeftCell="J1" zoomScale="115" zoomScaleNormal="115" workbookViewId="0">
      <selection activeCell="AC86" sqref="AC86"/>
    </sheetView>
  </sheetViews>
  <sheetFormatPr defaultColWidth="8.81640625" defaultRowHeight="14.5" x14ac:dyDescent="0.35"/>
  <cols>
    <col min="1" max="1" width="9.453125" bestFit="1" customWidth="1"/>
    <col min="2" max="3" width="12" bestFit="1" customWidth="1"/>
    <col min="5" max="6" width="12" bestFit="1" customWidth="1"/>
    <col min="7" max="7" width="11.81640625" customWidth="1"/>
    <col min="8" max="9" width="12" bestFit="1" customWidth="1"/>
    <col min="10" max="10" width="11.81640625" bestFit="1" customWidth="1"/>
    <col min="11" max="12" width="12" bestFit="1" customWidth="1"/>
    <col min="13" max="13" width="11.81640625" customWidth="1"/>
    <col min="14" max="15" width="12" bestFit="1" customWidth="1"/>
    <col min="17" max="17" width="12" bestFit="1" customWidth="1"/>
    <col min="18" max="18" width="12.1796875" bestFit="1" customWidth="1"/>
    <col min="20" max="21" width="12" bestFit="1" customWidth="1"/>
    <col min="23" max="24" width="8.81640625" bestFit="1" customWidth="1"/>
  </cols>
  <sheetData>
    <row r="1" spans="1:24" x14ac:dyDescent="0.35">
      <c r="A1" t="s">
        <v>5</v>
      </c>
      <c r="B1" t="s">
        <v>34</v>
      </c>
      <c r="C1" t="s">
        <v>35</v>
      </c>
      <c r="E1" t="s">
        <v>36</v>
      </c>
      <c r="F1" t="s">
        <v>37</v>
      </c>
      <c r="H1" t="s">
        <v>38</v>
      </c>
      <c r="I1" t="s">
        <v>39</v>
      </c>
      <c r="K1" t="s">
        <v>40</v>
      </c>
      <c r="L1" t="s">
        <v>41</v>
      </c>
      <c r="N1" t="s">
        <v>42</v>
      </c>
      <c r="O1" t="s">
        <v>43</v>
      </c>
      <c r="Q1" t="s">
        <v>44</v>
      </c>
      <c r="R1" t="s">
        <v>45</v>
      </c>
      <c r="T1" t="s">
        <v>46</v>
      </c>
      <c r="U1" t="s">
        <v>47</v>
      </c>
      <c r="W1" t="s">
        <v>48</v>
      </c>
      <c r="X1" t="s">
        <v>49</v>
      </c>
    </row>
    <row r="2" spans="1:24" x14ac:dyDescent="0.35">
      <c r="A2" s="1">
        <v>6.2718699999999998</v>
      </c>
      <c r="B2" s="1">
        <f>'1233 P- 72 hpi'!T3</f>
        <v>100</v>
      </c>
      <c r="C2" s="1">
        <f>'1233 P- 72 hpi'!U3</f>
        <v>100</v>
      </c>
      <c r="D2" s="1"/>
      <c r="E2" s="1">
        <f>'1233 P+ 72 hpi'!T3</f>
        <v>100</v>
      </c>
      <c r="F2" s="1">
        <f>'1233 P+ 72 hpi'!U3</f>
        <v>100</v>
      </c>
      <c r="G2" s="1"/>
      <c r="H2" s="1">
        <f>'1234 P- 72 hpi'!T3</f>
        <v>100</v>
      </c>
      <c r="I2" s="1">
        <f>'1234 P- 72 hpi'!U3</f>
        <v>100</v>
      </c>
      <c r="J2" s="1"/>
      <c r="K2" s="1">
        <f>'1234 P+ 72 hpi'!T3</f>
        <v>100</v>
      </c>
      <c r="L2" s="1">
        <f>'1234 P+ 72 hpi'!U3</f>
        <v>100</v>
      </c>
      <c r="M2" s="1"/>
      <c r="N2" s="1">
        <f>'1250 P- 72 hpi'!T3</f>
        <v>100</v>
      </c>
      <c r="O2" s="1">
        <f>'1250 P- 72 hpi'!U3</f>
        <v>100</v>
      </c>
      <c r="P2" s="1"/>
      <c r="Q2" s="1">
        <f>'1250 P+ 72 hpi'!T3</f>
        <v>100</v>
      </c>
      <c r="R2" s="1">
        <f>'1250 P+ 72 hpi'!U3</f>
        <v>100</v>
      </c>
      <c r="S2" s="1"/>
      <c r="T2" s="1">
        <f>'1480 P- 72 hpi'!T3</f>
        <v>100</v>
      </c>
      <c r="U2" s="1">
        <f>'1480 P- 72 hpi'!U3</f>
        <v>100</v>
      </c>
      <c r="V2" s="1"/>
      <c r="W2" s="1">
        <f>'NAD003 P+ 72 hpi'!T3</f>
        <v>100</v>
      </c>
      <c r="X2" s="1">
        <f>'NAD003 P+ 72 hpi'!U3</f>
        <v>100</v>
      </c>
    </row>
    <row r="3" spans="1:24" s="1" customFormat="1" x14ac:dyDescent="0.35">
      <c r="A3">
        <v>12.437099999999999</v>
      </c>
      <c r="B3">
        <f>'1233 P- 72 hpi'!T4</f>
        <v>100.32009850514538</v>
      </c>
      <c r="C3">
        <f>'1233 P- 72 hpi'!U4</f>
        <v>100.19083469769494</v>
      </c>
      <c r="D3"/>
      <c r="E3">
        <f>'1233 P+ 72 hpi'!T4</f>
        <v>100.02844006380715</v>
      </c>
      <c r="F3">
        <f>'1233 P+ 72 hpi'!U4</f>
        <v>99.334106148280711</v>
      </c>
      <c r="G3"/>
      <c r="H3">
        <f>'1234 P- 72 hpi'!T4</f>
        <v>100.41557163890462</v>
      </c>
      <c r="I3">
        <f>'1234 P- 72 hpi'!U4</f>
        <v>98.757699188263089</v>
      </c>
      <c r="J3"/>
      <c r="K3">
        <f>'1234 P+ 72 hpi'!T4</f>
        <v>100.19601105611795</v>
      </c>
      <c r="L3">
        <f>'1234 P+ 72 hpi'!U4</f>
        <v>100.10300518998542</v>
      </c>
      <c r="M3"/>
      <c r="N3">
        <f>'1250 P- 72 hpi'!T4</f>
        <v>100.38443599204329</v>
      </c>
      <c r="O3">
        <f>'1250 P- 72 hpi'!U4</f>
        <v>100.83277775917439</v>
      </c>
      <c r="P3"/>
      <c r="Q3">
        <f>'1250 P+ 72 hpi'!T4</f>
        <v>100.65997313417709</v>
      </c>
      <c r="R3">
        <f>'1250 P+ 72 hpi'!U4</f>
        <v>102.01359908322729</v>
      </c>
      <c r="S3"/>
      <c r="T3">
        <f>'1480 P- 72 hpi'!T4</f>
        <v>100.74343541591425</v>
      </c>
      <c r="U3">
        <f>'1480 P- 72 hpi'!U4</f>
        <v>101.31923486105785</v>
      </c>
      <c r="V3"/>
      <c r="W3">
        <f>'NAD003 P+ 72 hpi'!T4</f>
        <v>100.34089198909375</v>
      </c>
      <c r="X3">
        <f>'NAD003 P+ 72 hpi'!U4</f>
        <v>98.123539149496295</v>
      </c>
    </row>
    <row r="4" spans="1:24" x14ac:dyDescent="0.35">
      <c r="A4">
        <v>18.545500000000001</v>
      </c>
      <c r="B4">
        <f>'1233 P- 72 hpi'!T5</f>
        <v>100.63628905047183</v>
      </c>
      <c r="C4">
        <f>'1233 P- 72 hpi'!U5</f>
        <v>99.472807166342989</v>
      </c>
      <c r="E4">
        <f>'1233 P+ 72 hpi'!T5</f>
        <v>100.09667046325328</v>
      </c>
      <c r="F4">
        <f>'1233 P+ 72 hpi'!U5</f>
        <v>95.951760120392521</v>
      </c>
      <c r="H4">
        <f>'1234 P- 72 hpi'!T5</f>
        <v>100.59193732954334</v>
      </c>
      <c r="I4">
        <f>'1234 P- 72 hpi'!U5</f>
        <v>98.248508562296237</v>
      </c>
      <c r="K4">
        <f>'1234 P+ 72 hpi'!T5</f>
        <v>100.23291655197097</v>
      </c>
      <c r="L4">
        <f>'1234 P+ 72 hpi'!U5</f>
        <v>98.746946024556848</v>
      </c>
      <c r="N4">
        <f>'1250 P- 72 hpi'!T5</f>
        <v>100.80114672167919</v>
      </c>
      <c r="O4">
        <f>'1250 P- 72 hpi'!U5</f>
        <v>101.73844626071291</v>
      </c>
      <c r="Q4">
        <f>'1250 P+ 72 hpi'!T5</f>
        <v>101.03372656041475</v>
      </c>
      <c r="R4">
        <f>'1250 P+ 72 hpi'!U5</f>
        <v>102.24115377885164</v>
      </c>
      <c r="T4">
        <f>'1480 P- 72 hpi'!T5</f>
        <v>101.47670833602676</v>
      </c>
      <c r="U4">
        <f>'1480 P- 72 hpi'!U5</f>
        <v>100.77762034798032</v>
      </c>
      <c r="W4">
        <f>'NAD003 P+ 72 hpi'!T5</f>
        <v>101.16114267642655</v>
      </c>
      <c r="X4">
        <f>'NAD003 P+ 72 hpi'!U5</f>
        <v>100.94122229720084</v>
      </c>
    </row>
    <row r="5" spans="1:24" x14ac:dyDescent="0.35">
      <c r="A5">
        <v>24.791399999999999</v>
      </c>
      <c r="B5">
        <f>'1233 P- 72 hpi'!T6</f>
        <v>100.98047089592421</v>
      </c>
      <c r="C5">
        <f>'1233 P- 72 hpi'!U6</f>
        <v>99.878398173010396</v>
      </c>
      <c r="E5">
        <f>'1233 P+ 72 hpi'!T6</f>
        <v>100.30815431785214</v>
      </c>
      <c r="F5">
        <f>'1233 P+ 72 hpi'!U6</f>
        <v>94.566865413223951</v>
      </c>
      <c r="H5">
        <f>'1234 P- 72 hpi'!T6</f>
        <v>100.94826230234628</v>
      </c>
      <c r="I5">
        <f>'1234 P- 72 hpi'!U6</f>
        <v>100.279212857</v>
      </c>
      <c r="K5">
        <f>'1234 P+ 72 hpi'!T6</f>
        <v>100.41439598157643</v>
      </c>
      <c r="L5">
        <f>'1234 P+ 72 hpi'!U6</f>
        <v>99.93972079840853</v>
      </c>
      <c r="N5">
        <f>'1250 P- 72 hpi'!T6</f>
        <v>101.20934276842512</v>
      </c>
      <c r="O5">
        <f>'1250 P- 72 hpi'!U6</f>
        <v>102.27918913479509</v>
      </c>
      <c r="Q5">
        <f>'1250 P+ 72 hpi'!T6</f>
        <v>101.52277229514542</v>
      </c>
      <c r="R5">
        <f>'1250 P+ 72 hpi'!U6</f>
        <v>102.68249776753819</v>
      </c>
      <c r="T5">
        <f>'1480 P- 72 hpi'!T6</f>
        <v>102.15680105926616</v>
      </c>
      <c r="U5">
        <f>'1480 P- 72 hpi'!U6</f>
        <v>101.15706023109038</v>
      </c>
      <c r="W5">
        <f>'NAD003 P+ 72 hpi'!T6</f>
        <v>101.56198572901945</v>
      </c>
      <c r="X5">
        <f>'NAD003 P+ 72 hpi'!U6</f>
        <v>103.1062875864922</v>
      </c>
    </row>
    <row r="6" spans="1:24" x14ac:dyDescent="0.35">
      <c r="A6">
        <v>31.106999999999999</v>
      </c>
      <c r="B6">
        <f>'1233 P- 72 hpi'!T7</f>
        <v>101.31310916889367</v>
      </c>
      <c r="C6">
        <f>'1233 P- 72 hpi'!U7</f>
        <v>100.27962353749734</v>
      </c>
      <c r="E6">
        <f>'1233 P+ 72 hpi'!T7</f>
        <v>100.40575661717664</v>
      </c>
      <c r="F6">
        <f>'1233 P+ 72 hpi'!U7</f>
        <v>92.927137738497862</v>
      </c>
      <c r="H6">
        <f>'1234 P- 72 hpi'!T7</f>
        <v>101.1917194848715</v>
      </c>
      <c r="I6">
        <f>'1234 P- 72 hpi'!U7</f>
        <v>99.232834655667489</v>
      </c>
      <c r="K6">
        <f>'1234 P+ 72 hpi'!T7</f>
        <v>100.57086203282532</v>
      </c>
      <c r="L6">
        <f>'1234 P+ 72 hpi'!U7</f>
        <v>98.145265466118929</v>
      </c>
      <c r="N6">
        <f>'1250 P- 72 hpi'!T7</f>
        <v>101.38638928717239</v>
      </c>
      <c r="O6">
        <f>'1250 P- 72 hpi'!U7</f>
        <v>101.07598236429152</v>
      </c>
      <c r="Q6">
        <f>'1250 P+ 72 hpi'!T7</f>
        <v>101.89703874551631</v>
      </c>
      <c r="R6">
        <f>'1250 P+ 72 hpi'!U7</f>
        <v>102.61483671966647</v>
      </c>
      <c r="T6">
        <f>'1480 P- 72 hpi'!T7</f>
        <v>102.59542631367303</v>
      </c>
      <c r="U6">
        <f>'1480 P- 72 hpi'!U7</f>
        <v>101.2666582296477</v>
      </c>
      <c r="W6">
        <f>'NAD003 P+ 72 hpi'!T7</f>
        <v>101.55570160078526</v>
      </c>
      <c r="X6">
        <f>'NAD003 P+ 72 hpi'!U7</f>
        <v>102.56618499695733</v>
      </c>
    </row>
    <row r="7" spans="1:24" x14ac:dyDescent="0.35">
      <c r="A7">
        <v>37.192399999999999</v>
      </c>
      <c r="B7">
        <f>'1233 P- 72 hpi'!T8</f>
        <v>101.5630605000599</v>
      </c>
      <c r="C7">
        <f>'1233 P- 72 hpi'!U8</f>
        <v>99.303121289982002</v>
      </c>
      <c r="E7">
        <f>'1233 P+ 72 hpi'!T8</f>
        <v>100.76169269711131</v>
      </c>
      <c r="F7">
        <f>'1233 P+ 72 hpi'!U8</f>
        <v>95.016349511953209</v>
      </c>
      <c r="H7">
        <f>'1234 P- 72 hpi'!T8</f>
        <v>101.42106692640948</v>
      </c>
      <c r="I7">
        <f>'1234 P- 72 hpi'!U8</f>
        <v>99.747518719457275</v>
      </c>
      <c r="K7">
        <f>'1234 P+ 72 hpi'!T8</f>
        <v>100.62533509224284</v>
      </c>
      <c r="L7">
        <f>'1234 P+ 72 hpi'!U8</f>
        <v>101.38505547012193</v>
      </c>
      <c r="N7">
        <f>'1250 P- 72 hpi'!T8</f>
        <v>101.7035480774822</v>
      </c>
      <c r="O7">
        <f>'1250 P- 72 hpi'!U8</f>
        <v>101.12882703544555</v>
      </c>
      <c r="Q7">
        <f>'1250 P+ 72 hpi'!T8</f>
        <v>101.97525408331921</v>
      </c>
      <c r="R7">
        <f>'1250 P+ 72 hpi'!U8</f>
        <v>101.02117847017365</v>
      </c>
      <c r="T7">
        <f>'1480 P- 72 hpi'!T8</f>
        <v>103.17876964797686</v>
      </c>
      <c r="U7">
        <f>'1480 P- 72 hpi'!U8</f>
        <v>102.37459288565339</v>
      </c>
      <c r="W7">
        <f>'NAD003 P+ 72 hpi'!T8</f>
        <v>102.04583729859181</v>
      </c>
      <c r="X7">
        <f>'NAD003 P+ 72 hpi'!U8</f>
        <v>102.61840657960285</v>
      </c>
    </row>
    <row r="8" spans="1:24" x14ac:dyDescent="0.35">
      <c r="A8">
        <v>43.526200000000003</v>
      </c>
      <c r="B8">
        <f>'1233 P- 72 hpi'!T9</f>
        <v>101.73394096753402</v>
      </c>
      <c r="C8">
        <f>'1233 P- 72 hpi'!U9</f>
        <v>99.258295902985878</v>
      </c>
      <c r="E8">
        <f>'1233 P+ 72 hpi'!T9</f>
        <v>101.0032579916668</v>
      </c>
      <c r="F8">
        <f>'1233 P+ 72 hpi'!U9</f>
        <v>93.16419068770449</v>
      </c>
      <c r="H8">
        <f>'1234 P- 72 hpi'!T9</f>
        <v>101.67670324873642</v>
      </c>
      <c r="I8">
        <f>'1234 P- 72 hpi'!U9</f>
        <v>98.357453515693336</v>
      </c>
      <c r="K8">
        <f>'1234 P+ 72 hpi'!T9</f>
        <v>100.79518650920261</v>
      </c>
      <c r="L8">
        <f>'1234 P+ 72 hpi'!U9</f>
        <v>103.51158043174912</v>
      </c>
      <c r="N8">
        <f>'1250 P- 72 hpi'!T9</f>
        <v>102.02338079281513</v>
      </c>
      <c r="O8">
        <f>'1250 P- 72 hpi'!U9</f>
        <v>102.41138000359551</v>
      </c>
      <c r="Q8">
        <f>'1250 P+ 72 hpi'!T9</f>
        <v>102.34271429090907</v>
      </c>
      <c r="R8">
        <f>'1250 P+ 72 hpi'!U9</f>
        <v>100.69164678110539</v>
      </c>
      <c r="T8">
        <f>'1480 P- 72 hpi'!T9</f>
        <v>103.65108166508769</v>
      </c>
      <c r="U8">
        <f>'1480 P- 72 hpi'!U9</f>
        <v>102.32685423620876</v>
      </c>
      <c r="W8">
        <f>'NAD003 P+ 72 hpi'!T9</f>
        <v>102.57779696636804</v>
      </c>
      <c r="X8">
        <f>'NAD003 P+ 72 hpi'!U9</f>
        <v>103.59630149280181</v>
      </c>
    </row>
    <row r="9" spans="1:24" x14ac:dyDescent="0.35">
      <c r="A9">
        <v>49.688299999999998</v>
      </c>
      <c r="B9">
        <f>'1233 P- 72 hpi'!T10</f>
        <v>102.08124286136996</v>
      </c>
      <c r="C9">
        <f>'1233 P- 72 hpi'!U10</f>
        <v>99.15990530819829</v>
      </c>
      <c r="E9">
        <f>'1233 P+ 72 hpi'!T10</f>
        <v>101.15947012006451</v>
      </c>
      <c r="F9">
        <f>'1233 P+ 72 hpi'!U10</f>
        <v>93.602744534955534</v>
      </c>
      <c r="H9">
        <f>'1234 P- 72 hpi'!T10</f>
        <v>101.94833901943093</v>
      </c>
      <c r="I9">
        <f>'1234 P- 72 hpi'!U10</f>
        <v>99.771946161201171</v>
      </c>
      <c r="K9">
        <f>'1234 P+ 72 hpi'!T10</f>
        <v>100.9366785000902</v>
      </c>
      <c r="L9">
        <f>'1234 P+ 72 hpi'!U10</f>
        <v>102.84267840412073</v>
      </c>
      <c r="N9">
        <f>'1250 P- 72 hpi'!T10</f>
        <v>102.46101143820202</v>
      </c>
      <c r="O9">
        <f>'1250 P- 72 hpi'!U10</f>
        <v>103.90081963233884</v>
      </c>
      <c r="Q9">
        <f>'1250 P+ 72 hpi'!T10</f>
        <v>102.46320899375375</v>
      </c>
      <c r="R9">
        <f>'1250 P+ 72 hpi'!U10</f>
        <v>100.60319532915365</v>
      </c>
      <c r="T9">
        <f>'1480 P- 72 hpi'!T10</f>
        <v>104.34135308515495</v>
      </c>
      <c r="U9">
        <f>'1480 P- 72 hpi'!U10</f>
        <v>102.41947679645598</v>
      </c>
      <c r="W9">
        <f>'NAD003 P+ 72 hpi'!T10</f>
        <v>102.95060374720565</v>
      </c>
      <c r="X9">
        <f>'NAD003 P+ 72 hpi'!U10</f>
        <v>104.19624004547956</v>
      </c>
    </row>
    <row r="10" spans="1:24" x14ac:dyDescent="0.35">
      <c r="A10">
        <v>55.8005</v>
      </c>
      <c r="B10">
        <f>'1233 P- 72 hpi'!T11</f>
        <v>102.27097798713346</v>
      </c>
      <c r="C10">
        <f>'1233 P- 72 hpi'!U11</f>
        <v>99.434367865280635</v>
      </c>
      <c r="E10">
        <f>'1233 P+ 72 hpi'!T11</f>
        <v>101.52483269406491</v>
      </c>
      <c r="F10">
        <f>'1233 P+ 72 hpi'!U11</f>
        <v>95.230051525048026</v>
      </c>
      <c r="H10">
        <f>'1234 P- 72 hpi'!T11</f>
        <v>102.05226856251329</v>
      </c>
      <c r="I10">
        <f>'1234 P- 72 hpi'!U11</f>
        <v>100.00556208949956</v>
      </c>
      <c r="K10">
        <f>'1234 P+ 72 hpi'!T11</f>
        <v>101.05851187335381</v>
      </c>
      <c r="L10">
        <f>'1234 P+ 72 hpi'!U11</f>
        <v>101.05471380983022</v>
      </c>
      <c r="N10">
        <f>'1250 P- 72 hpi'!T11</f>
        <v>102.64345800857672</v>
      </c>
      <c r="O10">
        <f>'1250 P- 72 hpi'!U11</f>
        <v>103.47980863660844</v>
      </c>
      <c r="Q10">
        <f>'1250 P+ 72 hpi'!T11</f>
        <v>102.69063059014104</v>
      </c>
      <c r="R10">
        <f>'1250 P+ 72 hpi'!U11</f>
        <v>100.09563188726642</v>
      </c>
      <c r="T10">
        <f>'1480 P- 72 hpi'!T11</f>
        <v>104.79970037078469</v>
      </c>
      <c r="U10">
        <f>'1480 P- 72 hpi'!U11</f>
        <v>102.63339233129459</v>
      </c>
      <c r="W10">
        <f>'NAD003 P+ 72 hpi'!T11</f>
        <v>103.40631615380758</v>
      </c>
      <c r="X10">
        <f>'NAD003 P+ 72 hpi'!U11</f>
        <v>104.65948809766581</v>
      </c>
    </row>
    <row r="11" spans="1:24" x14ac:dyDescent="0.35">
      <c r="A11">
        <v>62.111400000000003</v>
      </c>
      <c r="B11">
        <f>'1233 P- 72 hpi'!T12</f>
        <v>102.5254171588639</v>
      </c>
      <c r="C11">
        <f>'1233 P- 72 hpi'!U12</f>
        <v>99.675585767971143</v>
      </c>
      <c r="E11">
        <f>'1233 P+ 72 hpi'!T12</f>
        <v>101.67243638915886</v>
      </c>
      <c r="F11">
        <f>'1233 P+ 72 hpi'!U12</f>
        <v>93.809751270906361</v>
      </c>
      <c r="H11">
        <f>'1234 P- 72 hpi'!T12</f>
        <v>102.34144084394681</v>
      </c>
      <c r="I11">
        <f>'1234 P- 72 hpi'!U12</f>
        <v>99.85794992819315</v>
      </c>
      <c r="K11">
        <f>'1234 P+ 72 hpi'!T12</f>
        <v>101.19143836200357</v>
      </c>
      <c r="L11">
        <f>'1234 P+ 72 hpi'!U12</f>
        <v>102.44139015543908</v>
      </c>
      <c r="N11">
        <f>'1250 P- 72 hpi'!T12</f>
        <v>103.19364413266766</v>
      </c>
      <c r="O11">
        <f>'1250 P- 72 hpi'!U12</f>
        <v>106.237766134092</v>
      </c>
      <c r="Q11">
        <f>'1250 P+ 72 hpi'!T12</f>
        <v>103.11266405696675</v>
      </c>
      <c r="R11">
        <f>'1250 P+ 72 hpi'!U12</f>
        <v>100.61873755293371</v>
      </c>
      <c r="T11">
        <f>'1480 P- 72 hpi'!T12</f>
        <v>105.32144002529496</v>
      </c>
      <c r="U11">
        <f>'1480 P- 72 hpi'!U12</f>
        <v>103.22575228623879</v>
      </c>
      <c r="W11">
        <f>'NAD003 P+ 72 hpi'!T12</f>
        <v>103.70491479191739</v>
      </c>
      <c r="X11">
        <f>'NAD003 P+ 72 hpi'!U12</f>
        <v>105.1053524943826</v>
      </c>
    </row>
    <row r="12" spans="1:24" x14ac:dyDescent="0.35">
      <c r="A12" s="1">
        <v>68.338800000000006</v>
      </c>
      <c r="B12" s="1">
        <f>'1233 P- 72 hpi'!T13</f>
        <v>102.7559589780593</v>
      </c>
      <c r="C12" s="1">
        <f>'1233 P- 72 hpi'!U13</f>
        <v>99.285037462351326</v>
      </c>
      <c r="D12" s="1"/>
      <c r="E12" s="1">
        <f>'1233 P+ 72 hpi'!T13</f>
        <v>101.92861037865521</v>
      </c>
      <c r="F12" s="1">
        <f>'1233 P+ 72 hpi'!U13</f>
        <v>96.265536684214709</v>
      </c>
      <c r="G12" s="1"/>
      <c r="H12" s="1">
        <f>'1234 P- 72 hpi'!T13</f>
        <v>102.56016996606247</v>
      </c>
      <c r="I12" s="1">
        <f>'1234 P- 72 hpi'!U13</f>
        <v>100.45539723334673</v>
      </c>
      <c r="J12" s="1"/>
      <c r="K12" s="1">
        <f>'1234 P+ 72 hpi'!T13</f>
        <v>101.10067623171852</v>
      </c>
      <c r="L12" s="1">
        <f>'1234 P+ 72 hpi'!U13</f>
        <v>101.98750304999564</v>
      </c>
      <c r="M12" s="1"/>
      <c r="N12" s="1">
        <f>'1250 P- 72 hpi'!T13</f>
        <v>103.52602668568504</v>
      </c>
      <c r="O12" s="1">
        <f>'1250 P- 72 hpi'!U13</f>
        <v>106.99217588458232</v>
      </c>
      <c r="P12" s="1"/>
      <c r="Q12" s="1">
        <f>'1250 P+ 72 hpi'!T13</f>
        <v>103.21932857222038</v>
      </c>
      <c r="R12" s="1">
        <f>'1250 P+ 72 hpi'!U13</f>
        <v>99.64475436995248</v>
      </c>
      <c r="S12" s="1"/>
      <c r="T12" s="1">
        <f>'1480 P- 72 hpi'!T13</f>
        <v>105.68703767202111</v>
      </c>
      <c r="U12" s="1">
        <f>'1480 P- 72 hpi'!U13</f>
        <v>103.36003543603813</v>
      </c>
      <c r="V12" s="1"/>
      <c r="W12" s="1">
        <f>'NAD003 P+ 72 hpi'!T13</f>
        <v>104.03352999121671</v>
      </c>
      <c r="X12" s="1">
        <f>'NAD003 P+ 72 hpi'!U13</f>
        <v>105.42631914952776</v>
      </c>
    </row>
    <row r="13" spans="1:24" s="1" customFormat="1" x14ac:dyDescent="0.35">
      <c r="A13">
        <v>74.508499999999998</v>
      </c>
      <c r="B13">
        <f>'1233 P- 72 hpi'!T14</f>
        <v>102.86727923672068</v>
      </c>
      <c r="C13">
        <f>'1233 P- 72 hpi'!U14</f>
        <v>99.523552508168692</v>
      </c>
      <c r="D13"/>
      <c r="E13">
        <f>'1233 P+ 72 hpi'!T14</f>
        <v>102.21777235526659</v>
      </c>
      <c r="F13">
        <f>'1233 P+ 72 hpi'!U14</f>
        <v>95.352392608043175</v>
      </c>
      <c r="G13"/>
      <c r="H13">
        <f>'1234 P- 72 hpi'!T14</f>
        <v>102.81519449419106</v>
      </c>
      <c r="I13">
        <f>'1234 P- 72 hpi'!U14</f>
        <v>100.13079662355655</v>
      </c>
      <c r="J13"/>
      <c r="K13">
        <f>'1234 P+ 72 hpi'!T14</f>
        <v>101.36183235915992</v>
      </c>
      <c r="L13">
        <f>'1234 P+ 72 hpi'!U14</f>
        <v>103.3584033566016</v>
      </c>
      <c r="M13"/>
      <c r="N13">
        <f>'1250 P- 72 hpi'!T14</f>
        <v>103.75910880197476</v>
      </c>
      <c r="O13">
        <f>'1250 P- 72 hpi'!U14</f>
        <v>107.5339886128517</v>
      </c>
      <c r="P13"/>
      <c r="Q13">
        <f>'1250 P+ 72 hpi'!T14</f>
        <v>103.51519714977708</v>
      </c>
      <c r="R13">
        <f>'1250 P+ 72 hpi'!U14</f>
        <v>100.26552429986407</v>
      </c>
      <c r="S13"/>
      <c r="T13">
        <f>'1480 P- 72 hpi'!T14</f>
        <v>106.26300949259299</v>
      </c>
      <c r="U13">
        <f>'1480 P- 72 hpi'!U14</f>
        <v>103.40647010802957</v>
      </c>
      <c r="V13"/>
      <c r="W13">
        <f>'NAD003 P+ 72 hpi'!T14</f>
        <v>104.3678546179852</v>
      </c>
      <c r="X13">
        <f>'NAD003 P+ 72 hpi'!U14</f>
        <v>106.47741403168814</v>
      </c>
    </row>
    <row r="14" spans="1:24" x14ac:dyDescent="0.35">
      <c r="A14">
        <v>80.784599999999998</v>
      </c>
      <c r="B14">
        <f>'1233 P- 72 hpi'!T15</f>
        <v>103.17205489077389</v>
      </c>
      <c r="C14">
        <f>'1233 P- 72 hpi'!U15</f>
        <v>100.08283692721515</v>
      </c>
      <c r="E14">
        <f>'1233 P+ 72 hpi'!T15</f>
        <v>102.3821058414546</v>
      </c>
      <c r="F14">
        <f>'1233 P+ 72 hpi'!U15</f>
        <v>95.152858476657727</v>
      </c>
      <c r="H14">
        <f>'1234 P- 72 hpi'!T15</f>
        <v>102.95103590156104</v>
      </c>
      <c r="I14">
        <f>'1234 P- 72 hpi'!U15</f>
        <v>100.61049908388758</v>
      </c>
      <c r="K14">
        <f>'1234 P+ 72 hpi'!T15</f>
        <v>101.4141932146558</v>
      </c>
      <c r="L14">
        <f>'1234 P+ 72 hpi'!U15</f>
        <v>103.54201815785765</v>
      </c>
      <c r="N14">
        <f>'1250 P- 72 hpi'!T15</f>
        <v>104.00517586646811</v>
      </c>
      <c r="O14">
        <f>'1250 P- 72 hpi'!U15</f>
        <v>106.55433844113641</v>
      </c>
      <c r="Q14">
        <f>'1250 P+ 72 hpi'!T15</f>
        <v>103.8798800623609</v>
      </c>
      <c r="R14">
        <f>'1250 P+ 72 hpi'!U15</f>
        <v>101.09561777737655</v>
      </c>
      <c r="T14">
        <f>'1480 P- 72 hpi'!T15</f>
        <v>106.61861671122695</v>
      </c>
      <c r="U14">
        <f>'1480 P- 72 hpi'!U15</f>
        <v>103.34509609495062</v>
      </c>
      <c r="W14">
        <f>'NAD003 P+ 72 hpi'!T15</f>
        <v>104.66243504891807</v>
      </c>
      <c r="X14">
        <f>'NAD003 P+ 72 hpi'!U15</f>
        <v>106.3496857678214</v>
      </c>
    </row>
    <row r="15" spans="1:24" x14ac:dyDescent="0.35">
      <c r="A15">
        <v>86.936599999999999</v>
      </c>
      <c r="B15">
        <f>'1233 P- 72 hpi'!T16</f>
        <v>103.34332383472683</v>
      </c>
      <c r="C15">
        <f>'1233 P- 72 hpi'!U16</f>
        <v>99.476282803079698</v>
      </c>
      <c r="E15">
        <f>'1233 P+ 72 hpi'!T16</f>
        <v>102.62107500695103</v>
      </c>
      <c r="F15">
        <f>'1233 P+ 72 hpi'!U16</f>
        <v>97.181138713062865</v>
      </c>
      <c r="H15">
        <f>'1234 P- 72 hpi'!T16</f>
        <v>103.22435514063754</v>
      </c>
      <c r="I15">
        <f>'1234 P- 72 hpi'!U16</f>
        <v>99.174245514804582</v>
      </c>
      <c r="K15">
        <f>'1234 P+ 72 hpi'!T16</f>
        <v>101.40407444839005</v>
      </c>
      <c r="L15">
        <f>'1234 P+ 72 hpi'!U16</f>
        <v>101.76374263623242</v>
      </c>
      <c r="N15">
        <f>'1250 P- 72 hpi'!T16</f>
        <v>103.9867338945598</v>
      </c>
      <c r="O15">
        <f>'1250 P- 72 hpi'!U16</f>
        <v>106.86697638110486</v>
      </c>
      <c r="Q15">
        <f>'1250 P+ 72 hpi'!T16</f>
        <v>104.09766060065525</v>
      </c>
      <c r="R15">
        <f>'1250 P+ 72 hpi'!U16</f>
        <v>101.17487334478294</v>
      </c>
      <c r="T15">
        <f>'1480 P- 72 hpi'!T16</f>
        <v>107.01825541158996</v>
      </c>
      <c r="U15">
        <f>'1480 P- 72 hpi'!U16</f>
        <v>103.90101933978417</v>
      </c>
      <c r="W15">
        <f>'NAD003 P+ 72 hpi'!T16</f>
        <v>104.45661841987912</v>
      </c>
      <c r="X15">
        <f>'NAD003 P+ 72 hpi'!U16</f>
        <v>102.57343915118444</v>
      </c>
    </row>
    <row r="16" spans="1:24" x14ac:dyDescent="0.35">
      <c r="A16">
        <v>93.113100000000003</v>
      </c>
      <c r="B16">
        <f>'1233 P- 72 hpi'!T17</f>
        <v>103.46442205102421</v>
      </c>
      <c r="C16">
        <f>'1233 P- 72 hpi'!U17</f>
        <v>99.289541074404909</v>
      </c>
      <c r="E16">
        <f>'1233 P+ 72 hpi'!T17</f>
        <v>102.61940227776012</v>
      </c>
      <c r="F16">
        <f>'1233 P+ 72 hpi'!U17</f>
        <v>96.160362380574867</v>
      </c>
      <c r="H16">
        <f>'1234 P- 72 hpi'!T17</f>
        <v>103.41559247027114</v>
      </c>
      <c r="I16">
        <f>'1234 P- 72 hpi'!U17</f>
        <v>98.693284544295011</v>
      </c>
      <c r="K16">
        <f>'1234 P+ 72 hpi'!T17</f>
        <v>101.22244181649705</v>
      </c>
      <c r="L16">
        <f>'1234 P+ 72 hpi'!U17</f>
        <v>100.07452698656381</v>
      </c>
      <c r="N16">
        <f>'1250 P- 72 hpi'!T17</f>
        <v>104.31902349025727</v>
      </c>
      <c r="O16">
        <f>'1250 P- 72 hpi'!U17</f>
        <v>106.40812435813672</v>
      </c>
      <c r="Q16">
        <f>'1250 P+ 72 hpi'!T17</f>
        <v>104.32384845115722</v>
      </c>
      <c r="R16">
        <f>'1250 P+ 72 hpi'!U17</f>
        <v>101.29258165340892</v>
      </c>
      <c r="T16">
        <f>'1480 P- 72 hpi'!T17</f>
        <v>107.57619406102047</v>
      </c>
      <c r="U16">
        <f>'1480 P- 72 hpi'!U17</f>
        <v>104.45770244091848</v>
      </c>
      <c r="W16">
        <f>'NAD003 P+ 72 hpi'!T17</f>
        <v>104.73236319275374</v>
      </c>
      <c r="X16">
        <f>'NAD003 P+ 72 hpi'!U17</f>
        <v>103.62462867009495</v>
      </c>
    </row>
    <row r="17" spans="1:24" x14ac:dyDescent="0.35">
      <c r="A17">
        <v>99.351399999999998</v>
      </c>
      <c r="B17">
        <f>'1233 P- 72 hpi'!T18</f>
        <v>103.67654072489223</v>
      </c>
      <c r="C17">
        <f>'1233 P- 72 hpi'!U18</f>
        <v>98.76290232020726</v>
      </c>
      <c r="E17">
        <f>'1233 P+ 72 hpi'!T18</f>
        <v>102.97904831575312</v>
      </c>
      <c r="F17">
        <f>'1233 P+ 72 hpi'!U18</f>
        <v>96.958224875677772</v>
      </c>
      <c r="H17">
        <f>'1234 P- 72 hpi'!T18</f>
        <v>103.7083161456945</v>
      </c>
      <c r="I17">
        <f>'1234 P- 72 hpi'!U18</f>
        <v>99.808938904114214</v>
      </c>
      <c r="K17">
        <f>'1234 P+ 72 hpi'!T18</f>
        <v>101.49971609591131</v>
      </c>
      <c r="L17">
        <f>'1234 P+ 72 hpi'!U18</f>
        <v>100.71471346828858</v>
      </c>
      <c r="N17">
        <f>'1250 P- 72 hpi'!T18</f>
        <v>104.40743357566792</v>
      </c>
      <c r="O17">
        <f>'1250 P- 72 hpi'!U18</f>
        <v>105.9240766662591</v>
      </c>
      <c r="Q17">
        <f>'1250 P+ 72 hpi'!T18</f>
        <v>104.57719202003294</v>
      </c>
      <c r="R17">
        <f>'1250 P+ 72 hpi'!U18</f>
        <v>101.26554028914467</v>
      </c>
      <c r="T17">
        <f>'1480 P- 72 hpi'!T18</f>
        <v>107.96201844802367</v>
      </c>
      <c r="U17">
        <f>'1480 P- 72 hpi'!U18</f>
        <v>104.63122732118275</v>
      </c>
      <c r="W17">
        <f>'NAD003 P+ 72 hpi'!T18</f>
        <v>105.15055328562713</v>
      </c>
      <c r="X17">
        <f>'NAD003 P+ 72 hpi'!U18</f>
        <v>105.02380337167921</v>
      </c>
    </row>
    <row r="18" spans="1:24" x14ac:dyDescent="0.35">
      <c r="A18">
        <v>105.571</v>
      </c>
      <c r="B18">
        <f>'1233 P- 72 hpi'!T19</f>
        <v>103.90457662807016</v>
      </c>
      <c r="C18">
        <f>'1233 P- 72 hpi'!U19</f>
        <v>100.33681298697174</v>
      </c>
      <c r="E18">
        <f>'1233 P+ 72 hpi'!T19</f>
        <v>103.09728681126714</v>
      </c>
      <c r="F18">
        <f>'1233 P+ 72 hpi'!U19</f>
        <v>95.684108152567603</v>
      </c>
      <c r="H18">
        <f>'1234 P- 72 hpi'!T19</f>
        <v>103.91549710159431</v>
      </c>
      <c r="I18">
        <f>'1234 P- 72 hpi'!U19</f>
        <v>100.39027222387413</v>
      </c>
      <c r="K18">
        <f>'1234 P+ 72 hpi'!T19</f>
        <v>101.54546141199299</v>
      </c>
      <c r="L18">
        <f>'1234 P+ 72 hpi'!U19</f>
        <v>100.92335777092575</v>
      </c>
      <c r="N18">
        <f>'1250 P- 72 hpi'!T19</f>
        <v>104.6337589059833</v>
      </c>
      <c r="O18">
        <f>'1250 P- 72 hpi'!U19</f>
        <v>106.56067134434404</v>
      </c>
      <c r="Q18">
        <f>'1250 P+ 72 hpi'!T19</f>
        <v>104.86444450647852</v>
      </c>
      <c r="R18">
        <f>'1250 P+ 72 hpi'!U19</f>
        <v>101.60403733820351</v>
      </c>
      <c r="T18">
        <f>'1480 P- 72 hpi'!T19</f>
        <v>108.44786036864836</v>
      </c>
      <c r="U18">
        <f>'1480 P- 72 hpi'!U19</f>
        <v>104.76184170127461</v>
      </c>
      <c r="W18">
        <f>'NAD003 P+ 72 hpi'!T19</f>
        <v>105.64516832354016</v>
      </c>
      <c r="X18">
        <f>'NAD003 P+ 72 hpi'!U19</f>
        <v>105.5190689356826</v>
      </c>
    </row>
    <row r="19" spans="1:24" x14ac:dyDescent="0.35">
      <c r="A19">
        <v>111.708</v>
      </c>
      <c r="B19">
        <f>'1233 P- 72 hpi'!T20</f>
        <v>104.01613011234865</v>
      </c>
      <c r="C19">
        <f>'1233 P- 72 hpi'!U20</f>
        <v>100.1103792151081</v>
      </c>
      <c r="E19">
        <f>'1233 P+ 72 hpi'!T20</f>
        <v>103.58808301531057</v>
      </c>
      <c r="F19">
        <f>'1233 P+ 72 hpi'!U20</f>
        <v>99.626708308820668</v>
      </c>
      <c r="H19">
        <f>'1234 P- 72 hpi'!T20</f>
        <v>104.22099865263603</v>
      </c>
      <c r="I19">
        <f>'1234 P- 72 hpi'!U20</f>
        <v>100.1453638053958</v>
      </c>
      <c r="K19">
        <f>'1234 P+ 72 hpi'!T20</f>
        <v>101.65744202175327</v>
      </c>
      <c r="L19">
        <f>'1234 P+ 72 hpi'!U20</f>
        <v>102.07180449462983</v>
      </c>
      <c r="N19">
        <f>'1250 P- 72 hpi'!T20</f>
        <v>104.7796923588197</v>
      </c>
      <c r="O19">
        <f>'1250 P- 72 hpi'!U20</f>
        <v>106.26537034849848</v>
      </c>
      <c r="Q19">
        <f>'1250 P+ 72 hpi'!T20</f>
        <v>105.17353478116672</v>
      </c>
      <c r="R19">
        <f>'1250 P+ 72 hpi'!U20</f>
        <v>102.05507010499865</v>
      </c>
      <c r="T19">
        <f>'1480 P- 72 hpi'!T20</f>
        <v>108.79583119216244</v>
      </c>
      <c r="U19">
        <f>'1480 P- 72 hpi'!U20</f>
        <v>105.29211459042715</v>
      </c>
      <c r="W19">
        <f>'NAD003 P+ 72 hpi'!T20</f>
        <v>105.32162997665981</v>
      </c>
      <c r="X19">
        <f>'NAD003 P+ 72 hpi'!U20</f>
        <v>103.01093865868759</v>
      </c>
    </row>
    <row r="20" spans="1:24" x14ac:dyDescent="0.35">
      <c r="A20">
        <v>118.009</v>
      </c>
      <c r="B20">
        <f>'1233 P- 72 hpi'!T21</f>
        <v>104.24887066877075</v>
      </c>
      <c r="C20">
        <f>'1233 P- 72 hpi'!U21</f>
        <v>99.995231410770955</v>
      </c>
      <c r="E20">
        <f>'1233 P+ 72 hpi'!T21</f>
        <v>103.5055876039909</v>
      </c>
      <c r="F20">
        <f>'1233 P+ 72 hpi'!U21</f>
        <v>96.113753585088205</v>
      </c>
      <c r="H20">
        <f>'1234 P- 72 hpi'!T21</f>
        <v>104.48545038668094</v>
      </c>
      <c r="I20">
        <f>'1234 P- 72 hpi'!U21</f>
        <v>100.97523617591638</v>
      </c>
      <c r="K20">
        <f>'1234 P+ 72 hpi'!T21</f>
        <v>101.64852682035573</v>
      </c>
      <c r="L20">
        <f>'1234 P+ 72 hpi'!U21</f>
        <v>101.19761279773819</v>
      </c>
      <c r="N20">
        <f>'1250 P- 72 hpi'!T21</f>
        <v>105.19350580075702</v>
      </c>
      <c r="O20">
        <f>'1250 P- 72 hpi'!U21</f>
        <v>107.89448513221043</v>
      </c>
      <c r="Q20">
        <f>'1250 P+ 72 hpi'!T21</f>
        <v>105.3614470517945</v>
      </c>
      <c r="R20">
        <f>'1250 P+ 72 hpi'!U21</f>
        <v>102.19667742291526</v>
      </c>
      <c r="T20">
        <f>'1480 P- 72 hpi'!T21</f>
        <v>109.17505998446534</v>
      </c>
      <c r="U20">
        <f>'1480 P- 72 hpi'!U21</f>
        <v>106.64944152979866</v>
      </c>
      <c r="W20">
        <f>'NAD003 P+ 72 hpi'!T21</f>
        <v>105.62591842223355</v>
      </c>
      <c r="X20">
        <f>'NAD003 P+ 72 hpi'!U21</f>
        <v>103.414917306137</v>
      </c>
    </row>
    <row r="21" spans="1:24" x14ac:dyDescent="0.35">
      <c r="A21">
        <v>124.221</v>
      </c>
      <c r="B21">
        <f>'1233 P- 72 hpi'!T22</f>
        <v>104.42633386285605</v>
      </c>
      <c r="C21">
        <f>'1233 P- 72 hpi'!U22</f>
        <v>99.644035660424422</v>
      </c>
      <c r="E21">
        <f>'1233 P+ 72 hpi'!T22</f>
        <v>103.65909221913606</v>
      </c>
      <c r="F21">
        <f>'1233 P+ 72 hpi'!U22</f>
        <v>95.341763905670916</v>
      </c>
      <c r="H21">
        <f>'1234 P- 72 hpi'!T22</f>
        <v>104.83438513362866</v>
      </c>
      <c r="I21">
        <f>'1234 P- 72 hpi'!U22</f>
        <v>102.20855717900893</v>
      </c>
      <c r="K21">
        <f>'1234 P+ 72 hpi'!T22</f>
        <v>101.89511354044691</v>
      </c>
      <c r="L21">
        <f>'1234 P+ 72 hpi'!U22</f>
        <v>102.21949230127561</v>
      </c>
      <c r="N21">
        <f>'1250 P- 72 hpi'!T22</f>
        <v>105.33243300090435</v>
      </c>
      <c r="O21">
        <f>'1250 P- 72 hpi'!U22</f>
        <v>106.77050341817507</v>
      </c>
      <c r="Q21">
        <f>'1250 P+ 72 hpi'!T22</f>
        <v>105.52018050009406</v>
      </c>
      <c r="R21">
        <f>'1250 P+ 72 hpi'!U22</f>
        <v>102.31572921528983</v>
      </c>
      <c r="T21">
        <f>'1480 P- 72 hpi'!T22</f>
        <v>109.64353299784928</v>
      </c>
      <c r="U21">
        <f>'1480 P- 72 hpi'!U22</f>
        <v>106.02993298425513</v>
      </c>
      <c r="W21">
        <f>'NAD003 P+ 72 hpi'!T22</f>
        <v>105.8850043169674</v>
      </c>
      <c r="X21">
        <f>'NAD003 P+ 72 hpi'!U22</f>
        <v>103.87731729171819</v>
      </c>
    </row>
    <row r="22" spans="1:24" x14ac:dyDescent="0.35">
      <c r="A22">
        <v>130.28700000000001</v>
      </c>
      <c r="B22">
        <f>'1233 P- 72 hpi'!T23</f>
        <v>104.57481899132165</v>
      </c>
      <c r="C22">
        <f>'1233 P- 72 hpi'!U23</f>
        <v>99.588763094850933</v>
      </c>
      <c r="E22">
        <f>'1233 P+ 72 hpi'!T23</f>
        <v>104.17611449329075</v>
      </c>
      <c r="F22">
        <f>'1233 P+ 72 hpi'!U23</f>
        <v>97.568166434654628</v>
      </c>
      <c r="H22">
        <f>'1234 P- 72 hpi'!T23</f>
        <v>105.08453389816616</v>
      </c>
      <c r="I22">
        <f>'1234 P- 72 hpi'!U23</f>
        <v>100.87406255483461</v>
      </c>
      <c r="K22">
        <f>'1234 P+ 72 hpi'!T23</f>
        <v>102.00550265355665</v>
      </c>
      <c r="L22">
        <f>'1234 P+ 72 hpi'!U23</f>
        <v>103.44503046811755</v>
      </c>
      <c r="N22">
        <f>'1250 P- 72 hpi'!T23</f>
        <v>105.3798781459418</v>
      </c>
      <c r="O22">
        <f>'1250 P- 72 hpi'!U23</f>
        <v>106.0778965467848</v>
      </c>
      <c r="Q22">
        <f>'1250 P+ 72 hpi'!T23</f>
        <v>105.81737270154031</v>
      </c>
      <c r="R22">
        <f>'1250 P+ 72 hpi'!U23</f>
        <v>102.64965200627688</v>
      </c>
      <c r="T22">
        <f>'1480 P- 72 hpi'!T23</f>
        <v>109.99025779486762</v>
      </c>
      <c r="U22">
        <f>'1480 P- 72 hpi'!U23</f>
        <v>105.42993561377999</v>
      </c>
      <c r="W22">
        <f>'NAD003 P+ 72 hpi'!T23</f>
        <v>106.29368871298323</v>
      </c>
      <c r="X22">
        <f>'NAD003 P+ 72 hpi'!U23</f>
        <v>101.39590994744673</v>
      </c>
    </row>
    <row r="23" spans="1:24" x14ac:dyDescent="0.35">
      <c r="A23">
        <v>136.62799999999999</v>
      </c>
      <c r="B23">
        <f>'1233 P- 72 hpi'!T24</f>
        <v>104.75117346965061</v>
      </c>
      <c r="C23">
        <f>'1233 P- 72 hpi'!U24</f>
        <v>98.782699785700686</v>
      </c>
      <c r="E23">
        <f>'1233 P+ 72 hpi'!T24</f>
        <v>104.38517745775283</v>
      </c>
      <c r="F23">
        <f>'1233 P+ 72 hpi'!U24</f>
        <v>99.471094274837284</v>
      </c>
      <c r="H23">
        <f>'1234 P- 72 hpi'!T24</f>
        <v>105.30133353011443</v>
      </c>
      <c r="I23">
        <f>'1234 P- 72 hpi'!U24</f>
        <v>101.44144811618641</v>
      </c>
      <c r="K23">
        <f>'1234 P+ 72 hpi'!T24</f>
        <v>102.04843329463742</v>
      </c>
      <c r="L23">
        <f>'1234 P+ 72 hpi'!U24</f>
        <v>103.23450045051656</v>
      </c>
      <c r="N23">
        <f>'1250 P- 72 hpi'!T24</f>
        <v>105.66564125422967</v>
      </c>
      <c r="O23">
        <f>'1250 P- 72 hpi'!U24</f>
        <v>106.91243833136171</v>
      </c>
      <c r="Q23">
        <f>'1250 P+ 72 hpi'!T24</f>
        <v>105.88583978247931</v>
      </c>
      <c r="R23">
        <f>'1250 P+ 72 hpi'!U24</f>
        <v>102.29707045358316</v>
      </c>
      <c r="T23">
        <f>'1480 P- 72 hpi'!T24</f>
        <v>110.34684071639784</v>
      </c>
      <c r="U23">
        <f>'1480 P- 72 hpi'!U24</f>
        <v>105.18655930840085</v>
      </c>
      <c r="W23">
        <f>'NAD003 P+ 72 hpi'!T24</f>
        <v>106.36362293009563</v>
      </c>
      <c r="X23">
        <f>'NAD003 P+ 72 hpi'!U24</f>
        <v>102.23184345551546</v>
      </c>
    </row>
    <row r="24" spans="1:24" x14ac:dyDescent="0.35">
      <c r="A24">
        <v>142.79400000000001</v>
      </c>
      <c r="B24">
        <f>'1233 P- 72 hpi'!T25</f>
        <v>104.89413444740649</v>
      </c>
      <c r="C24">
        <f>'1233 P- 72 hpi'!U25</f>
        <v>99.387144297027177</v>
      </c>
      <c r="E24">
        <f>'1233 P+ 72 hpi'!T25</f>
        <v>104.54595511116878</v>
      </c>
      <c r="F24">
        <f>'1233 P+ 72 hpi'!U25</f>
        <v>98.973115722216306</v>
      </c>
      <c r="H24">
        <f>'1234 P- 72 hpi'!T25</f>
        <v>105.64724244756921</v>
      </c>
      <c r="I24">
        <f>'1234 P- 72 hpi'!U25</f>
        <v>101.34870128506869</v>
      </c>
      <c r="K24">
        <f>'1234 P+ 72 hpi'!T25</f>
        <v>102.04698108104569</v>
      </c>
      <c r="L24">
        <f>'1234 P+ 72 hpi'!U25</f>
        <v>102.40545881919802</v>
      </c>
      <c r="N24">
        <f>'1250 P- 72 hpi'!T25</f>
        <v>105.6823666793328</v>
      </c>
      <c r="O24">
        <f>'1250 P- 72 hpi'!U25</f>
        <v>105.4469099391584</v>
      </c>
      <c r="Q24">
        <f>'1250 P+ 72 hpi'!T25</f>
        <v>106.18579254428181</v>
      </c>
      <c r="R24">
        <f>'1250 P+ 72 hpi'!U25</f>
        <v>102.8569027817728</v>
      </c>
      <c r="T24">
        <f>'1480 P- 72 hpi'!T25</f>
        <v>110.82653661073805</v>
      </c>
      <c r="U24">
        <f>'1480 P- 72 hpi'!U25</f>
        <v>104.88467227878084</v>
      </c>
      <c r="W24">
        <f>'NAD003 P+ 72 hpi'!T25</f>
        <v>106.52698163719211</v>
      </c>
      <c r="X24">
        <f>'NAD003 P+ 72 hpi'!U25</f>
        <v>103.13170806796495</v>
      </c>
    </row>
    <row r="25" spans="1:24" x14ac:dyDescent="0.35">
      <c r="A25">
        <v>149.03399999999999</v>
      </c>
      <c r="B25">
        <f>'1233 P- 72 hpi'!T26</f>
        <v>105.01457446042834</v>
      </c>
      <c r="C25">
        <f>'1233 P- 72 hpi'!U26</f>
        <v>99.925705770491518</v>
      </c>
      <c r="E25">
        <f>'1233 P+ 72 hpi'!T26</f>
        <v>104.7276294650884</v>
      </c>
      <c r="F25">
        <f>'1233 P+ 72 hpi'!U26</f>
        <v>99.343269040669696</v>
      </c>
      <c r="H25">
        <f>'1234 P- 72 hpi'!T26</f>
        <v>105.81574978236858</v>
      </c>
      <c r="I25">
        <f>'1234 P- 72 hpi'!U26</f>
        <v>101.04743125537436</v>
      </c>
      <c r="K25">
        <f>'1234 P+ 72 hpi'!T26</f>
        <v>102.11278786010415</v>
      </c>
      <c r="L25">
        <f>'1234 P+ 72 hpi'!U26</f>
        <v>101.78234797128619</v>
      </c>
      <c r="N25">
        <f>'1250 P- 72 hpi'!T26</f>
        <v>105.86238580922026</v>
      </c>
      <c r="O25">
        <f>'1250 P- 72 hpi'!U26</f>
        <v>106.22702106534126</v>
      </c>
      <c r="Q25">
        <f>'1250 P+ 72 hpi'!T26</f>
        <v>106.63394113945081</v>
      </c>
      <c r="R25">
        <f>'1250 P+ 72 hpi'!U26</f>
        <v>104.26847422963748</v>
      </c>
      <c r="T25">
        <f>'1480 P- 72 hpi'!T26</f>
        <v>111.18281674826973</v>
      </c>
      <c r="U25">
        <f>'1480 P- 72 hpi'!U26</f>
        <v>105.67249496184672</v>
      </c>
      <c r="W25">
        <f>'NAD003 P+ 72 hpi'!T26</f>
        <v>107.04655617622427</v>
      </c>
      <c r="X25">
        <f>'NAD003 P+ 72 hpi'!U26</f>
        <v>104.09500176625073</v>
      </c>
    </row>
    <row r="26" spans="1:24" x14ac:dyDescent="0.35">
      <c r="A26">
        <v>155.125</v>
      </c>
      <c r="B26">
        <f>'1233 P- 72 hpi'!T27</f>
        <v>105.18679000273362</v>
      </c>
      <c r="C26">
        <f>'1233 P- 72 hpi'!U27</f>
        <v>99.930192749739021</v>
      </c>
      <c r="E26">
        <f>'1233 P+ 72 hpi'!T27</f>
        <v>105.10138977379427</v>
      </c>
      <c r="F26">
        <f>'1233 P+ 72 hpi'!U27</f>
        <v>100.39916707481534</v>
      </c>
      <c r="H26">
        <f>'1234 P- 72 hpi'!T27</f>
        <v>106.07390560014984</v>
      </c>
      <c r="I26">
        <f>'1234 P- 72 hpi'!U27</f>
        <v>101.95727961013544</v>
      </c>
      <c r="K26">
        <f>'1234 P+ 72 hpi'!T27</f>
        <v>102.35069094476081</v>
      </c>
      <c r="L26">
        <f>'1234 P+ 72 hpi'!U27</f>
        <v>103.42579849102282</v>
      </c>
      <c r="N26">
        <f>'1250 P- 72 hpi'!T27</f>
        <v>105.98458281343933</v>
      </c>
      <c r="O26">
        <f>'1250 P- 72 hpi'!U27</f>
        <v>105.47038137822371</v>
      </c>
      <c r="Q26">
        <f>'1250 P+ 72 hpi'!T27</f>
        <v>106.73440456757956</v>
      </c>
      <c r="R26">
        <f>'1250 P+ 72 hpi'!U27</f>
        <v>103.68317622575964</v>
      </c>
      <c r="T26">
        <f>'1480 P- 72 hpi'!T27</f>
        <v>111.56924604661326</v>
      </c>
      <c r="U26">
        <f>'1480 P- 72 hpi'!U27</f>
        <v>106.42797803403236</v>
      </c>
      <c r="W26">
        <f>'NAD003 P+ 72 hpi'!T27</f>
        <v>107.06479164745778</v>
      </c>
      <c r="X26">
        <f>'NAD003 P+ 72 hpi'!U27</f>
        <v>103.86648473245097</v>
      </c>
    </row>
    <row r="27" spans="1:24" x14ac:dyDescent="0.35">
      <c r="A27">
        <v>161.47300000000001</v>
      </c>
      <c r="B27">
        <f>'1233 P- 72 hpi'!T28</f>
        <v>105.34994691436611</v>
      </c>
      <c r="C27">
        <f>'1233 P- 72 hpi'!U28</f>
        <v>100.26660729640777</v>
      </c>
      <c r="E27">
        <f>'1233 P+ 72 hpi'!T28</f>
        <v>105.07719784610669</v>
      </c>
      <c r="F27">
        <f>'1233 P+ 72 hpi'!U28</f>
        <v>97.577704062735194</v>
      </c>
      <c r="H27">
        <f>'1234 P- 72 hpi'!T28</f>
        <v>106.48650156014703</v>
      </c>
      <c r="I27">
        <f>'1234 P- 72 hpi'!U28</f>
        <v>103.52688719329761</v>
      </c>
      <c r="K27">
        <f>'1234 P+ 72 hpi'!T28</f>
        <v>102.15556819115075</v>
      </c>
      <c r="L27">
        <f>'1234 P+ 72 hpi'!U28</f>
        <v>99.296861319340564</v>
      </c>
      <c r="N27">
        <f>'1250 P- 72 hpi'!T28</f>
        <v>106.13536865309754</v>
      </c>
      <c r="O27">
        <f>'1250 P- 72 hpi'!U28</f>
        <v>104.98756293055328</v>
      </c>
      <c r="Q27">
        <f>'1250 P+ 72 hpi'!T28</f>
        <v>106.82456095716634</v>
      </c>
      <c r="R27">
        <f>'1250 P+ 72 hpi'!U28</f>
        <v>102.49360112216733</v>
      </c>
      <c r="T27">
        <f>'1480 P- 72 hpi'!T28</f>
        <v>111.99919286390794</v>
      </c>
      <c r="U27">
        <f>'1480 P- 72 hpi'!U28</f>
        <v>107.12831963352444</v>
      </c>
      <c r="W27">
        <f>'NAD003 P+ 72 hpi'!T28</f>
        <v>107.28367141941638</v>
      </c>
      <c r="X27">
        <f>'NAD003 P+ 72 hpi'!U28</f>
        <v>103.9146264614902</v>
      </c>
    </row>
    <row r="28" spans="1:24" x14ac:dyDescent="0.35">
      <c r="A28">
        <v>167.614</v>
      </c>
      <c r="B28">
        <f>'1233 P- 72 hpi'!T29</f>
        <v>105.55437568427705</v>
      </c>
      <c r="C28">
        <f>'1233 P- 72 hpi'!U29</f>
        <v>99.591913981903531</v>
      </c>
      <c r="E28">
        <f>'1233 P+ 72 hpi'!T29</f>
        <v>105.59250822306095</v>
      </c>
      <c r="F28">
        <f>'1233 P+ 72 hpi'!U29</f>
        <v>99.24605033408244</v>
      </c>
      <c r="H28">
        <f>'1234 P- 72 hpi'!T29</f>
        <v>106.78627571890566</v>
      </c>
      <c r="I28">
        <f>'1234 P- 72 hpi'!U29</f>
        <v>101.46352656962377</v>
      </c>
      <c r="K28">
        <f>'1234 P+ 72 hpi'!T29</f>
        <v>102.17157869486408</v>
      </c>
      <c r="L28">
        <f>'1234 P+ 72 hpi'!U29</f>
        <v>98.908851224759573</v>
      </c>
      <c r="N28">
        <f>'1250 P- 72 hpi'!T29</f>
        <v>106.34279726886085</v>
      </c>
      <c r="O28">
        <f>'1250 P- 72 hpi'!U29</f>
        <v>105.63537572076457</v>
      </c>
      <c r="Q28">
        <f>'1250 P+ 72 hpi'!T29</f>
        <v>107.40414769547543</v>
      </c>
      <c r="R28">
        <f>'1250 P+ 72 hpi'!U29</f>
        <v>105.20987123705703</v>
      </c>
      <c r="T28">
        <f>'1480 P- 72 hpi'!T29</f>
        <v>112.36787811983986</v>
      </c>
      <c r="U28">
        <f>'1480 P- 72 hpi'!U29</f>
        <v>106.22596074359576</v>
      </c>
      <c r="W28">
        <f>'NAD003 P+ 72 hpi'!T29</f>
        <v>107.5029126362578</v>
      </c>
      <c r="X28">
        <f>'NAD003 P+ 72 hpi'!U29</f>
        <v>103.61717604128971</v>
      </c>
    </row>
    <row r="29" spans="1:24" x14ac:dyDescent="0.35">
      <c r="A29">
        <v>173.85</v>
      </c>
      <c r="B29">
        <f>'1233 P- 72 hpi'!T30</f>
        <v>105.64906027539915</v>
      </c>
      <c r="C29">
        <f>'1233 P- 72 hpi'!U30</f>
        <v>99.577887501310514</v>
      </c>
      <c r="E29">
        <f>'1233 P+ 72 hpi'!T30</f>
        <v>105.558597990864</v>
      </c>
      <c r="F29">
        <f>'1233 P+ 72 hpi'!U30</f>
        <v>99.835334507606689</v>
      </c>
      <c r="H29">
        <f>'1234 P- 72 hpi'!T30</f>
        <v>107.03059733298919</v>
      </c>
      <c r="I29">
        <f>'1234 P- 72 hpi'!U30</f>
        <v>104.49385876320798</v>
      </c>
      <c r="K29">
        <f>'1234 P+ 72 hpi'!T30</f>
        <v>102.34692307102026</v>
      </c>
      <c r="L29">
        <f>'1234 P+ 72 hpi'!U30</f>
        <v>99.46773632871124</v>
      </c>
      <c r="N29">
        <f>'1250 P- 72 hpi'!T30</f>
        <v>106.72072107443618</v>
      </c>
      <c r="O29">
        <f>'1250 P- 72 hpi'!U30</f>
        <v>106.27258360317883</v>
      </c>
      <c r="Q29">
        <f>'1250 P+ 72 hpi'!T30</f>
        <v>107.38182871531376</v>
      </c>
      <c r="R29">
        <f>'1250 P+ 72 hpi'!U30</f>
        <v>103.78310266784763</v>
      </c>
      <c r="T29">
        <f>'1480 P- 72 hpi'!T30</f>
        <v>112.70389371274416</v>
      </c>
      <c r="U29">
        <f>'1480 P- 72 hpi'!U30</f>
        <v>105.20741141037553</v>
      </c>
      <c r="W29">
        <f>'NAD003 P+ 72 hpi'!T30</f>
        <v>108.24184789190386</v>
      </c>
      <c r="X29">
        <f>'NAD003 P+ 72 hpi'!U30</f>
        <v>106.23478750119801</v>
      </c>
    </row>
    <row r="30" spans="1:24" x14ac:dyDescent="0.35">
      <c r="A30">
        <v>179.93600000000001</v>
      </c>
      <c r="B30">
        <f>'1233 P- 72 hpi'!T31</f>
        <v>105.84630345279588</v>
      </c>
      <c r="C30">
        <f>'1233 P- 72 hpi'!U31</f>
        <v>101.72757196165685</v>
      </c>
      <c r="E30">
        <f>'1233 P+ 72 hpi'!T31</f>
        <v>105.79096057313635</v>
      </c>
      <c r="F30">
        <f>'1233 P+ 72 hpi'!U31</f>
        <v>99.950500411354767</v>
      </c>
      <c r="H30">
        <f>'1234 P- 72 hpi'!T31</f>
        <v>107.41159823527011</v>
      </c>
      <c r="I30">
        <f>'1234 P- 72 hpi'!U31</f>
        <v>104.59736609056897</v>
      </c>
      <c r="K30">
        <f>'1234 P+ 72 hpi'!T31</f>
        <v>102.38697811771677</v>
      </c>
      <c r="L30">
        <f>'1234 P+ 72 hpi'!U31</f>
        <v>98.123571784378413</v>
      </c>
      <c r="N30">
        <f>'1250 P- 72 hpi'!T31</f>
        <v>106.89423859545742</v>
      </c>
      <c r="O30">
        <f>'1250 P- 72 hpi'!U31</f>
        <v>106.94023954539564</v>
      </c>
      <c r="Q30">
        <f>'1250 P+ 72 hpi'!T31</f>
        <v>107.51502705863516</v>
      </c>
      <c r="R30">
        <f>'1250 P+ 72 hpi'!U31</f>
        <v>103.93996306404736</v>
      </c>
      <c r="T30">
        <f>'1480 P- 72 hpi'!T31</f>
        <v>113.11080623163622</v>
      </c>
      <c r="U30">
        <f>'1480 P- 72 hpi'!U31</f>
        <v>107.47668440866734</v>
      </c>
      <c r="W30">
        <f>'NAD003 P+ 72 hpi'!T31</f>
        <v>108.27484783168357</v>
      </c>
      <c r="X30">
        <f>'NAD003 P+ 72 hpi'!U31</f>
        <v>106.05408574138011</v>
      </c>
    </row>
    <row r="31" spans="1:24" x14ac:dyDescent="0.35">
      <c r="A31">
        <v>193.119</v>
      </c>
      <c r="B31">
        <f>'1233 P- 72 hpi'!T32</f>
        <v>0.16655764944939913</v>
      </c>
      <c r="C31">
        <f>'1233 P- 72 hpi'!U32</f>
        <v>14.463086291823403</v>
      </c>
      <c r="E31">
        <f>'1233 P+ 72 hpi'!T32</f>
        <v>0.2048295180739767</v>
      </c>
      <c r="F31">
        <f>'1233 P+ 72 hpi'!U32</f>
        <v>13.111402848433933</v>
      </c>
      <c r="H31">
        <f>'1234 P- 72 hpi'!T32</f>
        <v>1.9508238720439077</v>
      </c>
      <c r="I31">
        <f>'1234 P- 72 hpi'!U32</f>
        <v>37.347752683454587</v>
      </c>
      <c r="K31">
        <f>'1234 P+ 72 hpi'!T32</f>
        <v>1.9617839223925104</v>
      </c>
      <c r="L31">
        <f>'1234 P+ 72 hpi'!U32</f>
        <v>38.823551783932672</v>
      </c>
      <c r="N31">
        <f>'1250 P- 72 hpi'!T32</f>
        <v>0.15502238436248297</v>
      </c>
      <c r="O31">
        <f>'1250 P- 72 hpi'!U32</f>
        <v>13.43879474152393</v>
      </c>
      <c r="Q31">
        <f>'1250 P+ 72 hpi'!T32</f>
        <v>0.2029073329359703</v>
      </c>
      <c r="R31">
        <f>'1250 P+ 72 hpi'!U32</f>
        <v>14.724739497402254</v>
      </c>
      <c r="T31">
        <f>'1480 P- 72 hpi'!T32</f>
        <v>8.1196302557120528E-2</v>
      </c>
      <c r="U31">
        <f>'1480 P- 72 hpi'!U32</f>
        <v>12.479576831753489</v>
      </c>
      <c r="W31">
        <f>'NAD003 P+ 72 hpi'!T32</f>
        <v>0.23976733462238442</v>
      </c>
      <c r="X31">
        <f>'NAD003 P+ 72 hpi'!U32</f>
        <v>12.172974586726717</v>
      </c>
    </row>
    <row r="32" spans="1:24" x14ac:dyDescent="0.35">
      <c r="A32">
        <v>199.374</v>
      </c>
      <c r="B32">
        <f>'1233 P- 72 hpi'!T33</f>
        <v>0.16351195255257231</v>
      </c>
      <c r="C32">
        <f>'1233 P- 72 hpi'!U33</f>
        <v>14.395368829645037</v>
      </c>
      <c r="E32">
        <f>'1233 P+ 72 hpi'!T33</f>
        <v>0.20264758718611189</v>
      </c>
      <c r="F32">
        <f>'1233 P+ 72 hpi'!U33</f>
        <v>13.053379230871531</v>
      </c>
      <c r="H32">
        <f>'1234 P- 72 hpi'!T33</f>
        <v>1.9243117153344291</v>
      </c>
      <c r="I32">
        <f>'1234 P- 72 hpi'!U33</f>
        <v>35.902627824515442</v>
      </c>
      <c r="K32">
        <f>'1234 P+ 72 hpi'!T33</f>
        <v>1.9323095647329409</v>
      </c>
      <c r="L32">
        <f>'1234 P+ 72 hpi'!U33</f>
        <v>37.560410753003765</v>
      </c>
      <c r="N32">
        <f>'1250 P- 72 hpi'!T33</f>
        <v>0.15060429971304348</v>
      </c>
      <c r="O32">
        <f>'1250 P- 72 hpi'!U33</f>
        <v>13.318727858211536</v>
      </c>
      <c r="Q32">
        <f>'1250 P+ 72 hpi'!T33</f>
        <v>0.20467426225539032</v>
      </c>
      <c r="R32">
        <f>'1250 P+ 72 hpi'!U33</f>
        <v>14.607072741948539</v>
      </c>
      <c r="T32">
        <f>'1480 P- 72 hpi'!T33</f>
        <v>7.6994099172613614E-2</v>
      </c>
      <c r="U32">
        <f>'1480 P- 72 hpi'!U33</f>
        <v>12.423751968372358</v>
      </c>
      <c r="W32">
        <f>'NAD003 P+ 72 hpi'!T33</f>
        <v>0.23710790721592898</v>
      </c>
      <c r="X32">
        <f>'NAD003 P+ 72 hpi'!U33</f>
        <v>12.128876887141328</v>
      </c>
    </row>
    <row r="33" spans="1:24" x14ac:dyDescent="0.35">
      <c r="A33">
        <v>205.643</v>
      </c>
      <c r="B33">
        <f>'1233 P- 72 hpi'!T34</f>
        <v>0.16052297461631349</v>
      </c>
      <c r="C33">
        <f>'1233 P- 72 hpi'!U34</f>
        <v>14.279977982485965</v>
      </c>
      <c r="E33">
        <f>'1233 P+ 72 hpi'!T34</f>
        <v>0.20065065951543848</v>
      </c>
      <c r="F33">
        <f>'1233 P+ 72 hpi'!U34</f>
        <v>12.979168070731335</v>
      </c>
      <c r="H33">
        <f>'1234 P- 72 hpi'!T34</f>
        <v>1.8829449566594736</v>
      </c>
      <c r="I33">
        <f>'1234 P- 72 hpi'!U34</f>
        <v>34.863131441636959</v>
      </c>
      <c r="K33">
        <f>'1234 P+ 72 hpi'!T34</f>
        <v>1.8853120820171556</v>
      </c>
      <c r="L33">
        <f>'1234 P+ 72 hpi'!U34</f>
        <v>36.590381174920545</v>
      </c>
      <c r="N33">
        <f>'1250 P- 72 hpi'!T34</f>
        <v>0.14658207134914455</v>
      </c>
      <c r="O33">
        <f>'1250 P- 72 hpi'!U34</f>
        <v>13.172307645909322</v>
      </c>
      <c r="Q33">
        <f>'1250 P+ 72 hpi'!T34</f>
        <v>0.20037155495204639</v>
      </c>
      <c r="R33">
        <f>'1250 P+ 72 hpi'!U34</f>
        <v>14.352626658113877</v>
      </c>
      <c r="T33">
        <f>'1480 P- 72 hpi'!T34</f>
        <v>7.5792804375992381E-2</v>
      </c>
      <c r="U33">
        <f>'1480 P- 72 hpi'!U34</f>
        <v>12.34889101970343</v>
      </c>
      <c r="W33">
        <f>'NAD003 P+ 72 hpi'!T34</f>
        <v>0.2332122357932539</v>
      </c>
      <c r="X33">
        <f>'NAD003 P+ 72 hpi'!U34</f>
        <v>12.056777088211954</v>
      </c>
    </row>
    <row r="34" spans="1:24" x14ac:dyDescent="0.35">
      <c r="A34">
        <v>211.75800000000001</v>
      </c>
      <c r="B34">
        <f>'1233 P- 72 hpi'!T35</f>
        <v>0.15801663130685475</v>
      </c>
      <c r="C34">
        <f>'1233 P- 72 hpi'!U35</f>
        <v>14.186599773175585</v>
      </c>
      <c r="E34">
        <f>'1233 P+ 72 hpi'!T35</f>
        <v>0.1988218632289554</v>
      </c>
      <c r="F34">
        <f>'1233 P+ 72 hpi'!U35</f>
        <v>12.93313905440375</v>
      </c>
      <c r="H34">
        <f>'1234 P- 72 hpi'!T35</f>
        <v>1.8333440552787881</v>
      </c>
      <c r="I34">
        <f>'1234 P- 72 hpi'!U35</f>
        <v>34.008028424084173</v>
      </c>
      <c r="K34">
        <f>'1234 P+ 72 hpi'!T35</f>
        <v>1.8426025810677547</v>
      </c>
      <c r="L34">
        <f>'1234 P+ 72 hpi'!U35</f>
        <v>35.9238185626713</v>
      </c>
      <c r="N34">
        <f>'1250 P- 72 hpi'!T35</f>
        <v>0.14228448915228081</v>
      </c>
      <c r="O34">
        <f>'1250 P- 72 hpi'!U35</f>
        <v>13.083431883690062</v>
      </c>
      <c r="Q34">
        <f>'1250 P+ 72 hpi'!T35</f>
        <v>0.19787887854409969</v>
      </c>
      <c r="R34">
        <f>'1250 P+ 72 hpi'!U35</f>
        <v>14.202256232458829</v>
      </c>
      <c r="T34">
        <f>'1480 P- 72 hpi'!T35</f>
        <v>7.5530208547117172E-2</v>
      </c>
      <c r="U34">
        <f>'1480 P- 72 hpi'!U35</f>
        <v>12.286373665505991</v>
      </c>
      <c r="W34">
        <f>'NAD003 P+ 72 hpi'!T35</f>
        <v>0.2286739464034378</v>
      </c>
      <c r="X34">
        <f>'NAD003 P+ 72 hpi'!U35</f>
        <v>12.008572781664959</v>
      </c>
    </row>
    <row r="35" spans="1:24" x14ac:dyDescent="0.35">
      <c r="A35">
        <v>218.077</v>
      </c>
      <c r="B35">
        <f>'1233 P- 72 hpi'!T36</f>
        <v>0.15625405303424852</v>
      </c>
      <c r="C35">
        <f>'1233 P- 72 hpi'!U36</f>
        <v>14.101866328864</v>
      </c>
      <c r="E35">
        <f>'1233 P+ 72 hpi'!T36</f>
        <v>0.19654028555186775</v>
      </c>
      <c r="F35">
        <f>'1233 P+ 72 hpi'!U36</f>
        <v>12.891751957209109</v>
      </c>
      <c r="H35">
        <f>'1234 P- 72 hpi'!T36</f>
        <v>1.7890860993479674</v>
      </c>
      <c r="I35">
        <f>'1234 P- 72 hpi'!U36</f>
        <v>33.286972423428011</v>
      </c>
      <c r="K35">
        <f>'1234 P+ 72 hpi'!T36</f>
        <v>1.8036189792019495</v>
      </c>
      <c r="L35">
        <f>'1234 P+ 72 hpi'!U36</f>
        <v>35.379123934165825</v>
      </c>
      <c r="N35">
        <f>'1250 P- 72 hpi'!T36</f>
        <v>0.13877123815827885</v>
      </c>
      <c r="O35">
        <f>'1250 P- 72 hpi'!U36</f>
        <v>13.007931327142531</v>
      </c>
      <c r="Q35">
        <f>'1250 P+ 72 hpi'!T36</f>
        <v>0.19580120829304887</v>
      </c>
      <c r="R35">
        <f>'1250 P+ 72 hpi'!U36</f>
        <v>14.063657658046266</v>
      </c>
      <c r="T35">
        <f>'1480 P- 72 hpi'!T36</f>
        <v>7.5178533261733127E-2</v>
      </c>
      <c r="U35">
        <f>'1480 P- 72 hpi'!U36</f>
        <v>12.233760013101742</v>
      </c>
      <c r="W35">
        <f>'NAD003 P+ 72 hpi'!T36</f>
        <v>0.22608316422408625</v>
      </c>
      <c r="X35">
        <f>'NAD003 P+ 72 hpi'!U36</f>
        <v>11.97581593474138</v>
      </c>
    </row>
    <row r="36" spans="1:24" x14ac:dyDescent="0.35">
      <c r="A36">
        <v>224.21</v>
      </c>
      <c r="B36">
        <f>'1233 P- 72 hpi'!T37</f>
        <v>0.15386975075527579</v>
      </c>
      <c r="C36">
        <f>'1233 P- 72 hpi'!U37</f>
        <v>14.023628565787144</v>
      </c>
      <c r="E36">
        <f>'1233 P+ 72 hpi'!T37</f>
        <v>0.19502357548524402</v>
      </c>
      <c r="F36">
        <f>'1233 P+ 72 hpi'!U37</f>
        <v>12.854107909554013</v>
      </c>
      <c r="H36">
        <f>'1234 P- 72 hpi'!T37</f>
        <v>1.754236782939343</v>
      </c>
      <c r="I36">
        <f>'1234 P- 72 hpi'!U37</f>
        <v>32.783079871765416</v>
      </c>
      <c r="K36">
        <f>'1234 P+ 72 hpi'!T37</f>
        <v>1.7640261598605793</v>
      </c>
      <c r="L36">
        <f>'1234 P+ 72 hpi'!U37</f>
        <v>34.869739933422537</v>
      </c>
      <c r="N36">
        <f>'1250 P- 72 hpi'!T37</f>
        <v>0.13622612528304379</v>
      </c>
      <c r="O36">
        <f>'1250 P- 72 hpi'!U37</f>
        <v>12.948606574450734</v>
      </c>
      <c r="Q36">
        <f>'1250 P+ 72 hpi'!T37</f>
        <v>0.19429333471713528</v>
      </c>
      <c r="R36">
        <f>'1250 P+ 72 hpi'!U37</f>
        <v>13.951776753079715</v>
      </c>
      <c r="T36">
        <f>'1480 P- 72 hpi'!T37</f>
        <v>7.457912307983415E-2</v>
      </c>
      <c r="U36">
        <f>'1480 P- 72 hpi'!U37</f>
        <v>12.199591641456335</v>
      </c>
      <c r="W36">
        <f>'NAD003 P+ 72 hpi'!T37</f>
        <v>0.22377389905189216</v>
      </c>
      <c r="X36">
        <f>'NAD003 P+ 72 hpi'!U37</f>
        <v>11.941894733142819</v>
      </c>
    </row>
    <row r="37" spans="1:24" x14ac:dyDescent="0.35">
      <c r="A37" s="1">
        <v>230.48099999999999</v>
      </c>
      <c r="B37" s="1">
        <f>'1233 P- 72 hpi'!T38</f>
        <v>0.15084806543478774</v>
      </c>
      <c r="C37" s="1">
        <f>'1233 P- 72 hpi'!U38</f>
        <v>13.965535800142556</v>
      </c>
      <c r="D37" s="1"/>
      <c r="E37" s="1">
        <f>'1233 P+ 72 hpi'!T38</f>
        <v>0.19286687237557623</v>
      </c>
      <c r="F37" s="1">
        <f>'1233 P+ 72 hpi'!U38</f>
        <v>12.809871447544559</v>
      </c>
      <c r="G37" s="1"/>
      <c r="H37" s="1">
        <f>'1234 P- 72 hpi'!T38</f>
        <v>1.7158520174900076</v>
      </c>
      <c r="I37" s="1">
        <f>'1234 P- 72 hpi'!U38</f>
        <v>32.276272281049692</v>
      </c>
      <c r="J37" s="1"/>
      <c r="K37" s="1">
        <f>'1234 P+ 72 hpi'!T38</f>
        <v>1.7260891894130106</v>
      </c>
      <c r="L37" s="1">
        <f>'1234 P+ 72 hpi'!U38</f>
        <v>34.465616310406922</v>
      </c>
      <c r="M37" s="1"/>
      <c r="N37" s="1">
        <f>'1250 P- 72 hpi'!T38</f>
        <v>0.13427014334241719</v>
      </c>
      <c r="O37" s="1">
        <f>'1250 P- 72 hpi'!U38</f>
        <v>12.914241788534625</v>
      </c>
      <c r="P37" s="1"/>
      <c r="Q37" s="1">
        <f>'1250 P+ 72 hpi'!T38</f>
        <v>0.19333135502690446</v>
      </c>
      <c r="R37" s="1">
        <f>'1250 P+ 72 hpi'!U38</f>
        <v>13.864162152369349</v>
      </c>
      <c r="S37" s="1"/>
      <c r="T37" s="1">
        <f>'1480 P- 72 hpi'!T38</f>
        <v>7.3927311316551281E-2</v>
      </c>
      <c r="U37" s="1">
        <f>'1480 P- 72 hpi'!U38</f>
        <v>12.160925439449718</v>
      </c>
      <c r="V37" s="1"/>
      <c r="W37" s="1">
        <f>'NAD003 P+ 72 hpi'!T38</f>
        <v>0.22161751658794929</v>
      </c>
      <c r="X37" s="1">
        <f>'NAD003 P+ 72 hpi'!U38</f>
        <v>11.91367142319441</v>
      </c>
    </row>
    <row r="38" spans="1:24" s="1" customFormat="1" x14ac:dyDescent="0.35">
      <c r="A38">
        <v>236.60900000000001</v>
      </c>
      <c r="B38">
        <f>'1233 P- 72 hpi'!T39</f>
        <v>0.14774312620621868</v>
      </c>
      <c r="C38">
        <f>'1233 P- 72 hpi'!U39</f>
        <v>13.898397947333274</v>
      </c>
      <c r="D38"/>
      <c r="E38">
        <f>'1233 P+ 72 hpi'!T39</f>
        <v>0.19059477326707114</v>
      </c>
      <c r="F38">
        <f>'1233 P+ 72 hpi'!U39</f>
        <v>12.766661237422355</v>
      </c>
      <c r="G38"/>
      <c r="H38">
        <f>'1234 P- 72 hpi'!T39</f>
        <v>1.6769465526839147</v>
      </c>
      <c r="I38">
        <f>'1234 P- 72 hpi'!U39</f>
        <v>31.814186731462826</v>
      </c>
      <c r="J38"/>
      <c r="K38">
        <f>'1234 P+ 72 hpi'!T39</f>
        <v>1.6887315172521546</v>
      </c>
      <c r="L38">
        <f>'1234 P+ 72 hpi'!U39</f>
        <v>34.119489059524632</v>
      </c>
      <c r="M38"/>
      <c r="N38">
        <f>'1250 P- 72 hpi'!T39</f>
        <v>0.13262180731393397</v>
      </c>
      <c r="O38">
        <f>'1250 P- 72 hpi'!U39</f>
        <v>12.894545903677491</v>
      </c>
      <c r="P38"/>
      <c r="Q38">
        <f>'1250 P+ 72 hpi'!T39</f>
        <v>0.19234349856592942</v>
      </c>
      <c r="R38">
        <f>'1250 P+ 72 hpi'!U39</f>
        <v>13.789634994909232</v>
      </c>
      <c r="S38"/>
      <c r="T38">
        <f>'1480 P- 72 hpi'!T39</f>
        <v>7.3087927042132003E-2</v>
      </c>
      <c r="U38">
        <f>'1480 P- 72 hpi'!U39</f>
        <v>12.113695041642766</v>
      </c>
      <c r="V38"/>
      <c r="W38">
        <f>'NAD003 P+ 72 hpi'!T39</f>
        <v>0.2187441439080044</v>
      </c>
      <c r="X38">
        <f>'NAD003 P+ 72 hpi'!U39</f>
        <v>11.880085083832801</v>
      </c>
    </row>
    <row r="39" spans="1:24" x14ac:dyDescent="0.35">
      <c r="A39">
        <v>242.952</v>
      </c>
      <c r="B39">
        <f>'1233 P- 72 hpi'!T40</f>
        <v>0.14448921196095435</v>
      </c>
      <c r="C39">
        <f>'1233 P- 72 hpi'!U40</f>
        <v>13.847283026157982</v>
      </c>
      <c r="E39">
        <f>'1233 P+ 72 hpi'!T40</f>
        <v>0.18904705750286324</v>
      </c>
      <c r="F39">
        <f>'1233 P+ 72 hpi'!U40</f>
        <v>12.737220769758503</v>
      </c>
      <c r="H39">
        <f>'1234 P- 72 hpi'!T40</f>
        <v>1.6359071652932722</v>
      </c>
      <c r="I39">
        <f>'1234 P- 72 hpi'!U40</f>
        <v>31.364319866395515</v>
      </c>
      <c r="K39">
        <f>'1234 P+ 72 hpi'!T40</f>
        <v>1.6531203120489044</v>
      </c>
      <c r="L39">
        <f>'1234 P+ 72 hpi'!U40</f>
        <v>33.797918651153729</v>
      </c>
      <c r="N39">
        <f>'1250 P- 72 hpi'!T40</f>
        <v>0.13026494659740109</v>
      </c>
      <c r="O39">
        <f>'1250 P- 72 hpi'!U40</f>
        <v>12.866046447150012</v>
      </c>
      <c r="Q39">
        <f>'1250 P+ 72 hpi'!T40</f>
        <v>0.19132028059755279</v>
      </c>
      <c r="R39">
        <f>'1250 P+ 72 hpi'!U40</f>
        <v>13.726824575175776</v>
      </c>
      <c r="T39">
        <f>'1480 P- 72 hpi'!T40</f>
        <v>7.0367550630867637E-2</v>
      </c>
      <c r="U39">
        <f>'1480 P- 72 hpi'!U40</f>
        <v>12.071752809076132</v>
      </c>
      <c r="W39">
        <f>'NAD003 P+ 72 hpi'!T40</f>
        <v>0.21638968334861469</v>
      </c>
      <c r="X39">
        <f>'NAD003 P+ 72 hpi'!U40</f>
        <v>11.85889465745581</v>
      </c>
    </row>
    <row r="40" spans="1:24" x14ac:dyDescent="0.35">
      <c r="A40">
        <v>249.15899999999999</v>
      </c>
      <c r="B40">
        <f>'1233 P- 72 hpi'!T41</f>
        <v>0.14196143275642228</v>
      </c>
      <c r="C40">
        <f>'1233 P- 72 hpi'!U41</f>
        <v>13.803333554969177</v>
      </c>
      <c r="E40">
        <f>'1233 P+ 72 hpi'!T41</f>
        <v>0.188002119601407</v>
      </c>
      <c r="F40">
        <f>'1233 P+ 72 hpi'!U41</f>
        <v>12.716676438648605</v>
      </c>
      <c r="H40">
        <f>'1234 P- 72 hpi'!T41</f>
        <v>1.5977685416248024</v>
      </c>
      <c r="I40">
        <f>'1234 P- 72 hpi'!U41</f>
        <v>30.940599102424397</v>
      </c>
      <c r="K40">
        <f>'1234 P+ 72 hpi'!T41</f>
        <v>1.619684519569367</v>
      </c>
      <c r="L40">
        <f>'1234 P+ 72 hpi'!U41</f>
        <v>33.45259821998927</v>
      </c>
      <c r="N40">
        <f>'1250 P- 72 hpi'!T41</f>
        <v>0.12802245027402981</v>
      </c>
      <c r="O40">
        <f>'1250 P- 72 hpi'!U41</f>
        <v>12.828324003778334</v>
      </c>
      <c r="Q40">
        <f>'1250 P+ 72 hpi'!T41</f>
        <v>0.19044709739440047</v>
      </c>
      <c r="R40">
        <f>'1250 P+ 72 hpi'!U41</f>
        <v>13.678255975036597</v>
      </c>
      <c r="T40">
        <f>'1480 P- 72 hpi'!T41</f>
        <v>6.8427777964393574E-2</v>
      </c>
      <c r="U40">
        <f>'1480 P- 72 hpi'!U41</f>
        <v>12.043955286591169</v>
      </c>
      <c r="W40">
        <f>'NAD003 P+ 72 hpi'!T41</f>
        <v>0.2148151252651867</v>
      </c>
      <c r="X40">
        <f>'NAD003 P+ 72 hpi'!U41</f>
        <v>11.847872509164656</v>
      </c>
    </row>
    <row r="41" spans="1:24" x14ac:dyDescent="0.35">
      <c r="A41">
        <v>262.24700000000001</v>
      </c>
      <c r="B41">
        <f>'1233 P- 72 hpi'!T42</f>
        <v>79.970479149610512</v>
      </c>
      <c r="C41">
        <f>'1233 P- 72 hpi'!U42</f>
        <v>101.40552590093289</v>
      </c>
      <c r="E41">
        <f>'1233 P+ 72 hpi'!T42</f>
        <v>80.495270625469857</v>
      </c>
      <c r="F41">
        <f>'1233 P+ 72 hpi'!U42</f>
        <v>102.17400163463307</v>
      </c>
      <c r="H41">
        <f>'1234 P- 72 hpi'!T42</f>
        <v>56.509809362838674</v>
      </c>
      <c r="I41">
        <f>'1234 P- 72 hpi'!U42</f>
        <v>100.98002291106575</v>
      </c>
      <c r="K41">
        <f>'1234 P+ 72 hpi'!T42</f>
        <v>59.402341938442994</v>
      </c>
      <c r="L41">
        <f>'1234 P+ 72 hpi'!U42</f>
        <v>90.219284192440767</v>
      </c>
      <c r="N41">
        <f>'1250 P- 72 hpi'!T42</f>
        <v>79.457059395866736</v>
      </c>
      <c r="O41">
        <f>'1250 P- 72 hpi'!U42</f>
        <v>104.12797539913959</v>
      </c>
      <c r="Q41">
        <f>'1250 P+ 72 hpi'!T42</f>
        <v>70.28787444748977</v>
      </c>
      <c r="R41">
        <f>'1250 P+ 72 hpi'!U42</f>
        <v>88.660691281386519</v>
      </c>
      <c r="T41">
        <f>'1480 P- 72 hpi'!T42</f>
        <v>83.420887320294227</v>
      </c>
      <c r="U41">
        <f>'1480 P- 72 hpi'!U42</f>
        <v>103.53828510589209</v>
      </c>
      <c r="W41">
        <f>'NAD003 P+ 72 hpi'!T42</f>
        <v>83.719532207971042</v>
      </c>
      <c r="X41">
        <f>'NAD003 P+ 72 hpi'!U42</f>
        <v>112.10025255065636</v>
      </c>
    </row>
    <row r="42" spans="1:24" x14ac:dyDescent="0.35">
      <c r="A42">
        <v>268.46699999999998</v>
      </c>
      <c r="B42">
        <f>'1233 P- 72 hpi'!T43</f>
        <v>82.485360115943394</v>
      </c>
      <c r="C42">
        <f>'1233 P- 72 hpi'!U43</f>
        <v>104.53290818501641</v>
      </c>
      <c r="E42">
        <f>'1233 P+ 72 hpi'!T43</f>
        <v>82.982490614079495</v>
      </c>
      <c r="F42">
        <f>'1233 P+ 72 hpi'!U43</f>
        <v>104.76768984304576</v>
      </c>
      <c r="H42">
        <f>'1234 P- 72 hpi'!T43</f>
        <v>58.385910154830668</v>
      </c>
      <c r="I42">
        <f>'1234 P- 72 hpi'!U43</f>
        <v>101.21936529513174</v>
      </c>
      <c r="K42">
        <f>'1234 P+ 72 hpi'!T43</f>
        <v>60.958163200180508</v>
      </c>
      <c r="L42">
        <f>'1234 P+ 72 hpi'!U43</f>
        <v>90.823744841780851</v>
      </c>
      <c r="N42">
        <f>'1250 P- 72 hpi'!T43</f>
        <v>81.898652032908601</v>
      </c>
      <c r="O42">
        <f>'1250 P- 72 hpi'!U43</f>
        <v>105.86123417454097</v>
      </c>
      <c r="Q42">
        <f>'1250 P+ 72 hpi'!T43</f>
        <v>72.434985663336619</v>
      </c>
      <c r="R42">
        <f>'1250 P+ 72 hpi'!U43</f>
        <v>90.623160032373335</v>
      </c>
      <c r="T42">
        <f>'1480 P- 72 hpi'!T43</f>
        <v>86.395473351227238</v>
      </c>
      <c r="U42">
        <f>'1480 P- 72 hpi'!U43</f>
        <v>107.20248292666913</v>
      </c>
      <c r="W42">
        <f>'NAD003 P+ 72 hpi'!T43</f>
        <v>86.500051289363341</v>
      </c>
      <c r="X42">
        <f>'NAD003 P+ 72 hpi'!U43</f>
        <v>116.63487918179652</v>
      </c>
    </row>
    <row r="43" spans="1:24" x14ac:dyDescent="0.35">
      <c r="A43">
        <v>274.76</v>
      </c>
      <c r="B43">
        <f>'1233 P- 72 hpi'!T44</f>
        <v>84.15219337572907</v>
      </c>
      <c r="C43">
        <f>'1233 P- 72 hpi'!U44</f>
        <v>101.96462934336789</v>
      </c>
      <c r="E43">
        <f>'1233 P+ 72 hpi'!T44</f>
        <v>84.778032289953188</v>
      </c>
      <c r="F43">
        <f>'1233 P+ 72 hpi'!U44</f>
        <v>102.69443372297414</v>
      </c>
      <c r="H43">
        <f>'1234 P- 72 hpi'!T44</f>
        <v>59.659660083329271</v>
      </c>
      <c r="I43">
        <f>'1234 P- 72 hpi'!U44</f>
        <v>102.25104634991823</v>
      </c>
      <c r="K43">
        <f>'1234 P+ 72 hpi'!T44</f>
        <v>61.82620903821082</v>
      </c>
      <c r="L43">
        <f>'1234 P+ 72 hpi'!U44</f>
        <v>90.356155549631652</v>
      </c>
      <c r="N43">
        <f>'1250 P- 72 hpi'!T44</f>
        <v>83.691274127196095</v>
      </c>
      <c r="O43">
        <f>'1250 P- 72 hpi'!U44</f>
        <v>105.30503179547229</v>
      </c>
      <c r="Q43">
        <f>'1250 P+ 72 hpi'!T44</f>
        <v>73.850067920446023</v>
      </c>
      <c r="R43">
        <f>'1250 P+ 72 hpi'!U44</f>
        <v>90.594814725777667</v>
      </c>
      <c r="T43">
        <f>'1480 P- 72 hpi'!T44</f>
        <v>88.336627670146058</v>
      </c>
      <c r="U43">
        <f>'1480 P- 72 hpi'!U44</f>
        <v>106.23168035797192</v>
      </c>
      <c r="W43">
        <f>'NAD003 P+ 72 hpi'!T44</f>
        <v>88.399120868515041</v>
      </c>
      <c r="X43">
        <f>'NAD003 P+ 72 hpi'!U44</f>
        <v>116.51647493808679</v>
      </c>
    </row>
    <row r="44" spans="1:24" x14ac:dyDescent="0.35">
      <c r="A44">
        <v>280.99099999999999</v>
      </c>
      <c r="B44">
        <f>'1233 P- 72 hpi'!T45</f>
        <v>85.569844660916331</v>
      </c>
      <c r="C44">
        <f>'1233 P- 72 hpi'!U45</f>
        <v>101.02554708846652</v>
      </c>
      <c r="E44">
        <f>'1233 P+ 72 hpi'!T45</f>
        <v>86.425148704840524</v>
      </c>
      <c r="F44">
        <f>'1233 P+ 72 hpi'!U45</f>
        <v>99.486026970123149</v>
      </c>
      <c r="H44">
        <f>'1234 P- 72 hpi'!T45</f>
        <v>60.524314719078312</v>
      </c>
      <c r="I44">
        <f>'1234 P- 72 hpi'!U45</f>
        <v>100.3398160051175</v>
      </c>
      <c r="K44">
        <f>'1234 P+ 72 hpi'!T45</f>
        <v>62.504527294668435</v>
      </c>
      <c r="L44">
        <f>'1234 P+ 72 hpi'!U45</f>
        <v>89.740081037985505</v>
      </c>
      <c r="N44">
        <f>'1250 P- 72 hpi'!T45</f>
        <v>85.113311617985786</v>
      </c>
      <c r="O44">
        <f>'1250 P- 72 hpi'!U45</f>
        <v>103.49777090062742</v>
      </c>
      <c r="Q44">
        <f>'1250 P+ 72 hpi'!T45</f>
        <v>74.941176515646703</v>
      </c>
      <c r="R44">
        <f>'1250 P+ 72 hpi'!U45</f>
        <v>89.543187094001723</v>
      </c>
      <c r="T44">
        <f>'1480 P- 72 hpi'!T45</f>
        <v>89.933269627600609</v>
      </c>
      <c r="U44">
        <f>'1480 P- 72 hpi'!U45</f>
        <v>104.94843566918375</v>
      </c>
      <c r="W44">
        <f>'NAD003 P+ 72 hpi'!T45</f>
        <v>90.254905348443771</v>
      </c>
      <c r="X44">
        <f>'NAD003 P+ 72 hpi'!U45</f>
        <v>115.80166031740384</v>
      </c>
    </row>
    <row r="45" spans="1:24" x14ac:dyDescent="0.35">
      <c r="A45">
        <v>287.21100000000001</v>
      </c>
      <c r="B45">
        <f>'1233 P- 72 hpi'!T46</f>
        <v>86.972755734783618</v>
      </c>
      <c r="C45">
        <f>'1233 P- 72 hpi'!U46</f>
        <v>100.57326265769365</v>
      </c>
      <c r="E45">
        <f>'1233 P+ 72 hpi'!T46</f>
        <v>87.966983730125975</v>
      </c>
      <c r="F45">
        <f>'1233 P+ 72 hpi'!U46</f>
        <v>102.00992321205233</v>
      </c>
      <c r="H45">
        <f>'1234 P- 72 hpi'!T46</f>
        <v>61.1320828794696</v>
      </c>
      <c r="I45">
        <f>'1234 P- 72 hpi'!U46</f>
        <v>98.509138901798295</v>
      </c>
      <c r="K45">
        <f>'1234 P+ 72 hpi'!T46</f>
        <v>62.972075207074646</v>
      </c>
      <c r="L45">
        <f>'1234 P+ 72 hpi'!U46</f>
        <v>89.511230785751223</v>
      </c>
      <c r="N45">
        <f>'1250 P- 72 hpi'!T46</f>
        <v>86.530802897849455</v>
      </c>
      <c r="O45">
        <f>'1250 P- 72 hpi'!U46</f>
        <v>103.52452187716453</v>
      </c>
      <c r="Q45">
        <f>'1250 P+ 72 hpi'!T46</f>
        <v>75.881873397637065</v>
      </c>
      <c r="R45">
        <f>'1250 P+ 72 hpi'!U46</f>
        <v>89.073034478527163</v>
      </c>
      <c r="T45">
        <f>'1480 P- 72 hpi'!T46</f>
        <v>91.458054892358902</v>
      </c>
      <c r="U45">
        <f>'1480 P- 72 hpi'!U46</f>
        <v>105.16964311156865</v>
      </c>
      <c r="W45">
        <f>'NAD003 P+ 72 hpi'!T46</f>
        <v>91.908704016253665</v>
      </c>
      <c r="X45">
        <f>'NAD003 P+ 72 hpi'!U46</f>
        <v>116.25808088481506</v>
      </c>
    </row>
    <row r="46" spans="1:24" x14ac:dyDescent="0.35">
      <c r="A46">
        <v>293.38900000000001</v>
      </c>
      <c r="B46">
        <f>'1233 P- 72 hpi'!T47</f>
        <v>88.043002753812516</v>
      </c>
      <c r="C46">
        <f>'1233 P- 72 hpi'!U47</f>
        <v>100.23017608460488</v>
      </c>
      <c r="E46">
        <f>'1233 P+ 72 hpi'!T47</f>
        <v>89.133608378487239</v>
      </c>
      <c r="F46">
        <f>'1233 P+ 72 hpi'!U47</f>
        <v>102.19182647256164</v>
      </c>
      <c r="H46">
        <f>'1234 P- 72 hpi'!T47</f>
        <v>61.477319669080011</v>
      </c>
      <c r="I46">
        <f>'1234 P- 72 hpi'!U47</f>
        <v>96.206790094765253</v>
      </c>
      <c r="K46">
        <f>'1234 P+ 72 hpi'!T47</f>
        <v>63.401177519871425</v>
      </c>
      <c r="L46">
        <f>'1234 P+ 72 hpi'!U47</f>
        <v>89.098888745132655</v>
      </c>
      <c r="N46">
        <f>'1250 P- 72 hpi'!T47</f>
        <v>87.523035238234456</v>
      </c>
      <c r="O46">
        <f>'1250 P- 72 hpi'!U47</f>
        <v>102.74108621187138</v>
      </c>
      <c r="Q46">
        <f>'1250 P+ 72 hpi'!T47</f>
        <v>76.672100959204244</v>
      </c>
      <c r="R46">
        <f>'1250 P+ 72 hpi'!U47</f>
        <v>89.619497132663241</v>
      </c>
      <c r="T46">
        <f>'1480 P- 72 hpi'!T47</f>
        <v>92.75909207209709</v>
      </c>
      <c r="U46">
        <f>'1480 P- 72 hpi'!U47</f>
        <v>105.65862672895759</v>
      </c>
      <c r="W46">
        <f>'NAD003 P+ 72 hpi'!T47</f>
        <v>93.212407230541785</v>
      </c>
      <c r="X46">
        <f>'NAD003 P+ 72 hpi'!U47</f>
        <v>117.45384844680299</v>
      </c>
    </row>
    <row r="47" spans="1:24" x14ac:dyDescent="0.35">
      <c r="A47" s="1">
        <v>299.65600000000001</v>
      </c>
      <c r="B47" s="1">
        <f>'1233 P- 72 hpi'!T48</f>
        <v>88.778026986715716</v>
      </c>
      <c r="C47" s="1">
        <f>'1233 P- 72 hpi'!U48</f>
        <v>101.2789625682862</v>
      </c>
      <c r="D47" s="1"/>
      <c r="E47" s="1">
        <f>'1233 P+ 72 hpi'!T48</f>
        <v>90.100392179582201</v>
      </c>
      <c r="F47" s="1">
        <f>'1233 P+ 72 hpi'!U48</f>
        <v>103.08650463706124</v>
      </c>
      <c r="G47" s="1"/>
      <c r="H47" s="1">
        <f>'1234 P- 72 hpi'!T48</f>
        <v>61.950109724402942</v>
      </c>
      <c r="I47" s="1">
        <f>'1234 P- 72 hpi'!U48</f>
        <v>94.828416773789016</v>
      </c>
      <c r="J47" s="1"/>
      <c r="K47" s="1">
        <f>'1234 P+ 72 hpi'!T48</f>
        <v>63.820688760467583</v>
      </c>
      <c r="L47" s="1">
        <f>'1234 P+ 72 hpi'!U48</f>
        <v>88.816924429285393</v>
      </c>
      <c r="M47" s="1"/>
      <c r="N47" s="1">
        <f>'1250 P- 72 hpi'!T48</f>
        <v>88.40151858549423</v>
      </c>
      <c r="O47" s="1">
        <f>'1250 P- 72 hpi'!U48</f>
        <v>102.279767400361</v>
      </c>
      <c r="P47" s="1"/>
      <c r="Q47" s="1">
        <f>'1250 P+ 72 hpi'!T48</f>
        <v>77.310125654340965</v>
      </c>
      <c r="R47" s="1">
        <f>'1250 P+ 72 hpi'!U48</f>
        <v>90.239721114687057</v>
      </c>
      <c r="S47" s="1"/>
      <c r="T47" s="1">
        <f>'1480 P- 72 hpi'!T48</f>
        <v>93.696393072833914</v>
      </c>
      <c r="U47" s="1">
        <f>'1480 P- 72 hpi'!U48</f>
        <v>106.51302070113552</v>
      </c>
      <c r="V47" s="1"/>
      <c r="W47" s="1">
        <f>'NAD003 P+ 72 hpi'!T48</f>
        <v>94.729281015918758</v>
      </c>
      <c r="X47" s="1">
        <f>'NAD003 P+ 72 hpi'!U48</f>
        <v>119.64085025589164</v>
      </c>
    </row>
    <row r="48" spans="1:24" s="1" customFormat="1" x14ac:dyDescent="0.35">
      <c r="A48">
        <v>305.76400000000001</v>
      </c>
      <c r="B48">
        <f>'1233 P- 72 hpi'!T49</f>
        <v>89.401569671519042</v>
      </c>
      <c r="C48">
        <f>'1233 P- 72 hpi'!U49</f>
        <v>103.35504427098154</v>
      </c>
      <c r="D48"/>
      <c r="E48">
        <f>'1233 P+ 72 hpi'!T49</f>
        <v>90.611249516790792</v>
      </c>
      <c r="F48">
        <f>'1233 P+ 72 hpi'!U49</f>
        <v>103.33072957686734</v>
      </c>
      <c r="G48"/>
      <c r="H48">
        <f>'1234 P- 72 hpi'!T49</f>
        <v>62.285671162330935</v>
      </c>
      <c r="I48">
        <f>'1234 P- 72 hpi'!U49</f>
        <v>94.378563509324991</v>
      </c>
      <c r="J48"/>
      <c r="K48">
        <f>'1234 P+ 72 hpi'!T49</f>
        <v>63.942313823487432</v>
      </c>
      <c r="L48">
        <f>'1234 P+ 72 hpi'!U49</f>
        <v>84.57179219334266</v>
      </c>
      <c r="M48"/>
      <c r="N48">
        <f>'1250 P- 72 hpi'!T49</f>
        <v>88.958258759866951</v>
      </c>
      <c r="O48">
        <f>'1250 P- 72 hpi'!U49</f>
        <v>101.8294998137488</v>
      </c>
      <c r="P48"/>
      <c r="Q48">
        <f>'1250 P+ 72 hpi'!T49</f>
        <v>77.791823713674574</v>
      </c>
      <c r="R48">
        <f>'1250 P+ 72 hpi'!U49</f>
        <v>90.032286500070114</v>
      </c>
      <c r="S48"/>
      <c r="T48">
        <f>'1480 P- 72 hpi'!T49</f>
        <v>94.479590065869573</v>
      </c>
      <c r="U48">
        <f>'1480 P- 72 hpi'!U49</f>
        <v>106.24308060312092</v>
      </c>
      <c r="V48"/>
      <c r="W48">
        <f>'NAD003 P+ 72 hpi'!T49</f>
        <v>95.288466121373133</v>
      </c>
      <c r="X48">
        <f>'NAD003 P+ 72 hpi'!U49</f>
        <v>120.04883215593836</v>
      </c>
    </row>
    <row r="49" spans="1:24" x14ac:dyDescent="0.35">
      <c r="A49">
        <v>311.92599999999999</v>
      </c>
      <c r="B49">
        <f>'1233 P- 72 hpi'!T50</f>
        <v>89.881134870068038</v>
      </c>
      <c r="C49">
        <f>'1233 P- 72 hpi'!U50</f>
        <v>102.29522415116537</v>
      </c>
      <c r="E49">
        <f>'1233 P+ 72 hpi'!T50</f>
        <v>90.985995735694843</v>
      </c>
      <c r="F49">
        <f>'1233 P+ 72 hpi'!U50</f>
        <v>103.83264488420832</v>
      </c>
      <c r="H49">
        <f>'1234 P- 72 hpi'!T50</f>
        <v>62.477466874932162</v>
      </c>
      <c r="I49">
        <f>'1234 P- 72 hpi'!U50</f>
        <v>91.730430654479434</v>
      </c>
      <c r="K49">
        <f>'1234 P+ 72 hpi'!T50</f>
        <v>64.342334806675666</v>
      </c>
      <c r="L49">
        <f>'1234 P+ 72 hpi'!U50</f>
        <v>88.000545887708654</v>
      </c>
      <c r="N49">
        <f>'1250 P- 72 hpi'!T50</f>
        <v>89.627390240172176</v>
      </c>
      <c r="O49">
        <f>'1250 P- 72 hpi'!U50</f>
        <v>101.87368874653805</v>
      </c>
      <c r="Q49">
        <f>'1250 P+ 72 hpi'!T50</f>
        <v>78.111558391784953</v>
      </c>
      <c r="R49">
        <f>'1250 P+ 72 hpi'!U50</f>
        <v>89.259194148284976</v>
      </c>
      <c r="T49">
        <f>'1480 P- 72 hpi'!T50</f>
        <v>95.22400390101042</v>
      </c>
      <c r="U49">
        <f>'1480 P- 72 hpi'!U50</f>
        <v>108.47493801684107</v>
      </c>
      <c r="W49">
        <f>'NAD003 P+ 72 hpi'!T50</f>
        <v>95.691489590873772</v>
      </c>
      <c r="X49">
        <f>'NAD003 P+ 72 hpi'!U50</f>
        <v>118.91723102811179</v>
      </c>
    </row>
    <row r="50" spans="1:24" x14ac:dyDescent="0.35">
      <c r="A50">
        <v>318.20600000000002</v>
      </c>
      <c r="B50">
        <f>'1233 P- 72 hpi'!T51</f>
        <v>90.254419333945251</v>
      </c>
      <c r="C50">
        <f>'1233 P- 72 hpi'!U51</f>
        <v>101.5323327086257</v>
      </c>
      <c r="E50">
        <f>'1233 P+ 72 hpi'!T51</f>
        <v>91.410518609552355</v>
      </c>
      <c r="F50">
        <f>'1233 P+ 72 hpi'!U51</f>
        <v>102.74290530442011</v>
      </c>
      <c r="H50">
        <f>'1234 P- 72 hpi'!T51</f>
        <v>62.875553031750833</v>
      </c>
      <c r="I50">
        <f>'1234 P- 72 hpi'!U51</f>
        <v>94.370184244777818</v>
      </c>
      <c r="K50">
        <f>'1234 P+ 72 hpi'!T51</f>
        <v>64.606854751244015</v>
      </c>
      <c r="L50">
        <f>'1234 P+ 72 hpi'!U51</f>
        <v>86.39580100627424</v>
      </c>
      <c r="N50">
        <f>'1250 P- 72 hpi'!T51</f>
        <v>90.085376259566587</v>
      </c>
      <c r="O50">
        <f>'1250 P- 72 hpi'!U51</f>
        <v>101.86671478649862</v>
      </c>
      <c r="Q50">
        <f>'1250 P+ 72 hpi'!T51</f>
        <v>78.531715684072708</v>
      </c>
      <c r="R50">
        <f>'1250 P+ 72 hpi'!U51</f>
        <v>90.195292495783647</v>
      </c>
      <c r="T50">
        <f>'1480 P- 72 hpi'!T51</f>
        <v>95.665600503479013</v>
      </c>
      <c r="U50">
        <f>'1480 P- 72 hpi'!U51</f>
        <v>108.86752766584199</v>
      </c>
      <c r="W50">
        <f>'NAD003 P+ 72 hpi'!T51</f>
        <v>96.383477271914344</v>
      </c>
      <c r="X50">
        <f>'NAD003 P+ 72 hpi'!U51</f>
        <v>119.66050911196484</v>
      </c>
    </row>
    <row r="51" spans="1:24" x14ac:dyDescent="0.35">
      <c r="A51">
        <v>324.48599999999999</v>
      </c>
      <c r="B51">
        <f>'1233 P- 72 hpi'!T52</f>
        <v>90.589584229723812</v>
      </c>
      <c r="C51">
        <f>'1233 P- 72 hpi'!U52</f>
        <v>101.39555359444593</v>
      </c>
      <c r="E51">
        <f>'1233 P+ 72 hpi'!T52</f>
        <v>91.760136053391761</v>
      </c>
      <c r="F51">
        <f>'1233 P+ 72 hpi'!U52</f>
        <v>102.03777524273292</v>
      </c>
      <c r="H51">
        <f>'1234 P- 72 hpi'!T52</f>
        <v>63.405220495077423</v>
      </c>
      <c r="I51">
        <f>'1234 P- 72 hpi'!U52</f>
        <v>96.219676675512389</v>
      </c>
      <c r="K51">
        <f>'1234 P+ 72 hpi'!T52</f>
        <v>64.606363500608722</v>
      </c>
      <c r="L51">
        <f>'1234 P+ 72 hpi'!U52</f>
        <v>83.614044365098749</v>
      </c>
      <c r="N51">
        <f>'1250 P- 72 hpi'!T52</f>
        <v>90.592458661440375</v>
      </c>
      <c r="O51">
        <f>'1250 P- 72 hpi'!U52</f>
        <v>102.39771616684597</v>
      </c>
      <c r="Q51">
        <f>'1250 P+ 72 hpi'!T52</f>
        <v>78.885058779608443</v>
      </c>
      <c r="R51">
        <f>'1250 P+ 72 hpi'!U52</f>
        <v>88.581354005005252</v>
      </c>
      <c r="T51">
        <f>'1480 P- 72 hpi'!T52</f>
        <v>96.032817933267054</v>
      </c>
      <c r="U51">
        <f>'1480 P- 72 hpi'!U52</f>
        <v>107.81320224356141</v>
      </c>
      <c r="W51">
        <f>'NAD003 P+ 72 hpi'!T52</f>
        <v>96.967688998214811</v>
      </c>
      <c r="X51">
        <f>'NAD003 P+ 72 hpi'!U52</f>
        <v>120.64670929057853</v>
      </c>
    </row>
    <row r="52" spans="1:24" x14ac:dyDescent="0.35">
      <c r="A52">
        <v>330.68</v>
      </c>
      <c r="B52">
        <f>'1233 P- 72 hpi'!T53</f>
        <v>90.981031024327294</v>
      </c>
      <c r="C52">
        <f>'1233 P- 72 hpi'!U53</f>
        <v>101.47285667828959</v>
      </c>
      <c r="E52">
        <f>'1233 P+ 72 hpi'!T53</f>
        <v>92.285015972264063</v>
      </c>
      <c r="F52">
        <f>'1233 P+ 72 hpi'!U53</f>
        <v>103.19586362218584</v>
      </c>
      <c r="H52">
        <f>'1234 P- 72 hpi'!T53</f>
        <v>63.729563771829753</v>
      </c>
      <c r="I52">
        <f>'1234 P- 72 hpi'!U53</f>
        <v>96.902036110771235</v>
      </c>
      <c r="K52">
        <f>'1234 P+ 72 hpi'!T53</f>
        <v>64.730120327191656</v>
      </c>
      <c r="L52">
        <f>'1234 P+ 72 hpi'!U53</f>
        <v>79.728902785966582</v>
      </c>
      <c r="N52">
        <f>'1250 P- 72 hpi'!T53</f>
        <v>91.140865966160163</v>
      </c>
      <c r="O52">
        <f>'1250 P- 72 hpi'!U53</f>
        <v>102.08733705486988</v>
      </c>
      <c r="Q52">
        <f>'1250 P+ 72 hpi'!T53</f>
        <v>79.126581309200645</v>
      </c>
      <c r="R52">
        <f>'1250 P+ 72 hpi'!U53</f>
        <v>87.511196781057038</v>
      </c>
      <c r="T52">
        <f>'1480 P- 72 hpi'!T53</f>
        <v>96.756720777197174</v>
      </c>
      <c r="U52">
        <f>'1480 P- 72 hpi'!U53</f>
        <v>107.59138413923112</v>
      </c>
      <c r="W52">
        <f>'NAD003 P+ 72 hpi'!T53</f>
        <v>97.739506539491316</v>
      </c>
      <c r="X52">
        <f>'NAD003 P+ 72 hpi'!U53</f>
        <v>121.0121831777536</v>
      </c>
    </row>
    <row r="53" spans="1:24" x14ac:dyDescent="0.35">
      <c r="A53">
        <v>336.81799999999998</v>
      </c>
      <c r="B53">
        <f>'1233 P- 72 hpi'!T54</f>
        <v>91.512978755428165</v>
      </c>
      <c r="C53">
        <f>'1233 P- 72 hpi'!U54</f>
        <v>100.45883071957643</v>
      </c>
      <c r="E53">
        <f>'1233 P+ 72 hpi'!T54</f>
        <v>92.667952003101561</v>
      </c>
      <c r="F53">
        <f>'1233 P+ 72 hpi'!U54</f>
        <v>101.67247273831418</v>
      </c>
      <c r="H53">
        <f>'1234 P- 72 hpi'!T54</f>
        <v>63.736646071412771</v>
      </c>
      <c r="I53">
        <f>'1234 P- 72 hpi'!U54</f>
        <v>95.352941850670462</v>
      </c>
      <c r="K53">
        <f>'1234 P+ 72 hpi'!T54</f>
        <v>64.851160690797244</v>
      </c>
      <c r="L53">
        <f>'1234 P+ 72 hpi'!U54</f>
        <v>79.653908350490013</v>
      </c>
      <c r="N53">
        <f>'1250 P- 72 hpi'!T54</f>
        <v>91.616516615846081</v>
      </c>
      <c r="O53">
        <f>'1250 P- 72 hpi'!U54</f>
        <v>101.41544582201347</v>
      </c>
      <c r="Q53">
        <f>'1250 P+ 72 hpi'!T54</f>
        <v>79.56966542940205</v>
      </c>
      <c r="R53">
        <f>'1250 P+ 72 hpi'!U54</f>
        <v>87.207934713149498</v>
      </c>
      <c r="T53">
        <f>'1480 P- 72 hpi'!T54</f>
        <v>97.263569195471163</v>
      </c>
      <c r="U53">
        <f>'1480 P- 72 hpi'!U54</f>
        <v>107.22964530073978</v>
      </c>
      <c r="W53">
        <f>'NAD003 P+ 72 hpi'!T54</f>
        <v>98.039256593222206</v>
      </c>
      <c r="X53">
        <f>'NAD003 P+ 72 hpi'!U54</f>
        <v>118.93761327822043</v>
      </c>
    </row>
    <row r="54" spans="1:24" x14ac:dyDescent="0.35">
      <c r="A54">
        <v>343.04300000000001</v>
      </c>
      <c r="B54">
        <f>'1233 P- 72 hpi'!T55</f>
        <v>92.080260991161708</v>
      </c>
      <c r="C54">
        <f>'1233 P- 72 hpi'!U55</f>
        <v>100.4879140685735</v>
      </c>
      <c r="E54">
        <f>'1233 P+ 72 hpi'!T55</f>
        <v>93.180558730118065</v>
      </c>
      <c r="F54">
        <f>'1233 P+ 72 hpi'!U55</f>
        <v>101.49198725827245</v>
      </c>
      <c r="H54">
        <f>'1234 P- 72 hpi'!T55</f>
        <v>63.899458186947903</v>
      </c>
      <c r="I54">
        <f>'1234 P- 72 hpi'!U55</f>
        <v>93.54393683811098</v>
      </c>
      <c r="K54">
        <f>'1234 P+ 72 hpi'!T55</f>
        <v>65.031634796732178</v>
      </c>
      <c r="L54">
        <f>'1234 P+ 72 hpi'!U55</f>
        <v>79.08666560730876</v>
      </c>
      <c r="N54">
        <f>'1250 P- 72 hpi'!T55</f>
        <v>92.145103311728178</v>
      </c>
      <c r="O54">
        <f>'1250 P- 72 hpi'!U55</f>
        <v>102.57635676620244</v>
      </c>
      <c r="Q54">
        <f>'1250 P+ 72 hpi'!T55</f>
        <v>79.913762145879446</v>
      </c>
      <c r="R54">
        <f>'1250 P+ 72 hpi'!U55</f>
        <v>87.223347518069005</v>
      </c>
      <c r="T54">
        <f>'1480 P- 72 hpi'!T55</f>
        <v>98.040588869198373</v>
      </c>
      <c r="U54">
        <f>'1480 P- 72 hpi'!U55</f>
        <v>107.57162022522709</v>
      </c>
      <c r="W54">
        <f>'NAD003 P+ 72 hpi'!T55</f>
        <v>98.602904864047503</v>
      </c>
      <c r="X54">
        <f>'NAD003 P+ 72 hpi'!U55</f>
        <v>119.14064344843469</v>
      </c>
    </row>
    <row r="55" spans="1:24" x14ac:dyDescent="0.35">
      <c r="A55">
        <v>349.23899999999998</v>
      </c>
      <c r="B55">
        <f>'1233 P- 72 hpi'!T56</f>
        <v>92.529440535621134</v>
      </c>
      <c r="C55">
        <f>'1233 P- 72 hpi'!U56</f>
        <v>101.57721665748032</v>
      </c>
      <c r="E55">
        <f>'1233 P+ 72 hpi'!T56</f>
        <v>93.298923570305107</v>
      </c>
      <c r="F55">
        <f>'1233 P+ 72 hpi'!U56</f>
        <v>98.360830864306223</v>
      </c>
      <c r="H55">
        <f>'1234 P- 72 hpi'!T56</f>
        <v>64.340583619348038</v>
      </c>
      <c r="I55">
        <f>'1234 P- 72 hpi'!U56</f>
        <v>95.991650068796375</v>
      </c>
      <c r="K55">
        <f>'1234 P+ 72 hpi'!T56</f>
        <v>65.15851829791788</v>
      </c>
      <c r="L55">
        <f>'1234 P+ 72 hpi'!U56</f>
        <v>77.798660056967989</v>
      </c>
      <c r="N55">
        <f>'1250 P- 72 hpi'!T56</f>
        <v>92.640905925058703</v>
      </c>
      <c r="O55">
        <f>'1250 P- 72 hpi'!U56</f>
        <v>103.91902044011984</v>
      </c>
      <c r="Q55">
        <f>'1250 P+ 72 hpi'!T56</f>
        <v>80.199041762636242</v>
      </c>
      <c r="R55">
        <f>'1250 P+ 72 hpi'!U56</f>
        <v>87.874859958619083</v>
      </c>
      <c r="T55">
        <f>'1480 P- 72 hpi'!T56</f>
        <v>98.646053888720289</v>
      </c>
      <c r="U55">
        <f>'1480 P- 72 hpi'!U56</f>
        <v>108.46445358896695</v>
      </c>
      <c r="W55">
        <f>'NAD003 P+ 72 hpi'!T56</f>
        <v>99.114601893101209</v>
      </c>
      <c r="X55">
        <f>'NAD003 P+ 72 hpi'!U56</f>
        <v>119.35287945991742</v>
      </c>
    </row>
    <row r="56" spans="1:24" x14ac:dyDescent="0.35">
      <c r="A56">
        <v>355.53699999999998</v>
      </c>
      <c r="B56">
        <f>'1233 P- 72 hpi'!T57</f>
        <v>92.936286796070604</v>
      </c>
      <c r="C56">
        <f>'1233 P- 72 hpi'!U57</f>
        <v>101.75972468521961</v>
      </c>
      <c r="E56">
        <f>'1233 P+ 72 hpi'!T57</f>
        <v>94.05085982188362</v>
      </c>
      <c r="F56">
        <f>'1233 P+ 72 hpi'!U57</f>
        <v>99.66996411119851</v>
      </c>
      <c r="H56">
        <f>'1234 P- 72 hpi'!T57</f>
        <v>64.611631173172739</v>
      </c>
      <c r="I56">
        <f>'1234 P- 72 hpi'!U57</f>
        <v>96.211336172566561</v>
      </c>
      <c r="K56">
        <f>'1234 P+ 72 hpi'!T57</f>
        <v>65.472392997044494</v>
      </c>
      <c r="L56">
        <f>'1234 P+ 72 hpi'!U57</f>
        <v>81.230693129774522</v>
      </c>
      <c r="N56">
        <f>'1250 P- 72 hpi'!T57</f>
        <v>93.006964949438213</v>
      </c>
      <c r="O56">
        <f>'1250 P- 72 hpi'!U57</f>
        <v>103.06061442334094</v>
      </c>
      <c r="Q56">
        <f>'1250 P+ 72 hpi'!T57</f>
        <v>80.496187620420756</v>
      </c>
      <c r="R56">
        <f>'1250 P+ 72 hpi'!U57</f>
        <v>87.1700655694993</v>
      </c>
      <c r="T56">
        <f>'1480 P- 72 hpi'!T57</f>
        <v>99.041071191325798</v>
      </c>
      <c r="U56">
        <f>'1480 P- 72 hpi'!U57</f>
        <v>108.22262747507524</v>
      </c>
      <c r="W56">
        <f>'NAD003 P+ 72 hpi'!T57</f>
        <v>99.943119645486604</v>
      </c>
      <c r="X56">
        <f>'NAD003 P+ 72 hpi'!U57</f>
        <v>120.66150112251216</v>
      </c>
    </row>
    <row r="57" spans="1:24" x14ac:dyDescent="0.35">
      <c r="A57">
        <v>361.666</v>
      </c>
      <c r="B57">
        <f>'1233 P- 72 hpi'!T58</f>
        <v>93.121571835083202</v>
      </c>
      <c r="C57">
        <f>'1233 P- 72 hpi'!U58</f>
        <v>101.53874174179843</v>
      </c>
      <c r="E57">
        <f>'1233 P+ 72 hpi'!T58</f>
        <v>94.378380835347883</v>
      </c>
      <c r="F57">
        <f>'1233 P+ 72 hpi'!U58</f>
        <v>99.452885777261997</v>
      </c>
      <c r="H57">
        <f>'1234 P- 72 hpi'!T58</f>
        <v>64.749762958765288</v>
      </c>
      <c r="I57">
        <f>'1234 P- 72 hpi'!U58</f>
        <v>95.883073114990154</v>
      </c>
      <c r="K57">
        <f>'1234 P+ 72 hpi'!T58</f>
        <v>65.63297705503166</v>
      </c>
      <c r="L57">
        <f>'1234 P+ 72 hpi'!U58</f>
        <v>83.658544633266786</v>
      </c>
      <c r="N57">
        <f>'1250 P- 72 hpi'!T58</f>
        <v>93.464102372039306</v>
      </c>
      <c r="O57">
        <f>'1250 P- 72 hpi'!U58</f>
        <v>104.18167388852976</v>
      </c>
      <c r="Q57">
        <f>'1250 P+ 72 hpi'!T58</f>
        <v>80.839477102261668</v>
      </c>
      <c r="R57">
        <f>'1250 P+ 72 hpi'!U58</f>
        <v>88.474378055993824</v>
      </c>
      <c r="T57">
        <f>'1480 P- 72 hpi'!T58</f>
        <v>99.431017595230671</v>
      </c>
      <c r="U57">
        <f>'1480 P- 72 hpi'!U58</f>
        <v>109.57919008900073</v>
      </c>
      <c r="W57">
        <f>'NAD003 P+ 72 hpi'!T58</f>
        <v>100.09057876123849</v>
      </c>
      <c r="X57">
        <f>'NAD003 P+ 72 hpi'!U58</f>
        <v>120.32603184851733</v>
      </c>
    </row>
    <row r="58" spans="1:24" x14ac:dyDescent="0.35">
      <c r="A58">
        <v>367.87200000000001</v>
      </c>
      <c r="B58">
        <f>'1233 P- 72 hpi'!T59</f>
        <v>93.333369752626695</v>
      </c>
      <c r="C58">
        <f>'1233 P- 72 hpi'!U59</f>
        <v>101.23380723078606</v>
      </c>
      <c r="E58">
        <f>'1233 P+ 72 hpi'!T59</f>
        <v>94.35312146013473</v>
      </c>
      <c r="F58">
        <f>'1233 P+ 72 hpi'!U59</f>
        <v>98.653636045233895</v>
      </c>
      <c r="H58">
        <f>'1234 P- 72 hpi'!T59</f>
        <v>64.966924149165649</v>
      </c>
      <c r="I58">
        <f>'1234 P- 72 hpi'!U59</f>
        <v>95.183058087664037</v>
      </c>
      <c r="K58">
        <f>'1234 P+ 72 hpi'!T59</f>
        <v>65.890796435354119</v>
      </c>
      <c r="L58">
        <f>'1234 P+ 72 hpi'!U59</f>
        <v>84.04002202075128</v>
      </c>
      <c r="N58">
        <f>'1250 P- 72 hpi'!T59</f>
        <v>93.691461870367732</v>
      </c>
      <c r="O58">
        <f>'1250 P- 72 hpi'!U59</f>
        <v>105.00094544654684</v>
      </c>
      <c r="Q58">
        <f>'1250 P+ 72 hpi'!T59</f>
        <v>80.962370630243413</v>
      </c>
      <c r="R58">
        <f>'1250 P+ 72 hpi'!U59</f>
        <v>89.295398422457367</v>
      </c>
      <c r="T58">
        <f>'1480 P- 72 hpi'!T59</f>
        <v>99.905275140478054</v>
      </c>
      <c r="U58">
        <f>'1480 P- 72 hpi'!U59</f>
        <v>110.47305050578667</v>
      </c>
      <c r="W58">
        <f>'NAD003 P+ 72 hpi'!T59</f>
        <v>100.592595248674</v>
      </c>
      <c r="X58">
        <f>'NAD003 P+ 72 hpi'!U59</f>
        <v>121.6443096555747</v>
      </c>
    </row>
    <row r="59" spans="1:24" x14ac:dyDescent="0.35">
      <c r="A59">
        <v>374.14400000000001</v>
      </c>
      <c r="B59">
        <f>'1233 P- 72 hpi'!T60</f>
        <v>93.615779708016063</v>
      </c>
      <c r="C59">
        <f>'1233 P- 72 hpi'!U60</f>
        <v>101.76959579703066</v>
      </c>
      <c r="E59">
        <f>'1233 P+ 72 hpi'!T60</f>
        <v>94.572034254311802</v>
      </c>
      <c r="F59">
        <f>'1233 P+ 72 hpi'!U60</f>
        <v>99.214406125270443</v>
      </c>
      <c r="H59">
        <f>'1234 P- 72 hpi'!T60</f>
        <v>65.144938356154128</v>
      </c>
      <c r="I59">
        <f>'1234 P- 72 hpi'!U60</f>
        <v>95.802695765177262</v>
      </c>
      <c r="K59">
        <f>'1234 P+ 72 hpi'!T60</f>
        <v>65.711138540955744</v>
      </c>
      <c r="L59">
        <f>'1234 P+ 72 hpi'!U60</f>
        <v>81.772065542415859</v>
      </c>
      <c r="N59">
        <f>'1250 P- 72 hpi'!T60</f>
        <v>93.896065095982976</v>
      </c>
      <c r="O59">
        <f>'1250 P- 72 hpi'!U60</f>
        <v>103.70807985612424</v>
      </c>
      <c r="Q59">
        <f>'1250 P+ 72 hpi'!T60</f>
        <v>81.437739689499324</v>
      </c>
      <c r="R59">
        <f>'1250 P+ 72 hpi'!U60</f>
        <v>90.377295027306999</v>
      </c>
      <c r="T59">
        <f>'1480 P- 72 hpi'!T60</f>
        <v>100.0890480250644</v>
      </c>
      <c r="U59">
        <f>'1480 P- 72 hpi'!U60</f>
        <v>111.04664942004115</v>
      </c>
      <c r="W59">
        <f>'NAD003 P+ 72 hpi'!T60</f>
        <v>101.2350846429442</v>
      </c>
      <c r="X59">
        <f>'NAD003 P+ 72 hpi'!U60</f>
        <v>123.2671360156849</v>
      </c>
    </row>
    <row r="60" spans="1:24" x14ac:dyDescent="0.35">
      <c r="A60">
        <v>380.34899999999999</v>
      </c>
      <c r="B60">
        <f>'1233 P- 72 hpi'!T61</f>
        <v>93.697254244909189</v>
      </c>
      <c r="C60">
        <f>'1233 P- 72 hpi'!U61</f>
        <v>100.51046557332108</v>
      </c>
      <c r="E60">
        <f>'1233 P+ 72 hpi'!T61</f>
        <v>95.042157377202599</v>
      </c>
      <c r="F60">
        <f>'1233 P+ 72 hpi'!U61</f>
        <v>100.37014987923416</v>
      </c>
      <c r="H60">
        <f>'1234 P- 72 hpi'!T61</f>
        <v>65.310407693792229</v>
      </c>
      <c r="I60">
        <f>'1234 P- 72 hpi'!U61</f>
        <v>95.933361857644059</v>
      </c>
      <c r="K60">
        <f>'1234 P+ 72 hpi'!T61</f>
        <v>66.011151049109202</v>
      </c>
      <c r="L60">
        <f>'1234 P+ 72 hpi'!U61</f>
        <v>82.777914297945273</v>
      </c>
      <c r="N60">
        <f>'1250 P- 72 hpi'!T61</f>
        <v>94.194762557794391</v>
      </c>
      <c r="O60">
        <f>'1250 P- 72 hpi'!U61</f>
        <v>104.85729387026788</v>
      </c>
      <c r="Q60">
        <f>'1250 P+ 72 hpi'!T61</f>
        <v>81.542549124362296</v>
      </c>
      <c r="R60">
        <f>'1250 P+ 72 hpi'!U61</f>
        <v>89.458312635418309</v>
      </c>
      <c r="T60">
        <f>'1480 P- 72 hpi'!T61</f>
        <v>100.3482107804211</v>
      </c>
      <c r="U60">
        <f>'1480 P- 72 hpi'!U61</f>
        <v>110.6484193535173</v>
      </c>
      <c r="W60">
        <f>'NAD003 P+ 72 hpi'!T61</f>
        <v>102.01449224020556</v>
      </c>
      <c r="X60">
        <f>'NAD003 P+ 72 hpi'!U61</f>
        <v>125.07456735702294</v>
      </c>
    </row>
    <row r="61" spans="1:24" x14ac:dyDescent="0.35">
      <c r="A61">
        <v>386.57</v>
      </c>
      <c r="B61">
        <f>'1233 P- 72 hpi'!T62</f>
        <v>93.906409117946339</v>
      </c>
      <c r="C61">
        <f>'1233 P- 72 hpi'!U62</f>
        <v>98.43011567940745</v>
      </c>
      <c r="E61">
        <f>'1233 P+ 72 hpi'!T62</f>
        <v>95.324640824251816</v>
      </c>
      <c r="F61">
        <f>'1233 P+ 72 hpi'!U62</f>
        <v>99.91383590378355</v>
      </c>
      <c r="H61">
        <f>'1234 P- 72 hpi'!T62</f>
        <v>65.513611873447317</v>
      </c>
      <c r="I61">
        <f>'1234 P- 72 hpi'!U62</f>
        <v>95.454626028636028</v>
      </c>
      <c r="K61">
        <f>'1234 P+ 72 hpi'!T62</f>
        <v>66.065113135690382</v>
      </c>
      <c r="L61">
        <f>'1234 P+ 72 hpi'!U62</f>
        <v>82.795652754055595</v>
      </c>
      <c r="N61">
        <f>'1250 P- 72 hpi'!T62</f>
        <v>94.433110026496706</v>
      </c>
      <c r="O61">
        <f>'1250 P- 72 hpi'!U62</f>
        <v>104.69526847042754</v>
      </c>
      <c r="Q61">
        <f>'1250 P+ 72 hpi'!T62</f>
        <v>81.773248226159467</v>
      </c>
      <c r="R61">
        <f>'1250 P+ 72 hpi'!U62</f>
        <v>89.486427864674681</v>
      </c>
      <c r="T61">
        <f>'1480 P- 72 hpi'!T62</f>
        <v>100.76555726947559</v>
      </c>
      <c r="U61">
        <f>'1480 P- 72 hpi'!U62</f>
        <v>109.97632552851506</v>
      </c>
      <c r="W61">
        <f>'NAD003 P+ 72 hpi'!T62</f>
        <v>101.9475084227946</v>
      </c>
      <c r="X61">
        <f>'NAD003 P+ 72 hpi'!U62</f>
        <v>122.82427763350304</v>
      </c>
    </row>
    <row r="62" spans="1:24" x14ac:dyDescent="0.35">
      <c r="A62">
        <v>392.74099999999999</v>
      </c>
      <c r="B62">
        <f>'1233 P- 72 hpi'!T63</f>
        <v>94.250302223267127</v>
      </c>
      <c r="C62">
        <f>'1233 P- 72 hpi'!U63</f>
        <v>98.621312201616391</v>
      </c>
      <c r="E62">
        <f>'1233 P+ 72 hpi'!T63</f>
        <v>95.632021031583179</v>
      </c>
      <c r="F62">
        <f>'1233 P+ 72 hpi'!U63</f>
        <v>99.531812529524615</v>
      </c>
      <c r="H62">
        <f>'1234 P- 72 hpi'!T63</f>
        <v>65.599047052097077</v>
      </c>
      <c r="I62">
        <f>'1234 P- 72 hpi'!U63</f>
        <v>96.08589845852724</v>
      </c>
      <c r="K62">
        <f>'1234 P+ 72 hpi'!T63</f>
        <v>66.315021752662915</v>
      </c>
      <c r="L62">
        <f>'1234 P+ 72 hpi'!U63</f>
        <v>83.062825133874185</v>
      </c>
      <c r="N62">
        <f>'1250 P- 72 hpi'!T63</f>
        <v>94.899728474550628</v>
      </c>
      <c r="O62">
        <f>'1250 P- 72 hpi'!U63</f>
        <v>105.05528900500762</v>
      </c>
      <c r="Q62">
        <f>'1250 P+ 72 hpi'!T63</f>
        <v>82.158124848700979</v>
      </c>
      <c r="R62">
        <f>'1250 P+ 72 hpi'!U63</f>
        <v>89.887059652596264</v>
      </c>
      <c r="T62">
        <f>'1480 P- 72 hpi'!T63</f>
        <v>101.16087464470168</v>
      </c>
      <c r="U62">
        <f>'1480 P- 72 hpi'!U63</f>
        <v>110.60701833819678</v>
      </c>
      <c r="W62">
        <f>'NAD003 P+ 72 hpi'!T63</f>
        <v>102.59188187147291</v>
      </c>
      <c r="X62">
        <f>'NAD003 P+ 72 hpi'!U63</f>
        <v>123.5941764509392</v>
      </c>
    </row>
    <row r="63" spans="1:24" x14ac:dyDescent="0.35">
      <c r="A63">
        <v>399.01299999999998</v>
      </c>
      <c r="B63">
        <f>'1233 P- 72 hpi'!T64</f>
        <v>94.540484011220357</v>
      </c>
      <c r="C63">
        <f>'1233 P- 72 hpi'!U64</f>
        <v>98.526690858678577</v>
      </c>
      <c r="E63">
        <f>'1233 P+ 72 hpi'!T64</f>
        <v>95.993890161481602</v>
      </c>
      <c r="F63">
        <f>'1233 P+ 72 hpi'!U64</f>
        <v>99.404903074281322</v>
      </c>
      <c r="H63">
        <f>'1234 P- 72 hpi'!T64</f>
        <v>65.927061757346664</v>
      </c>
      <c r="I63">
        <f>'1234 P- 72 hpi'!U64</f>
        <v>98.379602028263378</v>
      </c>
      <c r="K63">
        <f>'1234 P+ 72 hpi'!T64</f>
        <v>66.517897096145234</v>
      </c>
      <c r="L63">
        <f>'1234 P+ 72 hpi'!U64</f>
        <v>85.430520448646774</v>
      </c>
      <c r="N63">
        <f>'1250 P- 72 hpi'!T64</f>
        <v>95.192437643537289</v>
      </c>
      <c r="O63">
        <f>'1250 P- 72 hpi'!U64</f>
        <v>105.18191359818358</v>
      </c>
      <c r="Q63">
        <f>'1250 P+ 72 hpi'!T64</f>
        <v>82.307272505694783</v>
      </c>
      <c r="R63">
        <f>'1250 P+ 72 hpi'!U64</f>
        <v>89.736540619823728</v>
      </c>
      <c r="T63">
        <f>'1480 P- 72 hpi'!T64</f>
        <v>101.52170178530361</v>
      </c>
      <c r="U63">
        <f>'1480 P- 72 hpi'!U64</f>
        <v>110.08748731992523</v>
      </c>
      <c r="W63">
        <f>'NAD003 P+ 72 hpi'!T64</f>
        <v>103.48283681684346</v>
      </c>
      <c r="X63">
        <f>'NAD003 P+ 72 hpi'!U64</f>
        <v>125.44159397698093</v>
      </c>
    </row>
    <row r="64" spans="1:24" x14ac:dyDescent="0.35">
      <c r="A64">
        <v>405.089</v>
      </c>
      <c r="B64">
        <f>'1233 P- 72 hpi'!T65</f>
        <v>94.746889323183282</v>
      </c>
      <c r="C64">
        <f>'1233 P- 72 hpi'!U65</f>
        <v>98.565729838650455</v>
      </c>
      <c r="E64">
        <f>'1233 P+ 72 hpi'!T65</f>
        <v>96.172194491960042</v>
      </c>
      <c r="F64">
        <f>'1233 P+ 72 hpi'!U65</f>
        <v>97.725256897620127</v>
      </c>
      <c r="H64">
        <f>'1234 P- 72 hpi'!T65</f>
        <v>66.077611021629892</v>
      </c>
      <c r="I64">
        <f>'1234 P- 72 hpi'!U65</f>
        <v>98.371925958121437</v>
      </c>
      <c r="K64">
        <f>'1234 P+ 72 hpi'!T65</f>
        <v>66.492556262578233</v>
      </c>
      <c r="L64">
        <f>'1234 P+ 72 hpi'!U65</f>
        <v>83.562258840500931</v>
      </c>
      <c r="N64">
        <f>'1250 P- 72 hpi'!T65</f>
        <v>95.482830498372138</v>
      </c>
      <c r="O64">
        <f>'1250 P- 72 hpi'!U65</f>
        <v>104.93485063368219</v>
      </c>
      <c r="Q64">
        <f>'1250 P+ 72 hpi'!T65</f>
        <v>82.44056742694363</v>
      </c>
      <c r="R64">
        <f>'1250 P+ 72 hpi'!U65</f>
        <v>89.460108880502816</v>
      </c>
      <c r="T64">
        <f>'1480 P- 72 hpi'!T65</f>
        <v>101.95288216700781</v>
      </c>
      <c r="U64">
        <f>'1480 P- 72 hpi'!U65</f>
        <v>111.47249968281812</v>
      </c>
      <c r="W64">
        <f>'NAD003 P+ 72 hpi'!T65</f>
        <v>104.10755590099176</v>
      </c>
      <c r="X64">
        <f>'NAD003 P+ 72 hpi'!U65</f>
        <v>127.06376900459483</v>
      </c>
    </row>
    <row r="65" spans="1:24" x14ac:dyDescent="0.35">
      <c r="A65">
        <v>411.38600000000002</v>
      </c>
      <c r="B65">
        <f>'1233 P- 72 hpi'!T66</f>
        <v>95.139776093187223</v>
      </c>
      <c r="C65">
        <f>'1233 P- 72 hpi'!U66</f>
        <v>99.818181904094828</v>
      </c>
      <c r="E65">
        <f>'1233 P+ 72 hpi'!T66</f>
        <v>96.441545742360773</v>
      </c>
      <c r="F65">
        <f>'1233 P+ 72 hpi'!U66</f>
        <v>98.63397248932985</v>
      </c>
      <c r="H65">
        <f>'1234 P- 72 hpi'!T66</f>
        <v>66.300424418654586</v>
      </c>
      <c r="I65">
        <f>'1234 P- 72 hpi'!U66</f>
        <v>98.516922600305051</v>
      </c>
      <c r="K65">
        <f>'1234 P+ 72 hpi'!T66</f>
        <v>66.898668760272955</v>
      </c>
      <c r="L65">
        <f>'1234 P+ 72 hpi'!U66</f>
        <v>87.765455264849606</v>
      </c>
      <c r="N65">
        <f>'1250 P- 72 hpi'!T66</f>
        <v>95.823906695627443</v>
      </c>
      <c r="O65">
        <f>'1250 P- 72 hpi'!U66</f>
        <v>106.10003789165553</v>
      </c>
      <c r="Q65">
        <f>'1250 P+ 72 hpi'!T66</f>
        <v>82.859755457613929</v>
      </c>
      <c r="R65">
        <f>'1250 P+ 72 hpi'!U66</f>
        <v>91.415825373521074</v>
      </c>
      <c r="T65">
        <f>'1480 P- 72 hpi'!T66</f>
        <v>102.40067050163448</v>
      </c>
      <c r="U65">
        <f>'1480 P- 72 hpi'!U66</f>
        <v>112.60131796093657</v>
      </c>
      <c r="W65">
        <f>'NAD003 P+ 72 hpi'!T66</f>
        <v>104.36450016562947</v>
      </c>
      <c r="X65">
        <f>'NAD003 P+ 72 hpi'!U66</f>
        <v>126.35078962235586</v>
      </c>
    </row>
    <row r="66" spans="1:24" x14ac:dyDescent="0.35">
      <c r="A66">
        <v>417.61700000000002</v>
      </c>
      <c r="B66">
        <f>'1233 P- 72 hpi'!T67</f>
        <v>95.105342816339927</v>
      </c>
      <c r="C66">
        <f>'1233 P- 72 hpi'!U67</f>
        <v>98.899270445294633</v>
      </c>
      <c r="E66">
        <f>'1233 P+ 72 hpi'!T67</f>
        <v>96.710512230412988</v>
      </c>
      <c r="F66">
        <f>'1233 P+ 72 hpi'!U67</f>
        <v>99.974064769035905</v>
      </c>
      <c r="H66">
        <f>'1234 P- 72 hpi'!T67</f>
        <v>66.350163236636817</v>
      </c>
      <c r="I66">
        <f>'1234 P- 72 hpi'!U67</f>
        <v>96.771279298161133</v>
      </c>
      <c r="K66">
        <f>'1234 P+ 72 hpi'!T67</f>
        <v>66.765895709295307</v>
      </c>
      <c r="L66">
        <f>'1234 P+ 72 hpi'!U67</f>
        <v>83.41818616507517</v>
      </c>
      <c r="N66">
        <f>'1250 P- 72 hpi'!T67</f>
        <v>96.034077821835993</v>
      </c>
      <c r="O66">
        <f>'1250 P- 72 hpi'!U67</f>
        <v>106.34479205364251</v>
      </c>
      <c r="Q66">
        <f>'1250 P+ 72 hpi'!T67</f>
        <v>82.970960802858315</v>
      </c>
      <c r="R66">
        <f>'1250 P+ 72 hpi'!U67</f>
        <v>91.503703155228862</v>
      </c>
      <c r="T66">
        <f>'1480 P- 72 hpi'!T67</f>
        <v>102.76923176083261</v>
      </c>
      <c r="U66">
        <f>'1480 P- 72 hpi'!U67</f>
        <v>112.9677312508055</v>
      </c>
      <c r="W66">
        <f>'NAD003 P+ 72 hpi'!T67</f>
        <v>104.80133609001777</v>
      </c>
      <c r="X66">
        <f>'NAD003 P+ 72 hpi'!U67</f>
        <v>127.53053200084707</v>
      </c>
    </row>
    <row r="67" spans="1:24" x14ac:dyDescent="0.35">
      <c r="A67">
        <v>423.72800000000001</v>
      </c>
      <c r="B67">
        <f>'1233 P- 72 hpi'!T68</f>
        <v>95.291105923444889</v>
      </c>
      <c r="C67">
        <f>'1233 P- 72 hpi'!U68</f>
        <v>98.722740631015384</v>
      </c>
      <c r="E67">
        <f>'1233 P+ 72 hpi'!T68</f>
        <v>97.07272243612428</v>
      </c>
      <c r="F67">
        <f>'1233 P+ 72 hpi'!U68</f>
        <v>101.43222769577696</v>
      </c>
      <c r="H67">
        <f>'1234 P- 72 hpi'!T68</f>
        <v>66.417402257965435</v>
      </c>
      <c r="I67">
        <f>'1234 P- 72 hpi'!U68</f>
        <v>96.76153966040583</v>
      </c>
      <c r="K67">
        <f>'1234 P+ 72 hpi'!T68</f>
        <v>67.173107937887494</v>
      </c>
      <c r="L67">
        <f>'1234 P+ 72 hpi'!U68</f>
        <v>87.725395037747589</v>
      </c>
      <c r="N67">
        <f>'1250 P- 72 hpi'!T68</f>
        <v>96.224718218102495</v>
      </c>
      <c r="O67">
        <f>'1250 P- 72 hpi'!U68</f>
        <v>105.94868355417607</v>
      </c>
      <c r="Q67">
        <f>'1250 P+ 72 hpi'!T68</f>
        <v>83.138701686500212</v>
      </c>
      <c r="R67">
        <f>'1250 P+ 72 hpi'!U68</f>
        <v>92.234886432008025</v>
      </c>
      <c r="T67">
        <f>'1480 P- 72 hpi'!T68</f>
        <v>102.95499161858238</v>
      </c>
      <c r="U67">
        <f>'1480 P- 72 hpi'!U68</f>
        <v>114.01960950494799</v>
      </c>
      <c r="W67">
        <f>'NAD003 P+ 72 hpi'!T68</f>
        <v>105.03755801418212</v>
      </c>
      <c r="X67">
        <f>'NAD003 P+ 72 hpi'!U68</f>
        <v>129.1231054000998</v>
      </c>
    </row>
    <row r="68" spans="1:24" x14ac:dyDescent="0.35">
      <c r="A68">
        <v>429.99799999999999</v>
      </c>
      <c r="B68">
        <f>'1233 P- 72 hpi'!T69</f>
        <v>95.386106659370213</v>
      </c>
      <c r="C68">
        <f>'1233 P- 72 hpi'!U69</f>
        <v>99.623377856859705</v>
      </c>
      <c r="E68">
        <f>'1233 P+ 72 hpi'!T69</f>
        <v>97.328729575334506</v>
      </c>
      <c r="F68">
        <f>'1233 P+ 72 hpi'!U69</f>
        <v>102.03363150597218</v>
      </c>
      <c r="H68">
        <f>'1234 P- 72 hpi'!T69</f>
        <v>66.558538237666269</v>
      </c>
      <c r="I68">
        <f>'1234 P- 72 hpi'!U69</f>
        <v>97.489725257528221</v>
      </c>
      <c r="K68">
        <f>'1234 P+ 72 hpi'!T69</f>
        <v>67.346528761497666</v>
      </c>
      <c r="L68">
        <f>'1234 P+ 72 hpi'!U69</f>
        <v>88.109603310985534</v>
      </c>
      <c r="N68">
        <f>'1250 P- 72 hpi'!T69</f>
        <v>96.441845122180595</v>
      </c>
      <c r="O68">
        <f>'1250 P- 72 hpi'!U69</f>
        <v>105.93649629658493</v>
      </c>
      <c r="Q68">
        <f>'1250 P+ 72 hpi'!T69</f>
        <v>83.384756678758293</v>
      </c>
      <c r="R68">
        <f>'1250 P+ 72 hpi'!U69</f>
        <v>91.170141725030021</v>
      </c>
      <c r="T68">
        <f>'1480 P- 72 hpi'!T69</f>
        <v>103.11243151048818</v>
      </c>
      <c r="U68">
        <f>'1480 P- 72 hpi'!U69</f>
        <v>114.2451267477674</v>
      </c>
      <c r="W68">
        <f>'NAD003 P+ 72 hpi'!T69</f>
        <v>105.42903043826047</v>
      </c>
      <c r="X68">
        <f>'NAD003 P+ 72 hpi'!U69</f>
        <v>129.01711046895323</v>
      </c>
    </row>
    <row r="69" spans="1:24" x14ac:dyDescent="0.35">
      <c r="A69">
        <v>436.13900000000001</v>
      </c>
      <c r="B69">
        <f>'1233 P- 72 hpi'!T70</f>
        <v>95.700194736901565</v>
      </c>
      <c r="C69">
        <f>'1233 P- 72 hpi'!U70</f>
        <v>100.1096646421416</v>
      </c>
      <c r="E69">
        <f>'1233 P+ 72 hpi'!T70</f>
        <v>97.451309503466774</v>
      </c>
      <c r="F69">
        <f>'1233 P+ 72 hpi'!U70</f>
        <v>100.8789283483879</v>
      </c>
      <c r="H69">
        <f>'1234 P- 72 hpi'!T70</f>
        <v>66.660808441096421</v>
      </c>
      <c r="I69">
        <f>'1234 P- 72 hpi'!U70</f>
        <v>97.05264458116784</v>
      </c>
      <c r="K69">
        <f>'1234 P+ 72 hpi'!T70</f>
        <v>67.416936798846933</v>
      </c>
      <c r="L69">
        <f>'1234 P+ 72 hpi'!U70</f>
        <v>87.257307905270252</v>
      </c>
      <c r="N69">
        <f>'1250 P- 72 hpi'!T70</f>
        <v>96.287457773225171</v>
      </c>
      <c r="O69">
        <f>'1250 P- 72 hpi'!U70</f>
        <v>104.34837980760101</v>
      </c>
      <c r="Q69">
        <f>'1250 P+ 72 hpi'!T70</f>
        <v>83.543279094635722</v>
      </c>
      <c r="R69">
        <f>'1250 P+ 72 hpi'!U70</f>
        <v>91.230856222687166</v>
      </c>
      <c r="T69">
        <f>'1480 P- 72 hpi'!T70</f>
        <v>103.49312367231839</v>
      </c>
      <c r="U69">
        <f>'1480 P- 72 hpi'!U70</f>
        <v>113.99413079608642</v>
      </c>
      <c r="W69">
        <f>'NAD003 P+ 72 hpi'!T70</f>
        <v>105.37149552216297</v>
      </c>
      <c r="X69">
        <f>'NAD003 P+ 72 hpi'!U70</f>
        <v>127.93740672827153</v>
      </c>
    </row>
    <row r="70" spans="1:24" x14ac:dyDescent="0.35">
      <c r="A70">
        <v>449.34300000000002</v>
      </c>
      <c r="B70">
        <f>'1233 P- 72 hpi'!T71</f>
        <v>0.13067853350714201</v>
      </c>
      <c r="C70">
        <f>'1233 P- 72 hpi'!U71</f>
        <v>13.675051136495973</v>
      </c>
      <c r="E70">
        <f>'1233 P+ 72 hpi'!T71</f>
        <v>0.17710097591168267</v>
      </c>
      <c r="F70">
        <f>'1233 P+ 72 hpi'!U71</f>
        <v>12.706640119191352</v>
      </c>
      <c r="H70">
        <f>'1234 P- 72 hpi'!T71</f>
        <v>1.5281531216421922</v>
      </c>
      <c r="I70">
        <f>'1234 P- 72 hpi'!U71</f>
        <v>30.138111135929282</v>
      </c>
      <c r="K70">
        <f>'1234 P+ 72 hpi'!T71</f>
        <v>1.5754432654515509</v>
      </c>
      <c r="L70">
        <f>'1234 P+ 72 hpi'!U71</f>
        <v>32.9854519188995</v>
      </c>
      <c r="N70">
        <f>'1250 P- 72 hpi'!T71</f>
        <v>0.11448939580051166</v>
      </c>
      <c r="O70">
        <f>'1250 P- 72 hpi'!U71</f>
        <v>12.76880373336482</v>
      </c>
      <c r="Q70">
        <f>'1250 P+ 72 hpi'!T71</f>
        <v>0.18346129483277346</v>
      </c>
      <c r="R70">
        <f>'1250 P+ 72 hpi'!U71</f>
        <v>13.624404889530084</v>
      </c>
      <c r="T70">
        <f>'1480 P- 72 hpi'!T71</f>
        <v>5.6904415546554531E-2</v>
      </c>
      <c r="U70">
        <f>'1480 P- 72 hpi'!U71</f>
        <v>12.095920012709655</v>
      </c>
      <c r="W70">
        <f>'NAD003 P+ 72 hpi'!T71</f>
        <v>0.19860470836643968</v>
      </c>
      <c r="X70">
        <f>'NAD003 P+ 72 hpi'!U71</f>
        <v>11.913241716572387</v>
      </c>
    </row>
    <row r="71" spans="1:24" x14ac:dyDescent="0.35">
      <c r="A71">
        <v>455.57600000000002</v>
      </c>
      <c r="B71">
        <f>'1233 P- 72 hpi'!T72</f>
        <v>0.13062547130339031</v>
      </c>
      <c r="C71">
        <f>'1233 P- 72 hpi'!U72</f>
        <v>13.708895771827196</v>
      </c>
      <c r="E71">
        <f>'1233 P+ 72 hpi'!T72</f>
        <v>0.17836236060601141</v>
      </c>
      <c r="F71">
        <f>'1233 P+ 72 hpi'!U72</f>
        <v>12.751907006007411</v>
      </c>
      <c r="H71">
        <f>'1234 P- 72 hpi'!T72</f>
        <v>1.5020273371819781</v>
      </c>
      <c r="I71">
        <f>'1234 P- 72 hpi'!U72</f>
        <v>29.860155107816485</v>
      </c>
      <c r="K71">
        <f>'1234 P+ 72 hpi'!T72</f>
        <v>1.5496568795786643</v>
      </c>
      <c r="L71">
        <f>'1234 P+ 72 hpi'!U72</f>
        <v>32.753492335429762</v>
      </c>
      <c r="N71">
        <f>'1250 P- 72 hpi'!T72</f>
        <v>0.11495337914482173</v>
      </c>
      <c r="O71">
        <f>'1250 P- 72 hpi'!U72</f>
        <v>12.815273656678116</v>
      </c>
      <c r="Q71">
        <f>'1250 P+ 72 hpi'!T72</f>
        <v>0.18619064983700936</v>
      </c>
      <c r="R71">
        <f>'1250 P+ 72 hpi'!U72</f>
        <v>13.70897450578342</v>
      </c>
      <c r="T71">
        <f>'1480 P- 72 hpi'!T72</f>
        <v>5.8126013644858116E-2</v>
      </c>
      <c r="U71">
        <f>'1480 P- 72 hpi'!U72</f>
        <v>12.120886173473187</v>
      </c>
      <c r="W71">
        <f>'NAD003 P+ 72 hpi'!T72</f>
        <v>0.19985196162094571</v>
      </c>
      <c r="X71">
        <f>'NAD003 P+ 72 hpi'!U72</f>
        <v>11.947824897047218</v>
      </c>
    </row>
    <row r="72" spans="1:24" x14ac:dyDescent="0.35">
      <c r="A72" s="1">
        <v>461.834</v>
      </c>
      <c r="B72" s="1">
        <f>'1233 P- 72 hpi'!T73</f>
        <v>0.12908224578113944</v>
      </c>
      <c r="C72" s="1">
        <f>'1233 P- 72 hpi'!U73</f>
        <v>13.667380663405565</v>
      </c>
      <c r="D72" s="1"/>
      <c r="E72" s="1">
        <f>'1233 P+ 72 hpi'!T73</f>
        <v>0.17795145357327841</v>
      </c>
      <c r="F72" s="1">
        <f>'1233 P+ 72 hpi'!U73</f>
        <v>12.733759530990593</v>
      </c>
      <c r="G72" s="1"/>
      <c r="H72" s="1">
        <f>'1234 P- 72 hpi'!T73</f>
        <v>1.4676682647108121</v>
      </c>
      <c r="I72" s="1">
        <f>'1234 P- 72 hpi'!U73</f>
        <v>29.499610131771615</v>
      </c>
      <c r="J72" s="1"/>
      <c r="K72" s="1">
        <f>'1234 P+ 72 hpi'!T73</f>
        <v>1.5167797387685518</v>
      </c>
      <c r="L72" s="1">
        <f>'1234 P+ 72 hpi'!U73</f>
        <v>32.502605557345277</v>
      </c>
      <c r="M72" s="1"/>
      <c r="N72" s="1">
        <f>'1250 P- 72 hpi'!T73</f>
        <v>0.11403513182933821</v>
      </c>
      <c r="O72" s="1">
        <f>'1250 P- 72 hpi'!U73</f>
        <v>12.799672969836593</v>
      </c>
      <c r="P72" s="1"/>
      <c r="Q72" s="1">
        <f>'1250 P+ 72 hpi'!T73</f>
        <v>0.18501417214641561</v>
      </c>
      <c r="R72" s="1">
        <f>'1250 P+ 72 hpi'!U73</f>
        <v>13.650884122923109</v>
      </c>
      <c r="S72" s="1"/>
      <c r="T72" s="1">
        <f>'1480 P- 72 hpi'!T73</f>
        <v>5.6577072230171777E-2</v>
      </c>
      <c r="U72" s="1">
        <f>'1480 P- 72 hpi'!U73</f>
        <v>12.07296815827643</v>
      </c>
      <c r="V72" s="1"/>
      <c r="W72" s="1">
        <f>'NAD003 P+ 72 hpi'!T73</f>
        <v>0.19873773953212817</v>
      </c>
      <c r="X72" s="1">
        <f>'NAD003 P+ 72 hpi'!U73</f>
        <v>11.913926712392808</v>
      </c>
    </row>
    <row r="73" spans="1:24" s="1" customFormat="1" x14ac:dyDescent="0.35">
      <c r="A73">
        <v>468.06400000000002</v>
      </c>
      <c r="B73">
        <f>'1233 P- 72 hpi'!T74</f>
        <v>0.12676280821169841</v>
      </c>
      <c r="C73">
        <f>'1233 P- 72 hpi'!U74</f>
        <v>13.634736873456049</v>
      </c>
      <c r="D73"/>
      <c r="E73">
        <f>'1233 P+ 72 hpi'!T74</f>
        <v>0.17721426809866436</v>
      </c>
      <c r="F73">
        <f>'1233 P+ 72 hpi'!U74</f>
        <v>12.720904851443821</v>
      </c>
      <c r="G73"/>
      <c r="H73">
        <f>'1234 P- 72 hpi'!T74</f>
        <v>1.4363038342911805</v>
      </c>
      <c r="I73">
        <f>'1234 P- 72 hpi'!U74</f>
        <v>29.183463734601048</v>
      </c>
      <c r="J73"/>
      <c r="K73">
        <f>'1234 P+ 72 hpi'!T74</f>
        <v>1.4846818275645002</v>
      </c>
      <c r="L73">
        <f>'1234 P+ 72 hpi'!U74</f>
        <v>32.307311769321636</v>
      </c>
      <c r="M73"/>
      <c r="N73">
        <f>'1250 P- 72 hpi'!T74</f>
        <v>0.11306407085875179</v>
      </c>
      <c r="O73">
        <f>'1250 P- 72 hpi'!U74</f>
        <v>12.784064390339344</v>
      </c>
      <c r="P73"/>
      <c r="Q73">
        <f>'1250 P+ 72 hpi'!T74</f>
        <v>0.18458235414410723</v>
      </c>
      <c r="R73">
        <f>'1250 P+ 72 hpi'!U74</f>
        <v>13.633426393203663</v>
      </c>
      <c r="S73"/>
      <c r="T73">
        <f>'1480 P- 72 hpi'!T74</f>
        <v>5.402477836965866E-2</v>
      </c>
      <c r="U73">
        <f>'1480 P- 72 hpi'!U74</f>
        <v>12.02288890728588</v>
      </c>
      <c r="V73"/>
      <c r="W73">
        <f>'NAD003 P+ 72 hpi'!T74</f>
        <v>0.19719011023139668</v>
      </c>
      <c r="X73">
        <f>'NAD003 P+ 72 hpi'!U74</f>
        <v>11.888812920962927</v>
      </c>
    </row>
    <row r="74" spans="1:24" x14ac:dyDescent="0.35">
      <c r="A74">
        <v>474.19400000000002</v>
      </c>
      <c r="B74">
        <f>'1233 P- 72 hpi'!T75</f>
        <v>0.12504684963649212</v>
      </c>
      <c r="C74">
        <f>'1233 P- 72 hpi'!U75</f>
        <v>13.619006574323988</v>
      </c>
      <c r="E74">
        <f>'1233 P+ 72 hpi'!T75</f>
        <v>0.17559377264757278</v>
      </c>
      <c r="F74">
        <f>'1233 P+ 72 hpi'!U75</f>
        <v>12.70195793220549</v>
      </c>
      <c r="H74">
        <f>'1234 P- 72 hpi'!T75</f>
        <v>1.4081420431405343</v>
      </c>
      <c r="I74">
        <f>'1234 P- 72 hpi'!U75</f>
        <v>28.894316664073362</v>
      </c>
      <c r="K74">
        <f>'1234 P+ 72 hpi'!T75</f>
        <v>1.4602666008629812</v>
      </c>
      <c r="L74">
        <f>'1234 P+ 72 hpi'!U75</f>
        <v>32.123060629715923</v>
      </c>
      <c r="N74">
        <f>'1250 P- 72 hpi'!T75</f>
        <v>0.11165688285674213</v>
      </c>
      <c r="O74">
        <f>'1250 P- 72 hpi'!U75</f>
        <v>12.765983320162766</v>
      </c>
      <c r="Q74">
        <f>'1250 P+ 72 hpi'!T75</f>
        <v>0.18388187299139738</v>
      </c>
      <c r="R74">
        <f>'1250 P+ 72 hpi'!U75</f>
        <v>13.621949638495334</v>
      </c>
      <c r="T74">
        <f>'1480 P- 72 hpi'!T75</f>
        <v>5.1670324470867258E-2</v>
      </c>
      <c r="U74">
        <f>'1480 P- 72 hpi'!U75</f>
        <v>11.983533851000894</v>
      </c>
      <c r="W74">
        <f>'NAD003 P+ 72 hpi'!T75</f>
        <v>0.19634623220813535</v>
      </c>
      <c r="X74">
        <f>'NAD003 P+ 72 hpi'!U75</f>
        <v>11.874440304997574</v>
      </c>
    </row>
    <row r="75" spans="1:24" x14ac:dyDescent="0.35">
      <c r="A75">
        <v>480.49299999999999</v>
      </c>
      <c r="B75">
        <f>'1233 P- 72 hpi'!T76</f>
        <v>0.12342716868473717</v>
      </c>
      <c r="C75">
        <f>'1233 P- 72 hpi'!U76</f>
        <v>13.602155594612597</v>
      </c>
      <c r="E75">
        <f>'1233 P+ 72 hpi'!T76</f>
        <v>0.17419993586647195</v>
      </c>
      <c r="F75">
        <f>'1233 P+ 72 hpi'!U76</f>
        <v>12.67626231164644</v>
      </c>
      <c r="H75">
        <f>'1234 P- 72 hpi'!T76</f>
        <v>1.3840777744286916</v>
      </c>
      <c r="I75">
        <f>'1234 P- 72 hpi'!U76</f>
        <v>28.64399870759647</v>
      </c>
      <c r="K75">
        <f>'1234 P+ 72 hpi'!T76</f>
        <v>1.4358042764191983</v>
      </c>
      <c r="L75">
        <f>'1234 P+ 72 hpi'!U76</f>
        <v>31.967975842008634</v>
      </c>
      <c r="N75">
        <f>'1250 P- 72 hpi'!T76</f>
        <v>0.11025321867987752</v>
      </c>
      <c r="O75">
        <f>'1250 P- 72 hpi'!U76</f>
        <v>12.74247885465963</v>
      </c>
      <c r="Q75">
        <f>'1250 P+ 72 hpi'!T76</f>
        <v>0.18337588650594483</v>
      </c>
      <c r="R75">
        <f>'1250 P+ 72 hpi'!U76</f>
        <v>13.620807123219091</v>
      </c>
      <c r="T75">
        <f>'1480 P- 72 hpi'!T76</f>
        <v>5.0456108121385033E-2</v>
      </c>
      <c r="U75">
        <f>'1480 P- 72 hpi'!U76</f>
        <v>11.953579733931646</v>
      </c>
      <c r="W75">
        <f>'NAD003 P+ 72 hpi'!T76</f>
        <v>0.19500291962425331</v>
      </c>
      <c r="X75">
        <f>'NAD003 P+ 72 hpi'!U76</f>
        <v>11.860578047580251</v>
      </c>
    </row>
    <row r="76" spans="1:24" x14ac:dyDescent="0.35">
      <c r="A76">
        <v>486.74799999999999</v>
      </c>
      <c r="B76">
        <f>'1233 P- 72 hpi'!T77</f>
        <v>0.12215730585743474</v>
      </c>
      <c r="C76">
        <f>'1233 P- 72 hpi'!U77</f>
        <v>13.590716905514839</v>
      </c>
      <c r="E76">
        <f>'1233 P+ 72 hpi'!T77</f>
        <v>0.17337158598894775</v>
      </c>
      <c r="F76">
        <f>'1233 P+ 72 hpi'!U77</f>
        <v>12.656839741671366</v>
      </c>
      <c r="H76">
        <f>'1234 P- 72 hpi'!T77</f>
        <v>1.3591684241889386</v>
      </c>
      <c r="I76">
        <f>'1234 P- 72 hpi'!U77</f>
        <v>28.394846531717917</v>
      </c>
      <c r="K76">
        <f>'1234 P+ 72 hpi'!T77</f>
        <v>1.4125969069419773</v>
      </c>
      <c r="L76">
        <f>'1234 P+ 72 hpi'!U77</f>
        <v>31.79083238613422</v>
      </c>
      <c r="N76">
        <f>'1250 P- 72 hpi'!T77</f>
        <v>0.10911274750940975</v>
      </c>
      <c r="O76">
        <f>'1250 P- 72 hpi'!U77</f>
        <v>12.721926020989136</v>
      </c>
      <c r="Q76">
        <f>'1250 P+ 72 hpi'!T77</f>
        <v>0.18260066907433814</v>
      </c>
      <c r="R76">
        <f>'1250 P+ 72 hpi'!U77</f>
        <v>13.624739913401193</v>
      </c>
      <c r="T76">
        <f>'1480 P- 72 hpi'!T77</f>
        <v>4.8623597325988366E-2</v>
      </c>
      <c r="U76">
        <f>'1480 P- 72 hpi'!U77</f>
        <v>11.920427759145879</v>
      </c>
      <c r="W76">
        <f>'NAD003 P+ 72 hpi'!T77</f>
        <v>0.19327371403971261</v>
      </c>
      <c r="X76">
        <f>'NAD003 P+ 72 hpi'!U77</f>
        <v>11.838081711405696</v>
      </c>
    </row>
    <row r="77" spans="1:24" x14ac:dyDescent="0.35">
      <c r="A77">
        <v>492.90800000000002</v>
      </c>
      <c r="B77">
        <f>'1233 P- 72 hpi'!T78</f>
        <v>0.12064883965049354</v>
      </c>
      <c r="C77">
        <f>'1233 P- 72 hpi'!U78</f>
        <v>13.567912927846775</v>
      </c>
      <c r="E77">
        <f>'1233 P+ 72 hpi'!T78</f>
        <v>0.17131010631384674</v>
      </c>
      <c r="F77">
        <f>'1233 P+ 72 hpi'!U78</f>
        <v>12.628571269033767</v>
      </c>
      <c r="H77">
        <f>'1234 P- 72 hpi'!T78</f>
        <v>1.3348700314196915</v>
      </c>
      <c r="I77">
        <f>'1234 P- 72 hpi'!U78</f>
        <v>28.175269534492418</v>
      </c>
      <c r="K77">
        <f>'1234 P+ 72 hpi'!T78</f>
        <v>1.3892568678472117</v>
      </c>
      <c r="L77">
        <f>'1234 P+ 72 hpi'!U78</f>
        <v>31.606962441709992</v>
      </c>
      <c r="N77">
        <f>'1250 P- 72 hpi'!T78</f>
        <v>0.10799837202488544</v>
      </c>
      <c r="O77">
        <f>'1250 P- 72 hpi'!U78</f>
        <v>12.70481744415553</v>
      </c>
      <c r="Q77">
        <f>'1250 P+ 72 hpi'!T78</f>
        <v>0.18184096215690976</v>
      </c>
      <c r="R77">
        <f>'1250 P+ 72 hpi'!U78</f>
        <v>13.61459456591014</v>
      </c>
      <c r="T77">
        <f>'1480 P- 72 hpi'!T78</f>
        <v>4.6789785311648541E-2</v>
      </c>
      <c r="U77">
        <f>'1480 P- 72 hpi'!U78</f>
        <v>11.891156476659669</v>
      </c>
      <c r="W77">
        <f>'NAD003 P+ 72 hpi'!T78</f>
        <v>0.19157873507967454</v>
      </c>
      <c r="X77">
        <f>'NAD003 P+ 72 hpi'!U78</f>
        <v>11.819525107820908</v>
      </c>
    </row>
    <row r="78" spans="1:24" x14ac:dyDescent="0.35">
      <c r="A78">
        <v>499.07900000000001</v>
      </c>
      <c r="B78">
        <f>'1233 P- 72 hpi'!T79</f>
        <v>0.11886324264344</v>
      </c>
      <c r="C78">
        <f>'1233 P- 72 hpi'!U79</f>
        <v>13.540932436556064</v>
      </c>
      <c r="E78">
        <f>'1233 P+ 72 hpi'!T79</f>
        <v>0.16933456967277122</v>
      </c>
      <c r="F78">
        <f>'1233 P+ 72 hpi'!U79</f>
        <v>12.603138358477734</v>
      </c>
      <c r="H78">
        <f>'1234 P- 72 hpi'!T79</f>
        <v>1.3091723049179844</v>
      </c>
      <c r="I78">
        <f>'1234 P- 72 hpi'!U79</f>
        <v>27.95899936559162</v>
      </c>
      <c r="K78">
        <f>'1234 P+ 72 hpi'!T79</f>
        <v>1.3686995536538826</v>
      </c>
      <c r="L78">
        <f>'1234 P+ 72 hpi'!U79</f>
        <v>31.500659927876832</v>
      </c>
      <c r="N78">
        <f>'1250 P- 72 hpi'!T79</f>
        <v>0.10623230396634697</v>
      </c>
      <c r="O78">
        <f>'1250 P- 72 hpi'!U79</f>
        <v>12.688858097745749</v>
      </c>
      <c r="Q78">
        <f>'1250 P+ 72 hpi'!T79</f>
        <v>0.18141180761154607</v>
      </c>
      <c r="R78">
        <f>'1250 P+ 72 hpi'!U79</f>
        <v>13.604128299908567</v>
      </c>
      <c r="T78">
        <f>'1480 P- 72 hpi'!T79</f>
        <v>4.5102454575078027E-2</v>
      </c>
      <c r="U78">
        <f>'1480 P- 72 hpi'!U79</f>
        <v>11.864104464347591</v>
      </c>
      <c r="W78">
        <f>'NAD003 P+ 72 hpi'!T79</f>
        <v>0.19019639268015937</v>
      </c>
      <c r="X78">
        <f>'NAD003 P+ 72 hpi'!U79</f>
        <v>11.801981156139577</v>
      </c>
    </row>
    <row r="79" spans="1:24" x14ac:dyDescent="0.35">
      <c r="A79">
        <v>505.34300000000002</v>
      </c>
      <c r="B79">
        <f>'1233 P- 72 hpi'!T80</f>
        <v>0.11740692779621731</v>
      </c>
      <c r="C79">
        <f>'1233 P- 72 hpi'!U80</f>
        <v>13.517457390162596</v>
      </c>
      <c r="E79">
        <f>'1233 P+ 72 hpi'!T80</f>
        <v>0.1680054067426307</v>
      </c>
      <c r="F79">
        <f>'1233 P+ 72 hpi'!U80</f>
        <v>12.585315318933283</v>
      </c>
      <c r="H79">
        <f>'1234 P- 72 hpi'!T80</f>
        <v>1.2864284909390042</v>
      </c>
      <c r="I79">
        <f>'1234 P- 72 hpi'!U80</f>
        <v>27.762324955929447</v>
      </c>
      <c r="K79">
        <f>'1234 P+ 72 hpi'!T80</f>
        <v>1.3483831557892771</v>
      </c>
      <c r="L79">
        <f>'1234 P+ 72 hpi'!U80</f>
        <v>31.332255306413487</v>
      </c>
      <c r="N79">
        <f>'1250 P- 72 hpi'!T80</f>
        <v>0.10528989663520127</v>
      </c>
      <c r="O79">
        <f>'1250 P- 72 hpi'!U80</f>
        <v>12.673864740192988</v>
      </c>
      <c r="Q79">
        <f>'1250 P+ 72 hpi'!T80</f>
        <v>0.18075068838628566</v>
      </c>
      <c r="R79">
        <f>'1250 P+ 72 hpi'!U80</f>
        <v>13.595108768697955</v>
      </c>
      <c r="T79">
        <f>'1480 P- 72 hpi'!T80</f>
        <v>4.3816003171501756E-2</v>
      </c>
      <c r="U79">
        <f>'1480 P- 72 hpi'!U80</f>
        <v>11.841194035229675</v>
      </c>
      <c r="W79">
        <f>'NAD003 P+ 72 hpi'!T80</f>
        <v>0.18821048844796057</v>
      </c>
      <c r="X79">
        <f>'NAD003 P+ 72 hpi'!U80</f>
        <v>11.78205220364665</v>
      </c>
    </row>
    <row r="80" spans="1:24" x14ac:dyDescent="0.35">
      <c r="A80">
        <v>518.67100000000005</v>
      </c>
      <c r="B80">
        <f>'1233 P- 72 hpi'!T81</f>
        <v>80.501747198650307</v>
      </c>
      <c r="C80">
        <f>'1233 P- 72 hpi'!U81</f>
        <v>105.71384263007774</v>
      </c>
      <c r="E80">
        <f>'1233 P+ 72 hpi'!T81</f>
        <v>81.297092796235262</v>
      </c>
      <c r="F80">
        <f>'1233 P+ 72 hpi'!U81</f>
        <v>102.55200746199867</v>
      </c>
      <c r="H80">
        <f>'1234 P- 72 hpi'!T81</f>
        <v>54.138746164652765</v>
      </c>
      <c r="I80">
        <f>'1234 P- 72 hpi'!U81</f>
        <v>95.553286399227247</v>
      </c>
      <c r="K80">
        <f>'1234 P+ 72 hpi'!T81</f>
        <v>58.748424277074832</v>
      </c>
      <c r="L80">
        <f>'1234 P+ 72 hpi'!U81</f>
        <v>88.112884136636339</v>
      </c>
      <c r="N80">
        <f>'1250 P- 72 hpi'!T81</f>
        <v>81.035086442964783</v>
      </c>
      <c r="O80">
        <f>'1250 P- 72 hpi'!U81</f>
        <v>104.1919977742911</v>
      </c>
      <c r="Q80">
        <f>'1250 P+ 72 hpi'!T81</f>
        <v>69.889059969692653</v>
      </c>
      <c r="R80">
        <f>'1250 P+ 72 hpi'!U81</f>
        <v>91.859831759288738</v>
      </c>
      <c r="T80">
        <f>'1480 P- 72 hpi'!T81</f>
        <v>83.905216018698638</v>
      </c>
      <c r="U80">
        <f>'1480 P- 72 hpi'!U81</f>
        <v>103.57018487353763</v>
      </c>
      <c r="W80">
        <f>'NAD003 P+ 72 hpi'!T81</f>
        <v>85.155753981370566</v>
      </c>
      <c r="X80">
        <f>'NAD003 P+ 72 hpi'!U81</f>
        <v>105.41604953541142</v>
      </c>
    </row>
    <row r="81" spans="1:24" x14ac:dyDescent="0.35">
      <c r="A81">
        <v>524.91800000000001</v>
      </c>
      <c r="B81">
        <f>'1233 P- 72 hpi'!T82</f>
        <v>83.142069659544319</v>
      </c>
      <c r="C81">
        <f>'1233 P- 72 hpi'!U82</f>
        <v>107.38194026021741</v>
      </c>
      <c r="E81">
        <f>'1233 P+ 72 hpi'!T82</f>
        <v>83.67652107257743</v>
      </c>
      <c r="F81">
        <f>'1233 P+ 72 hpi'!U82</f>
        <v>102.67076341441204</v>
      </c>
      <c r="H81">
        <f>'1234 P- 72 hpi'!T82</f>
        <v>55.983179314102358</v>
      </c>
      <c r="I81">
        <f>'1234 P- 72 hpi'!U82</f>
        <v>97.085227886094685</v>
      </c>
      <c r="K81">
        <f>'1234 P+ 72 hpi'!T82</f>
        <v>60.190359724886733</v>
      </c>
      <c r="L81">
        <f>'1234 P+ 72 hpi'!U82</f>
        <v>88.11453685074892</v>
      </c>
      <c r="N81">
        <f>'1250 P- 72 hpi'!T82</f>
        <v>83.631222011185457</v>
      </c>
      <c r="O81">
        <f>'1250 P- 72 hpi'!U82</f>
        <v>106.01582643273814</v>
      </c>
      <c r="Q81">
        <f>'1250 P+ 72 hpi'!T82</f>
        <v>72.186632635826669</v>
      </c>
      <c r="R81">
        <f>'1250 P+ 72 hpi'!U82</f>
        <v>93.882993340130525</v>
      </c>
      <c r="T81">
        <f>'1480 P- 72 hpi'!T82</f>
        <v>86.60147714145586</v>
      </c>
      <c r="U81">
        <f>'1480 P- 72 hpi'!U82</f>
        <v>105.3891650053839</v>
      </c>
      <c r="W81">
        <f>'NAD003 P+ 72 hpi'!T82</f>
        <v>87.974639338547973</v>
      </c>
      <c r="X81">
        <f>'NAD003 P+ 72 hpi'!U82</f>
        <v>104.60580340114302</v>
      </c>
    </row>
    <row r="82" spans="1:24" x14ac:dyDescent="0.35">
      <c r="A82">
        <v>531.04899999999998</v>
      </c>
      <c r="B82">
        <f>'1233 P- 72 hpi'!T83</f>
        <v>84.924434230086831</v>
      </c>
      <c r="C82">
        <f>'1233 P- 72 hpi'!U83</f>
        <v>107.7145648092782</v>
      </c>
      <c r="E82">
        <f>'1233 P+ 72 hpi'!T83</f>
        <v>85.57360079336685</v>
      </c>
      <c r="F82">
        <f>'1233 P+ 72 hpi'!U83</f>
        <v>101.88052775320513</v>
      </c>
      <c r="H82">
        <f>'1234 P- 72 hpi'!T83</f>
        <v>57.02643102851858</v>
      </c>
      <c r="I82">
        <f>'1234 P- 72 hpi'!U83</f>
        <v>96.085974024388932</v>
      </c>
      <c r="K82">
        <f>'1234 P+ 72 hpi'!T83</f>
        <v>61.251599557925026</v>
      </c>
      <c r="L82">
        <f>'1234 P+ 72 hpi'!U83</f>
        <v>88.629937628132382</v>
      </c>
      <c r="N82">
        <f>'1250 P- 72 hpi'!T83</f>
        <v>85.346288994139584</v>
      </c>
      <c r="O82">
        <f>'1250 P- 72 hpi'!U83</f>
        <v>103.0094153346103</v>
      </c>
      <c r="Q82">
        <f>'1250 P+ 72 hpi'!T83</f>
        <v>73.503134866773763</v>
      </c>
      <c r="R82">
        <f>'1250 P+ 72 hpi'!U83</f>
        <v>93.862105337354024</v>
      </c>
      <c r="T82">
        <f>'1480 P- 72 hpi'!T83</f>
        <v>88.537869508942094</v>
      </c>
      <c r="U82">
        <f>'1480 P- 72 hpi'!U83</f>
        <v>103.95462799896677</v>
      </c>
      <c r="W82">
        <f>'NAD003 P+ 72 hpi'!T83</f>
        <v>90.090043597571068</v>
      </c>
      <c r="X82">
        <f>'NAD003 P+ 72 hpi'!U83</f>
        <v>103.74248174481212</v>
      </c>
    </row>
    <row r="83" spans="1:24" x14ac:dyDescent="0.35">
      <c r="A83">
        <v>537.19200000000001</v>
      </c>
      <c r="B83">
        <f>'1233 P- 72 hpi'!T84</f>
        <v>86.41540918063977</v>
      </c>
      <c r="C83">
        <f>'1233 P- 72 hpi'!U84</f>
        <v>105.46838216179185</v>
      </c>
      <c r="E83">
        <f>'1233 P+ 72 hpi'!T84</f>
        <v>87.054428334348387</v>
      </c>
      <c r="F83">
        <f>'1233 P+ 72 hpi'!U84</f>
        <v>100.428250339436</v>
      </c>
      <c r="H83">
        <f>'1234 P- 72 hpi'!T84</f>
        <v>57.82000966296345</v>
      </c>
      <c r="I83">
        <f>'1234 P- 72 hpi'!U84</f>
        <v>95.372103929796594</v>
      </c>
      <c r="K83">
        <f>'1234 P+ 72 hpi'!T84</f>
        <v>61.838840575323388</v>
      </c>
      <c r="L83">
        <f>'1234 P+ 72 hpi'!U84</f>
        <v>89.052599725087958</v>
      </c>
      <c r="N83">
        <f>'1250 P- 72 hpi'!T84</f>
        <v>87.041831077190935</v>
      </c>
      <c r="O83">
        <f>'1250 P- 72 hpi'!U84</f>
        <v>101.80561837180625</v>
      </c>
      <c r="Q83">
        <f>'1250 P+ 72 hpi'!T84</f>
        <v>74.700588313080033</v>
      </c>
      <c r="R83">
        <f>'1250 P+ 72 hpi'!U84</f>
        <v>93.60964503122031</v>
      </c>
      <c r="T83">
        <f>'1480 P- 72 hpi'!T84</f>
        <v>90.199157300366139</v>
      </c>
      <c r="U83">
        <f>'1480 P- 72 hpi'!U84</f>
        <v>102.58023951750452</v>
      </c>
      <c r="W83">
        <f>'NAD003 P+ 72 hpi'!T84</f>
        <v>92.651835726477188</v>
      </c>
      <c r="X83">
        <f>'NAD003 P+ 72 hpi'!U84</f>
        <v>110.94559730795027</v>
      </c>
    </row>
    <row r="84" spans="1:24" x14ac:dyDescent="0.35">
      <c r="A84">
        <v>543.55200000000002</v>
      </c>
      <c r="B84">
        <f>'1233 P- 72 hpi'!T85</f>
        <v>87.801502455917742</v>
      </c>
      <c r="C84">
        <f>'1233 P- 72 hpi'!U85</f>
        <v>105.52843515626955</v>
      </c>
      <c r="E84">
        <f>'1233 P+ 72 hpi'!T85</f>
        <v>88.466508066864805</v>
      </c>
      <c r="F84">
        <f>'1233 P+ 72 hpi'!U85</f>
        <v>99.851085519256515</v>
      </c>
      <c r="H84">
        <f>'1234 P- 72 hpi'!T85</f>
        <v>58.368169930460773</v>
      </c>
      <c r="I84">
        <f>'1234 P- 72 hpi'!U85</f>
        <v>93.359211875435349</v>
      </c>
      <c r="K84">
        <f>'1234 P+ 72 hpi'!T85</f>
        <v>62.484121329095856</v>
      </c>
      <c r="L84">
        <f>'1234 P+ 72 hpi'!U85</f>
        <v>88.446230205419909</v>
      </c>
      <c r="N84">
        <f>'1250 P- 72 hpi'!T85</f>
        <v>88.355790874786692</v>
      </c>
      <c r="O84">
        <f>'1250 P- 72 hpi'!U85</f>
        <v>101.19811456654418</v>
      </c>
      <c r="Q84">
        <f>'1250 P+ 72 hpi'!T85</f>
        <v>75.528698121534745</v>
      </c>
      <c r="R84">
        <f>'1250 P+ 72 hpi'!U85</f>
        <v>93.125961543388399</v>
      </c>
      <c r="T84">
        <f>'1480 P- 72 hpi'!T85</f>
        <v>91.685684775999562</v>
      </c>
      <c r="U84">
        <f>'1480 P- 72 hpi'!U85</f>
        <v>101.8667573027471</v>
      </c>
      <c r="W84">
        <f>'NAD003 P+ 72 hpi'!T85</f>
        <v>94.150958790734023</v>
      </c>
      <c r="X84">
        <f>'NAD003 P+ 72 hpi'!U85</f>
        <v>111.40644033680236</v>
      </c>
    </row>
    <row r="85" spans="1:24" x14ac:dyDescent="0.35">
      <c r="A85">
        <v>549.649</v>
      </c>
      <c r="B85">
        <f>'1233 P- 72 hpi'!T86</f>
        <v>88.825453663556189</v>
      </c>
      <c r="C85">
        <f>'1233 P- 72 hpi'!U86</f>
        <v>105.00389690315559</v>
      </c>
      <c r="E85">
        <f>'1233 P+ 72 hpi'!T86</f>
        <v>89.669603447579348</v>
      </c>
      <c r="F85">
        <f>'1233 P+ 72 hpi'!U86</f>
        <v>100.07106074032055</v>
      </c>
      <c r="H85">
        <f>'1234 P- 72 hpi'!T86</f>
        <v>58.650477387770543</v>
      </c>
      <c r="I85">
        <f>'1234 P- 72 hpi'!U86</f>
        <v>90.846096178665945</v>
      </c>
      <c r="K85">
        <f>'1234 P+ 72 hpi'!T86</f>
        <v>62.807874000234797</v>
      </c>
      <c r="L85">
        <f>'1234 P+ 72 hpi'!U86</f>
        <v>86.772482338969652</v>
      </c>
      <c r="N85">
        <f>'1250 P- 72 hpi'!T86</f>
        <v>89.531461335312613</v>
      </c>
      <c r="O85">
        <f>'1250 P- 72 hpi'!U86</f>
        <v>102.01970090307221</v>
      </c>
      <c r="Q85">
        <f>'1250 P+ 72 hpi'!T86</f>
        <v>76.82641824054835</v>
      </c>
      <c r="R85">
        <f>'1250 P+ 72 hpi'!U86</f>
        <v>95.348156132491141</v>
      </c>
      <c r="T85">
        <f>'1480 P- 72 hpi'!T86</f>
        <v>92.847573676181995</v>
      </c>
      <c r="U85">
        <f>'1480 P- 72 hpi'!U86</f>
        <v>103.03521606880754</v>
      </c>
      <c r="W85">
        <f>'NAD003 P+ 72 hpi'!T86</f>
        <v>95.300855485521595</v>
      </c>
      <c r="X85">
        <f>'NAD003 P+ 72 hpi'!U86</f>
        <v>112.46939302665329</v>
      </c>
    </row>
    <row r="86" spans="1:24" x14ac:dyDescent="0.35">
      <c r="A86">
        <v>555.86300000000006</v>
      </c>
      <c r="B86">
        <f>'1233 P- 72 hpi'!T87</f>
        <v>89.594592025123191</v>
      </c>
      <c r="C86">
        <f>'1233 P- 72 hpi'!U87</f>
        <v>104.54169271125419</v>
      </c>
      <c r="E86">
        <f>'1233 P+ 72 hpi'!T87</f>
        <v>90.643524195646521</v>
      </c>
      <c r="F86">
        <f>'1233 P+ 72 hpi'!U87</f>
        <v>101.2768829166308</v>
      </c>
      <c r="H86">
        <f>'1234 P- 72 hpi'!T87</f>
        <v>59.058313405913992</v>
      </c>
      <c r="I86">
        <f>'1234 P- 72 hpi'!U87</f>
        <v>88.560084053609089</v>
      </c>
      <c r="K86">
        <f>'1234 P+ 72 hpi'!T87</f>
        <v>63.192576303292284</v>
      </c>
      <c r="L86">
        <f>'1234 P+ 72 hpi'!U87</f>
        <v>85.812869056705466</v>
      </c>
      <c r="N86">
        <f>'1250 P- 72 hpi'!T87</f>
        <v>90.420996813129975</v>
      </c>
      <c r="O86">
        <f>'1250 P- 72 hpi'!U87</f>
        <v>101.45903531571217</v>
      </c>
      <c r="Q86">
        <f>'1250 P+ 72 hpi'!T87</f>
        <v>77.507324560156803</v>
      </c>
      <c r="R86">
        <f>'1250 P+ 72 hpi'!U87</f>
        <v>95.797364446766821</v>
      </c>
      <c r="T86">
        <f>'1480 P- 72 hpi'!T87</f>
        <v>93.729925739513064</v>
      </c>
      <c r="U86">
        <f>'1480 P- 72 hpi'!U87</f>
        <v>103.33134690902789</v>
      </c>
      <c r="W86">
        <f>'NAD003 P+ 72 hpi'!T87</f>
        <v>96.16749598056154</v>
      </c>
      <c r="X86">
        <f>'NAD003 P+ 72 hpi'!U87</f>
        <v>112.70318635952907</v>
      </c>
    </row>
    <row r="87" spans="1:24" x14ac:dyDescent="0.35">
      <c r="A87">
        <v>562.19600000000003</v>
      </c>
      <c r="B87">
        <f>'1233 P- 72 hpi'!T88</f>
        <v>90.225898354271109</v>
      </c>
      <c r="C87">
        <f>'1233 P- 72 hpi'!U88</f>
        <v>105.96914241694326</v>
      </c>
      <c r="E87">
        <f>'1233 P+ 72 hpi'!T88</f>
        <v>91.190102800635273</v>
      </c>
      <c r="F87">
        <f>'1233 P+ 72 hpi'!U88</f>
        <v>102.81600888201626</v>
      </c>
      <c r="H87">
        <f>'1234 P- 72 hpi'!T88</f>
        <v>59.494088167481188</v>
      </c>
      <c r="I87">
        <f>'1234 P- 72 hpi'!U88</f>
        <v>88.072198794925654</v>
      </c>
      <c r="K87">
        <f>'1234 P+ 72 hpi'!T88</f>
        <v>63.177768677796351</v>
      </c>
      <c r="L87">
        <f>'1234 P+ 72 hpi'!U88</f>
        <v>82.273204062724417</v>
      </c>
      <c r="N87">
        <f>'1250 P- 72 hpi'!T88</f>
        <v>91.206623260828167</v>
      </c>
      <c r="O87">
        <f>'1250 P- 72 hpi'!U88</f>
        <v>102.52277611165918</v>
      </c>
      <c r="Q87">
        <f>'1250 P+ 72 hpi'!T88</f>
        <v>78.148052091213572</v>
      </c>
      <c r="R87">
        <f>'1250 P+ 72 hpi'!U88</f>
        <v>96.486317891484248</v>
      </c>
      <c r="T87">
        <f>'1480 P- 72 hpi'!T88</f>
        <v>94.476849047144597</v>
      </c>
      <c r="U87">
        <f>'1480 P- 72 hpi'!U88</f>
        <v>103.68042615705694</v>
      </c>
      <c r="W87">
        <f>'NAD003 P+ 72 hpi'!T88</f>
        <v>96.955189234520333</v>
      </c>
      <c r="X87">
        <f>'NAD003 P+ 72 hpi'!U88</f>
        <v>113.09338289156017</v>
      </c>
    </row>
    <row r="88" spans="1:24" x14ac:dyDescent="0.35">
      <c r="A88">
        <v>568.34699999999998</v>
      </c>
      <c r="B88">
        <f>'1233 P- 72 hpi'!T89</f>
        <v>90.74255021017116</v>
      </c>
      <c r="C88">
        <f>'1233 P- 72 hpi'!U89</f>
        <v>105.55857961396906</v>
      </c>
      <c r="E88">
        <f>'1233 P+ 72 hpi'!T89</f>
        <v>91.541349793500245</v>
      </c>
      <c r="F88">
        <f>'1233 P+ 72 hpi'!U89</f>
        <v>101.03250306128794</v>
      </c>
      <c r="H88">
        <f>'1234 P- 72 hpi'!T89</f>
        <v>59.807905458329436</v>
      </c>
      <c r="I88">
        <f>'1234 P- 72 hpi'!U89</f>
        <v>87.563824001524424</v>
      </c>
      <c r="K88">
        <f>'1234 P+ 72 hpi'!T89</f>
        <v>63.357813690660471</v>
      </c>
      <c r="L88">
        <f>'1234 P+ 72 hpi'!U89</f>
        <v>80.786670209437389</v>
      </c>
      <c r="N88">
        <f>'1250 P- 72 hpi'!T89</f>
        <v>91.716320909983793</v>
      </c>
      <c r="O88">
        <f>'1250 P- 72 hpi'!U89</f>
        <v>102.35670392463744</v>
      </c>
      <c r="Q88">
        <f>'1250 P+ 72 hpi'!T89</f>
        <v>78.592562557354569</v>
      </c>
      <c r="R88">
        <f>'1250 P+ 72 hpi'!U89</f>
        <v>96.448350138259229</v>
      </c>
      <c r="T88">
        <f>'1480 P- 72 hpi'!T89</f>
        <v>95.062869806086198</v>
      </c>
      <c r="U88">
        <f>'1480 P- 72 hpi'!U89</f>
        <v>103.51556080507738</v>
      </c>
      <c r="W88">
        <f>'NAD003 P+ 72 hpi'!T89</f>
        <v>97.83011642624453</v>
      </c>
      <c r="X88">
        <f>'NAD003 P+ 72 hpi'!U89</f>
        <v>114.42510779912614</v>
      </c>
    </row>
    <row r="89" spans="1:24" x14ac:dyDescent="0.35">
      <c r="A89">
        <v>574.55200000000002</v>
      </c>
      <c r="B89">
        <f>'1233 P- 72 hpi'!T90</f>
        <v>91.204978594974932</v>
      </c>
      <c r="C89">
        <f>'1233 P- 72 hpi'!U90</f>
        <v>106.22622400829552</v>
      </c>
      <c r="E89">
        <f>'1233 P+ 72 hpi'!T90</f>
        <v>92.147359652063955</v>
      </c>
      <c r="F89">
        <f>'1233 P+ 72 hpi'!U90</f>
        <v>102.65560176866305</v>
      </c>
      <c r="H89">
        <f>'1234 P- 72 hpi'!T90</f>
        <v>60.169617714743502</v>
      </c>
      <c r="I89">
        <f>'1234 P- 72 hpi'!U90</f>
        <v>89.868910301582787</v>
      </c>
      <c r="K89">
        <f>'1234 P+ 72 hpi'!T90</f>
        <v>63.571785828178548</v>
      </c>
      <c r="L89">
        <f>'1234 P+ 72 hpi'!U90</f>
        <v>79.924302220338916</v>
      </c>
      <c r="N89">
        <f>'1250 P- 72 hpi'!T90</f>
        <v>92.165475350532191</v>
      </c>
      <c r="O89">
        <f>'1250 P- 72 hpi'!U90</f>
        <v>102.17730449213377</v>
      </c>
      <c r="Q89">
        <f>'1250 P+ 72 hpi'!T90</f>
        <v>79.016609093408192</v>
      </c>
      <c r="R89">
        <f>'1250 P+ 72 hpi'!U90</f>
        <v>96.36659678691538</v>
      </c>
      <c r="T89">
        <f>'1480 P- 72 hpi'!T90</f>
        <v>95.543033356519388</v>
      </c>
      <c r="U89">
        <f>'1480 P- 72 hpi'!U90</f>
        <v>103.63636139725895</v>
      </c>
      <c r="W89">
        <f>'NAD003 P+ 72 hpi'!T90</f>
        <v>98.587322701888269</v>
      </c>
      <c r="X89">
        <f>'NAD003 P+ 72 hpi'!U90</f>
        <v>114.85089606478104</v>
      </c>
    </row>
    <row r="90" spans="1:24" x14ac:dyDescent="0.35">
      <c r="A90">
        <v>580.73699999999997</v>
      </c>
      <c r="B90">
        <f>'1233 P- 72 hpi'!T91</f>
        <v>91.719028143587352</v>
      </c>
      <c r="C90">
        <f>'1233 P- 72 hpi'!U91</f>
        <v>106.0748278786448</v>
      </c>
      <c r="E90">
        <f>'1233 P+ 72 hpi'!T91</f>
        <v>92.384317896452202</v>
      </c>
      <c r="F90">
        <f>'1233 P+ 72 hpi'!U91</f>
        <v>98.997873208925967</v>
      </c>
      <c r="H90">
        <f>'1234 P- 72 hpi'!T91</f>
        <v>60.416226447388645</v>
      </c>
      <c r="I90">
        <f>'1234 P- 72 hpi'!U91</f>
        <v>89.464252973416777</v>
      </c>
      <c r="K90">
        <f>'1234 P+ 72 hpi'!T91</f>
        <v>63.878577472198934</v>
      </c>
      <c r="L90">
        <f>'1234 P+ 72 hpi'!U91</f>
        <v>80.680770598939546</v>
      </c>
      <c r="N90">
        <f>'1250 P- 72 hpi'!T91</f>
        <v>92.66402224777606</v>
      </c>
      <c r="O90">
        <f>'1250 P- 72 hpi'!U91</f>
        <v>102.30699796513811</v>
      </c>
      <c r="Q90">
        <f>'1250 P+ 72 hpi'!T91</f>
        <v>79.435428133135503</v>
      </c>
      <c r="R90">
        <f>'1250 P+ 72 hpi'!U91</f>
        <v>96.343988377790851</v>
      </c>
      <c r="T90">
        <f>'1480 P- 72 hpi'!T91</f>
        <v>95.994356111116019</v>
      </c>
      <c r="U90">
        <f>'1480 P- 72 hpi'!U91</f>
        <v>103.31900647521822</v>
      </c>
      <c r="W90">
        <f>'NAD003 P+ 72 hpi'!T91</f>
        <v>99.246729074767927</v>
      </c>
      <c r="X90">
        <f>'NAD003 P+ 72 hpi'!U91</f>
        <v>115.47905485257795</v>
      </c>
    </row>
    <row r="91" spans="1:24" x14ac:dyDescent="0.35">
      <c r="A91">
        <v>587.00400000000002</v>
      </c>
      <c r="B91">
        <f>'1233 P- 72 hpi'!T92</f>
        <v>92.148303693577205</v>
      </c>
      <c r="C91">
        <f>'1233 P- 72 hpi'!U92</f>
        <v>106.27828149756044</v>
      </c>
      <c r="E91">
        <f>'1233 P+ 72 hpi'!T92</f>
        <v>93.446314088656408</v>
      </c>
      <c r="F91">
        <f>'1233 P+ 72 hpi'!U92</f>
        <v>102.95691290360924</v>
      </c>
      <c r="H91">
        <f>'1234 P- 72 hpi'!T92</f>
        <v>60.645680182112677</v>
      </c>
      <c r="I91">
        <f>'1234 P- 72 hpi'!U92</f>
        <v>90.172918636832449</v>
      </c>
      <c r="K91">
        <f>'1234 P+ 72 hpi'!T92</f>
        <v>64.189187578510854</v>
      </c>
      <c r="L91">
        <f>'1234 P+ 72 hpi'!U92</f>
        <v>81.120137843882489</v>
      </c>
      <c r="N91">
        <f>'1250 P- 72 hpi'!T92</f>
        <v>93.238583627001233</v>
      </c>
      <c r="O91">
        <f>'1250 P- 72 hpi'!U92</f>
        <v>102.29620144210935</v>
      </c>
      <c r="Q91">
        <f>'1250 P+ 72 hpi'!T92</f>
        <v>79.82500805122595</v>
      </c>
      <c r="R91">
        <f>'1250 P+ 72 hpi'!U92</f>
        <v>95.841515882829015</v>
      </c>
      <c r="T91">
        <f>'1480 P- 72 hpi'!T92</f>
        <v>96.376611156801786</v>
      </c>
      <c r="U91">
        <f>'1480 P- 72 hpi'!U92</f>
        <v>102.87853295250125</v>
      </c>
      <c r="W91">
        <f>'NAD003 P+ 72 hpi'!T92</f>
        <v>99.699381280536556</v>
      </c>
      <c r="X91">
        <f>'NAD003 P+ 72 hpi'!U92</f>
        <v>115.88475303288138</v>
      </c>
    </row>
    <row r="92" spans="1:24" x14ac:dyDescent="0.35">
      <c r="A92">
        <v>593.21</v>
      </c>
      <c r="B92">
        <f>'1233 P- 72 hpi'!T93</f>
        <v>92.636940641336821</v>
      </c>
      <c r="C92">
        <f>'1233 P- 72 hpi'!U93</f>
        <v>105.3188747276082</v>
      </c>
      <c r="E92">
        <f>'1233 P+ 72 hpi'!T93</f>
        <v>93.6079412027876</v>
      </c>
      <c r="F92">
        <f>'1233 P+ 72 hpi'!U93</f>
        <v>99.537179817664736</v>
      </c>
      <c r="H92">
        <f>'1234 P- 72 hpi'!T93</f>
        <v>60.85731691692974</v>
      </c>
      <c r="I92">
        <f>'1234 P- 72 hpi'!U93</f>
        <v>89.216099395221065</v>
      </c>
      <c r="K92">
        <f>'1234 P+ 72 hpi'!T93</f>
        <v>64.504534529575906</v>
      </c>
      <c r="L92">
        <f>'1234 P+ 72 hpi'!U93</f>
        <v>82.480690597156581</v>
      </c>
      <c r="N92">
        <f>'1250 P- 72 hpi'!T93</f>
        <v>93.748601041205703</v>
      </c>
      <c r="O92">
        <f>'1250 P- 72 hpi'!U93</f>
        <v>101.81387415602326</v>
      </c>
      <c r="Q92">
        <f>'1250 P+ 72 hpi'!T93</f>
        <v>80.254310550700296</v>
      </c>
      <c r="R92">
        <f>'1250 P+ 72 hpi'!U93</f>
        <v>95.859883593729535</v>
      </c>
      <c r="T92">
        <f>'1480 P- 72 hpi'!T93</f>
        <v>97.022581708604676</v>
      </c>
      <c r="U92">
        <f>'1480 P- 72 hpi'!U93</f>
        <v>102.71231624019192</v>
      </c>
      <c r="W92">
        <f>'NAD003 P+ 72 hpi'!T93</f>
        <v>100.36995019150208</v>
      </c>
      <c r="X92">
        <f>'NAD003 P+ 72 hpi'!U93</f>
        <v>116.01790721512151</v>
      </c>
    </row>
    <row r="93" spans="1:24" x14ac:dyDescent="0.35">
      <c r="A93">
        <v>599.31799999999998</v>
      </c>
      <c r="B93">
        <f>'1233 P- 72 hpi'!T94</f>
        <v>93.077403267711318</v>
      </c>
      <c r="C93">
        <f>'1233 P- 72 hpi'!U94</f>
        <v>103.02930178828412</v>
      </c>
      <c r="E93">
        <f>'1233 P+ 72 hpi'!T94</f>
        <v>94.15219502394082</v>
      </c>
      <c r="F93">
        <f>'1233 P+ 72 hpi'!U94</f>
        <v>99.117471231244195</v>
      </c>
      <c r="H93">
        <f>'1234 P- 72 hpi'!T94</f>
        <v>61.192263573034467</v>
      </c>
      <c r="I93">
        <f>'1234 P- 72 hpi'!U94</f>
        <v>92.591903392856651</v>
      </c>
      <c r="K93">
        <f>'1234 P+ 72 hpi'!T94</f>
        <v>64.54696124794728</v>
      </c>
      <c r="L93">
        <f>'1234 P+ 72 hpi'!U94</f>
        <v>81.996823084045587</v>
      </c>
      <c r="N93">
        <f>'1250 P- 72 hpi'!T94</f>
        <v>94.179303357557501</v>
      </c>
      <c r="O93">
        <f>'1250 P- 72 hpi'!U94</f>
        <v>101.55003200045469</v>
      </c>
      <c r="Q93">
        <f>'1250 P+ 72 hpi'!T94</f>
        <v>80.647250596481115</v>
      </c>
      <c r="R93">
        <f>'1250 P+ 72 hpi'!U94</f>
        <v>96.719361205715046</v>
      </c>
      <c r="T93">
        <f>'1480 P- 72 hpi'!T94</f>
        <v>97.498388660113122</v>
      </c>
      <c r="U93">
        <f>'1480 P- 72 hpi'!U94</f>
        <v>103.59659830076403</v>
      </c>
      <c r="W93">
        <f>'NAD003 P+ 72 hpi'!T94</f>
        <v>100.87623859821282</v>
      </c>
      <c r="X93">
        <f>'NAD003 P+ 72 hpi'!U94</f>
        <v>116.14823459010348</v>
      </c>
    </row>
    <row r="94" spans="1:24" x14ac:dyDescent="0.35">
      <c r="A94">
        <v>605.59400000000005</v>
      </c>
      <c r="B94">
        <f>'1233 P- 72 hpi'!T95</f>
        <v>93.623057199463801</v>
      </c>
      <c r="C94">
        <f>'1233 P- 72 hpi'!U95</f>
        <v>104.07520757709908</v>
      </c>
      <c r="E94">
        <f>'1233 P+ 72 hpi'!T95</f>
        <v>94.70376542785479</v>
      </c>
      <c r="F94">
        <f>'1233 P+ 72 hpi'!U95</f>
        <v>103.01657862618865</v>
      </c>
      <c r="H94">
        <f>'1234 P- 72 hpi'!T95</f>
        <v>61.379151560343281</v>
      </c>
      <c r="I94">
        <f>'1234 P- 72 hpi'!U95</f>
        <v>94.197846140881097</v>
      </c>
      <c r="K94">
        <f>'1234 P+ 72 hpi'!T95</f>
        <v>64.72949715925148</v>
      </c>
      <c r="L94">
        <f>'1234 P+ 72 hpi'!U95</f>
        <v>81.115212987380616</v>
      </c>
      <c r="N94">
        <f>'1250 P- 72 hpi'!T95</f>
        <v>94.593325553941028</v>
      </c>
      <c r="O94">
        <f>'1250 P- 72 hpi'!U95</f>
        <v>101.38663463707682</v>
      </c>
      <c r="Q94">
        <f>'1250 P+ 72 hpi'!T95</f>
        <v>81.050543468665069</v>
      </c>
      <c r="R94">
        <f>'1250 P+ 72 hpi'!U95</f>
        <v>96.586224673953069</v>
      </c>
      <c r="T94">
        <f>'1480 P- 72 hpi'!T95</f>
        <v>98.085477409461646</v>
      </c>
      <c r="U94">
        <f>'1480 P- 72 hpi'!U95</f>
        <v>103.47584355266777</v>
      </c>
      <c r="W94">
        <f>'NAD003 P+ 72 hpi'!T95</f>
        <v>101.39964293743095</v>
      </c>
      <c r="X94">
        <f>'NAD003 P+ 72 hpi'!U95</f>
        <v>116.49823432027983</v>
      </c>
    </row>
    <row r="95" spans="1:24" x14ac:dyDescent="0.35">
      <c r="A95">
        <v>611.76900000000001</v>
      </c>
      <c r="B95">
        <f>'1233 P- 72 hpi'!T96</f>
        <v>93.895076580325338</v>
      </c>
      <c r="C95">
        <f>'1233 P- 72 hpi'!U96</f>
        <v>104.53183527177084</v>
      </c>
      <c r="E95">
        <f>'1233 P+ 72 hpi'!T96</f>
        <v>95.017685020327434</v>
      </c>
      <c r="F95">
        <f>'1233 P+ 72 hpi'!U96</f>
        <v>101.14380698549336</v>
      </c>
      <c r="H95">
        <f>'1234 P- 72 hpi'!T96</f>
        <v>61.622849512144818</v>
      </c>
      <c r="I95">
        <f>'1234 P- 72 hpi'!U96</f>
        <v>92.742388415686648</v>
      </c>
      <c r="K95">
        <f>'1234 P+ 72 hpi'!T96</f>
        <v>65.113681439345712</v>
      </c>
      <c r="L95">
        <f>'1234 P+ 72 hpi'!U96</f>
        <v>84.354018888409371</v>
      </c>
      <c r="N95">
        <f>'1250 P- 72 hpi'!T96</f>
        <v>94.932799526124271</v>
      </c>
      <c r="O95">
        <f>'1250 P- 72 hpi'!U96</f>
        <v>101.15683613330776</v>
      </c>
      <c r="Q95">
        <f>'1250 P+ 72 hpi'!T96</f>
        <v>80.965261793627207</v>
      </c>
      <c r="R95">
        <f>'1250 P+ 72 hpi'!U96</f>
        <v>93.985557332410053</v>
      </c>
      <c r="T95">
        <f>'1480 P- 72 hpi'!T96</f>
        <v>98.491624681845806</v>
      </c>
      <c r="U95">
        <f>'1480 P- 72 hpi'!U96</f>
        <v>103.68341128416368</v>
      </c>
      <c r="W95">
        <f>'NAD003 P+ 72 hpi'!T96</f>
        <v>102.00004434095209</v>
      </c>
      <c r="X95">
        <f>'NAD003 P+ 72 hpi'!U96</f>
        <v>117.08386839280598</v>
      </c>
    </row>
    <row r="96" spans="1:24" x14ac:dyDescent="0.35">
      <c r="A96">
        <v>617.947</v>
      </c>
      <c r="B96">
        <f>'1233 P- 72 hpi'!T97</f>
        <v>94.311576777264577</v>
      </c>
      <c r="C96">
        <f>'1233 P- 72 hpi'!U97</f>
        <v>104.9376043202456</v>
      </c>
      <c r="E96">
        <f>'1233 P+ 72 hpi'!T97</f>
        <v>95.433497350264304</v>
      </c>
      <c r="F96">
        <f>'1233 P+ 72 hpi'!U97</f>
        <v>101.62348446494551</v>
      </c>
      <c r="H96">
        <f>'1234 P- 72 hpi'!T97</f>
        <v>61.800083601750856</v>
      </c>
      <c r="I96">
        <f>'1234 P- 72 hpi'!U97</f>
        <v>90.699204851009299</v>
      </c>
      <c r="K96">
        <f>'1234 P+ 72 hpi'!T97</f>
        <v>65.27941975742452</v>
      </c>
      <c r="L96">
        <f>'1234 P+ 72 hpi'!U97</f>
        <v>85.416413043069269</v>
      </c>
      <c r="N96">
        <f>'1250 P- 72 hpi'!T97</f>
        <v>95.240874980267975</v>
      </c>
      <c r="O96">
        <f>'1250 P- 72 hpi'!U97</f>
        <v>101.86473170447924</v>
      </c>
      <c r="Q96">
        <f>'1250 P+ 72 hpi'!T97</f>
        <v>81.211004729131162</v>
      </c>
      <c r="R96">
        <f>'1250 P+ 72 hpi'!U97</f>
        <v>94.553410731627082</v>
      </c>
      <c r="T96">
        <f>'1480 P- 72 hpi'!T97</f>
        <v>98.848703971210952</v>
      </c>
      <c r="U96">
        <f>'1480 P- 72 hpi'!U97</f>
        <v>105.24984760062114</v>
      </c>
      <c r="W96">
        <f>'NAD003 P+ 72 hpi'!T97</f>
        <v>102.34712846640929</v>
      </c>
      <c r="X96">
        <f>'NAD003 P+ 72 hpi'!U97</f>
        <v>116.74277186579008</v>
      </c>
    </row>
    <row r="97" spans="1:24" x14ac:dyDescent="0.35">
      <c r="A97">
        <v>624.12199999999996</v>
      </c>
      <c r="B97">
        <f>'1233 P- 72 hpi'!T98</f>
        <v>94.664135162461562</v>
      </c>
      <c r="C97">
        <f>'1233 P- 72 hpi'!U98</f>
        <v>105.09194163439338</v>
      </c>
      <c r="E97">
        <f>'1233 P+ 72 hpi'!T98</f>
        <v>95.500006072563053</v>
      </c>
      <c r="F97">
        <f>'1233 P+ 72 hpi'!U98</f>
        <v>100.94513286691095</v>
      </c>
      <c r="H97">
        <f>'1234 P- 72 hpi'!T98</f>
        <v>62.132083902066775</v>
      </c>
      <c r="I97">
        <f>'1234 P- 72 hpi'!U98</f>
        <v>92.328190872436082</v>
      </c>
      <c r="K97">
        <f>'1234 P+ 72 hpi'!T98</f>
        <v>65.343451206060848</v>
      </c>
      <c r="L97">
        <f>'1234 P+ 72 hpi'!U98</f>
        <v>83.438581699215888</v>
      </c>
      <c r="N97">
        <f>'1250 P- 72 hpi'!T98</f>
        <v>95.57794739126831</v>
      </c>
      <c r="O97">
        <f>'1250 P- 72 hpi'!U98</f>
        <v>103.00569441880442</v>
      </c>
      <c r="Q97">
        <f>'1250 P+ 72 hpi'!T98</f>
        <v>81.520695682754635</v>
      </c>
      <c r="R97">
        <f>'1250 P+ 72 hpi'!U98</f>
        <v>95.159636030372411</v>
      </c>
      <c r="T97">
        <f>'1480 P- 72 hpi'!T98</f>
        <v>99.090148423969524</v>
      </c>
      <c r="U97">
        <f>'1480 P- 72 hpi'!U98</f>
        <v>106.4221875033944</v>
      </c>
      <c r="W97">
        <f>'NAD003 P+ 72 hpi'!T98</f>
        <v>102.65033825166844</v>
      </c>
      <c r="X97">
        <f>'NAD003 P+ 72 hpi'!U98</f>
        <v>117.98534178929489</v>
      </c>
    </row>
    <row r="98" spans="1:24" x14ac:dyDescent="0.35">
      <c r="A98">
        <v>630.39800000000002</v>
      </c>
      <c r="B98">
        <f>'1233 P- 72 hpi'!T99</f>
        <v>94.764443582012731</v>
      </c>
      <c r="C98">
        <f>'1233 P- 72 hpi'!U99</f>
        <v>104.2706508521657</v>
      </c>
      <c r="E98">
        <f>'1233 P+ 72 hpi'!T99</f>
        <v>96.172821515946595</v>
      </c>
      <c r="F98">
        <f>'1233 P+ 72 hpi'!U99</f>
        <v>103.43950688847815</v>
      </c>
      <c r="H98">
        <f>'1234 P- 72 hpi'!T99</f>
        <v>62.360114146699694</v>
      </c>
      <c r="I98">
        <f>'1234 P- 72 hpi'!U99</f>
        <v>94.500526603297274</v>
      </c>
      <c r="K98">
        <f>'1234 P+ 72 hpi'!T99</f>
        <v>65.445975579580434</v>
      </c>
      <c r="L98">
        <f>'1234 P+ 72 hpi'!U99</f>
        <v>82.669419839458072</v>
      </c>
      <c r="N98">
        <f>'1250 P- 72 hpi'!T99</f>
        <v>95.833747030483536</v>
      </c>
      <c r="O98">
        <f>'1250 P- 72 hpi'!U99</f>
        <v>102.09019540756178</v>
      </c>
      <c r="Q98">
        <f>'1250 P+ 72 hpi'!T99</f>
        <v>81.71660996571191</v>
      </c>
      <c r="R98">
        <f>'1250 P+ 72 hpi'!U99</f>
        <v>95.263662865057029</v>
      </c>
      <c r="T98">
        <f>'1480 P- 72 hpi'!T99</f>
        <v>99.222099274361099</v>
      </c>
      <c r="U98">
        <f>'1480 P- 72 hpi'!U99</f>
        <v>106.1825712369404</v>
      </c>
      <c r="W98">
        <f>'NAD003 P+ 72 hpi'!T99</f>
        <v>103.1201749020957</v>
      </c>
      <c r="X98">
        <f>'NAD003 P+ 72 hpi'!U99</f>
        <v>117.84805449101427</v>
      </c>
    </row>
    <row r="99" spans="1:24" x14ac:dyDescent="0.35">
      <c r="A99">
        <v>636.58100000000002</v>
      </c>
      <c r="B99">
        <f>'1233 P- 72 hpi'!T100</f>
        <v>94.878252069091261</v>
      </c>
      <c r="C99">
        <f>'1233 P- 72 hpi'!U100</f>
        <v>103.25342301905884</v>
      </c>
      <c r="E99">
        <f>'1233 P+ 72 hpi'!T100</f>
        <v>96.179270556437501</v>
      </c>
      <c r="F99">
        <f>'1233 P+ 72 hpi'!U100</f>
        <v>102.53532643797004</v>
      </c>
      <c r="H99">
        <f>'1234 P- 72 hpi'!T100</f>
        <v>62.327300845201883</v>
      </c>
      <c r="I99">
        <f>'1234 P- 72 hpi'!U100</f>
        <v>93.858212407016296</v>
      </c>
      <c r="K99">
        <f>'1234 P+ 72 hpi'!T100</f>
        <v>65.353880516828298</v>
      </c>
      <c r="L99">
        <f>'1234 P+ 72 hpi'!U100</f>
        <v>79.636292907251487</v>
      </c>
      <c r="N99">
        <f>'1250 P- 72 hpi'!T100</f>
        <v>96.029299052341074</v>
      </c>
      <c r="O99">
        <f>'1250 P- 72 hpi'!U100</f>
        <v>100.70738918379602</v>
      </c>
      <c r="Q99">
        <f>'1250 P+ 72 hpi'!T100</f>
        <v>81.955738702688564</v>
      </c>
      <c r="R99">
        <f>'1250 P+ 72 hpi'!U100</f>
        <v>94.605676715315582</v>
      </c>
      <c r="T99">
        <f>'1480 P- 72 hpi'!T100</f>
        <v>99.56258685180569</v>
      </c>
      <c r="U99">
        <f>'1480 P- 72 hpi'!U100</f>
        <v>104.59683263565439</v>
      </c>
      <c r="W99">
        <f>'NAD003 P+ 72 hpi'!T100</f>
        <v>103.7378260553827</v>
      </c>
      <c r="X99">
        <f>'NAD003 P+ 72 hpi'!U100</f>
        <v>119.07375477767242</v>
      </c>
    </row>
    <row r="100" spans="1:24" x14ac:dyDescent="0.35">
      <c r="A100">
        <v>642.83500000000004</v>
      </c>
      <c r="B100">
        <f>'1233 P- 72 hpi'!T101</f>
        <v>95.169764873005803</v>
      </c>
      <c r="C100">
        <f>'1233 P- 72 hpi'!U101</f>
        <v>103.15979660603354</v>
      </c>
      <c r="E100">
        <f>'1233 P+ 72 hpi'!T101</f>
        <v>96.475751277196252</v>
      </c>
      <c r="F100">
        <f>'1233 P+ 72 hpi'!U101</f>
        <v>101.22561729545234</v>
      </c>
      <c r="H100">
        <f>'1234 P- 72 hpi'!T101</f>
        <v>62.706134162165164</v>
      </c>
      <c r="I100">
        <f>'1234 P- 72 hpi'!U101</f>
        <v>95.702695405835172</v>
      </c>
      <c r="K100">
        <f>'1234 P+ 72 hpi'!T101</f>
        <v>65.508254122250435</v>
      </c>
      <c r="L100">
        <f>'1234 P+ 72 hpi'!U101</f>
        <v>80.858152265622138</v>
      </c>
      <c r="N100">
        <f>'1250 P- 72 hpi'!T101</f>
        <v>96.363823281801999</v>
      </c>
      <c r="O100">
        <f>'1250 P- 72 hpi'!U101</f>
        <v>100.78244128220986</v>
      </c>
      <c r="Q100">
        <f>'1250 P+ 72 hpi'!T101</f>
        <v>82.524860413618455</v>
      </c>
      <c r="R100">
        <f>'1250 P+ 72 hpi'!U101</f>
        <v>95.755012117682156</v>
      </c>
      <c r="T100">
        <f>'1480 P- 72 hpi'!T101</f>
        <v>99.87714556057955</v>
      </c>
      <c r="U100">
        <f>'1480 P- 72 hpi'!U101</f>
        <v>105.41239591611172</v>
      </c>
      <c r="W100">
        <f>'NAD003 P+ 72 hpi'!T101</f>
        <v>104.10740383289956</v>
      </c>
      <c r="X100">
        <f>'NAD003 P+ 72 hpi'!U101</f>
        <v>118.53111434968696</v>
      </c>
    </row>
    <row r="101" spans="1:24" x14ac:dyDescent="0.35">
      <c r="A101">
        <v>649.06100000000004</v>
      </c>
      <c r="B101">
        <f>'1233 P- 72 hpi'!T102</f>
        <v>95.392042829293516</v>
      </c>
      <c r="C101">
        <f>'1233 P- 72 hpi'!U102</f>
        <v>103.83325498364145</v>
      </c>
      <c r="E101">
        <f>'1233 P+ 72 hpi'!T102</f>
        <v>96.858410174633264</v>
      </c>
      <c r="F101">
        <f>'1233 P+ 72 hpi'!U102</f>
        <v>102.00490180291661</v>
      </c>
      <c r="H101">
        <f>'1234 P- 72 hpi'!T102</f>
        <v>62.75051416018389</v>
      </c>
      <c r="I101">
        <f>'1234 P- 72 hpi'!U102</f>
        <v>95.000403804891548</v>
      </c>
      <c r="K101">
        <f>'1234 P+ 72 hpi'!T102</f>
        <v>65.587216815887359</v>
      </c>
      <c r="L101">
        <f>'1234 P+ 72 hpi'!U102</f>
        <v>82.495398594990405</v>
      </c>
      <c r="N101">
        <f>'1250 P- 72 hpi'!T102</f>
        <v>96.707460407535009</v>
      </c>
      <c r="O101">
        <f>'1250 P- 72 hpi'!U102</f>
        <v>101.60282852326607</v>
      </c>
      <c r="Q101">
        <f>'1250 P+ 72 hpi'!T102</f>
        <v>82.415900381394792</v>
      </c>
      <c r="R101">
        <f>'1250 P+ 72 hpi'!U102</f>
        <v>94.551941756083806</v>
      </c>
      <c r="T101">
        <f>'1480 P- 72 hpi'!T102</f>
        <v>100.18421725688567</v>
      </c>
      <c r="U101">
        <f>'1480 P- 72 hpi'!U102</f>
        <v>105.70471477456152</v>
      </c>
      <c r="W101">
        <f>'NAD003 P+ 72 hpi'!T102</f>
        <v>104.75482051366549</v>
      </c>
      <c r="X101">
        <f>'NAD003 P+ 72 hpi'!U102</f>
        <v>120.38437263650493</v>
      </c>
    </row>
    <row r="102" spans="1:24" x14ac:dyDescent="0.35">
      <c r="A102">
        <v>655.28099999999995</v>
      </c>
      <c r="B102">
        <f>'1233 P- 72 hpi'!T103</f>
        <v>95.832606710530328</v>
      </c>
      <c r="C102">
        <f>'1233 P- 72 hpi'!U103</f>
        <v>104.29203806428968</v>
      </c>
      <c r="E102">
        <f>'1233 P+ 72 hpi'!T103</f>
        <v>97.463037033951338</v>
      </c>
      <c r="F102">
        <f>'1233 P+ 72 hpi'!U103</f>
        <v>104.04433242703546</v>
      </c>
      <c r="H102">
        <f>'1234 P- 72 hpi'!T103</f>
        <v>62.873181131070844</v>
      </c>
      <c r="I102">
        <f>'1234 P- 72 hpi'!U103</f>
        <v>95.493896125609197</v>
      </c>
      <c r="K102">
        <f>'1234 P+ 72 hpi'!T103</f>
        <v>66.253969334437414</v>
      </c>
      <c r="L102">
        <f>'1234 P+ 72 hpi'!U103</f>
        <v>88.257728175128648</v>
      </c>
      <c r="N102">
        <f>'1250 P- 72 hpi'!T103</f>
        <v>97.034132822479137</v>
      </c>
      <c r="O102">
        <f>'1250 P- 72 hpi'!U103</f>
        <v>100.73960793300252</v>
      </c>
      <c r="Q102">
        <f>'1250 P+ 72 hpi'!T103</f>
        <v>82.81175897636912</v>
      </c>
      <c r="R102">
        <f>'1250 P+ 72 hpi'!U103</f>
        <v>94.745987142759503</v>
      </c>
      <c r="T102">
        <f>'1480 P- 72 hpi'!T103</f>
        <v>100.67072648070837</v>
      </c>
      <c r="U102">
        <f>'1480 P- 72 hpi'!U103</f>
        <v>105.18404495143919</v>
      </c>
      <c r="W102">
        <f>'NAD003 P+ 72 hpi'!T103</f>
        <v>105.24504901285471</v>
      </c>
      <c r="X102">
        <f>'NAD003 P+ 72 hpi'!U103</f>
        <v>120.1694630808511</v>
      </c>
    </row>
    <row r="103" spans="1:24" x14ac:dyDescent="0.35">
      <c r="A103">
        <v>661.45299999999997</v>
      </c>
      <c r="B103">
        <f>'1233 P- 72 hpi'!T104</f>
        <v>96.083619443312685</v>
      </c>
      <c r="C103">
        <f>'1233 P- 72 hpi'!U104</f>
        <v>104.00914161593262</v>
      </c>
      <c r="E103">
        <f>'1233 P+ 72 hpi'!T104</f>
        <v>97.913167957664342</v>
      </c>
      <c r="F103">
        <f>'1233 P+ 72 hpi'!U104</f>
        <v>103.90125965179931</v>
      </c>
      <c r="H103">
        <f>'1234 P- 72 hpi'!T104</f>
        <v>63.195710201545573</v>
      </c>
      <c r="I103">
        <f>'1234 P- 72 hpi'!U104</f>
        <v>96.093323960786662</v>
      </c>
      <c r="K103">
        <f>'1234 P+ 72 hpi'!T104</f>
        <v>66.5065571666143</v>
      </c>
      <c r="L103">
        <f>'1234 P+ 72 hpi'!U104</f>
        <v>88.953156119543053</v>
      </c>
      <c r="N103">
        <f>'1250 P- 72 hpi'!T104</f>
        <v>97.180390425077846</v>
      </c>
      <c r="O103">
        <f>'1250 P- 72 hpi'!U104</f>
        <v>100.46988950447496</v>
      </c>
      <c r="Q103">
        <f>'1250 P+ 72 hpi'!T104</f>
        <v>83.089762304753521</v>
      </c>
      <c r="R103">
        <f>'1250 P+ 72 hpi'!U104</f>
        <v>95.681769356809951</v>
      </c>
      <c r="T103">
        <f>'1480 P- 72 hpi'!T104</f>
        <v>100.97361374691268</v>
      </c>
      <c r="U103">
        <f>'1480 P- 72 hpi'!U104</f>
        <v>105.72601288521339</v>
      </c>
      <c r="W103">
        <f>'NAD003 P+ 72 hpi'!T104</f>
        <v>105.60298336188663</v>
      </c>
      <c r="X103">
        <f>'NAD003 P+ 72 hpi'!U104</f>
        <v>120.62244650623093</v>
      </c>
    </row>
    <row r="104" spans="1:24" x14ac:dyDescent="0.35">
      <c r="A104">
        <v>667.70500000000004</v>
      </c>
      <c r="B104">
        <f>'1233 P- 72 hpi'!T105</f>
        <v>96.217239368938763</v>
      </c>
      <c r="C104">
        <f>'1233 P- 72 hpi'!U105</f>
        <v>104.5350292477447</v>
      </c>
      <c r="E104">
        <f>'1233 P+ 72 hpi'!T105</f>
        <v>98.227227538726723</v>
      </c>
      <c r="F104">
        <f>'1233 P+ 72 hpi'!U105</f>
        <v>105.33418294768424</v>
      </c>
      <c r="H104">
        <f>'1234 P- 72 hpi'!T105</f>
        <v>63.426239386828776</v>
      </c>
      <c r="I104">
        <f>'1234 P- 72 hpi'!U105</f>
        <v>95.330146942088405</v>
      </c>
      <c r="K104">
        <f>'1234 P+ 72 hpi'!T105</f>
        <v>66.511550442254673</v>
      </c>
      <c r="L104">
        <f>'1234 P+ 72 hpi'!U105</f>
        <v>88.763986925323678</v>
      </c>
      <c r="N104">
        <f>'1250 P- 72 hpi'!T105</f>
        <v>97.393901183267914</v>
      </c>
      <c r="O104">
        <f>'1250 P- 72 hpi'!U105</f>
        <v>99.693594192227224</v>
      </c>
      <c r="Q104">
        <f>'1250 P+ 72 hpi'!T105</f>
        <v>82.98892096255635</v>
      </c>
      <c r="R104">
        <f>'1250 P+ 72 hpi'!U105</f>
        <v>93.845196490355761</v>
      </c>
      <c r="T104">
        <f>'1480 P- 72 hpi'!T105</f>
        <v>101.29458932776019</v>
      </c>
      <c r="U104">
        <f>'1480 P- 72 hpi'!U105</f>
        <v>105.76936550426113</v>
      </c>
      <c r="W104">
        <f>'NAD003 P+ 72 hpi'!T105</f>
        <v>105.85800879798492</v>
      </c>
      <c r="X104">
        <f>'NAD003 P+ 72 hpi'!U105</f>
        <v>120.59566309474107</v>
      </c>
    </row>
    <row r="105" spans="1:24" x14ac:dyDescent="0.35">
      <c r="A105">
        <v>673.85199999999998</v>
      </c>
      <c r="B105">
        <f>'1233 P- 72 hpi'!T106</f>
        <v>96.508214826566942</v>
      </c>
      <c r="C105">
        <f>'1233 P- 72 hpi'!U106</f>
        <v>105.33318170383889</v>
      </c>
      <c r="E105">
        <f>'1233 P+ 72 hpi'!T106</f>
        <v>98.146369990975813</v>
      </c>
      <c r="F105">
        <f>'1233 P+ 72 hpi'!U106</f>
        <v>104.63976640606685</v>
      </c>
      <c r="H105">
        <f>'1234 P- 72 hpi'!T106</f>
        <v>63.522822735676407</v>
      </c>
      <c r="I105">
        <f>'1234 P- 72 hpi'!U106</f>
        <v>95.958146113024384</v>
      </c>
      <c r="K105">
        <f>'1234 P+ 72 hpi'!T106</f>
        <v>66.24823011262653</v>
      </c>
      <c r="L105">
        <f>'1234 P+ 72 hpi'!U106</f>
        <v>84.484110065549942</v>
      </c>
      <c r="N105">
        <f>'1250 P- 72 hpi'!T106</f>
        <v>97.598551199027725</v>
      </c>
      <c r="O105">
        <f>'1250 P- 72 hpi'!U106</f>
        <v>100.2567387805373</v>
      </c>
      <c r="Q105">
        <f>'1250 P+ 72 hpi'!T106</f>
        <v>83.293632286694972</v>
      </c>
      <c r="R105">
        <f>'1250 P+ 72 hpi'!U106</f>
        <v>93.651786324627366</v>
      </c>
      <c r="T105">
        <f>'1480 P- 72 hpi'!T106</f>
        <v>101.41910364853352</v>
      </c>
      <c r="U105">
        <f>'1480 P- 72 hpi'!U106</f>
        <v>106.02188530659608</v>
      </c>
      <c r="W105">
        <f>'NAD003 P+ 72 hpi'!T106</f>
        <v>106.1997912786281</v>
      </c>
      <c r="X105">
        <f>'NAD003 P+ 72 hpi'!U106</f>
        <v>121.0422114348541</v>
      </c>
    </row>
    <row r="106" spans="1:24" x14ac:dyDescent="0.35">
      <c r="A106">
        <v>680.23400000000004</v>
      </c>
      <c r="B106">
        <f>'1233 P- 72 hpi'!T107</f>
        <v>96.674573651039964</v>
      </c>
      <c r="C106">
        <f>'1233 P- 72 hpi'!U107</f>
        <v>104.8321514626853</v>
      </c>
      <c r="E106">
        <f>'1233 P+ 72 hpi'!T107</f>
        <v>98.365622807453505</v>
      </c>
      <c r="F106">
        <f>'1233 P+ 72 hpi'!U107</f>
        <v>104.45721672956026</v>
      </c>
      <c r="H106">
        <f>'1234 P- 72 hpi'!T107</f>
        <v>63.664450131109191</v>
      </c>
      <c r="I106">
        <f>'1234 P- 72 hpi'!U107</f>
        <v>96.2115835916088</v>
      </c>
      <c r="K106">
        <f>'1234 P+ 72 hpi'!T107</f>
        <v>66.778395085782336</v>
      </c>
      <c r="L106">
        <f>'1234 P+ 72 hpi'!U107</f>
        <v>88.091597120977809</v>
      </c>
      <c r="N106">
        <f>'1250 P- 72 hpi'!T107</f>
        <v>97.743477931266554</v>
      </c>
      <c r="O106">
        <f>'1250 P- 72 hpi'!U107</f>
        <v>100.35491517060156</v>
      </c>
      <c r="Q106">
        <f>'1250 P+ 72 hpi'!T107</f>
        <v>83.350192927067127</v>
      </c>
      <c r="R106">
        <f>'1250 P+ 72 hpi'!U107</f>
        <v>93.31314728966845</v>
      </c>
      <c r="T106">
        <f>'1480 P- 72 hpi'!T107</f>
        <v>101.70077947616512</v>
      </c>
      <c r="U106">
        <f>'1480 P- 72 hpi'!U107</f>
        <v>107.02915668808903</v>
      </c>
      <c r="W106">
        <f>'NAD003 P+ 72 hpi'!T107</f>
        <v>106.57870451546091</v>
      </c>
      <c r="X106">
        <f>'NAD003 P+ 72 hpi'!U107</f>
        <v>121.22632281489521</v>
      </c>
    </row>
    <row r="107" spans="1:24" x14ac:dyDescent="0.35">
      <c r="A107">
        <v>686.39200000000005</v>
      </c>
      <c r="B107">
        <f>'1233 P- 72 hpi'!T108</f>
        <v>96.721292003055154</v>
      </c>
      <c r="C107">
        <f>'1233 P- 72 hpi'!U108</f>
        <v>104.66523913514054</v>
      </c>
      <c r="E107">
        <f>'1233 P+ 72 hpi'!T108</f>
        <v>98.320819046087678</v>
      </c>
      <c r="F107">
        <f>'1233 P+ 72 hpi'!U108</f>
        <v>103.20924078153371</v>
      </c>
      <c r="H107">
        <f>'1234 P- 72 hpi'!T108</f>
        <v>63.695685836885993</v>
      </c>
      <c r="I107">
        <f>'1234 P- 72 hpi'!U108</f>
        <v>96.543238062802558</v>
      </c>
      <c r="K107">
        <f>'1234 P+ 72 hpi'!T108</f>
        <v>66.714961822469647</v>
      </c>
      <c r="L107">
        <f>'1234 P+ 72 hpi'!U108</f>
        <v>85.801013510286637</v>
      </c>
      <c r="N107">
        <f>'1250 P- 72 hpi'!T108</f>
        <v>97.917351736031165</v>
      </c>
      <c r="O107">
        <f>'1250 P- 72 hpi'!U108</f>
        <v>100.35872991274597</v>
      </c>
      <c r="Q107">
        <f>'1250 P+ 72 hpi'!T108</f>
        <v>83.656235686619596</v>
      </c>
      <c r="R107">
        <f>'1250 P+ 72 hpi'!U108</f>
        <v>94.965146221571331</v>
      </c>
      <c r="T107">
        <f>'1480 P- 72 hpi'!T108</f>
        <v>101.88396739465372</v>
      </c>
      <c r="U107">
        <f>'1480 P- 72 hpi'!U108</f>
        <v>107.35010503353008</v>
      </c>
      <c r="W107">
        <f>'NAD003 P+ 72 hpi'!T108</f>
        <v>106.8107302638518</v>
      </c>
      <c r="X107">
        <f>'NAD003 P+ 72 hpi'!U108</f>
        <v>121.52523569756923</v>
      </c>
    </row>
    <row r="108" spans="1:24" x14ac:dyDescent="0.35">
      <c r="A108">
        <v>692.49400000000003</v>
      </c>
      <c r="B108">
        <f>'1233 P- 72 hpi'!T109</f>
        <v>96.987355141822562</v>
      </c>
      <c r="C108">
        <f>'1233 P- 72 hpi'!U109</f>
        <v>104.32828927481263</v>
      </c>
      <c r="E108">
        <f>'1233 P+ 72 hpi'!T109</f>
        <v>98.7329202767705</v>
      </c>
      <c r="F108">
        <f>'1233 P+ 72 hpi'!U109</f>
        <v>104.43136758061623</v>
      </c>
      <c r="H108">
        <f>'1234 P- 72 hpi'!T109</f>
        <v>63.915416568485433</v>
      </c>
      <c r="I108">
        <f>'1234 P- 72 hpi'!U109</f>
        <v>97.415628227794741</v>
      </c>
      <c r="K108">
        <f>'1234 P+ 72 hpi'!T109</f>
        <v>66.795015054607447</v>
      </c>
      <c r="L108">
        <f>'1234 P+ 72 hpi'!U109</f>
        <v>87.171695288143894</v>
      </c>
      <c r="N108">
        <f>'1250 P- 72 hpi'!T109</f>
        <v>98.091121467552554</v>
      </c>
      <c r="O108">
        <f>'1250 P- 72 hpi'!U109</f>
        <v>100.02893001472462</v>
      </c>
      <c r="Q108">
        <f>'1250 P+ 72 hpi'!T109</f>
        <v>84.10638728597354</v>
      </c>
      <c r="R108">
        <f>'1250 P+ 72 hpi'!U109</f>
        <v>96.413904551647548</v>
      </c>
      <c r="T108">
        <f>'1480 P- 72 hpi'!T109</f>
        <v>101.93493358804854</v>
      </c>
      <c r="U108">
        <f>'1480 P- 72 hpi'!U109</f>
        <v>106.32822538997691</v>
      </c>
      <c r="W108">
        <f>'NAD003 P+ 72 hpi'!T109</f>
        <v>107.52307626673213</v>
      </c>
      <c r="X108">
        <f>'NAD003 P+ 72 hpi'!U109</f>
        <v>123.04768905636399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0FE5-F731-4A9E-9F8B-6A61CCD557D8}">
  <dimension ref="A1:X108"/>
  <sheetViews>
    <sheetView topLeftCell="A56" workbookViewId="0">
      <selection activeCell="T2" activeCellId="1" sqref="N2:N108 T2:T108"/>
    </sheetView>
  </sheetViews>
  <sheetFormatPr defaultColWidth="8.81640625" defaultRowHeight="14.5" x14ac:dyDescent="0.35"/>
  <cols>
    <col min="1" max="1" width="9.453125" bestFit="1" customWidth="1"/>
  </cols>
  <sheetData>
    <row r="1" spans="1:24" x14ac:dyDescent="0.35">
      <c r="A1" t="s">
        <v>5</v>
      </c>
      <c r="B1" t="s">
        <v>50</v>
      </c>
      <c r="C1" t="s">
        <v>51</v>
      </c>
      <c r="E1" t="s">
        <v>52</v>
      </c>
      <c r="F1" t="s">
        <v>53</v>
      </c>
      <c r="H1" t="s">
        <v>54</v>
      </c>
      <c r="I1" t="s">
        <v>55</v>
      </c>
      <c r="K1" t="s">
        <v>56</v>
      </c>
      <c r="L1" t="s">
        <v>57</v>
      </c>
      <c r="N1" t="s">
        <v>58</v>
      </c>
      <c r="O1" t="s">
        <v>59</v>
      </c>
      <c r="Q1" t="s">
        <v>60</v>
      </c>
      <c r="R1" t="s">
        <v>61</v>
      </c>
      <c r="T1" t="s">
        <v>62</v>
      </c>
      <c r="U1" t="s">
        <v>63</v>
      </c>
      <c r="W1" t="s">
        <v>64</v>
      </c>
      <c r="X1" t="s">
        <v>65</v>
      </c>
    </row>
    <row r="2" spans="1:24" x14ac:dyDescent="0.35">
      <c r="A2" s="1">
        <v>6.2718699999999998</v>
      </c>
      <c r="B2">
        <f>'1233 P- 72 hpi'!W3</f>
        <v>0</v>
      </c>
      <c r="C2">
        <f>'1233 P- 72 hpi'!X3</f>
        <v>0</v>
      </c>
      <c r="E2">
        <f>'1233 P+ 72 hpi'!W3</f>
        <v>0</v>
      </c>
      <c r="F2">
        <f>'1233 P+ 72 hpi'!X3</f>
        <v>0</v>
      </c>
      <c r="H2">
        <f>'1234 P- 72 hpi'!W3</f>
        <v>0</v>
      </c>
      <c r="I2">
        <f>'1234 P- 72 hpi'!X3</f>
        <v>0</v>
      </c>
      <c r="K2">
        <f>'1234 P+ 72 hpi'!W3</f>
        <v>0</v>
      </c>
      <c r="L2">
        <f>'1234 P+ 72 hpi'!X3</f>
        <v>0</v>
      </c>
      <c r="N2">
        <f>'1250 P- 72 hpi'!W3</f>
        <v>0</v>
      </c>
      <c r="O2">
        <f>'1250 P- 72 hpi'!X3</f>
        <v>0</v>
      </c>
      <c r="Q2">
        <f>'1250 P+ 72 hpi'!W3</f>
        <v>0</v>
      </c>
      <c r="R2">
        <f>'1250 P+ 72 hpi'!X3</f>
        <v>0</v>
      </c>
      <c r="T2">
        <f>'1480 P- 72 hpi'!W3</f>
        <v>0</v>
      </c>
      <c r="U2">
        <f>'1480 P- 72 hpi'!X3</f>
        <v>0</v>
      </c>
      <c r="W2">
        <f>'NAD003 P+ 72 hpi'!W3</f>
        <v>0</v>
      </c>
      <c r="X2">
        <f>'NAD003 P+ 72 hpi'!X3</f>
        <v>0</v>
      </c>
    </row>
    <row r="3" spans="1:24" x14ac:dyDescent="0.35">
      <c r="A3">
        <v>12.437099999999999</v>
      </c>
      <c r="B3">
        <f>'1233 P- 72 hpi'!W4</f>
        <v>4.7727797402918007E-2</v>
      </c>
      <c r="C3">
        <f>'1233 P- 72 hpi'!X4</f>
        <v>0.28737975263021354</v>
      </c>
      <c r="E3">
        <f>'1233 P+ 72 hpi'!W4</f>
        <v>0.2470286138058384</v>
      </c>
      <c r="F3">
        <f>'1233 P+ 72 hpi'!X4</f>
        <v>1.2804429441874774</v>
      </c>
      <c r="H3">
        <f>'1234 P- 72 hpi'!W4</f>
        <v>0.22956438422374073</v>
      </c>
      <c r="I3">
        <f>'1234 P- 72 hpi'!X4</f>
        <v>1.3398137893285167</v>
      </c>
      <c r="K3">
        <f>'1234 P+ 72 hpi'!W4</f>
        <v>8.0922743453548662E-2</v>
      </c>
      <c r="L3">
        <f>'1234 P+ 72 hpi'!X4</f>
        <v>1.3457969975018287</v>
      </c>
      <c r="N3">
        <f>'1250 P- 72 hpi'!W4</f>
        <v>2.5724470191916447E-2</v>
      </c>
      <c r="O3">
        <f>'1250 P- 72 hpi'!X4</f>
        <v>0.36981565498028007</v>
      </c>
      <c r="Q3">
        <f>'1250 P+ 72 hpi'!W4</f>
        <v>3.4057457797473489E-2</v>
      </c>
      <c r="R3">
        <f>'1250 P+ 72 hpi'!X4</f>
        <v>9.7571627781704251E-2</v>
      </c>
      <c r="T3">
        <f>'1480 P- 72 hpi'!W4</f>
        <v>2.3516554566962295E-2</v>
      </c>
      <c r="U3">
        <f>'1480 P- 72 hpi'!X4</f>
        <v>0.81547404927528788</v>
      </c>
      <c r="W3">
        <f>'NAD003 P+ 72 hpi'!W4</f>
        <v>8.1399543412018716E-2</v>
      </c>
      <c r="X3">
        <f>'NAD003 P+ 72 hpi'!X4</f>
        <v>1.455236624822092</v>
      </c>
    </row>
    <row r="4" spans="1:24" x14ac:dyDescent="0.35">
      <c r="A4">
        <v>18.545500000000001</v>
      </c>
      <c r="B4">
        <f>'1233 P- 72 hpi'!W5</f>
        <v>0.10248275790497949</v>
      </c>
      <c r="C4">
        <f>'1233 P- 72 hpi'!X5</f>
        <v>0.46705937784611723</v>
      </c>
      <c r="E4">
        <f>'1233 P+ 72 hpi'!W5</f>
        <v>0.38908346055205101</v>
      </c>
      <c r="F4">
        <f>'1233 P+ 72 hpi'!X5</f>
        <v>3.0352343057901123</v>
      </c>
      <c r="H4">
        <f>'1234 P- 72 hpi'!W5</f>
        <v>0.2794587045286947</v>
      </c>
      <c r="I4">
        <f>'1234 P- 72 hpi'!X5</f>
        <v>0.89855670799167731</v>
      </c>
      <c r="K4">
        <f>'1234 P+ 72 hpi'!W5</f>
        <v>9.5907198498764501E-2</v>
      </c>
      <c r="L4">
        <f>'1234 P+ 72 hpi'!X5</f>
        <v>0.36091831858481527</v>
      </c>
      <c r="N4">
        <f>'1250 P- 72 hpi'!W5</f>
        <v>7.7384070009617029E-2</v>
      </c>
      <c r="O4">
        <f>'1250 P- 72 hpi'!X5</f>
        <v>1.7690266841985955</v>
      </c>
      <c r="Q4">
        <f>'1250 P+ 72 hpi'!W5</f>
        <v>0.19293216028450644</v>
      </c>
      <c r="R4">
        <f>'1250 P+ 72 hpi'!X5</f>
        <v>0.19242952800902202</v>
      </c>
      <c r="T4">
        <f>'1480 P- 72 hpi'!W5</f>
        <v>4.523936617200236E-2</v>
      </c>
      <c r="U4">
        <f>'1480 P- 72 hpi'!X5</f>
        <v>0.5407735769398796</v>
      </c>
      <c r="W4">
        <f>'NAD003 P+ 72 hpi'!W5</f>
        <v>0.33334794739567997</v>
      </c>
      <c r="X4">
        <f>'NAD003 P+ 72 hpi'!X5</f>
        <v>0.15819159759888635</v>
      </c>
    </row>
    <row r="5" spans="1:24" x14ac:dyDescent="0.35">
      <c r="A5">
        <v>24.791399999999999</v>
      </c>
      <c r="B5">
        <f>'1233 P- 72 hpi'!W6</f>
        <v>9.4842306241529839E-2</v>
      </c>
      <c r="C5">
        <f>'1233 P- 72 hpi'!X6</f>
        <v>0.36311356922200516</v>
      </c>
      <c r="E5">
        <f>'1233 P+ 72 hpi'!W6</f>
        <v>0.30159797262121657</v>
      </c>
      <c r="F5">
        <f>'1233 P+ 72 hpi'!X6</f>
        <v>3.7049653713980391</v>
      </c>
      <c r="H5">
        <f>'1234 P- 72 hpi'!W6</f>
        <v>0.51990878038983723</v>
      </c>
      <c r="I5">
        <f>'1234 P- 72 hpi'!X6</f>
        <v>2.1409720077278882</v>
      </c>
      <c r="K5">
        <f>'1234 P+ 72 hpi'!W6</f>
        <v>1.0412516713607545E-2</v>
      </c>
      <c r="L5">
        <f>'1234 P+ 72 hpi'!X6</f>
        <v>0.17561028132898571</v>
      </c>
      <c r="N5">
        <f>'1250 P- 72 hpi'!W6</f>
        <v>0.20098995570661068</v>
      </c>
      <c r="O5">
        <f>'1250 P- 72 hpi'!X6</f>
        <v>0.36249767556556545</v>
      </c>
      <c r="Q5">
        <f>'1250 P+ 72 hpi'!W6</f>
        <v>1.8621228891134933E-2</v>
      </c>
      <c r="R5">
        <f>'1250 P+ 72 hpi'!X6</f>
        <v>0.5094770617347848</v>
      </c>
      <c r="T5">
        <f>'1480 P- 72 hpi'!W6</f>
        <v>4.671221366730155E-2</v>
      </c>
      <c r="U5">
        <f>'1480 P- 72 hpi'!X6</f>
        <v>1.4181103398078674</v>
      </c>
      <c r="W5">
        <f>'NAD003 P+ 72 hpi'!W6</f>
        <v>0.53077596263946702</v>
      </c>
      <c r="X5">
        <f>'NAD003 P+ 72 hpi'!X6</f>
        <v>1.9670533808451864</v>
      </c>
    </row>
    <row r="6" spans="1:24" x14ac:dyDescent="0.35">
      <c r="A6">
        <v>31.106999999999999</v>
      </c>
      <c r="B6">
        <f>'1233 P- 72 hpi'!W7</f>
        <v>0.18461737394800282</v>
      </c>
      <c r="C6">
        <f>'1233 P- 72 hpi'!X7</f>
        <v>1.4502538042525628</v>
      </c>
      <c r="E6">
        <f>'1233 P+ 72 hpi'!W7</f>
        <v>0.27554760089067543</v>
      </c>
      <c r="F6">
        <f>'1233 P+ 72 hpi'!X7</f>
        <v>1.7048473979891838</v>
      </c>
      <c r="H6">
        <f>'1234 P- 72 hpi'!W7</f>
        <v>0.71443777212882897</v>
      </c>
      <c r="I6">
        <f>'1234 P- 72 hpi'!X7</f>
        <v>2.563233282908099</v>
      </c>
      <c r="K6">
        <f>'1234 P+ 72 hpi'!W7</f>
        <v>8.7021371419844229E-2</v>
      </c>
      <c r="L6">
        <f>'1234 P+ 72 hpi'!X7</f>
        <v>0.43531650343582839</v>
      </c>
      <c r="N6">
        <f>'1250 P- 72 hpi'!W7</f>
        <v>0.29201644784505898</v>
      </c>
      <c r="O6">
        <f>'1250 P- 72 hpi'!X7</f>
        <v>2.0935576214135718</v>
      </c>
      <c r="Q6">
        <f>'1250 P+ 72 hpi'!W7</f>
        <v>6.2687634228879574E-3</v>
      </c>
      <c r="R6">
        <f>'1250 P+ 72 hpi'!X7</f>
        <v>0.61956967869388535</v>
      </c>
      <c r="T6">
        <f>'1480 P- 72 hpi'!W7</f>
        <v>0.14881476802996799</v>
      </c>
      <c r="U6">
        <f>'1480 P- 72 hpi'!X7</f>
        <v>1.3954224679308385</v>
      </c>
      <c r="W6">
        <f>'NAD003 P+ 72 hpi'!W7</f>
        <v>0.26730393975089584</v>
      </c>
      <c r="X6">
        <f>'NAD003 P+ 72 hpi'!X7</f>
        <v>1.4798371416543858</v>
      </c>
    </row>
    <row r="7" spans="1:24" x14ac:dyDescent="0.35">
      <c r="A7">
        <v>37.192399999999999</v>
      </c>
      <c r="B7">
        <f>'1233 P- 72 hpi'!W8</f>
        <v>0.23660350001326658</v>
      </c>
      <c r="C7">
        <f>'1233 P- 72 hpi'!X8</f>
        <v>0.14353669484545245</v>
      </c>
      <c r="E7">
        <f>'1233 P+ 72 hpi'!W8</f>
        <v>0.26288595194333197</v>
      </c>
      <c r="F7">
        <f>'1233 P+ 72 hpi'!X8</f>
        <v>2.491153703710637</v>
      </c>
      <c r="H7">
        <f>'1234 P- 72 hpi'!W8</f>
        <v>0.8337911102264407</v>
      </c>
      <c r="I7">
        <f>'1234 P- 72 hpi'!X8</f>
        <v>3.188430343220495</v>
      </c>
      <c r="K7">
        <f>'1234 P+ 72 hpi'!W8</f>
        <v>4.0498564621621824E-2</v>
      </c>
      <c r="L7">
        <f>'1234 P+ 72 hpi'!X8</f>
        <v>0.40721602189108097</v>
      </c>
      <c r="N7">
        <f>'1250 P- 72 hpi'!W8</f>
        <v>0.19493096409337063</v>
      </c>
      <c r="O7">
        <f>'1250 P- 72 hpi'!X8</f>
        <v>2.0810412321341971</v>
      </c>
      <c r="Q7">
        <f>'1250 P+ 72 hpi'!W8</f>
        <v>0.26761937714960027</v>
      </c>
      <c r="R7">
        <f>'1250 P+ 72 hpi'!X8</f>
        <v>0.32946383448469874</v>
      </c>
      <c r="T7">
        <f>'1480 P- 72 hpi'!W8</f>
        <v>0.20828145044568364</v>
      </c>
      <c r="U7">
        <f>'1480 P- 72 hpi'!X8</f>
        <v>1.4639065365703305</v>
      </c>
      <c r="W7">
        <f>'NAD003 P+ 72 hpi'!W8</f>
        <v>0.58628831459153474</v>
      </c>
      <c r="X7">
        <f>'NAD003 P+ 72 hpi'!X8</f>
        <v>2.1561176583599604</v>
      </c>
    </row>
    <row r="8" spans="1:24" x14ac:dyDescent="0.35">
      <c r="A8">
        <v>43.526200000000003</v>
      </c>
      <c r="B8">
        <f>'1233 P- 72 hpi'!W9</f>
        <v>0.25834012093685566</v>
      </c>
      <c r="C8">
        <f>'1233 P- 72 hpi'!X9</f>
        <v>0.55632170771191791</v>
      </c>
      <c r="E8">
        <f>'1233 P+ 72 hpi'!W9</f>
        <v>0.13795154809070453</v>
      </c>
      <c r="F8">
        <f>'1233 P+ 72 hpi'!X9</f>
        <v>0.58227208205398284</v>
      </c>
      <c r="H8">
        <f>'1234 P- 72 hpi'!W9</f>
        <v>1.1737264228533741</v>
      </c>
      <c r="I8">
        <f>'1234 P- 72 hpi'!X9</f>
        <v>2.2946749627310203</v>
      </c>
      <c r="K8">
        <f>'1234 P+ 72 hpi'!W9</f>
        <v>4.5155192654966925E-2</v>
      </c>
      <c r="L8">
        <f>'1234 P+ 72 hpi'!X9</f>
        <v>1.4595867983164794</v>
      </c>
      <c r="N8">
        <f>'1250 P- 72 hpi'!W9</f>
        <v>0.11067729196394563</v>
      </c>
      <c r="O8">
        <f>'1250 P- 72 hpi'!X9</f>
        <v>0.42461407515026239</v>
      </c>
      <c r="Q8">
        <f>'1250 P+ 72 hpi'!W9</f>
        <v>0.14102130702497107</v>
      </c>
      <c r="R8">
        <f>'1250 P+ 72 hpi'!X9</f>
        <v>0.97719483705853349</v>
      </c>
      <c r="T8">
        <f>'1480 P- 72 hpi'!W9</f>
        <v>0.1259118936002154</v>
      </c>
      <c r="U8">
        <f>'1480 P- 72 hpi'!X9</f>
        <v>0.91169654321513327</v>
      </c>
      <c r="W8">
        <f>'NAD003 P+ 72 hpi'!W9</f>
        <v>0.75305346289738395</v>
      </c>
      <c r="X8">
        <f>'NAD003 P+ 72 hpi'!X9</f>
        <v>2.8926019370471465</v>
      </c>
    </row>
    <row r="9" spans="1:24" x14ac:dyDescent="0.35">
      <c r="A9">
        <v>49.688299999999998</v>
      </c>
      <c r="B9">
        <f>'1233 P- 72 hpi'!W10</f>
        <v>0.2745176147464351</v>
      </c>
      <c r="C9">
        <f>'1233 P- 72 hpi'!X10</f>
        <v>1.0933247727834889</v>
      </c>
      <c r="E9">
        <f>'1233 P+ 72 hpi'!W10</f>
        <v>0.22361740180377865</v>
      </c>
      <c r="F9">
        <f>'1233 P+ 72 hpi'!X10</f>
        <v>1.9696436314014818</v>
      </c>
      <c r="H9">
        <f>'1234 P- 72 hpi'!W10</f>
        <v>1.2642297961786213</v>
      </c>
      <c r="I9">
        <f>'1234 P- 72 hpi'!X10</f>
        <v>2.7665626669859473</v>
      </c>
      <c r="K9">
        <f>'1234 P+ 72 hpi'!W10</f>
        <v>8.0953835177268729E-2</v>
      </c>
      <c r="L9">
        <f>'1234 P+ 72 hpi'!X10</f>
        <v>2.0509386171558646</v>
      </c>
      <c r="N9">
        <f>'1250 P- 72 hpi'!W10</f>
        <v>0.27843188816728309</v>
      </c>
      <c r="O9">
        <f>'1250 P- 72 hpi'!X10</f>
        <v>2.2789267208299346</v>
      </c>
      <c r="Q9">
        <f>'1250 P+ 72 hpi'!W10</f>
        <v>0.15896025535232639</v>
      </c>
      <c r="R9">
        <f>'1250 P+ 72 hpi'!X10</f>
        <v>1.0504349717902528</v>
      </c>
      <c r="T9">
        <f>'1480 P- 72 hpi'!W10</f>
        <v>0.30594418503417947</v>
      </c>
      <c r="U9">
        <f>'1480 P- 72 hpi'!X10</f>
        <v>1.5529867079568445</v>
      </c>
      <c r="W9">
        <f>'NAD003 P+ 72 hpi'!W10</f>
        <v>0.88296056545033252</v>
      </c>
      <c r="X9">
        <f>'NAD003 P+ 72 hpi'!X10</f>
        <v>3.2081985825808701</v>
      </c>
    </row>
    <row r="10" spans="1:24" x14ac:dyDescent="0.35">
      <c r="A10">
        <v>55.8005</v>
      </c>
      <c r="B10">
        <f>'1233 P- 72 hpi'!W11</f>
        <v>0.32053570457919145</v>
      </c>
      <c r="C10">
        <f>'1233 P- 72 hpi'!X11</f>
        <v>0.78297311533965064</v>
      </c>
      <c r="E10">
        <f>'1233 P+ 72 hpi'!W11</f>
        <v>4.9214668973029063E-2</v>
      </c>
      <c r="F10">
        <f>'1233 P+ 72 hpi'!X11</f>
        <v>0.26363734754340129</v>
      </c>
      <c r="H10">
        <f>'1234 P- 72 hpi'!W11</f>
        <v>1.3924042256215099</v>
      </c>
      <c r="I10">
        <f>'1234 P- 72 hpi'!X11</f>
        <v>3.2910607589372343</v>
      </c>
      <c r="K10">
        <f>'1234 P+ 72 hpi'!W11</f>
        <v>0.24506454778698128</v>
      </c>
      <c r="L10">
        <f>'1234 P+ 72 hpi'!X11</f>
        <v>2.9785598694963724</v>
      </c>
      <c r="N10">
        <f>'1250 P- 72 hpi'!W11</f>
        <v>0.23985873948570466</v>
      </c>
      <c r="O10">
        <f>'1250 P- 72 hpi'!X11</f>
        <v>0.73468231444306642</v>
      </c>
      <c r="Q10">
        <f>'1250 P+ 72 hpi'!W11</f>
        <v>0.2040605103754487</v>
      </c>
      <c r="R10">
        <f>'1250 P+ 72 hpi'!X11</f>
        <v>0.74739532497947181</v>
      </c>
      <c r="T10">
        <f>'1480 P- 72 hpi'!W11</f>
        <v>0.2101150813194238</v>
      </c>
      <c r="U10">
        <f>'1480 P- 72 hpi'!X11</f>
        <v>1.5236963586798113</v>
      </c>
      <c r="W10">
        <f>'NAD003 P+ 72 hpi'!W11</f>
        <v>0.7987934847073106</v>
      </c>
      <c r="X10">
        <f>'NAD003 P+ 72 hpi'!X11</f>
        <v>3.1195620141178253</v>
      </c>
    </row>
    <row r="11" spans="1:24" x14ac:dyDescent="0.35">
      <c r="A11">
        <v>62.111400000000003</v>
      </c>
      <c r="B11">
        <f>'1233 P- 72 hpi'!W12</f>
        <v>0.36190836805036036</v>
      </c>
      <c r="C11">
        <f>'1233 P- 72 hpi'!X12</f>
        <v>0.8557794422516537</v>
      </c>
      <c r="E11">
        <f>'1233 P+ 72 hpi'!W12</f>
        <v>9.1350356660981902E-3</v>
      </c>
      <c r="F11">
        <f>'1233 P+ 72 hpi'!X12</f>
        <v>0.17362150100498042</v>
      </c>
      <c r="H11">
        <f>'1234 P- 72 hpi'!W12</f>
        <v>1.6218739566577589</v>
      </c>
      <c r="I11">
        <f>'1234 P- 72 hpi'!X12</f>
        <v>3.9385329563674989</v>
      </c>
      <c r="K11">
        <f>'1234 P+ 72 hpi'!W12</f>
        <v>0.10710289914499782</v>
      </c>
      <c r="L11">
        <f>'1234 P+ 72 hpi'!X12</f>
        <v>1.9312485401266528</v>
      </c>
      <c r="N11">
        <f>'1250 P- 72 hpi'!W12</f>
        <v>0.30406847174627799</v>
      </c>
      <c r="O11">
        <f>'1250 P- 72 hpi'!X12</f>
        <v>2.7605003695870489</v>
      </c>
      <c r="Q11">
        <f>'1250 P+ 72 hpi'!W12</f>
        <v>0.13773324140431953</v>
      </c>
      <c r="R11">
        <f>'1250 P+ 72 hpi'!X12</f>
        <v>1.7370151270602108</v>
      </c>
      <c r="T11">
        <f>'1480 P- 72 hpi'!W12</f>
        <v>0.17462266527248602</v>
      </c>
      <c r="U11">
        <f>'1480 P- 72 hpi'!X12</f>
        <v>1.5468146234974012</v>
      </c>
      <c r="W11">
        <f>'NAD003 P+ 72 hpi'!W12</f>
        <v>0.74710036665707236</v>
      </c>
      <c r="X11">
        <f>'NAD003 P+ 72 hpi'!X12</f>
        <v>2.5580969848692661</v>
      </c>
    </row>
    <row r="12" spans="1:24" x14ac:dyDescent="0.35">
      <c r="A12" s="1">
        <v>68.338800000000006</v>
      </c>
      <c r="B12">
        <f>'1233 P- 72 hpi'!W13</f>
        <v>0.35145062293586848</v>
      </c>
      <c r="C12">
        <f>'1233 P- 72 hpi'!X13</f>
        <v>0.91755100290438663</v>
      </c>
      <c r="E12">
        <f>'1233 P+ 72 hpi'!W13</f>
        <v>0.31313518269907803</v>
      </c>
      <c r="F12">
        <f>'1233 P+ 72 hpi'!X13</f>
        <v>1.433465796691479</v>
      </c>
      <c r="H12">
        <f>'1234 P- 72 hpi'!W13</f>
        <v>1.8780329842314765</v>
      </c>
      <c r="I12">
        <f>'1234 P- 72 hpi'!X13</f>
        <v>4.9132248478747478</v>
      </c>
      <c r="K12">
        <f>'1234 P+ 72 hpi'!W13</f>
        <v>9.3849224327833269E-2</v>
      </c>
      <c r="L12">
        <f>'1234 P+ 72 hpi'!X13</f>
        <v>1.9695460651366048</v>
      </c>
      <c r="N12">
        <f>'1250 P- 72 hpi'!W13</f>
        <v>0.34753382317504011</v>
      </c>
      <c r="O12">
        <f>'1250 P- 72 hpi'!X13</f>
        <v>2.3788088837181758</v>
      </c>
      <c r="Q12">
        <f>'1250 P+ 72 hpi'!W13</f>
        <v>0.1825387301236745</v>
      </c>
      <c r="R12">
        <f>'1250 P+ 72 hpi'!X13</f>
        <v>0.81478752922048159</v>
      </c>
      <c r="T12">
        <f>'1480 P- 72 hpi'!W13</f>
        <v>0.34040981427687134</v>
      </c>
      <c r="U12">
        <f>'1480 P- 72 hpi'!X13</f>
        <v>2.1115709629613861</v>
      </c>
      <c r="W12">
        <f>'NAD003 P+ 72 hpi'!W13</f>
        <v>0.86600142246579281</v>
      </c>
      <c r="X12">
        <f>'NAD003 P+ 72 hpi'!X13</f>
        <v>3.5970736199798523</v>
      </c>
    </row>
    <row r="13" spans="1:24" x14ac:dyDescent="0.35">
      <c r="A13">
        <v>74.508499999999998</v>
      </c>
      <c r="B13">
        <f>'1233 P- 72 hpi'!W14</f>
        <v>0.39723823150574467</v>
      </c>
      <c r="C13">
        <f>'1233 P- 72 hpi'!X14</f>
        <v>0.74188726790127091</v>
      </c>
      <c r="E13">
        <f>'1233 P+ 72 hpi'!W14</f>
        <v>0.35205272144263944</v>
      </c>
      <c r="F13">
        <f>'1233 P+ 72 hpi'!X14</f>
        <v>1.6745306672113784</v>
      </c>
      <c r="H13">
        <f>'1234 P- 72 hpi'!W14</f>
        <v>2.0116427109326982</v>
      </c>
      <c r="I13">
        <f>'1234 P- 72 hpi'!X14</f>
        <v>4.6183077686155496</v>
      </c>
      <c r="K13">
        <f>'1234 P+ 72 hpi'!W14</f>
        <v>0.26810193200219601</v>
      </c>
      <c r="L13">
        <f>'1234 P+ 72 hpi'!X14</f>
        <v>1.6386139430603848</v>
      </c>
      <c r="N13">
        <f>'1250 P- 72 hpi'!W14</f>
        <v>0.38819231568099294</v>
      </c>
      <c r="O13">
        <f>'1250 P- 72 hpi'!X14</f>
        <v>2.1539025511143062</v>
      </c>
      <c r="Q13">
        <f>'1250 P+ 72 hpi'!W14</f>
        <v>0.11946216686970956</v>
      </c>
      <c r="R13">
        <f>'1250 P+ 72 hpi'!X14</f>
        <v>1.0814778697501524</v>
      </c>
      <c r="T13">
        <f>'1480 P- 72 hpi'!W14</f>
        <v>0.31281394051131761</v>
      </c>
      <c r="U13">
        <f>'1480 P- 72 hpi'!X14</f>
        <v>1.404755298872292</v>
      </c>
      <c r="W13">
        <f>'NAD003 P+ 72 hpi'!W14</f>
        <v>0.93007903209151266</v>
      </c>
      <c r="X13">
        <f>'NAD003 P+ 72 hpi'!X14</f>
        <v>2.763547852820281</v>
      </c>
    </row>
    <row r="14" spans="1:24" x14ac:dyDescent="0.35">
      <c r="A14">
        <v>80.784599999999998</v>
      </c>
      <c r="B14">
        <f>'1233 P- 72 hpi'!W15</f>
        <v>0.44123105886574715</v>
      </c>
      <c r="C14">
        <f>'1233 P- 72 hpi'!X15</f>
        <v>1.368575257731131</v>
      </c>
      <c r="E14">
        <f>'1233 P+ 72 hpi'!W15</f>
        <v>0.37103464791101004</v>
      </c>
      <c r="F14">
        <f>'1233 P+ 72 hpi'!X15</f>
        <v>2.1112692241209317</v>
      </c>
      <c r="H14">
        <f>'1234 P- 72 hpi'!W15</f>
        <v>2.1231441614204267</v>
      </c>
      <c r="I14">
        <f>'1234 P- 72 hpi'!X15</f>
        <v>4.836735671488408</v>
      </c>
      <c r="K14">
        <f>'1234 P+ 72 hpi'!W15</f>
        <v>0.26331008801165723</v>
      </c>
      <c r="L14">
        <f>'1234 P+ 72 hpi'!X15</f>
        <v>1.6810215451979715</v>
      </c>
      <c r="N14">
        <f>'1250 P- 72 hpi'!W15</f>
        <v>0.28820505644954175</v>
      </c>
      <c r="O14">
        <f>'1250 P- 72 hpi'!X15</f>
        <v>2.6815382741314693</v>
      </c>
      <c r="Q14">
        <f>'1250 P+ 72 hpi'!W15</f>
        <v>0.28554504689614646</v>
      </c>
      <c r="R14">
        <f>'1250 P+ 72 hpi'!X15</f>
        <v>0.85183112460653376</v>
      </c>
      <c r="T14">
        <f>'1480 P- 72 hpi'!W15</f>
        <v>0.28142290733330205</v>
      </c>
      <c r="U14">
        <f>'1480 P- 72 hpi'!X15</f>
        <v>1.5077815740991829</v>
      </c>
      <c r="W14">
        <f>'NAD003 P+ 72 hpi'!W15</f>
        <v>0.88373954770894159</v>
      </c>
      <c r="X14">
        <f>'NAD003 P+ 72 hpi'!X15</f>
        <v>2.3732544143041423</v>
      </c>
    </row>
    <row r="15" spans="1:24" x14ac:dyDescent="0.35">
      <c r="A15">
        <v>86.936599999999999</v>
      </c>
      <c r="B15">
        <f>'1233 P- 72 hpi'!W16</f>
        <v>0.44797281379434573</v>
      </c>
      <c r="C15">
        <f>'1233 P- 72 hpi'!X16</f>
        <v>0.87285321425599227</v>
      </c>
      <c r="E15">
        <f>'1233 P+ 72 hpi'!W16</f>
        <v>0.37661715952769015</v>
      </c>
      <c r="F15">
        <f>'1233 P+ 72 hpi'!X16</f>
        <v>1.597888748792478</v>
      </c>
      <c r="H15">
        <f>'1234 P- 72 hpi'!W16</f>
        <v>2.2030388943154597</v>
      </c>
      <c r="I15">
        <f>'1234 P- 72 hpi'!X16</f>
        <v>4.3093348591939478</v>
      </c>
      <c r="K15">
        <f>'1234 P+ 72 hpi'!W16</f>
        <v>0.24692801221315364</v>
      </c>
      <c r="L15">
        <f>'1234 P+ 72 hpi'!X16</f>
        <v>1.3972568997919765</v>
      </c>
      <c r="N15">
        <f>'1250 P- 72 hpi'!W16</f>
        <v>0.23642874532799527</v>
      </c>
      <c r="O15">
        <f>'1250 P- 72 hpi'!X16</f>
        <v>1.7434233461784039</v>
      </c>
      <c r="Q15">
        <f>'1250 P+ 72 hpi'!W16</f>
        <v>0.20868127459306862</v>
      </c>
      <c r="R15">
        <f>'1250 P+ 72 hpi'!X16</f>
        <v>0.94750570523025601</v>
      </c>
      <c r="T15">
        <f>'1480 P- 72 hpi'!W16</f>
        <v>0.45296694150505301</v>
      </c>
      <c r="U15">
        <f>'1480 P- 72 hpi'!X16</f>
        <v>2.119561073969948</v>
      </c>
      <c r="W15">
        <f>'NAD003 P+ 72 hpi'!W16</f>
        <v>1.1904550671568472</v>
      </c>
      <c r="X15">
        <f>'NAD003 P+ 72 hpi'!X16</f>
        <v>5.604760314435282</v>
      </c>
    </row>
    <row r="16" spans="1:24" x14ac:dyDescent="0.35">
      <c r="A16">
        <v>93.113100000000003</v>
      </c>
      <c r="B16">
        <f>'1233 P- 72 hpi'!W17</f>
        <v>0.52892637542514143</v>
      </c>
      <c r="C16">
        <f>'1233 P- 72 hpi'!X17</f>
        <v>0.83672973370518866</v>
      </c>
      <c r="E16">
        <f>'1233 P+ 72 hpi'!W17</f>
        <v>0.39192708679889421</v>
      </c>
      <c r="F16">
        <f>'1233 P+ 72 hpi'!X17</f>
        <v>1.2957060993114737</v>
      </c>
      <c r="H16">
        <f>'1234 P- 72 hpi'!W17</f>
        <v>2.3887509040492834</v>
      </c>
      <c r="I16">
        <f>'1234 P- 72 hpi'!X17</f>
        <v>4.2734272827705144</v>
      </c>
      <c r="K16">
        <f>'1234 P+ 72 hpi'!W17</f>
        <v>7.7821999385697893E-2</v>
      </c>
      <c r="L16">
        <f>'1234 P+ 72 hpi'!X17</f>
        <v>3.2137344305502609</v>
      </c>
      <c r="N16">
        <f>'1250 P- 72 hpi'!W17</f>
        <v>0.23552204841953608</v>
      </c>
      <c r="O16">
        <f>'1250 P- 72 hpi'!X17</f>
        <v>0.94474065805107688</v>
      </c>
      <c r="Q16">
        <f>'1250 P+ 72 hpi'!W17</f>
        <v>0.19231662631594304</v>
      </c>
      <c r="R16">
        <f>'1250 P+ 72 hpi'!X17</f>
        <v>0.88103551776644906</v>
      </c>
      <c r="T16">
        <f>'1480 P- 72 hpi'!W17</f>
        <v>0.42064532659825526</v>
      </c>
      <c r="U16">
        <f>'1480 P- 72 hpi'!X17</f>
        <v>2.2711694455675526</v>
      </c>
      <c r="W16">
        <f>'NAD003 P+ 72 hpi'!W17</f>
        <v>1.1117598920221212</v>
      </c>
      <c r="X16">
        <f>'NAD003 P+ 72 hpi'!X17</f>
        <v>4.1080721314754811</v>
      </c>
    </row>
    <row r="17" spans="1:24" x14ac:dyDescent="0.35">
      <c r="A17">
        <v>99.351399999999998</v>
      </c>
      <c r="B17">
        <f>'1233 P- 72 hpi'!W18</f>
        <v>0.53182991219384212</v>
      </c>
      <c r="C17">
        <f>'1233 P- 72 hpi'!X18</f>
        <v>0.58460504245195033</v>
      </c>
      <c r="E17">
        <f>'1233 P+ 72 hpi'!W18</f>
        <v>0.58262066748888941</v>
      </c>
      <c r="F17">
        <f>'1233 P+ 72 hpi'!X18</f>
        <v>2.3656852158235608</v>
      </c>
      <c r="H17">
        <f>'1234 P- 72 hpi'!W18</f>
        <v>2.6873134976770947</v>
      </c>
      <c r="I17">
        <f>'1234 P- 72 hpi'!X18</f>
        <v>5.0065966088565288</v>
      </c>
      <c r="K17">
        <f>'1234 P+ 72 hpi'!W18</f>
        <v>0.28776570132280455</v>
      </c>
      <c r="L17">
        <f>'1234 P+ 72 hpi'!X18</f>
        <v>2.4442976008437753</v>
      </c>
      <c r="N17">
        <f>'1250 P- 72 hpi'!W18</f>
        <v>0.2240348008067653</v>
      </c>
      <c r="O17">
        <f>'1250 P- 72 hpi'!X18</f>
        <v>0.7202635826283974</v>
      </c>
      <c r="Q17">
        <f>'1250 P+ 72 hpi'!W18</f>
        <v>0.1965962199352731</v>
      </c>
      <c r="R17">
        <f>'1250 P+ 72 hpi'!X18</f>
        <v>1.1666692747708822</v>
      </c>
      <c r="T17">
        <f>'1480 P- 72 hpi'!W18</f>
        <v>0.33262502395899041</v>
      </c>
      <c r="U17">
        <f>'1480 P- 72 hpi'!X18</f>
        <v>3.1671698392676166</v>
      </c>
      <c r="W17">
        <f>'NAD003 P+ 72 hpi'!W18</f>
        <v>0.7417935335353576</v>
      </c>
      <c r="X17">
        <f>'NAD003 P+ 72 hpi'!X18</f>
        <v>2.6358291055550964</v>
      </c>
    </row>
    <row r="18" spans="1:24" x14ac:dyDescent="0.35">
      <c r="A18">
        <v>105.571</v>
      </c>
      <c r="B18">
        <f>'1233 P- 72 hpi'!W19</f>
        <v>0.57192899033471623</v>
      </c>
      <c r="C18">
        <f>'1233 P- 72 hpi'!X19</f>
        <v>1.7498896414719471</v>
      </c>
      <c r="E18">
        <f>'1233 P+ 72 hpi'!W19</f>
        <v>0.5370264771333737</v>
      </c>
      <c r="F18">
        <f>'1233 P+ 72 hpi'!X19</f>
        <v>0.31360515313481585</v>
      </c>
      <c r="H18">
        <f>'1234 P- 72 hpi'!W19</f>
        <v>2.786854029889942</v>
      </c>
      <c r="I18">
        <f>'1234 P- 72 hpi'!X19</f>
        <v>5.1019315343657397</v>
      </c>
      <c r="K18">
        <f>'1234 P+ 72 hpi'!W19</f>
        <v>0.36326173768507886</v>
      </c>
      <c r="L18">
        <f>'1234 P+ 72 hpi'!X19</f>
        <v>0.94049852920021948</v>
      </c>
      <c r="N18">
        <f>'1250 P- 72 hpi'!W19</f>
        <v>0.19911521521219627</v>
      </c>
      <c r="O18">
        <f>'1250 P- 72 hpi'!X19</f>
        <v>1.34851053418099</v>
      </c>
      <c r="Q18">
        <f>'1250 P+ 72 hpi'!W19</f>
        <v>0.19490193770105435</v>
      </c>
      <c r="R18">
        <f>'1250 P+ 72 hpi'!X19</f>
        <v>1.0347259016469224</v>
      </c>
      <c r="T18">
        <f>'1480 P- 72 hpi'!W19</f>
        <v>0.39204907621620749</v>
      </c>
      <c r="U18">
        <f>'1480 P- 72 hpi'!X19</f>
        <v>2.7261982700081839</v>
      </c>
      <c r="W18">
        <f>'NAD003 P+ 72 hpi'!W19</f>
        <v>0.75567922713927516</v>
      </c>
      <c r="X18">
        <f>'NAD003 P+ 72 hpi'!X19</f>
        <v>2.6787608260274141</v>
      </c>
    </row>
    <row r="19" spans="1:24" x14ac:dyDescent="0.35">
      <c r="A19">
        <v>111.708</v>
      </c>
      <c r="B19">
        <f>'1233 P- 72 hpi'!W20</f>
        <v>0.59235014988108969</v>
      </c>
      <c r="C19">
        <f>'1233 P- 72 hpi'!X20</f>
        <v>1.3533238177132632</v>
      </c>
      <c r="E19">
        <f>'1233 P+ 72 hpi'!W20</f>
        <v>0.51422219567263028</v>
      </c>
      <c r="F19">
        <f>'1233 P+ 72 hpi'!X20</f>
        <v>2.1677750411864665</v>
      </c>
      <c r="H19">
        <f>'1234 P- 72 hpi'!W20</f>
        <v>3.0017863900645976</v>
      </c>
      <c r="I19">
        <f>'1234 P- 72 hpi'!X20</f>
        <v>6.2861933510299828</v>
      </c>
      <c r="K19">
        <f>'1234 P+ 72 hpi'!W20</f>
        <v>0.39147058244474664</v>
      </c>
      <c r="L19">
        <f>'1234 P+ 72 hpi'!X20</f>
        <v>1.1355926022084901</v>
      </c>
      <c r="N19">
        <f>'1250 P- 72 hpi'!W20</f>
        <v>0.25005031867205985</v>
      </c>
      <c r="O19">
        <f>'1250 P- 72 hpi'!X20</f>
        <v>2.0715882489946424</v>
      </c>
      <c r="Q19">
        <f>'1250 P+ 72 hpi'!W20</f>
        <v>0.20365035987419589</v>
      </c>
      <c r="R19">
        <f>'1250 P+ 72 hpi'!X20</f>
        <v>1.3522649522839885</v>
      </c>
      <c r="T19">
        <f>'1480 P- 72 hpi'!W20</f>
        <v>0.35447980759172848</v>
      </c>
      <c r="U19">
        <f>'1480 P- 72 hpi'!X20</f>
        <v>2.8905819731639877</v>
      </c>
      <c r="W19">
        <f>'NAD003 P+ 72 hpi'!W20</f>
        <v>1.112751617008513</v>
      </c>
      <c r="X19">
        <f>'NAD003 P+ 72 hpi'!X20</f>
        <v>5.0952830546010333</v>
      </c>
    </row>
    <row r="20" spans="1:24" x14ac:dyDescent="0.35">
      <c r="A20">
        <v>118.009</v>
      </c>
      <c r="B20">
        <f>'1233 P- 72 hpi'!W21</f>
        <v>0.63985766271452582</v>
      </c>
      <c r="C20">
        <f>'1233 P- 72 hpi'!X21</f>
        <v>2.025423790592582</v>
      </c>
      <c r="E20">
        <f>'1233 P+ 72 hpi'!W21</f>
        <v>0.6352689169500465</v>
      </c>
      <c r="F20">
        <f>'1233 P+ 72 hpi'!X21</f>
        <v>0.71402975062709828</v>
      </c>
      <c r="H20">
        <f>'1234 P- 72 hpi'!W21</f>
        <v>3.1448250673600748</v>
      </c>
      <c r="I20">
        <f>'1234 P- 72 hpi'!X21</f>
        <v>6.1203311124306676</v>
      </c>
      <c r="K20">
        <f>'1234 P+ 72 hpi'!W21</f>
        <v>0.3520217470750211</v>
      </c>
      <c r="L20">
        <f>'1234 P+ 72 hpi'!X21</f>
        <v>0.28180656992934416</v>
      </c>
      <c r="N20">
        <f>'1250 P- 72 hpi'!W21</f>
        <v>0.24778700086020314</v>
      </c>
      <c r="O20">
        <f>'1250 P- 72 hpi'!X21</f>
        <v>2.4834591537965176</v>
      </c>
      <c r="Q20">
        <f>'1250 P+ 72 hpi'!W21</f>
        <v>0.22307817665205931</v>
      </c>
      <c r="R20">
        <f>'1250 P+ 72 hpi'!X21</f>
        <v>1.0013018736814274</v>
      </c>
      <c r="T20">
        <f>'1480 P- 72 hpi'!W21</f>
        <v>0.50268794809637052</v>
      </c>
      <c r="U20">
        <f>'1480 P- 72 hpi'!X21</f>
        <v>2.735575818508551</v>
      </c>
      <c r="W20">
        <f>'NAD003 P+ 72 hpi'!W21</f>
        <v>1.1678412781560894</v>
      </c>
      <c r="X20">
        <f>'NAD003 P+ 72 hpi'!X21</f>
        <v>5.7431611059901613</v>
      </c>
    </row>
    <row r="21" spans="1:24" x14ac:dyDescent="0.35">
      <c r="A21">
        <v>124.221</v>
      </c>
      <c r="B21">
        <f>'1233 P- 72 hpi'!W22</f>
        <v>0.63999385851586588</v>
      </c>
      <c r="C21">
        <f>'1233 P- 72 hpi'!X22</f>
        <v>1.3086435443067828</v>
      </c>
      <c r="E21">
        <f>'1233 P+ 72 hpi'!W22</f>
        <v>0.53041238341830166</v>
      </c>
      <c r="F21">
        <f>'1233 P+ 72 hpi'!X22</f>
        <v>1.4231353368615842</v>
      </c>
      <c r="H21">
        <f>'1234 P- 72 hpi'!W22</f>
        <v>3.5018666262021019</v>
      </c>
      <c r="I21">
        <f>'1234 P- 72 hpi'!X22</f>
        <v>7.1002576076859514</v>
      </c>
      <c r="K21">
        <f>'1234 P+ 72 hpi'!W22</f>
        <v>0.51248796109079109</v>
      </c>
      <c r="L21">
        <f>'1234 P+ 72 hpi'!X22</f>
        <v>0.70096641806489401</v>
      </c>
      <c r="N21">
        <f>'1250 P- 72 hpi'!W22</f>
        <v>0.37129798699993427</v>
      </c>
      <c r="O21">
        <f>'1250 P- 72 hpi'!X22</f>
        <v>1.6623469343290855</v>
      </c>
      <c r="Q21">
        <f>'1250 P+ 72 hpi'!W22</f>
        <v>0.35983539184076818</v>
      </c>
      <c r="R21">
        <f>'1250 P+ 72 hpi'!X22</f>
        <v>0.73093750474987473</v>
      </c>
      <c r="T21">
        <f>'1480 P- 72 hpi'!W22</f>
        <v>0.53656766899128761</v>
      </c>
      <c r="U21">
        <f>'1480 P- 72 hpi'!X22</f>
        <v>2.2934472220524289</v>
      </c>
      <c r="W21">
        <f>'NAD003 P+ 72 hpi'!W22</f>
        <v>1.2006202620023174</v>
      </c>
      <c r="X21">
        <f>'NAD003 P+ 72 hpi'!X22</f>
        <v>5.4203543370511085</v>
      </c>
    </row>
    <row r="22" spans="1:24" x14ac:dyDescent="0.35">
      <c r="A22">
        <v>130.28700000000001</v>
      </c>
      <c r="B22">
        <f>'1233 P- 72 hpi'!W23</f>
        <v>0.63554989861550004</v>
      </c>
      <c r="C22">
        <f>'1233 P- 72 hpi'!X23</f>
        <v>2.7018734739476722</v>
      </c>
      <c r="E22">
        <f>'1233 P+ 72 hpi'!W23</f>
        <v>1.0051028888917415</v>
      </c>
      <c r="F22">
        <f>'1233 P+ 72 hpi'!X23</f>
        <v>3.0007804120735244</v>
      </c>
      <c r="H22">
        <f>'1234 P- 72 hpi'!W23</f>
        <v>3.7167675045591975</v>
      </c>
      <c r="I22">
        <f>'1234 P- 72 hpi'!X23</f>
        <v>8.1426396630101152</v>
      </c>
      <c r="K22">
        <f>'1234 P+ 72 hpi'!W23</f>
        <v>0.5046571067697343</v>
      </c>
      <c r="L22">
        <f>'1234 P+ 72 hpi'!X23</f>
        <v>0.22501659226558246</v>
      </c>
      <c r="N22">
        <f>'1250 P- 72 hpi'!W23</f>
        <v>0.38086185457861987</v>
      </c>
      <c r="O22">
        <f>'1250 P- 72 hpi'!X23</f>
        <v>0.73887812176518841</v>
      </c>
      <c r="Q22">
        <f>'1250 P+ 72 hpi'!W23</f>
        <v>0.34447672237704552</v>
      </c>
      <c r="R22">
        <f>'1250 P+ 72 hpi'!X23</f>
        <v>0.39060994861757337</v>
      </c>
      <c r="T22">
        <f>'1480 P- 72 hpi'!W23</f>
        <v>0.46530529471056975</v>
      </c>
      <c r="U22">
        <f>'1480 P- 72 hpi'!X23</f>
        <v>2.4603764440337708</v>
      </c>
      <c r="W22">
        <f>'NAD003 P+ 72 hpi'!W23</f>
        <v>1.2814438651911573</v>
      </c>
      <c r="X22">
        <f>'NAD003 P+ 72 hpi'!X23</f>
        <v>8.4061512336427597</v>
      </c>
    </row>
    <row r="23" spans="1:24" x14ac:dyDescent="0.35">
      <c r="A23">
        <v>136.62799999999999</v>
      </c>
      <c r="B23">
        <f>'1233 P- 72 hpi'!W24</f>
        <v>0.71420409725985612</v>
      </c>
      <c r="C23">
        <f>'1233 P- 72 hpi'!X24</f>
        <v>3.3489008472798081</v>
      </c>
      <c r="E23">
        <f>'1233 P+ 72 hpi'!W24</f>
        <v>1.0589493681893103</v>
      </c>
      <c r="F23">
        <f>'1233 P+ 72 hpi'!X24</f>
        <v>1.198120143066518</v>
      </c>
      <c r="H23">
        <f>'1234 P- 72 hpi'!W24</f>
        <v>3.8811423790136788</v>
      </c>
      <c r="I23">
        <f>'1234 P- 72 hpi'!X24</f>
        <v>8.1880819054197698</v>
      </c>
      <c r="K23">
        <f>'1234 P+ 72 hpi'!W24</f>
        <v>0.5303636466354007</v>
      </c>
      <c r="L23">
        <f>'1234 P+ 72 hpi'!X24</f>
        <v>0.50911988487152371</v>
      </c>
      <c r="N23">
        <f>'1250 P- 72 hpi'!W24</f>
        <v>0.2128364999679252</v>
      </c>
      <c r="O23">
        <f>'1250 P- 72 hpi'!X24</f>
        <v>1.6117640671394926</v>
      </c>
      <c r="Q23">
        <f>'1250 P+ 72 hpi'!W24</f>
        <v>0.27538886273325147</v>
      </c>
      <c r="R23">
        <f>'1250 P+ 72 hpi'!X24</f>
        <v>1.9372799030822137</v>
      </c>
      <c r="T23">
        <f>'1480 P- 72 hpi'!W24</f>
        <v>0.6282071832604712</v>
      </c>
      <c r="U23">
        <f>'1480 P- 72 hpi'!X24</f>
        <v>2.4556129005456393</v>
      </c>
      <c r="W23">
        <f>'NAD003 P+ 72 hpi'!W24</f>
        <v>1.3833345232163978</v>
      </c>
      <c r="X23">
        <f>'NAD003 P+ 72 hpi'!X24</f>
        <v>8.081695995926836</v>
      </c>
    </row>
    <row r="24" spans="1:24" x14ac:dyDescent="0.35">
      <c r="A24">
        <v>142.79400000000001</v>
      </c>
      <c r="B24">
        <f>'1233 P- 72 hpi'!W25</f>
        <v>0.67877621005170985</v>
      </c>
      <c r="C24">
        <f>'1233 P- 72 hpi'!X25</f>
        <v>2.5764027620516718</v>
      </c>
      <c r="E24">
        <f>'1233 P+ 72 hpi'!W25</f>
        <v>1.2308406717899771</v>
      </c>
      <c r="F24">
        <f>'1233 P+ 72 hpi'!X25</f>
        <v>1.9058011588319843</v>
      </c>
      <c r="H24">
        <f>'1234 P- 72 hpi'!W25</f>
        <v>4.241352898466376</v>
      </c>
      <c r="I24">
        <f>'1234 P- 72 hpi'!X25</f>
        <v>9.1830351327165047</v>
      </c>
      <c r="K24">
        <f>'1234 P+ 72 hpi'!W25</f>
        <v>0.51247024552019838</v>
      </c>
      <c r="L24">
        <f>'1234 P+ 72 hpi'!X25</f>
        <v>2.5263949442589251E-2</v>
      </c>
      <c r="N24">
        <f>'1250 P- 72 hpi'!W25</f>
        <v>0.37329661413295184</v>
      </c>
      <c r="O24">
        <f>'1250 P- 72 hpi'!X25</f>
        <v>0.60445611287519518</v>
      </c>
      <c r="Q24">
        <f>'1250 P+ 72 hpi'!W25</f>
        <v>0.16104893366811268</v>
      </c>
      <c r="R24">
        <f>'1250 P+ 72 hpi'!X25</f>
        <v>1.8746174692939945</v>
      </c>
      <c r="T24">
        <f>'1480 P- 72 hpi'!W25</f>
        <v>0.7495430237350037</v>
      </c>
      <c r="U24">
        <f>'1480 P- 72 hpi'!X25</f>
        <v>3.9612453525620945</v>
      </c>
      <c r="W24">
        <f>'NAD003 P+ 72 hpi'!W25</f>
        <v>1.2045442211161657</v>
      </c>
      <c r="X24">
        <f>'NAD003 P+ 72 hpi'!X25</f>
        <v>6.6190962288887718</v>
      </c>
    </row>
    <row r="25" spans="1:24" x14ac:dyDescent="0.35">
      <c r="A25">
        <v>149.03399999999999</v>
      </c>
      <c r="B25">
        <f>'1233 P- 72 hpi'!W26</f>
        <v>0.70211740301253389</v>
      </c>
      <c r="C25">
        <f>'1233 P- 72 hpi'!X26</f>
        <v>2.6767247591345074</v>
      </c>
      <c r="E25">
        <f>'1233 P+ 72 hpi'!W26</f>
        <v>1.0616233738090912</v>
      </c>
      <c r="F25">
        <f>'1233 P+ 72 hpi'!X26</f>
        <v>0.7655928937495915</v>
      </c>
      <c r="H25">
        <f>'1234 P- 72 hpi'!W26</f>
        <v>4.4320832949654205</v>
      </c>
      <c r="I25">
        <f>'1234 P- 72 hpi'!X26</f>
        <v>9.6378018880064538</v>
      </c>
      <c r="K25">
        <f>'1234 P+ 72 hpi'!W26</f>
        <v>0.44361586962436661</v>
      </c>
      <c r="L25">
        <f>'1234 P+ 72 hpi'!X26</f>
        <v>1.6199188809707152</v>
      </c>
      <c r="N25">
        <f>'1250 P- 72 hpi'!W26</f>
        <v>0.19082545382933674</v>
      </c>
      <c r="O25">
        <f>'1250 P- 72 hpi'!X26</f>
        <v>0.61478781336321608</v>
      </c>
      <c r="Q25">
        <f>'1250 P+ 72 hpi'!W26</f>
        <v>5.2466290028732487E-2</v>
      </c>
      <c r="R25">
        <f>'1250 P+ 72 hpi'!X26</f>
        <v>3.3936263732110348</v>
      </c>
      <c r="T25">
        <f>'1480 P- 72 hpi'!W26</f>
        <v>0.64169940494389999</v>
      </c>
      <c r="U25">
        <f>'1480 P- 72 hpi'!X26</f>
        <v>2.2509935994264461</v>
      </c>
      <c r="W25">
        <f>'NAD003 P+ 72 hpi'!W26</f>
        <v>1.1851610932143615</v>
      </c>
      <c r="X25">
        <f>'NAD003 P+ 72 hpi'!X26</f>
        <v>5.6361722345126921</v>
      </c>
    </row>
    <row r="26" spans="1:24" x14ac:dyDescent="0.35">
      <c r="A26">
        <v>155.125</v>
      </c>
      <c r="B26">
        <f>'1233 P- 72 hpi'!W27</f>
        <v>0.7921186498800199</v>
      </c>
      <c r="C26">
        <f>'1233 P- 72 hpi'!X27</f>
        <v>3.0859118604634697</v>
      </c>
      <c r="E26">
        <f>'1233 P+ 72 hpi'!W27</f>
        <v>1.4032914567006074</v>
      </c>
      <c r="F26">
        <f>'1233 P+ 72 hpi'!X27</f>
        <v>2.5309378337120023</v>
      </c>
      <c r="H26">
        <f>'1234 P- 72 hpi'!W27</f>
        <v>4.6137842735856101</v>
      </c>
      <c r="I26">
        <f>'1234 P- 72 hpi'!X27</f>
        <v>9.0088051397380209</v>
      </c>
      <c r="K26">
        <f>'1234 P+ 72 hpi'!W27</f>
        <v>0.62906373694420381</v>
      </c>
      <c r="L26">
        <f>'1234 P+ 72 hpi'!X27</f>
        <v>0.52329675654131336</v>
      </c>
      <c r="N26">
        <f>'1250 P- 72 hpi'!W27</f>
        <v>0.38387508285925559</v>
      </c>
      <c r="O26">
        <f>'1250 P- 72 hpi'!X27</f>
        <v>0.46456777736657207</v>
      </c>
      <c r="Q26">
        <f>'1250 P+ 72 hpi'!W27</f>
        <v>0.10409364457777315</v>
      </c>
      <c r="R26">
        <f>'1250 P+ 72 hpi'!X27</f>
        <v>3.44652827438847</v>
      </c>
      <c r="T26">
        <f>'1480 P- 72 hpi'!W27</f>
        <v>0.72047930142325867</v>
      </c>
      <c r="U26">
        <f>'1480 P- 72 hpi'!X27</f>
        <v>0.87973864504867727</v>
      </c>
      <c r="W26">
        <f>'NAD003 P+ 72 hpi'!W27</f>
        <v>1.1132118009101717</v>
      </c>
      <c r="X26">
        <f>'NAD003 P+ 72 hpi'!X27</f>
        <v>5.4524530504161532</v>
      </c>
    </row>
    <row r="27" spans="1:24" x14ac:dyDescent="0.35">
      <c r="A27">
        <v>161.47300000000001</v>
      </c>
      <c r="B27">
        <f>'1233 P- 72 hpi'!W28</f>
        <v>0.79902533030652545</v>
      </c>
      <c r="C27">
        <f>'1233 P- 72 hpi'!X28</f>
        <v>2.656232873942403</v>
      </c>
      <c r="E27">
        <f>'1233 P+ 72 hpi'!W28</f>
        <v>1.5545453549632882</v>
      </c>
      <c r="F27">
        <f>'1233 P+ 72 hpi'!X28</f>
        <v>4.615577437038489</v>
      </c>
      <c r="H27">
        <f>'1234 P- 72 hpi'!W28</f>
        <v>4.8873731601318307</v>
      </c>
      <c r="I27">
        <f>'1234 P- 72 hpi'!X28</f>
        <v>10.610944560075813</v>
      </c>
      <c r="K27">
        <f>'1234 P+ 72 hpi'!W28</f>
        <v>0.47543540898864478</v>
      </c>
      <c r="L27">
        <f>'1234 P+ 72 hpi'!X28</f>
        <v>3.1714889159613691</v>
      </c>
      <c r="N27">
        <f>'1250 P- 72 hpi'!W28</f>
        <v>0.30164541558201163</v>
      </c>
      <c r="O27">
        <f>'1250 P- 72 hpi'!X28</f>
        <v>0.31003208428687451</v>
      </c>
      <c r="Q27">
        <f>'1250 P+ 72 hpi'!W28</f>
        <v>0.28459677028697428</v>
      </c>
      <c r="R27">
        <f>'1250 P+ 72 hpi'!X28</f>
        <v>2.2719444437337017</v>
      </c>
      <c r="T27">
        <f>'1480 P- 72 hpi'!W28</f>
        <v>0.83253432584691744</v>
      </c>
      <c r="U27">
        <f>'1480 P- 72 hpi'!X28</f>
        <v>0.99486355088687284</v>
      </c>
      <c r="W27">
        <f>'NAD003 P+ 72 hpi'!W28</f>
        <v>1.1228383395836588</v>
      </c>
      <c r="X27">
        <f>'NAD003 P+ 72 hpi'!X28</f>
        <v>5.0127959715759403</v>
      </c>
    </row>
    <row r="28" spans="1:24" x14ac:dyDescent="0.35">
      <c r="A28">
        <v>167.614</v>
      </c>
      <c r="B28">
        <f>'1233 P- 72 hpi'!W29</f>
        <v>0.83453918275052619</v>
      </c>
      <c r="C28">
        <f>'1233 P- 72 hpi'!X29</f>
        <v>2.9106347041362763</v>
      </c>
      <c r="E28">
        <f>'1233 P+ 72 hpi'!W29</f>
        <v>1.7759059281546214</v>
      </c>
      <c r="F28">
        <f>'1233 P+ 72 hpi'!X29</f>
        <v>5.4241266525046257</v>
      </c>
      <c r="H28">
        <f>'1234 P- 72 hpi'!W29</f>
        <v>5.222474495081725</v>
      </c>
      <c r="I28">
        <f>'1234 P- 72 hpi'!X29</f>
        <v>8.52727927828143</v>
      </c>
      <c r="K28">
        <f>'1234 P+ 72 hpi'!W29</f>
        <v>0.38575256433669119</v>
      </c>
      <c r="L28">
        <f>'1234 P+ 72 hpi'!X29</f>
        <v>4.948111723474014</v>
      </c>
      <c r="N28">
        <f>'1250 P- 72 hpi'!W29</f>
        <v>0.36680795463290888</v>
      </c>
      <c r="O28">
        <f>'1250 P- 72 hpi'!X29</f>
        <v>0.2830884733808024</v>
      </c>
      <c r="Q28">
        <f>'1250 P+ 72 hpi'!W29</f>
        <v>5.4748609261679348E-2</v>
      </c>
      <c r="R28">
        <f>'1250 P+ 72 hpi'!X29</f>
        <v>3.9313298165268407</v>
      </c>
      <c r="T28">
        <f>'1480 P- 72 hpi'!W29</f>
        <v>0.86327908565100664</v>
      </c>
      <c r="U28">
        <f>'1480 P- 72 hpi'!X29</f>
        <v>2.0967485225765756</v>
      </c>
      <c r="W28">
        <f>'NAD003 P+ 72 hpi'!W29</f>
        <v>1.2157901601252732</v>
      </c>
      <c r="X28">
        <f>'NAD003 P+ 72 hpi'!X29</f>
        <v>5.4034902982053694</v>
      </c>
    </row>
    <row r="29" spans="1:24" x14ac:dyDescent="0.35">
      <c r="A29">
        <v>173.85</v>
      </c>
      <c r="B29">
        <f>'1233 P- 72 hpi'!W30</f>
        <v>0.84541691090059323</v>
      </c>
      <c r="C29">
        <f>'1233 P- 72 hpi'!X30</f>
        <v>2.7256591683037894</v>
      </c>
      <c r="E29">
        <f>'1233 P+ 72 hpi'!W30</f>
        <v>1.5555610922966778</v>
      </c>
      <c r="F29">
        <f>'1233 P+ 72 hpi'!X30</f>
        <v>2.9498121408781159</v>
      </c>
      <c r="H29">
        <f>'1234 P- 72 hpi'!W30</f>
        <v>5.4939583380918764</v>
      </c>
      <c r="I29">
        <f>'1234 P- 72 hpi'!X30</f>
        <v>9.9373520649618907</v>
      </c>
      <c r="K29">
        <f>'1234 P+ 72 hpi'!W30</f>
        <v>0.5407411845114396</v>
      </c>
      <c r="L29">
        <f>'1234 P+ 72 hpi'!X30</f>
        <v>2.70897209576016</v>
      </c>
      <c r="N29">
        <f>'1250 P- 72 hpi'!W30</f>
        <v>0.60019672881776964</v>
      </c>
      <c r="O29">
        <f>'1250 P- 72 hpi'!X30</f>
        <v>1.362940506021517</v>
      </c>
      <c r="Q29">
        <f>'1250 P+ 72 hpi'!W30</f>
        <v>0.28106361682768011</v>
      </c>
      <c r="R29">
        <f>'1250 P+ 72 hpi'!X30</f>
        <v>2.6016475863414925</v>
      </c>
      <c r="T29">
        <f>'1480 P- 72 hpi'!W30</f>
        <v>0.91784146739217376</v>
      </c>
      <c r="U29">
        <f>'1480 P- 72 hpi'!X30</f>
        <v>3.7615581508773208</v>
      </c>
      <c r="W29">
        <f>'NAD003 P+ 72 hpi'!W30</f>
        <v>0.89647558400356075</v>
      </c>
      <c r="X29">
        <f>'NAD003 P+ 72 hpi'!X30</f>
        <v>3.5307395177234184</v>
      </c>
    </row>
    <row r="30" spans="1:24" x14ac:dyDescent="0.35">
      <c r="A30">
        <v>179.93600000000001</v>
      </c>
      <c r="B30">
        <f>'1233 P- 72 hpi'!W31</f>
        <v>0.93226332273749379</v>
      </c>
      <c r="C30">
        <f>'1233 P- 72 hpi'!X31</f>
        <v>2.6200545421357244</v>
      </c>
      <c r="E30">
        <f>'1233 P+ 72 hpi'!W31</f>
        <v>1.6991393455649941</v>
      </c>
      <c r="F30">
        <f>'1233 P+ 72 hpi'!X31</f>
        <v>2.8111549775974609</v>
      </c>
      <c r="H30">
        <f>'1234 P- 72 hpi'!W31</f>
        <v>5.7068283104027042</v>
      </c>
      <c r="I30">
        <f>'1234 P- 72 hpi'!X31</f>
        <v>10.888176620615029</v>
      </c>
      <c r="K30">
        <f>'1234 P+ 72 hpi'!W31</f>
        <v>0.50015612097368489</v>
      </c>
      <c r="L30">
        <f>'1234 P+ 72 hpi'!X31</f>
        <v>5.2402513746326562</v>
      </c>
      <c r="N30">
        <f>'1250 P- 72 hpi'!W31</f>
        <v>0.4763695174513769</v>
      </c>
      <c r="O30">
        <f>'1250 P- 72 hpi'!X31</f>
        <v>0.87442917154172739</v>
      </c>
      <c r="Q30">
        <f>'1250 P+ 72 hpi'!W31</f>
        <v>0.41914556750706566</v>
      </c>
      <c r="R30">
        <f>'1250 P+ 72 hpi'!X31</f>
        <v>1.4132197039320076</v>
      </c>
      <c r="T30">
        <f>'1480 P- 72 hpi'!W31</f>
        <v>0.87175512273308475</v>
      </c>
      <c r="U30">
        <f>'1480 P- 72 hpi'!X31</f>
        <v>2.2660619964844337</v>
      </c>
      <c r="W30">
        <f>'NAD003 P+ 72 hpi'!W31</f>
        <v>1.1255159978447864</v>
      </c>
      <c r="X30">
        <f>'NAD003 P+ 72 hpi'!X31</f>
        <v>3.7681510218022041</v>
      </c>
    </row>
    <row r="31" spans="1:24" x14ac:dyDescent="0.35">
      <c r="A31">
        <v>193.119</v>
      </c>
      <c r="B31">
        <f>'1233 P- 72 hpi'!W32</f>
        <v>2.109949800568367E-2</v>
      </c>
      <c r="C31">
        <f>'1233 P- 72 hpi'!X32</f>
        <v>0.65078531098836068</v>
      </c>
      <c r="E31">
        <f>'1233 P+ 72 hpi'!W32</f>
        <v>1.0630343980519666E-2</v>
      </c>
      <c r="F31">
        <f>'1233 P+ 72 hpi'!X32</f>
        <v>0.39638620401711755</v>
      </c>
      <c r="H31">
        <f>'1234 P- 72 hpi'!W32</f>
        <v>0.28173753448380334</v>
      </c>
      <c r="I31">
        <f>'1234 P- 72 hpi'!X32</f>
        <v>1.2046224747521579</v>
      </c>
      <c r="K31">
        <f>'1234 P+ 72 hpi'!W32</f>
        <v>0.5357614371112881</v>
      </c>
      <c r="L31">
        <f>'1234 P+ 72 hpi'!X32</f>
        <v>4.1500016064033449</v>
      </c>
      <c r="N31">
        <f>'1250 P- 72 hpi'!W32</f>
        <v>2.4168636104403153E-2</v>
      </c>
      <c r="O31">
        <f>'1250 P- 72 hpi'!X32</f>
        <v>0.84742236390168824</v>
      </c>
      <c r="Q31">
        <f>'1250 P+ 72 hpi'!W32</f>
        <v>2.7912299165608733E-2</v>
      </c>
      <c r="R31">
        <f>'1250 P+ 72 hpi'!X32</f>
        <v>0.57849469126648767</v>
      </c>
      <c r="T31">
        <f>'1480 P- 72 hpi'!W32</f>
        <v>7.3477978023334476E-3</v>
      </c>
      <c r="U31">
        <f>'1480 P- 72 hpi'!X32</f>
        <v>0.16064092066988747</v>
      </c>
      <c r="W31">
        <f>'NAD003 P+ 72 hpi'!W32</f>
        <v>5.5290767307557831E-3</v>
      </c>
      <c r="X31">
        <f>'NAD003 P+ 72 hpi'!X32</f>
        <v>0.74230770194565032</v>
      </c>
    </row>
    <row r="32" spans="1:24" x14ac:dyDescent="0.35">
      <c r="A32">
        <v>199.374</v>
      </c>
      <c r="B32">
        <f>'1233 P- 72 hpi'!W33</f>
        <v>2.1990429771189736E-2</v>
      </c>
      <c r="C32">
        <f>'1233 P- 72 hpi'!X33</f>
        <v>0.62757658605189859</v>
      </c>
      <c r="E32">
        <f>'1233 P+ 72 hpi'!W33</f>
        <v>1.198355283119687E-2</v>
      </c>
      <c r="F32">
        <f>'1233 P+ 72 hpi'!X33</f>
        <v>0.38826718902271029</v>
      </c>
      <c r="H32">
        <f>'1234 P- 72 hpi'!W33</f>
        <v>0.27614265094598794</v>
      </c>
      <c r="I32">
        <f>'1234 P- 72 hpi'!X33</f>
        <v>0.99382338487235133</v>
      </c>
      <c r="K32">
        <f>'1234 P+ 72 hpi'!W33</f>
        <v>0.5062714211778867</v>
      </c>
      <c r="L32">
        <f>'1234 P+ 72 hpi'!X33</f>
        <v>4.5712257552483431</v>
      </c>
      <c r="N32">
        <f>'1250 P- 72 hpi'!W33</f>
        <v>2.553448379962367E-2</v>
      </c>
      <c r="O32">
        <f>'1250 P- 72 hpi'!X33</f>
        <v>0.85542694621896187</v>
      </c>
      <c r="Q32">
        <f>'1250 P+ 72 hpi'!W33</f>
        <v>2.6599545330479802E-2</v>
      </c>
      <c r="R32">
        <f>'1250 P+ 72 hpi'!X33</f>
        <v>0.60125241162277643</v>
      </c>
      <c r="T32">
        <f>'1480 P- 72 hpi'!W33</f>
        <v>7.9156790204867721E-3</v>
      </c>
      <c r="U32">
        <f>'1480 P- 72 hpi'!X33</f>
        <v>0.14446789684207104</v>
      </c>
      <c r="W32">
        <f>'NAD003 P+ 72 hpi'!W33</f>
        <v>6.0806081308444893E-3</v>
      </c>
      <c r="X32">
        <f>'NAD003 P+ 72 hpi'!X33</f>
        <v>0.76151770725147561</v>
      </c>
    </row>
    <row r="33" spans="1:24" x14ac:dyDescent="0.35">
      <c r="A33">
        <v>205.643</v>
      </c>
      <c r="B33">
        <f>'1233 P- 72 hpi'!W34</f>
        <v>2.12475546978259E-2</v>
      </c>
      <c r="C33">
        <f>'1233 P- 72 hpi'!X34</f>
        <v>0.61701452062284623</v>
      </c>
      <c r="E33">
        <f>'1233 P+ 72 hpi'!W34</f>
        <v>1.3264527602654397E-2</v>
      </c>
      <c r="F33">
        <f>'1233 P+ 72 hpi'!X34</f>
        <v>0.37215392440943695</v>
      </c>
      <c r="H33">
        <f>'1234 P- 72 hpi'!W34</f>
        <v>0.26618186533176741</v>
      </c>
      <c r="I33">
        <f>'1234 P- 72 hpi'!X34</f>
        <v>0.66624468047088925</v>
      </c>
      <c r="K33">
        <f>'1234 P+ 72 hpi'!W34</f>
        <v>0.4725208381238819</v>
      </c>
      <c r="L33">
        <f>'1234 P+ 72 hpi'!X34</f>
        <v>4.8230873741614797</v>
      </c>
      <c r="N33">
        <f>'1250 P- 72 hpi'!W34</f>
        <v>2.5717234826781461E-2</v>
      </c>
      <c r="O33">
        <f>'1250 P- 72 hpi'!X34</f>
        <v>0.83550928365236066</v>
      </c>
      <c r="Q33">
        <f>'1250 P+ 72 hpi'!W34</f>
        <v>2.5873764924235682E-2</v>
      </c>
      <c r="R33">
        <f>'1250 P+ 72 hpi'!X34</f>
        <v>0.57721775388913521</v>
      </c>
      <c r="T33">
        <f>'1480 P- 72 hpi'!W34</f>
        <v>9.2546616932715833E-3</v>
      </c>
      <c r="U33">
        <f>'1480 P- 72 hpi'!X34</f>
        <v>0.14577973457729387</v>
      </c>
      <c r="W33">
        <f>'NAD003 P+ 72 hpi'!W34</f>
        <v>5.9463879903272204E-3</v>
      </c>
      <c r="X33">
        <f>'NAD003 P+ 72 hpi'!X34</f>
        <v>0.76194094665570589</v>
      </c>
    </row>
    <row r="34" spans="1:24" x14ac:dyDescent="0.35">
      <c r="A34">
        <v>211.75800000000001</v>
      </c>
      <c r="B34">
        <f>'1233 P- 72 hpi'!W35</f>
        <v>2.1232358909712916E-2</v>
      </c>
      <c r="C34">
        <f>'1233 P- 72 hpi'!X35</f>
        <v>0.63002977962043372</v>
      </c>
      <c r="E34">
        <f>'1233 P+ 72 hpi'!W35</f>
        <v>1.4149210175885829E-2</v>
      </c>
      <c r="F34">
        <f>'1233 P+ 72 hpi'!X35</f>
        <v>0.35992940350678193</v>
      </c>
      <c r="H34">
        <f>'1234 P- 72 hpi'!W35</f>
        <v>0.25876409448534693</v>
      </c>
      <c r="I34">
        <f>'1234 P- 72 hpi'!X35</f>
        <v>0.45126795909091771</v>
      </c>
      <c r="K34">
        <f>'1234 P+ 72 hpi'!W35</f>
        <v>0.44222051918625616</v>
      </c>
      <c r="L34">
        <f>'1234 P+ 72 hpi'!X35</f>
        <v>4.9993603330667309</v>
      </c>
      <c r="N34">
        <f>'1250 P- 72 hpi'!W35</f>
        <v>2.6506071849275895E-2</v>
      </c>
      <c r="O34">
        <f>'1250 P- 72 hpi'!X35</f>
        <v>0.80941991043828421</v>
      </c>
      <c r="Q34">
        <f>'1250 P+ 72 hpi'!W35</f>
        <v>2.5533949064560402E-2</v>
      </c>
      <c r="R34">
        <f>'1250 P+ 72 hpi'!X35</f>
        <v>0.54765721078670726</v>
      </c>
      <c r="T34">
        <f>'1480 P- 72 hpi'!W35</f>
        <v>9.9899021923245089E-3</v>
      </c>
      <c r="U34">
        <f>'1480 P- 72 hpi'!X35</f>
        <v>0.16918138942865404</v>
      </c>
      <c r="W34">
        <f>'NAD003 P+ 72 hpi'!W35</f>
        <v>5.4930198548624048E-3</v>
      </c>
      <c r="X34">
        <f>'NAD003 P+ 72 hpi'!X35</f>
        <v>0.75277911788830743</v>
      </c>
    </row>
    <row r="35" spans="1:24" x14ac:dyDescent="0.35">
      <c r="A35">
        <v>218.077</v>
      </c>
      <c r="B35">
        <f>'1233 P- 72 hpi'!W36</f>
        <v>2.1232769551962155E-2</v>
      </c>
      <c r="C35">
        <f>'1233 P- 72 hpi'!X36</f>
        <v>0.63481871014300484</v>
      </c>
      <c r="E35">
        <f>'1233 P+ 72 hpi'!W36</f>
        <v>1.4879556571339117E-2</v>
      </c>
      <c r="F35">
        <f>'1233 P+ 72 hpi'!X36</f>
        <v>0.34220545310959682</v>
      </c>
      <c r="H35">
        <f>'1234 P- 72 hpi'!W36</f>
        <v>0.25174743642468767</v>
      </c>
      <c r="I35">
        <f>'1234 P- 72 hpi'!X36</f>
        <v>0.2816262578596298</v>
      </c>
      <c r="K35">
        <f>'1234 P+ 72 hpi'!W36</f>
        <v>0.4185428799911266</v>
      </c>
      <c r="L35">
        <f>'1234 P+ 72 hpi'!X36</f>
        <v>5.1369495065447079</v>
      </c>
      <c r="N35">
        <f>'1250 P- 72 hpi'!W36</f>
        <v>2.69651805357022E-2</v>
      </c>
      <c r="O35">
        <f>'1250 P- 72 hpi'!X36</f>
        <v>0.7980785995602443</v>
      </c>
      <c r="Q35">
        <f>'1250 P+ 72 hpi'!W36</f>
        <v>2.5352136977991435E-2</v>
      </c>
      <c r="R35">
        <f>'1250 P+ 72 hpi'!X36</f>
        <v>0.529668370015969</v>
      </c>
      <c r="T35">
        <f>'1480 P- 72 hpi'!W36</f>
        <v>1.0214465710936281E-2</v>
      </c>
      <c r="U35">
        <f>'1480 P- 72 hpi'!X36</f>
        <v>0.18900174931602473</v>
      </c>
      <c r="W35">
        <f>'NAD003 P+ 72 hpi'!W36</f>
        <v>5.0878856986344839E-3</v>
      </c>
      <c r="X35">
        <f>'NAD003 P+ 72 hpi'!X36</f>
        <v>0.75224867371297144</v>
      </c>
    </row>
    <row r="36" spans="1:24" x14ac:dyDescent="0.35">
      <c r="A36">
        <v>224.21</v>
      </c>
      <c r="B36">
        <f>'1233 P- 72 hpi'!W37</f>
        <v>2.0959634178325741E-2</v>
      </c>
      <c r="C36">
        <f>'1233 P- 72 hpi'!X37</f>
        <v>0.6348771915066358</v>
      </c>
      <c r="E36">
        <f>'1233 P+ 72 hpi'!W37</f>
        <v>1.4662768958909028E-2</v>
      </c>
      <c r="F36">
        <f>'1233 P+ 72 hpi'!X37</f>
        <v>0.32948505886102097</v>
      </c>
      <c r="H36">
        <f>'1234 P- 72 hpi'!W37</f>
        <v>0.25007604584077991</v>
      </c>
      <c r="I36">
        <f>'1234 P- 72 hpi'!X37</f>
        <v>0.1035091217359492</v>
      </c>
      <c r="K36">
        <f>'1234 P+ 72 hpi'!W37</f>
        <v>0.38710019217925712</v>
      </c>
      <c r="L36">
        <f>'1234 P+ 72 hpi'!X37</f>
        <v>5.3283776512530272</v>
      </c>
      <c r="N36">
        <f>'1250 P- 72 hpi'!W37</f>
        <v>2.6763668615596464E-2</v>
      </c>
      <c r="O36">
        <f>'1250 P- 72 hpi'!X37</f>
        <v>0.78836399204921115</v>
      </c>
      <c r="Q36">
        <f>'1250 P+ 72 hpi'!W37</f>
        <v>2.4903311872478802E-2</v>
      </c>
      <c r="R36">
        <f>'1250 P+ 72 hpi'!X37</f>
        <v>0.51630075894007454</v>
      </c>
      <c r="T36">
        <f>'1480 P- 72 hpi'!W37</f>
        <v>1.1119131818699364E-2</v>
      </c>
      <c r="U36">
        <f>'1480 P- 72 hpi'!X37</f>
        <v>0.19864740272642537</v>
      </c>
      <c r="W36">
        <f>'NAD003 P+ 72 hpi'!W37</f>
        <v>3.9003787786341948E-3</v>
      </c>
      <c r="X36">
        <f>'NAD003 P+ 72 hpi'!X37</f>
        <v>0.74771838764960741</v>
      </c>
    </row>
    <row r="37" spans="1:24" x14ac:dyDescent="0.35">
      <c r="A37" s="1">
        <v>230.48099999999999</v>
      </c>
      <c r="B37">
        <f>'1233 P- 72 hpi'!W38</f>
        <v>2.1493533310370037E-2</v>
      </c>
      <c r="C37">
        <f>'1233 P- 72 hpi'!X38</f>
        <v>0.65236595471349201</v>
      </c>
      <c r="E37">
        <f>'1233 P+ 72 hpi'!W38</f>
        <v>1.4561466771049858E-2</v>
      </c>
      <c r="F37">
        <f>'1233 P+ 72 hpi'!X38</f>
        <v>0.32638694891106379</v>
      </c>
      <c r="H37">
        <f>'1234 P- 72 hpi'!W38</f>
        <v>0.24726075517601132</v>
      </c>
      <c r="I37">
        <f>'1234 P- 72 hpi'!X38</f>
        <v>0.23772865640847471</v>
      </c>
      <c r="K37">
        <f>'1234 P+ 72 hpi'!W38</f>
        <v>0.36085212314719595</v>
      </c>
      <c r="L37">
        <f>'1234 P+ 72 hpi'!X38</f>
        <v>5.4694933866832747</v>
      </c>
      <c r="N37">
        <f>'1250 P- 72 hpi'!W38</f>
        <v>2.6297586079315521E-2</v>
      </c>
      <c r="O37">
        <f>'1250 P- 72 hpi'!X38</f>
        <v>0.77403407016437908</v>
      </c>
      <c r="Q37">
        <f>'1250 P+ 72 hpi'!W38</f>
        <v>2.4480788876725796E-2</v>
      </c>
      <c r="R37">
        <f>'1250 P+ 72 hpi'!X38</f>
        <v>0.49961893221355247</v>
      </c>
      <c r="T37">
        <f>'1480 P- 72 hpi'!W38</f>
        <v>1.1613221736758111E-2</v>
      </c>
      <c r="U37">
        <f>'1480 P- 72 hpi'!X38</f>
        <v>0.20330173689147321</v>
      </c>
      <c r="W37">
        <f>'NAD003 P+ 72 hpi'!W38</f>
        <v>2.9532991923870433E-3</v>
      </c>
      <c r="X37">
        <f>'NAD003 P+ 72 hpi'!X38</f>
        <v>0.73792574458597926</v>
      </c>
    </row>
    <row r="38" spans="1:24" x14ac:dyDescent="0.35">
      <c r="A38">
        <v>236.60900000000001</v>
      </c>
      <c r="B38">
        <f>'1233 P- 72 hpi'!W39</f>
        <v>2.2102026200172147E-2</v>
      </c>
      <c r="C38">
        <f>'1233 P- 72 hpi'!X39</f>
        <v>0.65430222114269965</v>
      </c>
      <c r="E38">
        <f>'1233 P+ 72 hpi'!W39</f>
        <v>1.4239875706205177E-2</v>
      </c>
      <c r="F38">
        <f>'1233 P+ 72 hpi'!X39</f>
        <v>0.32677880831152795</v>
      </c>
      <c r="H38">
        <f>'1234 P- 72 hpi'!W39</f>
        <v>0.24758133251397788</v>
      </c>
      <c r="I38">
        <f>'1234 P- 72 hpi'!X39</f>
        <v>0.36876204188499956</v>
      </c>
      <c r="K38">
        <f>'1234 P+ 72 hpi'!W39</f>
        <v>0.33264671204108132</v>
      </c>
      <c r="L38">
        <f>'1234 P+ 72 hpi'!X39</f>
        <v>5.6333445057964973</v>
      </c>
      <c r="N38">
        <f>'1250 P- 72 hpi'!W39</f>
        <v>2.5482130729883715E-2</v>
      </c>
      <c r="O38">
        <f>'1250 P- 72 hpi'!X39</f>
        <v>0.7622560186344306</v>
      </c>
      <c r="Q38">
        <f>'1250 P+ 72 hpi'!W39</f>
        <v>2.4268905796759829E-2</v>
      </c>
      <c r="R38">
        <f>'1250 P+ 72 hpi'!X39</f>
        <v>0.47977245718116013</v>
      </c>
      <c r="T38">
        <f>'1480 P- 72 hpi'!W39</f>
        <v>1.1704446243755155E-2</v>
      </c>
      <c r="U38">
        <f>'1480 P- 72 hpi'!X39</f>
        <v>0.20558678732237523</v>
      </c>
      <c r="W38">
        <f>'NAD003 P+ 72 hpi'!W39</f>
        <v>2.488145617350293E-3</v>
      </c>
      <c r="X38">
        <f>'NAD003 P+ 72 hpi'!X39</f>
        <v>0.73318503475706009</v>
      </c>
    </row>
    <row r="39" spans="1:24" x14ac:dyDescent="0.35">
      <c r="A39">
        <v>242.952</v>
      </c>
      <c r="B39">
        <f>'1233 P- 72 hpi'!W40</f>
        <v>2.2407897836931766E-2</v>
      </c>
      <c r="C39">
        <f>'1233 P- 72 hpi'!X40</f>
        <v>0.65893281849115004</v>
      </c>
      <c r="E39">
        <f>'1233 P+ 72 hpi'!W40</f>
        <v>1.3905920389140625E-2</v>
      </c>
      <c r="F39">
        <f>'1233 P+ 72 hpi'!X40</f>
        <v>0.32220469829923637</v>
      </c>
      <c r="H39">
        <f>'1234 P- 72 hpi'!W40</f>
        <v>0.24700808432488347</v>
      </c>
      <c r="I39">
        <f>'1234 P- 72 hpi'!X40</f>
        <v>0.41575157705276106</v>
      </c>
      <c r="K39">
        <f>'1234 P+ 72 hpi'!W40</f>
        <v>0.30191305913646538</v>
      </c>
      <c r="L39">
        <f>'1234 P+ 72 hpi'!X40</f>
        <v>5.7589846430730933</v>
      </c>
      <c r="N39">
        <f>'1250 P- 72 hpi'!W40</f>
        <v>2.50423432027745E-2</v>
      </c>
      <c r="O39">
        <f>'1250 P- 72 hpi'!X40</f>
        <v>0.75144881516521556</v>
      </c>
      <c r="Q39">
        <f>'1250 P+ 72 hpi'!W40</f>
        <v>2.4236450641255566E-2</v>
      </c>
      <c r="R39">
        <f>'1250 P+ 72 hpi'!X40</f>
        <v>0.45334910942926054</v>
      </c>
      <c r="T39">
        <f>'1480 P- 72 hpi'!W40</f>
        <v>1.1524621285197743E-2</v>
      </c>
      <c r="U39">
        <f>'1480 P- 72 hpi'!X40</f>
        <v>0.20046172154500103</v>
      </c>
      <c r="W39">
        <f>'NAD003 P+ 72 hpi'!W40</f>
        <v>2.6071916801921891E-3</v>
      </c>
      <c r="X39">
        <f>'NAD003 P+ 72 hpi'!X40</f>
        <v>0.73266094787513492</v>
      </c>
    </row>
    <row r="40" spans="1:24" x14ac:dyDescent="0.35">
      <c r="A40">
        <v>249.15899999999999</v>
      </c>
      <c r="B40">
        <f>'1233 P- 72 hpi'!W41</f>
        <v>2.2576159579460429E-2</v>
      </c>
      <c r="C40">
        <f>'1233 P- 72 hpi'!X41</f>
        <v>0.64538749180425992</v>
      </c>
      <c r="E40">
        <f>'1233 P+ 72 hpi'!W41</f>
        <v>1.4070996760608162E-2</v>
      </c>
      <c r="F40">
        <f>'1233 P+ 72 hpi'!X41</f>
        <v>0.32062526208027808</v>
      </c>
      <c r="H40">
        <f>'1234 P- 72 hpi'!W41</f>
        <v>0.24779630925690471</v>
      </c>
      <c r="I40">
        <f>'1234 P- 72 hpi'!X41</f>
        <v>0.50708718626952842</v>
      </c>
      <c r="K40">
        <f>'1234 P+ 72 hpi'!W41</f>
        <v>0.27896831012429646</v>
      </c>
      <c r="L40">
        <f>'1234 P+ 72 hpi'!X41</f>
        <v>5.7976171972573818</v>
      </c>
      <c r="N40">
        <f>'1250 P- 72 hpi'!W41</f>
        <v>2.4956066458415551E-2</v>
      </c>
      <c r="O40">
        <f>'1250 P- 72 hpi'!X41</f>
        <v>0.74110775698200881</v>
      </c>
      <c r="Q40">
        <f>'1250 P+ 72 hpi'!W41</f>
        <v>2.3563158181051265E-2</v>
      </c>
      <c r="R40">
        <f>'1250 P+ 72 hpi'!X41</f>
        <v>0.42699703838773218</v>
      </c>
      <c r="T40">
        <f>'1480 P- 72 hpi'!W41</f>
        <v>1.209233438790196E-2</v>
      </c>
      <c r="U40">
        <f>'1480 P- 72 hpi'!X41</f>
        <v>0.20702734424663277</v>
      </c>
      <c r="W40">
        <f>'NAD003 P+ 72 hpi'!W41</f>
        <v>2.866619310668353E-3</v>
      </c>
      <c r="X40">
        <f>'NAD003 P+ 72 hpi'!X41</f>
        <v>0.73827002266048325</v>
      </c>
    </row>
    <row r="41" spans="1:24" x14ac:dyDescent="0.35">
      <c r="A41">
        <v>262.24700000000001</v>
      </c>
      <c r="B41">
        <f>'1233 P- 72 hpi'!W42</f>
        <v>0.33402594574455796</v>
      </c>
      <c r="C41">
        <f>'1233 P- 72 hpi'!X42</f>
        <v>0.47448075831798703</v>
      </c>
      <c r="E41">
        <f>'1233 P+ 72 hpi'!W42</f>
        <v>0.90280443157035251</v>
      </c>
      <c r="F41">
        <f>'1233 P+ 72 hpi'!X42</f>
        <v>0.45341011325888303</v>
      </c>
      <c r="H41">
        <f>'1234 P- 72 hpi'!W42</f>
        <v>3.2414203862512467</v>
      </c>
      <c r="I41">
        <f>'1234 P- 72 hpi'!X42</f>
        <v>13.743029830667281</v>
      </c>
      <c r="K41">
        <f>'1234 P+ 72 hpi'!W42</f>
        <v>1.5070123143441805</v>
      </c>
      <c r="L41">
        <f>'1234 P+ 72 hpi'!X42</f>
        <v>6.3868456692088387</v>
      </c>
      <c r="N41">
        <f>'1250 P- 72 hpi'!W42</f>
        <v>1.1011138024322509</v>
      </c>
      <c r="O41">
        <f>'1250 P- 72 hpi'!X42</f>
        <v>1.4378059505370051</v>
      </c>
      <c r="Q41">
        <f>'1250 P+ 72 hpi'!W42</f>
        <v>2.3517153294921513</v>
      </c>
      <c r="R41">
        <f>'1250 P+ 72 hpi'!X42</f>
        <v>2.6204218667957235</v>
      </c>
      <c r="T41">
        <f>'1480 P- 72 hpi'!W42</f>
        <v>1.3651562053362234</v>
      </c>
      <c r="U41">
        <f>'1480 P- 72 hpi'!X42</f>
        <v>5.3112185016590763</v>
      </c>
      <c r="W41">
        <f>'NAD003 P+ 72 hpi'!W42</f>
        <v>1.217922277146144</v>
      </c>
      <c r="X41">
        <f>'NAD003 P+ 72 hpi'!X42</f>
        <v>0.79592843265644575</v>
      </c>
    </row>
    <row r="42" spans="1:24" x14ac:dyDescent="0.35">
      <c r="A42">
        <v>268.46699999999998</v>
      </c>
      <c r="B42">
        <f>'1233 P- 72 hpi'!W43</f>
        <v>0.27078592677095531</v>
      </c>
      <c r="C42">
        <f>'1233 P- 72 hpi'!X43</f>
        <v>1.6878300777363398</v>
      </c>
      <c r="E42">
        <f>'1233 P+ 72 hpi'!W43</f>
        <v>1.0837546981336601</v>
      </c>
      <c r="F42">
        <f>'1233 P+ 72 hpi'!X43</f>
        <v>1.001639869688276</v>
      </c>
      <c r="H42">
        <f>'1234 P- 72 hpi'!W43</f>
        <v>3.2536728360385001</v>
      </c>
      <c r="I42">
        <f>'1234 P- 72 hpi'!X43</f>
        <v>13.80619357321792</v>
      </c>
      <c r="K42">
        <f>'1234 P+ 72 hpi'!W43</f>
        <v>1.0514196634046193</v>
      </c>
      <c r="L42">
        <f>'1234 P+ 72 hpi'!X43</f>
        <v>9.1183030707196764</v>
      </c>
      <c r="N42">
        <f>'1250 P- 72 hpi'!W43</f>
        <v>1.2292527515971221</v>
      </c>
      <c r="O42">
        <f>'1250 P- 72 hpi'!X43</f>
        <v>1.012692759196431</v>
      </c>
      <c r="Q42">
        <f>'1250 P+ 72 hpi'!W43</f>
        <v>2.462051614866219</v>
      </c>
      <c r="R42">
        <f>'1250 P+ 72 hpi'!X43</f>
        <v>4.0788982990252336</v>
      </c>
      <c r="T42">
        <f>'1480 P- 72 hpi'!W43</f>
        <v>1.4113135918500845</v>
      </c>
      <c r="U42">
        <f>'1480 P- 72 hpi'!X43</f>
        <v>5.3417606482416549</v>
      </c>
      <c r="W42">
        <f>'NAD003 P+ 72 hpi'!W43</f>
        <v>1.5436307071767388</v>
      </c>
      <c r="X42">
        <f>'NAD003 P+ 72 hpi'!X43</f>
        <v>2.4819809866931948</v>
      </c>
    </row>
    <row r="43" spans="1:24" x14ac:dyDescent="0.35">
      <c r="A43">
        <v>274.76</v>
      </c>
      <c r="B43">
        <f>'1233 P- 72 hpi'!W44</f>
        <v>0.30028060752905716</v>
      </c>
      <c r="C43">
        <f>'1233 P- 72 hpi'!X44</f>
        <v>1.8119840776354088</v>
      </c>
      <c r="E43">
        <f>'1233 P+ 72 hpi'!W44</f>
        <v>1.039675087246458</v>
      </c>
      <c r="F43">
        <f>'1233 P+ 72 hpi'!X44</f>
        <v>0.53209193087750606</v>
      </c>
      <c r="H43">
        <f>'1234 P- 72 hpi'!W44</f>
        <v>3.285115030163944</v>
      </c>
      <c r="I43">
        <f>'1234 P- 72 hpi'!X44</f>
        <v>15.670477803515002</v>
      </c>
      <c r="K43">
        <f>'1234 P+ 72 hpi'!W44</f>
        <v>0.64450998972354867</v>
      </c>
      <c r="L43">
        <f>'1234 P+ 72 hpi'!X44</f>
        <v>10.450276315854259</v>
      </c>
      <c r="N43">
        <f>'1250 P- 72 hpi'!W44</f>
        <v>1.2486083520475837</v>
      </c>
      <c r="O43">
        <f>'1250 P- 72 hpi'!X44</f>
        <v>1.0571551189364723</v>
      </c>
      <c r="Q43">
        <f>'1250 P+ 72 hpi'!W44</f>
        <v>2.6349556836562016</v>
      </c>
      <c r="R43">
        <f>'1250 P+ 72 hpi'!X44</f>
        <v>4.2725666059331289</v>
      </c>
      <c r="T43">
        <f>'1480 P- 72 hpi'!W44</f>
        <v>1.5511515846103139</v>
      </c>
      <c r="U43">
        <f>'1480 P- 72 hpi'!X44</f>
        <v>5.3621854501421629</v>
      </c>
      <c r="W43">
        <f>'NAD003 P+ 72 hpi'!W44</f>
        <v>1.3718989414055827</v>
      </c>
      <c r="X43">
        <f>'NAD003 P+ 72 hpi'!X44</f>
        <v>2.5506098418438015</v>
      </c>
    </row>
    <row r="44" spans="1:24" x14ac:dyDescent="0.35">
      <c r="A44">
        <v>280.99099999999999</v>
      </c>
      <c r="B44">
        <f>'1233 P- 72 hpi'!W45</f>
        <v>0.46230131627159765</v>
      </c>
      <c r="C44">
        <f>'1233 P- 72 hpi'!X45</f>
        <v>2.9035453123819144</v>
      </c>
      <c r="E44">
        <f>'1233 P+ 72 hpi'!W45</f>
        <v>1.3266805154789054</v>
      </c>
      <c r="F44">
        <f>'1233 P+ 72 hpi'!X45</f>
        <v>1.500032972695692</v>
      </c>
      <c r="H44">
        <f>'1234 P- 72 hpi'!W45</f>
        <v>3.2180877234158269</v>
      </c>
      <c r="I44">
        <f>'1234 P- 72 hpi'!X45</f>
        <v>17.228544901090039</v>
      </c>
      <c r="K44">
        <f>'1234 P+ 72 hpi'!W45</f>
        <v>0.49003928431190147</v>
      </c>
      <c r="L44">
        <f>'1234 P+ 72 hpi'!X45</f>
        <v>10.294200478563537</v>
      </c>
      <c r="N44">
        <f>'1250 P- 72 hpi'!W45</f>
        <v>1.23920946571456</v>
      </c>
      <c r="O44">
        <f>'1250 P- 72 hpi'!X45</f>
        <v>1.6426052291558062</v>
      </c>
      <c r="Q44">
        <f>'1250 P+ 72 hpi'!W45</f>
        <v>2.74895859749018</v>
      </c>
      <c r="R44">
        <f>'1250 P+ 72 hpi'!X45</f>
        <v>4.5316045509821308</v>
      </c>
      <c r="T44">
        <f>'1480 P- 72 hpi'!W45</f>
        <v>1.3353253338847613</v>
      </c>
      <c r="U44">
        <f>'1480 P- 72 hpi'!X45</f>
        <v>5.9923158412375654</v>
      </c>
      <c r="W44">
        <f>'NAD003 P+ 72 hpi'!W45</f>
        <v>1.5842185534376654</v>
      </c>
      <c r="X44">
        <f>'NAD003 P+ 72 hpi'!X45</f>
        <v>1.9252221255722191</v>
      </c>
    </row>
    <row r="45" spans="1:24" x14ac:dyDescent="0.35">
      <c r="A45">
        <v>287.21100000000001</v>
      </c>
      <c r="B45">
        <f>'1233 P- 72 hpi'!W46</f>
        <v>0.54425629880196069</v>
      </c>
      <c r="C45">
        <f>'1233 P- 72 hpi'!X46</f>
        <v>3.566691653479936</v>
      </c>
      <c r="E45">
        <f>'1233 P+ 72 hpi'!W46</f>
        <v>0.69998015752449305</v>
      </c>
      <c r="F45">
        <f>'1233 P+ 72 hpi'!X46</f>
        <v>2.8475871495311935</v>
      </c>
      <c r="H45">
        <f>'1234 P- 72 hpi'!W46</f>
        <v>3.1569676411472085</v>
      </c>
      <c r="I45">
        <f>'1234 P- 72 hpi'!X46</f>
        <v>18.398830493243956</v>
      </c>
      <c r="K45">
        <f>'1234 P+ 72 hpi'!W46</f>
        <v>0.36251078816523119</v>
      </c>
      <c r="L45">
        <f>'1234 P+ 72 hpi'!X46</f>
        <v>10.810362488541738</v>
      </c>
      <c r="N45">
        <f>'1250 P- 72 hpi'!W46</f>
        <v>1.3188136817656899</v>
      </c>
      <c r="O45">
        <f>'1250 P- 72 hpi'!X46</f>
        <v>1.6879419978292995</v>
      </c>
      <c r="Q45">
        <f>'1250 P+ 72 hpi'!W46</f>
        <v>2.8907132863935274</v>
      </c>
      <c r="R45">
        <f>'1250 P+ 72 hpi'!X46</f>
        <v>5.1882959513126394</v>
      </c>
      <c r="T45">
        <f>'1480 P- 72 hpi'!W46</f>
        <v>1.4008044123207841</v>
      </c>
      <c r="U45">
        <f>'1480 P- 72 hpi'!X46</f>
        <v>6.3471310139096353</v>
      </c>
      <c r="W45">
        <f>'NAD003 P+ 72 hpi'!W46</f>
        <v>1.5841657028676366</v>
      </c>
      <c r="X45">
        <f>'NAD003 P+ 72 hpi'!X46</f>
        <v>2.4748865994123648</v>
      </c>
    </row>
    <row r="46" spans="1:24" x14ac:dyDescent="0.35">
      <c r="A46">
        <v>293.38900000000001</v>
      </c>
      <c r="B46">
        <f>'1233 P- 72 hpi'!W47</f>
        <v>0.71651556655972803</v>
      </c>
      <c r="C46">
        <f>'1233 P- 72 hpi'!X47</f>
        <v>4.0809269578655236</v>
      </c>
      <c r="E46">
        <f>'1233 P+ 72 hpi'!W47</f>
        <v>0.75611389472877022</v>
      </c>
      <c r="F46">
        <f>'1233 P+ 72 hpi'!X47</f>
        <v>2.9303687539640104</v>
      </c>
      <c r="H46">
        <f>'1234 P- 72 hpi'!W47</f>
        <v>3.0592495993379925</v>
      </c>
      <c r="I46">
        <f>'1234 P- 72 hpi'!X47</f>
        <v>16.227098388056039</v>
      </c>
      <c r="K46">
        <f>'1234 P+ 72 hpi'!W47</f>
        <v>0.16115806825333934</v>
      </c>
      <c r="L46">
        <f>'1234 P+ 72 hpi'!X47</f>
        <v>10.978652780394842</v>
      </c>
      <c r="N46">
        <f>'1250 P- 72 hpi'!W47</f>
        <v>1.278911679964992</v>
      </c>
      <c r="O46">
        <f>'1250 P- 72 hpi'!X47</f>
        <v>2.7641640786822159</v>
      </c>
      <c r="Q46">
        <f>'1250 P+ 72 hpi'!W47</f>
        <v>2.9912557069197803</v>
      </c>
      <c r="R46">
        <f>'1250 P+ 72 hpi'!X47</f>
        <v>5.0437323100421239</v>
      </c>
      <c r="T46">
        <f>'1480 P- 72 hpi'!W47</f>
        <v>1.3582002032944118</v>
      </c>
      <c r="U46">
        <f>'1480 P- 72 hpi'!X47</f>
        <v>6.5465437272868439</v>
      </c>
      <c r="W46">
        <f>'NAD003 P+ 72 hpi'!W47</f>
        <v>1.4012424715565857</v>
      </c>
      <c r="X46">
        <f>'NAD003 P+ 72 hpi'!X47</f>
        <v>2.6547863387272983</v>
      </c>
    </row>
    <row r="47" spans="1:24" x14ac:dyDescent="0.35">
      <c r="A47" s="1">
        <v>299.65600000000001</v>
      </c>
      <c r="B47">
        <f>'1233 P- 72 hpi'!W48</f>
        <v>0.63739698284936641</v>
      </c>
      <c r="C47">
        <f>'1233 P- 72 hpi'!X48</f>
        <v>4.4283522027223308</v>
      </c>
      <c r="E47">
        <f>'1233 P+ 72 hpi'!W48</f>
        <v>0.68033741051510788</v>
      </c>
      <c r="F47">
        <f>'1233 P+ 72 hpi'!X48</f>
        <v>2.7965881169762099</v>
      </c>
      <c r="H47">
        <f>'1234 P- 72 hpi'!W48</f>
        <v>3.0957539678880934</v>
      </c>
      <c r="I47">
        <f>'1234 P- 72 hpi'!X48</f>
        <v>14.086331051082963</v>
      </c>
      <c r="K47">
        <f>'1234 P+ 72 hpi'!W48</f>
        <v>0.10272662222062934</v>
      </c>
      <c r="L47">
        <f>'1234 P+ 72 hpi'!X48</f>
        <v>10.383173517904826</v>
      </c>
      <c r="N47">
        <f>'1250 P- 72 hpi'!W48</f>
        <v>1.3385302280183091</v>
      </c>
      <c r="O47">
        <f>'1250 P- 72 hpi'!X48</f>
        <v>3.1930654609970843</v>
      </c>
      <c r="Q47">
        <f>'1250 P+ 72 hpi'!W48</f>
        <v>3.0395406324895688</v>
      </c>
      <c r="R47">
        <f>'1250 P+ 72 hpi'!X48</f>
        <v>5.44586896433173</v>
      </c>
      <c r="T47">
        <f>'1480 P- 72 hpi'!W48</f>
        <v>1.2985545202964599</v>
      </c>
      <c r="U47">
        <f>'1480 P- 72 hpi'!X48</f>
        <v>6.6403249403526488</v>
      </c>
      <c r="W47">
        <f>'NAD003 P+ 72 hpi'!W48</f>
        <v>1.5095380706801294</v>
      </c>
      <c r="X47">
        <f>'NAD003 P+ 72 hpi'!X48</f>
        <v>2.8433149486229752</v>
      </c>
    </row>
    <row r="48" spans="1:24" x14ac:dyDescent="0.35">
      <c r="A48">
        <v>305.76400000000001</v>
      </c>
      <c r="B48">
        <f>'1233 P- 72 hpi'!W49</f>
        <v>0.7026212241258688</v>
      </c>
      <c r="C48">
        <f>'1233 P- 72 hpi'!X49</f>
        <v>4.5739497601557115</v>
      </c>
      <c r="E48">
        <f>'1233 P+ 72 hpi'!W49</f>
        <v>0.7979713271419584</v>
      </c>
      <c r="F48">
        <f>'1233 P+ 72 hpi'!X49</f>
        <v>4.4640396099269992</v>
      </c>
      <c r="H48">
        <f>'1234 P- 72 hpi'!W49</f>
        <v>3.0347210620474208</v>
      </c>
      <c r="I48">
        <f>'1234 P- 72 hpi'!X49</f>
        <v>12.884178889011507</v>
      </c>
      <c r="K48">
        <f>'1234 P+ 72 hpi'!W49</f>
        <v>0.33574361178757073</v>
      </c>
      <c r="L48">
        <f>'1234 P+ 72 hpi'!X49</f>
        <v>14.870725049443914</v>
      </c>
      <c r="N48">
        <f>'1250 P- 72 hpi'!W49</f>
        <v>1.3048247233984396</v>
      </c>
      <c r="O48">
        <f>'1250 P- 72 hpi'!X49</f>
        <v>2.8638829676999795</v>
      </c>
      <c r="Q48">
        <f>'1250 P+ 72 hpi'!W49</f>
        <v>3.0575169993321083</v>
      </c>
      <c r="R48">
        <f>'1250 P+ 72 hpi'!X49</f>
        <v>4.8911365266617821</v>
      </c>
      <c r="T48">
        <f>'1480 P- 72 hpi'!W49</f>
        <v>1.2754798620560817</v>
      </c>
      <c r="U48">
        <f>'1480 P- 72 hpi'!X49</f>
        <v>5.6655833406268705</v>
      </c>
      <c r="W48">
        <f>'NAD003 P+ 72 hpi'!W49</f>
        <v>1.3327547990338076</v>
      </c>
      <c r="X48">
        <f>'NAD003 P+ 72 hpi'!X49</f>
        <v>2.9841067074406382</v>
      </c>
    </row>
    <row r="49" spans="1:24" x14ac:dyDescent="0.35">
      <c r="A49">
        <v>311.92599999999999</v>
      </c>
      <c r="B49">
        <f>'1233 P- 72 hpi'!W50</f>
        <v>0.63058285879952114</v>
      </c>
      <c r="C49">
        <f>'1233 P- 72 hpi'!X50</f>
        <v>3.741376077035039</v>
      </c>
      <c r="E49">
        <f>'1233 P+ 72 hpi'!W50</f>
        <v>0.89724886843303153</v>
      </c>
      <c r="F49">
        <f>'1233 P+ 72 hpi'!X50</f>
        <v>3.9581225875652777</v>
      </c>
      <c r="H49">
        <f>'1234 P- 72 hpi'!W50</f>
        <v>3.0670218309899671</v>
      </c>
      <c r="I49">
        <f>'1234 P- 72 hpi'!X50</f>
        <v>9.7412795384354283</v>
      </c>
      <c r="K49">
        <f>'1234 P+ 72 hpi'!W50</f>
        <v>0.15726966825653221</v>
      </c>
      <c r="L49">
        <f>'1234 P+ 72 hpi'!X50</f>
        <v>11.907220508242819</v>
      </c>
      <c r="N49">
        <f>'1250 P- 72 hpi'!W50</f>
        <v>1.3604684953005513</v>
      </c>
      <c r="O49">
        <f>'1250 P- 72 hpi'!X50</f>
        <v>3.9455501666026418</v>
      </c>
      <c r="Q49">
        <f>'1250 P+ 72 hpi'!W50</f>
        <v>3.0004390036244502</v>
      </c>
      <c r="R49">
        <f>'1250 P+ 72 hpi'!X50</f>
        <v>4.6630840266771969</v>
      </c>
      <c r="T49">
        <f>'1480 P- 72 hpi'!W50</f>
        <v>1.2669291235769351</v>
      </c>
      <c r="U49">
        <f>'1480 P- 72 hpi'!X50</f>
        <v>6.7641342774038096</v>
      </c>
      <c r="W49">
        <f>'NAD003 P+ 72 hpi'!W50</f>
        <v>0.96568232556013101</v>
      </c>
      <c r="X49">
        <f>'NAD003 P+ 72 hpi'!X50</f>
        <v>1.0563880159518888</v>
      </c>
    </row>
    <row r="50" spans="1:24" x14ac:dyDescent="0.35">
      <c r="A50">
        <v>318.20600000000002</v>
      </c>
      <c r="B50">
        <f>'1233 P- 72 hpi'!W51</f>
        <v>0.50275585641789078</v>
      </c>
      <c r="C50">
        <f>'1233 P- 72 hpi'!X51</f>
        <v>2.3254776236750838</v>
      </c>
      <c r="E50">
        <f>'1233 P+ 72 hpi'!W51</f>
        <v>0.77982520519154974</v>
      </c>
      <c r="F50">
        <f>'1233 P+ 72 hpi'!X51</f>
        <v>5.0249952243779319</v>
      </c>
      <c r="H50">
        <f>'1234 P- 72 hpi'!W51</f>
        <v>2.997885421020726</v>
      </c>
      <c r="I50">
        <f>'1234 P- 72 hpi'!X51</f>
        <v>14.443306163787367</v>
      </c>
      <c r="K50">
        <f>'1234 P+ 72 hpi'!W51</f>
        <v>0.55050062372302477</v>
      </c>
      <c r="L50">
        <f>'1234 P+ 72 hpi'!X51</f>
        <v>14.068631920306158</v>
      </c>
      <c r="N50">
        <f>'1250 P- 72 hpi'!W51</f>
        <v>1.2919547617823166</v>
      </c>
      <c r="O50">
        <f>'1250 P- 72 hpi'!X51</f>
        <v>3.3516048711155171</v>
      </c>
      <c r="Q50">
        <f>'1250 P+ 72 hpi'!W51</f>
        <v>2.9748771858605494</v>
      </c>
      <c r="R50">
        <f>'1250 P+ 72 hpi'!X51</f>
        <v>4.2878029272110609</v>
      </c>
      <c r="T50">
        <f>'1480 P- 72 hpi'!W51</f>
        <v>1.3363274679915029</v>
      </c>
      <c r="U50">
        <f>'1480 P- 72 hpi'!X51</f>
        <v>7.1541792021809298</v>
      </c>
      <c r="W50">
        <f>'NAD003 P+ 72 hpi'!W51</f>
        <v>0.81234503798323487</v>
      </c>
      <c r="X50">
        <f>'NAD003 P+ 72 hpi'!X51</f>
        <v>1.0771621464814416</v>
      </c>
    </row>
    <row r="51" spans="1:24" x14ac:dyDescent="0.35">
      <c r="A51">
        <v>324.48599999999999</v>
      </c>
      <c r="B51">
        <f>'1233 P- 72 hpi'!W52</f>
        <v>0.71056990022305411</v>
      </c>
      <c r="C51">
        <f>'1233 P- 72 hpi'!X52</f>
        <v>5.2131054787114302</v>
      </c>
      <c r="E51">
        <f>'1233 P+ 72 hpi'!W52</f>
        <v>1.2511933111672562</v>
      </c>
      <c r="F51">
        <f>'1233 P+ 72 hpi'!X52</f>
        <v>1.7427021047016993</v>
      </c>
      <c r="H51">
        <f>'1234 P- 72 hpi'!W52</f>
        <v>3.0020666863572893</v>
      </c>
      <c r="I51">
        <f>'1234 P- 72 hpi'!X52</f>
        <v>18.135214128028142</v>
      </c>
      <c r="K51">
        <f>'1234 P+ 72 hpi'!W52</f>
        <v>0.39741949459594395</v>
      </c>
      <c r="L51">
        <f>'1234 P+ 72 hpi'!X52</f>
        <v>12.481943881238424</v>
      </c>
      <c r="N51">
        <f>'1250 P- 72 hpi'!W52</f>
        <v>1.5796017443589383</v>
      </c>
      <c r="O51">
        <f>'1250 P- 72 hpi'!X52</f>
        <v>4.4296889192409639</v>
      </c>
      <c r="Q51">
        <f>'1250 P+ 72 hpi'!W52</f>
        <v>2.8030414971293141</v>
      </c>
      <c r="R51">
        <f>'1250 P+ 72 hpi'!X52</f>
        <v>2.5200254212879116</v>
      </c>
      <c r="T51">
        <f>'1480 P- 72 hpi'!W52</f>
        <v>1.319954117229071</v>
      </c>
      <c r="U51">
        <f>'1480 P- 72 hpi'!X52</f>
        <v>6.7578787271300467</v>
      </c>
      <c r="W51">
        <f>'NAD003 P+ 72 hpi'!W52</f>
        <v>0.73774636220161227</v>
      </c>
      <c r="X51">
        <f>'NAD003 P+ 72 hpi'!X52</f>
        <v>1.5916899329254193</v>
      </c>
    </row>
    <row r="52" spans="1:24" x14ac:dyDescent="0.35">
      <c r="A52">
        <v>330.68</v>
      </c>
      <c r="B52">
        <f>'1233 P- 72 hpi'!W53</f>
        <v>0.5907891665955175</v>
      </c>
      <c r="C52">
        <f>'1233 P- 72 hpi'!X53</f>
        <v>4.3611123529404869</v>
      </c>
      <c r="E52">
        <f>'1233 P+ 72 hpi'!W53</f>
        <v>1.1887979848836778</v>
      </c>
      <c r="F52">
        <f>'1233 P+ 72 hpi'!X53</f>
        <v>2.4997201994520069</v>
      </c>
      <c r="H52">
        <f>'1234 P- 72 hpi'!W53</f>
        <v>2.969682108956504</v>
      </c>
      <c r="I52">
        <f>'1234 P- 72 hpi'!X53</f>
        <v>18.91319150559228</v>
      </c>
      <c r="K52">
        <f>'1234 P+ 72 hpi'!W53</f>
        <v>0.39927665939760004</v>
      </c>
      <c r="L52">
        <f>'1234 P+ 72 hpi'!X53</f>
        <v>12.410018978715316</v>
      </c>
      <c r="N52">
        <f>'1250 P- 72 hpi'!W53</f>
        <v>1.6284443534513318</v>
      </c>
      <c r="O52">
        <f>'1250 P- 72 hpi'!X53</f>
        <v>4.944500507595416</v>
      </c>
      <c r="Q52">
        <f>'1250 P+ 72 hpi'!W53</f>
        <v>2.8993018097965901</v>
      </c>
      <c r="R52">
        <f>'1250 P+ 72 hpi'!X53</f>
        <v>2.9629159588214193</v>
      </c>
      <c r="T52">
        <f>'1480 P- 72 hpi'!W53</f>
        <v>1.4789665594821695</v>
      </c>
      <c r="U52">
        <f>'1480 P- 72 hpi'!X53</f>
        <v>7.6670394061471372</v>
      </c>
      <c r="W52">
        <f>'NAD003 P+ 72 hpi'!W53</f>
        <v>0.81692269696481645</v>
      </c>
      <c r="X52">
        <f>'NAD003 P+ 72 hpi'!X53</f>
        <v>1.7445022791222584</v>
      </c>
    </row>
    <row r="53" spans="1:24" x14ac:dyDescent="0.35">
      <c r="A53">
        <v>336.81799999999998</v>
      </c>
      <c r="B53">
        <f>'1233 P- 72 hpi'!W54</f>
        <v>0.5709681201929262</v>
      </c>
      <c r="C53">
        <f>'1233 P- 72 hpi'!X54</f>
        <v>2.9428097257603563</v>
      </c>
      <c r="E53">
        <f>'1233 P+ 72 hpi'!W54</f>
        <v>1.1599045965155383</v>
      </c>
      <c r="F53">
        <f>'1233 P+ 72 hpi'!X54</f>
        <v>2.6556678933851359</v>
      </c>
      <c r="H53">
        <f>'1234 P- 72 hpi'!W54</f>
        <v>2.8421779466659323</v>
      </c>
      <c r="I53">
        <f>'1234 P- 72 hpi'!X54</f>
        <v>16.58736571131875</v>
      </c>
      <c r="K53">
        <f>'1234 P+ 72 hpi'!W54</f>
        <v>0.53887207749397703</v>
      </c>
      <c r="L53">
        <f>'1234 P+ 72 hpi'!X54</f>
        <v>11.761020433740532</v>
      </c>
      <c r="N53">
        <f>'1250 P- 72 hpi'!W54</f>
        <v>1.5768722694768855</v>
      </c>
      <c r="O53">
        <f>'1250 P- 72 hpi'!X54</f>
        <v>6.0149608580583065</v>
      </c>
      <c r="Q53">
        <f>'1250 P+ 72 hpi'!W54</f>
        <v>2.9022538282896235</v>
      </c>
      <c r="R53">
        <f>'1250 P+ 72 hpi'!X54</f>
        <v>2.1845733128218257</v>
      </c>
      <c r="T53">
        <f>'1480 P- 72 hpi'!W54</f>
        <v>1.4685789686682575</v>
      </c>
      <c r="U53">
        <f>'1480 P- 72 hpi'!X54</f>
        <v>7.2984867953895183</v>
      </c>
      <c r="W53">
        <f>'NAD003 P+ 72 hpi'!W54</f>
        <v>0.12370896449450441</v>
      </c>
      <c r="X53">
        <f>'NAD003 P+ 72 hpi'!X54</f>
        <v>0.7384868362896313</v>
      </c>
    </row>
    <row r="54" spans="1:24" x14ac:dyDescent="0.35">
      <c r="A54">
        <v>343.04300000000001</v>
      </c>
      <c r="B54">
        <f>'1233 P- 72 hpi'!W55</f>
        <v>0.49905774534176656</v>
      </c>
      <c r="C54">
        <f>'1233 P- 72 hpi'!X55</f>
        <v>3.6544206977591966</v>
      </c>
      <c r="E54">
        <f>'1233 P+ 72 hpi'!W55</f>
        <v>1.152792086802549</v>
      </c>
      <c r="F54">
        <f>'1233 P+ 72 hpi'!X55</f>
        <v>2.8395834148731822</v>
      </c>
      <c r="H54">
        <f>'1234 P- 72 hpi'!W55</f>
        <v>2.905870466501169</v>
      </c>
      <c r="I54">
        <f>'1234 P- 72 hpi'!X55</f>
        <v>15.000626937300725</v>
      </c>
      <c r="K54">
        <f>'1234 P+ 72 hpi'!W55</f>
        <v>0.58445015436714698</v>
      </c>
      <c r="L54">
        <f>'1234 P+ 72 hpi'!X55</f>
        <v>11.881787235200349</v>
      </c>
      <c r="N54">
        <f>'1250 P- 72 hpi'!W55</f>
        <v>1.5315447560526532</v>
      </c>
      <c r="O54">
        <f>'1250 P- 72 hpi'!X55</f>
        <v>5.383423846957772</v>
      </c>
      <c r="Q54">
        <f>'1250 P+ 72 hpi'!W55</f>
        <v>2.9521014386883522</v>
      </c>
      <c r="R54">
        <f>'1250 P+ 72 hpi'!X55</f>
        <v>3.537778759881796</v>
      </c>
      <c r="T54">
        <f>'1480 P- 72 hpi'!W55</f>
        <v>1.495697111154614</v>
      </c>
      <c r="U54">
        <f>'1480 P- 72 hpi'!X55</f>
        <v>6.8738839477603175</v>
      </c>
      <c r="W54">
        <f>'NAD003 P+ 72 hpi'!W55</f>
        <v>0.21639682626385337</v>
      </c>
      <c r="X54">
        <f>'NAD003 P+ 72 hpi'!X55</f>
        <v>0.58562297830613375</v>
      </c>
    </row>
    <row r="55" spans="1:24" x14ac:dyDescent="0.35">
      <c r="A55">
        <v>349.23899999999998</v>
      </c>
      <c r="B55">
        <f>'1233 P- 72 hpi'!W56</f>
        <v>0.50921044228008716</v>
      </c>
      <c r="C55">
        <f>'1233 P- 72 hpi'!X56</f>
        <v>3.5742742401471204</v>
      </c>
      <c r="E55">
        <f>'1233 P+ 72 hpi'!W56</f>
        <v>0.68825221842321582</v>
      </c>
      <c r="F55">
        <f>'1233 P+ 72 hpi'!X56</f>
        <v>7.195836278755074</v>
      </c>
      <c r="H55">
        <f>'1234 P- 72 hpi'!W56</f>
        <v>2.9756080918567287</v>
      </c>
      <c r="I55">
        <f>'1234 P- 72 hpi'!X56</f>
        <v>18.583824170654484</v>
      </c>
      <c r="K55">
        <f>'1234 P+ 72 hpi'!W56</f>
        <v>0.53627415411229151</v>
      </c>
      <c r="L55">
        <f>'1234 P+ 72 hpi'!X56</f>
        <v>8.9115386942053245</v>
      </c>
      <c r="N55">
        <f>'1250 P- 72 hpi'!W56</f>
        <v>1.5935051526018131</v>
      </c>
      <c r="O55">
        <f>'1250 P- 72 hpi'!X56</f>
        <v>5.9032991264299515</v>
      </c>
      <c r="Q55">
        <f>'1250 P+ 72 hpi'!W56</f>
        <v>2.9443735067760883</v>
      </c>
      <c r="R55">
        <f>'1250 P+ 72 hpi'!X56</f>
        <v>3.0892173148723927</v>
      </c>
      <c r="T55">
        <f>'1480 P- 72 hpi'!W56</f>
        <v>1.4333771018949257</v>
      </c>
      <c r="U55">
        <f>'1480 P- 72 hpi'!X56</f>
        <v>7.1351538036111721</v>
      </c>
      <c r="W55">
        <f>'NAD003 P+ 72 hpi'!W56</f>
        <v>0.39468237480437551</v>
      </c>
      <c r="X55">
        <f>'NAD003 P+ 72 hpi'!X56</f>
        <v>1.9496351195513739E-2</v>
      </c>
    </row>
    <row r="56" spans="1:24" x14ac:dyDescent="0.35">
      <c r="A56">
        <v>355.53699999999998</v>
      </c>
      <c r="B56">
        <f>'1233 P- 72 hpi'!W57</f>
        <v>0.44477557491347591</v>
      </c>
      <c r="C56">
        <f>'1233 P- 72 hpi'!X57</f>
        <v>3.5200006357650819</v>
      </c>
      <c r="E56">
        <f>'1233 P+ 72 hpi'!W57</f>
        <v>0.41610931084301939</v>
      </c>
      <c r="F56">
        <f>'1233 P+ 72 hpi'!X57</f>
        <v>9.7798000734520585</v>
      </c>
      <c r="H56">
        <f>'1234 P- 72 hpi'!W57</f>
        <v>2.9642022787283255</v>
      </c>
      <c r="I56">
        <f>'1234 P- 72 hpi'!X57</f>
        <v>19.476475045554732</v>
      </c>
      <c r="K56">
        <f>'1234 P+ 72 hpi'!W57</f>
        <v>0.69066933426108079</v>
      </c>
      <c r="L56">
        <f>'1234 P+ 72 hpi'!X57</f>
        <v>12.73331127784911</v>
      </c>
      <c r="N56">
        <f>'1250 P- 72 hpi'!W57</f>
        <v>1.5820833420757063</v>
      </c>
      <c r="O56">
        <f>'1250 P- 72 hpi'!X57</f>
        <v>6.201822202699292</v>
      </c>
      <c r="Q56">
        <f>'1250 P+ 72 hpi'!W57</f>
        <v>3.087566245768393</v>
      </c>
      <c r="R56">
        <f>'1250 P+ 72 hpi'!X57</f>
        <v>3.2267896908143854</v>
      </c>
      <c r="T56">
        <f>'1480 P- 72 hpi'!W57</f>
        <v>1.4378148698169235</v>
      </c>
      <c r="U56">
        <f>'1480 P- 72 hpi'!X57</f>
        <v>7.1270889647152318</v>
      </c>
      <c r="W56">
        <f>'NAD003 P+ 72 hpi'!W57</f>
        <v>5.8263085129787839E-2</v>
      </c>
      <c r="X56">
        <f>'NAD003 P+ 72 hpi'!X57</f>
        <v>0.41598401844427002</v>
      </c>
    </row>
    <row r="57" spans="1:24" x14ac:dyDescent="0.35">
      <c r="A57">
        <v>361.666</v>
      </c>
      <c r="B57">
        <f>'1233 P- 72 hpi'!W58</f>
        <v>0.39475381218384142</v>
      </c>
      <c r="C57">
        <f>'1233 P- 72 hpi'!X58</f>
        <v>2.643047235624842</v>
      </c>
      <c r="E57">
        <f>'1233 P+ 72 hpi'!W58</f>
        <v>0.44905615817445721</v>
      </c>
      <c r="F57">
        <f>'1233 P+ 72 hpi'!X58</f>
        <v>8.9118419631981922</v>
      </c>
      <c r="H57">
        <f>'1234 P- 72 hpi'!W58</f>
        <v>2.9140800054578415</v>
      </c>
      <c r="I57">
        <f>'1234 P- 72 hpi'!X58</f>
        <v>19.408870588968707</v>
      </c>
      <c r="K57">
        <f>'1234 P+ 72 hpi'!W58</f>
        <v>0.73162418017259512</v>
      </c>
      <c r="L57">
        <f>'1234 P+ 72 hpi'!X58</f>
        <v>12.491314567647443</v>
      </c>
      <c r="N57">
        <f>'1250 P- 72 hpi'!W58</f>
        <v>1.6385843568594733</v>
      </c>
      <c r="O57">
        <f>'1250 P- 72 hpi'!X58</f>
        <v>6.9632563360298407</v>
      </c>
      <c r="Q57">
        <f>'1250 P+ 72 hpi'!W58</f>
        <v>3.1235702687297007</v>
      </c>
      <c r="R57">
        <f>'1250 P+ 72 hpi'!X58</f>
        <v>3.172607301111853</v>
      </c>
      <c r="T57">
        <f>'1480 P- 72 hpi'!W58</f>
        <v>1.52916675630611</v>
      </c>
      <c r="U57">
        <f>'1480 P- 72 hpi'!X58</f>
        <v>7.6282508999895242</v>
      </c>
      <c r="W57">
        <f>'NAD003 P+ 72 hpi'!W58</f>
        <v>9.5475325037739367E-2</v>
      </c>
      <c r="X57">
        <f>'NAD003 P+ 72 hpi'!X58</f>
        <v>0.61622236381704454</v>
      </c>
    </row>
    <row r="58" spans="1:24" x14ac:dyDescent="0.35">
      <c r="A58">
        <v>367.87200000000001</v>
      </c>
      <c r="B58">
        <f>'1233 P- 72 hpi'!W59</f>
        <v>0.47393128194148876</v>
      </c>
      <c r="C58">
        <f>'1233 P- 72 hpi'!X59</f>
        <v>2.7980186644890974</v>
      </c>
      <c r="E58">
        <f>'1233 P+ 72 hpi'!W59</f>
        <v>0.68228280411219799</v>
      </c>
      <c r="F58">
        <f>'1233 P+ 72 hpi'!X59</f>
        <v>8.157282920036927</v>
      </c>
      <c r="H58">
        <f>'1234 P- 72 hpi'!W59</f>
        <v>2.9114154854779994</v>
      </c>
      <c r="I58">
        <f>'1234 P- 72 hpi'!X59</f>
        <v>18.481548905001933</v>
      </c>
      <c r="K58">
        <f>'1234 P+ 72 hpi'!W59</f>
        <v>0.9730806643407135</v>
      </c>
      <c r="L58">
        <f>'1234 P+ 72 hpi'!X59</f>
        <v>14.250799511306022</v>
      </c>
      <c r="N58">
        <f>'1250 P- 72 hpi'!W59</f>
        <v>1.6346468665841503</v>
      </c>
      <c r="O58">
        <f>'1250 P- 72 hpi'!X59</f>
        <v>6.7491332185927551</v>
      </c>
      <c r="Q58">
        <f>'1250 P+ 72 hpi'!W59</f>
        <v>3.0031185444269468</v>
      </c>
      <c r="R58">
        <f>'1250 P+ 72 hpi'!X59</f>
        <v>3.2754743068532406</v>
      </c>
      <c r="T58">
        <f>'1480 P- 72 hpi'!W59</f>
        <v>1.4740157349833858</v>
      </c>
      <c r="U58">
        <f>'1480 P- 72 hpi'!X59</f>
        <v>7.3653368477157324</v>
      </c>
      <c r="W58">
        <f>'NAD003 P+ 72 hpi'!W59</f>
        <v>8.6171847253694978E-2</v>
      </c>
      <c r="X58">
        <f>'NAD003 P+ 72 hpi'!X59</f>
        <v>8.9699832401763047E-2</v>
      </c>
    </row>
    <row r="59" spans="1:24" x14ac:dyDescent="0.35">
      <c r="A59">
        <v>374.14400000000001</v>
      </c>
      <c r="B59">
        <f>'1233 P- 72 hpi'!W60</f>
        <v>0.35645258517338696</v>
      </c>
      <c r="C59">
        <f>'1233 P- 72 hpi'!X60</f>
        <v>2.8276068108544421</v>
      </c>
      <c r="E59">
        <f>'1233 P+ 72 hpi'!W60</f>
        <v>0.7387365096335472</v>
      </c>
      <c r="F59">
        <f>'1233 P+ 72 hpi'!X60</f>
        <v>7.7348578450025158</v>
      </c>
      <c r="H59">
        <f>'1234 P- 72 hpi'!W60</f>
        <v>2.9314963642714296</v>
      </c>
      <c r="I59">
        <f>'1234 P- 72 hpi'!X60</f>
        <v>20.571365189038222</v>
      </c>
      <c r="K59">
        <f>'1234 P+ 72 hpi'!W60</f>
        <v>0.8591092286671298</v>
      </c>
      <c r="L59">
        <f>'1234 P+ 72 hpi'!X60</f>
        <v>11.442642860636848</v>
      </c>
      <c r="N59">
        <f>'1250 P- 72 hpi'!W60</f>
        <v>1.6026150258961187</v>
      </c>
      <c r="O59">
        <f>'1250 P- 72 hpi'!X60</f>
        <v>6.042173335530264</v>
      </c>
      <c r="Q59">
        <f>'1250 P+ 72 hpi'!W60</f>
        <v>3.2668020653435832</v>
      </c>
      <c r="R59">
        <f>'1250 P+ 72 hpi'!X60</f>
        <v>4.3555862363531617</v>
      </c>
      <c r="T59">
        <f>'1480 P- 72 hpi'!W60</f>
        <v>1.4488580091445296</v>
      </c>
      <c r="U59">
        <f>'1480 P- 72 hpi'!X60</f>
        <v>7.2089522371175656</v>
      </c>
      <c r="W59">
        <f>'NAD003 P+ 72 hpi'!W60</f>
        <v>0.35889648431925991</v>
      </c>
      <c r="X59">
        <f>'NAD003 P+ 72 hpi'!X60</f>
        <v>1.2484872343991071</v>
      </c>
    </row>
    <row r="60" spans="1:24" x14ac:dyDescent="0.35">
      <c r="A60">
        <v>380.34899999999999</v>
      </c>
      <c r="B60">
        <f>'1233 P- 72 hpi'!W61</f>
        <v>0.43803137325914315</v>
      </c>
      <c r="C60">
        <f>'1233 P- 72 hpi'!X61</f>
        <v>1.48894316223085</v>
      </c>
      <c r="E60">
        <f>'1233 P+ 72 hpi'!W61</f>
        <v>0.72585290314673045</v>
      </c>
      <c r="F60">
        <f>'1233 P+ 72 hpi'!X61</f>
        <v>8.2861313841644417</v>
      </c>
      <c r="H60">
        <f>'1234 P- 72 hpi'!W61</f>
        <v>2.8989512597000906</v>
      </c>
      <c r="I60">
        <f>'1234 P- 72 hpi'!X61</f>
        <v>20.141780073708336</v>
      </c>
      <c r="K60">
        <f>'1234 P+ 72 hpi'!W61</f>
        <v>0.98907288300623719</v>
      </c>
      <c r="L60">
        <f>'1234 P+ 72 hpi'!X61</f>
        <v>13.018518791880529</v>
      </c>
      <c r="N60">
        <f>'1250 P- 72 hpi'!W61</f>
        <v>1.7092042444436644</v>
      </c>
      <c r="O60">
        <f>'1250 P- 72 hpi'!X61</f>
        <v>7.0114205332981445</v>
      </c>
      <c r="Q60">
        <f>'1250 P+ 72 hpi'!W61</f>
        <v>3.2474557592450779</v>
      </c>
      <c r="R60">
        <f>'1250 P+ 72 hpi'!X61</f>
        <v>5.1945090639259917</v>
      </c>
      <c r="T60">
        <f>'1480 P- 72 hpi'!W61</f>
        <v>1.50430589675066</v>
      </c>
      <c r="U60">
        <f>'1480 P- 72 hpi'!X61</f>
        <v>7.4302214555589119</v>
      </c>
      <c r="W60">
        <f>'NAD003 P+ 72 hpi'!W61</f>
        <v>0.40144542015278972</v>
      </c>
      <c r="X60">
        <f>'NAD003 P+ 72 hpi'!X61</f>
        <v>2.6142369137054189</v>
      </c>
    </row>
    <row r="61" spans="1:24" x14ac:dyDescent="0.35">
      <c r="A61">
        <v>386.57</v>
      </c>
      <c r="B61">
        <f>'1233 P- 72 hpi'!W62</f>
        <v>0.45262816038492631</v>
      </c>
      <c r="C61">
        <f>'1233 P- 72 hpi'!X62</f>
        <v>1.402304693317991</v>
      </c>
      <c r="E61">
        <f>'1233 P+ 72 hpi'!W62</f>
        <v>0.67205477775181066</v>
      </c>
      <c r="F61">
        <f>'1233 P+ 72 hpi'!X62</f>
        <v>8.4457467745071426</v>
      </c>
      <c r="H61">
        <f>'1234 P- 72 hpi'!W62</f>
        <v>2.9384963706284082</v>
      </c>
      <c r="I61">
        <f>'1234 P- 72 hpi'!X62</f>
        <v>20.476331778591902</v>
      </c>
      <c r="K61">
        <f>'1234 P+ 72 hpi'!W62</f>
        <v>1.0370065341621313</v>
      </c>
      <c r="L61">
        <f>'1234 P+ 72 hpi'!X62</f>
        <v>13.637437071680077</v>
      </c>
      <c r="N61">
        <f>'1250 P- 72 hpi'!W62</f>
        <v>1.6056374438091827</v>
      </c>
      <c r="O61">
        <f>'1250 P- 72 hpi'!X62</f>
        <v>6.174920423888171</v>
      </c>
      <c r="Q61">
        <f>'1250 P+ 72 hpi'!W62</f>
        <v>3.2764017819798781</v>
      </c>
      <c r="R61">
        <f>'1250 P+ 72 hpi'!X62</f>
        <v>4.9770529650626472</v>
      </c>
      <c r="T61">
        <f>'1480 P- 72 hpi'!W62</f>
        <v>1.6226554674834111</v>
      </c>
      <c r="U61">
        <f>'1480 P- 72 hpi'!X62</f>
        <v>6.2235859020566799</v>
      </c>
      <c r="W61">
        <f>'NAD003 P+ 72 hpi'!W62</f>
        <v>3.9629109737973067E-2</v>
      </c>
      <c r="X61">
        <f>'NAD003 P+ 72 hpi'!X62</f>
        <v>0.67530549761777081</v>
      </c>
    </row>
    <row r="62" spans="1:24" x14ac:dyDescent="0.35">
      <c r="A62">
        <v>392.74099999999999</v>
      </c>
      <c r="B62">
        <f>'1233 P- 72 hpi'!W63</f>
        <v>0.3700545351140388</v>
      </c>
      <c r="C62">
        <f>'1233 P- 72 hpi'!X63</f>
        <v>1.2010980703013723</v>
      </c>
      <c r="E62">
        <f>'1233 P+ 72 hpi'!W63</f>
        <v>0.75241682737672022</v>
      </c>
      <c r="F62">
        <f>'1233 P+ 72 hpi'!X63</f>
        <v>8.7037169831236554</v>
      </c>
      <c r="H62">
        <f>'1234 P- 72 hpi'!W63</f>
        <v>2.8736371052283931</v>
      </c>
      <c r="I62">
        <f>'1234 P- 72 hpi'!X63</f>
        <v>21.593789644105254</v>
      </c>
      <c r="K62">
        <f>'1234 P+ 72 hpi'!W63</f>
        <v>1.1351864777036127</v>
      </c>
      <c r="L62">
        <f>'1234 P+ 72 hpi'!X63</f>
        <v>12.824209106831061</v>
      </c>
      <c r="N62">
        <f>'1250 P- 72 hpi'!W63</f>
        <v>1.7767133388512677</v>
      </c>
      <c r="O62">
        <f>'1250 P- 72 hpi'!X63</f>
        <v>7.6187857270167498</v>
      </c>
      <c r="Q62">
        <f>'1250 P+ 72 hpi'!W63</f>
        <v>3.3937227827494496</v>
      </c>
      <c r="R62">
        <f>'1250 P+ 72 hpi'!X63</f>
        <v>6.1179680880427654</v>
      </c>
      <c r="T62">
        <f>'1480 P- 72 hpi'!W63</f>
        <v>1.5334552142919535</v>
      </c>
      <c r="U62">
        <f>'1480 P- 72 hpi'!X63</f>
        <v>7.3627032290589591</v>
      </c>
      <c r="W62">
        <f>'NAD003 P+ 72 hpi'!W63</f>
        <v>6.4958189613044226E-2</v>
      </c>
      <c r="X62">
        <f>'NAD003 P+ 72 hpi'!X63</f>
        <v>0.59728458115348815</v>
      </c>
    </row>
    <row r="63" spans="1:24" x14ac:dyDescent="0.35">
      <c r="A63">
        <v>399.01299999999998</v>
      </c>
      <c r="B63">
        <f>'1233 P- 72 hpi'!W64</f>
        <v>0.42120596915827546</v>
      </c>
      <c r="C63">
        <f>'1233 P- 72 hpi'!X64</f>
        <v>1.1623216532591871</v>
      </c>
      <c r="E63">
        <f>'1233 P+ 72 hpi'!W64</f>
        <v>0.64663854219781314</v>
      </c>
      <c r="F63">
        <f>'1233 P+ 72 hpi'!X64</f>
        <v>8.830054764792564</v>
      </c>
      <c r="H63">
        <f>'1234 P- 72 hpi'!W64</f>
        <v>3.0033745730309449</v>
      </c>
      <c r="I63">
        <f>'1234 P- 72 hpi'!X64</f>
        <v>21.552016241142205</v>
      </c>
      <c r="K63">
        <f>'1234 P+ 72 hpi'!W64</f>
        <v>1.3943533156115961</v>
      </c>
      <c r="L63">
        <f>'1234 P+ 72 hpi'!X64</f>
        <v>15.006977000645124</v>
      </c>
      <c r="N63">
        <f>'1250 P- 72 hpi'!W64</f>
        <v>1.6754401242574593</v>
      </c>
      <c r="O63">
        <f>'1250 P- 72 hpi'!X64</f>
        <v>7.0723202269261973</v>
      </c>
      <c r="Q63">
        <f>'1250 P+ 72 hpi'!W64</f>
        <v>3.3845718700174032</v>
      </c>
      <c r="R63">
        <f>'1250 P+ 72 hpi'!X64</f>
        <v>5.6444228169732469</v>
      </c>
      <c r="T63">
        <f>'1480 P- 72 hpi'!W64</f>
        <v>1.5657527673517313</v>
      </c>
      <c r="U63">
        <f>'1480 P- 72 hpi'!X64</f>
        <v>6.9557797799860746</v>
      </c>
      <c r="W63">
        <f>'NAD003 P+ 72 hpi'!W64</f>
        <v>0.26282678630670375</v>
      </c>
      <c r="X63">
        <f>'NAD003 P+ 72 hpi'!X64</f>
        <v>2.2832974504527712</v>
      </c>
    </row>
    <row r="64" spans="1:24" x14ac:dyDescent="0.35">
      <c r="A64">
        <v>405.089</v>
      </c>
      <c r="B64">
        <f>'1233 P- 72 hpi'!W65</f>
        <v>0.48864611380264472</v>
      </c>
      <c r="C64">
        <f>'1233 P- 72 hpi'!X65</f>
        <v>1.4828486110956336</v>
      </c>
      <c r="E64">
        <f>'1233 P+ 72 hpi'!W65</f>
        <v>0.74527423427321082</v>
      </c>
      <c r="F64">
        <f>'1233 P+ 72 hpi'!X65</f>
        <v>8.4876915088397737</v>
      </c>
      <c r="H64">
        <f>'1234 P- 72 hpi'!W65</f>
        <v>3.0286731387795753</v>
      </c>
      <c r="I64">
        <f>'1234 P- 72 hpi'!X65</f>
        <v>21.707021118294481</v>
      </c>
      <c r="K64">
        <f>'1234 P+ 72 hpi'!W65</f>
        <v>1.2397534315623133</v>
      </c>
      <c r="L64">
        <f>'1234 P+ 72 hpi'!X65</f>
        <v>14.18332333311054</v>
      </c>
      <c r="N64">
        <f>'1250 P- 72 hpi'!W65</f>
        <v>1.7316460866486592</v>
      </c>
      <c r="O64">
        <f>'1250 P- 72 hpi'!X65</f>
        <v>6.9795239321935725</v>
      </c>
      <c r="Q64">
        <f>'1250 P+ 72 hpi'!W65</f>
        <v>3.2472072759702542</v>
      </c>
      <c r="R64">
        <f>'1250 P+ 72 hpi'!X65</f>
        <v>4.8008212515154014</v>
      </c>
      <c r="T64">
        <f>'1480 P- 72 hpi'!W65</f>
        <v>1.456906883198372</v>
      </c>
      <c r="U64">
        <f>'1480 P- 72 hpi'!X65</f>
        <v>7.2321946452145172</v>
      </c>
      <c r="W64">
        <f>'NAD003 P+ 72 hpi'!W65</f>
        <v>0.54671535388236236</v>
      </c>
      <c r="X64">
        <f>'NAD003 P+ 72 hpi'!X65</f>
        <v>3.4130792178016307</v>
      </c>
    </row>
    <row r="65" spans="1:24" x14ac:dyDescent="0.35">
      <c r="A65">
        <v>411.38600000000002</v>
      </c>
      <c r="B65">
        <f>'1233 P- 72 hpi'!W66</f>
        <v>0.38398504674980388</v>
      </c>
      <c r="C65">
        <f>'1233 P- 72 hpi'!X66</f>
        <v>1.6027501272185265</v>
      </c>
      <c r="E65">
        <f>'1233 P+ 72 hpi'!W66</f>
        <v>0.81108335207684235</v>
      </c>
      <c r="F65">
        <f>'1233 P+ 72 hpi'!X66</f>
        <v>9.360310774926262</v>
      </c>
      <c r="H65">
        <f>'1234 P- 72 hpi'!W66</f>
        <v>3.1165480650878776</v>
      </c>
      <c r="I65">
        <f>'1234 P- 72 hpi'!X66</f>
        <v>21.685499732364505</v>
      </c>
      <c r="K65">
        <f>'1234 P+ 72 hpi'!W66</f>
        <v>1.6253535905372516</v>
      </c>
      <c r="L65">
        <f>'1234 P+ 72 hpi'!X66</f>
        <v>17.215975580353081</v>
      </c>
      <c r="N65">
        <f>'1250 P- 72 hpi'!W66</f>
        <v>1.8340341332765335</v>
      </c>
      <c r="O65">
        <f>'1250 P- 72 hpi'!X66</f>
        <v>8.5863262865408743</v>
      </c>
      <c r="Q65">
        <f>'1250 P+ 72 hpi'!W66</f>
        <v>3.5304447702877439</v>
      </c>
      <c r="R65">
        <f>'1250 P+ 72 hpi'!X66</f>
        <v>5.9766346167116566</v>
      </c>
      <c r="T65">
        <f>'1480 P- 72 hpi'!W66</f>
        <v>1.6073935428821289</v>
      </c>
      <c r="U65">
        <f>'1480 P- 72 hpi'!X66</f>
        <v>7.1404005769886547</v>
      </c>
      <c r="W65">
        <f>'NAD003 P+ 72 hpi'!W66</f>
        <v>0.29545564844549688</v>
      </c>
      <c r="X65">
        <f>'NAD003 P+ 72 hpi'!X66</f>
        <v>2.1935291392324672</v>
      </c>
    </row>
    <row r="66" spans="1:24" x14ac:dyDescent="0.35">
      <c r="A66">
        <v>417.61700000000002</v>
      </c>
      <c r="B66">
        <f>'1233 P- 72 hpi'!W67</f>
        <v>0.49389193168733619</v>
      </c>
      <c r="C66">
        <f>'1233 P- 72 hpi'!X67</f>
        <v>1.7131427366350664</v>
      </c>
      <c r="E66">
        <f>'1233 P+ 72 hpi'!W67</f>
        <v>0.78260360709455767</v>
      </c>
      <c r="F66">
        <f>'1233 P+ 72 hpi'!X67</f>
        <v>9.8552906690089799</v>
      </c>
      <c r="H66">
        <f>'1234 P- 72 hpi'!W67</f>
        <v>3.0442994905217162</v>
      </c>
      <c r="I66">
        <f>'1234 P- 72 hpi'!X67</f>
        <v>20.878669549495843</v>
      </c>
      <c r="K66">
        <f>'1234 P+ 72 hpi'!W67</f>
        <v>1.4012928031196807</v>
      </c>
      <c r="L66">
        <f>'1234 P+ 72 hpi'!X67</f>
        <v>14.381266963113246</v>
      </c>
      <c r="N66">
        <f>'1250 P- 72 hpi'!W67</f>
        <v>1.8936512395095086</v>
      </c>
      <c r="O66">
        <f>'1250 P- 72 hpi'!X67</f>
        <v>8.3120859001832024</v>
      </c>
      <c r="Q66">
        <f>'1250 P+ 72 hpi'!W67</f>
        <v>3.6292345414359986</v>
      </c>
      <c r="R66">
        <f>'1250 P+ 72 hpi'!X67</f>
        <v>6.2986618043010196</v>
      </c>
      <c r="T66">
        <f>'1480 P- 72 hpi'!W67</f>
        <v>1.3672873065089846</v>
      </c>
      <c r="U66">
        <f>'1480 P- 72 hpi'!X67</f>
        <v>7.0666751607900311</v>
      </c>
      <c r="W66">
        <f>'NAD003 P+ 72 hpi'!W67</f>
        <v>0.57011144457350582</v>
      </c>
      <c r="X66">
        <f>'NAD003 P+ 72 hpi'!X67</f>
        <v>3.2418575911191638</v>
      </c>
    </row>
    <row r="67" spans="1:24" x14ac:dyDescent="0.35">
      <c r="A67">
        <v>423.72800000000001</v>
      </c>
      <c r="B67">
        <f>'1233 P- 72 hpi'!W68</f>
        <v>0.4436526780499791</v>
      </c>
      <c r="C67">
        <f>'1233 P- 72 hpi'!X68</f>
        <v>1.7839945856659121</v>
      </c>
      <c r="E67">
        <f>'1233 P+ 72 hpi'!W68</f>
        <v>0.62009967711691161</v>
      </c>
      <c r="F67">
        <f>'1233 P+ 72 hpi'!X68</f>
        <v>10.705545635650699</v>
      </c>
      <c r="H67">
        <f>'1234 P- 72 hpi'!W68</f>
        <v>3.0052286260854726</v>
      </c>
      <c r="I67">
        <f>'1234 P- 72 hpi'!X68</f>
        <v>22.070351643208667</v>
      </c>
      <c r="K67">
        <f>'1234 P+ 72 hpi'!W68</f>
        <v>1.5858443778223474</v>
      </c>
      <c r="L67">
        <f>'1234 P+ 72 hpi'!X68</f>
        <v>15.722346055179791</v>
      </c>
      <c r="N67">
        <f>'1250 P- 72 hpi'!W68</f>
        <v>1.9033544704280967</v>
      </c>
      <c r="O67">
        <f>'1250 P- 72 hpi'!X68</f>
        <v>8.7024339279254121</v>
      </c>
      <c r="Q67">
        <f>'1250 P+ 72 hpi'!W68</f>
        <v>3.4338198827656115</v>
      </c>
      <c r="R67">
        <f>'1250 P+ 72 hpi'!X68</f>
        <v>5.5378564887249979</v>
      </c>
      <c r="T67">
        <f>'1480 P- 72 hpi'!W68</f>
        <v>1.4062591103400091</v>
      </c>
      <c r="U67">
        <f>'1480 P- 72 hpi'!X68</f>
        <v>7.0143783959402777</v>
      </c>
      <c r="W67">
        <f>'NAD003 P+ 72 hpi'!W68</f>
        <v>0.59845197835112174</v>
      </c>
      <c r="X67">
        <f>'NAD003 P+ 72 hpi'!X68</f>
        <v>4.5972315792807663</v>
      </c>
    </row>
    <row r="68" spans="1:24" x14ac:dyDescent="0.35">
      <c r="A68">
        <v>429.99799999999999</v>
      </c>
      <c r="B68">
        <f>'1233 P- 72 hpi'!W69</f>
        <v>0.44281369648899965</v>
      </c>
      <c r="C68">
        <f>'1233 P- 72 hpi'!X69</f>
        <v>0.67700247892142018</v>
      </c>
      <c r="E68">
        <f>'1233 P+ 72 hpi'!W69</f>
        <v>0.58740165647164133</v>
      </c>
      <c r="F68">
        <f>'1233 P+ 72 hpi'!X69</f>
        <v>11.30408465809816</v>
      </c>
      <c r="H68">
        <f>'1234 P- 72 hpi'!W69</f>
        <v>3.0426087533114572</v>
      </c>
      <c r="I68">
        <f>'1234 P- 72 hpi'!X69</f>
        <v>22.377344317985315</v>
      </c>
      <c r="K68">
        <f>'1234 P+ 72 hpi'!W69</f>
        <v>1.6855147316843144</v>
      </c>
      <c r="L68">
        <f>'1234 P+ 72 hpi'!X69</f>
        <v>16.182116070314695</v>
      </c>
      <c r="N68">
        <f>'1250 P- 72 hpi'!W69</f>
        <v>1.931857761457032</v>
      </c>
      <c r="O68">
        <f>'1250 P- 72 hpi'!X69</f>
        <v>8.8194899358231602</v>
      </c>
      <c r="Q68">
        <f>'1250 P+ 72 hpi'!W69</f>
        <v>3.5768256100256863</v>
      </c>
      <c r="R68">
        <f>'1250 P+ 72 hpi'!X69</f>
        <v>6.3652245875065034</v>
      </c>
      <c r="T68">
        <f>'1480 P- 72 hpi'!W69</f>
        <v>1.5156217704497439</v>
      </c>
      <c r="U68">
        <f>'1480 P- 72 hpi'!X69</f>
        <v>7.2181927812079074</v>
      </c>
      <c r="W68">
        <f>'NAD003 P+ 72 hpi'!W69</f>
        <v>0.38304725276376672</v>
      </c>
      <c r="X68">
        <f>'NAD003 P+ 72 hpi'!X69</f>
        <v>4.1351648884962842</v>
      </c>
    </row>
    <row r="69" spans="1:24" x14ac:dyDescent="0.35">
      <c r="A69">
        <v>436.13900000000001</v>
      </c>
      <c r="B69">
        <f>'1233 P- 72 hpi'!W70</f>
        <v>0.46342468684504179</v>
      </c>
      <c r="C69">
        <f>'1233 P- 72 hpi'!X70</f>
        <v>1.643537300856817</v>
      </c>
      <c r="E69">
        <f>'1233 P+ 72 hpi'!W70</f>
        <v>0.66452800407302703</v>
      </c>
      <c r="F69">
        <f>'1233 P+ 72 hpi'!X70</f>
        <v>11.865962319041031</v>
      </c>
      <c r="H69">
        <f>'1234 P- 72 hpi'!W70</f>
        <v>3.0351394470729613</v>
      </c>
      <c r="I69">
        <f>'1234 P- 72 hpi'!X70</f>
        <v>21.142307815074844</v>
      </c>
      <c r="K69">
        <f>'1234 P+ 72 hpi'!W70</f>
        <v>1.7587412583233331</v>
      </c>
      <c r="L69">
        <f>'1234 P+ 72 hpi'!X70</f>
        <v>16.725061600504574</v>
      </c>
      <c r="N69">
        <f>'1250 P- 72 hpi'!W70</f>
        <v>1.5614740789582806</v>
      </c>
      <c r="O69">
        <f>'1250 P- 72 hpi'!X70</f>
        <v>7.9367245278869643</v>
      </c>
      <c r="Q69">
        <f>'1250 P+ 72 hpi'!W70</f>
        <v>3.624228637742597</v>
      </c>
      <c r="R69">
        <f>'1250 P+ 72 hpi'!X70</f>
        <v>6.5951263083158835</v>
      </c>
      <c r="T69">
        <f>'1480 P- 72 hpi'!W70</f>
        <v>1.507558766815273</v>
      </c>
      <c r="U69">
        <f>'1480 P- 72 hpi'!X70</f>
        <v>7.959685831938673</v>
      </c>
      <c r="W69">
        <f>'NAD003 P+ 72 hpi'!W70</f>
        <v>0.61188712856233707</v>
      </c>
      <c r="X69">
        <f>'NAD003 P+ 72 hpi'!X70</f>
        <v>4.7731120557157567</v>
      </c>
    </row>
    <row r="70" spans="1:24" x14ac:dyDescent="0.35">
      <c r="A70">
        <v>449.34300000000002</v>
      </c>
      <c r="B70">
        <f>'1233 P- 72 hpi'!W71</f>
        <v>2.1752426351363957E-2</v>
      </c>
      <c r="C70">
        <f>'1233 P- 72 hpi'!X71</f>
        <v>0.66122167875263949</v>
      </c>
      <c r="E70">
        <f>'1233 P+ 72 hpi'!W71</f>
        <v>1.3724074572175629E-2</v>
      </c>
      <c r="F70">
        <f>'1233 P+ 72 hpi'!X71</f>
        <v>0.23713578476748864</v>
      </c>
      <c r="H70">
        <f>'1234 P- 72 hpi'!W71</f>
        <v>0.24995230389565207</v>
      </c>
      <c r="I70">
        <f>'1234 P- 72 hpi'!X71</f>
        <v>0.43748890420269854</v>
      </c>
      <c r="K70">
        <f>'1234 P+ 72 hpi'!W71</f>
        <v>0.22263886860825896</v>
      </c>
      <c r="L70">
        <f>'1234 P+ 72 hpi'!X71</f>
        <v>5.8046985417620069</v>
      </c>
      <c r="N70">
        <f>'1250 P- 72 hpi'!W71</f>
        <v>2.3247250682551849E-2</v>
      </c>
      <c r="O70">
        <f>'1250 P- 72 hpi'!X71</f>
        <v>0.73432173493189079</v>
      </c>
      <c r="Q70">
        <f>'1250 P+ 72 hpi'!W71</f>
        <v>2.2791350454545532E-2</v>
      </c>
      <c r="R70">
        <f>'1250 P+ 72 hpi'!X71</f>
        <v>0.4339111621969467</v>
      </c>
      <c r="T70">
        <f>'1480 P- 72 hpi'!W71</f>
        <v>1.1737716697185719E-2</v>
      </c>
      <c r="U70">
        <f>'1480 P- 72 hpi'!X71</f>
        <v>0.19092198341912595</v>
      </c>
      <c r="W70">
        <f>'NAD003 P+ 72 hpi'!W71</f>
        <v>4.4707917979516093E-3</v>
      </c>
      <c r="X70">
        <f>'NAD003 P+ 72 hpi'!X71</f>
        <v>0.77904683135508979</v>
      </c>
    </row>
    <row r="71" spans="1:24" x14ac:dyDescent="0.35">
      <c r="A71">
        <v>455.57600000000002</v>
      </c>
      <c r="B71">
        <f>'1233 P- 72 hpi'!W72</f>
        <v>2.1882021846599497E-2</v>
      </c>
      <c r="C71">
        <f>'1233 P- 72 hpi'!X72</f>
        <v>0.66556369464661547</v>
      </c>
      <c r="E71">
        <f>'1233 P+ 72 hpi'!W72</f>
        <v>1.4381076492412437E-2</v>
      </c>
      <c r="F71">
        <f>'1233 P+ 72 hpi'!X72</f>
        <v>0.24000381291498574</v>
      </c>
      <c r="H71">
        <f>'1234 P- 72 hpi'!W72</f>
        <v>0.25321264293890366</v>
      </c>
      <c r="I71">
        <f>'1234 P- 72 hpi'!X72</f>
        <v>0.5412189378661395</v>
      </c>
      <c r="K71">
        <f>'1234 P+ 72 hpi'!W72</f>
        <v>0.20014072024006985</v>
      </c>
      <c r="L71">
        <f>'1234 P+ 72 hpi'!X72</f>
        <v>5.8898429863704749</v>
      </c>
      <c r="N71">
        <f>'1250 P- 72 hpi'!W72</f>
        <v>2.3363448828021435E-2</v>
      </c>
      <c r="O71">
        <f>'1250 P- 72 hpi'!X72</f>
        <v>0.73740033961383744</v>
      </c>
      <c r="Q71">
        <f>'1250 P+ 72 hpi'!W72</f>
        <v>2.2655190957390724E-2</v>
      </c>
      <c r="R71">
        <f>'1250 P+ 72 hpi'!X72</f>
        <v>0.44050276280664757</v>
      </c>
      <c r="T71">
        <f>'1480 P- 72 hpi'!W72</f>
        <v>1.0824851247901958E-2</v>
      </c>
      <c r="U71">
        <f>'1480 P- 72 hpi'!X72</f>
        <v>0.18301707472741868</v>
      </c>
      <c r="W71">
        <f>'NAD003 P+ 72 hpi'!W72</f>
        <v>4.4879688737953227E-3</v>
      </c>
      <c r="X71">
        <f>'NAD003 P+ 72 hpi'!X72</f>
        <v>0.77333337624455467</v>
      </c>
    </row>
    <row r="72" spans="1:24" x14ac:dyDescent="0.35">
      <c r="A72" s="1">
        <v>461.834</v>
      </c>
      <c r="B72">
        <f>'1233 P- 72 hpi'!W73</f>
        <v>2.1777565102345606E-2</v>
      </c>
      <c r="C72">
        <f>'1233 P- 72 hpi'!X73</f>
        <v>0.6703741498512793</v>
      </c>
      <c r="E72">
        <f>'1233 P+ 72 hpi'!W73</f>
        <v>1.4448431035045547E-2</v>
      </c>
      <c r="F72">
        <f>'1233 P+ 72 hpi'!X73</f>
        <v>0.24454545686134299</v>
      </c>
      <c r="H72">
        <f>'1234 P- 72 hpi'!W73</f>
        <v>0.25465416338622654</v>
      </c>
      <c r="I72">
        <f>'1234 P- 72 hpi'!X73</f>
        <v>0.59406631863792869</v>
      </c>
      <c r="K72">
        <f>'1234 P+ 72 hpi'!W73</f>
        <v>0.17837312471368544</v>
      </c>
      <c r="L72">
        <f>'1234 P+ 72 hpi'!X73</f>
        <v>5.9599781239697647</v>
      </c>
      <c r="N72">
        <f>'1250 P- 72 hpi'!W73</f>
        <v>2.3935126829144053E-2</v>
      </c>
      <c r="O72">
        <f>'1250 P- 72 hpi'!X73</f>
        <v>0.72547761189868287</v>
      </c>
      <c r="Q72">
        <f>'1250 P+ 72 hpi'!W73</f>
        <v>2.210694131606206E-2</v>
      </c>
      <c r="R72">
        <f>'1250 P+ 72 hpi'!X73</f>
        <v>0.41567712891957154</v>
      </c>
      <c r="T72">
        <f>'1480 P- 72 hpi'!W73</f>
        <v>1.0742979841810146E-2</v>
      </c>
      <c r="U72">
        <f>'1480 P- 72 hpi'!X73</f>
        <v>0.179939639450299</v>
      </c>
      <c r="W72">
        <f>'NAD003 P+ 72 hpi'!W73</f>
        <v>3.8307594062419736E-3</v>
      </c>
      <c r="X72">
        <f>'NAD003 P+ 72 hpi'!X73</f>
        <v>0.759447187882202</v>
      </c>
    </row>
    <row r="73" spans="1:24" x14ac:dyDescent="0.35">
      <c r="A73">
        <v>468.06400000000002</v>
      </c>
      <c r="B73">
        <f>'1233 P- 72 hpi'!W74</f>
        <v>2.1629626810181692E-2</v>
      </c>
      <c r="C73">
        <f>'1233 P- 72 hpi'!X74</f>
        <v>0.67042859229140206</v>
      </c>
      <c r="E73">
        <f>'1233 P+ 72 hpi'!W74</f>
        <v>1.4408033965273112E-2</v>
      </c>
      <c r="F73">
        <f>'1233 P+ 72 hpi'!X74</f>
        <v>0.25008271465593523</v>
      </c>
      <c r="H73">
        <f>'1234 P- 72 hpi'!W74</f>
        <v>0.25892475785190355</v>
      </c>
      <c r="I73">
        <f>'1234 P- 72 hpi'!X74</f>
        <v>0.64191650016483148</v>
      </c>
      <c r="K73">
        <f>'1234 P+ 72 hpi'!W74</f>
        <v>0.15414349611015848</v>
      </c>
      <c r="L73">
        <f>'1234 P+ 72 hpi'!X74</f>
        <v>6.0855430063130225</v>
      </c>
      <c r="N73">
        <f>'1250 P- 72 hpi'!W74</f>
        <v>2.4140622542387451E-2</v>
      </c>
      <c r="O73">
        <f>'1250 P- 72 hpi'!X74</f>
        <v>0.7200772472907323</v>
      </c>
      <c r="Q73">
        <f>'1250 P+ 72 hpi'!W74</f>
        <v>2.2253068287929428E-2</v>
      </c>
      <c r="R73">
        <f>'1250 P+ 72 hpi'!X74</f>
        <v>0.41443146097408512</v>
      </c>
      <c r="T73">
        <f>'1480 P- 72 hpi'!W74</f>
        <v>9.8677764263785141E-3</v>
      </c>
      <c r="U73">
        <f>'1480 P- 72 hpi'!X74</f>
        <v>0.17579905900453199</v>
      </c>
      <c r="W73">
        <f>'NAD003 P+ 72 hpi'!W74</f>
        <v>2.6882094743582441E-3</v>
      </c>
      <c r="X73">
        <f>'NAD003 P+ 72 hpi'!X74</f>
        <v>0.7448028877004802</v>
      </c>
    </row>
    <row r="74" spans="1:24" x14ac:dyDescent="0.35">
      <c r="A74">
        <v>474.19400000000002</v>
      </c>
      <c r="B74">
        <f>'1233 P- 72 hpi'!W75</f>
        <v>2.2362345510527497E-2</v>
      </c>
      <c r="C74">
        <f>'1233 P- 72 hpi'!X75</f>
        <v>0.66424867755320638</v>
      </c>
      <c r="E74">
        <f>'1233 P+ 72 hpi'!W75</f>
        <v>1.4655630725011193E-2</v>
      </c>
      <c r="F74">
        <f>'1233 P+ 72 hpi'!X75</f>
        <v>0.25302277381137372</v>
      </c>
      <c r="H74">
        <f>'1234 P- 72 hpi'!W75</f>
        <v>0.26016923523177327</v>
      </c>
      <c r="I74">
        <f>'1234 P- 72 hpi'!X75</f>
        <v>0.64940569289640915</v>
      </c>
      <c r="K74">
        <f>'1234 P+ 72 hpi'!W75</f>
        <v>0.13401080730166348</v>
      </c>
      <c r="L74">
        <f>'1234 P+ 72 hpi'!X75</f>
        <v>6.1416705958425011</v>
      </c>
      <c r="N74">
        <f>'1250 P- 72 hpi'!W75</f>
        <v>2.4359458558763526E-2</v>
      </c>
      <c r="O74">
        <f>'1250 P- 72 hpi'!X75</f>
        <v>0.71991035031613171</v>
      </c>
      <c r="Q74">
        <f>'1250 P+ 72 hpi'!W75</f>
        <v>2.1954851735934644E-2</v>
      </c>
      <c r="R74">
        <f>'1250 P+ 72 hpi'!X75</f>
        <v>0.4135225687554458</v>
      </c>
      <c r="T74">
        <f>'1480 P- 72 hpi'!W75</f>
        <v>9.379585571580534E-3</v>
      </c>
      <c r="U74">
        <f>'1480 P- 72 hpi'!X75</f>
        <v>0.16731536172796554</v>
      </c>
      <c r="W74">
        <f>'NAD003 P+ 72 hpi'!W75</f>
        <v>2.515012310874129E-3</v>
      </c>
      <c r="X74">
        <f>'NAD003 P+ 72 hpi'!X75</f>
        <v>0.73528331715745132</v>
      </c>
    </row>
    <row r="75" spans="1:24" x14ac:dyDescent="0.35">
      <c r="A75">
        <v>480.49299999999999</v>
      </c>
      <c r="B75">
        <f>'1233 P- 72 hpi'!W76</f>
        <v>2.291043640277023E-2</v>
      </c>
      <c r="C75">
        <f>'1233 P- 72 hpi'!X76</f>
        <v>0.66421220640442069</v>
      </c>
      <c r="E75">
        <f>'1233 P+ 72 hpi'!W76</f>
        <v>1.5043724147689758E-2</v>
      </c>
      <c r="F75">
        <f>'1233 P+ 72 hpi'!X76</f>
        <v>0.25184973637414121</v>
      </c>
      <c r="H75">
        <f>'1234 P- 72 hpi'!W76</f>
        <v>0.26331724490419323</v>
      </c>
      <c r="I75">
        <f>'1234 P- 72 hpi'!X76</f>
        <v>0.67319481905341905</v>
      </c>
      <c r="K75">
        <f>'1234 P+ 72 hpi'!W76</f>
        <v>0.11099687318733054</v>
      </c>
      <c r="L75">
        <f>'1234 P+ 72 hpi'!X76</f>
        <v>6.265735300034188</v>
      </c>
      <c r="N75">
        <f>'1250 P- 72 hpi'!W76</f>
        <v>2.403364673406844E-2</v>
      </c>
      <c r="O75">
        <f>'1250 P- 72 hpi'!X76</f>
        <v>0.72127584215723128</v>
      </c>
      <c r="Q75">
        <f>'1250 P+ 72 hpi'!W76</f>
        <v>2.1317260165062819E-2</v>
      </c>
      <c r="R75">
        <f>'1250 P+ 72 hpi'!X76</f>
        <v>0.41502201910163006</v>
      </c>
      <c r="T75">
        <f>'1480 P- 72 hpi'!W76</f>
        <v>9.3861428659191715E-3</v>
      </c>
      <c r="U75">
        <f>'1480 P- 72 hpi'!X76</f>
        <v>0.15606932375533841</v>
      </c>
      <c r="W75">
        <f>'NAD003 P+ 72 hpi'!W76</f>
        <v>2.6599583605243782E-3</v>
      </c>
      <c r="X75">
        <f>'NAD003 P+ 72 hpi'!X76</f>
        <v>0.72998204997950911</v>
      </c>
    </row>
    <row r="76" spans="1:24" x14ac:dyDescent="0.35">
      <c r="A76">
        <v>486.74799999999999</v>
      </c>
      <c r="B76">
        <f>'1233 P- 72 hpi'!W77</f>
        <v>2.3447760170271326E-2</v>
      </c>
      <c r="C76">
        <f>'1233 P- 72 hpi'!X77</f>
        <v>0.66221255569318493</v>
      </c>
      <c r="E76">
        <f>'1233 P+ 72 hpi'!W77</f>
        <v>1.5670138592101771E-2</v>
      </c>
      <c r="F76">
        <f>'1233 P+ 72 hpi'!X77</f>
        <v>0.24514682399963483</v>
      </c>
      <c r="H76">
        <f>'1234 P- 72 hpi'!W77</f>
        <v>0.26682268801904002</v>
      </c>
      <c r="I76">
        <f>'1234 P- 72 hpi'!X77</f>
        <v>0.69287391433465306</v>
      </c>
      <c r="K76">
        <f>'1234 P+ 72 hpi'!W77</f>
        <v>9.1140374310134553E-2</v>
      </c>
      <c r="L76">
        <f>'1234 P+ 72 hpi'!X77</f>
        <v>6.3376225750906903</v>
      </c>
      <c r="N76">
        <f>'1250 P- 72 hpi'!W77</f>
        <v>2.4595343355840307E-2</v>
      </c>
      <c r="O76">
        <f>'1250 P- 72 hpi'!X77</f>
        <v>0.71909323217077237</v>
      </c>
      <c r="Q76">
        <f>'1250 P+ 72 hpi'!W77</f>
        <v>2.1000177417603797E-2</v>
      </c>
      <c r="R76">
        <f>'1250 P+ 72 hpi'!X77</f>
        <v>0.41883471993725507</v>
      </c>
      <c r="T76">
        <f>'1480 P- 72 hpi'!W77</f>
        <v>9.551651866349313E-3</v>
      </c>
      <c r="U76">
        <f>'1480 P- 72 hpi'!X77</f>
        <v>0.15646213034467454</v>
      </c>
      <c r="W76">
        <f>'NAD003 P+ 72 hpi'!W77</f>
        <v>2.7944146341257886E-3</v>
      </c>
      <c r="X76">
        <f>'NAD003 P+ 72 hpi'!X77</f>
        <v>0.72727959569600564</v>
      </c>
    </row>
    <row r="77" spans="1:24" x14ac:dyDescent="0.35">
      <c r="A77">
        <v>492.90800000000002</v>
      </c>
      <c r="B77">
        <f>'1233 P- 72 hpi'!W78</f>
        <v>2.3880354097060824E-2</v>
      </c>
      <c r="C77">
        <f>'1233 P- 72 hpi'!X78</f>
        <v>0.66855375499497238</v>
      </c>
      <c r="E77">
        <f>'1233 P+ 72 hpi'!W78</f>
        <v>1.6429528104343186E-2</v>
      </c>
      <c r="F77">
        <f>'1233 P+ 72 hpi'!X78</f>
        <v>0.24168741325864129</v>
      </c>
      <c r="H77">
        <f>'1234 P- 72 hpi'!W78</f>
        <v>0.27318584602180623</v>
      </c>
      <c r="I77">
        <f>'1234 P- 72 hpi'!X78</f>
        <v>0.72750974077537389</v>
      </c>
      <c r="K77">
        <f>'1234 P+ 72 hpi'!W78</f>
        <v>7.4384639361679827E-2</v>
      </c>
      <c r="L77">
        <f>'1234 P+ 72 hpi'!X78</f>
        <v>6.3798473945728986</v>
      </c>
      <c r="N77">
        <f>'1250 P- 72 hpi'!W78</f>
        <v>2.5400378697172796E-2</v>
      </c>
      <c r="O77">
        <f>'1250 P- 72 hpi'!X78</f>
        <v>0.70961408310708862</v>
      </c>
      <c r="Q77">
        <f>'1250 P+ 72 hpi'!W78</f>
        <v>2.0986646503353933E-2</v>
      </c>
      <c r="R77">
        <f>'1250 P+ 72 hpi'!X78</f>
        <v>0.43751081559990901</v>
      </c>
      <c r="T77">
        <f>'1480 P- 72 hpi'!W78</f>
        <v>9.8603854534862773E-3</v>
      </c>
      <c r="U77">
        <f>'1480 P- 72 hpi'!X78</f>
        <v>0.15809357636188162</v>
      </c>
      <c r="W77">
        <f>'NAD003 P+ 72 hpi'!W78</f>
        <v>2.9438080384751597E-3</v>
      </c>
      <c r="X77">
        <f>'NAD003 P+ 72 hpi'!X78</f>
        <v>0.72791705939951079</v>
      </c>
    </row>
    <row r="78" spans="1:24" x14ac:dyDescent="0.35">
      <c r="A78">
        <v>499.07900000000001</v>
      </c>
      <c r="B78">
        <f>'1233 P- 72 hpi'!W79</f>
        <v>2.4238161967437027E-2</v>
      </c>
      <c r="C78">
        <f>'1233 P- 72 hpi'!X79</f>
        <v>0.68103494651750851</v>
      </c>
      <c r="E78">
        <f>'1233 P+ 72 hpi'!W79</f>
        <v>1.6334570921495928E-2</v>
      </c>
      <c r="F78">
        <f>'1233 P+ 72 hpi'!X79</f>
        <v>0.23590694665303502</v>
      </c>
      <c r="H78">
        <f>'1234 P- 72 hpi'!W79</f>
        <v>0.27771583655281068</v>
      </c>
      <c r="I78">
        <f>'1234 P- 72 hpi'!X79</f>
        <v>0.74519656984882232</v>
      </c>
      <c r="K78">
        <f>'1234 P+ 72 hpi'!W79</f>
        <v>5.6489231719772603E-2</v>
      </c>
      <c r="L78">
        <f>'1234 P+ 72 hpi'!X79</f>
        <v>6.4645419015127237</v>
      </c>
      <c r="N78">
        <f>'1250 P- 72 hpi'!W79</f>
        <v>2.5300365902278736E-2</v>
      </c>
      <c r="O78">
        <f>'1250 P- 72 hpi'!X79</f>
        <v>0.70504241062434925</v>
      </c>
      <c r="Q78">
        <f>'1250 P+ 72 hpi'!W79</f>
        <v>2.0741863233317726E-2</v>
      </c>
      <c r="R78">
        <f>'1250 P+ 72 hpi'!X79</f>
        <v>0.45322402712962084</v>
      </c>
      <c r="T78">
        <f>'1480 P- 72 hpi'!W79</f>
        <v>1.0285472842883572E-2</v>
      </c>
      <c r="U78">
        <f>'1480 P- 72 hpi'!X79</f>
        <v>0.15726485022859116</v>
      </c>
      <c r="W78">
        <f>'NAD003 P+ 72 hpi'!W79</f>
        <v>2.7544466373248117E-3</v>
      </c>
      <c r="X78">
        <f>'NAD003 P+ 72 hpi'!X79</f>
        <v>0.73245719081976723</v>
      </c>
    </row>
    <row r="79" spans="1:24" x14ac:dyDescent="0.35">
      <c r="A79">
        <v>505.34300000000002</v>
      </c>
      <c r="B79">
        <f>'1233 P- 72 hpi'!W80</f>
        <v>2.4413744052674043E-2</v>
      </c>
      <c r="C79">
        <f>'1233 P- 72 hpi'!X80</f>
        <v>0.67877760419738487</v>
      </c>
      <c r="E79">
        <f>'1233 P+ 72 hpi'!W80</f>
        <v>1.7170696690271596E-2</v>
      </c>
      <c r="F79">
        <f>'1233 P+ 72 hpi'!X80</f>
        <v>0.23183488829838783</v>
      </c>
      <c r="H79">
        <f>'1234 P- 72 hpi'!W80</f>
        <v>0.27980882948151109</v>
      </c>
      <c r="I79">
        <f>'1234 P- 72 hpi'!X80</f>
        <v>0.75927088235448381</v>
      </c>
      <c r="K79">
        <f>'1234 P+ 72 hpi'!W80</f>
        <v>4.5998400684679863E-2</v>
      </c>
      <c r="L79">
        <f>'1234 P+ 72 hpi'!X80</f>
        <v>6.4899094712096144</v>
      </c>
      <c r="N79">
        <f>'1250 P- 72 hpi'!W80</f>
        <v>2.5488539780455892E-2</v>
      </c>
      <c r="O79">
        <f>'1250 P- 72 hpi'!X80</f>
        <v>0.70330018860332622</v>
      </c>
      <c r="Q79">
        <f>'1250 P+ 72 hpi'!W80</f>
        <v>2.0704626606388794E-2</v>
      </c>
      <c r="R79">
        <f>'1250 P+ 72 hpi'!X80</f>
        <v>0.46542028046271167</v>
      </c>
      <c r="T79">
        <f>'1480 P- 72 hpi'!W80</f>
        <v>1.020624788744909E-2</v>
      </c>
      <c r="U79">
        <f>'1480 P- 72 hpi'!X80</f>
        <v>0.15964970142043891</v>
      </c>
      <c r="W79">
        <f>'NAD003 P+ 72 hpi'!W80</f>
        <v>3.1456015585843294E-3</v>
      </c>
      <c r="X79">
        <f>'NAD003 P+ 72 hpi'!X80</f>
        <v>0.72637850279055005</v>
      </c>
    </row>
    <row r="80" spans="1:24" x14ac:dyDescent="0.35">
      <c r="A80">
        <v>518.67100000000005</v>
      </c>
      <c r="B80">
        <f>'1233 P- 72 hpi'!W81</f>
        <v>1.0066408236683344</v>
      </c>
      <c r="C80">
        <f>'1233 P- 72 hpi'!X81</f>
        <v>5.5857504824473416</v>
      </c>
      <c r="E80">
        <f>'1233 P+ 72 hpi'!W81</f>
        <v>1.9290224380885093</v>
      </c>
      <c r="F80">
        <f>'1233 P+ 72 hpi'!X81</f>
        <v>1.5801623855373279</v>
      </c>
      <c r="H80">
        <f>'1234 P- 72 hpi'!W81</f>
        <v>2.6361897570884714</v>
      </c>
      <c r="I80">
        <f>'1234 P- 72 hpi'!X81</f>
        <v>11.654466457004153</v>
      </c>
      <c r="K80">
        <f>'1234 P+ 72 hpi'!W81</f>
        <v>0.51931654717670384</v>
      </c>
      <c r="L80">
        <f>'1234 P+ 72 hpi'!X81</f>
        <v>18.393257968412033</v>
      </c>
      <c r="N80">
        <f>'1250 P- 72 hpi'!W81</f>
        <v>0.52535794764643295</v>
      </c>
      <c r="O80">
        <f>'1250 P- 72 hpi'!X81</f>
        <v>5.5495831603145289</v>
      </c>
      <c r="Q80">
        <f>'1250 P+ 72 hpi'!W81</f>
        <v>2.7487391512580146</v>
      </c>
      <c r="R80">
        <f>'1250 P+ 72 hpi'!X81</f>
        <v>6.1582937260723654</v>
      </c>
      <c r="T80">
        <f>'1480 P- 72 hpi'!W81</f>
        <v>1.1707994234321453</v>
      </c>
      <c r="U80">
        <f>'1480 P- 72 hpi'!X81</f>
        <v>4.385468899096395</v>
      </c>
      <c r="W80">
        <f>'NAD003 P+ 72 hpi'!W81</f>
        <v>1.1939293733182481</v>
      </c>
      <c r="X80">
        <f>'NAD003 P+ 72 hpi'!X81</f>
        <v>1.7457368215328017</v>
      </c>
    </row>
    <row r="81" spans="1:24" x14ac:dyDescent="0.35">
      <c r="A81">
        <v>524.91800000000001</v>
      </c>
      <c r="B81">
        <f>'1233 P- 72 hpi'!W82</f>
        <v>1.0409449527820582</v>
      </c>
      <c r="C81">
        <f>'1233 P- 72 hpi'!X82</f>
        <v>5.2984627833204341</v>
      </c>
      <c r="E81">
        <f>'1233 P+ 72 hpi'!W82</f>
        <v>1.9469873588825308</v>
      </c>
      <c r="F81">
        <f>'1233 P+ 72 hpi'!X82</f>
        <v>1.3256154938746647</v>
      </c>
      <c r="H81">
        <f>'1234 P- 72 hpi'!W82</f>
        <v>2.7481629750546932</v>
      </c>
      <c r="I81">
        <f>'1234 P- 72 hpi'!X82</f>
        <v>15.569916752850286</v>
      </c>
      <c r="K81">
        <f>'1234 P+ 72 hpi'!W82</f>
        <v>0.42751576051976059</v>
      </c>
      <c r="L81">
        <f>'1234 P+ 72 hpi'!X82</f>
        <v>14.917744910668031</v>
      </c>
      <c r="N81">
        <f>'1250 P- 72 hpi'!W82</f>
        <v>0.66098525781187678</v>
      </c>
      <c r="O81">
        <f>'1250 P- 72 hpi'!X82</f>
        <v>6.2561672516910338</v>
      </c>
      <c r="Q81">
        <f>'1250 P+ 72 hpi'!W82</f>
        <v>2.8816564737289312</v>
      </c>
      <c r="R81">
        <f>'1250 P+ 72 hpi'!X82</f>
        <v>7.0060681215970178</v>
      </c>
      <c r="T81">
        <f>'1480 P- 72 hpi'!W82</f>
        <v>1.1082051657643761</v>
      </c>
      <c r="U81">
        <f>'1480 P- 72 hpi'!X82</f>
        <v>1.5056490435767127</v>
      </c>
      <c r="W81">
        <f>'NAD003 P+ 72 hpi'!W82</f>
        <v>0.80957172145331668</v>
      </c>
      <c r="X81">
        <f>'NAD003 P+ 72 hpi'!X82</f>
        <v>0.94793453440417608</v>
      </c>
    </row>
    <row r="82" spans="1:24" x14ac:dyDescent="0.35">
      <c r="A82">
        <v>531.04899999999998</v>
      </c>
      <c r="B82">
        <f>'1233 P- 72 hpi'!W83</f>
        <v>1.0258689898164144</v>
      </c>
      <c r="C82">
        <f>'1233 P- 72 hpi'!X83</f>
        <v>4.8788253681507685</v>
      </c>
      <c r="E82">
        <f>'1233 P+ 72 hpi'!W83</f>
        <v>1.9041731963003627</v>
      </c>
      <c r="F82">
        <f>'1233 P+ 72 hpi'!X83</f>
        <v>2.7180295396850482</v>
      </c>
      <c r="H82">
        <f>'1234 P- 72 hpi'!W83</f>
        <v>2.7684392418750878</v>
      </c>
      <c r="I82">
        <f>'1234 P- 72 hpi'!X83</f>
        <v>16.393593902717686</v>
      </c>
      <c r="K82">
        <f>'1234 P+ 72 hpi'!W83</f>
        <v>4.6314760000569777E-2</v>
      </c>
      <c r="L82">
        <f>'1234 P+ 72 hpi'!X83</f>
        <v>17.880285609838484</v>
      </c>
      <c r="N82">
        <f>'1250 P- 72 hpi'!W83</f>
        <v>0.57691875474771093</v>
      </c>
      <c r="O82">
        <f>'1250 P- 72 hpi'!X83</f>
        <v>4.8351334451823931</v>
      </c>
      <c r="Q82">
        <f>'1250 P+ 72 hpi'!W83</f>
        <v>2.8107182994316773</v>
      </c>
      <c r="R82">
        <f>'1250 P+ 72 hpi'!X83</f>
        <v>6.3480510189750845</v>
      </c>
      <c r="T82">
        <f>'1480 P- 72 hpi'!W83</f>
        <v>1.0524096840281159</v>
      </c>
      <c r="U82">
        <f>'1480 P- 72 hpi'!X83</f>
        <v>2.1274448474637087</v>
      </c>
      <c r="W82">
        <f>'NAD003 P+ 72 hpi'!W83</f>
        <v>0.94171926105546788</v>
      </c>
      <c r="X82">
        <f>'NAD003 P+ 72 hpi'!X83</f>
        <v>0.89408513451608229</v>
      </c>
    </row>
    <row r="83" spans="1:24" x14ac:dyDescent="0.35">
      <c r="A83">
        <v>537.19200000000001</v>
      </c>
      <c r="B83">
        <f>'1233 P- 72 hpi'!W84</f>
        <v>1.2248023698505901</v>
      </c>
      <c r="C83">
        <f>'1233 P- 72 hpi'!X84</f>
        <v>5.1861102702624855</v>
      </c>
      <c r="E83">
        <f>'1233 P+ 72 hpi'!W84</f>
        <v>1.9193725101088859</v>
      </c>
      <c r="F83">
        <f>'1233 P+ 72 hpi'!X84</f>
        <v>1.6722120373065152</v>
      </c>
      <c r="H83">
        <f>'1234 P- 72 hpi'!W84</f>
        <v>2.7905238643026533</v>
      </c>
      <c r="I83">
        <f>'1234 P- 72 hpi'!X84</f>
        <v>17.307829732359256</v>
      </c>
      <c r="K83">
        <f>'1234 P+ 72 hpi'!W84</f>
        <v>0.12065818774980031</v>
      </c>
      <c r="L83">
        <f>'1234 P+ 72 hpi'!X84</f>
        <v>16.376123288420555</v>
      </c>
      <c r="N83">
        <f>'1250 P- 72 hpi'!W84</f>
        <v>0.54068116468392102</v>
      </c>
      <c r="O83">
        <f>'1250 P- 72 hpi'!X84</f>
        <v>3.7271240712320455</v>
      </c>
      <c r="Q83">
        <f>'1250 P+ 72 hpi'!W84</f>
        <v>2.9963024569020504</v>
      </c>
      <c r="R83">
        <f>'1250 P+ 72 hpi'!X84</f>
        <v>6.2986867676380314</v>
      </c>
      <c r="T83">
        <f>'1480 P- 72 hpi'!W84</f>
        <v>1.0726168132088703</v>
      </c>
      <c r="U83">
        <f>'1480 P- 72 hpi'!X84</f>
        <v>2.9531155416278767</v>
      </c>
      <c r="W83">
        <f>'NAD003 P+ 72 hpi'!W84</f>
        <v>1.1513801976631299</v>
      </c>
      <c r="X83">
        <f>'NAD003 P+ 72 hpi'!X84</f>
        <v>2.8944494809149788</v>
      </c>
    </row>
    <row r="84" spans="1:24" x14ac:dyDescent="0.35">
      <c r="A84">
        <v>543.55200000000002</v>
      </c>
      <c r="B84">
        <f>'1233 P- 72 hpi'!W85</f>
        <v>1.336470911033576</v>
      </c>
      <c r="C84">
        <f>'1233 P- 72 hpi'!X85</f>
        <v>5.8391368230070171</v>
      </c>
      <c r="E84">
        <f>'1233 P+ 72 hpi'!W85</f>
        <v>1.869570189671883</v>
      </c>
      <c r="F84">
        <f>'1233 P+ 72 hpi'!X85</f>
        <v>2.195518847825916</v>
      </c>
      <c r="H84">
        <f>'1234 P- 72 hpi'!W85</f>
        <v>2.7738705779393698</v>
      </c>
      <c r="I84">
        <f>'1234 P- 72 hpi'!X85</f>
        <v>17.751329116603969</v>
      </c>
      <c r="K84">
        <f>'1234 P+ 72 hpi'!W85</f>
        <v>0.41456727673459781</v>
      </c>
      <c r="L84">
        <f>'1234 P+ 72 hpi'!X85</f>
        <v>16.648656135028197</v>
      </c>
      <c r="N84">
        <f>'1250 P- 72 hpi'!W85</f>
        <v>0.4921759561569431</v>
      </c>
      <c r="O84">
        <f>'1250 P- 72 hpi'!X85</f>
        <v>3.4632170438925867</v>
      </c>
      <c r="Q84">
        <f>'1250 P+ 72 hpi'!W85</f>
        <v>2.9398026110063569</v>
      </c>
      <c r="R84">
        <f>'1250 P+ 72 hpi'!X85</f>
        <v>6.3072167412553597</v>
      </c>
      <c r="T84">
        <f>'1480 P- 72 hpi'!W85</f>
        <v>1.0931544125085617</v>
      </c>
      <c r="U84">
        <f>'1480 P- 72 hpi'!X85</f>
        <v>3.5751873105631216</v>
      </c>
      <c r="W84">
        <f>'NAD003 P+ 72 hpi'!W85</f>
        <v>0.98136852925750162</v>
      </c>
      <c r="X84">
        <f>'NAD003 P+ 72 hpi'!X85</f>
        <v>2.3377888290865769</v>
      </c>
    </row>
    <row r="85" spans="1:24" x14ac:dyDescent="0.35">
      <c r="A85">
        <v>549.649</v>
      </c>
      <c r="B85">
        <f>'1233 P- 72 hpi'!W86</f>
        <v>1.3278745193300212</v>
      </c>
      <c r="C85">
        <f>'1233 P- 72 hpi'!X86</f>
        <v>5.3619666632949823</v>
      </c>
      <c r="E85">
        <f>'1233 P+ 72 hpi'!W86</f>
        <v>1.7796111022619954</v>
      </c>
      <c r="F85">
        <f>'1233 P+ 72 hpi'!X86</f>
        <v>1.3590413034190192</v>
      </c>
      <c r="H85">
        <f>'1234 P- 72 hpi'!W86</f>
        <v>2.6414252032526009</v>
      </c>
      <c r="I85">
        <f>'1234 P- 72 hpi'!X86</f>
        <v>16.102497945558984</v>
      </c>
      <c r="K85">
        <f>'1234 P+ 72 hpi'!W86</f>
        <v>0.51628562493729646</v>
      </c>
      <c r="L85">
        <f>'1234 P+ 72 hpi'!X86</f>
        <v>16.942164847089217</v>
      </c>
      <c r="N85">
        <f>'1250 P- 72 hpi'!W86</f>
        <v>0.48313463475412705</v>
      </c>
      <c r="O85">
        <f>'1250 P- 72 hpi'!X86</f>
        <v>2.8698177095413602</v>
      </c>
      <c r="Q85">
        <f>'1250 P+ 72 hpi'!W86</f>
        <v>3.4714818082877272</v>
      </c>
      <c r="R85">
        <f>'1250 P+ 72 hpi'!X86</f>
        <v>9.4642242785346795</v>
      </c>
      <c r="T85">
        <f>'1480 P- 72 hpi'!W86</f>
        <v>1.2336561277934392</v>
      </c>
      <c r="U85">
        <f>'1480 P- 72 hpi'!X86</f>
        <v>3.9070279857803918</v>
      </c>
      <c r="W85">
        <f>'NAD003 P+ 72 hpi'!W86</f>
        <v>1.0037201237248752</v>
      </c>
      <c r="X85">
        <f>'NAD003 P+ 72 hpi'!X86</f>
        <v>2.1602158632310875</v>
      </c>
    </row>
    <row r="86" spans="1:24" x14ac:dyDescent="0.35">
      <c r="A86">
        <v>555.86300000000006</v>
      </c>
      <c r="B86">
        <f>'1233 P- 72 hpi'!W87</f>
        <v>1.3237922918492848</v>
      </c>
      <c r="C86">
        <f>'1233 P- 72 hpi'!X87</f>
        <v>5.4428011622011221</v>
      </c>
      <c r="E86">
        <f>'1233 P+ 72 hpi'!W87</f>
        <v>1.9357420181952421</v>
      </c>
      <c r="F86">
        <f>'1233 P+ 72 hpi'!X87</f>
        <v>1.0636486733837032</v>
      </c>
      <c r="H86">
        <f>'1234 P- 72 hpi'!W87</f>
        <v>2.6543149538442279</v>
      </c>
      <c r="I86">
        <f>'1234 P- 72 hpi'!X87</f>
        <v>16.349269100314658</v>
      </c>
      <c r="K86">
        <f>'1234 P+ 72 hpi'!W87</f>
        <v>0.69578624942782596</v>
      </c>
      <c r="L86">
        <f>'1234 P+ 72 hpi'!X87</f>
        <v>18.090326470372904</v>
      </c>
      <c r="N86">
        <f>'1250 P- 72 hpi'!W87</f>
        <v>0.46961374303042958</v>
      </c>
      <c r="O86">
        <f>'1250 P- 72 hpi'!X87</f>
        <v>3.3069407963558159</v>
      </c>
      <c r="Q86">
        <f>'1250 P+ 72 hpi'!W87</f>
        <v>3.5421626610705985</v>
      </c>
      <c r="R86">
        <f>'1250 P+ 72 hpi'!X87</f>
        <v>8.8833179809594185</v>
      </c>
      <c r="T86">
        <f>'1480 P- 72 hpi'!W87</f>
        <v>1.1868004602744964</v>
      </c>
      <c r="U86">
        <f>'1480 P- 72 hpi'!X87</f>
        <v>3.2934720007349583</v>
      </c>
      <c r="W86">
        <f>'NAD003 P+ 72 hpi'!W87</f>
        <v>0.85840410025137004</v>
      </c>
      <c r="X86">
        <f>'NAD003 P+ 72 hpi'!X87</f>
        <v>1.6551466627080842</v>
      </c>
    </row>
    <row r="87" spans="1:24" x14ac:dyDescent="0.35">
      <c r="A87">
        <v>562.19600000000003</v>
      </c>
      <c r="B87">
        <f>'1233 P- 72 hpi'!W88</f>
        <v>1.4735580233551973</v>
      </c>
      <c r="C87">
        <f>'1233 P- 72 hpi'!X88</f>
        <v>5.9868122757988758</v>
      </c>
      <c r="E87">
        <f>'1233 P+ 72 hpi'!W88</f>
        <v>1.750942543048339</v>
      </c>
      <c r="F87">
        <f>'1233 P+ 72 hpi'!X88</f>
        <v>0.82440843969303046</v>
      </c>
      <c r="H87">
        <f>'1234 P- 72 hpi'!W88</f>
        <v>2.6639255296737936</v>
      </c>
      <c r="I87">
        <f>'1234 P- 72 hpi'!X88</f>
        <v>13.045577887242283</v>
      </c>
      <c r="K87">
        <f>'1234 P+ 72 hpi'!W88</f>
        <v>0.45910088373396363</v>
      </c>
      <c r="L87">
        <f>'1234 P+ 72 hpi'!X88</f>
        <v>13.255506707385358</v>
      </c>
      <c r="N87">
        <f>'1250 P- 72 hpi'!W88</f>
        <v>0.42713800952698117</v>
      </c>
      <c r="O87">
        <f>'1250 P- 72 hpi'!X88</f>
        <v>2.588308378489244</v>
      </c>
      <c r="Q87">
        <f>'1250 P+ 72 hpi'!W88</f>
        <v>3.7036490320161164</v>
      </c>
      <c r="R87">
        <f>'1250 P+ 72 hpi'!X88</f>
        <v>9.773939740193665</v>
      </c>
      <c r="T87">
        <f>'1480 P- 72 hpi'!W88</f>
        <v>1.2922920258463386</v>
      </c>
      <c r="U87">
        <f>'1480 P- 72 hpi'!X88</f>
        <v>2.3256166439569403</v>
      </c>
      <c r="W87">
        <f>'NAD003 P+ 72 hpi'!W88</f>
        <v>0.72213060336216728</v>
      </c>
      <c r="X87">
        <f>'NAD003 P+ 72 hpi'!X88</f>
        <v>1.6979960111413845</v>
      </c>
    </row>
    <row r="88" spans="1:24" x14ac:dyDescent="0.35">
      <c r="A88">
        <v>568.34699999999998</v>
      </c>
      <c r="B88">
        <f>'1233 P- 72 hpi'!W89</f>
        <v>1.311077040602298</v>
      </c>
      <c r="C88">
        <f>'1233 P- 72 hpi'!X89</f>
        <v>6.8183722422274116</v>
      </c>
      <c r="E88">
        <f>'1233 P+ 72 hpi'!W89</f>
        <v>1.6894860093897748</v>
      </c>
      <c r="F88">
        <f>'1233 P+ 72 hpi'!X89</f>
        <v>3.5294520623364534</v>
      </c>
      <c r="H88">
        <f>'1234 P- 72 hpi'!W89</f>
        <v>2.6493005560285896</v>
      </c>
      <c r="I88">
        <f>'1234 P- 72 hpi'!X89</f>
        <v>14.208380202497485</v>
      </c>
      <c r="K88">
        <f>'1234 P+ 72 hpi'!W89</f>
        <v>0.46933191689121401</v>
      </c>
      <c r="L88">
        <f>'1234 P+ 72 hpi'!X89</f>
        <v>12.398654036573317</v>
      </c>
      <c r="N88">
        <f>'1250 P- 72 hpi'!W89</f>
        <v>0.46307363761281717</v>
      </c>
      <c r="O88">
        <f>'1250 P- 72 hpi'!X89</f>
        <v>2.8210193893680557</v>
      </c>
      <c r="Q88">
        <f>'1250 P+ 72 hpi'!W89</f>
        <v>3.6099443610891839</v>
      </c>
      <c r="R88">
        <f>'1250 P+ 72 hpi'!X89</f>
        <v>9.6117585826291077</v>
      </c>
      <c r="T88">
        <f>'1480 P- 72 hpi'!W89</f>
        <v>1.2758738697940613</v>
      </c>
      <c r="U88">
        <f>'1480 P- 72 hpi'!X89</f>
        <v>2.2219691722860739</v>
      </c>
      <c r="W88">
        <f>'NAD003 P+ 72 hpi'!W89</f>
        <v>0.82310395336110531</v>
      </c>
      <c r="X88">
        <f>'NAD003 P+ 72 hpi'!X89</f>
        <v>2.2477807911104293</v>
      </c>
    </row>
    <row r="89" spans="1:24" x14ac:dyDescent="0.35">
      <c r="A89">
        <v>574.55200000000002</v>
      </c>
      <c r="B89">
        <f>'1233 P- 72 hpi'!W90</f>
        <v>1.3141832164802554</v>
      </c>
      <c r="C89">
        <f>'1233 P- 72 hpi'!X90</f>
        <v>6.4824217221572731</v>
      </c>
      <c r="E89">
        <f>'1233 P+ 72 hpi'!W90</f>
        <v>1.9318672237064121</v>
      </c>
      <c r="F89">
        <f>'1233 P+ 72 hpi'!X90</f>
        <v>1.7314212411983121</v>
      </c>
      <c r="H89">
        <f>'1234 P- 72 hpi'!W90</f>
        <v>2.7024094503719023</v>
      </c>
      <c r="I89">
        <f>'1234 P- 72 hpi'!X90</f>
        <v>14.810998276378967</v>
      </c>
      <c r="K89">
        <f>'1234 P+ 72 hpi'!W90</f>
        <v>0.44232322013645842</v>
      </c>
      <c r="L89">
        <f>'1234 P+ 72 hpi'!X90</f>
        <v>11.726516046812101</v>
      </c>
      <c r="N89">
        <f>'1250 P- 72 hpi'!W90</f>
        <v>0.47213846594838582</v>
      </c>
      <c r="O89">
        <f>'1250 P- 72 hpi'!X90</f>
        <v>3.1365672574213401</v>
      </c>
      <c r="Q89">
        <f>'1250 P+ 72 hpi'!W90</f>
        <v>3.6075159269401738</v>
      </c>
      <c r="R89">
        <f>'1250 P+ 72 hpi'!X90</f>
        <v>9.7459509485999618</v>
      </c>
      <c r="T89">
        <f>'1480 P- 72 hpi'!W90</f>
        <v>1.1365074747458648</v>
      </c>
      <c r="U89">
        <f>'1480 P- 72 hpi'!X90</f>
        <v>1.6755683787716136</v>
      </c>
      <c r="W89">
        <f>'NAD003 P+ 72 hpi'!W90</f>
        <v>0.77400939006024316</v>
      </c>
      <c r="X89">
        <f>'NAD003 P+ 72 hpi'!X90</f>
        <v>1.8736344910856246</v>
      </c>
    </row>
    <row r="90" spans="1:24" x14ac:dyDescent="0.35">
      <c r="A90">
        <v>580.73699999999997</v>
      </c>
      <c r="B90">
        <f>'1233 P- 72 hpi'!W91</f>
        <v>1.3356922964997078</v>
      </c>
      <c r="C90">
        <f>'1233 P- 72 hpi'!X91</f>
        <v>7.2076252323994909</v>
      </c>
      <c r="E90">
        <f>'1233 P+ 72 hpi'!W91</f>
        <v>1.7006785631213717</v>
      </c>
      <c r="F90">
        <f>'1233 P+ 72 hpi'!X91</f>
        <v>4.8500616202865601</v>
      </c>
      <c r="H90">
        <f>'1234 P- 72 hpi'!W91</f>
        <v>2.7388389809993505</v>
      </c>
      <c r="I90">
        <f>'1234 P- 72 hpi'!X91</f>
        <v>15.75573620688912</v>
      </c>
      <c r="K90">
        <f>'1234 P+ 72 hpi'!W91</f>
        <v>0.65892320688514161</v>
      </c>
      <c r="L90">
        <f>'1234 P+ 72 hpi'!X91</f>
        <v>12.594338571366221</v>
      </c>
      <c r="N90">
        <f>'1250 P- 72 hpi'!W91</f>
        <v>0.49126693766825463</v>
      </c>
      <c r="O90">
        <f>'1250 P- 72 hpi'!X91</f>
        <v>3.3231065379590512</v>
      </c>
      <c r="Q90">
        <f>'1250 P+ 72 hpi'!W91</f>
        <v>3.6656625391744413</v>
      </c>
      <c r="R90">
        <f>'1250 P+ 72 hpi'!X91</f>
        <v>9.7037111106286265</v>
      </c>
      <c r="T90">
        <f>'1480 P- 72 hpi'!W91</f>
        <v>1.0648300594219475</v>
      </c>
      <c r="U90">
        <f>'1480 P- 72 hpi'!X91</f>
        <v>2.7898859681291421</v>
      </c>
      <c r="W90">
        <f>'NAD003 P+ 72 hpi'!W91</f>
        <v>0.43570379366065026</v>
      </c>
      <c r="X90">
        <f>'NAD003 P+ 72 hpi'!X91</f>
        <v>1.2100107389403405</v>
      </c>
    </row>
    <row r="91" spans="1:24" x14ac:dyDescent="0.35">
      <c r="A91">
        <v>587.00400000000002</v>
      </c>
      <c r="B91">
        <f>'1233 P- 72 hpi'!W92</f>
        <v>1.4061881591963674</v>
      </c>
      <c r="C91">
        <f>'1233 P- 72 hpi'!X92</f>
        <v>7.1891590301226671</v>
      </c>
      <c r="E91">
        <f>'1233 P+ 72 hpi'!W92</f>
        <v>1.990338503722505</v>
      </c>
      <c r="F91">
        <f>'1233 P+ 72 hpi'!X92</f>
        <v>1.9977819656204261</v>
      </c>
      <c r="H91">
        <f>'1234 P- 72 hpi'!W92</f>
        <v>2.7822764992746327</v>
      </c>
      <c r="I91">
        <f>'1234 P- 72 hpi'!X92</f>
        <v>16.968000037213923</v>
      </c>
      <c r="K91">
        <f>'1234 P+ 72 hpi'!W92</f>
        <v>0.80598264302295064</v>
      </c>
      <c r="L91">
        <f>'1234 P+ 72 hpi'!X92</f>
        <v>12.968749231169559</v>
      </c>
      <c r="N91">
        <f>'1250 P- 72 hpi'!W92</f>
        <v>0.55433181118535024</v>
      </c>
      <c r="O91">
        <f>'1250 P- 72 hpi'!X92</f>
        <v>3.0892726354585944</v>
      </c>
      <c r="Q91">
        <f>'1250 P+ 72 hpi'!W92</f>
        <v>3.7237466288977785</v>
      </c>
      <c r="R91">
        <f>'1250 P+ 72 hpi'!X92</f>
        <v>10.1189186804861</v>
      </c>
      <c r="T91">
        <f>'1480 P- 72 hpi'!W92</f>
        <v>1.1649530835127639</v>
      </c>
      <c r="U91">
        <f>'1480 P- 72 hpi'!X92</f>
        <v>2.2893634923052875</v>
      </c>
      <c r="W91">
        <f>'NAD003 P+ 72 hpi'!W92</f>
        <v>0.52185561809082515</v>
      </c>
      <c r="X91">
        <f>'NAD003 P+ 72 hpi'!X92</f>
        <v>1.139674239054024</v>
      </c>
    </row>
    <row r="92" spans="1:24" x14ac:dyDescent="0.35">
      <c r="A92">
        <v>593.21</v>
      </c>
      <c r="B92">
        <f>'1233 P- 72 hpi'!W93</f>
        <v>1.2771648321480491</v>
      </c>
      <c r="C92">
        <f>'1233 P- 72 hpi'!X93</f>
        <v>7.0942733197997523</v>
      </c>
      <c r="E92">
        <f>'1233 P+ 72 hpi'!W93</f>
        <v>1.4875191837745163</v>
      </c>
      <c r="F92">
        <f>'1233 P+ 72 hpi'!X93</f>
        <v>5.4495287717307122</v>
      </c>
      <c r="H92">
        <f>'1234 P- 72 hpi'!W93</f>
        <v>2.7302163403174409</v>
      </c>
      <c r="I92">
        <f>'1234 P- 72 hpi'!X93</f>
        <v>15.834072618963521</v>
      </c>
      <c r="K92">
        <f>'1234 P+ 72 hpi'!W93</f>
        <v>0.9534728986101122</v>
      </c>
      <c r="L92">
        <f>'1234 P+ 72 hpi'!X93</f>
        <v>14.815150728395418</v>
      </c>
      <c r="N92">
        <f>'1250 P- 72 hpi'!W93</f>
        <v>0.53022472947893062</v>
      </c>
      <c r="O92">
        <f>'1250 P- 72 hpi'!X93</f>
        <v>1.5831337161641212</v>
      </c>
      <c r="Q92">
        <f>'1250 P+ 72 hpi'!W93</f>
        <v>3.7185040350070153</v>
      </c>
      <c r="R92">
        <f>'1250 P+ 72 hpi'!X93</f>
        <v>9.5401340193746123</v>
      </c>
      <c r="T92">
        <f>'1480 P- 72 hpi'!W93</f>
        <v>1.0967479982459833</v>
      </c>
      <c r="U92">
        <f>'1480 P- 72 hpi'!X93</f>
        <v>2.2332319571127748</v>
      </c>
      <c r="W92">
        <f>'NAD003 P+ 72 hpi'!W93</f>
        <v>0.49533190090733825</v>
      </c>
      <c r="X92">
        <f>'NAD003 P+ 72 hpi'!X93</f>
        <v>0.92439066569131967</v>
      </c>
    </row>
    <row r="93" spans="1:24" x14ac:dyDescent="0.35">
      <c r="A93">
        <v>599.31799999999998</v>
      </c>
      <c r="B93">
        <f>'1233 P- 72 hpi'!W94</f>
        <v>1.4424772090549212</v>
      </c>
      <c r="C93">
        <f>'1233 P- 72 hpi'!X94</f>
        <v>7.4597072440126651</v>
      </c>
      <c r="E93">
        <f>'1233 P+ 72 hpi'!W94</f>
        <v>1.5557591340933214</v>
      </c>
      <c r="F93">
        <f>'1233 P+ 72 hpi'!X94</f>
        <v>6.13963895883726</v>
      </c>
      <c r="H93">
        <f>'1234 P- 72 hpi'!W94</f>
        <v>2.9364008826715087</v>
      </c>
      <c r="I93">
        <f>'1234 P- 72 hpi'!X94</f>
        <v>19.316496490967062</v>
      </c>
      <c r="K93">
        <f>'1234 P+ 72 hpi'!W94</f>
        <v>0.95464006543444668</v>
      </c>
      <c r="L93">
        <f>'1234 P+ 72 hpi'!X94</f>
        <v>13.683705830781157</v>
      </c>
      <c r="N93">
        <f>'1250 P- 72 hpi'!W94</f>
        <v>0.60303537485825753</v>
      </c>
      <c r="O93">
        <f>'1250 P- 72 hpi'!X94</f>
        <v>2.6588605233496834</v>
      </c>
      <c r="Q93">
        <f>'1250 P+ 72 hpi'!W94</f>
        <v>3.8407845654918518</v>
      </c>
      <c r="R93">
        <f>'1250 P+ 72 hpi'!X94</f>
        <v>9.6061449708803224</v>
      </c>
      <c r="T93">
        <f>'1480 P- 72 hpi'!W94</f>
        <v>1.2837182310128763</v>
      </c>
      <c r="U93">
        <f>'1480 P- 72 hpi'!X94</f>
        <v>3.4242128840571806</v>
      </c>
      <c r="W93">
        <f>'NAD003 P+ 72 hpi'!W94</f>
        <v>0.62740412877775498</v>
      </c>
      <c r="X93">
        <f>'NAD003 P+ 72 hpi'!X94</f>
        <v>0.88676995190073171</v>
      </c>
    </row>
    <row r="94" spans="1:24" x14ac:dyDescent="0.35">
      <c r="A94">
        <v>605.59400000000005</v>
      </c>
      <c r="B94">
        <f>'1233 P- 72 hpi'!W95</f>
        <v>1.3680863748170295</v>
      </c>
      <c r="C94">
        <f>'1233 P- 72 hpi'!X95</f>
        <v>8.0172799166785342</v>
      </c>
      <c r="E94">
        <f>'1233 P+ 72 hpi'!W95</f>
        <v>1.6695266442125742</v>
      </c>
      <c r="F94">
        <f>'1233 P+ 72 hpi'!X95</f>
        <v>2.633842983072455</v>
      </c>
      <c r="H94">
        <f>'1234 P- 72 hpi'!W95</f>
        <v>2.9366292973823804</v>
      </c>
      <c r="I94">
        <f>'1234 P- 72 hpi'!X95</f>
        <v>18.164967664917036</v>
      </c>
      <c r="K94">
        <f>'1234 P+ 72 hpi'!W95</f>
        <v>0.90566839813410738</v>
      </c>
      <c r="L94">
        <f>'1234 P+ 72 hpi'!X95</f>
        <v>12.769617441546442</v>
      </c>
      <c r="N94">
        <f>'1250 P- 72 hpi'!W95</f>
        <v>0.54261619625538293</v>
      </c>
      <c r="O94">
        <f>'1250 P- 72 hpi'!X95</f>
        <v>2.1488784322915984</v>
      </c>
      <c r="Q94">
        <f>'1250 P+ 72 hpi'!W95</f>
        <v>3.9274802982240686</v>
      </c>
      <c r="R94">
        <f>'1250 P+ 72 hpi'!X95</f>
        <v>10.09514626602628</v>
      </c>
      <c r="T94">
        <f>'1480 P- 72 hpi'!W95</f>
        <v>1.3535311008643878</v>
      </c>
      <c r="U94">
        <f>'1480 P- 72 hpi'!X95</f>
        <v>3.3945724698831894</v>
      </c>
      <c r="W94">
        <f>'NAD003 P+ 72 hpi'!W95</f>
        <v>0.65432657489530754</v>
      </c>
      <c r="X94">
        <f>'NAD003 P+ 72 hpi'!X95</f>
        <v>1.069366879307033</v>
      </c>
    </row>
    <row r="95" spans="1:24" x14ac:dyDescent="0.35">
      <c r="A95">
        <v>611.76900000000001</v>
      </c>
      <c r="B95">
        <f>'1233 P- 72 hpi'!W96</f>
        <v>1.4978594611467624</v>
      </c>
      <c r="C95">
        <f>'1233 P- 72 hpi'!X96</f>
        <v>7.2182140825186236</v>
      </c>
      <c r="E95">
        <f>'1233 P+ 72 hpi'!W96</f>
        <v>1.4206459964305864</v>
      </c>
      <c r="F95">
        <f>'1233 P+ 72 hpi'!X96</f>
        <v>5.325251182292817</v>
      </c>
      <c r="H95">
        <f>'1234 P- 72 hpi'!W96</f>
        <v>2.8980584830946809</v>
      </c>
      <c r="I95">
        <f>'1234 P- 72 hpi'!X96</f>
        <v>15.795784237407114</v>
      </c>
      <c r="K95">
        <f>'1234 P+ 72 hpi'!W96</f>
        <v>1.2986213115741947</v>
      </c>
      <c r="L95">
        <f>'1234 P+ 72 hpi'!X96</f>
        <v>15.423151254022219</v>
      </c>
      <c r="N95">
        <f>'1250 P- 72 hpi'!W96</f>
        <v>0.57104683209350127</v>
      </c>
      <c r="O95">
        <f>'1250 P- 72 hpi'!X96</f>
        <v>2.5318387086786638</v>
      </c>
      <c r="Q95">
        <f>'1250 P+ 72 hpi'!W96</f>
        <v>3.5268430411440832</v>
      </c>
      <c r="R95">
        <f>'1250 P+ 72 hpi'!X96</f>
        <v>6.8530666037984744</v>
      </c>
      <c r="T95">
        <f>'1480 P- 72 hpi'!W96</f>
        <v>1.2456534555601129</v>
      </c>
      <c r="U95">
        <f>'1480 P- 72 hpi'!X96</f>
        <v>2.7520567817762047</v>
      </c>
      <c r="W95">
        <f>'NAD003 P+ 72 hpi'!W96</f>
        <v>0.65556662625260032</v>
      </c>
      <c r="X95">
        <f>'NAD003 P+ 72 hpi'!X96</f>
        <v>1.1718775536108126</v>
      </c>
    </row>
    <row r="96" spans="1:24" x14ac:dyDescent="0.35">
      <c r="A96">
        <v>617.947</v>
      </c>
      <c r="B96">
        <f>'1233 P- 72 hpi'!W97</f>
        <v>1.5585692644552247</v>
      </c>
      <c r="C96">
        <f>'1233 P- 72 hpi'!X97</f>
        <v>8.1748265032674041</v>
      </c>
      <c r="E96">
        <f>'1233 P+ 72 hpi'!W97</f>
        <v>1.4467313350573434</v>
      </c>
      <c r="F96">
        <f>'1233 P+ 72 hpi'!X97</f>
        <v>5.2560353292519792</v>
      </c>
      <c r="H96">
        <f>'1234 P- 72 hpi'!W97</f>
        <v>2.8665956210064518</v>
      </c>
      <c r="I96">
        <f>'1234 P- 72 hpi'!X97</f>
        <v>17.043041300671103</v>
      </c>
      <c r="K96">
        <f>'1234 P+ 72 hpi'!W97</f>
        <v>1.3841109762645516</v>
      </c>
      <c r="L96">
        <f>'1234 P+ 72 hpi'!X97</f>
        <v>17.508943035778252</v>
      </c>
      <c r="N96">
        <f>'1250 P- 72 hpi'!W97</f>
        <v>0.55318593162720109</v>
      </c>
      <c r="O96">
        <f>'1250 P- 72 hpi'!X97</f>
        <v>3.0558140216901277</v>
      </c>
      <c r="Q96">
        <f>'1250 P+ 72 hpi'!W97</f>
        <v>3.560279659603971</v>
      </c>
      <c r="R96">
        <f>'1250 P+ 72 hpi'!X97</f>
        <v>8.0277096219159532</v>
      </c>
      <c r="T96">
        <f>'1480 P- 72 hpi'!W97</f>
        <v>1.2480857194486943</v>
      </c>
      <c r="U96">
        <f>'1480 P- 72 hpi'!X97</f>
        <v>2.7609374680779881</v>
      </c>
      <c r="W96">
        <f>'NAD003 P+ 72 hpi'!W97</f>
        <v>0.13625572068338698</v>
      </c>
      <c r="X96">
        <f>'NAD003 P+ 72 hpi'!X97</f>
        <v>0.80780341094257591</v>
      </c>
    </row>
    <row r="97" spans="1:24" x14ac:dyDescent="0.35">
      <c r="A97">
        <v>624.12199999999996</v>
      </c>
      <c r="B97">
        <f>'1233 P- 72 hpi'!W98</f>
        <v>1.5631609291816568</v>
      </c>
      <c r="C97">
        <f>'1233 P- 72 hpi'!X98</f>
        <v>8.6684123219351825</v>
      </c>
      <c r="E97">
        <f>'1233 P+ 72 hpi'!W98</f>
        <v>1.420085191762567</v>
      </c>
      <c r="F97">
        <f>'1233 P+ 72 hpi'!X98</f>
        <v>6.9279555995746875</v>
      </c>
      <c r="H97">
        <f>'1234 P- 72 hpi'!W98</f>
        <v>3.0736577981044477</v>
      </c>
      <c r="I97">
        <f>'1234 P- 72 hpi'!X98</f>
        <v>18.501637833566782</v>
      </c>
      <c r="K97">
        <f>'1234 P+ 72 hpi'!W98</f>
        <v>1.2758231213808955</v>
      </c>
      <c r="L97">
        <f>'1234 P+ 72 hpi'!X98</f>
        <v>13.897254728976552</v>
      </c>
      <c r="N97">
        <f>'1250 P- 72 hpi'!W98</f>
        <v>0.60978776957243963</v>
      </c>
      <c r="O97">
        <f>'1250 P- 72 hpi'!X98</f>
        <v>2.8125882966606013</v>
      </c>
      <c r="Q97">
        <f>'1250 P+ 72 hpi'!W98</f>
        <v>3.5899994173593228</v>
      </c>
      <c r="R97">
        <f>'1250 P+ 72 hpi'!X98</f>
        <v>7.9811006777384179</v>
      </c>
      <c r="T97">
        <f>'1480 P- 72 hpi'!W98</f>
        <v>1.221494812421879</v>
      </c>
      <c r="U97">
        <f>'1480 P- 72 hpi'!X98</f>
        <v>3.3938634780267676</v>
      </c>
      <c r="W97">
        <f>'NAD003 P+ 72 hpi'!W98</f>
        <v>0.53531945183107155</v>
      </c>
      <c r="X97">
        <f>'NAD003 P+ 72 hpi'!X98</f>
        <v>0.32080173803801415</v>
      </c>
    </row>
    <row r="98" spans="1:24" x14ac:dyDescent="0.35">
      <c r="A98">
        <v>630.39800000000002</v>
      </c>
      <c r="B98">
        <f>'1233 P- 72 hpi'!W99</f>
        <v>1.5329068247918549</v>
      </c>
      <c r="C98">
        <f>'1233 P- 72 hpi'!X99</f>
        <v>8.617514402162767</v>
      </c>
      <c r="E98">
        <f>'1233 P+ 72 hpi'!W99</f>
        <v>1.5668129022433419</v>
      </c>
      <c r="F98">
        <f>'1233 P+ 72 hpi'!X99</f>
        <v>5.706126954597444</v>
      </c>
      <c r="H98">
        <f>'1234 P- 72 hpi'!W99</f>
        <v>3.1579451445369946</v>
      </c>
      <c r="I98">
        <f>'1234 P- 72 hpi'!X99</f>
        <v>21.709437988461239</v>
      </c>
      <c r="K98">
        <f>'1234 P+ 72 hpi'!W99</f>
        <v>1.3602621886246595</v>
      </c>
      <c r="L98">
        <f>'1234 P+ 72 hpi'!X99</f>
        <v>14.264833109160499</v>
      </c>
      <c r="N98">
        <f>'1250 P- 72 hpi'!W99</f>
        <v>0.6563193083519292</v>
      </c>
      <c r="O98">
        <f>'1250 P- 72 hpi'!X99</f>
        <v>2.7591076951621889</v>
      </c>
      <c r="Q98">
        <f>'1250 P+ 72 hpi'!W99</f>
        <v>3.6195450074282576</v>
      </c>
      <c r="R98">
        <f>'1250 P+ 72 hpi'!X99</f>
        <v>8.6444447670212341</v>
      </c>
      <c r="T98">
        <f>'1480 P- 72 hpi'!W99</f>
        <v>1.1005579121489466</v>
      </c>
      <c r="U98">
        <f>'1480 P- 72 hpi'!X99</f>
        <v>3.0257582578880622</v>
      </c>
      <c r="W98">
        <f>'NAD003 P+ 72 hpi'!W99</f>
        <v>0.25568507952934283</v>
      </c>
      <c r="X98">
        <f>'NAD003 P+ 72 hpi'!X99</f>
        <v>0.88802395499810416</v>
      </c>
    </row>
    <row r="99" spans="1:24" x14ac:dyDescent="0.35">
      <c r="A99">
        <v>636.58100000000002</v>
      </c>
      <c r="B99">
        <f>'1233 P- 72 hpi'!W100</f>
        <v>1.3719945827065483</v>
      </c>
      <c r="C99">
        <f>'1233 P- 72 hpi'!X100</f>
        <v>7.6474894894873087</v>
      </c>
      <c r="E99">
        <f>'1233 P+ 72 hpi'!W100</f>
        <v>1.4694929168519408</v>
      </c>
      <c r="F99">
        <f>'1233 P+ 72 hpi'!X100</f>
        <v>6.4027898976023252</v>
      </c>
      <c r="H99">
        <f>'1234 P- 72 hpi'!W100</f>
        <v>2.9901837034254712</v>
      </c>
      <c r="I99">
        <f>'1234 P- 72 hpi'!X100</f>
        <v>19.911386123592049</v>
      </c>
      <c r="K99">
        <f>'1234 P+ 72 hpi'!W100</f>
        <v>1.0859831098384447</v>
      </c>
      <c r="L99">
        <f>'1234 P+ 72 hpi'!X100</f>
        <v>10.564906945827659</v>
      </c>
      <c r="N99">
        <f>'1250 P- 72 hpi'!W100</f>
        <v>0.29816638587177441</v>
      </c>
      <c r="O99">
        <f>'1250 P- 72 hpi'!X100</f>
        <v>4.7628033026586456</v>
      </c>
      <c r="Q99">
        <f>'1250 P+ 72 hpi'!W100</f>
        <v>3.695408945040576</v>
      </c>
      <c r="R99">
        <f>'1250 P+ 72 hpi'!X100</f>
        <v>8.3901521813835558</v>
      </c>
      <c r="T99">
        <f>'1480 P- 72 hpi'!W100</f>
        <v>1.2834944192426703</v>
      </c>
      <c r="U99">
        <f>'1480 P- 72 hpi'!X100</f>
        <v>3.227154199718087</v>
      </c>
      <c r="W99">
        <f>'NAD003 P+ 72 hpi'!W100</f>
        <v>2.9346690689578736E-2</v>
      </c>
      <c r="X99">
        <f>'NAD003 P+ 72 hpi'!X100</f>
        <v>0.67089747901925989</v>
      </c>
    </row>
    <row r="100" spans="1:24" x14ac:dyDescent="0.35">
      <c r="A100">
        <v>642.83500000000004</v>
      </c>
      <c r="B100">
        <f>'1233 P- 72 hpi'!W101</f>
        <v>1.4086234716061892</v>
      </c>
      <c r="C100">
        <f>'1233 P- 72 hpi'!X101</f>
        <v>6.1130992365164651</v>
      </c>
      <c r="E100">
        <f>'1233 P+ 72 hpi'!W101</f>
        <v>1.6063866158566498</v>
      </c>
      <c r="F100">
        <f>'1233 P+ 72 hpi'!X101</f>
        <v>5.3526305250421515</v>
      </c>
      <c r="H100">
        <f>'1234 P- 72 hpi'!W101</f>
        <v>3.2495053965501222</v>
      </c>
      <c r="I100">
        <f>'1234 P- 72 hpi'!X101</f>
        <v>21.040223261990189</v>
      </c>
      <c r="K100">
        <f>'1234 P+ 72 hpi'!W101</f>
        <v>1.2445844491951803</v>
      </c>
      <c r="L100">
        <f>'1234 P+ 72 hpi'!X101</f>
        <v>11.483193692015679</v>
      </c>
      <c r="N100">
        <f>'1250 P- 72 hpi'!W101</f>
        <v>0.41883412791344865</v>
      </c>
      <c r="O100">
        <f>'1250 P- 72 hpi'!X101</f>
        <v>2.913759696529814</v>
      </c>
      <c r="Q100">
        <f>'1250 P+ 72 hpi'!W101</f>
        <v>3.9491750739283376</v>
      </c>
      <c r="R100">
        <f>'1250 P+ 72 hpi'!X101</f>
        <v>9.0465602521610009</v>
      </c>
      <c r="T100">
        <f>'1480 P- 72 hpi'!W101</f>
        <v>1.0556522779253017</v>
      </c>
      <c r="U100">
        <f>'1480 P- 72 hpi'!X101</f>
        <v>3.8126508974341573</v>
      </c>
      <c r="W100">
        <f>'NAD003 P+ 72 hpi'!W101</f>
        <v>0.16032246995736443</v>
      </c>
      <c r="X100">
        <f>'NAD003 P+ 72 hpi'!X101</f>
        <v>0.10239892802719197</v>
      </c>
    </row>
    <row r="101" spans="1:24" x14ac:dyDescent="0.35">
      <c r="A101">
        <v>649.06100000000004</v>
      </c>
      <c r="B101">
        <f>'1233 P- 72 hpi'!W102</f>
        <v>1.5461962028569936</v>
      </c>
      <c r="C101">
        <f>'1233 P- 72 hpi'!X102</f>
        <v>5.6217622330903305</v>
      </c>
      <c r="E101">
        <f>'1233 P+ 72 hpi'!W102</f>
        <v>1.5949479853940218</v>
      </c>
      <c r="F101">
        <f>'1233 P+ 72 hpi'!X102</f>
        <v>5.5383310111465676</v>
      </c>
      <c r="H101">
        <f>'1234 P- 72 hpi'!W102</f>
        <v>3.1259355722719389</v>
      </c>
      <c r="I101">
        <f>'1234 P- 72 hpi'!X102</f>
        <v>20.194132781631698</v>
      </c>
      <c r="K101">
        <f>'1234 P+ 72 hpi'!W102</f>
        <v>1.2331989028221031</v>
      </c>
      <c r="L101">
        <f>'1234 P+ 72 hpi'!X102</f>
        <v>13.112486153815807</v>
      </c>
      <c r="N101">
        <f>'1250 P- 72 hpi'!W102</f>
        <v>0.49978907494053831</v>
      </c>
      <c r="O101">
        <f>'1250 P- 72 hpi'!X102</f>
        <v>3.3266820804291211</v>
      </c>
      <c r="Q101">
        <f>'1250 P+ 72 hpi'!W102</f>
        <v>3.631633396889427</v>
      </c>
      <c r="R101">
        <f>'1250 P+ 72 hpi'!X102</f>
        <v>7.9130922292012329</v>
      </c>
      <c r="T101">
        <f>'1480 P- 72 hpi'!W102</f>
        <v>1.1893997415899891</v>
      </c>
      <c r="U101">
        <f>'1480 P- 72 hpi'!X102</f>
        <v>3.4540356536735835</v>
      </c>
      <c r="W101">
        <f>'NAD003 P+ 72 hpi'!W102</f>
        <v>3.9874717142943439E-2</v>
      </c>
      <c r="X101">
        <f>'NAD003 P+ 72 hpi'!X102</f>
        <v>0.94438136108095705</v>
      </c>
    </row>
    <row r="102" spans="1:24" x14ac:dyDescent="0.35">
      <c r="A102">
        <v>655.28099999999995</v>
      </c>
      <c r="B102">
        <f>'1233 P- 72 hpi'!W103</f>
        <v>1.5512829036941471</v>
      </c>
      <c r="C102">
        <f>'1233 P- 72 hpi'!X103</f>
        <v>6.0338257994114732</v>
      </c>
      <c r="E102">
        <f>'1233 P+ 72 hpi'!W103</f>
        <v>1.6105513849204343</v>
      </c>
      <c r="F102">
        <f>'1233 P+ 72 hpi'!X103</f>
        <v>5.2950987577580264</v>
      </c>
      <c r="H102">
        <f>'1234 P- 72 hpi'!W103</f>
        <v>3.2969623674777284</v>
      </c>
      <c r="I102">
        <f>'1234 P- 72 hpi'!X103</f>
        <v>21.434511609241422</v>
      </c>
      <c r="K102">
        <f>'1234 P+ 72 hpi'!W103</f>
        <v>1.7652119750487074</v>
      </c>
      <c r="L102">
        <f>'1234 P+ 72 hpi'!X103</f>
        <v>18.125163715660239</v>
      </c>
      <c r="N102">
        <f>'1250 P- 72 hpi'!W103</f>
        <v>0.42638282582174825</v>
      </c>
      <c r="O102">
        <f>'1250 P- 72 hpi'!X103</f>
        <v>4.2068649006472167</v>
      </c>
      <c r="Q102">
        <f>'1250 P+ 72 hpi'!W103</f>
        <v>3.8095986664763899</v>
      </c>
      <c r="R102">
        <f>'1250 P+ 72 hpi'!X103</f>
        <v>8.2702569428401773</v>
      </c>
      <c r="T102">
        <f>'1480 P- 72 hpi'!W103</f>
        <v>1.2305892830456204</v>
      </c>
      <c r="U102">
        <f>'1480 P- 72 hpi'!X103</f>
        <v>3.7053458054868496</v>
      </c>
      <c r="W102">
        <f>'NAD003 P+ 72 hpi'!W103</f>
        <v>9.1612005452503809E-2</v>
      </c>
      <c r="X102">
        <f>'NAD003 P+ 72 hpi'!X103</f>
        <v>0.46119109219304733</v>
      </c>
    </row>
    <row r="103" spans="1:24" x14ac:dyDescent="0.35">
      <c r="A103">
        <v>661.45299999999997</v>
      </c>
      <c r="B103">
        <f>'1233 P- 72 hpi'!W104</f>
        <v>1.543813244659902</v>
      </c>
      <c r="C103">
        <f>'1233 P- 72 hpi'!X104</f>
        <v>6.113673116286571</v>
      </c>
      <c r="E103">
        <f>'1233 P+ 72 hpi'!W104</f>
        <v>1.7663578874485566</v>
      </c>
      <c r="F103">
        <f>'1233 P+ 72 hpi'!X104</f>
        <v>4.7796035752980188</v>
      </c>
      <c r="H103">
        <f>'1234 P- 72 hpi'!W104</f>
        <v>3.368471109187456</v>
      </c>
      <c r="I103">
        <f>'1234 P- 72 hpi'!X104</f>
        <v>21.709897322885009</v>
      </c>
      <c r="K103">
        <f>'1234 P+ 72 hpi'!W104</f>
        <v>1.9143769085659414</v>
      </c>
      <c r="L103">
        <f>'1234 P+ 72 hpi'!X104</f>
        <v>19.765776256084386</v>
      </c>
      <c r="N103">
        <f>'1250 P- 72 hpi'!W104</f>
        <v>0.31064067970546699</v>
      </c>
      <c r="O103">
        <f>'1250 P- 72 hpi'!X104</f>
        <v>4.812725278382187</v>
      </c>
      <c r="Q103">
        <f>'1250 P+ 72 hpi'!W104</f>
        <v>3.8498437509195895</v>
      </c>
      <c r="R103">
        <f>'1250 P+ 72 hpi'!X104</f>
        <v>8.5385705761001489</v>
      </c>
      <c r="T103">
        <f>'1480 P- 72 hpi'!W104</f>
        <v>1.1426039011848763</v>
      </c>
      <c r="U103">
        <f>'1480 P- 72 hpi'!X104</f>
        <v>4.4452191405273993</v>
      </c>
      <c r="W103">
        <f>'NAD003 P+ 72 hpi'!W104</f>
        <v>0.11323554122373025</v>
      </c>
      <c r="X103">
        <f>'NAD003 P+ 72 hpi'!X104</f>
        <v>0.19548756626693375</v>
      </c>
    </row>
    <row r="104" spans="1:24" x14ac:dyDescent="0.35">
      <c r="A104">
        <v>667.70500000000004</v>
      </c>
      <c r="B104">
        <f>'1233 P- 72 hpi'!W105</f>
        <v>1.5281520383758309</v>
      </c>
      <c r="C104">
        <f>'1233 P- 72 hpi'!X105</f>
        <v>5.0926290442174205</v>
      </c>
      <c r="E104">
        <f>'1233 P+ 72 hpi'!W105</f>
        <v>1.7326476284600858</v>
      </c>
      <c r="F104">
        <f>'1233 P+ 72 hpi'!X105</f>
        <v>4.6609578269334264</v>
      </c>
      <c r="H104">
        <f>'1234 P- 72 hpi'!W105</f>
        <v>3.4122790967209546</v>
      </c>
      <c r="I104">
        <f>'1234 P- 72 hpi'!X105</f>
        <v>22.44978118307651</v>
      </c>
      <c r="K104">
        <f>'1234 P+ 72 hpi'!W105</f>
        <v>1.9259466592157182</v>
      </c>
      <c r="L104">
        <f>'1234 P+ 72 hpi'!X105</f>
        <v>19.638249535517811</v>
      </c>
      <c r="N104">
        <f>'1250 P- 72 hpi'!W105</f>
        <v>0.33559725449560401</v>
      </c>
      <c r="O104">
        <f>'1250 P- 72 hpi'!X105</f>
        <v>5.5581517804107277</v>
      </c>
      <c r="Q104">
        <f>'1250 P+ 72 hpi'!W105</f>
        <v>3.5429038787264062</v>
      </c>
      <c r="R104">
        <f>'1250 P+ 72 hpi'!X105</f>
        <v>6.6491713192946165</v>
      </c>
      <c r="T104">
        <f>'1480 P- 72 hpi'!W105</f>
        <v>1.2830339157624786</v>
      </c>
      <c r="U104">
        <f>'1480 P- 72 hpi'!X105</f>
        <v>3.9909503377446618</v>
      </c>
      <c r="W104">
        <f>'NAD003 P+ 72 hpi'!W105</f>
        <v>0.17114504611441816</v>
      </c>
      <c r="X104">
        <f>'NAD003 P+ 72 hpi'!X105</f>
        <v>3.9049812178625132E-2</v>
      </c>
    </row>
    <row r="105" spans="1:24" x14ac:dyDescent="0.35">
      <c r="A105">
        <v>673.85199999999998</v>
      </c>
      <c r="B105">
        <f>'1233 P- 72 hpi'!W106</f>
        <v>1.4876700417303053</v>
      </c>
      <c r="C105">
        <f>'1233 P- 72 hpi'!X106</f>
        <v>5.7270720217708702</v>
      </c>
      <c r="E105">
        <f>'1233 P+ 72 hpi'!W106</f>
        <v>1.4468743508982627</v>
      </c>
      <c r="F105">
        <f>'1233 P+ 72 hpi'!X106</f>
        <v>5.8584471140131811</v>
      </c>
      <c r="H105">
        <f>'1234 P- 72 hpi'!W106</f>
        <v>3.4481273933945014</v>
      </c>
      <c r="I105">
        <f>'1234 P- 72 hpi'!X106</f>
        <v>23.635475563229868</v>
      </c>
      <c r="K105">
        <f>'1234 P+ 72 hpi'!W106</f>
        <v>1.6307617423396721</v>
      </c>
      <c r="L105">
        <f>'1234 P+ 72 hpi'!X106</f>
        <v>15.291427623712606</v>
      </c>
      <c r="N105">
        <f>'1250 P- 72 hpi'!W106</f>
        <v>0.31742287592786361</v>
      </c>
      <c r="O105">
        <f>'1250 P- 72 hpi'!X106</f>
        <v>4.8517978109458086</v>
      </c>
      <c r="Q105">
        <f>'1250 P+ 72 hpi'!W106</f>
        <v>3.6036491718757588</v>
      </c>
      <c r="R105">
        <f>'1250 P+ 72 hpi'!X106</f>
        <v>6.3558193339826374</v>
      </c>
      <c r="T105">
        <f>'1480 P- 72 hpi'!W106</f>
        <v>1.235002882859876</v>
      </c>
      <c r="U105">
        <f>'1480 P- 72 hpi'!X106</f>
        <v>3.5424969931179162</v>
      </c>
      <c r="W105">
        <f>'NAD003 P+ 72 hpi'!W106</f>
        <v>0.17968944820005106</v>
      </c>
      <c r="X105">
        <f>'NAD003 P+ 72 hpi'!X106</f>
        <v>0.93424480635744089</v>
      </c>
    </row>
    <row r="106" spans="1:24" x14ac:dyDescent="0.35">
      <c r="A106">
        <v>680.23400000000004</v>
      </c>
      <c r="B106">
        <f>'1233 P- 72 hpi'!W107</f>
        <v>1.5577408452292503</v>
      </c>
      <c r="C106">
        <f>'1233 P- 72 hpi'!X107</f>
        <v>6.2454051575671645</v>
      </c>
      <c r="E106">
        <f>'1233 P+ 72 hpi'!W107</f>
        <v>1.7240679953054041</v>
      </c>
      <c r="F106">
        <f>'1233 P+ 72 hpi'!X107</f>
        <v>4.3111125544185853</v>
      </c>
      <c r="H106">
        <f>'1234 P- 72 hpi'!W107</f>
        <v>3.4430244045307279</v>
      </c>
      <c r="I106">
        <f>'1234 P- 72 hpi'!X107</f>
        <v>24.045504127832036</v>
      </c>
      <c r="K106">
        <f>'1234 P+ 72 hpi'!W107</f>
        <v>2.031041334059914</v>
      </c>
      <c r="L106">
        <f>'1234 P+ 72 hpi'!X107</f>
        <v>18.413728757486084</v>
      </c>
      <c r="N106">
        <f>'1250 P- 72 hpi'!W107</f>
        <v>0.40337055081214801</v>
      </c>
      <c r="O106">
        <f>'1250 P- 72 hpi'!X107</f>
        <v>4.9844102555591183</v>
      </c>
      <c r="Q106">
        <f>'1250 P+ 72 hpi'!W107</f>
        <v>3.5999942778815921</v>
      </c>
      <c r="R106">
        <f>'1250 P+ 72 hpi'!X107</f>
        <v>6.1228330797263766</v>
      </c>
      <c r="T106">
        <f>'1480 P- 72 hpi'!W107</f>
        <v>1.1641008720188923</v>
      </c>
      <c r="U106">
        <f>'1480 P- 72 hpi'!X107</f>
        <v>4.128586207069012</v>
      </c>
      <c r="W106">
        <f>'NAD003 P+ 72 hpi'!W107</f>
        <v>0.27099471681722775</v>
      </c>
      <c r="X106">
        <f>'NAD003 P+ 72 hpi'!X107</f>
        <v>0.21318142223475434</v>
      </c>
    </row>
    <row r="107" spans="1:24" x14ac:dyDescent="0.35">
      <c r="A107">
        <v>686.39200000000005</v>
      </c>
      <c r="B107">
        <f>'1233 P- 72 hpi'!W108</f>
        <v>1.5762078198768656</v>
      </c>
      <c r="C107">
        <f>'1233 P- 72 hpi'!X108</f>
        <v>6.771287643056791</v>
      </c>
      <c r="E107">
        <f>'1233 P+ 72 hpi'!W108</f>
        <v>1.8563334020516393</v>
      </c>
      <c r="F107">
        <f>'1233 P+ 72 hpi'!X108</f>
        <v>3.5845279765054272</v>
      </c>
      <c r="H107">
        <f>'1234 P- 72 hpi'!W108</f>
        <v>3.3829476877202431</v>
      </c>
      <c r="I107">
        <f>'1234 P- 72 hpi'!X108</f>
        <v>22.284322515933692</v>
      </c>
      <c r="K107">
        <f>'1234 P+ 72 hpi'!W108</f>
        <v>1.8986333745177433</v>
      </c>
      <c r="L107">
        <f>'1234 P+ 72 hpi'!X108</f>
        <v>16.135075948147048</v>
      </c>
      <c r="N107">
        <f>'1250 P- 72 hpi'!W108</f>
        <v>0.45934336670024739</v>
      </c>
      <c r="O107">
        <f>'1250 P- 72 hpi'!X108</f>
        <v>4.2614500003030207</v>
      </c>
      <c r="Q107">
        <f>'1250 P+ 72 hpi'!W108</f>
        <v>3.6732450231313223</v>
      </c>
      <c r="R107">
        <f>'1250 P+ 72 hpi'!X108</f>
        <v>7.395410032281525</v>
      </c>
      <c r="T107">
        <f>'1480 P- 72 hpi'!W108</f>
        <v>1.2359709312809977</v>
      </c>
      <c r="U107">
        <f>'1480 P- 72 hpi'!X108</f>
        <v>4.2018705353341703</v>
      </c>
      <c r="W107">
        <f>'NAD003 P+ 72 hpi'!W108</f>
        <v>1.3165269778693016</v>
      </c>
      <c r="X107">
        <f>'NAD003 P+ 72 hpi'!X108</f>
        <v>1.623790966916296</v>
      </c>
    </row>
    <row r="108" spans="1:24" x14ac:dyDescent="0.35">
      <c r="A108">
        <v>692.49400000000003</v>
      </c>
      <c r="B108">
        <f>'1233 P- 72 hpi'!W109</f>
        <v>1.6489635422627957</v>
      </c>
      <c r="C108">
        <f>'1233 P- 72 hpi'!X109</f>
        <v>7.3563378383663789</v>
      </c>
      <c r="E108">
        <f>'1233 P+ 72 hpi'!W109</f>
        <v>2.2069973755333976</v>
      </c>
      <c r="F108">
        <f>'1233 P+ 72 hpi'!X109</f>
        <v>2.354969420955868</v>
      </c>
      <c r="H108">
        <f>'1234 P- 72 hpi'!W109</f>
        <v>3.482155085417816</v>
      </c>
      <c r="I108">
        <f>'1234 P- 72 hpi'!X109</f>
        <v>22.582328991537153</v>
      </c>
      <c r="K108">
        <f>'1234 P+ 72 hpi'!W109</f>
        <v>1.9693699337255595</v>
      </c>
      <c r="L108">
        <f>'1234 P+ 72 hpi'!X109</f>
        <v>18.001548804416235</v>
      </c>
      <c r="N108">
        <f>'1250 P- 72 hpi'!W109</f>
        <v>0.39627070605028514</v>
      </c>
      <c r="O108">
        <f>'1250 P- 72 hpi'!X109</f>
        <v>4.6738290684442161</v>
      </c>
      <c r="Q108">
        <f>'1250 P+ 72 hpi'!W109</f>
        <v>3.958890265711311</v>
      </c>
      <c r="R108">
        <f>'1250 P+ 72 hpi'!X109</f>
        <v>9.1486339770177807</v>
      </c>
      <c r="T108">
        <f>'1480 P- 72 hpi'!W109</f>
        <v>1.1007938665041548</v>
      </c>
      <c r="U108">
        <f>'1480 P- 72 hpi'!X109</f>
        <v>4.7266190596024931</v>
      </c>
      <c r="W108">
        <f>'NAD003 P+ 72 hpi'!W109</f>
        <v>0.87690474053555079</v>
      </c>
      <c r="X108">
        <f>'NAD003 P+ 72 hpi'!X109</f>
        <v>0.52557011807301279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43F0-9056-6747-A2DE-CC083392D4E3}">
  <dimension ref="A1:I5"/>
  <sheetViews>
    <sheetView workbookViewId="0">
      <selection activeCell="A2" sqref="A2:I5"/>
    </sheetView>
  </sheetViews>
  <sheetFormatPr defaultColWidth="10.90625" defaultRowHeight="14.5" x14ac:dyDescent="0.35"/>
  <sheetData>
    <row r="1" spans="1:9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35">
      <c r="A2" t="s">
        <v>80</v>
      </c>
      <c r="B2">
        <f>'Average comparison'!$B$40</f>
        <v>0.14196143275642228</v>
      </c>
      <c r="C2">
        <f>'Average comparison'!$E$40</f>
        <v>0.188002119601407</v>
      </c>
      <c r="D2">
        <f>'Average comparison'!$H$40</f>
        <v>1.5977685416248024</v>
      </c>
      <c r="E2">
        <f>'Average comparison'!$K$40</f>
        <v>1.619684519569367</v>
      </c>
      <c r="F2">
        <f>'Average comparison'!$N$40</f>
        <v>0.12802245027402981</v>
      </c>
      <c r="G2">
        <f>'Average comparison'!$Q$40</f>
        <v>0.19044709739440047</v>
      </c>
      <c r="H2">
        <f>'Average comparison'!$T$40</f>
        <v>6.8427777964393574E-2</v>
      </c>
      <c r="I2">
        <f>'Average comparison'!$W$40</f>
        <v>0.2148151252651867</v>
      </c>
    </row>
    <row r="3" spans="1:9" x14ac:dyDescent="0.35">
      <c r="A3" t="s">
        <v>81</v>
      </c>
      <c r="B3">
        <f>'Average comparison'!$B$69</f>
        <v>95.700194736901565</v>
      </c>
      <c r="C3">
        <f>'Average comparison'!$E$69</f>
        <v>97.451309503466774</v>
      </c>
      <c r="D3">
        <f>'Average comparison'!$H$69</f>
        <v>66.660808441096421</v>
      </c>
      <c r="E3">
        <f>'Average comparison'!$K$69</f>
        <v>67.416936798846933</v>
      </c>
      <c r="F3">
        <f>'Average comparison'!$N$69</f>
        <v>96.287457773225171</v>
      </c>
      <c r="G3">
        <f>'Average comparison'!$Q$69</f>
        <v>83.543279094635722</v>
      </c>
      <c r="H3">
        <f>'Average comparison'!$T$69</f>
        <v>103.49312367231839</v>
      </c>
      <c r="I3">
        <f>'Average comparison'!$W$69</f>
        <v>105.37149552216297</v>
      </c>
    </row>
    <row r="4" spans="1:9" x14ac:dyDescent="0.35">
      <c r="A4" t="s">
        <v>82</v>
      </c>
      <c r="B4">
        <f>'Average comparison'!$B$79</f>
        <v>0.11740692779621731</v>
      </c>
      <c r="C4">
        <f>'Average comparison'!$E$79</f>
        <v>0.1680054067426307</v>
      </c>
      <c r="D4">
        <f>'Average comparison'!$H$79</f>
        <v>1.2864284909390042</v>
      </c>
      <c r="E4">
        <f>'Average comparison'!$K$79</f>
        <v>1.3483831557892771</v>
      </c>
      <c r="F4">
        <f>'Average comparison'!$N$79</f>
        <v>0.10528989663520127</v>
      </c>
      <c r="G4">
        <f>'Average comparison'!$Q$79</f>
        <v>0.18075068838628566</v>
      </c>
      <c r="H4">
        <f>'Average comparison'!$T$79</f>
        <v>4.3816003171501756E-2</v>
      </c>
      <c r="I4">
        <f>'Average comparison'!$W$79</f>
        <v>0.18821048844796057</v>
      </c>
    </row>
    <row r="5" spans="1:9" x14ac:dyDescent="0.35">
      <c r="A5" t="s">
        <v>83</v>
      </c>
      <c r="B5">
        <f>'Average comparison'!$B$108</f>
        <v>96.987355141822562</v>
      </c>
      <c r="C5">
        <f>'Average comparison'!$E$108</f>
        <v>98.7329202767705</v>
      </c>
      <c r="D5">
        <f>'Average comparison'!$H$108</f>
        <v>63.915416568485433</v>
      </c>
      <c r="E5">
        <f>'Average comparison'!$K$108</f>
        <v>66.795015054607447</v>
      </c>
      <c r="F5">
        <f>'Average comparison'!$N$108</f>
        <v>98.091121467552554</v>
      </c>
      <c r="G5">
        <f>'Average comparison'!$Q$108</f>
        <v>84.10638728597354</v>
      </c>
      <c r="H5">
        <f>'Average comparison'!$T$108</f>
        <v>101.93493358804854</v>
      </c>
      <c r="I5">
        <f>'Average comparison'!$W$108</f>
        <v>107.52307626673213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A29E-2808-47F6-AF5A-3C15A65AA51D}">
  <dimension ref="A1:Q20"/>
  <sheetViews>
    <sheetView workbookViewId="0">
      <selection activeCell="K55" sqref="K55"/>
    </sheetView>
  </sheetViews>
  <sheetFormatPr defaultColWidth="8.81640625" defaultRowHeight="14.5" x14ac:dyDescent="0.35"/>
  <sheetData>
    <row r="1" spans="1:17" x14ac:dyDescent="0.35">
      <c r="B1" t="s">
        <v>26</v>
      </c>
      <c r="C1" t="s">
        <v>7</v>
      </c>
      <c r="D1" t="s">
        <v>27</v>
      </c>
      <c r="E1" t="s">
        <v>7</v>
      </c>
      <c r="F1" t="s">
        <v>28</v>
      </c>
      <c r="G1" t="s">
        <v>7</v>
      </c>
      <c r="H1" t="s">
        <v>29</v>
      </c>
      <c r="I1" t="s">
        <v>7</v>
      </c>
      <c r="J1" t="s">
        <v>30</v>
      </c>
      <c r="K1" t="s">
        <v>7</v>
      </c>
      <c r="L1" t="s">
        <v>31</v>
      </c>
      <c r="M1" t="s">
        <v>7</v>
      </c>
      <c r="N1" t="s">
        <v>32</v>
      </c>
      <c r="O1" t="s">
        <v>7</v>
      </c>
      <c r="P1" t="s">
        <v>33</v>
      </c>
      <c r="Q1" t="s">
        <v>7</v>
      </c>
    </row>
    <row r="2" spans="1:17" x14ac:dyDescent="0.35">
      <c r="A2" t="s">
        <v>8</v>
      </c>
    </row>
    <row r="3" spans="1:17" x14ac:dyDescent="0.35">
      <c r="A3" t="s">
        <v>9</v>
      </c>
    </row>
    <row r="4" spans="1:17" x14ac:dyDescent="0.35">
      <c r="A4" t="s">
        <v>10</v>
      </c>
      <c r="B4" s="1"/>
      <c r="C4" s="1" t="e">
        <f t="shared" ref="C4:C11" si="0">(B4-B3)/B3*100</f>
        <v>#DIV/0!</v>
      </c>
      <c r="D4" s="1"/>
      <c r="E4" s="1" t="e">
        <f t="shared" ref="E4:E11" si="1">(D4-D3)/D3*100</f>
        <v>#DIV/0!</v>
      </c>
      <c r="F4" s="1"/>
      <c r="G4" s="1" t="e">
        <f t="shared" ref="G4:G11" si="2">(F4-F3)/F3*100</f>
        <v>#DIV/0!</v>
      </c>
      <c r="H4" s="1"/>
      <c r="I4" s="1" t="e">
        <f t="shared" ref="I4:I11" si="3">(H4-H3)/H3*100</f>
        <v>#DIV/0!</v>
      </c>
      <c r="J4" s="1"/>
      <c r="K4" s="1" t="e">
        <f t="shared" ref="K4:K11" si="4">(J4-J3)/J3*100</f>
        <v>#DIV/0!</v>
      </c>
      <c r="L4" s="1"/>
      <c r="M4" s="1" t="e">
        <f t="shared" ref="M4:M11" si="5">(L4-L3)/L3*100</f>
        <v>#DIV/0!</v>
      </c>
      <c r="N4" s="1"/>
      <c r="O4" s="1" t="e">
        <f t="shared" ref="O4:O11" si="6">(N4-N3)/N3*100</f>
        <v>#DIV/0!</v>
      </c>
      <c r="P4" s="1"/>
      <c r="Q4" s="1" t="e">
        <f t="shared" ref="Q4:Q11" si="7">(P4-P3)/P3*100</f>
        <v>#DIV/0!</v>
      </c>
    </row>
    <row r="5" spans="1:17" x14ac:dyDescent="0.35">
      <c r="A5" t="s">
        <v>11</v>
      </c>
      <c r="C5" t="e">
        <f t="shared" si="0"/>
        <v>#DIV/0!</v>
      </c>
      <c r="E5" t="e">
        <f t="shared" si="1"/>
        <v>#DIV/0!</v>
      </c>
      <c r="G5" t="e">
        <f t="shared" si="2"/>
        <v>#DIV/0!</v>
      </c>
      <c r="I5" t="e">
        <f t="shared" si="3"/>
        <v>#DIV/0!</v>
      </c>
      <c r="K5" t="e">
        <f t="shared" si="4"/>
        <v>#DIV/0!</v>
      </c>
      <c r="M5" t="e">
        <f t="shared" si="5"/>
        <v>#DIV/0!</v>
      </c>
      <c r="O5" t="e">
        <f t="shared" si="6"/>
        <v>#DIV/0!</v>
      </c>
      <c r="Q5" t="e">
        <f t="shared" si="7"/>
        <v>#DIV/0!</v>
      </c>
    </row>
    <row r="6" spans="1:17" x14ac:dyDescent="0.35">
      <c r="A6" t="s">
        <v>12</v>
      </c>
      <c r="B6" s="1"/>
      <c r="C6" t="e">
        <f t="shared" si="0"/>
        <v>#DIV/0!</v>
      </c>
      <c r="D6" s="1"/>
      <c r="E6" t="e">
        <f t="shared" si="1"/>
        <v>#DIV/0!</v>
      </c>
      <c r="F6" s="1"/>
      <c r="G6" t="e">
        <f t="shared" si="2"/>
        <v>#DIV/0!</v>
      </c>
      <c r="H6" s="1"/>
      <c r="I6" t="e">
        <f t="shared" si="3"/>
        <v>#DIV/0!</v>
      </c>
      <c r="J6" s="1"/>
      <c r="K6" t="e">
        <f t="shared" si="4"/>
        <v>#DIV/0!</v>
      </c>
      <c r="L6" s="1"/>
      <c r="M6" t="e">
        <f t="shared" si="5"/>
        <v>#DIV/0!</v>
      </c>
      <c r="N6" s="1"/>
      <c r="O6" t="e">
        <f t="shared" si="6"/>
        <v>#DIV/0!</v>
      </c>
      <c r="P6" s="1"/>
      <c r="Q6" t="e">
        <f t="shared" si="7"/>
        <v>#DIV/0!</v>
      </c>
    </row>
    <row r="7" spans="1:17" x14ac:dyDescent="0.35">
      <c r="A7" t="s">
        <v>13</v>
      </c>
      <c r="C7" t="e">
        <f t="shared" si="0"/>
        <v>#DIV/0!</v>
      </c>
      <c r="E7" t="e">
        <f t="shared" si="1"/>
        <v>#DIV/0!</v>
      </c>
      <c r="G7" t="e">
        <f t="shared" si="2"/>
        <v>#DIV/0!</v>
      </c>
      <c r="I7" t="e">
        <f t="shared" si="3"/>
        <v>#DIV/0!</v>
      </c>
      <c r="K7" t="e">
        <f t="shared" si="4"/>
        <v>#DIV/0!</v>
      </c>
      <c r="M7" t="e">
        <f t="shared" si="5"/>
        <v>#DIV/0!</v>
      </c>
      <c r="O7" t="e">
        <f t="shared" si="6"/>
        <v>#DIV/0!</v>
      </c>
      <c r="Q7" t="e">
        <f t="shared" si="7"/>
        <v>#DIV/0!</v>
      </c>
    </row>
    <row r="8" spans="1:17" x14ac:dyDescent="0.35">
      <c r="A8" t="s">
        <v>14</v>
      </c>
      <c r="B8" s="1"/>
      <c r="C8" s="1" t="e">
        <f t="shared" si="0"/>
        <v>#DIV/0!</v>
      </c>
      <c r="D8" s="1"/>
      <c r="E8" s="1" t="e">
        <f t="shared" si="1"/>
        <v>#DIV/0!</v>
      </c>
      <c r="F8" s="1"/>
      <c r="G8" s="1" t="e">
        <f t="shared" si="2"/>
        <v>#DIV/0!</v>
      </c>
      <c r="H8" s="1"/>
      <c r="I8" s="1" t="e">
        <f t="shared" si="3"/>
        <v>#DIV/0!</v>
      </c>
      <c r="J8" s="1"/>
      <c r="K8" s="1" t="e">
        <f t="shared" si="4"/>
        <v>#DIV/0!</v>
      </c>
      <c r="L8" s="1"/>
      <c r="M8" s="1" t="e">
        <f t="shared" si="5"/>
        <v>#DIV/0!</v>
      </c>
      <c r="N8" s="1"/>
      <c r="O8" s="1" t="e">
        <f t="shared" si="6"/>
        <v>#DIV/0!</v>
      </c>
      <c r="P8" s="1"/>
      <c r="Q8" s="1" t="e">
        <f t="shared" si="7"/>
        <v>#DIV/0!</v>
      </c>
    </row>
    <row r="9" spans="1:17" x14ac:dyDescent="0.35">
      <c r="A9" t="s">
        <v>15</v>
      </c>
      <c r="C9" t="e">
        <f t="shared" si="0"/>
        <v>#DIV/0!</v>
      </c>
      <c r="E9" t="e">
        <f t="shared" si="1"/>
        <v>#DIV/0!</v>
      </c>
      <c r="G9" t="e">
        <f t="shared" si="2"/>
        <v>#DIV/0!</v>
      </c>
      <c r="I9" t="e">
        <f t="shared" si="3"/>
        <v>#DIV/0!</v>
      </c>
      <c r="K9" t="e">
        <f t="shared" si="4"/>
        <v>#DIV/0!</v>
      </c>
      <c r="M9" t="e">
        <f t="shared" si="5"/>
        <v>#DIV/0!</v>
      </c>
      <c r="O9" t="e">
        <f t="shared" si="6"/>
        <v>#DIV/0!</v>
      </c>
      <c r="Q9" t="e">
        <f t="shared" si="7"/>
        <v>#DIV/0!</v>
      </c>
    </row>
    <row r="10" spans="1:17" x14ac:dyDescent="0.35">
      <c r="A10" t="s">
        <v>16</v>
      </c>
      <c r="B10" s="1"/>
      <c r="C10" t="e">
        <f t="shared" si="0"/>
        <v>#DIV/0!</v>
      </c>
      <c r="D10" s="1"/>
      <c r="E10" t="e">
        <f t="shared" si="1"/>
        <v>#DIV/0!</v>
      </c>
      <c r="F10" s="1"/>
      <c r="G10" t="e">
        <f t="shared" si="2"/>
        <v>#DIV/0!</v>
      </c>
      <c r="H10" s="1"/>
      <c r="I10" t="e">
        <f t="shared" si="3"/>
        <v>#DIV/0!</v>
      </c>
      <c r="J10" s="1"/>
      <c r="K10" t="e">
        <f t="shared" si="4"/>
        <v>#DIV/0!</v>
      </c>
      <c r="L10" s="1"/>
      <c r="M10" t="e">
        <f t="shared" si="5"/>
        <v>#DIV/0!</v>
      </c>
      <c r="N10" s="1"/>
      <c r="O10" t="e">
        <f t="shared" si="6"/>
        <v>#DIV/0!</v>
      </c>
      <c r="P10" s="1"/>
      <c r="Q10" t="e">
        <f t="shared" si="7"/>
        <v>#DIV/0!</v>
      </c>
    </row>
    <row r="11" spans="1:17" x14ac:dyDescent="0.35">
      <c r="A11" t="s">
        <v>17</v>
      </c>
      <c r="C11" t="e">
        <f t="shared" si="0"/>
        <v>#DIV/0!</v>
      </c>
      <c r="E11" t="e">
        <f t="shared" si="1"/>
        <v>#DIV/0!</v>
      </c>
      <c r="G11" t="e">
        <f t="shared" si="2"/>
        <v>#DIV/0!</v>
      </c>
      <c r="I11" t="e">
        <f t="shared" si="3"/>
        <v>#DIV/0!</v>
      </c>
      <c r="K11" t="e">
        <f t="shared" si="4"/>
        <v>#DIV/0!</v>
      </c>
      <c r="M11" t="e">
        <f t="shared" si="5"/>
        <v>#DIV/0!</v>
      </c>
      <c r="O11" t="e">
        <f t="shared" si="6"/>
        <v>#DIV/0!</v>
      </c>
      <c r="Q11" t="e">
        <f t="shared" si="7"/>
        <v>#DIV/0!</v>
      </c>
    </row>
    <row r="14" spans="1:17" x14ac:dyDescent="0.35">
      <c r="A14" t="s">
        <v>24</v>
      </c>
      <c r="C14" t="s">
        <v>25</v>
      </c>
    </row>
    <row r="15" spans="1:17" x14ac:dyDescent="0.35">
      <c r="A15" t="s">
        <v>18</v>
      </c>
    </row>
    <row r="16" spans="1:17" x14ac:dyDescent="0.35">
      <c r="A16" s="1" t="s">
        <v>19</v>
      </c>
      <c r="B16" s="1"/>
      <c r="C16" s="1" t="e">
        <f>B7/B3*100</f>
        <v>#DIV/0!</v>
      </c>
      <c r="D16" s="1"/>
      <c r="E16" s="1" t="e">
        <f t="shared" ref="E16:I16" si="8">D7/D3*100</f>
        <v>#DIV/0!</v>
      </c>
      <c r="F16" s="1"/>
      <c r="G16" s="1" t="e">
        <f t="shared" si="8"/>
        <v>#DIV/0!</v>
      </c>
      <c r="H16" s="1"/>
      <c r="I16" s="1" t="e">
        <f t="shared" si="8"/>
        <v>#DIV/0!</v>
      </c>
      <c r="J16" s="1"/>
      <c r="K16" s="1" t="e">
        <f>J7/J3*100</f>
        <v>#DIV/0!</v>
      </c>
      <c r="L16" s="1"/>
      <c r="M16" s="1" t="e">
        <f t="shared" ref="M16" si="9">L7/L3*100</f>
        <v>#DIV/0!</v>
      </c>
      <c r="N16" s="1"/>
      <c r="O16" s="1" t="e">
        <f t="shared" ref="O16" si="10">N7/N3*100</f>
        <v>#DIV/0!</v>
      </c>
      <c r="P16" s="1"/>
      <c r="Q16" s="1" t="e">
        <f t="shared" ref="Q16" si="11">P7/P3*100</f>
        <v>#DIV/0!</v>
      </c>
    </row>
    <row r="17" spans="1:17" x14ac:dyDescent="0.35">
      <c r="A17" t="s">
        <v>20</v>
      </c>
    </row>
    <row r="18" spans="1:17" x14ac:dyDescent="0.35">
      <c r="A18" s="1" t="s">
        <v>21</v>
      </c>
      <c r="B18" s="1"/>
      <c r="C18" s="1" t="e">
        <f>B11/B7*100</f>
        <v>#DIV/0!</v>
      </c>
      <c r="D18" s="1"/>
      <c r="E18" s="1" t="e">
        <f>D11/D7*100</f>
        <v>#DIV/0!</v>
      </c>
      <c r="F18" s="1"/>
      <c r="G18" s="1" t="e">
        <f>F11/F7*100</f>
        <v>#DIV/0!</v>
      </c>
      <c r="H18" s="1"/>
      <c r="I18" s="1" t="e">
        <f>H11/H7*100</f>
        <v>#DIV/0!</v>
      </c>
      <c r="J18" s="1"/>
      <c r="K18" s="1" t="e">
        <f>J11/J7*100</f>
        <v>#DIV/0!</v>
      </c>
      <c r="L18" s="1"/>
      <c r="M18" s="1" t="e">
        <f>L11/L7*100</f>
        <v>#DIV/0!</v>
      </c>
      <c r="N18" s="1"/>
      <c r="O18" s="1" t="e">
        <f>N11/N7*100</f>
        <v>#DIV/0!</v>
      </c>
      <c r="P18" s="1"/>
      <c r="Q18" s="1" t="e">
        <f>P11/P7*100</f>
        <v>#DIV/0!</v>
      </c>
    </row>
    <row r="19" spans="1:17" x14ac:dyDescent="0.35">
      <c r="A19" t="s">
        <v>22</v>
      </c>
    </row>
    <row r="20" spans="1:17" x14ac:dyDescent="0.35">
      <c r="A20" s="1" t="s">
        <v>23</v>
      </c>
      <c r="B20" s="1"/>
      <c r="C20" s="1" t="e">
        <f>B11/B3*100</f>
        <v>#DIV/0!</v>
      </c>
      <c r="D20" s="1"/>
      <c r="E20" s="1" t="e">
        <f>D11/D3*100</f>
        <v>#DIV/0!</v>
      </c>
      <c r="F20" s="1"/>
      <c r="G20" s="1" t="e">
        <f>F11/F3*100</f>
        <v>#DIV/0!</v>
      </c>
      <c r="H20" s="1"/>
      <c r="I20" s="1" t="e">
        <f>H11/H3*100</f>
        <v>#DIV/0!</v>
      </c>
      <c r="J20" s="1"/>
      <c r="K20" s="1" t="e">
        <f>J11/J3*100</f>
        <v>#DIV/0!</v>
      </c>
      <c r="L20" s="1"/>
      <c r="M20" s="1" t="e">
        <f>L11/L3*100</f>
        <v>#DIV/0!</v>
      </c>
      <c r="N20" s="1"/>
      <c r="O20" s="1" t="e">
        <f>N11/N3*100</f>
        <v>#DIV/0!</v>
      </c>
      <c r="P20" s="1"/>
      <c r="Q20" s="1" t="e">
        <f>P11/P3*100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1233 P- 72 hpi</vt:lpstr>
      <vt:lpstr>1233 P+ 72 hpi</vt:lpstr>
      <vt:lpstr>1234 P- 72 hpi</vt:lpstr>
      <vt:lpstr>1234 P+ 72 hpi</vt:lpstr>
      <vt:lpstr>1250 P- 72 hpi</vt:lpstr>
      <vt:lpstr>1250 P+ 72 hpi</vt:lpstr>
      <vt:lpstr>1480 P- 72 hpi</vt:lpstr>
      <vt:lpstr>NAD003 P- 72 hpi</vt:lpstr>
      <vt:lpstr>NAD003 P+ 72 hpi</vt:lpstr>
      <vt:lpstr>Average comparison</vt:lpstr>
      <vt:lpstr>Standard deviations</vt:lpstr>
      <vt:lpstr>Recovery</vt:lpstr>
      <vt:lpstr>Recovery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LarkinLab</dc:creator>
  <cp:lastModifiedBy>Larkin Lab</cp:lastModifiedBy>
  <dcterms:created xsi:type="dcterms:W3CDTF">2025-02-20T18:06:46Z</dcterms:created>
  <dcterms:modified xsi:type="dcterms:W3CDTF">2025-12-08T19:55:52Z</dcterms:modified>
</cp:coreProperties>
</file>
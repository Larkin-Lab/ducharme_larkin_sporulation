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Volumes/Nick Lab/Data/"/>
    </mc:Choice>
  </mc:AlternateContent>
  <xr:revisionPtr revIDLastSave="0" documentId="13_ncr:1_{6288751F-0E48-B44E-A76B-B33631F97AB8}" xr6:coauthVersionLast="47" xr6:coauthVersionMax="47" xr10:uidLastSave="{00000000-0000-0000-0000-000000000000}"/>
  <bookViews>
    <workbookView xWindow="0" yWindow="500" windowWidth="38400" windowHeight="21100" activeTab="6" xr2:uid="{8459118A-9BF4-2243-8E22-5F4C5DCAE504}"/>
  </bookViews>
  <sheets>
    <sheet name="WT_24" sheetId="14" r:id="rId1"/>
    <sheet name="WT_72" sheetId="13" r:id="rId2"/>
    <sheet name="Spore-_24" sheetId="9" r:id="rId3"/>
    <sheet name="Spore-_72" sheetId="15" r:id="rId4"/>
    <sheet name="PGA-_24" sheetId="2" r:id="rId5"/>
    <sheet name="PGA-_72" sheetId="16" r:id="rId6"/>
    <sheet name="EPS-_24" sheetId="11" r:id="rId7"/>
    <sheet name="EPS-_72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1" l="1"/>
  <c r="F5" i="11"/>
  <c r="F5" i="14"/>
  <c r="D3" i="16"/>
  <c r="C6" i="17"/>
  <c r="B6" i="17"/>
  <c r="C5" i="17"/>
  <c r="B5" i="17"/>
  <c r="C6" i="16"/>
  <c r="B6" i="16"/>
  <c r="C5" i="16"/>
  <c r="B5" i="16"/>
  <c r="C6" i="15"/>
  <c r="B6" i="15"/>
  <c r="C5" i="15"/>
  <c r="B5" i="15"/>
  <c r="C6" i="13"/>
  <c r="B6" i="13"/>
  <c r="E4" i="15"/>
  <c r="E3" i="15"/>
  <c r="E3" i="13"/>
  <c r="E4" i="13"/>
  <c r="E3" i="16"/>
  <c r="E4" i="16"/>
  <c r="E3" i="17"/>
  <c r="E4" i="17"/>
  <c r="D4" i="17"/>
  <c r="D3" i="17"/>
  <c r="E2" i="17"/>
  <c r="D2" i="17"/>
  <c r="D4" i="16"/>
  <c r="E2" i="16"/>
  <c r="D2" i="16"/>
  <c r="D4" i="15"/>
  <c r="D3" i="15"/>
  <c r="E2" i="15"/>
  <c r="D2" i="15"/>
  <c r="C6" i="14"/>
  <c r="B6" i="14"/>
  <c r="C5" i="14"/>
  <c r="B5" i="14"/>
  <c r="E4" i="14"/>
  <c r="D4" i="14"/>
  <c r="E3" i="14"/>
  <c r="D3" i="14"/>
  <c r="E2" i="14"/>
  <c r="D2" i="14"/>
  <c r="C5" i="13"/>
  <c r="B5" i="13"/>
  <c r="D4" i="13"/>
  <c r="D3" i="13"/>
  <c r="E2" i="13"/>
  <c r="D2" i="13"/>
  <c r="C6" i="11"/>
  <c r="B6" i="11"/>
  <c r="C6" i="2"/>
  <c r="B6" i="2"/>
  <c r="C6" i="9"/>
  <c r="B6" i="9"/>
  <c r="E4" i="11"/>
  <c r="E4" i="2"/>
  <c r="D4" i="11"/>
  <c r="D3" i="11"/>
  <c r="D2" i="11"/>
  <c r="D4" i="2"/>
  <c r="D3" i="2"/>
  <c r="D2" i="2"/>
  <c r="D4" i="9"/>
  <c r="D3" i="9"/>
  <c r="D2" i="9"/>
  <c r="C5" i="11"/>
  <c r="B5" i="11"/>
  <c r="E3" i="11"/>
  <c r="E2" i="11"/>
  <c r="C5" i="9"/>
  <c r="B5" i="9"/>
  <c r="E4" i="9"/>
  <c r="E3" i="9"/>
  <c r="E2" i="9"/>
  <c r="E3" i="2"/>
  <c r="C5" i="2"/>
  <c r="B5" i="2"/>
  <c r="E2" i="2"/>
  <c r="F5" i="9" l="1"/>
  <c r="D6" i="17"/>
  <c r="D6" i="16"/>
  <c r="F5" i="17"/>
  <c r="E5" i="9"/>
  <c r="E5" i="2"/>
  <c r="E5" i="14"/>
  <c r="F5" i="16"/>
  <c r="F5" i="2"/>
  <c r="D5" i="9"/>
  <c r="F5" i="15"/>
  <c r="D5" i="16"/>
  <c r="D5" i="17"/>
  <c r="E5" i="16"/>
  <c r="E5" i="17"/>
  <c r="F5" i="13"/>
  <c r="D6" i="15"/>
  <c r="E5" i="15"/>
  <c r="D5" i="15"/>
  <c r="E5" i="13"/>
  <c r="D6" i="2"/>
  <c r="D5" i="11"/>
  <c r="D6" i="14"/>
  <c r="D6" i="11"/>
  <c r="D5" i="2"/>
  <c r="D6" i="9"/>
  <c r="D5" i="14"/>
  <c r="D5" i="13"/>
  <c r="D6" i="13"/>
</calcChain>
</file>

<file path=xl/sharedStrings.xml><?xml version="1.0" encoding="utf-8"?>
<sst xmlns="http://schemas.openxmlformats.org/spreadsheetml/2006/main" count="64" uniqueCount="8">
  <si>
    <t>N_CFU all</t>
  </si>
  <si>
    <t>N_CFU spore</t>
  </si>
  <si>
    <t>Average</t>
  </si>
  <si>
    <t>% spores</t>
  </si>
  <si>
    <t>% standard deviation</t>
  </si>
  <si>
    <t>Replicate</t>
  </si>
  <si>
    <t>N_CFU cells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</si>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</sst>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9" fontId="0" fillId="0" borderId="0" xfId="1" applyFont="1"/>
    <xf numFmtId="0" fontId="2" fillId="0" borderId="0" xfId="0" applyFont="1"/>
    <xf numFmtId="164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3DD8-E58D-1345-AF04-56D812D3B687}">
  <dimension ref="A1:H9"/>
  <sheetViews>
    <sheetView workbookViewId="0">
      <selection activeCell="E5" sqref="E5"/>
    </sheetView>
  </sheetViews>
  <sheetFormatPr baseColWidth="10" defaultColWidth="11" defaultRowHeight="16" x14ac:dyDescent="0.2"/>
  <cols>
    <col min="5" max="6" width="11" style="2"/>
  </cols>
  <sheetData>
    <row r="1" spans="1:8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8" x14ac:dyDescent="0.2">
      <c r="A2">
        <v>1</v>
      </c>
      <c r="B2" s="1">
        <v>33600000000</v>
      </c>
      <c r="C2" s="1">
        <v>19400000000</v>
      </c>
      <c r="D2" s="1">
        <f>B2-C2</f>
        <v>14200000000</v>
      </c>
      <c r="E2" s="5">
        <f>C2/B2</f>
        <v>0.57738095238095233</v>
      </c>
      <c r="H2" s="3"/>
    </row>
    <row r="3" spans="1:8" x14ac:dyDescent="0.2">
      <c r="A3">
        <v>2</v>
      </c>
      <c r="B3" s="1">
        <v>34000000000</v>
      </c>
      <c r="C3" s="1">
        <v>25000000000</v>
      </c>
      <c r="D3" s="1">
        <f t="shared" ref="D3:D4" si="0">B3-C3</f>
        <v>9000000000</v>
      </c>
      <c r="E3" s="5">
        <f t="shared" ref="E3:E4" si="1">C3/B3</f>
        <v>0.73529411764705888</v>
      </c>
    </row>
    <row r="4" spans="1:8" x14ac:dyDescent="0.2">
      <c r="A4">
        <v>3</v>
      </c>
      <c r="B4" s="1">
        <v>29000000000</v>
      </c>
      <c r="C4" s="1">
        <v>20000000000</v>
      </c>
      <c r="D4" s="1">
        <f t="shared" si="0"/>
        <v>9000000000</v>
      </c>
      <c r="E4" s="5">
        <f t="shared" si="1"/>
        <v>0.68965517241379315</v>
      </c>
    </row>
    <row r="5" spans="1:8" x14ac:dyDescent="0.2">
      <c r="A5" t="s">
        <v>2</v>
      </c>
      <c r="B5" s="1">
        <f>AVERAGE(B2:B4)</f>
        <v>32200000000</v>
      </c>
      <c r="C5" s="1">
        <f>AVERAGE(C2:C4)</f>
        <v>21466666666.666668</v>
      </c>
      <c r="D5" s="1">
        <f>AVERAGE(D2:D4)</f>
        <v>10733333333.333334</v>
      </c>
      <c r="E5" s="5">
        <f>AVERAGE(E2:E4)</f>
        <v>0.66744341414726804</v>
      </c>
      <c r="F5" s="5">
        <f>_xlfn.STDEV.P(E2:E4)</f>
        <v>6.6353415360768872E-2</v>
      </c>
    </row>
    <row r="6" spans="1:8" x14ac:dyDescent="0.2">
      <c r="A6" t="s">
        <v>7</v>
      </c>
      <c r="B6">
        <f>STDEV(B2:B4)</f>
        <v>2778488797.8899608</v>
      </c>
      <c r="C6">
        <f>STDEV(C2:C4)</f>
        <v>3074627348.6933951</v>
      </c>
      <c r="D6">
        <f>STDEV(D2:D4)</f>
        <v>3002221399.7860556</v>
      </c>
    </row>
    <row r="7" spans="1:8" x14ac:dyDescent="0.2">
      <c r="C7" s="1"/>
      <c r="D7" s="1"/>
    </row>
    <row r="9" spans="1:8" x14ac:dyDescent="0.2">
      <c r="F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BBC5-4C69-804A-8CE9-662CB734E38E}">
  <dimension ref="A1:H6"/>
  <sheetViews>
    <sheetView workbookViewId="0">
      <selection activeCell="E5" sqref="E5"/>
    </sheetView>
  </sheetViews>
  <sheetFormatPr baseColWidth="10" defaultColWidth="11" defaultRowHeight="16" x14ac:dyDescent="0.2"/>
  <sheetData>
    <row r="1" spans="1:8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8" x14ac:dyDescent="0.2">
      <c r="A2">
        <v>1</v>
      </c>
      <c r="B2" s="1">
        <v>58000000000</v>
      </c>
      <c r="C2" s="1">
        <v>29000000000</v>
      </c>
      <c r="D2" s="1">
        <f>B2-C2</f>
        <v>29000000000</v>
      </c>
      <c r="E2" s="5">
        <f>C2/B2</f>
        <v>0.5</v>
      </c>
      <c r="F2" s="5"/>
      <c r="H2" s="3"/>
    </row>
    <row r="3" spans="1:8" x14ac:dyDescent="0.2">
      <c r="A3">
        <v>2</v>
      </c>
      <c r="B3" s="1">
        <v>66000000000</v>
      </c>
      <c r="C3" s="1">
        <v>42000000000</v>
      </c>
      <c r="D3" s="1">
        <f t="shared" ref="D3:D4" si="0">B3-C3</f>
        <v>24000000000</v>
      </c>
      <c r="E3" s="5">
        <f t="shared" ref="E3:E4" si="1">C3/B3</f>
        <v>0.63636363636363635</v>
      </c>
      <c r="F3" s="5"/>
    </row>
    <row r="4" spans="1:8" x14ac:dyDescent="0.2">
      <c r="A4">
        <v>3</v>
      </c>
      <c r="B4" s="1">
        <v>42300000000</v>
      </c>
      <c r="C4" s="1">
        <v>34400000000</v>
      </c>
      <c r="D4" s="1">
        <f t="shared" si="0"/>
        <v>7900000000</v>
      </c>
      <c r="E4" s="5">
        <f t="shared" si="1"/>
        <v>0.81323877068557915</v>
      </c>
      <c r="F4" s="5"/>
    </row>
    <row r="5" spans="1:8" x14ac:dyDescent="0.2">
      <c r="A5" t="s">
        <v>2</v>
      </c>
      <c r="B5" s="1">
        <f>AVERAGE(B2:B4)</f>
        <v>55433333333.333336</v>
      </c>
      <c r="C5" s="1">
        <f>AVERAGE(C2:C4)</f>
        <v>35133333333.333336</v>
      </c>
      <c r="D5" s="1">
        <f>AVERAGE(D2:D4)</f>
        <v>20300000000</v>
      </c>
      <c r="E5" s="5">
        <f>AVERAGE(E2:E4)</f>
        <v>0.64986746901640513</v>
      </c>
      <c r="F5" s="5">
        <f>_xlfn.STDEV.P(E2:E4)</f>
        <v>0.12823519274465672</v>
      </c>
    </row>
    <row r="6" spans="1:8" x14ac:dyDescent="0.2">
      <c r="A6" t="s">
        <v>7</v>
      </c>
      <c r="B6">
        <f>_xlfn.STDEV.P(B2:B4)</f>
        <v>9844231249.2590561</v>
      </c>
      <c r="C6">
        <f>_xlfn.STDEV.P(C2:C4)</f>
        <v>5332499934.885664</v>
      </c>
      <c r="D6">
        <f>STDEV(D2:D4)</f>
        <v>11025878649.79476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9526-A65B-3E42-825D-2703FDFBE4CC}">
  <dimension ref="A1:F6"/>
  <sheetViews>
    <sheetView workbookViewId="0">
      <selection activeCell="E5" sqref="E5"/>
    </sheetView>
  </sheetViews>
  <sheetFormatPr baseColWidth="10" defaultColWidth="11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45200000000</v>
      </c>
      <c r="C2" s="1">
        <v>0</v>
      </c>
      <c r="D2" s="1">
        <f>B2-C2</f>
        <v>45200000000</v>
      </c>
      <c r="E2" s="5">
        <f>C2/B2</f>
        <v>0</v>
      </c>
      <c r="F2" s="5"/>
    </row>
    <row r="3" spans="1:6" x14ac:dyDescent="0.2">
      <c r="A3">
        <v>2</v>
      </c>
      <c r="B3" s="1">
        <v>54000000000</v>
      </c>
      <c r="C3" s="1">
        <v>100000000</v>
      </c>
      <c r="D3" s="1">
        <f t="shared" ref="D3:D4" si="0">B3-C3</f>
        <v>53900000000</v>
      </c>
      <c r="E3" s="5">
        <f t="shared" ref="E3:E4" si="1">C3/B3</f>
        <v>1.8518518518518519E-3</v>
      </c>
      <c r="F3" s="5"/>
    </row>
    <row r="4" spans="1:6" x14ac:dyDescent="0.2">
      <c r="A4">
        <v>3</v>
      </c>
      <c r="B4" s="1">
        <v>50000000000</v>
      </c>
      <c r="C4" s="1">
        <v>0</v>
      </c>
      <c r="D4" s="1">
        <f t="shared" si="0"/>
        <v>50000000000</v>
      </c>
      <c r="E4" s="5">
        <f t="shared" si="1"/>
        <v>0</v>
      </c>
      <c r="F4" s="5"/>
    </row>
    <row r="5" spans="1:6" x14ac:dyDescent="0.2">
      <c r="A5" t="s">
        <v>2</v>
      </c>
      <c r="B5" s="1">
        <f>AVERAGE(B2:B4)</f>
        <v>49733333333.333336</v>
      </c>
      <c r="C5" s="1">
        <f>AVERAGE(C2:C4)</f>
        <v>33333333.333333332</v>
      </c>
      <c r="D5" s="1">
        <f>AVERAGE(D2:D4)</f>
        <v>49700000000</v>
      </c>
      <c r="E5" s="5">
        <f>AVERAGE(E2:E4)</f>
        <v>6.1728395061728394E-4</v>
      </c>
      <c r="F5" s="5">
        <f>_xlfn.STDEV.P(E2:E4)</f>
        <v>8.7297133479820679E-4</v>
      </c>
    </row>
    <row r="6" spans="1:6" x14ac:dyDescent="0.2">
      <c r="A6" t="s">
        <v>7</v>
      </c>
      <c r="B6">
        <f>STDEV(B2:B4)</f>
        <v>4406056437.8288813</v>
      </c>
      <c r="C6">
        <f>STDEV(C2:C4)</f>
        <v>57735026.918962575</v>
      </c>
      <c r="D6">
        <f>STDEV(D2:D4)</f>
        <v>4357751713.9001846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4384-C9F4-F645-B00E-52295B40F7C9}">
  <dimension ref="A1:F9"/>
  <sheetViews>
    <sheetView workbookViewId="0">
      <selection activeCell="E5" sqref="E5"/>
    </sheetView>
  </sheetViews>
  <sheetFormatPr baseColWidth="10" defaultColWidth="11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4600000000</v>
      </c>
      <c r="C2" s="1">
        <v>0</v>
      </c>
      <c r="D2" s="1">
        <f>B2-C2</f>
        <v>4600000000</v>
      </c>
      <c r="E2" s="5">
        <f>C2/B2</f>
        <v>0</v>
      </c>
      <c r="F2" s="5"/>
    </row>
    <row r="3" spans="1:6" x14ac:dyDescent="0.2">
      <c r="A3">
        <v>2</v>
      </c>
      <c r="B3" s="1">
        <v>2400000000</v>
      </c>
      <c r="C3" s="1">
        <v>0</v>
      </c>
      <c r="D3" s="1">
        <f t="shared" ref="D3:D4" si="0">B3-C3</f>
        <v>2400000000</v>
      </c>
      <c r="E3" s="5">
        <f>C3/B3</f>
        <v>0</v>
      </c>
      <c r="F3" s="5"/>
    </row>
    <row r="4" spans="1:6" x14ac:dyDescent="0.2">
      <c r="A4">
        <v>3</v>
      </c>
      <c r="B4" s="1">
        <v>3200000000</v>
      </c>
      <c r="C4" s="1">
        <v>0</v>
      </c>
      <c r="D4" s="1">
        <f t="shared" si="0"/>
        <v>3200000000</v>
      </c>
      <c r="E4" s="5">
        <f>C4/B4</f>
        <v>0</v>
      </c>
      <c r="F4" s="5"/>
    </row>
    <row r="5" spans="1:6" x14ac:dyDescent="0.2">
      <c r="A5" t="s">
        <v>2</v>
      </c>
      <c r="B5" s="1">
        <f>AVERAGE(B2:B4)</f>
        <v>3400000000</v>
      </c>
      <c r="C5" s="1">
        <f>AVERAGE(C2:C4)</f>
        <v>0</v>
      </c>
      <c r="D5" s="1">
        <f>AVERAGE(D2:D4)</f>
        <v>3400000000</v>
      </c>
      <c r="E5" s="5">
        <f>AVERAGE(E2:E4)</f>
        <v>0</v>
      </c>
      <c r="F5" s="5">
        <f>_xlfn.STDEV.P(E2:E4)</f>
        <v>0</v>
      </c>
    </row>
    <row r="6" spans="1:6" x14ac:dyDescent="0.2">
      <c r="A6" t="s">
        <v>7</v>
      </c>
      <c r="B6">
        <f>_xlfn.STDEV.P(B2:B4)</f>
        <v>909212113.13239038</v>
      </c>
      <c r="C6">
        <f>_xlfn.STDEV.P(C2:C4)</f>
        <v>0</v>
      </c>
      <c r="D6">
        <f>STDEV(D2:D4)</f>
        <v>1113552872.5660043</v>
      </c>
    </row>
    <row r="9" spans="1:6" x14ac:dyDescent="0.2">
      <c r="B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755D-9AD8-E247-99A0-B364B26E765E}">
  <dimension ref="A1:F6"/>
  <sheetViews>
    <sheetView workbookViewId="0">
      <selection activeCell="E5" sqref="E5"/>
    </sheetView>
  </sheetViews>
  <sheetFormatPr baseColWidth="10" defaultColWidth="11" defaultRowHeight="16" x14ac:dyDescent="0.2"/>
  <cols>
    <col min="2" max="2" width="12.1640625" bestFit="1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30800000000</v>
      </c>
      <c r="C2" s="1">
        <v>19200000000</v>
      </c>
      <c r="D2" s="1">
        <f>B2-C2</f>
        <v>11600000000</v>
      </c>
      <c r="E2" s="5">
        <f>C2/B2</f>
        <v>0.62337662337662336</v>
      </c>
      <c r="F2" s="5"/>
    </row>
    <row r="3" spans="1:6" x14ac:dyDescent="0.2">
      <c r="A3">
        <v>2</v>
      </c>
      <c r="B3" s="1">
        <v>33000000000</v>
      </c>
      <c r="C3" s="1">
        <v>28000000000</v>
      </c>
      <c r="D3" s="1">
        <f t="shared" ref="D3:D4" si="0">B3-C3</f>
        <v>5000000000</v>
      </c>
      <c r="E3" s="5">
        <f>C3/B3</f>
        <v>0.84848484848484851</v>
      </c>
      <c r="F3" s="5"/>
    </row>
    <row r="4" spans="1:6" x14ac:dyDescent="0.2">
      <c r="A4">
        <v>3</v>
      </c>
      <c r="B4" s="1">
        <v>29600000000</v>
      </c>
      <c r="C4" s="1">
        <v>15800000000</v>
      </c>
      <c r="D4" s="1">
        <f t="shared" si="0"/>
        <v>13800000000</v>
      </c>
      <c r="E4" s="5">
        <f>C4/B4</f>
        <v>0.53378378378378377</v>
      </c>
      <c r="F4" s="5"/>
    </row>
    <row r="5" spans="1:6" x14ac:dyDescent="0.2">
      <c r="A5" t="s">
        <v>2</v>
      </c>
      <c r="B5" s="1">
        <f>AVERAGE(B2:B4)</f>
        <v>31133333333.333332</v>
      </c>
      <c r="C5" s="1">
        <f>AVERAGE(C2:C4)</f>
        <v>21000000000</v>
      </c>
      <c r="D5" s="1">
        <f>AVERAGE(D2:D4)</f>
        <v>10133333333.333334</v>
      </c>
      <c r="E5" s="5">
        <f>AVERAGE(E2:E4)</f>
        <v>0.66854841854841851</v>
      </c>
      <c r="F5" s="5">
        <f>_xlfn.STDEV.P(E2:E4)</f>
        <v>0.13238720567657572</v>
      </c>
    </row>
    <row r="6" spans="1:6" x14ac:dyDescent="0.2">
      <c r="A6" t="s">
        <v>7</v>
      </c>
      <c r="B6">
        <f>STDEV(B2:B4)</f>
        <v>1724335620.8503416</v>
      </c>
      <c r="C6">
        <f>STDEV(C2:C4)</f>
        <v>6296030495.4788771</v>
      </c>
      <c r="D6">
        <f>STDEV(D2:D4)</f>
        <v>4579665198.8254929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6618-D71A-FD48-B848-62E79A5DB4A6}">
  <dimension ref="A1:F6"/>
  <sheetViews>
    <sheetView workbookViewId="0">
      <selection activeCell="E5" sqref="E5"/>
    </sheetView>
  </sheetViews>
  <sheetFormatPr baseColWidth="10" defaultColWidth="11" defaultRowHeight="16" x14ac:dyDescent="0.2"/>
  <cols>
    <col min="2" max="3" width="11.6640625" bestFit="1" customWidth="1"/>
    <col min="4" max="4" width="11" bestFit="1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56000000000</v>
      </c>
      <c r="C2" s="1">
        <v>41000000000</v>
      </c>
      <c r="D2" s="1">
        <f>B2-C2</f>
        <v>15000000000</v>
      </c>
      <c r="E2" s="5">
        <f>C2/B2</f>
        <v>0.7321428571428571</v>
      </c>
      <c r="F2" s="5"/>
    </row>
    <row r="3" spans="1:6" x14ac:dyDescent="0.2">
      <c r="A3">
        <v>2</v>
      </c>
      <c r="B3">
        <v>44000000000</v>
      </c>
      <c r="C3">
        <v>42000000000</v>
      </c>
      <c r="D3">
        <f t="shared" ref="D3" si="0">B3-C3</f>
        <v>2000000000</v>
      </c>
      <c r="E3" s="5">
        <f t="shared" ref="E3:E4" si="1">C3/B3</f>
        <v>0.95454545454545459</v>
      </c>
      <c r="F3" s="5"/>
    </row>
    <row r="4" spans="1:6" x14ac:dyDescent="0.2">
      <c r="A4">
        <v>3</v>
      </c>
      <c r="B4" s="1">
        <v>73000000000</v>
      </c>
      <c r="C4" s="1">
        <v>61000000000</v>
      </c>
      <c r="D4" s="1">
        <f t="shared" ref="D4" si="2">B4-C4</f>
        <v>12000000000</v>
      </c>
      <c r="E4" s="5">
        <f t="shared" si="1"/>
        <v>0.83561643835616439</v>
      </c>
      <c r="F4" s="5"/>
    </row>
    <row r="5" spans="1:6" x14ac:dyDescent="0.2">
      <c r="A5" t="s">
        <v>2</v>
      </c>
      <c r="B5" s="1">
        <f>AVERAGE(B2:B4)</f>
        <v>57666666666.666664</v>
      </c>
      <c r="C5" s="1">
        <f>AVERAGE(C2:C4)</f>
        <v>48000000000</v>
      </c>
      <c r="D5" s="1">
        <f>AVERAGE(D2:D4)</f>
        <v>9666666666.666666</v>
      </c>
      <c r="E5" s="5">
        <f>AVERAGE(E2:E4)</f>
        <v>0.84076825001482547</v>
      </c>
      <c r="F5" s="5">
        <f>_xlfn.STDEV.P(E2:E4)</f>
        <v>9.0868530325886751E-2</v>
      </c>
    </row>
    <row r="6" spans="1:6" x14ac:dyDescent="0.2">
      <c r="A6" t="s">
        <v>7</v>
      </c>
      <c r="B6">
        <f>_xlfn.STDEV.P(B2:B4)</f>
        <v>11897712198.383152</v>
      </c>
      <c r="C6">
        <f>_xlfn.STDEV.P(C2:C4)</f>
        <v>9201449161.228159</v>
      </c>
      <c r="D6">
        <f>STDEV(D2:D4)</f>
        <v>6806859285.5540457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4D4F-8510-CB45-B917-9C54AEA6AFE8}">
  <dimension ref="A1:F7"/>
  <sheetViews>
    <sheetView tabSelected="1" workbookViewId="0">
      <selection activeCell="J24" sqref="J24"/>
    </sheetView>
  </sheetViews>
  <sheetFormatPr baseColWidth="10" defaultColWidth="11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26800000000</v>
      </c>
      <c r="C2" s="1">
        <v>6600000000</v>
      </c>
      <c r="D2" s="1">
        <f>B2-C2</f>
        <v>20200000000</v>
      </c>
      <c r="E2" s="5">
        <f>C2/B2</f>
        <v>0.2462686567164179</v>
      </c>
      <c r="F2" s="5"/>
    </row>
    <row r="3" spans="1:6" x14ac:dyDescent="0.2">
      <c r="A3">
        <v>2</v>
      </c>
      <c r="B3" s="1">
        <v>33200000000</v>
      </c>
      <c r="C3" s="1">
        <v>14300000000</v>
      </c>
      <c r="D3" s="1">
        <f t="shared" ref="D3:D4" si="0">B3-C3</f>
        <v>18900000000</v>
      </c>
      <c r="E3" s="5">
        <f>C3/B3</f>
        <v>0.43072289156626509</v>
      </c>
      <c r="F3" s="5"/>
    </row>
    <row r="4" spans="1:6" x14ac:dyDescent="0.2">
      <c r="A4">
        <v>3</v>
      </c>
      <c r="B4" s="1">
        <v>36700000000</v>
      </c>
      <c r="C4" s="1">
        <v>13400000000</v>
      </c>
      <c r="D4" s="1">
        <f t="shared" si="0"/>
        <v>23300000000</v>
      </c>
      <c r="E4" s="5">
        <f>C4/B4</f>
        <v>0.36512261580381472</v>
      </c>
      <c r="F4" s="5"/>
    </row>
    <row r="5" spans="1:6" x14ac:dyDescent="0.2">
      <c r="A5" t="s">
        <v>2</v>
      </c>
      <c r="B5" s="1">
        <f>AVERAGE(B2:B4)</f>
        <v>32233333333.333332</v>
      </c>
      <c r="C5" s="1">
        <f>AVERAGE(C2:C4)</f>
        <v>11433333333.333334</v>
      </c>
      <c r="D5" s="1">
        <f>AVERAGE(D2:D4)</f>
        <v>20800000000</v>
      </c>
      <c r="E5" s="5">
        <f>AVERAGE(E2:E4)</f>
        <v>0.34737138802883255</v>
      </c>
      <c r="F5" s="5">
        <f>_xlfn.STDEV.P(E2:E4)</f>
        <v>7.6342084305447783E-2</v>
      </c>
    </row>
    <row r="6" spans="1:6" x14ac:dyDescent="0.2">
      <c r="A6" t="s">
        <v>7</v>
      </c>
      <c r="B6">
        <f>STDEV(B2:B4)</f>
        <v>5020292156.1731157</v>
      </c>
      <c r="C6">
        <f>STDEV(C2:C4)</f>
        <v>4209908945.9670434</v>
      </c>
      <c r="D6">
        <f>STDEV(D2:D4)</f>
        <v>2260530911.0914631</v>
      </c>
    </row>
    <row r="7" spans="1:6" x14ac:dyDescent="0.2">
      <c r="B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1A89-787C-6845-AE7E-D5CB9A156CF5}">
  <dimension ref="A1:F6"/>
  <sheetViews>
    <sheetView workbookViewId="0">
      <selection activeCell="F18" sqref="F18"/>
    </sheetView>
  </sheetViews>
  <sheetFormatPr baseColWidth="10" defaultColWidth="11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6</v>
      </c>
      <c r="E1" s="2" t="s">
        <v>3</v>
      </c>
      <c r="F1" s="2" t="s">
        <v>4</v>
      </c>
    </row>
    <row r="2" spans="1:6" x14ac:dyDescent="0.2">
      <c r="A2">
        <v>1</v>
      </c>
      <c r="B2" s="1">
        <v>39600000000</v>
      </c>
      <c r="C2" s="1">
        <v>20500000000</v>
      </c>
      <c r="D2" s="1">
        <f>B2-C2</f>
        <v>19100000000</v>
      </c>
      <c r="E2" s="5">
        <f>C2/B2</f>
        <v>0.51767676767676762</v>
      </c>
      <c r="F2" s="5"/>
    </row>
    <row r="3" spans="1:6" x14ac:dyDescent="0.2">
      <c r="A3">
        <v>2</v>
      </c>
      <c r="B3" s="1">
        <v>30000000000</v>
      </c>
      <c r="C3" s="1">
        <v>21900000000</v>
      </c>
      <c r="D3" s="1">
        <f t="shared" ref="D3:D4" si="0">B3-C3</f>
        <v>8100000000</v>
      </c>
      <c r="E3" s="5">
        <f t="shared" ref="E3:E4" si="1">C3/B3</f>
        <v>0.73</v>
      </c>
      <c r="F3" s="5"/>
    </row>
    <row r="4" spans="1:6" x14ac:dyDescent="0.2">
      <c r="A4">
        <v>3</v>
      </c>
      <c r="B4" s="1">
        <v>26900000000</v>
      </c>
      <c r="C4" s="1">
        <v>21600000000</v>
      </c>
      <c r="D4" s="1">
        <f t="shared" si="0"/>
        <v>5300000000</v>
      </c>
      <c r="E4" s="5">
        <f t="shared" si="1"/>
        <v>0.80297397769516732</v>
      </c>
      <c r="F4" s="5"/>
    </row>
    <row r="5" spans="1:6" x14ac:dyDescent="0.2">
      <c r="A5" t="s">
        <v>2</v>
      </c>
      <c r="B5" s="1">
        <f>AVERAGE(B2:B4)</f>
        <v>32166666666.666668</v>
      </c>
      <c r="C5" s="1">
        <f>AVERAGE(C2:C4)</f>
        <v>21333333333.333332</v>
      </c>
      <c r="D5" s="1">
        <f>AVERAGE(D2:D4)</f>
        <v>10833333333.333334</v>
      </c>
      <c r="E5" s="5">
        <f>AVERAGE(E2:E4)</f>
        <v>0.6835502484573116</v>
      </c>
      <c r="F5" s="5">
        <f>_xlfn.STDEV.P(E2:E4)</f>
        <v>0.1210146246667559</v>
      </c>
    </row>
    <row r="6" spans="1:6" x14ac:dyDescent="0.2">
      <c r="A6" t="s">
        <v>7</v>
      </c>
      <c r="B6">
        <f>_xlfn.STDEV.P(B2:B4)</f>
        <v>5406374837.9934654</v>
      </c>
      <c r="C6">
        <f>_xlfn.STDEV.P(C2:C4)</f>
        <v>601849002.84225965</v>
      </c>
      <c r="D6">
        <f>STDEV(D2:D4)</f>
        <v>7294746968.4241514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WT_24</vt:lpstr>
      <vt:lpstr>WT_72</vt:lpstr>
      <vt:lpstr>Spore-_24</vt:lpstr>
      <vt:lpstr>Spore-_72</vt:lpstr>
      <vt:lpstr>PGA-_24</vt:lpstr>
      <vt:lpstr>PGA-_72</vt:lpstr>
      <vt:lpstr>EPS-_24</vt:lpstr>
      <vt:lpstr>EPS-_72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Ducharme, Nicolas Andrew</dc:creator>
  <cp:lastModifiedBy>Ducharme, Nicolas Andrew</cp:lastModifiedBy>
  <dcterms:created xsi:type="dcterms:W3CDTF">2025-05-01T15:28:27Z</dcterms:created>
  <dcterms:modified xsi:type="dcterms:W3CDTF">2026-09-09T20:20:05Z</dcterms:modified>
</cp:coreProperties>
</file>
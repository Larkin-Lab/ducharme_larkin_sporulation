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ick Lab/Analysis/Rheometry/Frequency/"/>
    </mc:Choice>
  </mc:AlternateContent>
  <xr:revisionPtr revIDLastSave="0" documentId="13_ncr:1_{42A2EAD5-749E-0449-9A7D-1A080C5D86ED}" xr6:coauthVersionLast="47" xr6:coauthVersionMax="47" xr10:uidLastSave="{00000000-0000-0000-0000-000000000000}"/>
  <bookViews>
    <workbookView xWindow="1520" yWindow="500" windowWidth="29640" windowHeight="20880" activeTab="5" xr2:uid="{23A9AD00-BD58-4C85-88D2-6F62574CD7E4}"/>
  </bookViews>
  <sheets>
    <sheet name="WT_24" sheetId="1" r:id="rId1"/>
    <sheet name="WT_72" sheetId="13" r:id="rId2"/>
    <sheet name="Spore-_24" sheetId="3" r:id="rId3"/>
    <sheet name="Spore-_72" sheetId="14" r:id="rId4"/>
    <sheet name="PGA-_24" sheetId="5" r:id="rId5"/>
    <sheet name="PGA-_72" sheetId="15" r:id="rId6"/>
    <sheet name="EPS-_24" sheetId="12" r:id="rId7"/>
    <sheet name="EPS-_72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6" l="1"/>
  <c r="M3" i="16"/>
  <c r="O3" i="16"/>
  <c r="P3" i="16"/>
  <c r="L4" i="16"/>
  <c r="M4" i="16"/>
  <c r="O4" i="16"/>
  <c r="P4" i="16"/>
  <c r="L5" i="16"/>
  <c r="M5" i="16"/>
  <c r="O5" i="16"/>
  <c r="P5" i="16"/>
  <c r="L6" i="16"/>
  <c r="M6" i="16"/>
  <c r="O6" i="16"/>
  <c r="P6" i="16"/>
  <c r="L7" i="16"/>
  <c r="M7" i="16"/>
  <c r="O7" i="16"/>
  <c r="P7" i="16"/>
  <c r="L8" i="16"/>
  <c r="M8" i="16"/>
  <c r="O8" i="16"/>
  <c r="P8" i="16"/>
  <c r="L9" i="16"/>
  <c r="M9" i="16"/>
  <c r="O9" i="16"/>
  <c r="P9" i="16"/>
  <c r="L10" i="16"/>
  <c r="M10" i="16"/>
  <c r="O10" i="16"/>
  <c r="P10" i="16"/>
  <c r="L11" i="16"/>
  <c r="M11" i="16"/>
  <c r="O11" i="16"/>
  <c r="P11" i="16"/>
  <c r="L12" i="16"/>
  <c r="M12" i="16"/>
  <c r="O12" i="16"/>
  <c r="P12" i="16"/>
  <c r="L13" i="16"/>
  <c r="M13" i="16"/>
  <c r="O13" i="16"/>
  <c r="P13" i="16"/>
  <c r="L3" i="15"/>
  <c r="M3" i="15"/>
  <c r="O3" i="15"/>
  <c r="P3" i="15"/>
  <c r="L4" i="15"/>
  <c r="M4" i="15"/>
  <c r="O4" i="15"/>
  <c r="P4" i="15"/>
  <c r="L5" i="15"/>
  <c r="M5" i="15"/>
  <c r="O5" i="15"/>
  <c r="P5" i="15"/>
  <c r="L6" i="15"/>
  <c r="M6" i="15"/>
  <c r="O6" i="15"/>
  <c r="P6" i="15"/>
  <c r="L7" i="15"/>
  <c r="M7" i="15"/>
  <c r="O7" i="15"/>
  <c r="P7" i="15"/>
  <c r="L8" i="15"/>
  <c r="M8" i="15"/>
  <c r="O8" i="15"/>
  <c r="P8" i="15"/>
  <c r="L9" i="15"/>
  <c r="M9" i="15"/>
  <c r="O9" i="15"/>
  <c r="P9" i="15"/>
  <c r="L10" i="15"/>
  <c r="M10" i="15"/>
  <c r="O10" i="15"/>
  <c r="P10" i="15"/>
  <c r="L11" i="15"/>
  <c r="M11" i="15"/>
  <c r="O11" i="15"/>
  <c r="P11" i="15"/>
  <c r="L12" i="15"/>
  <c r="M12" i="15"/>
  <c r="O12" i="15"/>
  <c r="P12" i="15"/>
  <c r="L13" i="15"/>
  <c r="M13" i="15"/>
  <c r="O13" i="15"/>
  <c r="P13" i="15"/>
  <c r="L3" i="14"/>
  <c r="M3" i="14"/>
  <c r="O3" i="14"/>
  <c r="P3" i="14"/>
  <c r="L4" i="14"/>
  <c r="M4" i="14"/>
  <c r="O4" i="14"/>
  <c r="P4" i="14"/>
  <c r="L5" i="14"/>
  <c r="M5" i="14"/>
  <c r="O5" i="14"/>
  <c r="P5" i="14"/>
  <c r="L6" i="14"/>
  <c r="M6" i="14"/>
  <c r="O6" i="14"/>
  <c r="P6" i="14"/>
  <c r="L7" i="14"/>
  <c r="M7" i="14"/>
  <c r="O7" i="14"/>
  <c r="P7" i="14"/>
  <c r="L8" i="14"/>
  <c r="M8" i="14"/>
  <c r="O8" i="14"/>
  <c r="P8" i="14"/>
  <c r="L9" i="14"/>
  <c r="M9" i="14"/>
  <c r="O9" i="14"/>
  <c r="P9" i="14"/>
  <c r="L10" i="14"/>
  <c r="M10" i="14"/>
  <c r="O10" i="14"/>
  <c r="P10" i="14"/>
  <c r="L11" i="14"/>
  <c r="M11" i="14"/>
  <c r="O11" i="14"/>
  <c r="P11" i="14"/>
  <c r="L12" i="14"/>
  <c r="M12" i="14"/>
  <c r="O12" i="14"/>
  <c r="P12" i="14"/>
  <c r="L13" i="14"/>
  <c r="M13" i="14"/>
  <c r="O13" i="14"/>
  <c r="P13" i="14"/>
  <c r="L3" i="13"/>
  <c r="M3" i="13"/>
  <c r="O3" i="13"/>
  <c r="P3" i="13"/>
  <c r="L4" i="13"/>
  <c r="M4" i="13"/>
  <c r="O4" i="13"/>
  <c r="P4" i="13"/>
  <c r="L5" i="13"/>
  <c r="M5" i="13"/>
  <c r="O5" i="13"/>
  <c r="P5" i="13"/>
  <c r="L6" i="13"/>
  <c r="M6" i="13"/>
  <c r="O6" i="13"/>
  <c r="P6" i="13"/>
  <c r="L7" i="13"/>
  <c r="M7" i="13"/>
  <c r="O7" i="13"/>
  <c r="P7" i="13"/>
  <c r="L8" i="13"/>
  <c r="M8" i="13"/>
  <c r="O8" i="13"/>
  <c r="P8" i="13"/>
  <c r="L9" i="13"/>
  <c r="M9" i="13"/>
  <c r="O9" i="13"/>
  <c r="P9" i="13"/>
  <c r="L10" i="13"/>
  <c r="M10" i="13"/>
  <c r="O10" i="13"/>
  <c r="P10" i="13"/>
  <c r="L11" i="13"/>
  <c r="M11" i="13"/>
  <c r="O11" i="13"/>
  <c r="P11" i="13"/>
  <c r="L12" i="13"/>
  <c r="M12" i="13"/>
  <c r="O12" i="13"/>
  <c r="P12" i="13"/>
  <c r="L13" i="13"/>
  <c r="M13" i="13"/>
  <c r="O13" i="13"/>
  <c r="P13" i="13"/>
  <c r="P13" i="12"/>
  <c r="O13" i="12"/>
  <c r="M13" i="12"/>
  <c r="L13" i="12"/>
  <c r="P12" i="12"/>
  <c r="O12" i="12"/>
  <c r="M12" i="12"/>
  <c r="L12" i="12"/>
  <c r="P11" i="12"/>
  <c r="O11" i="12"/>
  <c r="M11" i="12"/>
  <c r="L11" i="12"/>
  <c r="P10" i="12"/>
  <c r="O10" i="12"/>
  <c r="M10" i="12"/>
  <c r="L10" i="12"/>
  <c r="P9" i="12"/>
  <c r="O9" i="12"/>
  <c r="M9" i="12"/>
  <c r="L9" i="12"/>
  <c r="P8" i="12"/>
  <c r="O8" i="12"/>
  <c r="M8" i="12"/>
  <c r="L8" i="12"/>
  <c r="P7" i="12"/>
  <c r="O7" i="12"/>
  <c r="M7" i="12"/>
  <c r="L7" i="12"/>
  <c r="P6" i="12"/>
  <c r="O6" i="12"/>
  <c r="M6" i="12"/>
  <c r="L6" i="12"/>
  <c r="P5" i="12"/>
  <c r="O5" i="12"/>
  <c r="M5" i="12"/>
  <c r="L5" i="12"/>
  <c r="P4" i="12"/>
  <c r="O4" i="12"/>
  <c r="M4" i="12"/>
  <c r="L4" i="12"/>
  <c r="P3" i="12"/>
  <c r="O3" i="12"/>
  <c r="M3" i="12"/>
  <c r="L3" i="12"/>
  <c r="P13" i="5"/>
  <c r="O13" i="5"/>
  <c r="M13" i="5"/>
  <c r="L13" i="5"/>
  <c r="P12" i="5"/>
  <c r="O12" i="5"/>
  <c r="M12" i="5"/>
  <c r="L12" i="5"/>
  <c r="P11" i="5"/>
  <c r="O11" i="5"/>
  <c r="M11" i="5"/>
  <c r="L11" i="5"/>
  <c r="P10" i="5"/>
  <c r="O10" i="5"/>
  <c r="M10" i="5"/>
  <c r="L10" i="5"/>
  <c r="P9" i="5"/>
  <c r="O9" i="5"/>
  <c r="M9" i="5"/>
  <c r="L9" i="5"/>
  <c r="P8" i="5"/>
  <c r="O8" i="5"/>
  <c r="M8" i="5"/>
  <c r="L8" i="5"/>
  <c r="P7" i="5"/>
  <c r="O7" i="5"/>
  <c r="M7" i="5"/>
  <c r="L7" i="5"/>
  <c r="P6" i="5"/>
  <c r="O6" i="5"/>
  <c r="M6" i="5"/>
  <c r="L6" i="5"/>
  <c r="P5" i="5"/>
  <c r="O5" i="5"/>
  <c r="M5" i="5"/>
  <c r="L5" i="5"/>
  <c r="P4" i="5"/>
  <c r="O4" i="5"/>
  <c r="M4" i="5"/>
  <c r="L4" i="5"/>
  <c r="P3" i="5"/>
  <c r="O3" i="5"/>
  <c r="M3" i="5"/>
  <c r="L3" i="5"/>
  <c r="P13" i="3"/>
  <c r="O13" i="3"/>
  <c r="M13" i="3"/>
  <c r="L13" i="3"/>
  <c r="P12" i="3"/>
  <c r="O12" i="3"/>
  <c r="M12" i="3"/>
  <c r="L12" i="3"/>
  <c r="P11" i="3"/>
  <c r="O11" i="3"/>
  <c r="M11" i="3"/>
  <c r="L11" i="3"/>
  <c r="P10" i="3"/>
  <c r="O10" i="3"/>
  <c r="M10" i="3"/>
  <c r="L10" i="3"/>
  <c r="P9" i="3"/>
  <c r="O9" i="3"/>
  <c r="M9" i="3"/>
  <c r="L9" i="3"/>
  <c r="P8" i="3"/>
  <c r="O8" i="3"/>
  <c r="M8" i="3"/>
  <c r="L8" i="3"/>
  <c r="P7" i="3"/>
  <c r="O7" i="3"/>
  <c r="M7" i="3"/>
  <c r="L7" i="3"/>
  <c r="P6" i="3"/>
  <c r="O6" i="3"/>
  <c r="M6" i="3"/>
  <c r="L6" i="3"/>
  <c r="P5" i="3"/>
  <c r="O5" i="3"/>
  <c r="M5" i="3"/>
  <c r="L5" i="3"/>
  <c r="P4" i="3"/>
  <c r="O4" i="3"/>
  <c r="M4" i="3"/>
  <c r="L4" i="3"/>
  <c r="P3" i="3"/>
  <c r="O3" i="3"/>
  <c r="M3" i="3"/>
  <c r="L3" i="3"/>
  <c r="P4" i="1"/>
  <c r="P5" i="1"/>
  <c r="P6" i="1"/>
  <c r="P7" i="1"/>
  <c r="P8" i="1"/>
  <c r="P9" i="1"/>
  <c r="P10" i="1"/>
  <c r="P11" i="1"/>
  <c r="P12" i="1"/>
  <c r="P13" i="1"/>
  <c r="O4" i="1"/>
  <c r="O5" i="1"/>
  <c r="O6" i="1"/>
  <c r="O7" i="1"/>
  <c r="O8" i="1"/>
  <c r="O9" i="1"/>
  <c r="O10" i="1"/>
  <c r="O11" i="1"/>
  <c r="O12" i="1"/>
  <c r="O13" i="1"/>
  <c r="M4" i="1"/>
  <c r="M5" i="1"/>
  <c r="M6" i="1"/>
  <c r="M7" i="1"/>
  <c r="M8" i="1"/>
  <c r="M9" i="1"/>
  <c r="M10" i="1"/>
  <c r="M11" i="1"/>
  <c r="M12" i="1"/>
  <c r="M13" i="1"/>
  <c r="L4" i="1"/>
  <c r="L5" i="1"/>
  <c r="L6" i="1"/>
  <c r="L7" i="1"/>
  <c r="L8" i="1"/>
  <c r="L9" i="1"/>
  <c r="L10" i="1"/>
  <c r="L11" i="1"/>
  <c r="L12" i="1"/>
  <c r="L13" i="1"/>
  <c r="P3" i="1"/>
  <c r="O3" i="1"/>
  <c r="L3" i="1"/>
  <c r="M3" i="1"/>
</calcChain>
</file>

<file path=xl/sharedStrings.xml><?xml version="1.0" encoding="utf-8"?>
<sst xmlns="http://schemas.openxmlformats.org/spreadsheetml/2006/main" count="176" uniqueCount="21">
  <si>
    <t>Angular frequency</t>
  </si>
  <si>
    <t>rad/s</t>
  </si>
  <si>
    <t>Storage modulus</t>
  </si>
  <si>
    <t>Loss modulus</t>
  </si>
  <si>
    <t>MPa</t>
  </si>
  <si>
    <t>WT Parafilm- average G'</t>
  </si>
  <si>
    <t>WT Parafilm- average G''</t>
  </si>
  <si>
    <t>WT Parafilm- SD G'</t>
  </si>
  <si>
    <t>WT Parafilm- SD G''</t>
  </si>
  <si>
    <t>Spore- Parafilm- average G'</t>
  </si>
  <si>
    <t>Spore- Parafilm- average G''</t>
  </si>
  <si>
    <t>Spore- Parafilm- SD G'</t>
  </si>
  <si>
    <t>Spore- Parafilm- SD G''</t>
  </si>
  <si>
    <t>PGA- Parafilm- average G'</t>
  </si>
  <si>
    <t>PGA- Parafilm- average G''</t>
  </si>
  <si>
    <t>PGA- Parafilm- SD G'</t>
  </si>
  <si>
    <t>PGA- Parafilm- SD G''</t>
  </si>
  <si>
    <t>EPS- Parafilm- average G'</t>
  </si>
  <si>
    <t>EPS- Parafilm- average G''</t>
  </si>
  <si>
    <t>EPS- Parafilm- SD G'</t>
  </si>
  <si>
    <t>EPS- Parafilm- SD G''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</si>
</sst>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1D8B-3767-48FB-88BC-8FC7FD7AFA9A}">
  <dimension ref="A1:P13"/>
  <sheetViews>
    <sheetView topLeftCell="A5" workbookViewId="0">
      <selection activeCell="F55" sqref="F55"/>
    </sheetView>
  </sheetViews>
  <sheetFormatPr baseColWidth="10" defaultColWidth="8.83203125" defaultRowHeight="15" x14ac:dyDescent="0.2"/>
  <cols>
    <col min="11" max="11" width="8.6640625" style="5"/>
    <col min="15" max="16" width="11.83203125" bestFit="1" customWidth="1"/>
  </cols>
  <sheetData>
    <row r="1" spans="1:16" ht="64" x14ac:dyDescent="0.2">
      <c r="A1" s="1" t="s">
        <v>0</v>
      </c>
      <c r="B1" s="1"/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5</v>
      </c>
      <c r="M1" s="1" t="s">
        <v>6</v>
      </c>
      <c r="O1" s="1" t="s">
        <v>7</v>
      </c>
      <c r="P1" s="1" t="s">
        <v>8</v>
      </c>
    </row>
    <row r="2" spans="1:16" ht="16" x14ac:dyDescent="0.2">
      <c r="A2" s="1" t="s">
        <v>1</v>
      </c>
      <c r="B2" s="1"/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B3" s="2"/>
      <c r="C3" s="4">
        <v>3.6002899999999999E-4</v>
      </c>
      <c r="D3" s="4">
        <v>9.2107299999999998E-5</v>
      </c>
      <c r="F3" s="4">
        <v>8.8483799999999999E-4</v>
      </c>
      <c r="G3" s="4">
        <v>1.76737E-4</v>
      </c>
      <c r="I3" s="4">
        <v>1.0457999999999999E-3</v>
      </c>
      <c r="J3" s="4">
        <v>2.23067E-4</v>
      </c>
      <c r="L3" s="3">
        <f>AVERAGE(C3,F3,I3)</f>
        <v>7.635556666666666E-4</v>
      </c>
      <c r="M3" s="3">
        <f>AVERAGE(D3,G3,J3)</f>
        <v>1.6397043333333334E-4</v>
      </c>
      <c r="O3">
        <f>_xlfn.STDEV.P(C3,F3,I3)</f>
        <v>2.928054182038911E-4</v>
      </c>
      <c r="P3">
        <f>_xlfn.STDEV.P(D3,G3,J3)</f>
        <v>5.4220842698254777E-5</v>
      </c>
    </row>
    <row r="4" spans="1:16" x14ac:dyDescent="0.2">
      <c r="A4" s="2">
        <v>1.5849</v>
      </c>
      <c r="B4" s="2"/>
      <c r="C4" s="4">
        <v>3.8757800000000002E-4</v>
      </c>
      <c r="D4" s="4">
        <v>9.1649499999999997E-5</v>
      </c>
      <c r="F4" s="4">
        <v>9.3427899999999999E-4</v>
      </c>
      <c r="G4" s="4">
        <v>1.70144E-4</v>
      </c>
      <c r="I4" s="4">
        <v>1.11396E-3</v>
      </c>
      <c r="J4" s="4">
        <v>2.18719E-4</v>
      </c>
      <c r="L4" s="3">
        <f t="shared" ref="L4:L13" si="0">AVERAGE(C4,F4,I4)</f>
        <v>8.1193899999999991E-4</v>
      </c>
      <c r="M4" s="3">
        <f t="shared" ref="M4:M13" si="1">AVERAGE(D4,G4,J4)</f>
        <v>1.6017083333333336E-4</v>
      </c>
      <c r="O4">
        <f t="shared" ref="O4:O13" si="2">_xlfn.STDEV.P(C4,F4,I4)</f>
        <v>3.0890452589864503E-4</v>
      </c>
      <c r="P4">
        <f t="shared" ref="P4:P13" si="3">_xlfn.STDEV.P(D4,G4,J4)</f>
        <v>5.2353048288094509E-5</v>
      </c>
    </row>
    <row r="5" spans="1:16" x14ac:dyDescent="0.2">
      <c r="A5" s="2">
        <v>2.5118900000000002</v>
      </c>
      <c r="B5" s="2"/>
      <c r="C5" s="4">
        <v>4.1304900000000002E-4</v>
      </c>
      <c r="D5" s="4">
        <v>9.3071600000000005E-5</v>
      </c>
      <c r="F5" s="4">
        <v>9.8272799999999999E-4</v>
      </c>
      <c r="G5" s="4">
        <v>1.68722E-4</v>
      </c>
      <c r="I5" s="4">
        <v>1.17998E-3</v>
      </c>
      <c r="J5" s="4">
        <v>2.1655200000000001E-4</v>
      </c>
      <c r="L5" s="3">
        <f t="shared" si="0"/>
        <v>8.5858566666666657E-4</v>
      </c>
      <c r="M5" s="3">
        <f t="shared" si="1"/>
        <v>1.5944853333333333E-4</v>
      </c>
      <c r="O5">
        <f t="shared" si="2"/>
        <v>3.2517101027442299E-4</v>
      </c>
      <c r="P5">
        <f t="shared" si="3"/>
        <v>5.0835356357908572E-5</v>
      </c>
    </row>
    <row r="6" spans="1:16" x14ac:dyDescent="0.2">
      <c r="A6" s="2">
        <v>3.9810500000000002</v>
      </c>
      <c r="B6" s="2"/>
      <c r="C6" s="4">
        <v>4.3902500000000001E-4</v>
      </c>
      <c r="D6" s="4">
        <v>9.4837699999999995E-5</v>
      </c>
      <c r="F6" s="4">
        <v>1.0297699999999999E-3</v>
      </c>
      <c r="G6" s="4">
        <v>1.6750900000000001E-4</v>
      </c>
      <c r="I6" s="4">
        <v>1.24642E-3</v>
      </c>
      <c r="J6" s="4">
        <v>2.1635099999999999E-4</v>
      </c>
      <c r="L6" s="3">
        <f t="shared" si="0"/>
        <v>9.0507166666666666E-4</v>
      </c>
      <c r="M6" s="3">
        <f t="shared" si="1"/>
        <v>1.595659E-4</v>
      </c>
      <c r="O6">
        <f t="shared" si="2"/>
        <v>3.4120758809297048E-4</v>
      </c>
      <c r="P6">
        <f t="shared" si="3"/>
        <v>4.9924544046858018E-5</v>
      </c>
    </row>
    <row r="7" spans="1:16" x14ac:dyDescent="0.2">
      <c r="A7" s="2">
        <v>6.3095699999999999</v>
      </c>
      <c r="B7" s="2"/>
      <c r="C7" s="4">
        <v>4.65394E-4</v>
      </c>
      <c r="D7" s="4">
        <v>9.7055199999999999E-5</v>
      </c>
      <c r="F7" s="4">
        <v>1.0793199999999999E-3</v>
      </c>
      <c r="G7" s="4">
        <v>1.6908400000000001E-4</v>
      </c>
      <c r="I7" s="4">
        <v>1.3089600000000001E-3</v>
      </c>
      <c r="J7" s="4">
        <v>2.1349499999999999E-4</v>
      </c>
      <c r="L7" s="3">
        <f t="shared" si="0"/>
        <v>9.5122466666666672E-4</v>
      </c>
      <c r="M7" s="3">
        <f t="shared" si="1"/>
        <v>1.5987806666666667E-4</v>
      </c>
      <c r="O7">
        <f t="shared" si="2"/>
        <v>3.5609662537512986E-4</v>
      </c>
      <c r="P7">
        <f t="shared" si="3"/>
        <v>4.7979986538926366E-5</v>
      </c>
    </row>
    <row r="8" spans="1:16" x14ac:dyDescent="0.2">
      <c r="A8" s="2">
        <v>10.0001</v>
      </c>
      <c r="B8" s="2"/>
      <c r="C8" s="4">
        <v>4.9285099999999999E-4</v>
      </c>
      <c r="D8" s="4">
        <v>1.00758E-4</v>
      </c>
      <c r="F8" s="4">
        <v>1.1244899999999999E-3</v>
      </c>
      <c r="G8" s="4">
        <v>1.7430500000000001E-4</v>
      </c>
      <c r="I8" s="4">
        <v>1.3711699999999999E-3</v>
      </c>
      <c r="J8" s="4">
        <v>2.18447E-4</v>
      </c>
      <c r="L8" s="3">
        <f t="shared" si="0"/>
        <v>9.9617033333333337E-4</v>
      </c>
      <c r="M8" s="3">
        <f t="shared" si="1"/>
        <v>1.6450333333333333E-4</v>
      </c>
      <c r="O8">
        <f t="shared" si="2"/>
        <v>3.6987432016865159E-4</v>
      </c>
      <c r="P8">
        <f t="shared" si="3"/>
        <v>4.85436551455377E-5</v>
      </c>
    </row>
    <row r="9" spans="1:16" x14ac:dyDescent="0.2">
      <c r="A9" s="2">
        <v>15.849</v>
      </c>
      <c r="B9" s="2"/>
      <c r="C9" s="4">
        <v>5.2167100000000003E-4</v>
      </c>
      <c r="D9" s="4">
        <v>1.05537E-4</v>
      </c>
      <c r="F9" s="4">
        <v>1.1706399999999999E-3</v>
      </c>
      <c r="G9" s="4">
        <v>1.8070900000000001E-4</v>
      </c>
      <c r="I9" s="4">
        <v>1.43296E-3</v>
      </c>
      <c r="J9" s="4">
        <v>2.2417499999999999E-4</v>
      </c>
      <c r="L9" s="3">
        <f t="shared" si="0"/>
        <v>1.0417569999999999E-3</v>
      </c>
      <c r="M9" s="3">
        <f t="shared" si="1"/>
        <v>1.7014033333333331E-4</v>
      </c>
      <c r="O9">
        <f t="shared" si="2"/>
        <v>3.8303179254208132E-4</v>
      </c>
      <c r="P9">
        <f t="shared" si="3"/>
        <v>4.900691309963886E-5</v>
      </c>
    </row>
    <row r="10" spans="1:16" x14ac:dyDescent="0.2">
      <c r="A10" s="2">
        <v>25.1188</v>
      </c>
      <c r="B10" s="2"/>
      <c r="C10" s="4">
        <v>5.5175700000000005E-4</v>
      </c>
      <c r="D10" s="4">
        <v>1.1149099999999999E-4</v>
      </c>
      <c r="F10" s="4">
        <v>1.21729E-3</v>
      </c>
      <c r="G10" s="4">
        <v>1.9062500000000001E-4</v>
      </c>
      <c r="I10" s="4">
        <v>1.4943999999999999E-3</v>
      </c>
      <c r="J10" s="4">
        <v>2.342E-4</v>
      </c>
      <c r="L10" s="3">
        <f t="shared" si="0"/>
        <v>1.0878156666666668E-3</v>
      </c>
      <c r="M10" s="3">
        <f t="shared" si="1"/>
        <v>1.78772E-4</v>
      </c>
      <c r="O10">
        <f t="shared" si="2"/>
        <v>3.9557271443341766E-4</v>
      </c>
      <c r="P10">
        <f t="shared" si="3"/>
        <v>5.0792026126154887E-5</v>
      </c>
    </row>
    <row r="11" spans="1:16" x14ac:dyDescent="0.2">
      <c r="A11" s="2">
        <v>39.810499999999998</v>
      </c>
      <c r="B11" s="2"/>
      <c r="C11" s="4">
        <v>5.8609899999999997E-4</v>
      </c>
      <c r="D11" s="4">
        <v>1.19399E-4</v>
      </c>
      <c r="F11" s="4">
        <v>1.2645899999999999E-3</v>
      </c>
      <c r="G11" s="4">
        <v>2.0445899999999999E-4</v>
      </c>
      <c r="I11" s="4">
        <v>1.5556400000000001E-3</v>
      </c>
      <c r="J11" s="4">
        <v>2.49597E-4</v>
      </c>
      <c r="L11" s="3">
        <f t="shared" si="0"/>
        <v>1.1354430000000001E-3</v>
      </c>
      <c r="M11" s="3">
        <f t="shared" si="1"/>
        <v>1.911516666666667E-4</v>
      </c>
      <c r="O11">
        <f t="shared" si="2"/>
        <v>4.0621147889328128E-4</v>
      </c>
      <c r="P11">
        <f t="shared" si="3"/>
        <v>5.3979586520173425E-5</v>
      </c>
    </row>
    <row r="12" spans="1:16" x14ac:dyDescent="0.2">
      <c r="A12" s="2">
        <v>63.095700000000001</v>
      </c>
      <c r="B12" s="2"/>
      <c r="C12" s="4">
        <v>6.2602600000000001E-4</v>
      </c>
      <c r="D12" s="4">
        <v>1.30402E-4</v>
      </c>
      <c r="F12" s="4">
        <v>1.31515E-3</v>
      </c>
      <c r="G12" s="4">
        <v>2.2299E-4</v>
      </c>
      <c r="I12" s="4">
        <v>1.61962E-3</v>
      </c>
      <c r="J12" s="4">
        <v>2.7129900000000002E-4</v>
      </c>
      <c r="L12" s="3">
        <f t="shared" si="0"/>
        <v>1.1869319999999999E-3</v>
      </c>
      <c r="M12" s="3">
        <f t="shared" si="1"/>
        <v>2.0823033333333335E-4</v>
      </c>
      <c r="O12">
        <f t="shared" si="2"/>
        <v>4.1564179357711365E-4</v>
      </c>
      <c r="P12">
        <f t="shared" si="3"/>
        <v>5.8460111599467744E-5</v>
      </c>
    </row>
    <row r="13" spans="1:16" x14ac:dyDescent="0.2">
      <c r="A13" s="2">
        <v>100</v>
      </c>
      <c r="B13" s="2"/>
      <c r="C13" s="4">
        <v>6.6939799999999998E-4</v>
      </c>
      <c r="D13" s="4">
        <v>1.4578099999999999E-4</v>
      </c>
      <c r="F13" s="4">
        <v>1.34877E-3</v>
      </c>
      <c r="G13" s="4">
        <v>2.5246200000000001E-4</v>
      </c>
      <c r="I13" s="4">
        <v>1.6757600000000001E-3</v>
      </c>
      <c r="J13" s="4">
        <v>3.0544799999999999E-4</v>
      </c>
      <c r="L13" s="3">
        <f t="shared" si="0"/>
        <v>1.2313093333333333E-3</v>
      </c>
      <c r="M13" s="3">
        <f t="shared" si="1"/>
        <v>2.3456366666666667E-4</v>
      </c>
      <c r="O13">
        <f t="shared" si="2"/>
        <v>4.1915699121079791E-4</v>
      </c>
      <c r="P13">
        <f t="shared" si="3"/>
        <v>6.6401056589652415E-5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63CE-8F8C-AF40-9754-FB4A00BB6AB6}">
  <dimension ref="A1:P13"/>
  <sheetViews>
    <sheetView workbookViewId="0">
      <selection activeCell="O3" sqref="O3:P13"/>
    </sheetView>
  </sheetViews>
  <sheetFormatPr baseColWidth="10" defaultColWidth="8.83203125" defaultRowHeight="15" x14ac:dyDescent="0.2"/>
  <cols>
    <col min="11" max="11" width="8.83203125" style="5"/>
    <col min="15" max="16" width="11.83203125" bestFit="1" customWidth="1"/>
  </cols>
  <sheetData>
    <row r="1" spans="1:16" ht="64" x14ac:dyDescent="0.2">
      <c r="A1" s="1" t="s">
        <v>0</v>
      </c>
      <c r="B1" s="1"/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5</v>
      </c>
      <c r="M1" s="1" t="s">
        <v>6</v>
      </c>
      <c r="O1" s="1" t="s">
        <v>7</v>
      </c>
      <c r="P1" s="1" t="s">
        <v>8</v>
      </c>
    </row>
    <row r="2" spans="1:16" ht="16" x14ac:dyDescent="0.2">
      <c r="A2" s="1" t="s">
        <v>1</v>
      </c>
      <c r="B2" s="1"/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B3" s="2"/>
      <c r="C3" s="4">
        <v>5.4518500000000001E-4</v>
      </c>
      <c r="D3" s="4">
        <v>1.45317E-4</v>
      </c>
      <c r="F3" s="4">
        <v>6.5222399999999997E-4</v>
      </c>
      <c r="G3" s="4">
        <v>1.5833500000000001E-4</v>
      </c>
      <c r="I3" s="4">
        <v>6.0644300000000002E-4</v>
      </c>
      <c r="J3" s="4">
        <v>1.83203E-4</v>
      </c>
      <c r="L3" s="3">
        <f>AVERAGE(C3,F3,I3)</f>
        <v>6.01284E-4</v>
      </c>
      <c r="M3" s="3">
        <f>AVERAGE(D3,G3,J3)</f>
        <v>1.62285E-4</v>
      </c>
      <c r="O3">
        <f>_xlfn.STDEV.P(C3,F3,I3)</f>
        <v>4.3850490996871011E-5</v>
      </c>
      <c r="P3">
        <f>_xlfn.STDEV.P(D3,G3,J3)</f>
        <v>1.5717063423765479E-5</v>
      </c>
    </row>
    <row r="4" spans="1:16" x14ac:dyDescent="0.2">
      <c r="A4" s="2">
        <v>1.5849</v>
      </c>
      <c r="B4" s="2"/>
      <c r="C4" s="4">
        <v>5.8967399999999999E-4</v>
      </c>
      <c r="D4" s="4">
        <v>1.4339999999999999E-4</v>
      </c>
      <c r="F4" s="4">
        <v>6.9799200000000004E-4</v>
      </c>
      <c r="G4" s="4">
        <v>1.57081E-4</v>
      </c>
      <c r="I4" s="4">
        <v>6.4138900000000002E-4</v>
      </c>
      <c r="J4" s="4">
        <v>1.6706100000000001E-4</v>
      </c>
      <c r="L4" s="3">
        <f>AVERAGE(C4,F4,I4)</f>
        <v>6.4301833333333335E-4</v>
      </c>
      <c r="M4" s="3">
        <f>AVERAGE(D4,G4,J4)</f>
        <v>1.5584733333333335E-4</v>
      </c>
      <c r="O4">
        <f>_xlfn.STDEV.P(C4,F4,I4)</f>
        <v>4.4235644197361442E-5</v>
      </c>
      <c r="P4">
        <f>_xlfn.STDEV.P(D4,G4,J4)</f>
        <v>9.6988721108292972E-6</v>
      </c>
    </row>
    <row r="5" spans="1:16" x14ac:dyDescent="0.2">
      <c r="A5" s="2">
        <v>2.5118900000000002</v>
      </c>
      <c r="B5" s="2"/>
      <c r="C5" s="4">
        <v>6.3202699999999996E-4</v>
      </c>
      <c r="D5" s="4">
        <v>1.43886E-4</v>
      </c>
      <c r="F5" s="4">
        <v>7.4686700000000002E-4</v>
      </c>
      <c r="G5" s="4">
        <v>1.5827199999999999E-4</v>
      </c>
      <c r="I5" s="4">
        <v>6.8922899999999997E-4</v>
      </c>
      <c r="J5" s="4">
        <v>1.7337200000000001E-4</v>
      </c>
      <c r="L5" s="3">
        <f>AVERAGE(C5,F5,I5)</f>
        <v>6.8937433333333324E-4</v>
      </c>
      <c r="M5" s="3">
        <f>AVERAGE(D5,G5,J5)</f>
        <v>1.5850999999999997E-4</v>
      </c>
      <c r="O5">
        <f>_xlfn.STDEV.P(C5,F5,I5)</f>
        <v>4.6883346306432646E-5</v>
      </c>
      <c r="P5">
        <f>_xlfn.STDEV.P(D5,G5,J5)</f>
        <v>1.2038785431540291E-5</v>
      </c>
    </row>
    <row r="6" spans="1:16" x14ac:dyDescent="0.2">
      <c r="A6" s="2">
        <v>3.9810500000000002</v>
      </c>
      <c r="B6" s="2"/>
      <c r="C6" s="4">
        <v>6.7476099999999996E-4</v>
      </c>
      <c r="D6" s="4">
        <v>1.43604E-4</v>
      </c>
      <c r="F6" s="4">
        <v>7.9069199999999996E-4</v>
      </c>
      <c r="G6" s="4">
        <v>1.60889E-4</v>
      </c>
      <c r="I6" s="4">
        <v>7.2896799999999998E-4</v>
      </c>
      <c r="J6" s="4">
        <v>1.72036E-4</v>
      </c>
      <c r="L6" s="3">
        <f>AVERAGE(C6,F6,I6)</f>
        <v>7.3147366666666659E-4</v>
      </c>
      <c r="M6" s="3">
        <f>AVERAGE(D6,G6,J6)</f>
        <v>1.5884299999999998E-4</v>
      </c>
      <c r="O6">
        <f>_xlfn.STDEV.P(C6,F6,I6)</f>
        <v>4.7361784625253397E-5</v>
      </c>
      <c r="P6">
        <f>_xlfn.STDEV.P(D6,G6,J6)</f>
        <v>1.1697129077968947E-5</v>
      </c>
    </row>
    <row r="7" spans="1:16" x14ac:dyDescent="0.2">
      <c r="A7" s="2">
        <v>6.3095699999999999</v>
      </c>
      <c r="B7" s="2"/>
      <c r="C7" s="4">
        <v>7.1595100000000004E-4</v>
      </c>
      <c r="D7" s="4">
        <v>1.4553799999999999E-4</v>
      </c>
      <c r="F7" s="4">
        <v>8.35756E-4</v>
      </c>
      <c r="G7" s="4">
        <v>1.6688299999999999E-4</v>
      </c>
      <c r="I7" s="4">
        <v>7.7134000000000002E-4</v>
      </c>
      <c r="J7" s="4">
        <v>1.7147500000000001E-4</v>
      </c>
      <c r="L7" s="3">
        <f>AVERAGE(C7,F7,I7)</f>
        <v>7.7434900000000002E-4</v>
      </c>
      <c r="M7" s="3">
        <f>AVERAGE(D7,G7,J7)</f>
        <v>1.6129866666666668E-4</v>
      </c>
      <c r="O7">
        <f>_xlfn.STDEV.P(C7,F7,I7)</f>
        <v>4.8956443682113981E-5</v>
      </c>
      <c r="P7">
        <f>_xlfn.STDEV.P(D7,G7,J7)</f>
        <v>1.1301049400633365E-5</v>
      </c>
    </row>
    <row r="8" spans="1:16" x14ac:dyDescent="0.2">
      <c r="A8" s="2">
        <v>10.0001</v>
      </c>
      <c r="B8" s="2"/>
      <c r="C8" s="4">
        <v>7.5572900000000001E-4</v>
      </c>
      <c r="D8" s="4">
        <v>1.4944599999999999E-4</v>
      </c>
      <c r="F8" s="4">
        <v>8.8013200000000005E-4</v>
      </c>
      <c r="G8" s="4">
        <v>1.6988499999999999E-4</v>
      </c>
      <c r="I8" s="4">
        <v>8.14403E-4</v>
      </c>
      <c r="J8" s="4">
        <v>1.8277199999999999E-4</v>
      </c>
      <c r="L8" s="3">
        <f>AVERAGE(C8,F8,I8)</f>
        <v>8.1675466666666669E-4</v>
      </c>
      <c r="M8" s="3">
        <f>AVERAGE(D8,G8,J8)</f>
        <v>1.6736766666666664E-4</v>
      </c>
      <c r="O8">
        <f>_xlfn.STDEV.P(C8,F8,I8)</f>
        <v>5.0814527806742666E-5</v>
      </c>
      <c r="P8">
        <f>_xlfn.STDEV.P(D8,G8,J8)</f>
        <v>1.3721231585474469E-5</v>
      </c>
    </row>
    <row r="9" spans="1:16" x14ac:dyDescent="0.2">
      <c r="A9" s="2">
        <v>15.849</v>
      </c>
      <c r="B9" s="2"/>
      <c r="C9" s="4">
        <v>7.9732299999999996E-4</v>
      </c>
      <c r="D9" s="4">
        <v>1.5793799999999999E-4</v>
      </c>
      <c r="F9" s="4">
        <v>9.2325600000000001E-4</v>
      </c>
      <c r="G9" s="4">
        <v>1.7888499999999999E-4</v>
      </c>
      <c r="I9" s="4">
        <v>8.57323E-4</v>
      </c>
      <c r="J9" s="4">
        <v>1.87061E-4</v>
      </c>
      <c r="L9" s="3">
        <f>AVERAGE(C9,F9,I9)</f>
        <v>8.5930066666666666E-4</v>
      </c>
      <c r="M9" s="3">
        <f>AVERAGE(D9,G9,J9)</f>
        <v>1.74628E-4</v>
      </c>
      <c r="O9">
        <f>_xlfn.STDEV.P(C9,F9,I9)</f>
        <v>5.1430947209718891E-5</v>
      </c>
      <c r="P9">
        <f>_xlfn.STDEV.P(D9,G9,J9)</f>
        <v>1.2264551058504619E-5</v>
      </c>
    </row>
    <row r="10" spans="1:16" x14ac:dyDescent="0.2">
      <c r="A10" s="2">
        <v>25.1188</v>
      </c>
      <c r="B10" s="2"/>
      <c r="C10" s="4">
        <v>8.4079700000000001E-4</v>
      </c>
      <c r="D10" s="4">
        <v>1.7012799999999999E-4</v>
      </c>
      <c r="F10" s="4">
        <v>9.6875399999999995E-4</v>
      </c>
      <c r="G10" s="4">
        <v>1.9004199999999999E-4</v>
      </c>
      <c r="I10" s="4">
        <v>9.0155499999999996E-4</v>
      </c>
      <c r="J10" s="4">
        <v>2.00946E-4</v>
      </c>
      <c r="L10" s="3">
        <f>AVERAGE(C10,F10,I10)</f>
        <v>9.0370200000000004E-4</v>
      </c>
      <c r="M10" s="3">
        <f>AVERAGE(D10,G10,J10)</f>
        <v>1.8703866666666666E-4</v>
      </c>
      <c r="O10">
        <f>_xlfn.STDEV.P(C10,F10,I10)</f>
        <v>5.2260282363059079E-5</v>
      </c>
      <c r="P10">
        <f>_xlfn.STDEV.P(D10,G10,J10)</f>
        <v>1.2759370134227719E-5</v>
      </c>
    </row>
    <row r="11" spans="1:16" x14ac:dyDescent="0.2">
      <c r="A11" s="2">
        <v>39.810499999999998</v>
      </c>
      <c r="B11" s="2"/>
      <c r="C11" s="4">
        <v>8.9048000000000003E-4</v>
      </c>
      <c r="D11" s="4">
        <v>1.8423100000000001E-4</v>
      </c>
      <c r="F11" s="4">
        <v>1.0144500000000001E-3</v>
      </c>
      <c r="G11" s="4">
        <v>2.05346E-4</v>
      </c>
      <c r="I11" s="4">
        <v>9.4886000000000005E-4</v>
      </c>
      <c r="J11" s="4">
        <v>2.20433E-4</v>
      </c>
      <c r="L11" s="3">
        <f>AVERAGE(C11,F11,I11)</f>
        <v>9.5126333333333342E-4</v>
      </c>
      <c r="M11" s="3">
        <f>AVERAGE(D11,G11,J11)</f>
        <v>2.0333666666666667E-4</v>
      </c>
      <c r="O11">
        <f>_xlfn.STDEV.P(C11,F11,I11)</f>
        <v>5.0639064191809706E-5</v>
      </c>
      <c r="P11">
        <f>_xlfn.STDEV.P(D11,G11,J11)</f>
        <v>1.4847542250786452E-5</v>
      </c>
    </row>
    <row r="12" spans="1:16" x14ac:dyDescent="0.2">
      <c r="A12" s="2">
        <v>63.095700000000001</v>
      </c>
      <c r="B12" s="2"/>
      <c r="C12" s="4">
        <v>9.5527399999999999E-4</v>
      </c>
      <c r="D12" s="4">
        <v>2.04312E-4</v>
      </c>
      <c r="F12" s="4">
        <v>1.0638100000000001E-3</v>
      </c>
      <c r="G12" s="4">
        <v>2.2575399999999999E-4</v>
      </c>
      <c r="I12" s="4">
        <v>1.0068900000000001E-3</v>
      </c>
      <c r="J12" s="4">
        <v>2.40838E-4</v>
      </c>
      <c r="L12" s="3">
        <f>AVERAGE(C12,F12,I12)</f>
        <v>1.008658E-3</v>
      </c>
      <c r="M12" s="3">
        <f>AVERAGE(D12,G12,J12)</f>
        <v>2.2363466666666665E-4</v>
      </c>
      <c r="O12">
        <f>_xlfn.STDEV.P(C12,F12,I12)</f>
        <v>4.4327269199293917E-5</v>
      </c>
      <c r="P12">
        <f>_xlfn.STDEV.P(D12,G12,J12)</f>
        <v>1.4986790835784541E-5</v>
      </c>
    </row>
    <row r="13" spans="1:16" x14ac:dyDescent="0.2">
      <c r="A13" s="2">
        <v>100</v>
      </c>
      <c r="B13" s="2"/>
      <c r="C13" s="4">
        <v>1.0439900000000001E-3</v>
      </c>
      <c r="D13" s="4">
        <v>2.31268E-4</v>
      </c>
      <c r="F13" s="4">
        <v>1.1073599999999999E-3</v>
      </c>
      <c r="G13" s="4">
        <v>2.6090899999999998E-4</v>
      </c>
      <c r="I13" s="4">
        <v>1.06138E-3</v>
      </c>
      <c r="J13" s="4">
        <v>2.6867500000000001E-4</v>
      </c>
      <c r="L13" s="3">
        <f>AVERAGE(C13,F13,I13)</f>
        <v>1.0709099999999998E-3</v>
      </c>
      <c r="M13" s="3">
        <f>AVERAGE(D13,G13,J13)</f>
        <v>2.5361733333333336E-4</v>
      </c>
      <c r="O13">
        <f>_xlfn.STDEV.P(C13,F13,I13)</f>
        <v>2.6733934739702348E-5</v>
      </c>
      <c r="P13">
        <f>_xlfn.STDEV.P(D13,G13,J13)</f>
        <v>1.6118254957931673E-5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0D05-844C-4BDF-9799-621DC28F9BD3}">
  <dimension ref="A1:P13"/>
  <sheetViews>
    <sheetView workbookViewId="0">
      <selection activeCell="H37" sqref="H37"/>
    </sheetView>
  </sheetViews>
  <sheetFormatPr baseColWidth="10" defaultColWidth="8.83203125" defaultRowHeight="15" x14ac:dyDescent="0.2"/>
  <cols>
    <col min="11" max="11" width="8.66406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9</v>
      </c>
      <c r="M1" s="1" t="s">
        <v>10</v>
      </c>
      <c r="O1" s="1" t="s">
        <v>11</v>
      </c>
      <c r="P1" s="1" t="s">
        <v>12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4.2608799999999999E-3</v>
      </c>
      <c r="D3" s="4">
        <v>6.3863099999999996E-4</v>
      </c>
      <c r="F3" s="4">
        <v>5.3265200000000004E-3</v>
      </c>
      <c r="G3" s="4">
        <v>7.3971200000000001E-4</v>
      </c>
      <c r="I3" s="4">
        <v>4.3195300000000002E-3</v>
      </c>
      <c r="J3" s="4">
        <v>5.7676699999999995E-4</v>
      </c>
      <c r="L3" s="3">
        <f>AVERAGE(C3,F3,I3)</f>
        <v>4.6356433333333332E-3</v>
      </c>
      <c r="M3" s="3">
        <f>AVERAGE(D3,G3,J3)</f>
        <v>6.5170333333333327E-4</v>
      </c>
      <c r="O3">
        <f>_xlfn.STDEV.P(C3,F3,I3)</f>
        <v>4.8910999583143093E-4</v>
      </c>
      <c r="P3">
        <f>_xlfn.STDEV.P(D3,G3,J3)</f>
        <v>6.716116278690306E-5</v>
      </c>
    </row>
    <row r="4" spans="1:16" x14ac:dyDescent="0.2">
      <c r="A4" s="2">
        <v>1.5849</v>
      </c>
      <c r="C4" s="4">
        <v>4.4149200000000001E-3</v>
      </c>
      <c r="D4" s="4">
        <v>5.3254699999999997E-4</v>
      </c>
      <c r="F4" s="4">
        <v>5.5211799999999997E-3</v>
      </c>
      <c r="G4" s="4">
        <v>6.4703000000000004E-4</v>
      </c>
      <c r="I4" s="4">
        <v>4.46504E-3</v>
      </c>
      <c r="J4" s="4">
        <v>4.6838400000000002E-4</v>
      </c>
      <c r="L4" s="3">
        <f t="shared" ref="L4:M13" si="0">AVERAGE(C4,F4,I4)</f>
        <v>4.8003799999999999E-3</v>
      </c>
      <c r="M4" s="3">
        <f t="shared" si="0"/>
        <v>5.4932033333333333E-4</v>
      </c>
      <c r="O4">
        <f t="shared" ref="O4:P13" si="1">_xlfn.STDEV.P(C4,F4,I4)</f>
        <v>5.100931180349981E-4</v>
      </c>
      <c r="P4">
        <f t="shared" si="1"/>
        <v>7.3890039303157936E-5</v>
      </c>
    </row>
    <row r="5" spans="1:16" x14ac:dyDescent="0.2">
      <c r="A5" s="2">
        <v>2.5118900000000002</v>
      </c>
      <c r="C5" s="4">
        <v>4.5288699999999999E-3</v>
      </c>
      <c r="D5" s="4">
        <v>4.8150200000000003E-4</v>
      </c>
      <c r="F5" s="4">
        <v>5.6608700000000001E-3</v>
      </c>
      <c r="G5" s="4">
        <v>5.9077499999999998E-4</v>
      </c>
      <c r="I5" s="4">
        <v>4.5867099999999999E-3</v>
      </c>
      <c r="J5" s="4">
        <v>4.5622099999999998E-4</v>
      </c>
      <c r="L5" s="3">
        <f t="shared" si="0"/>
        <v>4.9254833333333336E-3</v>
      </c>
      <c r="M5" s="3">
        <f t="shared" si="0"/>
        <v>5.0949933333333333E-4</v>
      </c>
      <c r="O5">
        <f t="shared" si="1"/>
        <v>5.2053275819640365E-4</v>
      </c>
      <c r="P5">
        <f t="shared" si="1"/>
        <v>5.838996908335844E-5</v>
      </c>
    </row>
    <row r="6" spans="1:16" x14ac:dyDescent="0.2">
      <c r="A6" s="2">
        <v>3.9810500000000002</v>
      </c>
      <c r="C6" s="4">
        <v>4.6335899999999999E-3</v>
      </c>
      <c r="D6" s="4">
        <v>4.4282700000000002E-4</v>
      </c>
      <c r="F6" s="4">
        <v>5.8124400000000003E-3</v>
      </c>
      <c r="G6" s="4">
        <v>5.4249599999999995E-4</v>
      </c>
      <c r="I6" s="4">
        <v>4.6876499999999998E-3</v>
      </c>
      <c r="J6" s="4">
        <v>4.3729499999999998E-4</v>
      </c>
      <c r="L6" s="3">
        <f t="shared" si="0"/>
        <v>5.04456E-3</v>
      </c>
      <c r="M6" s="3">
        <f t="shared" si="0"/>
        <v>4.7420600000000002E-4</v>
      </c>
      <c r="O6">
        <f t="shared" si="1"/>
        <v>5.4342150104683953E-4</v>
      </c>
      <c r="P6">
        <f t="shared" si="1"/>
        <v>4.834110625544266E-5</v>
      </c>
    </row>
    <row r="7" spans="1:16" x14ac:dyDescent="0.2">
      <c r="A7" s="2">
        <v>6.3095699999999999</v>
      </c>
      <c r="C7" s="4">
        <v>4.7336000000000001E-3</v>
      </c>
      <c r="D7" s="4">
        <v>4.2219399999999998E-4</v>
      </c>
      <c r="F7" s="4">
        <v>5.9383300000000003E-3</v>
      </c>
      <c r="G7" s="4">
        <v>5.1214800000000003E-4</v>
      </c>
      <c r="I7" s="4">
        <v>4.7893399999999996E-3</v>
      </c>
      <c r="J7" s="4">
        <v>4.1931E-4</v>
      </c>
      <c r="L7" s="3">
        <f t="shared" si="0"/>
        <v>5.1537566666666661E-3</v>
      </c>
      <c r="M7" s="3">
        <f t="shared" si="0"/>
        <v>4.5121733333333328E-4</v>
      </c>
      <c r="O7">
        <f t="shared" si="1"/>
        <v>5.5524362426676195E-4</v>
      </c>
      <c r="P7">
        <f t="shared" si="1"/>
        <v>4.310057207148057E-5</v>
      </c>
    </row>
    <row r="8" spans="1:16" x14ac:dyDescent="0.2">
      <c r="A8" s="2">
        <v>10.0001</v>
      </c>
      <c r="C8" s="4">
        <v>4.82884E-3</v>
      </c>
      <c r="D8" s="4">
        <v>4.1232299999999998E-4</v>
      </c>
      <c r="F8" s="4">
        <v>6.0698699999999998E-3</v>
      </c>
      <c r="G8" s="4">
        <v>5.0613999999999998E-4</v>
      </c>
      <c r="I8" s="4">
        <v>4.8971800000000001E-3</v>
      </c>
      <c r="J8" s="4">
        <v>4.0686299999999998E-4</v>
      </c>
      <c r="L8" s="3">
        <f t="shared" si="0"/>
        <v>5.2652966666666664E-3</v>
      </c>
      <c r="M8" s="3">
        <f t="shared" si="0"/>
        <v>4.4177533333333331E-4</v>
      </c>
      <c r="O8">
        <f t="shared" si="1"/>
        <v>5.6960294675813912E-4</v>
      </c>
      <c r="P8">
        <f t="shared" si="1"/>
        <v>4.5567244348935074E-5</v>
      </c>
    </row>
    <row r="9" spans="1:16" x14ac:dyDescent="0.2">
      <c r="A9" s="2">
        <v>15.849</v>
      </c>
      <c r="C9" s="4">
        <v>4.9261599999999997E-3</v>
      </c>
      <c r="D9" s="4">
        <v>4.1098600000000001E-4</v>
      </c>
      <c r="F9" s="4">
        <v>6.20654E-3</v>
      </c>
      <c r="G9" s="4">
        <v>5.0350999999999998E-4</v>
      </c>
      <c r="I9" s="4">
        <v>5.0007300000000001E-3</v>
      </c>
      <c r="J9" s="4">
        <v>4.0910300000000002E-4</v>
      </c>
      <c r="L9" s="3">
        <f t="shared" si="0"/>
        <v>5.3778099999999994E-3</v>
      </c>
      <c r="M9" s="3">
        <f t="shared" si="0"/>
        <v>4.4119966666666667E-4</v>
      </c>
      <c r="O9">
        <f t="shared" si="1"/>
        <v>5.8679083774942052E-4</v>
      </c>
      <c r="P9">
        <f t="shared" si="1"/>
        <v>4.4066764893990351E-5</v>
      </c>
    </row>
    <row r="10" spans="1:16" x14ac:dyDescent="0.2">
      <c r="A10" s="2">
        <v>25.1188</v>
      </c>
      <c r="C10" s="4">
        <v>5.0250299999999998E-3</v>
      </c>
      <c r="D10" s="4">
        <v>4.2371200000000003E-4</v>
      </c>
      <c r="F10" s="4">
        <v>6.34119E-3</v>
      </c>
      <c r="G10" s="4">
        <v>5.17407E-4</v>
      </c>
      <c r="I10" s="4">
        <v>5.1037399999999998E-3</v>
      </c>
      <c r="J10" s="4">
        <v>4.2349E-4</v>
      </c>
      <c r="L10" s="3">
        <f t="shared" si="0"/>
        <v>5.489986666666666E-3</v>
      </c>
      <c r="M10" s="3">
        <f t="shared" si="0"/>
        <v>4.5486966666666669E-4</v>
      </c>
      <c r="O10">
        <f t="shared" si="1"/>
        <v>6.0274878793370923E-4</v>
      </c>
      <c r="P10">
        <f t="shared" si="1"/>
        <v>4.422066535255006E-5</v>
      </c>
    </row>
    <row r="11" spans="1:16" x14ac:dyDescent="0.2">
      <c r="A11" s="2">
        <v>39.810499999999998</v>
      </c>
      <c r="C11" s="4">
        <v>5.1235200000000003E-3</v>
      </c>
      <c r="D11" s="4">
        <v>4.4549599999999998E-4</v>
      </c>
      <c r="F11" s="4">
        <v>6.4792499999999998E-3</v>
      </c>
      <c r="G11" s="4">
        <v>5.4415500000000005E-4</v>
      </c>
      <c r="I11" s="4">
        <v>5.2173200000000001E-3</v>
      </c>
      <c r="J11" s="4">
        <v>4.4926299999999998E-4</v>
      </c>
      <c r="L11" s="3">
        <f t="shared" si="0"/>
        <v>5.6066966666666667E-3</v>
      </c>
      <c r="M11" s="3">
        <f t="shared" si="0"/>
        <v>4.7963799999999995E-4</v>
      </c>
      <c r="O11">
        <f t="shared" si="1"/>
        <v>6.1817559513638353E-4</v>
      </c>
      <c r="P11">
        <f t="shared" si="1"/>
        <v>4.5646321786828232E-5</v>
      </c>
    </row>
    <row r="12" spans="1:16" x14ac:dyDescent="0.2">
      <c r="A12" s="2">
        <v>63.095700000000001</v>
      </c>
      <c r="C12" s="4">
        <v>5.2247500000000002E-3</v>
      </c>
      <c r="D12" s="4">
        <v>4.8152399999999999E-4</v>
      </c>
      <c r="F12" s="4">
        <v>6.6179400000000001E-3</v>
      </c>
      <c r="G12" s="4">
        <v>5.8942499999999997E-4</v>
      </c>
      <c r="I12" s="4">
        <v>5.3410899999999997E-3</v>
      </c>
      <c r="J12" s="4">
        <v>4.88913E-4</v>
      </c>
      <c r="L12" s="3">
        <f t="shared" si="0"/>
        <v>5.7279266666666667E-3</v>
      </c>
      <c r="M12" s="3">
        <f t="shared" si="0"/>
        <v>5.1995399999999999E-4</v>
      </c>
      <c r="O12">
        <f t="shared" si="1"/>
        <v>6.3112415526230307E-4</v>
      </c>
      <c r="P12">
        <f t="shared" si="1"/>
        <v>4.9215947354490688E-5</v>
      </c>
    </row>
    <row r="13" spans="1:16" x14ac:dyDescent="0.2">
      <c r="A13" s="2">
        <v>100</v>
      </c>
      <c r="C13" s="4">
        <v>5.3280699999999999E-3</v>
      </c>
      <c r="D13" s="4">
        <v>5.3628400000000004E-4</v>
      </c>
      <c r="F13" s="4">
        <v>6.7655099999999998E-3</v>
      </c>
      <c r="G13" s="4">
        <v>6.5515699999999996E-4</v>
      </c>
      <c r="I13" s="4">
        <v>5.4952100000000004E-3</v>
      </c>
      <c r="J13" s="4">
        <v>5.4489100000000004E-4</v>
      </c>
      <c r="L13" s="3">
        <f t="shared" si="0"/>
        <v>5.8629299999999997E-3</v>
      </c>
      <c r="M13" s="3">
        <f t="shared" si="0"/>
        <v>5.7877733333333342E-4</v>
      </c>
      <c r="O13">
        <f t="shared" si="1"/>
        <v>6.418576878613097E-4</v>
      </c>
      <c r="P13">
        <f t="shared" si="1"/>
        <v>5.4122763062832926E-5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DB38-96A9-3942-8B7D-2ABAC8A6476E}">
  <dimension ref="A1:P13"/>
  <sheetViews>
    <sheetView workbookViewId="0">
      <selection activeCell="O3" sqref="O3:P13"/>
    </sheetView>
  </sheetViews>
  <sheetFormatPr baseColWidth="10" defaultColWidth="8.83203125" defaultRowHeight="15" x14ac:dyDescent="0.2"/>
  <cols>
    <col min="11" max="11" width="8.832031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9</v>
      </c>
      <c r="M1" s="1" t="s">
        <v>10</v>
      </c>
      <c r="O1" s="1" t="s">
        <v>11</v>
      </c>
      <c r="P1" s="1" t="s">
        <v>12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6.6664000000000003E-4</v>
      </c>
      <c r="D3" s="4">
        <v>1.04685E-4</v>
      </c>
      <c r="F3" s="4">
        <v>6.0757900000000002E-4</v>
      </c>
      <c r="G3" s="4">
        <v>9.9909199999999995E-5</v>
      </c>
      <c r="I3" s="4">
        <v>7.6661299999999997E-4</v>
      </c>
      <c r="J3" s="4">
        <v>1.40598E-4</v>
      </c>
      <c r="L3" s="3">
        <f>AVERAGE(C3,F3,I3)</f>
        <v>6.8027733333333345E-4</v>
      </c>
      <c r="M3" s="3">
        <f>AVERAGE(D3,G3,J3)</f>
        <v>1.1506406666666666E-4</v>
      </c>
      <c r="O3">
        <f>_xlfn.STDEV.P(C3,F3,I3)</f>
        <v>6.5637570208599937E-5</v>
      </c>
      <c r="P3">
        <f>_xlfn.STDEV.P(D3,G3,J3)</f>
        <v>1.8160183185811266E-5</v>
      </c>
    </row>
    <row r="4" spans="1:16" x14ac:dyDescent="0.2">
      <c r="A4" s="2">
        <v>1.5849</v>
      </c>
      <c r="C4" s="4">
        <v>6.9133499999999995E-4</v>
      </c>
      <c r="D4" s="4">
        <v>1.0618700000000001E-4</v>
      </c>
      <c r="F4" s="4">
        <v>6.4144099999999997E-4</v>
      </c>
      <c r="G4" s="4">
        <v>9.8986099999999997E-5</v>
      </c>
      <c r="I4" s="4">
        <v>7.9860300000000005E-4</v>
      </c>
      <c r="J4" s="4">
        <v>1.4214499999999999E-4</v>
      </c>
      <c r="L4" s="3">
        <f>AVERAGE(C4,F4,I4)</f>
        <v>7.1045966666666673E-4</v>
      </c>
      <c r="M4" s="3">
        <f>AVERAGE(D4,G4,J4)</f>
        <v>1.157727E-4</v>
      </c>
      <c r="O4">
        <f>_xlfn.STDEV.P(C4,F4,I4)</f>
        <v>6.5570766948558926E-5</v>
      </c>
      <c r="P4">
        <f>_xlfn.STDEV.P(D4,G4,J4)</f>
        <v>1.8878327886229748E-5</v>
      </c>
    </row>
    <row r="5" spans="1:16" x14ac:dyDescent="0.2">
      <c r="A5" s="2">
        <v>2.5118900000000002</v>
      </c>
      <c r="C5" s="4">
        <v>7.13304E-4</v>
      </c>
      <c r="D5" s="4">
        <v>1.0281300000000001E-4</v>
      </c>
      <c r="F5" s="4">
        <v>6.6795400000000001E-4</v>
      </c>
      <c r="G5" s="4">
        <v>9.7977499999999995E-5</v>
      </c>
      <c r="I5" s="4">
        <v>8.26164E-4</v>
      </c>
      <c r="J5" s="4">
        <v>1.41049E-4</v>
      </c>
      <c r="L5" s="3">
        <f>AVERAGE(C5,F5,I5)</f>
        <v>7.3580733333333337E-4</v>
      </c>
      <c r="M5" s="3">
        <f>AVERAGE(D5,G5,J5)</f>
        <v>1.1394649999999999E-4</v>
      </c>
      <c r="O5">
        <f>_xlfn.STDEV.P(C5,F5,I5)</f>
        <v>6.6520177557055735E-5</v>
      </c>
      <c r="P5">
        <f>_xlfn.STDEV.P(D5,G5,J5)</f>
        <v>1.9265766612483051E-5</v>
      </c>
    </row>
    <row r="6" spans="1:16" x14ac:dyDescent="0.2">
      <c r="A6" s="2">
        <v>3.9810500000000002</v>
      </c>
      <c r="C6" s="4">
        <v>7.3934200000000004E-4</v>
      </c>
      <c r="D6" s="4">
        <v>1.04542E-4</v>
      </c>
      <c r="F6" s="4">
        <v>6.9148899999999999E-4</v>
      </c>
      <c r="G6" s="4">
        <v>1.04626E-4</v>
      </c>
      <c r="I6" s="4">
        <v>8.4986800000000004E-4</v>
      </c>
      <c r="J6" s="4">
        <v>1.3635700000000001E-4</v>
      </c>
      <c r="L6" s="3">
        <f>AVERAGE(C6,F6,I6)</f>
        <v>7.6023300000000002E-4</v>
      </c>
      <c r="M6" s="3">
        <f>AVERAGE(D6,G6,J6)</f>
        <v>1.1517500000000001E-4</v>
      </c>
      <c r="O6">
        <f>_xlfn.STDEV.P(C6,F6,I6)</f>
        <v>6.6323964100466746E-5</v>
      </c>
      <c r="P6">
        <f>_xlfn.STDEV.P(D6,G6,J6)</f>
        <v>1.4977975096787954E-5</v>
      </c>
    </row>
    <row r="7" spans="1:16" x14ac:dyDescent="0.2">
      <c r="A7" s="2">
        <v>6.3095699999999999</v>
      </c>
      <c r="C7" s="4">
        <v>7.6710700000000005E-4</v>
      </c>
      <c r="D7" s="4">
        <v>1.06173E-4</v>
      </c>
      <c r="F7" s="4">
        <v>7.1550699999999999E-4</v>
      </c>
      <c r="G7" s="4">
        <v>1.07637E-4</v>
      </c>
      <c r="I7" s="4">
        <v>8.7952099999999997E-4</v>
      </c>
      <c r="J7" s="4">
        <v>1.44184E-4</v>
      </c>
      <c r="L7" s="3">
        <f>AVERAGE(C7,F7,I7)</f>
        <v>7.873783333333333E-4</v>
      </c>
      <c r="M7" s="3">
        <f>AVERAGE(D7,G7,J7)</f>
        <v>1.1933133333333333E-4</v>
      </c>
      <c r="O7">
        <f>_xlfn.STDEV.P(C7,F7,I7)</f>
        <v>6.847551029544957E-5</v>
      </c>
      <c r="P7">
        <f>_xlfn.STDEV.P(D7,G7,J7)</f>
        <v>1.7583649684357972E-5</v>
      </c>
    </row>
    <row r="8" spans="1:16" x14ac:dyDescent="0.2">
      <c r="A8" s="2">
        <v>10.0001</v>
      </c>
      <c r="C8" s="4">
        <v>7.9238799999999999E-4</v>
      </c>
      <c r="D8" s="4">
        <v>1.18775E-4</v>
      </c>
      <c r="F8" s="4">
        <v>7.3834300000000003E-4</v>
      </c>
      <c r="G8" s="4">
        <v>1.0761599999999999E-4</v>
      </c>
      <c r="I8" s="4">
        <v>9.0967700000000001E-4</v>
      </c>
      <c r="J8" s="4">
        <v>1.5155600000000001E-4</v>
      </c>
      <c r="L8" s="3">
        <f>AVERAGE(C8,F8,I8)</f>
        <v>8.1346933333333331E-4</v>
      </c>
      <c r="M8" s="3">
        <f>AVERAGE(D8,G8,J8)</f>
        <v>1.2598233333333334E-4</v>
      </c>
      <c r="O8">
        <f>_xlfn.STDEV.P(C8,F8,I8)</f>
        <v>7.1517605526347298E-5</v>
      </c>
      <c r="P8">
        <f>_xlfn.STDEV.P(D8,G8,J8)</f>
        <v>1.864832682992112E-5</v>
      </c>
    </row>
    <row r="9" spans="1:16" x14ac:dyDescent="0.2">
      <c r="A9" s="2">
        <v>15.849</v>
      </c>
      <c r="C9" s="4">
        <v>8.2117500000000005E-4</v>
      </c>
      <c r="D9" s="4">
        <v>1.26642E-4</v>
      </c>
      <c r="F9" s="4">
        <v>7.6564500000000002E-4</v>
      </c>
      <c r="G9" s="4">
        <v>1.2211399999999999E-4</v>
      </c>
      <c r="I9" s="4">
        <v>9.3749000000000002E-4</v>
      </c>
      <c r="J9" s="4">
        <v>1.5330699999999999E-4</v>
      </c>
      <c r="L9" s="3">
        <f>AVERAGE(C9,F9,I9)</f>
        <v>8.4143666666666673E-4</v>
      </c>
      <c r="M9" s="3">
        <f>AVERAGE(D9,G9,J9)</f>
        <v>1.3402099999999998E-4</v>
      </c>
      <c r="O9">
        <f>_xlfn.STDEV.P(C9,F9,I9)</f>
        <v>7.1603432684629173E-5</v>
      </c>
      <c r="P9">
        <f>_xlfn.STDEV.P(D9,G9,J9)</f>
        <v>1.3761977643735169E-5</v>
      </c>
    </row>
    <row r="10" spans="1:16" x14ac:dyDescent="0.2">
      <c r="A10" s="2">
        <v>25.1188</v>
      </c>
      <c r="C10" s="4">
        <v>8.5508199999999996E-4</v>
      </c>
      <c r="D10" s="4">
        <v>1.4391499999999999E-4</v>
      </c>
      <c r="F10" s="4">
        <v>7.9206299999999997E-4</v>
      </c>
      <c r="G10" s="4">
        <v>1.2732299999999999E-4</v>
      </c>
      <c r="I10" s="4">
        <v>9.7176200000000004E-4</v>
      </c>
      <c r="J10" s="4">
        <v>1.64792E-4</v>
      </c>
      <c r="L10" s="3">
        <f>AVERAGE(C10,F10,I10)</f>
        <v>8.7296900000000002E-4</v>
      </c>
      <c r="M10" s="3">
        <f>AVERAGE(D10,G10,J10)</f>
        <v>1.4534333333333333E-4</v>
      </c>
      <c r="O10">
        <f>_xlfn.STDEV.P(C10,F10,I10)</f>
        <v>7.4444123237947212E-5</v>
      </c>
      <c r="P10">
        <f>_xlfn.STDEV.P(D10,G10,J10)</f>
        <v>1.5329961781499079E-5</v>
      </c>
    </row>
    <row r="11" spans="1:16" x14ac:dyDescent="0.2">
      <c r="A11" s="2">
        <v>39.810499999999998</v>
      </c>
      <c r="C11" s="4">
        <v>8.8961200000000002E-4</v>
      </c>
      <c r="D11" s="4">
        <v>1.51213E-4</v>
      </c>
      <c r="F11" s="4">
        <v>8.2110400000000002E-4</v>
      </c>
      <c r="G11" s="4">
        <v>1.3389700000000001E-4</v>
      </c>
      <c r="I11" s="4">
        <v>1.00844E-3</v>
      </c>
      <c r="J11" s="4">
        <v>1.7732499999999999E-4</v>
      </c>
      <c r="L11" s="3">
        <f>AVERAGE(C11,F11,I11)</f>
        <v>9.0638533333333349E-4</v>
      </c>
      <c r="M11" s="3">
        <f>AVERAGE(D11,G11,J11)</f>
        <v>1.5414499999999998E-4</v>
      </c>
      <c r="O11">
        <f>_xlfn.STDEV.P(C11,F11,I11)</f>
        <v>7.7393810076919074E-5</v>
      </c>
      <c r="P11">
        <f>_xlfn.STDEV.P(D11,G11,J11)</f>
        <v>1.7850215012710622E-5</v>
      </c>
    </row>
    <row r="12" spans="1:16" x14ac:dyDescent="0.2">
      <c r="A12" s="2">
        <v>63.095700000000001</v>
      </c>
      <c r="C12" s="4">
        <v>9.4129000000000001E-4</v>
      </c>
      <c r="D12" s="4">
        <v>1.6431099999999999E-4</v>
      </c>
      <c r="F12" s="4">
        <v>8.55553E-4</v>
      </c>
      <c r="G12" s="4">
        <v>1.44E-4</v>
      </c>
      <c r="I12" s="4">
        <v>1.0559899999999999E-3</v>
      </c>
      <c r="J12" s="4">
        <v>1.8325899999999999E-4</v>
      </c>
      <c r="L12" s="3">
        <f>AVERAGE(C12,F12,I12)</f>
        <v>9.5094433333333327E-4</v>
      </c>
      <c r="M12" s="3">
        <f>AVERAGE(D12,G12,J12)</f>
        <v>1.6385666666666665E-4</v>
      </c>
      <c r="O12">
        <f>_xlfn.STDEV.P(C12,F12,I12)</f>
        <v>8.2112331011987584E-5</v>
      </c>
      <c r="P12">
        <f>_xlfn.STDEV.P(D12,G12,J12)</f>
        <v>1.6030639087558404E-5</v>
      </c>
    </row>
    <row r="13" spans="1:16" x14ac:dyDescent="0.2">
      <c r="A13" s="2">
        <v>100</v>
      </c>
      <c r="C13" s="4">
        <v>1.00511E-3</v>
      </c>
      <c r="D13" s="4">
        <v>1.76558E-4</v>
      </c>
      <c r="F13" s="4">
        <v>8.8628899999999996E-4</v>
      </c>
      <c r="G13" s="4">
        <v>1.5909400000000001E-4</v>
      </c>
      <c r="I13" s="4">
        <v>1.1165700000000001E-3</v>
      </c>
      <c r="J13" s="4">
        <v>2.0433300000000001E-4</v>
      </c>
      <c r="L13" s="3">
        <f>AVERAGE(C13,F13,I13)</f>
        <v>1.0026563333333334E-3</v>
      </c>
      <c r="M13" s="3">
        <f>AVERAGE(D13,G13,J13)</f>
        <v>1.7999499999999999E-4</v>
      </c>
      <c r="O13">
        <f>_xlfn.STDEV.P(C13,F13,I13)</f>
        <v>9.4027833114574289E-5</v>
      </c>
      <c r="P13">
        <f>_xlfn.STDEV.P(D13,G13,J13)</f>
        <v>1.8627962976843892E-5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F35F-C205-4070-8AA1-DEAC262CC0D6}">
  <dimension ref="A1:P13"/>
  <sheetViews>
    <sheetView workbookViewId="0">
      <selection activeCell="P31" sqref="P31"/>
    </sheetView>
  </sheetViews>
  <sheetFormatPr baseColWidth="10" defaultColWidth="8.83203125" defaultRowHeight="15" x14ac:dyDescent="0.2"/>
  <cols>
    <col min="11" max="11" width="8.66406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13</v>
      </c>
      <c r="M1" s="1" t="s">
        <v>14</v>
      </c>
      <c r="O1" s="1" t="s">
        <v>15</v>
      </c>
      <c r="P1" s="1" t="s">
        <v>16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4.9041099999999995E-4</v>
      </c>
      <c r="D3" s="4">
        <v>1.18205E-4</v>
      </c>
      <c r="F3" s="4">
        <v>1.0937099999999999E-3</v>
      </c>
      <c r="G3" s="4">
        <v>2.2143600000000001E-4</v>
      </c>
      <c r="I3" s="4">
        <v>1.0689899999999999E-3</v>
      </c>
      <c r="J3" s="4">
        <v>2.28106E-4</v>
      </c>
      <c r="L3" s="3">
        <f>AVERAGE(C3,F3,I3)</f>
        <v>8.8437033333333326E-4</v>
      </c>
      <c r="M3" s="3">
        <f>AVERAGE(D3,G3,J3)</f>
        <v>1.8924899999999998E-4</v>
      </c>
      <c r="O3">
        <f>_xlfn.STDEV.P(C3,F3,I3)</f>
        <v>2.7875405747759477E-4</v>
      </c>
      <c r="P3">
        <f>_xlfn.STDEV.P(D3,G3,J3)</f>
        <v>5.0309440313589926E-5</v>
      </c>
    </row>
    <row r="4" spans="1:16" x14ac:dyDescent="0.2">
      <c r="A4" s="2">
        <v>1.5849</v>
      </c>
      <c r="C4" s="4">
        <v>5.27109E-4</v>
      </c>
      <c r="D4" s="4">
        <v>1.19308E-4</v>
      </c>
      <c r="F4" s="4">
        <v>1.16044E-3</v>
      </c>
      <c r="G4" s="4">
        <v>2.1414399999999999E-4</v>
      </c>
      <c r="I4" s="4">
        <v>1.13507E-3</v>
      </c>
      <c r="J4" s="4">
        <v>2.0636600000000001E-4</v>
      </c>
      <c r="L4" s="3">
        <f t="shared" ref="L4:M13" si="0">AVERAGE(C4,F4,I4)</f>
        <v>9.4087300000000006E-4</v>
      </c>
      <c r="M4" s="3">
        <f t="shared" si="0"/>
        <v>1.7993933333333332E-4</v>
      </c>
      <c r="O4">
        <f t="shared" ref="O4:P13" si="1">_xlfn.STDEV.P(C4,F4,I4)</f>
        <v>2.9275859793465785E-4</v>
      </c>
      <c r="P4">
        <f t="shared" si="1"/>
        <v>4.2990256704927402E-5</v>
      </c>
    </row>
    <row r="5" spans="1:16" x14ac:dyDescent="0.2">
      <c r="A5" s="2">
        <v>2.5118900000000002</v>
      </c>
      <c r="C5" s="4">
        <v>5.5787600000000001E-4</v>
      </c>
      <c r="D5" s="4">
        <v>1.1935299999999999E-4</v>
      </c>
      <c r="F5" s="4">
        <v>1.2233400000000001E-3</v>
      </c>
      <c r="G5" s="4">
        <v>2.0824999999999999E-4</v>
      </c>
      <c r="I5" s="4">
        <v>1.21324E-3</v>
      </c>
      <c r="J5" s="4">
        <v>2.15906E-4</v>
      </c>
      <c r="L5" s="3">
        <f t="shared" si="0"/>
        <v>9.9815199999999998E-4</v>
      </c>
      <c r="M5" s="3">
        <f t="shared" si="0"/>
        <v>1.8116966666666665E-4</v>
      </c>
      <c r="O5">
        <f t="shared" si="1"/>
        <v>3.1134944958144162E-4</v>
      </c>
      <c r="P5">
        <f t="shared" si="1"/>
        <v>4.3822587724698426E-5</v>
      </c>
    </row>
    <row r="6" spans="1:16" x14ac:dyDescent="0.2">
      <c r="A6" s="2">
        <v>3.9810500000000002</v>
      </c>
      <c r="C6" s="4">
        <v>5.9478000000000005E-4</v>
      </c>
      <c r="D6" s="4">
        <v>1.1812899999999999E-4</v>
      </c>
      <c r="F6" s="4">
        <v>1.2866100000000001E-3</v>
      </c>
      <c r="G6" s="4">
        <v>2.0676399999999999E-4</v>
      </c>
      <c r="I6" s="4">
        <v>1.2780199999999999E-3</v>
      </c>
      <c r="J6" s="4">
        <v>2.1680199999999999E-4</v>
      </c>
      <c r="L6" s="3">
        <f t="shared" si="0"/>
        <v>1.0531366666666666E-3</v>
      </c>
      <c r="M6" s="3">
        <f t="shared" si="0"/>
        <v>1.8056500000000002E-4</v>
      </c>
      <c r="O6">
        <f t="shared" si="1"/>
        <v>3.2412607879582218E-4</v>
      </c>
      <c r="P6">
        <f t="shared" si="1"/>
        <v>4.4338703431652128E-5</v>
      </c>
    </row>
    <row r="7" spans="1:16" x14ac:dyDescent="0.2">
      <c r="A7" s="2">
        <v>6.3095699999999999</v>
      </c>
      <c r="C7" s="4">
        <v>6.2938999999999996E-4</v>
      </c>
      <c r="D7" s="4">
        <v>1.2095900000000001E-4</v>
      </c>
      <c r="F7" s="4">
        <v>1.34738E-3</v>
      </c>
      <c r="G7" s="4">
        <v>2.0692900000000001E-4</v>
      </c>
      <c r="I7" s="4">
        <v>1.3432699999999999E-3</v>
      </c>
      <c r="J7" s="4">
        <v>2.1726499999999999E-4</v>
      </c>
      <c r="L7" s="3">
        <f t="shared" si="0"/>
        <v>1.1066799999999999E-3</v>
      </c>
      <c r="M7" s="3">
        <f t="shared" si="0"/>
        <v>1.8171766666666669E-4</v>
      </c>
      <c r="O7">
        <f t="shared" si="1"/>
        <v>3.3749916651748936E-4</v>
      </c>
      <c r="P7">
        <f t="shared" si="1"/>
        <v>4.3169587329765172E-5</v>
      </c>
    </row>
    <row r="8" spans="1:16" x14ac:dyDescent="0.2">
      <c r="A8" s="2">
        <v>10.0001</v>
      </c>
      <c r="C8" s="4">
        <v>6.6426500000000004E-4</v>
      </c>
      <c r="D8" s="4">
        <v>1.2463900000000001E-4</v>
      </c>
      <c r="F8" s="4">
        <v>1.4084200000000001E-3</v>
      </c>
      <c r="G8" s="4">
        <v>2.09113E-4</v>
      </c>
      <c r="I8" s="4">
        <v>1.4082599999999999E-3</v>
      </c>
      <c r="J8" s="4">
        <v>2.2085400000000001E-4</v>
      </c>
      <c r="L8" s="3">
        <f t="shared" si="0"/>
        <v>1.1603150000000001E-3</v>
      </c>
      <c r="M8" s="3">
        <f t="shared" si="0"/>
        <v>1.8486866666666667E-4</v>
      </c>
      <c r="O8">
        <f t="shared" si="1"/>
        <v>3.507603248896127E-4</v>
      </c>
      <c r="P8">
        <f t="shared" si="1"/>
        <v>4.2857689549899391E-5</v>
      </c>
    </row>
    <row r="9" spans="1:16" x14ac:dyDescent="0.2">
      <c r="A9" s="2">
        <v>15.849</v>
      </c>
      <c r="C9" s="4">
        <v>6.9974299999999996E-4</v>
      </c>
      <c r="D9" s="4">
        <v>1.2912399999999999E-4</v>
      </c>
      <c r="F9" s="4">
        <v>1.4712799999999999E-3</v>
      </c>
      <c r="G9" s="4">
        <v>2.1632800000000001E-4</v>
      </c>
      <c r="I9" s="4">
        <v>1.4737400000000001E-3</v>
      </c>
      <c r="J9" s="4">
        <v>2.2530299999999999E-4</v>
      </c>
      <c r="L9" s="3">
        <f t="shared" si="0"/>
        <v>1.2149209999999999E-3</v>
      </c>
      <c r="M9" s="3">
        <f t="shared" si="0"/>
        <v>1.9025166666666667E-4</v>
      </c>
      <c r="O9">
        <f t="shared" si="1"/>
        <v>3.6428724166789043E-4</v>
      </c>
      <c r="P9">
        <f t="shared" si="1"/>
        <v>4.3378807270627235E-5</v>
      </c>
    </row>
    <row r="10" spans="1:16" x14ac:dyDescent="0.2">
      <c r="A10" s="2">
        <v>25.1188</v>
      </c>
      <c r="C10" s="4">
        <v>7.35759E-4</v>
      </c>
      <c r="D10" s="4">
        <v>1.3562599999999999E-4</v>
      </c>
      <c r="F10" s="4">
        <v>1.5363900000000001E-3</v>
      </c>
      <c r="G10" s="4">
        <v>2.2706399999999999E-4</v>
      </c>
      <c r="I10" s="4">
        <v>1.5405099999999999E-3</v>
      </c>
      <c r="J10" s="4">
        <v>2.35775E-4</v>
      </c>
      <c r="L10" s="3">
        <f t="shared" si="0"/>
        <v>1.2708863333333335E-3</v>
      </c>
      <c r="M10" s="3">
        <f t="shared" si="0"/>
        <v>1.9948833333333332E-4</v>
      </c>
      <c r="O10">
        <f t="shared" si="1"/>
        <v>3.783959044531123E-4</v>
      </c>
      <c r="P10">
        <f t="shared" si="1"/>
        <v>4.5297303777990532E-5</v>
      </c>
    </row>
    <row r="11" spans="1:16" x14ac:dyDescent="0.2">
      <c r="A11" s="2">
        <v>39.810499999999998</v>
      </c>
      <c r="C11" s="4">
        <v>7.7393600000000002E-4</v>
      </c>
      <c r="D11" s="4">
        <v>1.4522800000000001E-4</v>
      </c>
      <c r="F11" s="4">
        <v>1.6061599999999999E-3</v>
      </c>
      <c r="G11" s="4">
        <v>2.44007E-4</v>
      </c>
      <c r="I11" s="4">
        <v>1.61136E-3</v>
      </c>
      <c r="J11" s="4">
        <v>2.5145099999999997E-4</v>
      </c>
      <c r="L11" s="3">
        <f t="shared" si="0"/>
        <v>1.3304853333333333E-3</v>
      </c>
      <c r="M11" s="3">
        <f t="shared" si="0"/>
        <v>2.1356200000000001E-4</v>
      </c>
      <c r="O11">
        <f t="shared" si="1"/>
        <v>3.9354553343108286E-4</v>
      </c>
      <c r="P11">
        <f t="shared" si="1"/>
        <v>4.8414907834949611E-5</v>
      </c>
    </row>
    <row r="12" spans="1:16" x14ac:dyDescent="0.2">
      <c r="A12" s="2">
        <v>63.095700000000001</v>
      </c>
      <c r="C12" s="4">
        <v>8.1543100000000003E-4</v>
      </c>
      <c r="D12" s="4">
        <v>1.5892900000000001E-4</v>
      </c>
      <c r="F12" s="4">
        <v>1.69283E-3</v>
      </c>
      <c r="G12" s="4">
        <v>2.6646599999999998E-4</v>
      </c>
      <c r="I12" s="4">
        <v>1.69451E-3</v>
      </c>
      <c r="J12" s="4">
        <v>2.7416799999999998E-4</v>
      </c>
      <c r="L12" s="3">
        <f t="shared" si="0"/>
        <v>1.4009236666666666E-3</v>
      </c>
      <c r="M12" s="3">
        <f t="shared" si="0"/>
        <v>2.3318766666666666E-4</v>
      </c>
      <c r="O12">
        <f t="shared" si="1"/>
        <v>4.1400640304254012E-4</v>
      </c>
      <c r="P12">
        <f t="shared" si="1"/>
        <v>5.2602866730076804E-5</v>
      </c>
    </row>
    <row r="13" spans="1:16" x14ac:dyDescent="0.2">
      <c r="A13" s="2">
        <v>100</v>
      </c>
      <c r="C13" s="4">
        <v>8.5099600000000002E-4</v>
      </c>
      <c r="D13" s="4">
        <v>1.78295E-4</v>
      </c>
      <c r="F13" s="4">
        <v>1.80809E-3</v>
      </c>
      <c r="G13" s="4">
        <v>3.0222000000000002E-4</v>
      </c>
      <c r="I13" s="4">
        <v>1.7974600000000001E-3</v>
      </c>
      <c r="J13" s="4">
        <v>3.0836200000000001E-4</v>
      </c>
      <c r="L13" s="3">
        <f t="shared" si="0"/>
        <v>1.4855153333333336E-3</v>
      </c>
      <c r="M13" s="3">
        <f t="shared" si="0"/>
        <v>2.6295900000000006E-4</v>
      </c>
      <c r="O13">
        <f t="shared" si="1"/>
        <v>4.4869391014761451E-4</v>
      </c>
      <c r="P13">
        <f t="shared" si="1"/>
        <v>5.9918977032878889E-5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CDDF-CBFB-DA44-9FED-2BFFD9582D71}">
  <dimension ref="A1:P13"/>
  <sheetViews>
    <sheetView tabSelected="1" workbookViewId="0">
      <selection activeCell="H36" sqref="H36"/>
    </sheetView>
  </sheetViews>
  <sheetFormatPr baseColWidth="10" defaultColWidth="8.83203125" defaultRowHeight="15" x14ac:dyDescent="0.2"/>
  <cols>
    <col min="11" max="11" width="8.832031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13</v>
      </c>
      <c r="M1" s="1" t="s">
        <v>14</v>
      </c>
      <c r="O1" s="1" t="s">
        <v>15</v>
      </c>
      <c r="P1" s="1" t="s">
        <v>16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6.18726E-4</v>
      </c>
      <c r="D3" s="4">
        <v>1.5607800000000001E-4</v>
      </c>
      <c r="F3" s="4">
        <v>5.9186600000000003E-4</v>
      </c>
      <c r="G3" s="4">
        <v>1.45296E-4</v>
      </c>
      <c r="I3" s="4">
        <v>6.2280799999999998E-4</v>
      </c>
      <c r="J3" s="4">
        <v>1.4660199999999999E-4</v>
      </c>
      <c r="L3" s="3">
        <f>AVERAGE(C3,F3,I3)</f>
        <v>6.111333333333333E-4</v>
      </c>
      <c r="M3" s="3">
        <f>AVERAGE(D3,G3,J3)</f>
        <v>1.4932533333333333E-4</v>
      </c>
      <c r="O3">
        <f>_xlfn.STDEV.P(C3,F3,I3)</f>
        <v>1.3725603358525082E-5</v>
      </c>
      <c r="P3">
        <f>_xlfn.STDEV.P(D3,G3,J3)</f>
        <v>4.8045318421488546E-6</v>
      </c>
    </row>
    <row r="4" spans="1:16" x14ac:dyDescent="0.2">
      <c r="A4" s="2">
        <v>1.5849</v>
      </c>
      <c r="C4" s="4">
        <v>6.6174799999999998E-4</v>
      </c>
      <c r="D4" s="4">
        <v>1.5428100000000001E-4</v>
      </c>
      <c r="F4" s="4">
        <v>6.3780399999999995E-4</v>
      </c>
      <c r="G4" s="4">
        <v>1.42204E-4</v>
      </c>
      <c r="I4" s="4">
        <v>6.6930699999999995E-4</v>
      </c>
      <c r="J4" s="4">
        <v>1.4673400000000001E-4</v>
      </c>
      <c r="L4" s="3">
        <f>AVERAGE(C4,F4,I4)</f>
        <v>6.5628633333333333E-4</v>
      </c>
      <c r="M4" s="3">
        <f>AVERAGE(D4,G4,J4)</f>
        <v>1.4773966666666667E-4</v>
      </c>
      <c r="O4">
        <f>_xlfn.STDEV.P(C4,F4,I4)</f>
        <v>1.3428380501344494E-5</v>
      </c>
      <c r="P4">
        <f>_xlfn.STDEV.P(D4,G4,J4)</f>
        <v>4.9814326141070042E-6</v>
      </c>
    </row>
    <row r="5" spans="1:16" x14ac:dyDescent="0.2">
      <c r="A5" s="2">
        <v>2.5118900000000002</v>
      </c>
      <c r="C5" s="4">
        <v>7.0672699999999998E-4</v>
      </c>
      <c r="D5" s="4">
        <v>1.55241E-4</v>
      </c>
      <c r="F5" s="4">
        <v>6.8279300000000001E-4</v>
      </c>
      <c r="G5" s="4">
        <v>1.42428E-4</v>
      </c>
      <c r="I5" s="4">
        <v>7.14158E-4</v>
      </c>
      <c r="J5" s="4">
        <v>1.43769E-4</v>
      </c>
      <c r="L5" s="3">
        <f>AVERAGE(C5,F5,I5)</f>
        <v>7.01226E-4</v>
      </c>
      <c r="M5" s="3">
        <f>AVERAGE(D5,G5,J5)</f>
        <v>1.4714599999999999E-4</v>
      </c>
      <c r="O5">
        <f>_xlfn.STDEV.P(C5,F5,I5)</f>
        <v>1.3382489977578906E-5</v>
      </c>
      <c r="P5">
        <f>_xlfn.STDEV.P(D5,G5,J5)</f>
        <v>5.7501500849977822E-6</v>
      </c>
    </row>
    <row r="6" spans="1:16" x14ac:dyDescent="0.2">
      <c r="A6" s="2">
        <v>3.9810500000000002</v>
      </c>
      <c r="C6" s="4">
        <v>7.4834299999999995E-4</v>
      </c>
      <c r="D6" s="4">
        <v>1.5609599999999999E-4</v>
      </c>
      <c r="F6" s="4">
        <v>7.26215E-4</v>
      </c>
      <c r="G6" s="4">
        <v>1.4242200000000001E-4</v>
      </c>
      <c r="I6" s="4">
        <v>7.5724899999999999E-4</v>
      </c>
      <c r="J6" s="4">
        <v>1.44962E-4</v>
      </c>
      <c r="L6" s="3">
        <f>AVERAGE(C6,F6,I6)</f>
        <v>7.4393566666666657E-4</v>
      </c>
      <c r="M6" s="3">
        <f>AVERAGE(D6,G6,J6)</f>
        <v>1.4782666666666666E-4</v>
      </c>
      <c r="O6">
        <f>_xlfn.STDEV.P(C6,F6,I6)</f>
        <v>1.3047240559682416E-5</v>
      </c>
      <c r="P6">
        <f>_xlfn.STDEV.P(D6,G6,J6)</f>
        <v>5.9385354722823253E-6</v>
      </c>
    </row>
    <row r="7" spans="1:16" x14ac:dyDescent="0.2">
      <c r="A7" s="2">
        <v>6.3095699999999999</v>
      </c>
      <c r="C7" s="4">
        <v>7.9254200000000003E-4</v>
      </c>
      <c r="D7" s="4">
        <v>1.55401E-4</v>
      </c>
      <c r="F7" s="4">
        <v>7.6914300000000002E-4</v>
      </c>
      <c r="G7" s="4">
        <v>1.4385400000000001E-4</v>
      </c>
      <c r="I7" s="4">
        <v>8.0073299999999998E-4</v>
      </c>
      <c r="J7" s="4">
        <v>1.4565300000000001E-4</v>
      </c>
      <c r="L7" s="3">
        <f>AVERAGE(C7,F7,I7)</f>
        <v>7.8747266666666675E-4</v>
      </c>
      <c r="M7" s="3">
        <f>AVERAGE(D7,G7,J7)</f>
        <v>1.4830266666666667E-4</v>
      </c>
      <c r="O7">
        <f>_xlfn.STDEV.P(C7,F7,I7)</f>
        <v>1.338545554780344E-5</v>
      </c>
      <c r="P7">
        <f>_xlfn.STDEV.P(D7,G7,J7)</f>
        <v>5.0727278876578996E-6</v>
      </c>
    </row>
    <row r="8" spans="1:16" x14ac:dyDescent="0.2">
      <c r="A8" s="2">
        <v>10.0001</v>
      </c>
      <c r="C8" s="4">
        <v>8.3531700000000003E-4</v>
      </c>
      <c r="D8" s="4">
        <v>1.6101599999999999E-4</v>
      </c>
      <c r="F8" s="4">
        <v>8.1119799999999995E-4</v>
      </c>
      <c r="G8" s="4">
        <v>1.4553499999999999E-4</v>
      </c>
      <c r="I8" s="4">
        <v>8.4314100000000005E-4</v>
      </c>
      <c r="J8" s="4">
        <v>1.47412E-4</v>
      </c>
      <c r="L8" s="3">
        <f>AVERAGE(C8,F8,I8)</f>
        <v>8.2988533333333331E-4</v>
      </c>
      <c r="M8" s="3">
        <f>AVERAGE(D8,G8,J8)</f>
        <v>1.5132099999999997E-4</v>
      </c>
      <c r="O8">
        <f>_xlfn.STDEV.P(C8,F8,I8)</f>
        <v>1.3594510272737178E-5</v>
      </c>
      <c r="P8">
        <f>_xlfn.STDEV.P(D8,G8,J8)</f>
        <v>6.8980939879554129E-6</v>
      </c>
    </row>
    <row r="9" spans="1:16" x14ac:dyDescent="0.2">
      <c r="A9" s="2">
        <v>15.849</v>
      </c>
      <c r="C9" s="4">
        <v>8.7551100000000004E-4</v>
      </c>
      <c r="D9" s="4">
        <v>1.6537E-4</v>
      </c>
      <c r="F9" s="4">
        <v>8.5343599999999995E-4</v>
      </c>
      <c r="G9" s="4">
        <v>1.4930799999999999E-4</v>
      </c>
      <c r="I9" s="4">
        <v>8.8569600000000005E-4</v>
      </c>
      <c r="J9" s="4">
        <v>1.5177100000000001E-4</v>
      </c>
      <c r="L9" s="3">
        <f>AVERAGE(C9,F9,I9)</f>
        <v>8.7154766666666661E-4</v>
      </c>
      <c r="M9" s="3">
        <f>AVERAGE(D9,G9,J9)</f>
        <v>1.5548299999999999E-4</v>
      </c>
      <c r="O9">
        <f>_xlfn.STDEV.P(C9,F9,I9)</f>
        <v>1.3464964620162335E-5</v>
      </c>
      <c r="P9">
        <f>_xlfn.STDEV.P(D9,G9,J9)</f>
        <v>7.0631045581953563E-6</v>
      </c>
    </row>
    <row r="10" spans="1:16" x14ac:dyDescent="0.2">
      <c r="A10" s="2">
        <v>25.1188</v>
      </c>
      <c r="C10" s="4">
        <v>9.1944300000000004E-4</v>
      </c>
      <c r="D10" s="4">
        <v>1.7880399999999999E-4</v>
      </c>
      <c r="F10" s="4">
        <v>8.9517399999999999E-4</v>
      </c>
      <c r="G10" s="4">
        <v>1.5636299999999999E-4</v>
      </c>
      <c r="I10" s="4">
        <v>9.2874699999999995E-4</v>
      </c>
      <c r="J10" s="4">
        <v>1.5960799999999999E-4</v>
      </c>
      <c r="L10" s="3">
        <f>AVERAGE(C10,F10,I10)</f>
        <v>9.1445466666666662E-4</v>
      </c>
      <c r="M10" s="3">
        <f>AVERAGE(D10,G10,J10)</f>
        <v>1.6492500000000001E-4</v>
      </c>
      <c r="O10">
        <f>_xlfn.STDEV.P(C10,F10,I10)</f>
        <v>1.4152719039895549E-5</v>
      </c>
      <c r="P10">
        <f>_xlfn.STDEV.P(D10,G10,J10)</f>
        <v>9.9029452521291174E-6</v>
      </c>
    </row>
    <row r="11" spans="1:16" x14ac:dyDescent="0.2">
      <c r="A11" s="2">
        <v>39.810499999999998</v>
      </c>
      <c r="C11" s="4">
        <v>9.6311900000000002E-4</v>
      </c>
      <c r="D11" s="4">
        <v>1.9882E-4</v>
      </c>
      <c r="F11" s="4">
        <v>9.3869899999999998E-4</v>
      </c>
      <c r="G11" s="4">
        <v>1.6791399999999999E-4</v>
      </c>
      <c r="I11" s="4">
        <v>9.7515899999999997E-4</v>
      </c>
      <c r="J11" s="4">
        <v>1.72053E-4</v>
      </c>
      <c r="L11" s="3">
        <f>AVERAGE(C11,F11,I11)</f>
        <v>9.5899233333333336E-4</v>
      </c>
      <c r="M11" s="3">
        <f>AVERAGE(D11,G11,J11)</f>
        <v>1.7959566666666667E-4</v>
      </c>
      <c r="O11">
        <f>_xlfn.STDEV.P(C11,F11,I11)</f>
        <v>1.516805707912373E-5</v>
      </c>
      <c r="P11">
        <f>_xlfn.STDEV.P(D11,G11,J11)</f>
        <v>1.3698274205980191E-5</v>
      </c>
    </row>
    <row r="12" spans="1:16" x14ac:dyDescent="0.2">
      <c r="A12" s="2">
        <v>63.095700000000001</v>
      </c>
      <c r="C12" s="4">
        <v>1.0146000000000001E-3</v>
      </c>
      <c r="D12" s="4">
        <v>2.2086499999999999E-4</v>
      </c>
      <c r="F12" s="4">
        <v>9.8779100000000002E-4</v>
      </c>
      <c r="G12" s="4">
        <v>1.8568400000000001E-4</v>
      </c>
      <c r="I12" s="4">
        <v>1.03107E-3</v>
      </c>
      <c r="J12" s="4">
        <v>1.9108499999999999E-4</v>
      </c>
      <c r="L12" s="3">
        <f>AVERAGE(C12,F12,I12)</f>
        <v>1.0111536666666668E-3</v>
      </c>
      <c r="M12" s="3">
        <f>AVERAGE(D12,G12,J12)</f>
        <v>1.9921133333333332E-4</v>
      </c>
      <c r="O12">
        <f>_xlfn.STDEV.P(C12,F12,I12)</f>
        <v>1.7835841636684521E-5</v>
      </c>
      <c r="P12">
        <f>_xlfn.STDEV.P(D12,G12,J12)</f>
        <v>1.5469403357021307E-5</v>
      </c>
    </row>
    <row r="13" spans="1:16" x14ac:dyDescent="0.2">
      <c r="A13" s="2">
        <v>100</v>
      </c>
      <c r="C13" s="4">
        <v>1.06003E-3</v>
      </c>
      <c r="D13" s="4">
        <v>2.4488299999999999E-4</v>
      </c>
      <c r="F13" s="4">
        <v>1.03174E-3</v>
      </c>
      <c r="G13" s="4">
        <v>2.10977E-4</v>
      </c>
      <c r="I13" s="4">
        <v>1.0922900000000001E-3</v>
      </c>
      <c r="J13" s="4">
        <v>2.1804999999999999E-4</v>
      </c>
      <c r="L13" s="3">
        <f>AVERAGE(C13,F13,I13)</f>
        <v>1.0613533333333333E-3</v>
      </c>
      <c r="M13" s="3">
        <f>AVERAGE(D13,G13,J13)</f>
        <v>2.2463666666666668E-4</v>
      </c>
      <c r="O13">
        <f>_xlfn.STDEV.P(C13,F13,I13)</f>
        <v>2.4737138521304867E-5</v>
      </c>
      <c r="P13">
        <f>_xlfn.STDEV.P(D13,G13,J13)</f>
        <v>1.4604618957332946E-5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F34B-7C64-4F77-98E1-232A96506A44}">
  <dimension ref="A1:P13"/>
  <sheetViews>
    <sheetView workbookViewId="0">
      <selection activeCell="Q31" sqref="Q31"/>
    </sheetView>
  </sheetViews>
  <sheetFormatPr baseColWidth="10" defaultColWidth="8.83203125" defaultRowHeight="15" x14ac:dyDescent="0.2"/>
  <cols>
    <col min="11" max="11" width="8.832031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17</v>
      </c>
      <c r="M1" s="1" t="s">
        <v>18</v>
      </c>
      <c r="O1" s="1" t="s">
        <v>19</v>
      </c>
      <c r="P1" s="1" t="s">
        <v>20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7.5956299999999999E-4</v>
      </c>
      <c r="D3" s="4">
        <v>2.1090900000000001E-4</v>
      </c>
      <c r="F3" s="4">
        <v>1.1720400000000001E-3</v>
      </c>
      <c r="G3" s="4">
        <v>2.79296E-4</v>
      </c>
      <c r="I3" s="4">
        <v>1.0826900000000001E-3</v>
      </c>
      <c r="J3" s="4">
        <v>2.3461700000000001E-4</v>
      </c>
      <c r="L3" s="3">
        <f>AVERAGE(C3,F3,I3)</f>
        <v>1.0047643333333334E-3</v>
      </c>
      <c r="M3" s="3">
        <f>AVERAGE(D3,G3,J3)</f>
        <v>2.4160733333333337E-4</v>
      </c>
      <c r="O3">
        <f>_xlfn.STDEV.P(C3,F3,I3)</f>
        <v>1.7717905449259204E-4</v>
      </c>
      <c r="P3">
        <f>_xlfn.STDEV.P(D3,G3,J3)</f>
        <v>2.8353059944602489E-5</v>
      </c>
    </row>
    <row r="4" spans="1:16" x14ac:dyDescent="0.2">
      <c r="A4" s="2">
        <v>1.5849</v>
      </c>
      <c r="C4" s="4">
        <v>8.3589999999999999E-4</v>
      </c>
      <c r="D4" s="4">
        <v>1.9971600000000001E-4</v>
      </c>
      <c r="F4" s="4">
        <v>1.29747E-3</v>
      </c>
      <c r="G4" s="4">
        <v>2.6596699999999998E-4</v>
      </c>
      <c r="I4" s="4">
        <v>1.1793800000000001E-3</v>
      </c>
      <c r="J4" s="4">
        <v>2.3458600000000001E-4</v>
      </c>
      <c r="L4" s="3">
        <f t="shared" ref="L4:M13" si="0">AVERAGE(C4,F4,I4)</f>
        <v>1.10425E-3</v>
      </c>
      <c r="M4" s="3">
        <f t="shared" si="0"/>
        <v>2.3342299999999999E-4</v>
      </c>
      <c r="O4">
        <f t="shared" ref="O4:P13" si="1">_xlfn.STDEV.P(C4,F4,I4)</f>
        <v>1.9578066622285938E-4</v>
      </c>
      <c r="P4">
        <f t="shared" si="1"/>
        <v>2.7059356693511139E-5</v>
      </c>
    </row>
    <row r="5" spans="1:16" x14ac:dyDescent="0.2">
      <c r="A5" s="2">
        <v>2.5118900000000002</v>
      </c>
      <c r="C5" s="4">
        <v>9.0332599999999998E-4</v>
      </c>
      <c r="D5" s="4">
        <v>2.0032700000000001E-4</v>
      </c>
      <c r="F5" s="4">
        <v>1.40131E-3</v>
      </c>
      <c r="G5" s="4">
        <v>2.6176999999999998E-4</v>
      </c>
      <c r="I5" s="4">
        <v>1.2621399999999999E-3</v>
      </c>
      <c r="J5" s="4">
        <v>2.2052399999999999E-4</v>
      </c>
      <c r="L5" s="3">
        <f t="shared" si="0"/>
        <v>1.1889253333333333E-3</v>
      </c>
      <c r="M5" s="3">
        <f t="shared" si="0"/>
        <v>2.2754033333333333E-4</v>
      </c>
      <c r="O5">
        <f t="shared" si="1"/>
        <v>2.0978926986436227E-4</v>
      </c>
      <c r="P5">
        <f t="shared" si="1"/>
        <v>2.5569933676531538E-5</v>
      </c>
    </row>
    <row r="6" spans="1:16" x14ac:dyDescent="0.2">
      <c r="A6" s="2">
        <v>3.9810500000000002</v>
      </c>
      <c r="C6" s="4">
        <v>9.7439499999999997E-4</v>
      </c>
      <c r="D6" s="4">
        <v>1.9729799999999999E-4</v>
      </c>
      <c r="F6" s="4">
        <v>1.49069E-3</v>
      </c>
      <c r="G6" s="4">
        <v>2.4880200000000001E-4</v>
      </c>
      <c r="I6" s="4">
        <v>1.3435000000000001E-3</v>
      </c>
      <c r="J6" s="4">
        <v>2.2642499999999999E-4</v>
      </c>
      <c r="L6" s="3">
        <f t="shared" si="0"/>
        <v>1.2695283333333334E-3</v>
      </c>
      <c r="M6" s="3">
        <f t="shared" si="0"/>
        <v>2.2417499999999999E-4</v>
      </c>
      <c r="O6">
        <f t="shared" si="1"/>
        <v>2.1716965312605006E-4</v>
      </c>
      <c r="P6">
        <f t="shared" si="1"/>
        <v>2.1086526171942125E-5</v>
      </c>
    </row>
    <row r="7" spans="1:16" x14ac:dyDescent="0.2">
      <c r="A7" s="2">
        <v>6.3095699999999999</v>
      </c>
      <c r="C7" s="4">
        <v>1.0422000000000001E-3</v>
      </c>
      <c r="D7" s="4">
        <v>1.9706899999999999E-4</v>
      </c>
      <c r="F7" s="4">
        <v>1.5877E-3</v>
      </c>
      <c r="G7" s="4">
        <v>2.5550099999999999E-4</v>
      </c>
      <c r="I7" s="4">
        <v>1.4248500000000001E-3</v>
      </c>
      <c r="J7" s="4">
        <v>2.2766299999999999E-4</v>
      </c>
      <c r="L7" s="3">
        <f t="shared" si="0"/>
        <v>1.3515833333333333E-3</v>
      </c>
      <c r="M7" s="3">
        <f t="shared" si="0"/>
        <v>2.2674433333333334E-4</v>
      </c>
      <c r="O7">
        <f t="shared" si="1"/>
        <v>2.2864611059208699E-4</v>
      </c>
      <c r="P7">
        <f t="shared" si="1"/>
        <v>2.3863607122329368E-5</v>
      </c>
    </row>
    <row r="8" spans="1:16" x14ac:dyDescent="0.2">
      <c r="A8" s="2">
        <v>10.0001</v>
      </c>
      <c r="C8" s="4">
        <v>1.1084700000000001E-3</v>
      </c>
      <c r="D8" s="4">
        <v>2.0477200000000001E-4</v>
      </c>
      <c r="F8" s="4">
        <v>1.67377E-3</v>
      </c>
      <c r="G8" s="4">
        <v>2.5945299999999998E-4</v>
      </c>
      <c r="I8" s="4">
        <v>1.5135599999999999E-3</v>
      </c>
      <c r="J8" s="4">
        <v>2.3650400000000001E-4</v>
      </c>
      <c r="L8" s="3">
        <f t="shared" si="0"/>
        <v>1.4319333333333332E-3</v>
      </c>
      <c r="M8" s="3">
        <f t="shared" si="0"/>
        <v>2.3357633333333334E-4</v>
      </c>
      <c r="O8">
        <f t="shared" si="1"/>
        <v>2.3789102131484955E-4</v>
      </c>
      <c r="P8">
        <f t="shared" si="1"/>
        <v>2.241920849529606E-5</v>
      </c>
    </row>
    <row r="9" spans="1:16" x14ac:dyDescent="0.2">
      <c r="A9" s="2">
        <v>15.849</v>
      </c>
      <c r="C9" s="4">
        <v>1.1698100000000001E-3</v>
      </c>
      <c r="D9" s="4">
        <v>2.11036E-4</v>
      </c>
      <c r="F9" s="4">
        <v>1.76026E-3</v>
      </c>
      <c r="G9" s="4">
        <v>2.6380899999999999E-4</v>
      </c>
      <c r="I9" s="4">
        <v>1.6029499999999999E-3</v>
      </c>
      <c r="J9" s="4">
        <v>2.5024699999999999E-4</v>
      </c>
      <c r="L9" s="3">
        <f t="shared" si="0"/>
        <v>1.5110066666666666E-3</v>
      </c>
      <c r="M9" s="3">
        <f t="shared" si="0"/>
        <v>2.4169733333333332E-4</v>
      </c>
      <c r="O9">
        <f t="shared" si="1"/>
        <v>2.4966375125133578E-4</v>
      </c>
      <c r="P9">
        <f t="shared" si="1"/>
        <v>2.2376624445066673E-5</v>
      </c>
    </row>
    <row r="10" spans="1:16" x14ac:dyDescent="0.2">
      <c r="A10" s="2">
        <v>25.1188</v>
      </c>
      <c r="C10" s="4">
        <v>1.2350200000000001E-3</v>
      </c>
      <c r="D10" s="4">
        <v>2.1782999999999999E-4</v>
      </c>
      <c r="F10" s="4">
        <v>1.85771E-3</v>
      </c>
      <c r="G10" s="4">
        <v>2.8009299999999998E-4</v>
      </c>
      <c r="I10" s="4">
        <v>1.69429E-3</v>
      </c>
      <c r="J10" s="4">
        <v>2.6917E-4</v>
      </c>
      <c r="L10" s="3">
        <f t="shared" si="0"/>
        <v>1.5956733333333335E-3</v>
      </c>
      <c r="M10" s="3">
        <f t="shared" si="0"/>
        <v>2.5569766666666663E-4</v>
      </c>
      <c r="O10">
        <f t="shared" si="1"/>
        <v>2.6360278733141061E-4</v>
      </c>
      <c r="P10">
        <f t="shared" si="1"/>
        <v>2.7145264981003382E-5</v>
      </c>
    </row>
    <row r="11" spans="1:16" x14ac:dyDescent="0.2">
      <c r="A11" s="2">
        <v>39.810499999999998</v>
      </c>
      <c r="C11" s="4">
        <v>1.32745E-3</v>
      </c>
      <c r="D11" s="4">
        <v>2.3565399999999999E-4</v>
      </c>
      <c r="F11" s="4">
        <v>1.9746199999999998E-3</v>
      </c>
      <c r="G11" s="4">
        <v>3.0178799999999999E-4</v>
      </c>
      <c r="I11" s="4">
        <v>1.80518E-3</v>
      </c>
      <c r="J11" s="4">
        <v>2.9035900000000002E-4</v>
      </c>
      <c r="L11" s="3">
        <f t="shared" si="0"/>
        <v>1.7024166666666665E-3</v>
      </c>
      <c r="M11" s="3">
        <f t="shared" si="0"/>
        <v>2.7593366666666666E-4</v>
      </c>
      <c r="O11">
        <f t="shared" si="1"/>
        <v>2.7401639760341994E-4</v>
      </c>
      <c r="P11">
        <f t="shared" si="1"/>
        <v>2.8861672050585629E-5</v>
      </c>
    </row>
    <row r="12" spans="1:16" x14ac:dyDescent="0.2">
      <c r="A12" s="2">
        <v>63.095700000000001</v>
      </c>
      <c r="C12" s="4">
        <v>1.4682E-3</v>
      </c>
      <c r="D12" s="4">
        <v>2.5828899999999998E-4</v>
      </c>
      <c r="F12" s="4">
        <v>2.1466800000000002E-3</v>
      </c>
      <c r="G12" s="4">
        <v>3.2961999999999998E-4</v>
      </c>
      <c r="I12" s="4">
        <v>1.9652699999999999E-3</v>
      </c>
      <c r="J12" s="4">
        <v>3.2128099999999998E-4</v>
      </c>
      <c r="L12" s="3">
        <f t="shared" si="0"/>
        <v>1.86005E-3</v>
      </c>
      <c r="M12" s="3">
        <f t="shared" si="0"/>
        <v>3.0306333333333333E-4</v>
      </c>
      <c r="O12">
        <f t="shared" si="1"/>
        <v>2.8680680361525601E-4</v>
      </c>
      <c r="P12">
        <f t="shared" si="1"/>
        <v>3.1842743017662423E-5</v>
      </c>
    </row>
    <row r="13" spans="1:16" x14ac:dyDescent="0.2">
      <c r="A13" s="2">
        <v>100</v>
      </c>
      <c r="C13" s="4">
        <v>1.7133599999999999E-3</v>
      </c>
      <c r="D13" s="4">
        <v>2.8946100000000003E-4</v>
      </c>
      <c r="F13" s="4">
        <v>2.4599299999999999E-3</v>
      </c>
      <c r="G13" s="4">
        <v>3.75805E-4</v>
      </c>
      <c r="I13" s="4">
        <v>2.2317600000000002E-3</v>
      </c>
      <c r="J13" s="4">
        <v>3.6363699999999999E-4</v>
      </c>
      <c r="L13" s="3">
        <f t="shared" si="0"/>
        <v>2.1350166666666667E-3</v>
      </c>
      <c r="M13" s="3">
        <f t="shared" si="0"/>
        <v>3.4296766666666671E-4</v>
      </c>
      <c r="O13">
        <f t="shared" si="1"/>
        <v>3.1236852768627135E-4</v>
      </c>
      <c r="P13">
        <f t="shared" si="1"/>
        <v>3.8159643511029923E-5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172F-993D-A04F-AF82-FB9251198575}">
  <dimension ref="A1:P13"/>
  <sheetViews>
    <sheetView workbookViewId="0">
      <selection activeCell="O26" sqref="O26"/>
    </sheetView>
  </sheetViews>
  <sheetFormatPr baseColWidth="10" defaultColWidth="8.83203125" defaultRowHeight="15" x14ac:dyDescent="0.2"/>
  <cols>
    <col min="11" max="11" width="8.832031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17</v>
      </c>
      <c r="M1" s="1" t="s">
        <v>18</v>
      </c>
      <c r="O1" s="1" t="s">
        <v>19</v>
      </c>
      <c r="P1" s="1" t="s">
        <v>20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5.5858100000000005E-4</v>
      </c>
      <c r="D3" s="4">
        <v>1.7972999999999999E-4</v>
      </c>
      <c r="F3" s="4">
        <v>5.6745799999999996E-4</v>
      </c>
      <c r="G3" s="4">
        <v>1.9078899999999999E-4</v>
      </c>
      <c r="I3" s="4">
        <v>5.5790799999999997E-4</v>
      </c>
      <c r="J3" s="4">
        <v>1.51519E-4</v>
      </c>
      <c r="L3" s="3">
        <f>AVERAGE(C3,F3,I3)</f>
        <v>5.613156666666667E-4</v>
      </c>
      <c r="M3" s="3">
        <f>AVERAGE(D3,G3,J3)</f>
        <v>1.7401266666666664E-4</v>
      </c>
      <c r="O3">
        <f>_xlfn.STDEV.P(C3,F3,I3)</f>
        <v>4.3519670903575731E-6</v>
      </c>
      <c r="P3">
        <f>_xlfn.STDEV.P(D3,G3,J3)</f>
        <v>1.653378662685055E-5</v>
      </c>
    </row>
    <row r="4" spans="1:16" x14ac:dyDescent="0.2">
      <c r="A4" s="2">
        <v>1.5849</v>
      </c>
      <c r="C4" s="4">
        <v>5.98137E-4</v>
      </c>
      <c r="D4" s="4">
        <v>1.8114499999999999E-4</v>
      </c>
      <c r="F4" s="4">
        <v>6.0939800000000004E-4</v>
      </c>
      <c r="G4" s="4">
        <v>1.9068000000000001E-4</v>
      </c>
      <c r="I4" s="4">
        <v>5.9969899999999998E-4</v>
      </c>
      <c r="J4" s="4">
        <v>1.5384E-4</v>
      </c>
      <c r="L4" s="3">
        <f>AVERAGE(C4,F4,I4)</f>
        <v>6.0241133333333334E-4</v>
      </c>
      <c r="M4" s="3">
        <f>AVERAGE(D4,G4,J4)</f>
        <v>1.7522166666666668E-4</v>
      </c>
      <c r="O4">
        <f>_xlfn.STDEV.P(C4,F4,I4)</f>
        <v>4.9813046706884373E-6</v>
      </c>
      <c r="P4">
        <f>_xlfn.STDEV.P(D4,G4,J4)</f>
        <v>1.5612191995004702E-5</v>
      </c>
    </row>
    <row r="5" spans="1:16" x14ac:dyDescent="0.2">
      <c r="A5" s="2">
        <v>2.5118900000000002</v>
      </c>
      <c r="C5" s="4">
        <v>6.4263600000000003E-4</v>
      </c>
      <c r="D5" s="4">
        <v>1.80259E-4</v>
      </c>
      <c r="F5" s="4">
        <v>6.61508E-4</v>
      </c>
      <c r="G5" s="4">
        <v>1.8930999999999999E-4</v>
      </c>
      <c r="I5" s="4">
        <v>6.4398500000000002E-4</v>
      </c>
      <c r="J5" s="4">
        <v>1.54301E-4</v>
      </c>
      <c r="L5" s="3">
        <f>AVERAGE(C5,F5,I5)</f>
        <v>6.4937633333333339E-4</v>
      </c>
      <c r="M5" s="3">
        <f>AVERAGE(D5,G5,J5)</f>
        <v>1.7462333333333332E-4</v>
      </c>
      <c r="O5">
        <f>_xlfn.STDEV.P(C5,F5,I5)</f>
        <v>8.5960437540895496E-6</v>
      </c>
      <c r="P5">
        <f>_xlfn.STDEV.P(D5,G5,J5)</f>
        <v>1.4837521678351659E-5</v>
      </c>
    </row>
    <row r="6" spans="1:16" x14ac:dyDescent="0.2">
      <c r="A6" s="2">
        <v>3.9810500000000002</v>
      </c>
      <c r="C6" s="4">
        <v>6.8260499999999997E-4</v>
      </c>
      <c r="D6" s="4">
        <v>1.86999E-4</v>
      </c>
      <c r="F6" s="4">
        <v>6.9540300000000004E-4</v>
      </c>
      <c r="G6" s="4">
        <v>1.9296499999999999E-4</v>
      </c>
      <c r="I6" s="4">
        <v>6.8364900000000004E-4</v>
      </c>
      <c r="J6" s="4">
        <v>1.5726100000000001E-4</v>
      </c>
      <c r="L6" s="3">
        <f>AVERAGE(C6,F6,I6)</f>
        <v>6.8721900000000009E-4</v>
      </c>
      <c r="M6" s="3">
        <f>AVERAGE(D6,G6,J6)</f>
        <v>1.79075E-4</v>
      </c>
      <c r="O6">
        <f>_xlfn.STDEV.P(C6,F6,I6)</f>
        <v>5.8026359527373575E-6</v>
      </c>
      <c r="P6">
        <f>_xlfn.STDEV.P(D6,G6,J6)</f>
        <v>1.5615937072960638E-5</v>
      </c>
    </row>
    <row r="7" spans="1:16" x14ac:dyDescent="0.2">
      <c r="A7" s="2">
        <v>6.3095699999999999</v>
      </c>
      <c r="C7" s="4">
        <v>7.26766E-4</v>
      </c>
      <c r="D7" s="4">
        <v>1.9101400000000001E-4</v>
      </c>
      <c r="F7" s="4">
        <v>7.3883100000000001E-4</v>
      </c>
      <c r="G7" s="4">
        <v>1.9979700000000001E-4</v>
      </c>
      <c r="I7" s="4">
        <v>7.2725800000000005E-4</v>
      </c>
      <c r="J7" s="4">
        <v>1.62447E-4</v>
      </c>
      <c r="L7" s="3">
        <f>AVERAGE(C7,F7,I7)</f>
        <v>7.3095166666666672E-4</v>
      </c>
      <c r="M7" s="3">
        <f>AVERAGE(D7,G7,J7)</f>
        <v>1.8441933333333336E-4</v>
      </c>
      <c r="O7">
        <f>_xlfn.STDEV.P(C7,F7,I7)</f>
        <v>5.5751494050732698E-6</v>
      </c>
      <c r="P7">
        <f>_xlfn.STDEV.P(D7,G7,J7)</f>
        <v>1.5945173696834487E-5</v>
      </c>
    </row>
    <row r="8" spans="1:16" x14ac:dyDescent="0.2">
      <c r="A8" s="2">
        <v>10.0001</v>
      </c>
      <c r="C8" s="4">
        <v>7.66312E-4</v>
      </c>
      <c r="D8" s="4">
        <v>1.98292E-4</v>
      </c>
      <c r="F8" s="4">
        <v>7.8169899999999996E-4</v>
      </c>
      <c r="G8" s="4">
        <v>2.06641E-4</v>
      </c>
      <c r="I8" s="4">
        <v>7.6794799999999996E-4</v>
      </c>
      <c r="J8" s="4">
        <v>1.71373E-4</v>
      </c>
      <c r="L8" s="3">
        <f>AVERAGE(C8,F8,I8)</f>
        <v>7.7198633333333327E-4</v>
      </c>
      <c r="M8" s="3">
        <f>AVERAGE(D8,G8,J8)</f>
        <v>1.9210199999999998E-4</v>
      </c>
      <c r="O8">
        <f>_xlfn.STDEV.P(C8,F8,I8)</f>
        <v>6.9002919906012221E-6</v>
      </c>
      <c r="P8">
        <f>_xlfn.STDEV.P(D8,G8,J8)</f>
        <v>1.5048699412241577E-5</v>
      </c>
    </row>
    <row r="9" spans="1:16" x14ac:dyDescent="0.2">
      <c r="A9" s="2">
        <v>15.849</v>
      </c>
      <c r="C9" s="4">
        <v>8.1139199999999997E-4</v>
      </c>
      <c r="D9" s="4">
        <v>2.06763E-4</v>
      </c>
      <c r="F9" s="4">
        <v>8.2521899999999997E-4</v>
      </c>
      <c r="G9" s="4">
        <v>2.1802799999999999E-4</v>
      </c>
      <c r="I9" s="4">
        <v>8.08894E-4</v>
      </c>
      <c r="J9" s="4">
        <v>1.8111000000000001E-4</v>
      </c>
      <c r="L9" s="3">
        <f>AVERAGE(C9,F9,I9)</f>
        <v>8.1516833333333339E-4</v>
      </c>
      <c r="M9" s="3">
        <f>AVERAGE(D9,G9,J9)</f>
        <v>2.0196700000000003E-4</v>
      </c>
      <c r="O9">
        <f>_xlfn.STDEV.P(C9,F9,I9)</f>
        <v>7.179690166635939E-6</v>
      </c>
      <c r="P9">
        <f>_xlfn.STDEV.P(D9,G9,J9)</f>
        <v>1.5448535917684879E-5</v>
      </c>
    </row>
    <row r="10" spans="1:16" x14ac:dyDescent="0.2">
      <c r="A10" s="2">
        <v>25.1188</v>
      </c>
      <c r="C10" s="4">
        <v>8.54513E-4</v>
      </c>
      <c r="D10" s="4">
        <v>2.20948E-4</v>
      </c>
      <c r="F10" s="4">
        <v>8.7184399999999998E-4</v>
      </c>
      <c r="G10" s="4">
        <v>2.32339E-4</v>
      </c>
      <c r="I10" s="4">
        <v>8.5385400000000003E-4</v>
      </c>
      <c r="J10" s="4">
        <v>1.94413E-4</v>
      </c>
      <c r="L10" s="3">
        <f>AVERAGE(C10,F10,I10)</f>
        <v>8.6007033333333326E-4</v>
      </c>
      <c r="M10" s="3">
        <f>AVERAGE(D10,G10,J10)</f>
        <v>2.1589999999999999E-4</v>
      </c>
      <c r="O10">
        <f>_xlfn.STDEV.P(C10,F10,I10)</f>
        <v>8.3295854371964585E-6</v>
      </c>
      <c r="P10">
        <f>_xlfn.STDEV.P(D10,G10,J10)</f>
        <v>1.5889348570662046E-5</v>
      </c>
    </row>
    <row r="11" spans="1:16" x14ac:dyDescent="0.2">
      <c r="A11" s="2">
        <v>39.810499999999998</v>
      </c>
      <c r="C11" s="4">
        <v>9.0491699999999998E-4</v>
      </c>
      <c r="D11" s="4">
        <v>2.4131000000000001E-4</v>
      </c>
      <c r="F11" s="4">
        <v>9.2419699999999997E-4</v>
      </c>
      <c r="G11" s="4">
        <v>2.5403300000000003E-4</v>
      </c>
      <c r="I11" s="4">
        <v>9.0449699999999998E-4</v>
      </c>
      <c r="J11" s="4">
        <v>2.15453E-4</v>
      </c>
      <c r="L11" s="3">
        <f>AVERAGE(C11,F11,I11)</f>
        <v>9.1120366666666661E-4</v>
      </c>
      <c r="M11" s="3">
        <f>AVERAGE(D11,G11,J11)</f>
        <v>2.3693200000000003E-4</v>
      </c>
      <c r="O11">
        <f>_xlfn.STDEV.P(C11,F11,I11)</f>
        <v>9.1892739406089898E-6</v>
      </c>
      <c r="P11">
        <f>_xlfn.STDEV.P(D11,G11,J11)</f>
        <v>1.6051568209991207E-5</v>
      </c>
    </row>
    <row r="12" spans="1:16" x14ac:dyDescent="0.2">
      <c r="A12" s="2">
        <v>63.095700000000001</v>
      </c>
      <c r="C12" s="4">
        <v>9.6684099999999997E-4</v>
      </c>
      <c r="D12" s="4">
        <v>2.6730299999999999E-4</v>
      </c>
      <c r="F12" s="4">
        <v>9.8934499999999998E-4</v>
      </c>
      <c r="G12" s="4">
        <v>2.79182E-4</v>
      </c>
      <c r="I12" s="4">
        <v>9.6762900000000002E-4</v>
      </c>
      <c r="J12" s="4">
        <v>2.38395E-4</v>
      </c>
      <c r="L12" s="3">
        <f>AVERAGE(C12,F12,I12)</f>
        <v>9.7460499999999992E-4</v>
      </c>
      <c r="M12" s="3">
        <f>AVERAGE(D12,G12,J12)</f>
        <v>2.6162666666666663E-4</v>
      </c>
      <c r="O12">
        <f>_xlfn.STDEV.P(C12,F12,I12)</f>
        <v>1.0427717423610335E-5</v>
      </c>
      <c r="P12">
        <f>_xlfn.STDEV.P(D12,G12,J12)</f>
        <v>1.7128152504640487E-5</v>
      </c>
    </row>
    <row r="13" spans="1:16" x14ac:dyDescent="0.2">
      <c r="A13" s="2">
        <v>100</v>
      </c>
      <c r="C13" s="4">
        <v>1.03764E-3</v>
      </c>
      <c r="D13" s="4">
        <v>3.0019399999999999E-4</v>
      </c>
      <c r="F13" s="4">
        <v>1.0734900000000001E-3</v>
      </c>
      <c r="G13" s="4">
        <v>3.17289E-4</v>
      </c>
      <c r="I13" s="4">
        <v>1.0453699999999999E-3</v>
      </c>
      <c r="J13" s="4">
        <v>2.7415000000000002E-4</v>
      </c>
      <c r="L13" s="3">
        <f>AVERAGE(C13,F13,I13)</f>
        <v>1.0521666666666667E-3</v>
      </c>
      <c r="M13" s="3">
        <f>AVERAGE(D13,G13,J13)</f>
        <v>2.9721100000000002E-4</v>
      </c>
      <c r="O13">
        <f>_xlfn.STDEV.P(C13,F13,I13)</f>
        <v>1.5404580126991127E-5</v>
      </c>
      <c r="P13">
        <f>_xlfn.STDEV.P(D13,G13,J13)</f>
        <v>1.7737287410048539E-5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WT_24</vt:lpstr>
      <vt:lpstr>WT_72</vt:lpstr>
      <vt:lpstr>Spore-_24</vt:lpstr>
      <vt:lpstr>Spore-_72</vt:lpstr>
      <vt:lpstr>PGA-_24</vt:lpstr>
      <vt:lpstr>PGA-_72</vt:lpstr>
      <vt:lpstr>EPS-_24</vt:lpstr>
      <vt:lpstr>EPS-_72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Ducharme, Nicolas Andrew</cp:lastModifiedBy>
  <dcterms:created xsi:type="dcterms:W3CDTF">2025-07-22T15:19:18Z</dcterms:created>
  <dcterms:modified xsi:type="dcterms:W3CDTF">2026-09-09T20:12:11Z</dcterms:modified>
</cp:coreProperties>
</file>
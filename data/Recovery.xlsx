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ick Lab/Analysis/Rheometry/Recovery/"/>
    </mc:Choice>
  </mc:AlternateContent>
  <xr:revisionPtr revIDLastSave="0" documentId="13_ncr:1_{4F8D3C8B-A3C9-7E4C-8807-E9642021E3E1}" xr6:coauthVersionLast="47" xr6:coauthVersionMax="47" xr10:uidLastSave="{00000000-0000-0000-0000-000000000000}"/>
  <bookViews>
    <workbookView xWindow="1520" yWindow="500" windowWidth="29640" windowHeight="20880" xr2:uid="{99ED6CDB-A5F5-4A7C-94E6-4FC76C7CFC82}"/>
  </bookViews>
  <sheets>
    <sheet name="WT_24" sheetId="1" r:id="rId1"/>
    <sheet name="WT_72" sheetId="18" r:id="rId2"/>
    <sheet name="Spore-_24" sheetId="2" r:id="rId3"/>
    <sheet name="Spore-_72" sheetId="19" r:id="rId4"/>
    <sheet name="PGA-_24" sheetId="3" r:id="rId5"/>
    <sheet name="PGA-_72" sheetId="20" r:id="rId6"/>
    <sheet name="EPS-_24" sheetId="7" r:id="rId7"/>
    <sheet name="EPS-_72" sheetId="2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1" l="1"/>
  <c r="E3" i="21"/>
  <c r="I3" i="21"/>
  <c r="J3" i="21"/>
  <c r="N3" i="21"/>
  <c r="O3" i="21"/>
  <c r="Q3" i="21"/>
  <c r="R3" i="21"/>
  <c r="T3" i="21"/>
  <c r="U3" i="21"/>
  <c r="W3" i="21"/>
  <c r="X3" i="21"/>
  <c r="D4" i="21"/>
  <c r="E4" i="21"/>
  <c r="I4" i="21"/>
  <c r="T4" i="21" s="1"/>
  <c r="J4" i="21"/>
  <c r="U4" i="21" s="1"/>
  <c r="N4" i="21"/>
  <c r="O4" i="21"/>
  <c r="Q4" i="21"/>
  <c r="R4" i="21"/>
  <c r="W4" i="21"/>
  <c r="X4" i="21"/>
  <c r="D5" i="21"/>
  <c r="E5" i="21"/>
  <c r="I5" i="21"/>
  <c r="T5" i="21" s="1"/>
  <c r="J5" i="21"/>
  <c r="N5" i="21"/>
  <c r="O5" i="21"/>
  <c r="Q5" i="21"/>
  <c r="R5" i="21"/>
  <c r="U5" i="21"/>
  <c r="W5" i="21"/>
  <c r="X5" i="21"/>
  <c r="D6" i="21"/>
  <c r="E6" i="21"/>
  <c r="I6" i="21"/>
  <c r="T6" i="21" s="1"/>
  <c r="J6" i="21"/>
  <c r="U6" i="21" s="1"/>
  <c r="N6" i="21"/>
  <c r="O6" i="21"/>
  <c r="Q6" i="21"/>
  <c r="R6" i="21"/>
  <c r="W6" i="21"/>
  <c r="X6" i="21"/>
  <c r="D7" i="21"/>
  <c r="E7" i="21"/>
  <c r="I7" i="21"/>
  <c r="T7" i="21" s="1"/>
  <c r="J7" i="21"/>
  <c r="U7" i="21" s="1"/>
  <c r="N7" i="21"/>
  <c r="O7" i="21"/>
  <c r="Q7" i="21"/>
  <c r="R7" i="21"/>
  <c r="W7" i="21"/>
  <c r="X7" i="21"/>
  <c r="D8" i="21"/>
  <c r="E8" i="21"/>
  <c r="I8" i="21"/>
  <c r="T8" i="21" s="1"/>
  <c r="J8" i="21"/>
  <c r="U8" i="21" s="1"/>
  <c r="N8" i="21"/>
  <c r="O8" i="21"/>
  <c r="Q8" i="21"/>
  <c r="R8" i="21"/>
  <c r="W8" i="21"/>
  <c r="X8" i="21"/>
  <c r="D9" i="21"/>
  <c r="E9" i="21"/>
  <c r="I9" i="21"/>
  <c r="T9" i="21" s="1"/>
  <c r="J9" i="21"/>
  <c r="U9" i="21" s="1"/>
  <c r="N9" i="21"/>
  <c r="O9" i="21"/>
  <c r="Q9" i="21"/>
  <c r="R9" i="21"/>
  <c r="W9" i="21"/>
  <c r="X9" i="21"/>
  <c r="D10" i="21"/>
  <c r="E10" i="21"/>
  <c r="I10" i="21"/>
  <c r="T10" i="21" s="1"/>
  <c r="J10" i="21"/>
  <c r="U10" i="21" s="1"/>
  <c r="N10" i="21"/>
  <c r="O10" i="21"/>
  <c r="Q10" i="21"/>
  <c r="R10" i="21"/>
  <c r="W10" i="21"/>
  <c r="X10" i="21"/>
  <c r="D11" i="21"/>
  <c r="E11" i="21"/>
  <c r="I11" i="21"/>
  <c r="T11" i="21" s="1"/>
  <c r="J11" i="21"/>
  <c r="U11" i="21" s="1"/>
  <c r="N11" i="21"/>
  <c r="O11" i="21"/>
  <c r="Q11" i="21"/>
  <c r="R11" i="21"/>
  <c r="W11" i="21"/>
  <c r="X11" i="21"/>
  <c r="D12" i="21"/>
  <c r="E12" i="21"/>
  <c r="I12" i="21"/>
  <c r="T12" i="21" s="1"/>
  <c r="J12" i="21"/>
  <c r="U12" i="21" s="1"/>
  <c r="N12" i="21"/>
  <c r="O12" i="21"/>
  <c r="Q12" i="21"/>
  <c r="R12" i="21"/>
  <c r="W12" i="21"/>
  <c r="X12" i="21"/>
  <c r="D13" i="21"/>
  <c r="E13" i="21"/>
  <c r="I13" i="21"/>
  <c r="T13" i="21" s="1"/>
  <c r="J13" i="21"/>
  <c r="U13" i="21" s="1"/>
  <c r="N13" i="21"/>
  <c r="O13" i="21"/>
  <c r="Q13" i="21"/>
  <c r="R13" i="21"/>
  <c r="W13" i="21"/>
  <c r="X13" i="21"/>
  <c r="D14" i="21"/>
  <c r="E14" i="21"/>
  <c r="I14" i="21"/>
  <c r="T14" i="21" s="1"/>
  <c r="J14" i="21"/>
  <c r="U14" i="21" s="1"/>
  <c r="N14" i="21"/>
  <c r="O14" i="21"/>
  <c r="Q14" i="21"/>
  <c r="R14" i="21"/>
  <c r="W14" i="21"/>
  <c r="X14" i="21"/>
  <c r="D15" i="21"/>
  <c r="E15" i="21"/>
  <c r="I15" i="21"/>
  <c r="T15" i="21" s="1"/>
  <c r="J15" i="21"/>
  <c r="U15" i="21" s="1"/>
  <c r="N15" i="21"/>
  <c r="O15" i="21"/>
  <c r="Q15" i="21"/>
  <c r="R15" i="21"/>
  <c r="W15" i="21"/>
  <c r="X15" i="21"/>
  <c r="D16" i="21"/>
  <c r="E16" i="21"/>
  <c r="I16" i="21"/>
  <c r="T16" i="21" s="1"/>
  <c r="J16" i="21"/>
  <c r="U16" i="21" s="1"/>
  <c r="N16" i="21"/>
  <c r="O16" i="21"/>
  <c r="Q16" i="21"/>
  <c r="R16" i="21"/>
  <c r="W16" i="21"/>
  <c r="X16" i="21"/>
  <c r="D17" i="21"/>
  <c r="E17" i="21"/>
  <c r="I17" i="21"/>
  <c r="T17" i="21" s="1"/>
  <c r="J17" i="21"/>
  <c r="U17" i="21" s="1"/>
  <c r="N17" i="21"/>
  <c r="O17" i="21"/>
  <c r="Q17" i="21"/>
  <c r="R17" i="21"/>
  <c r="W17" i="21"/>
  <c r="X17" i="21"/>
  <c r="D18" i="21"/>
  <c r="E18" i="21"/>
  <c r="I18" i="21"/>
  <c r="T18" i="21" s="1"/>
  <c r="J18" i="21"/>
  <c r="U18" i="21" s="1"/>
  <c r="N18" i="21"/>
  <c r="O18" i="21"/>
  <c r="Q18" i="21"/>
  <c r="R18" i="21"/>
  <c r="W18" i="21"/>
  <c r="X18" i="21"/>
  <c r="D19" i="21"/>
  <c r="E19" i="21"/>
  <c r="I19" i="21"/>
  <c r="T19" i="21" s="1"/>
  <c r="J19" i="21"/>
  <c r="U19" i="21" s="1"/>
  <c r="N19" i="21"/>
  <c r="O19" i="21"/>
  <c r="Q19" i="21"/>
  <c r="R19" i="21"/>
  <c r="W19" i="21"/>
  <c r="X19" i="21"/>
  <c r="D20" i="21"/>
  <c r="E20" i="21"/>
  <c r="I20" i="21"/>
  <c r="T20" i="21" s="1"/>
  <c r="J20" i="21"/>
  <c r="U20" i="21" s="1"/>
  <c r="N20" i="21"/>
  <c r="O20" i="21"/>
  <c r="Q20" i="21"/>
  <c r="R20" i="21"/>
  <c r="W20" i="21"/>
  <c r="X20" i="21"/>
  <c r="D21" i="21"/>
  <c r="E21" i="21"/>
  <c r="I21" i="21"/>
  <c r="T21" i="21" s="1"/>
  <c r="J21" i="21"/>
  <c r="U21" i="21" s="1"/>
  <c r="N21" i="21"/>
  <c r="O21" i="21"/>
  <c r="Q21" i="21"/>
  <c r="R21" i="21"/>
  <c r="W21" i="21"/>
  <c r="X21" i="21"/>
  <c r="D22" i="21"/>
  <c r="E22" i="21"/>
  <c r="I22" i="21"/>
  <c r="T22" i="21" s="1"/>
  <c r="J22" i="21"/>
  <c r="U22" i="21" s="1"/>
  <c r="N22" i="21"/>
  <c r="O22" i="21"/>
  <c r="Q22" i="21"/>
  <c r="R22" i="21"/>
  <c r="W22" i="21"/>
  <c r="X22" i="21"/>
  <c r="D23" i="21"/>
  <c r="E23" i="21"/>
  <c r="I23" i="21"/>
  <c r="T23" i="21" s="1"/>
  <c r="J23" i="21"/>
  <c r="U23" i="21" s="1"/>
  <c r="N23" i="21"/>
  <c r="O23" i="21"/>
  <c r="Q23" i="21"/>
  <c r="R23" i="21"/>
  <c r="W23" i="21"/>
  <c r="X23" i="21"/>
  <c r="D24" i="21"/>
  <c r="E24" i="21"/>
  <c r="I24" i="21"/>
  <c r="T24" i="21" s="1"/>
  <c r="J24" i="21"/>
  <c r="U24" i="21" s="1"/>
  <c r="N24" i="21"/>
  <c r="O24" i="21"/>
  <c r="Q24" i="21"/>
  <c r="R24" i="21"/>
  <c r="W24" i="21"/>
  <c r="X24" i="21"/>
  <c r="D25" i="21"/>
  <c r="E25" i="21"/>
  <c r="I25" i="21"/>
  <c r="T25" i="21" s="1"/>
  <c r="J25" i="21"/>
  <c r="U25" i="21" s="1"/>
  <c r="N25" i="21"/>
  <c r="O25" i="21"/>
  <c r="Q25" i="21"/>
  <c r="R25" i="21"/>
  <c r="W25" i="21"/>
  <c r="X25" i="21"/>
  <c r="D26" i="21"/>
  <c r="E26" i="21"/>
  <c r="I26" i="21"/>
  <c r="T26" i="21" s="1"/>
  <c r="J26" i="21"/>
  <c r="U26" i="21" s="1"/>
  <c r="N26" i="21"/>
  <c r="O26" i="21"/>
  <c r="Q26" i="21"/>
  <c r="R26" i="21"/>
  <c r="W26" i="21"/>
  <c r="X26" i="21"/>
  <c r="D27" i="21"/>
  <c r="E27" i="21"/>
  <c r="I27" i="21"/>
  <c r="T27" i="21" s="1"/>
  <c r="J27" i="21"/>
  <c r="U27" i="21" s="1"/>
  <c r="N27" i="21"/>
  <c r="O27" i="21"/>
  <c r="Q27" i="21"/>
  <c r="R27" i="21"/>
  <c r="W27" i="21"/>
  <c r="X27" i="21"/>
  <c r="D28" i="21"/>
  <c r="E28" i="21"/>
  <c r="I28" i="21"/>
  <c r="T28" i="21" s="1"/>
  <c r="J28" i="21"/>
  <c r="U28" i="21" s="1"/>
  <c r="N28" i="21"/>
  <c r="O28" i="21"/>
  <c r="Q28" i="21"/>
  <c r="R28" i="21"/>
  <c r="W28" i="21"/>
  <c r="X28" i="21"/>
  <c r="D29" i="21"/>
  <c r="E29" i="21"/>
  <c r="I29" i="21"/>
  <c r="T29" i="21" s="1"/>
  <c r="J29" i="21"/>
  <c r="U29" i="21" s="1"/>
  <c r="N29" i="21"/>
  <c r="O29" i="21"/>
  <c r="Q29" i="21"/>
  <c r="R29" i="21"/>
  <c r="W29" i="21"/>
  <c r="X29" i="21"/>
  <c r="D30" i="21"/>
  <c r="E30" i="21"/>
  <c r="I30" i="21"/>
  <c r="T30" i="21" s="1"/>
  <c r="J30" i="21"/>
  <c r="U30" i="21" s="1"/>
  <c r="N30" i="21"/>
  <c r="O30" i="21"/>
  <c r="Q30" i="21"/>
  <c r="R30" i="21"/>
  <c r="W30" i="21"/>
  <c r="X30" i="21"/>
  <c r="D31" i="21"/>
  <c r="E31" i="21"/>
  <c r="I31" i="21"/>
  <c r="T31" i="21" s="1"/>
  <c r="J31" i="21"/>
  <c r="U31" i="21" s="1"/>
  <c r="N31" i="21"/>
  <c r="O31" i="21"/>
  <c r="Q31" i="21"/>
  <c r="R31" i="21"/>
  <c r="W31" i="21"/>
  <c r="X31" i="21"/>
  <c r="D32" i="21"/>
  <c r="E32" i="21"/>
  <c r="I32" i="21"/>
  <c r="T32" i="21" s="1"/>
  <c r="J32" i="21"/>
  <c r="U32" i="21" s="1"/>
  <c r="N32" i="21"/>
  <c r="O32" i="21"/>
  <c r="Q32" i="21"/>
  <c r="R32" i="21"/>
  <c r="W32" i="21"/>
  <c r="X32" i="21"/>
  <c r="D33" i="21"/>
  <c r="E33" i="21"/>
  <c r="I33" i="21"/>
  <c r="T33" i="21" s="1"/>
  <c r="J33" i="21"/>
  <c r="U33" i="21" s="1"/>
  <c r="N33" i="21"/>
  <c r="O33" i="21"/>
  <c r="Q33" i="21"/>
  <c r="R33" i="21"/>
  <c r="W33" i="21"/>
  <c r="X33" i="21"/>
  <c r="D34" i="21"/>
  <c r="E34" i="21"/>
  <c r="I34" i="21"/>
  <c r="T34" i="21" s="1"/>
  <c r="J34" i="21"/>
  <c r="U34" i="21" s="1"/>
  <c r="N34" i="21"/>
  <c r="O34" i="21"/>
  <c r="Q34" i="21"/>
  <c r="R34" i="21"/>
  <c r="W34" i="21"/>
  <c r="X34" i="21"/>
  <c r="D35" i="21"/>
  <c r="E35" i="21"/>
  <c r="I35" i="21"/>
  <c r="T35" i="21" s="1"/>
  <c r="J35" i="21"/>
  <c r="U35" i="21" s="1"/>
  <c r="N35" i="21"/>
  <c r="O35" i="21"/>
  <c r="Q35" i="21"/>
  <c r="R35" i="21"/>
  <c r="W35" i="21"/>
  <c r="X35" i="21"/>
  <c r="D36" i="21"/>
  <c r="E36" i="21"/>
  <c r="I36" i="21"/>
  <c r="T36" i="21" s="1"/>
  <c r="J36" i="21"/>
  <c r="U36" i="21" s="1"/>
  <c r="N36" i="21"/>
  <c r="O36" i="21"/>
  <c r="Q36" i="21"/>
  <c r="R36" i="21"/>
  <c r="W36" i="21"/>
  <c r="X36" i="21"/>
  <c r="D37" i="21"/>
  <c r="E37" i="21"/>
  <c r="I37" i="21"/>
  <c r="T37" i="21" s="1"/>
  <c r="J37" i="21"/>
  <c r="U37" i="21" s="1"/>
  <c r="N37" i="21"/>
  <c r="O37" i="21"/>
  <c r="Q37" i="21"/>
  <c r="R37" i="21"/>
  <c r="W37" i="21"/>
  <c r="X37" i="21"/>
  <c r="D38" i="21"/>
  <c r="E38" i="21"/>
  <c r="I38" i="21"/>
  <c r="T38" i="21" s="1"/>
  <c r="J38" i="21"/>
  <c r="U38" i="21" s="1"/>
  <c r="N38" i="21"/>
  <c r="O38" i="21"/>
  <c r="Q38" i="21"/>
  <c r="R38" i="21"/>
  <c r="W38" i="21"/>
  <c r="X38" i="21"/>
  <c r="D39" i="21"/>
  <c r="E39" i="21"/>
  <c r="I39" i="21"/>
  <c r="T39" i="21" s="1"/>
  <c r="J39" i="21"/>
  <c r="U39" i="21" s="1"/>
  <c r="N39" i="21"/>
  <c r="O39" i="21"/>
  <c r="Q39" i="21"/>
  <c r="R39" i="21"/>
  <c r="W39" i="21"/>
  <c r="X39" i="21"/>
  <c r="D40" i="21"/>
  <c r="E40" i="21"/>
  <c r="I40" i="21"/>
  <c r="T40" i="21" s="1"/>
  <c r="J40" i="21"/>
  <c r="U40" i="21" s="1"/>
  <c r="N40" i="21"/>
  <c r="O40" i="21"/>
  <c r="Q40" i="21"/>
  <c r="R40" i="21"/>
  <c r="W40" i="21"/>
  <c r="X40" i="21"/>
  <c r="D41" i="21"/>
  <c r="E41" i="21"/>
  <c r="I41" i="21"/>
  <c r="T41" i="21" s="1"/>
  <c r="J41" i="21"/>
  <c r="U41" i="21" s="1"/>
  <c r="N41" i="21"/>
  <c r="O41" i="21"/>
  <c r="Q41" i="21"/>
  <c r="R41" i="21"/>
  <c r="W41" i="21"/>
  <c r="X41" i="21"/>
  <c r="D42" i="21"/>
  <c r="E42" i="21"/>
  <c r="I42" i="21"/>
  <c r="T42" i="21" s="1"/>
  <c r="J42" i="21"/>
  <c r="U42" i="21" s="1"/>
  <c r="N42" i="21"/>
  <c r="O42" i="21"/>
  <c r="Q42" i="21"/>
  <c r="R42" i="21"/>
  <c r="W42" i="21"/>
  <c r="X42" i="21"/>
  <c r="D43" i="21"/>
  <c r="E43" i="21"/>
  <c r="I43" i="21"/>
  <c r="T43" i="21" s="1"/>
  <c r="J43" i="21"/>
  <c r="U43" i="21" s="1"/>
  <c r="N43" i="21"/>
  <c r="O43" i="21"/>
  <c r="Q43" i="21"/>
  <c r="R43" i="21"/>
  <c r="W43" i="21"/>
  <c r="X43" i="21"/>
  <c r="D44" i="21"/>
  <c r="E44" i="21"/>
  <c r="I44" i="21"/>
  <c r="T44" i="21" s="1"/>
  <c r="J44" i="21"/>
  <c r="U44" i="21" s="1"/>
  <c r="N44" i="21"/>
  <c r="O44" i="21"/>
  <c r="Q44" i="21"/>
  <c r="R44" i="21"/>
  <c r="W44" i="21"/>
  <c r="X44" i="21"/>
  <c r="D45" i="21"/>
  <c r="E45" i="21"/>
  <c r="I45" i="21"/>
  <c r="T45" i="21" s="1"/>
  <c r="J45" i="21"/>
  <c r="U45" i="21" s="1"/>
  <c r="N45" i="21"/>
  <c r="O45" i="21"/>
  <c r="Q45" i="21"/>
  <c r="R45" i="21"/>
  <c r="W45" i="21"/>
  <c r="X45" i="21"/>
  <c r="D46" i="21"/>
  <c r="E46" i="21"/>
  <c r="I46" i="21"/>
  <c r="T46" i="21" s="1"/>
  <c r="J46" i="21"/>
  <c r="U46" i="21" s="1"/>
  <c r="N46" i="21"/>
  <c r="O46" i="21"/>
  <c r="Q46" i="21"/>
  <c r="R46" i="21"/>
  <c r="W46" i="21"/>
  <c r="X46" i="21"/>
  <c r="D47" i="21"/>
  <c r="E47" i="21"/>
  <c r="I47" i="21"/>
  <c r="T47" i="21" s="1"/>
  <c r="J47" i="21"/>
  <c r="U47" i="21" s="1"/>
  <c r="N47" i="21"/>
  <c r="O47" i="21"/>
  <c r="Q47" i="21"/>
  <c r="R47" i="21"/>
  <c r="W47" i="21"/>
  <c r="X47" i="21"/>
  <c r="D48" i="21"/>
  <c r="E48" i="21"/>
  <c r="I48" i="21"/>
  <c r="T48" i="21" s="1"/>
  <c r="J48" i="21"/>
  <c r="U48" i="21" s="1"/>
  <c r="N48" i="21"/>
  <c r="O48" i="21"/>
  <c r="Q48" i="21"/>
  <c r="R48" i="21"/>
  <c r="W48" i="21"/>
  <c r="X48" i="21"/>
  <c r="D49" i="21"/>
  <c r="E49" i="21"/>
  <c r="I49" i="21"/>
  <c r="T49" i="21" s="1"/>
  <c r="J49" i="21"/>
  <c r="U49" i="21" s="1"/>
  <c r="N49" i="21"/>
  <c r="O49" i="21"/>
  <c r="Q49" i="21"/>
  <c r="R49" i="21"/>
  <c r="W49" i="21"/>
  <c r="X49" i="21"/>
  <c r="D50" i="21"/>
  <c r="E50" i="21"/>
  <c r="I50" i="21"/>
  <c r="T50" i="21" s="1"/>
  <c r="J50" i="21"/>
  <c r="U50" i="21" s="1"/>
  <c r="N50" i="21"/>
  <c r="O50" i="21"/>
  <c r="Q50" i="21"/>
  <c r="R50" i="21"/>
  <c r="W50" i="21"/>
  <c r="X50" i="21"/>
  <c r="D51" i="21"/>
  <c r="E51" i="21"/>
  <c r="I51" i="21"/>
  <c r="T51" i="21" s="1"/>
  <c r="J51" i="21"/>
  <c r="U51" i="21" s="1"/>
  <c r="N51" i="21"/>
  <c r="O51" i="21"/>
  <c r="Q51" i="21"/>
  <c r="R51" i="21"/>
  <c r="W51" i="21"/>
  <c r="X51" i="21"/>
  <c r="D52" i="21"/>
  <c r="E52" i="21"/>
  <c r="I52" i="21"/>
  <c r="T52" i="21" s="1"/>
  <c r="J52" i="21"/>
  <c r="U52" i="21" s="1"/>
  <c r="N52" i="21"/>
  <c r="O52" i="21"/>
  <c r="Q52" i="21"/>
  <c r="R52" i="21"/>
  <c r="W52" i="21"/>
  <c r="X52" i="21"/>
  <c r="D53" i="21"/>
  <c r="E53" i="21"/>
  <c r="I53" i="21"/>
  <c r="T53" i="21" s="1"/>
  <c r="J53" i="21"/>
  <c r="U53" i="21" s="1"/>
  <c r="N53" i="21"/>
  <c r="O53" i="21"/>
  <c r="Q53" i="21"/>
  <c r="R53" i="21"/>
  <c r="W53" i="21"/>
  <c r="X53" i="21"/>
  <c r="D54" i="21"/>
  <c r="E54" i="21"/>
  <c r="I54" i="21"/>
  <c r="T54" i="21" s="1"/>
  <c r="J54" i="21"/>
  <c r="U54" i="21" s="1"/>
  <c r="N54" i="21"/>
  <c r="O54" i="21"/>
  <c r="Q54" i="21"/>
  <c r="R54" i="21"/>
  <c r="W54" i="21"/>
  <c r="X54" i="21"/>
  <c r="D55" i="21"/>
  <c r="E55" i="21"/>
  <c r="I55" i="21"/>
  <c r="T55" i="21" s="1"/>
  <c r="J55" i="21"/>
  <c r="U55" i="21" s="1"/>
  <c r="N55" i="21"/>
  <c r="O55" i="21"/>
  <c r="Q55" i="21"/>
  <c r="R55" i="21"/>
  <c r="W55" i="21"/>
  <c r="X55" i="21"/>
  <c r="D56" i="21"/>
  <c r="E56" i="21"/>
  <c r="I56" i="21"/>
  <c r="T56" i="21" s="1"/>
  <c r="J56" i="21"/>
  <c r="U56" i="21" s="1"/>
  <c r="N56" i="21"/>
  <c r="O56" i="21"/>
  <c r="Q56" i="21"/>
  <c r="R56" i="21"/>
  <c r="W56" i="21"/>
  <c r="X56" i="21"/>
  <c r="D57" i="21"/>
  <c r="E57" i="21"/>
  <c r="I57" i="21"/>
  <c r="T57" i="21" s="1"/>
  <c r="J57" i="21"/>
  <c r="U57" i="21" s="1"/>
  <c r="N57" i="21"/>
  <c r="O57" i="21"/>
  <c r="Q57" i="21"/>
  <c r="R57" i="21"/>
  <c r="W57" i="21"/>
  <c r="X57" i="21"/>
  <c r="D58" i="21"/>
  <c r="E58" i="21"/>
  <c r="I58" i="21"/>
  <c r="T58" i="21" s="1"/>
  <c r="J58" i="21"/>
  <c r="U58" i="21" s="1"/>
  <c r="N58" i="21"/>
  <c r="O58" i="21"/>
  <c r="Q58" i="21"/>
  <c r="R58" i="21"/>
  <c r="W58" i="21"/>
  <c r="X58" i="21"/>
  <c r="D59" i="21"/>
  <c r="E59" i="21"/>
  <c r="I59" i="21"/>
  <c r="T59" i="21" s="1"/>
  <c r="J59" i="21"/>
  <c r="U59" i="21" s="1"/>
  <c r="N59" i="21"/>
  <c r="O59" i="21"/>
  <c r="Q59" i="21"/>
  <c r="R59" i="21"/>
  <c r="W59" i="21"/>
  <c r="X59" i="21"/>
  <c r="D60" i="21"/>
  <c r="E60" i="21"/>
  <c r="I60" i="21"/>
  <c r="T60" i="21" s="1"/>
  <c r="J60" i="21"/>
  <c r="U60" i="21" s="1"/>
  <c r="N60" i="21"/>
  <c r="O60" i="21"/>
  <c r="Q60" i="21"/>
  <c r="R60" i="21"/>
  <c r="W60" i="21"/>
  <c r="X60" i="21"/>
  <c r="D61" i="21"/>
  <c r="E61" i="21"/>
  <c r="I61" i="21"/>
  <c r="T61" i="21" s="1"/>
  <c r="J61" i="21"/>
  <c r="U61" i="21" s="1"/>
  <c r="N61" i="21"/>
  <c r="O61" i="21"/>
  <c r="Q61" i="21"/>
  <c r="R61" i="21"/>
  <c r="W61" i="21"/>
  <c r="X61" i="21"/>
  <c r="D62" i="21"/>
  <c r="E62" i="21"/>
  <c r="I62" i="21"/>
  <c r="T62" i="21" s="1"/>
  <c r="J62" i="21"/>
  <c r="U62" i="21" s="1"/>
  <c r="N62" i="21"/>
  <c r="O62" i="21"/>
  <c r="Q62" i="21"/>
  <c r="R62" i="21"/>
  <c r="W62" i="21"/>
  <c r="X62" i="21"/>
  <c r="D63" i="21"/>
  <c r="E63" i="21"/>
  <c r="I63" i="21"/>
  <c r="T63" i="21" s="1"/>
  <c r="J63" i="21"/>
  <c r="U63" i="21" s="1"/>
  <c r="N63" i="21"/>
  <c r="O63" i="21"/>
  <c r="Q63" i="21"/>
  <c r="R63" i="21"/>
  <c r="W63" i="21"/>
  <c r="X63" i="21"/>
  <c r="D64" i="21"/>
  <c r="E64" i="21"/>
  <c r="I64" i="21"/>
  <c r="T64" i="21" s="1"/>
  <c r="J64" i="21"/>
  <c r="U64" i="21" s="1"/>
  <c r="N64" i="21"/>
  <c r="O64" i="21"/>
  <c r="Q64" i="21"/>
  <c r="R64" i="21"/>
  <c r="W64" i="21"/>
  <c r="X64" i="21"/>
  <c r="D65" i="21"/>
  <c r="E65" i="21"/>
  <c r="I65" i="21"/>
  <c r="T65" i="21" s="1"/>
  <c r="J65" i="21"/>
  <c r="U65" i="21" s="1"/>
  <c r="N65" i="21"/>
  <c r="O65" i="21"/>
  <c r="Q65" i="21"/>
  <c r="R65" i="21"/>
  <c r="W65" i="21"/>
  <c r="X65" i="21"/>
  <c r="D66" i="21"/>
  <c r="E66" i="21"/>
  <c r="I66" i="21"/>
  <c r="T66" i="21" s="1"/>
  <c r="J66" i="21"/>
  <c r="U66" i="21" s="1"/>
  <c r="N66" i="21"/>
  <c r="O66" i="21"/>
  <c r="Q66" i="21"/>
  <c r="R66" i="21"/>
  <c r="W66" i="21"/>
  <c r="X66" i="21"/>
  <c r="D67" i="21"/>
  <c r="E67" i="21"/>
  <c r="I67" i="21"/>
  <c r="T67" i="21" s="1"/>
  <c r="J67" i="21"/>
  <c r="U67" i="21" s="1"/>
  <c r="N67" i="21"/>
  <c r="O67" i="21"/>
  <c r="Q67" i="21"/>
  <c r="R67" i="21"/>
  <c r="X67" i="21"/>
  <c r="D68" i="21"/>
  <c r="E68" i="21"/>
  <c r="I68" i="21"/>
  <c r="T68" i="21" s="1"/>
  <c r="J68" i="21"/>
  <c r="U68" i="21" s="1"/>
  <c r="N68" i="21"/>
  <c r="O68" i="21"/>
  <c r="Q68" i="21"/>
  <c r="R68" i="21"/>
  <c r="W68" i="21"/>
  <c r="D69" i="21"/>
  <c r="E69" i="21"/>
  <c r="I69" i="21"/>
  <c r="T69" i="21" s="1"/>
  <c r="J69" i="21"/>
  <c r="U69" i="21" s="1"/>
  <c r="N69" i="21"/>
  <c r="O69" i="21"/>
  <c r="Q69" i="21"/>
  <c r="R69" i="21"/>
  <c r="X69" i="21"/>
  <c r="D70" i="21"/>
  <c r="E70" i="21"/>
  <c r="I70" i="21"/>
  <c r="T70" i="21" s="1"/>
  <c r="J70" i="21"/>
  <c r="U70" i="21" s="1"/>
  <c r="N70" i="21"/>
  <c r="O70" i="21"/>
  <c r="Q70" i="21"/>
  <c r="R70" i="21"/>
  <c r="W70" i="21"/>
  <c r="D71" i="21"/>
  <c r="E71" i="21"/>
  <c r="I71" i="21"/>
  <c r="T71" i="21" s="1"/>
  <c r="J71" i="21"/>
  <c r="U71" i="21" s="1"/>
  <c r="N71" i="21"/>
  <c r="O71" i="21"/>
  <c r="Q71" i="21"/>
  <c r="R71" i="21"/>
  <c r="X71" i="21"/>
  <c r="D72" i="21"/>
  <c r="E72" i="21"/>
  <c r="I72" i="21"/>
  <c r="T72" i="21" s="1"/>
  <c r="J72" i="21"/>
  <c r="U72" i="21" s="1"/>
  <c r="N72" i="21"/>
  <c r="O72" i="21"/>
  <c r="Q72" i="21"/>
  <c r="R72" i="21"/>
  <c r="W72" i="21"/>
  <c r="D73" i="21"/>
  <c r="E73" i="21"/>
  <c r="I73" i="21"/>
  <c r="T73" i="21" s="1"/>
  <c r="J73" i="21"/>
  <c r="U73" i="21" s="1"/>
  <c r="N73" i="21"/>
  <c r="O73" i="21"/>
  <c r="Q73" i="21"/>
  <c r="R73" i="21"/>
  <c r="X73" i="21"/>
  <c r="D74" i="21"/>
  <c r="E74" i="21"/>
  <c r="I74" i="21"/>
  <c r="T74" i="21" s="1"/>
  <c r="J74" i="21"/>
  <c r="U74" i="21" s="1"/>
  <c r="N74" i="21"/>
  <c r="O74" i="21"/>
  <c r="Q74" i="21"/>
  <c r="R74" i="21"/>
  <c r="W74" i="21"/>
  <c r="D75" i="21"/>
  <c r="E75" i="21"/>
  <c r="I75" i="21"/>
  <c r="T75" i="21" s="1"/>
  <c r="J75" i="21"/>
  <c r="U75" i="21" s="1"/>
  <c r="N75" i="21"/>
  <c r="O75" i="21"/>
  <c r="Q75" i="21"/>
  <c r="R75" i="21"/>
  <c r="X75" i="21"/>
  <c r="D76" i="21"/>
  <c r="E76" i="21"/>
  <c r="I76" i="21"/>
  <c r="T76" i="21" s="1"/>
  <c r="J76" i="21"/>
  <c r="U76" i="21" s="1"/>
  <c r="N76" i="21"/>
  <c r="O76" i="21"/>
  <c r="Q76" i="21"/>
  <c r="R76" i="21"/>
  <c r="W76" i="21"/>
  <c r="D77" i="21"/>
  <c r="E77" i="21"/>
  <c r="I77" i="21"/>
  <c r="T77" i="21" s="1"/>
  <c r="J77" i="21"/>
  <c r="U77" i="21" s="1"/>
  <c r="N77" i="21"/>
  <c r="O77" i="21"/>
  <c r="Q77" i="21"/>
  <c r="R77" i="21"/>
  <c r="X77" i="21"/>
  <c r="D78" i="21"/>
  <c r="E78" i="21"/>
  <c r="I78" i="21"/>
  <c r="T78" i="21" s="1"/>
  <c r="J78" i="21"/>
  <c r="U78" i="21" s="1"/>
  <c r="N78" i="21"/>
  <c r="O78" i="21"/>
  <c r="Q78" i="21"/>
  <c r="R78" i="21"/>
  <c r="W78" i="21"/>
  <c r="D79" i="21"/>
  <c r="E79" i="21"/>
  <c r="I79" i="21"/>
  <c r="T79" i="21" s="1"/>
  <c r="J79" i="21"/>
  <c r="U79" i="21" s="1"/>
  <c r="N79" i="21"/>
  <c r="O79" i="21"/>
  <c r="Q79" i="21"/>
  <c r="R79" i="21"/>
  <c r="X79" i="21"/>
  <c r="D80" i="21"/>
  <c r="E80" i="21"/>
  <c r="I80" i="21"/>
  <c r="T80" i="21" s="1"/>
  <c r="J80" i="21"/>
  <c r="U80" i="21" s="1"/>
  <c r="N80" i="21"/>
  <c r="O80" i="21"/>
  <c r="Q80" i="21"/>
  <c r="R80" i="21"/>
  <c r="W80" i="21"/>
  <c r="D81" i="21"/>
  <c r="E81" i="21"/>
  <c r="I81" i="21"/>
  <c r="T81" i="21" s="1"/>
  <c r="J81" i="21"/>
  <c r="U81" i="21" s="1"/>
  <c r="N81" i="21"/>
  <c r="O81" i="21"/>
  <c r="Q81" i="21"/>
  <c r="R81" i="21"/>
  <c r="X81" i="21"/>
  <c r="D82" i="21"/>
  <c r="E82" i="21"/>
  <c r="I82" i="21"/>
  <c r="T82" i="21" s="1"/>
  <c r="J82" i="21"/>
  <c r="U82" i="21" s="1"/>
  <c r="N82" i="21"/>
  <c r="O82" i="21"/>
  <c r="Q82" i="21"/>
  <c r="R82" i="21"/>
  <c r="W82" i="21"/>
  <c r="D83" i="21"/>
  <c r="E83" i="21"/>
  <c r="I83" i="21"/>
  <c r="T83" i="21" s="1"/>
  <c r="J83" i="21"/>
  <c r="U83" i="21" s="1"/>
  <c r="N83" i="21"/>
  <c r="O83" i="21"/>
  <c r="Q83" i="21"/>
  <c r="R83" i="21"/>
  <c r="X83" i="21"/>
  <c r="D84" i="21"/>
  <c r="E84" i="21"/>
  <c r="I84" i="21"/>
  <c r="T84" i="21" s="1"/>
  <c r="J84" i="21"/>
  <c r="U84" i="21" s="1"/>
  <c r="N84" i="21"/>
  <c r="O84" i="21"/>
  <c r="Q84" i="21"/>
  <c r="R84" i="21"/>
  <c r="W84" i="21"/>
  <c r="D85" i="21"/>
  <c r="E85" i="21"/>
  <c r="I85" i="21"/>
  <c r="T85" i="21" s="1"/>
  <c r="J85" i="21"/>
  <c r="U85" i="21" s="1"/>
  <c r="N85" i="21"/>
  <c r="O85" i="21"/>
  <c r="Q85" i="21"/>
  <c r="R85" i="21"/>
  <c r="X85" i="21"/>
  <c r="D86" i="21"/>
  <c r="E86" i="21"/>
  <c r="I86" i="21"/>
  <c r="T86" i="21" s="1"/>
  <c r="J86" i="21"/>
  <c r="U86" i="21" s="1"/>
  <c r="N86" i="21"/>
  <c r="O86" i="21"/>
  <c r="Q86" i="21"/>
  <c r="R86" i="21"/>
  <c r="W86" i="21"/>
  <c r="D87" i="21"/>
  <c r="E87" i="21"/>
  <c r="I87" i="21"/>
  <c r="T87" i="21" s="1"/>
  <c r="J87" i="21"/>
  <c r="U87" i="21" s="1"/>
  <c r="N87" i="21"/>
  <c r="O87" i="21"/>
  <c r="Q87" i="21"/>
  <c r="R87" i="21"/>
  <c r="X87" i="21"/>
  <c r="D88" i="21"/>
  <c r="E88" i="21"/>
  <c r="I88" i="21"/>
  <c r="T88" i="21" s="1"/>
  <c r="J88" i="21"/>
  <c r="U88" i="21" s="1"/>
  <c r="N88" i="21"/>
  <c r="O88" i="21"/>
  <c r="Q88" i="21"/>
  <c r="R88" i="21"/>
  <c r="W88" i="21"/>
  <c r="D89" i="21"/>
  <c r="E89" i="21"/>
  <c r="I89" i="21"/>
  <c r="T89" i="21" s="1"/>
  <c r="J89" i="21"/>
  <c r="N89" i="21"/>
  <c r="O89" i="21"/>
  <c r="X89" i="21" s="1"/>
  <c r="Q89" i="21"/>
  <c r="R89" i="21"/>
  <c r="U89" i="21"/>
  <c r="W89" i="21"/>
  <c r="D90" i="21"/>
  <c r="E90" i="21"/>
  <c r="X90" i="21" s="1"/>
  <c r="I90" i="21"/>
  <c r="T90" i="21" s="1"/>
  <c r="J90" i="21"/>
  <c r="N90" i="21"/>
  <c r="O90" i="21"/>
  <c r="Q90" i="21"/>
  <c r="R90" i="21"/>
  <c r="U90" i="21"/>
  <c r="W90" i="21"/>
  <c r="D91" i="21"/>
  <c r="E91" i="21"/>
  <c r="X91" i="21" s="1"/>
  <c r="I91" i="21"/>
  <c r="T91" i="21" s="1"/>
  <c r="J91" i="21"/>
  <c r="N91" i="21"/>
  <c r="O91" i="21"/>
  <c r="Q91" i="21"/>
  <c r="R91" i="21"/>
  <c r="U91" i="21"/>
  <c r="W91" i="21"/>
  <c r="D92" i="21"/>
  <c r="E92" i="21"/>
  <c r="X92" i="21" s="1"/>
  <c r="I92" i="21"/>
  <c r="T92" i="21" s="1"/>
  <c r="J92" i="21"/>
  <c r="N92" i="21"/>
  <c r="O92" i="21"/>
  <c r="Q92" i="21"/>
  <c r="R92" i="21"/>
  <c r="U92" i="21"/>
  <c r="W92" i="21"/>
  <c r="D93" i="21"/>
  <c r="E93" i="21"/>
  <c r="X93" i="21" s="1"/>
  <c r="I93" i="21"/>
  <c r="T93" i="21" s="1"/>
  <c r="J93" i="21"/>
  <c r="N93" i="21"/>
  <c r="O93" i="21"/>
  <c r="Q93" i="21"/>
  <c r="R93" i="21"/>
  <c r="U93" i="21"/>
  <c r="W93" i="21"/>
  <c r="D94" i="21"/>
  <c r="E94" i="21"/>
  <c r="X94" i="21" s="1"/>
  <c r="I94" i="21"/>
  <c r="T94" i="21" s="1"/>
  <c r="J94" i="21"/>
  <c r="N94" i="21"/>
  <c r="O94" i="21"/>
  <c r="Q94" i="21"/>
  <c r="R94" i="21"/>
  <c r="U94" i="21"/>
  <c r="W94" i="21"/>
  <c r="D95" i="21"/>
  <c r="E95" i="21"/>
  <c r="X95" i="21" s="1"/>
  <c r="I95" i="21"/>
  <c r="T95" i="21" s="1"/>
  <c r="J95" i="21"/>
  <c r="N95" i="21"/>
  <c r="O95" i="21"/>
  <c r="Q95" i="21"/>
  <c r="R95" i="21"/>
  <c r="U95" i="21"/>
  <c r="W95" i="21"/>
  <c r="D96" i="21"/>
  <c r="E96" i="21"/>
  <c r="X96" i="21" s="1"/>
  <c r="I96" i="21"/>
  <c r="T96" i="21" s="1"/>
  <c r="J96" i="21"/>
  <c r="N96" i="21"/>
  <c r="O96" i="21"/>
  <c r="Q96" i="21"/>
  <c r="R96" i="21"/>
  <c r="U96" i="21"/>
  <c r="W96" i="21"/>
  <c r="D97" i="21"/>
  <c r="E97" i="21"/>
  <c r="X97" i="21" s="1"/>
  <c r="I97" i="21"/>
  <c r="T97" i="21" s="1"/>
  <c r="J97" i="21"/>
  <c r="N97" i="21"/>
  <c r="O97" i="21"/>
  <c r="Q97" i="21"/>
  <c r="R97" i="21"/>
  <c r="U97" i="21"/>
  <c r="W97" i="21"/>
  <c r="D98" i="21"/>
  <c r="E98" i="21"/>
  <c r="X98" i="21" s="1"/>
  <c r="I98" i="21"/>
  <c r="T98" i="21" s="1"/>
  <c r="J98" i="21"/>
  <c r="N98" i="21"/>
  <c r="O98" i="21"/>
  <c r="Q98" i="21"/>
  <c r="R98" i="21"/>
  <c r="U98" i="21"/>
  <c r="W98" i="21"/>
  <c r="D99" i="21"/>
  <c r="E99" i="21"/>
  <c r="X99" i="21" s="1"/>
  <c r="I99" i="21"/>
  <c r="T99" i="21" s="1"/>
  <c r="J99" i="21"/>
  <c r="N99" i="21"/>
  <c r="O99" i="21"/>
  <c r="Q99" i="21"/>
  <c r="R99" i="21"/>
  <c r="U99" i="21"/>
  <c r="W99" i="21"/>
  <c r="D100" i="21"/>
  <c r="E100" i="21"/>
  <c r="X100" i="21" s="1"/>
  <c r="I100" i="21"/>
  <c r="T100" i="21" s="1"/>
  <c r="J100" i="21"/>
  <c r="N100" i="21"/>
  <c r="O100" i="21"/>
  <c r="Q100" i="21"/>
  <c r="R100" i="21"/>
  <c r="U100" i="21"/>
  <c r="W100" i="21"/>
  <c r="D101" i="21"/>
  <c r="E101" i="21"/>
  <c r="X101" i="21" s="1"/>
  <c r="I101" i="21"/>
  <c r="T101" i="21" s="1"/>
  <c r="J101" i="21"/>
  <c r="N101" i="21"/>
  <c r="O101" i="21"/>
  <c r="Q101" i="21"/>
  <c r="R101" i="21"/>
  <c r="U101" i="21"/>
  <c r="W101" i="21"/>
  <c r="D102" i="21"/>
  <c r="E102" i="21"/>
  <c r="X102" i="21" s="1"/>
  <c r="I102" i="21"/>
  <c r="T102" i="21" s="1"/>
  <c r="J102" i="21"/>
  <c r="N102" i="21"/>
  <c r="O102" i="21"/>
  <c r="Q102" i="21"/>
  <c r="R102" i="21"/>
  <c r="U102" i="21"/>
  <c r="W102" i="21"/>
  <c r="D103" i="21"/>
  <c r="E103" i="21"/>
  <c r="X103" i="21" s="1"/>
  <c r="I103" i="21"/>
  <c r="T103" i="21" s="1"/>
  <c r="J103" i="21"/>
  <c r="N103" i="21"/>
  <c r="O103" i="21"/>
  <c r="Q103" i="21"/>
  <c r="R103" i="21"/>
  <c r="U103" i="21"/>
  <c r="W103" i="21"/>
  <c r="D104" i="21"/>
  <c r="E104" i="21"/>
  <c r="X104" i="21" s="1"/>
  <c r="I104" i="21"/>
  <c r="T104" i="21" s="1"/>
  <c r="J104" i="21"/>
  <c r="N104" i="21"/>
  <c r="O104" i="21"/>
  <c r="Q104" i="21"/>
  <c r="R104" i="21"/>
  <c r="U104" i="21"/>
  <c r="W104" i="21"/>
  <c r="D105" i="21"/>
  <c r="E105" i="21"/>
  <c r="X105" i="21" s="1"/>
  <c r="I105" i="21"/>
  <c r="T105" i="21" s="1"/>
  <c r="J105" i="21"/>
  <c r="N105" i="21"/>
  <c r="O105" i="21"/>
  <c r="Q105" i="21"/>
  <c r="R105" i="21"/>
  <c r="U105" i="21"/>
  <c r="W105" i="21"/>
  <c r="D106" i="21"/>
  <c r="E106" i="21"/>
  <c r="X106" i="21" s="1"/>
  <c r="I106" i="21"/>
  <c r="T106" i="21" s="1"/>
  <c r="J106" i="21"/>
  <c r="N106" i="21"/>
  <c r="O106" i="21"/>
  <c r="Q106" i="21"/>
  <c r="R106" i="21"/>
  <c r="U106" i="21"/>
  <c r="W106" i="21"/>
  <c r="D107" i="21"/>
  <c r="E107" i="21"/>
  <c r="X107" i="21" s="1"/>
  <c r="I107" i="21"/>
  <c r="T107" i="21" s="1"/>
  <c r="J107" i="21"/>
  <c r="N107" i="21"/>
  <c r="O107" i="21"/>
  <c r="Q107" i="21"/>
  <c r="R107" i="21"/>
  <c r="U107" i="21"/>
  <c r="W107" i="21"/>
  <c r="D108" i="21"/>
  <c r="E108" i="21"/>
  <c r="X108" i="21" s="1"/>
  <c r="I108" i="21"/>
  <c r="T108" i="21" s="1"/>
  <c r="J108" i="21"/>
  <c r="N108" i="21"/>
  <c r="O108" i="21"/>
  <c r="Q108" i="21"/>
  <c r="R108" i="21"/>
  <c r="U108" i="21"/>
  <c r="W108" i="21"/>
  <c r="D109" i="21"/>
  <c r="E109" i="21"/>
  <c r="X109" i="21" s="1"/>
  <c r="I109" i="21"/>
  <c r="T109" i="21" s="1"/>
  <c r="J109" i="21"/>
  <c r="N109" i="21"/>
  <c r="O109" i="21"/>
  <c r="Q109" i="21"/>
  <c r="R109" i="21"/>
  <c r="U109" i="21"/>
  <c r="W109" i="21"/>
  <c r="D3" i="20"/>
  <c r="E3" i="20"/>
  <c r="I3" i="20"/>
  <c r="J3" i="20"/>
  <c r="N3" i="20"/>
  <c r="O3" i="20"/>
  <c r="Q3" i="20"/>
  <c r="R3" i="20"/>
  <c r="T3" i="20"/>
  <c r="U3" i="20"/>
  <c r="W3" i="20"/>
  <c r="X3" i="20"/>
  <c r="D4" i="20"/>
  <c r="E4" i="20"/>
  <c r="I4" i="20"/>
  <c r="T4" i="20" s="1"/>
  <c r="J4" i="20"/>
  <c r="N4" i="20"/>
  <c r="O4" i="20"/>
  <c r="Q4" i="20"/>
  <c r="R4" i="20"/>
  <c r="U4" i="20"/>
  <c r="W4" i="20"/>
  <c r="X4" i="20"/>
  <c r="D5" i="20"/>
  <c r="E5" i="20"/>
  <c r="I5" i="20"/>
  <c r="T5" i="20" s="1"/>
  <c r="J5" i="20"/>
  <c r="U5" i="20" s="1"/>
  <c r="N5" i="20"/>
  <c r="O5" i="20"/>
  <c r="Q5" i="20"/>
  <c r="R5" i="20"/>
  <c r="W5" i="20"/>
  <c r="X5" i="20"/>
  <c r="D6" i="20"/>
  <c r="E6" i="20"/>
  <c r="I6" i="20"/>
  <c r="T6" i="20" s="1"/>
  <c r="J6" i="20"/>
  <c r="N6" i="20"/>
  <c r="O6" i="20"/>
  <c r="Q6" i="20"/>
  <c r="R6" i="20"/>
  <c r="U6" i="20"/>
  <c r="W6" i="20"/>
  <c r="X6" i="20"/>
  <c r="D7" i="20"/>
  <c r="E7" i="20"/>
  <c r="I7" i="20"/>
  <c r="T7" i="20" s="1"/>
  <c r="J7" i="20"/>
  <c r="N7" i="20"/>
  <c r="O7" i="20"/>
  <c r="Q7" i="20"/>
  <c r="R7" i="20"/>
  <c r="U7" i="20"/>
  <c r="W7" i="20"/>
  <c r="X7" i="20"/>
  <c r="D8" i="20"/>
  <c r="E8" i="20"/>
  <c r="I8" i="20"/>
  <c r="T8" i="20" s="1"/>
  <c r="J8" i="20"/>
  <c r="U8" i="20" s="1"/>
  <c r="N8" i="20"/>
  <c r="O8" i="20"/>
  <c r="Q8" i="20"/>
  <c r="R8" i="20"/>
  <c r="W8" i="20"/>
  <c r="X8" i="20"/>
  <c r="D9" i="20"/>
  <c r="E9" i="20"/>
  <c r="I9" i="20"/>
  <c r="T9" i="20" s="1"/>
  <c r="J9" i="20"/>
  <c r="U9" i="20" s="1"/>
  <c r="N9" i="20"/>
  <c r="O9" i="20"/>
  <c r="Q9" i="20"/>
  <c r="R9" i="20"/>
  <c r="W9" i="20"/>
  <c r="X9" i="20"/>
  <c r="D10" i="20"/>
  <c r="E10" i="20"/>
  <c r="I10" i="20"/>
  <c r="T10" i="20" s="1"/>
  <c r="J10" i="20"/>
  <c r="U10" i="20" s="1"/>
  <c r="N10" i="20"/>
  <c r="O10" i="20"/>
  <c r="Q10" i="20"/>
  <c r="R10" i="20"/>
  <c r="W10" i="20"/>
  <c r="X10" i="20"/>
  <c r="D11" i="20"/>
  <c r="E11" i="20"/>
  <c r="I11" i="20"/>
  <c r="T11" i="20" s="1"/>
  <c r="J11" i="20"/>
  <c r="U11" i="20" s="1"/>
  <c r="N11" i="20"/>
  <c r="O11" i="20"/>
  <c r="Q11" i="20"/>
  <c r="R11" i="20"/>
  <c r="W11" i="20"/>
  <c r="X11" i="20"/>
  <c r="D12" i="20"/>
  <c r="E12" i="20"/>
  <c r="I12" i="20"/>
  <c r="T12" i="20" s="1"/>
  <c r="J12" i="20"/>
  <c r="U12" i="20" s="1"/>
  <c r="N12" i="20"/>
  <c r="O12" i="20"/>
  <c r="Q12" i="20"/>
  <c r="R12" i="20"/>
  <c r="W12" i="20"/>
  <c r="X12" i="20"/>
  <c r="D13" i="20"/>
  <c r="E13" i="20"/>
  <c r="I13" i="20"/>
  <c r="T13" i="20" s="1"/>
  <c r="J13" i="20"/>
  <c r="U13" i="20" s="1"/>
  <c r="N13" i="20"/>
  <c r="O13" i="20"/>
  <c r="Q13" i="20"/>
  <c r="R13" i="20"/>
  <c r="W13" i="20"/>
  <c r="X13" i="20"/>
  <c r="D14" i="20"/>
  <c r="E14" i="20"/>
  <c r="I14" i="20"/>
  <c r="T14" i="20" s="1"/>
  <c r="J14" i="20"/>
  <c r="U14" i="20" s="1"/>
  <c r="N14" i="20"/>
  <c r="O14" i="20"/>
  <c r="Q14" i="20"/>
  <c r="R14" i="20"/>
  <c r="W14" i="20"/>
  <c r="X14" i="20"/>
  <c r="D15" i="20"/>
  <c r="E15" i="20"/>
  <c r="I15" i="20"/>
  <c r="T15" i="20" s="1"/>
  <c r="J15" i="20"/>
  <c r="U15" i="20" s="1"/>
  <c r="N15" i="20"/>
  <c r="O15" i="20"/>
  <c r="Q15" i="20"/>
  <c r="R15" i="20"/>
  <c r="W15" i="20"/>
  <c r="X15" i="20"/>
  <c r="D16" i="20"/>
  <c r="E16" i="20"/>
  <c r="I16" i="20"/>
  <c r="T16" i="20" s="1"/>
  <c r="J16" i="20"/>
  <c r="U16" i="20" s="1"/>
  <c r="N16" i="20"/>
  <c r="O16" i="20"/>
  <c r="Q16" i="20"/>
  <c r="R16" i="20"/>
  <c r="W16" i="20"/>
  <c r="X16" i="20"/>
  <c r="D17" i="20"/>
  <c r="E17" i="20"/>
  <c r="I17" i="20"/>
  <c r="T17" i="20" s="1"/>
  <c r="J17" i="20"/>
  <c r="U17" i="20" s="1"/>
  <c r="N17" i="20"/>
  <c r="O17" i="20"/>
  <c r="Q17" i="20"/>
  <c r="R17" i="20"/>
  <c r="W17" i="20"/>
  <c r="X17" i="20"/>
  <c r="D18" i="20"/>
  <c r="E18" i="20"/>
  <c r="I18" i="20"/>
  <c r="T18" i="20" s="1"/>
  <c r="J18" i="20"/>
  <c r="U18" i="20" s="1"/>
  <c r="N18" i="20"/>
  <c r="O18" i="20"/>
  <c r="Q18" i="20"/>
  <c r="R18" i="20"/>
  <c r="W18" i="20"/>
  <c r="X18" i="20"/>
  <c r="D19" i="20"/>
  <c r="E19" i="20"/>
  <c r="I19" i="20"/>
  <c r="T19" i="20" s="1"/>
  <c r="J19" i="20"/>
  <c r="U19" i="20" s="1"/>
  <c r="N19" i="20"/>
  <c r="O19" i="20"/>
  <c r="Q19" i="20"/>
  <c r="R19" i="20"/>
  <c r="W19" i="20"/>
  <c r="X19" i="20"/>
  <c r="D20" i="20"/>
  <c r="E20" i="20"/>
  <c r="I20" i="20"/>
  <c r="T20" i="20" s="1"/>
  <c r="J20" i="20"/>
  <c r="U20" i="20" s="1"/>
  <c r="N20" i="20"/>
  <c r="O20" i="20"/>
  <c r="Q20" i="20"/>
  <c r="R20" i="20"/>
  <c r="W20" i="20"/>
  <c r="X20" i="20"/>
  <c r="D21" i="20"/>
  <c r="E21" i="20"/>
  <c r="I21" i="20"/>
  <c r="T21" i="20" s="1"/>
  <c r="J21" i="20"/>
  <c r="U21" i="20" s="1"/>
  <c r="N21" i="20"/>
  <c r="O21" i="20"/>
  <c r="Q21" i="20"/>
  <c r="R21" i="20"/>
  <c r="W21" i="20"/>
  <c r="X21" i="20"/>
  <c r="D22" i="20"/>
  <c r="E22" i="20"/>
  <c r="I22" i="20"/>
  <c r="T22" i="20" s="1"/>
  <c r="J22" i="20"/>
  <c r="U22" i="20" s="1"/>
  <c r="N22" i="20"/>
  <c r="O22" i="20"/>
  <c r="Q22" i="20"/>
  <c r="R22" i="20"/>
  <c r="W22" i="20"/>
  <c r="X22" i="20"/>
  <c r="D23" i="20"/>
  <c r="E23" i="20"/>
  <c r="I23" i="20"/>
  <c r="T23" i="20" s="1"/>
  <c r="J23" i="20"/>
  <c r="U23" i="20" s="1"/>
  <c r="N23" i="20"/>
  <c r="O23" i="20"/>
  <c r="Q23" i="20"/>
  <c r="R23" i="20"/>
  <c r="W23" i="20"/>
  <c r="X23" i="20"/>
  <c r="D24" i="20"/>
  <c r="E24" i="20"/>
  <c r="I24" i="20"/>
  <c r="T24" i="20" s="1"/>
  <c r="J24" i="20"/>
  <c r="U24" i="20" s="1"/>
  <c r="N24" i="20"/>
  <c r="O24" i="20"/>
  <c r="Q24" i="20"/>
  <c r="R24" i="20"/>
  <c r="W24" i="20"/>
  <c r="X24" i="20"/>
  <c r="D25" i="20"/>
  <c r="E25" i="20"/>
  <c r="I25" i="20"/>
  <c r="T25" i="20" s="1"/>
  <c r="J25" i="20"/>
  <c r="U25" i="20" s="1"/>
  <c r="N25" i="20"/>
  <c r="O25" i="20"/>
  <c r="Q25" i="20"/>
  <c r="R25" i="20"/>
  <c r="W25" i="20"/>
  <c r="X25" i="20"/>
  <c r="D26" i="20"/>
  <c r="E26" i="20"/>
  <c r="I26" i="20"/>
  <c r="T26" i="20" s="1"/>
  <c r="J26" i="20"/>
  <c r="U26" i="20" s="1"/>
  <c r="N26" i="20"/>
  <c r="O26" i="20"/>
  <c r="Q26" i="20"/>
  <c r="R26" i="20"/>
  <c r="W26" i="20"/>
  <c r="X26" i="20"/>
  <c r="D27" i="20"/>
  <c r="E27" i="20"/>
  <c r="I27" i="20"/>
  <c r="T27" i="20" s="1"/>
  <c r="J27" i="20"/>
  <c r="U27" i="20" s="1"/>
  <c r="N27" i="20"/>
  <c r="O27" i="20"/>
  <c r="Q27" i="20"/>
  <c r="R27" i="20"/>
  <c r="W27" i="20"/>
  <c r="X27" i="20"/>
  <c r="D28" i="20"/>
  <c r="E28" i="20"/>
  <c r="I28" i="20"/>
  <c r="T28" i="20" s="1"/>
  <c r="J28" i="20"/>
  <c r="U28" i="20" s="1"/>
  <c r="N28" i="20"/>
  <c r="O28" i="20"/>
  <c r="Q28" i="20"/>
  <c r="R28" i="20"/>
  <c r="W28" i="20"/>
  <c r="X28" i="20"/>
  <c r="D29" i="20"/>
  <c r="E29" i="20"/>
  <c r="I29" i="20"/>
  <c r="T29" i="20" s="1"/>
  <c r="J29" i="20"/>
  <c r="U29" i="20" s="1"/>
  <c r="N29" i="20"/>
  <c r="O29" i="20"/>
  <c r="Q29" i="20"/>
  <c r="R29" i="20"/>
  <c r="W29" i="20"/>
  <c r="X29" i="20"/>
  <c r="D30" i="20"/>
  <c r="E30" i="20"/>
  <c r="I30" i="20"/>
  <c r="T30" i="20" s="1"/>
  <c r="J30" i="20"/>
  <c r="U30" i="20" s="1"/>
  <c r="N30" i="20"/>
  <c r="O30" i="20"/>
  <c r="Q30" i="20"/>
  <c r="R30" i="20"/>
  <c r="W30" i="20"/>
  <c r="X30" i="20"/>
  <c r="D31" i="20"/>
  <c r="E31" i="20"/>
  <c r="I31" i="20"/>
  <c r="T31" i="20" s="1"/>
  <c r="J31" i="20"/>
  <c r="U31" i="20" s="1"/>
  <c r="N31" i="20"/>
  <c r="O31" i="20"/>
  <c r="Q31" i="20"/>
  <c r="R31" i="20"/>
  <c r="W31" i="20"/>
  <c r="X31" i="20"/>
  <c r="D32" i="20"/>
  <c r="E32" i="20"/>
  <c r="I32" i="20"/>
  <c r="T32" i="20" s="1"/>
  <c r="J32" i="20"/>
  <c r="U32" i="20" s="1"/>
  <c r="N32" i="20"/>
  <c r="O32" i="20"/>
  <c r="Q32" i="20"/>
  <c r="R32" i="20"/>
  <c r="W32" i="20"/>
  <c r="X32" i="20"/>
  <c r="D33" i="20"/>
  <c r="E33" i="20"/>
  <c r="I33" i="20"/>
  <c r="T33" i="20" s="1"/>
  <c r="J33" i="20"/>
  <c r="U33" i="20" s="1"/>
  <c r="N33" i="20"/>
  <c r="O33" i="20"/>
  <c r="Q33" i="20"/>
  <c r="R33" i="20"/>
  <c r="W33" i="20"/>
  <c r="X33" i="20"/>
  <c r="D34" i="20"/>
  <c r="E34" i="20"/>
  <c r="I34" i="20"/>
  <c r="T34" i="20" s="1"/>
  <c r="J34" i="20"/>
  <c r="U34" i="20" s="1"/>
  <c r="N34" i="20"/>
  <c r="O34" i="20"/>
  <c r="Q34" i="20"/>
  <c r="R34" i="20"/>
  <c r="W34" i="20"/>
  <c r="X34" i="20"/>
  <c r="D35" i="20"/>
  <c r="E35" i="20"/>
  <c r="I35" i="20"/>
  <c r="T35" i="20" s="1"/>
  <c r="J35" i="20"/>
  <c r="U35" i="20" s="1"/>
  <c r="N35" i="20"/>
  <c r="O35" i="20"/>
  <c r="Q35" i="20"/>
  <c r="R35" i="20"/>
  <c r="W35" i="20"/>
  <c r="X35" i="20"/>
  <c r="D36" i="20"/>
  <c r="E36" i="20"/>
  <c r="I36" i="20"/>
  <c r="T36" i="20" s="1"/>
  <c r="J36" i="20"/>
  <c r="U36" i="20" s="1"/>
  <c r="N36" i="20"/>
  <c r="O36" i="20"/>
  <c r="Q36" i="20"/>
  <c r="R36" i="20"/>
  <c r="W36" i="20"/>
  <c r="X36" i="20"/>
  <c r="D37" i="20"/>
  <c r="E37" i="20"/>
  <c r="I37" i="20"/>
  <c r="T37" i="20" s="1"/>
  <c r="J37" i="20"/>
  <c r="U37" i="20" s="1"/>
  <c r="N37" i="20"/>
  <c r="O37" i="20"/>
  <c r="Q37" i="20"/>
  <c r="R37" i="20"/>
  <c r="W37" i="20"/>
  <c r="X37" i="20"/>
  <c r="D38" i="20"/>
  <c r="E38" i="20"/>
  <c r="I38" i="20"/>
  <c r="T38" i="20" s="1"/>
  <c r="J38" i="20"/>
  <c r="U38" i="20" s="1"/>
  <c r="N38" i="20"/>
  <c r="O38" i="20"/>
  <c r="Q38" i="20"/>
  <c r="R38" i="20"/>
  <c r="W38" i="20"/>
  <c r="X38" i="20"/>
  <c r="D39" i="20"/>
  <c r="E39" i="20"/>
  <c r="I39" i="20"/>
  <c r="T39" i="20" s="1"/>
  <c r="J39" i="20"/>
  <c r="U39" i="20" s="1"/>
  <c r="N39" i="20"/>
  <c r="O39" i="20"/>
  <c r="Q39" i="20"/>
  <c r="R39" i="20"/>
  <c r="W39" i="20"/>
  <c r="X39" i="20"/>
  <c r="D40" i="20"/>
  <c r="E40" i="20"/>
  <c r="I40" i="20"/>
  <c r="T40" i="20" s="1"/>
  <c r="J40" i="20"/>
  <c r="U40" i="20" s="1"/>
  <c r="N40" i="20"/>
  <c r="O40" i="20"/>
  <c r="Q40" i="20"/>
  <c r="R40" i="20"/>
  <c r="W40" i="20"/>
  <c r="X40" i="20"/>
  <c r="D41" i="20"/>
  <c r="E41" i="20"/>
  <c r="I41" i="20"/>
  <c r="T41" i="20" s="1"/>
  <c r="J41" i="20"/>
  <c r="U41" i="20" s="1"/>
  <c r="N41" i="20"/>
  <c r="O41" i="20"/>
  <c r="Q41" i="20"/>
  <c r="R41" i="20"/>
  <c r="W41" i="20"/>
  <c r="X41" i="20"/>
  <c r="D42" i="20"/>
  <c r="E42" i="20"/>
  <c r="I42" i="20"/>
  <c r="T42" i="20" s="1"/>
  <c r="J42" i="20"/>
  <c r="U42" i="20" s="1"/>
  <c r="N42" i="20"/>
  <c r="O42" i="20"/>
  <c r="Q42" i="20"/>
  <c r="R42" i="20"/>
  <c r="W42" i="20"/>
  <c r="X42" i="20"/>
  <c r="D43" i="20"/>
  <c r="E43" i="20"/>
  <c r="I43" i="20"/>
  <c r="T43" i="20" s="1"/>
  <c r="J43" i="20"/>
  <c r="U43" i="20" s="1"/>
  <c r="N43" i="20"/>
  <c r="O43" i="20"/>
  <c r="Q43" i="20"/>
  <c r="R43" i="20"/>
  <c r="W43" i="20"/>
  <c r="X43" i="20"/>
  <c r="D44" i="20"/>
  <c r="E44" i="20"/>
  <c r="I44" i="20"/>
  <c r="T44" i="20" s="1"/>
  <c r="J44" i="20"/>
  <c r="U44" i="20" s="1"/>
  <c r="N44" i="20"/>
  <c r="O44" i="20"/>
  <c r="Q44" i="20"/>
  <c r="R44" i="20"/>
  <c r="W44" i="20"/>
  <c r="X44" i="20"/>
  <c r="D45" i="20"/>
  <c r="E45" i="20"/>
  <c r="I45" i="20"/>
  <c r="T45" i="20" s="1"/>
  <c r="J45" i="20"/>
  <c r="U45" i="20" s="1"/>
  <c r="N45" i="20"/>
  <c r="O45" i="20"/>
  <c r="Q45" i="20"/>
  <c r="R45" i="20"/>
  <c r="W45" i="20"/>
  <c r="X45" i="20"/>
  <c r="D46" i="20"/>
  <c r="E46" i="20"/>
  <c r="I46" i="20"/>
  <c r="T46" i="20" s="1"/>
  <c r="J46" i="20"/>
  <c r="U46" i="20" s="1"/>
  <c r="N46" i="20"/>
  <c r="O46" i="20"/>
  <c r="Q46" i="20"/>
  <c r="R46" i="20"/>
  <c r="W46" i="20"/>
  <c r="X46" i="20"/>
  <c r="D47" i="20"/>
  <c r="E47" i="20"/>
  <c r="I47" i="20"/>
  <c r="T47" i="20" s="1"/>
  <c r="J47" i="20"/>
  <c r="U47" i="20" s="1"/>
  <c r="N47" i="20"/>
  <c r="O47" i="20"/>
  <c r="Q47" i="20"/>
  <c r="R47" i="20"/>
  <c r="W47" i="20"/>
  <c r="X47" i="20"/>
  <c r="D48" i="20"/>
  <c r="E48" i="20"/>
  <c r="I48" i="20"/>
  <c r="T48" i="20" s="1"/>
  <c r="J48" i="20"/>
  <c r="U48" i="20" s="1"/>
  <c r="N48" i="20"/>
  <c r="O48" i="20"/>
  <c r="Q48" i="20"/>
  <c r="R48" i="20"/>
  <c r="W48" i="20"/>
  <c r="X48" i="20"/>
  <c r="D49" i="20"/>
  <c r="E49" i="20"/>
  <c r="I49" i="20"/>
  <c r="T49" i="20" s="1"/>
  <c r="J49" i="20"/>
  <c r="U49" i="20" s="1"/>
  <c r="N49" i="20"/>
  <c r="O49" i="20"/>
  <c r="Q49" i="20"/>
  <c r="R49" i="20"/>
  <c r="W49" i="20"/>
  <c r="X49" i="20"/>
  <c r="D50" i="20"/>
  <c r="E50" i="20"/>
  <c r="I50" i="20"/>
  <c r="T50" i="20" s="1"/>
  <c r="J50" i="20"/>
  <c r="U50" i="20" s="1"/>
  <c r="N50" i="20"/>
  <c r="O50" i="20"/>
  <c r="Q50" i="20"/>
  <c r="R50" i="20"/>
  <c r="W50" i="20"/>
  <c r="X50" i="20"/>
  <c r="D51" i="20"/>
  <c r="E51" i="20"/>
  <c r="I51" i="20"/>
  <c r="T51" i="20" s="1"/>
  <c r="J51" i="20"/>
  <c r="U51" i="20" s="1"/>
  <c r="N51" i="20"/>
  <c r="O51" i="20"/>
  <c r="Q51" i="20"/>
  <c r="R51" i="20"/>
  <c r="W51" i="20"/>
  <c r="X51" i="20"/>
  <c r="D52" i="20"/>
  <c r="E52" i="20"/>
  <c r="I52" i="20"/>
  <c r="T52" i="20" s="1"/>
  <c r="J52" i="20"/>
  <c r="U52" i="20" s="1"/>
  <c r="N52" i="20"/>
  <c r="O52" i="20"/>
  <c r="Q52" i="20"/>
  <c r="R52" i="20"/>
  <c r="W52" i="20"/>
  <c r="X52" i="20"/>
  <c r="D53" i="20"/>
  <c r="E53" i="20"/>
  <c r="I53" i="20"/>
  <c r="T53" i="20" s="1"/>
  <c r="J53" i="20"/>
  <c r="U53" i="20" s="1"/>
  <c r="N53" i="20"/>
  <c r="O53" i="20"/>
  <c r="Q53" i="20"/>
  <c r="R53" i="20"/>
  <c r="W53" i="20"/>
  <c r="X53" i="20"/>
  <c r="D54" i="20"/>
  <c r="E54" i="20"/>
  <c r="I54" i="20"/>
  <c r="T54" i="20" s="1"/>
  <c r="J54" i="20"/>
  <c r="U54" i="20" s="1"/>
  <c r="N54" i="20"/>
  <c r="O54" i="20"/>
  <c r="Q54" i="20"/>
  <c r="R54" i="20"/>
  <c r="W54" i="20"/>
  <c r="X54" i="20"/>
  <c r="D55" i="20"/>
  <c r="E55" i="20"/>
  <c r="I55" i="20"/>
  <c r="T55" i="20" s="1"/>
  <c r="J55" i="20"/>
  <c r="U55" i="20" s="1"/>
  <c r="N55" i="20"/>
  <c r="O55" i="20"/>
  <c r="Q55" i="20"/>
  <c r="R55" i="20"/>
  <c r="W55" i="20"/>
  <c r="X55" i="20"/>
  <c r="D56" i="20"/>
  <c r="E56" i="20"/>
  <c r="I56" i="20"/>
  <c r="T56" i="20" s="1"/>
  <c r="J56" i="20"/>
  <c r="U56" i="20" s="1"/>
  <c r="N56" i="20"/>
  <c r="O56" i="20"/>
  <c r="Q56" i="20"/>
  <c r="R56" i="20"/>
  <c r="W56" i="20"/>
  <c r="X56" i="20"/>
  <c r="D57" i="20"/>
  <c r="E57" i="20"/>
  <c r="I57" i="20"/>
  <c r="T57" i="20" s="1"/>
  <c r="J57" i="20"/>
  <c r="U57" i="20" s="1"/>
  <c r="N57" i="20"/>
  <c r="O57" i="20"/>
  <c r="Q57" i="20"/>
  <c r="R57" i="20"/>
  <c r="W57" i="20"/>
  <c r="X57" i="20"/>
  <c r="D58" i="20"/>
  <c r="E58" i="20"/>
  <c r="I58" i="20"/>
  <c r="T58" i="20" s="1"/>
  <c r="J58" i="20"/>
  <c r="U58" i="20" s="1"/>
  <c r="N58" i="20"/>
  <c r="O58" i="20"/>
  <c r="Q58" i="20"/>
  <c r="R58" i="20"/>
  <c r="W58" i="20"/>
  <c r="X58" i="20"/>
  <c r="D59" i="20"/>
  <c r="E59" i="20"/>
  <c r="I59" i="20"/>
  <c r="T59" i="20" s="1"/>
  <c r="J59" i="20"/>
  <c r="U59" i="20" s="1"/>
  <c r="N59" i="20"/>
  <c r="O59" i="20"/>
  <c r="Q59" i="20"/>
  <c r="R59" i="20"/>
  <c r="W59" i="20"/>
  <c r="X59" i="20"/>
  <c r="D60" i="20"/>
  <c r="E60" i="20"/>
  <c r="I60" i="20"/>
  <c r="T60" i="20" s="1"/>
  <c r="J60" i="20"/>
  <c r="U60" i="20" s="1"/>
  <c r="N60" i="20"/>
  <c r="O60" i="20"/>
  <c r="Q60" i="20"/>
  <c r="R60" i="20"/>
  <c r="W60" i="20"/>
  <c r="X60" i="20"/>
  <c r="D61" i="20"/>
  <c r="E61" i="20"/>
  <c r="I61" i="20"/>
  <c r="T61" i="20" s="1"/>
  <c r="J61" i="20"/>
  <c r="U61" i="20" s="1"/>
  <c r="N61" i="20"/>
  <c r="O61" i="20"/>
  <c r="Q61" i="20"/>
  <c r="R61" i="20"/>
  <c r="W61" i="20"/>
  <c r="X61" i="20"/>
  <c r="D62" i="20"/>
  <c r="E62" i="20"/>
  <c r="I62" i="20"/>
  <c r="T62" i="20" s="1"/>
  <c r="J62" i="20"/>
  <c r="U62" i="20" s="1"/>
  <c r="N62" i="20"/>
  <c r="O62" i="20"/>
  <c r="Q62" i="20"/>
  <c r="R62" i="20"/>
  <c r="W62" i="20"/>
  <c r="X62" i="20"/>
  <c r="D63" i="20"/>
  <c r="E63" i="20"/>
  <c r="I63" i="20"/>
  <c r="T63" i="20" s="1"/>
  <c r="J63" i="20"/>
  <c r="U63" i="20" s="1"/>
  <c r="N63" i="20"/>
  <c r="O63" i="20"/>
  <c r="Q63" i="20"/>
  <c r="R63" i="20"/>
  <c r="W63" i="20"/>
  <c r="X63" i="20"/>
  <c r="D64" i="20"/>
  <c r="E64" i="20"/>
  <c r="I64" i="20"/>
  <c r="T64" i="20" s="1"/>
  <c r="J64" i="20"/>
  <c r="U64" i="20" s="1"/>
  <c r="N64" i="20"/>
  <c r="O64" i="20"/>
  <c r="Q64" i="20"/>
  <c r="R64" i="20"/>
  <c r="W64" i="20"/>
  <c r="X64" i="20"/>
  <c r="D65" i="20"/>
  <c r="E65" i="20"/>
  <c r="I65" i="20"/>
  <c r="T65" i="20" s="1"/>
  <c r="J65" i="20"/>
  <c r="U65" i="20" s="1"/>
  <c r="N65" i="20"/>
  <c r="O65" i="20"/>
  <c r="Q65" i="20"/>
  <c r="R65" i="20"/>
  <c r="W65" i="20"/>
  <c r="X65" i="20"/>
  <c r="D66" i="20"/>
  <c r="E66" i="20"/>
  <c r="I66" i="20"/>
  <c r="T66" i="20" s="1"/>
  <c r="J66" i="20"/>
  <c r="U66" i="20" s="1"/>
  <c r="N66" i="20"/>
  <c r="O66" i="20"/>
  <c r="Q66" i="20"/>
  <c r="R66" i="20"/>
  <c r="W66" i="20"/>
  <c r="D67" i="20"/>
  <c r="E67" i="20"/>
  <c r="I67" i="20"/>
  <c r="T67" i="20" s="1"/>
  <c r="J67" i="20"/>
  <c r="U67" i="20" s="1"/>
  <c r="N67" i="20"/>
  <c r="O67" i="20"/>
  <c r="Q67" i="20"/>
  <c r="R67" i="20"/>
  <c r="X67" i="20"/>
  <c r="D68" i="20"/>
  <c r="E68" i="20"/>
  <c r="I68" i="20"/>
  <c r="T68" i="20" s="1"/>
  <c r="J68" i="20"/>
  <c r="U68" i="20" s="1"/>
  <c r="N68" i="20"/>
  <c r="O68" i="20"/>
  <c r="Q68" i="20"/>
  <c r="R68" i="20"/>
  <c r="W68" i="20"/>
  <c r="D69" i="20"/>
  <c r="E69" i="20"/>
  <c r="I69" i="20"/>
  <c r="T69" i="20" s="1"/>
  <c r="J69" i="20"/>
  <c r="U69" i="20" s="1"/>
  <c r="N69" i="20"/>
  <c r="O69" i="20"/>
  <c r="Q69" i="20"/>
  <c r="R69" i="20"/>
  <c r="X69" i="20"/>
  <c r="D70" i="20"/>
  <c r="E70" i="20"/>
  <c r="I70" i="20"/>
  <c r="T70" i="20" s="1"/>
  <c r="J70" i="20"/>
  <c r="U70" i="20" s="1"/>
  <c r="N70" i="20"/>
  <c r="O70" i="20"/>
  <c r="Q70" i="20"/>
  <c r="R70" i="20"/>
  <c r="W70" i="20"/>
  <c r="D71" i="20"/>
  <c r="E71" i="20"/>
  <c r="I71" i="20"/>
  <c r="T71" i="20" s="1"/>
  <c r="J71" i="20"/>
  <c r="U71" i="20" s="1"/>
  <c r="N71" i="20"/>
  <c r="O71" i="20"/>
  <c r="Q71" i="20"/>
  <c r="R71" i="20"/>
  <c r="X71" i="20"/>
  <c r="D72" i="20"/>
  <c r="E72" i="20"/>
  <c r="I72" i="20"/>
  <c r="T72" i="20" s="1"/>
  <c r="J72" i="20"/>
  <c r="U72" i="20" s="1"/>
  <c r="N72" i="20"/>
  <c r="O72" i="20"/>
  <c r="Q72" i="20"/>
  <c r="R72" i="20"/>
  <c r="W72" i="20"/>
  <c r="D73" i="20"/>
  <c r="E73" i="20"/>
  <c r="I73" i="20"/>
  <c r="T73" i="20" s="1"/>
  <c r="J73" i="20"/>
  <c r="U73" i="20" s="1"/>
  <c r="N73" i="20"/>
  <c r="O73" i="20"/>
  <c r="Q73" i="20"/>
  <c r="R73" i="20"/>
  <c r="X73" i="20"/>
  <c r="D74" i="20"/>
  <c r="E74" i="20"/>
  <c r="I74" i="20"/>
  <c r="T74" i="20" s="1"/>
  <c r="J74" i="20"/>
  <c r="U74" i="20" s="1"/>
  <c r="N74" i="20"/>
  <c r="O74" i="20"/>
  <c r="Q74" i="20"/>
  <c r="R74" i="20"/>
  <c r="W74" i="20"/>
  <c r="D75" i="20"/>
  <c r="E75" i="20"/>
  <c r="I75" i="20"/>
  <c r="T75" i="20" s="1"/>
  <c r="J75" i="20"/>
  <c r="U75" i="20" s="1"/>
  <c r="N75" i="20"/>
  <c r="O75" i="20"/>
  <c r="Q75" i="20"/>
  <c r="R75" i="20"/>
  <c r="X75" i="20"/>
  <c r="D76" i="20"/>
  <c r="E76" i="20"/>
  <c r="I76" i="20"/>
  <c r="T76" i="20" s="1"/>
  <c r="J76" i="20"/>
  <c r="U76" i="20" s="1"/>
  <c r="N76" i="20"/>
  <c r="O76" i="20"/>
  <c r="Q76" i="20"/>
  <c r="R76" i="20"/>
  <c r="W76" i="20"/>
  <c r="D77" i="20"/>
  <c r="E77" i="20"/>
  <c r="I77" i="20"/>
  <c r="T77" i="20" s="1"/>
  <c r="J77" i="20"/>
  <c r="U77" i="20" s="1"/>
  <c r="N77" i="20"/>
  <c r="O77" i="20"/>
  <c r="Q77" i="20"/>
  <c r="R77" i="20"/>
  <c r="X77" i="20"/>
  <c r="D78" i="20"/>
  <c r="E78" i="20"/>
  <c r="I78" i="20"/>
  <c r="T78" i="20" s="1"/>
  <c r="J78" i="20"/>
  <c r="U78" i="20" s="1"/>
  <c r="N78" i="20"/>
  <c r="O78" i="20"/>
  <c r="Q78" i="20"/>
  <c r="R78" i="20"/>
  <c r="W78" i="20"/>
  <c r="D79" i="20"/>
  <c r="E79" i="20"/>
  <c r="I79" i="20"/>
  <c r="T79" i="20" s="1"/>
  <c r="J79" i="20"/>
  <c r="U79" i="20" s="1"/>
  <c r="N79" i="20"/>
  <c r="O79" i="20"/>
  <c r="Q79" i="20"/>
  <c r="R79" i="20"/>
  <c r="X79" i="20"/>
  <c r="D80" i="20"/>
  <c r="E80" i="20"/>
  <c r="I80" i="20"/>
  <c r="T80" i="20" s="1"/>
  <c r="J80" i="20"/>
  <c r="U80" i="20" s="1"/>
  <c r="N80" i="20"/>
  <c r="O80" i="20"/>
  <c r="Q80" i="20"/>
  <c r="R80" i="20"/>
  <c r="W80" i="20"/>
  <c r="D81" i="20"/>
  <c r="E81" i="20"/>
  <c r="I81" i="20"/>
  <c r="T81" i="20" s="1"/>
  <c r="J81" i="20"/>
  <c r="U81" i="20" s="1"/>
  <c r="N81" i="20"/>
  <c r="O81" i="20"/>
  <c r="Q81" i="20"/>
  <c r="R81" i="20"/>
  <c r="X81" i="20"/>
  <c r="D82" i="20"/>
  <c r="E82" i="20"/>
  <c r="I82" i="20"/>
  <c r="T82" i="20" s="1"/>
  <c r="J82" i="20"/>
  <c r="U82" i="20" s="1"/>
  <c r="N82" i="20"/>
  <c r="O82" i="20"/>
  <c r="Q82" i="20"/>
  <c r="R82" i="20"/>
  <c r="W82" i="20"/>
  <c r="D83" i="20"/>
  <c r="E83" i="20"/>
  <c r="I83" i="20"/>
  <c r="T83" i="20" s="1"/>
  <c r="J83" i="20"/>
  <c r="U83" i="20" s="1"/>
  <c r="N83" i="20"/>
  <c r="O83" i="20"/>
  <c r="Q83" i="20"/>
  <c r="R83" i="20"/>
  <c r="X83" i="20"/>
  <c r="D84" i="20"/>
  <c r="E84" i="20"/>
  <c r="I84" i="20"/>
  <c r="T84" i="20" s="1"/>
  <c r="J84" i="20"/>
  <c r="U84" i="20" s="1"/>
  <c r="N84" i="20"/>
  <c r="O84" i="20"/>
  <c r="Q84" i="20"/>
  <c r="R84" i="20"/>
  <c r="W84" i="20"/>
  <c r="D85" i="20"/>
  <c r="E85" i="20"/>
  <c r="I85" i="20"/>
  <c r="T85" i="20" s="1"/>
  <c r="J85" i="20"/>
  <c r="U85" i="20" s="1"/>
  <c r="N85" i="20"/>
  <c r="O85" i="20"/>
  <c r="Q85" i="20"/>
  <c r="R85" i="20"/>
  <c r="X85" i="20"/>
  <c r="D86" i="20"/>
  <c r="E86" i="20"/>
  <c r="I86" i="20"/>
  <c r="T86" i="20" s="1"/>
  <c r="J86" i="20"/>
  <c r="U86" i="20" s="1"/>
  <c r="N86" i="20"/>
  <c r="O86" i="20"/>
  <c r="Q86" i="20"/>
  <c r="R86" i="20"/>
  <c r="W86" i="20"/>
  <c r="D87" i="20"/>
  <c r="E87" i="20"/>
  <c r="I87" i="20"/>
  <c r="T87" i="20" s="1"/>
  <c r="J87" i="20"/>
  <c r="U87" i="20" s="1"/>
  <c r="N87" i="20"/>
  <c r="O87" i="20"/>
  <c r="Q87" i="20"/>
  <c r="R87" i="20"/>
  <c r="X87" i="20"/>
  <c r="D88" i="20"/>
  <c r="E88" i="20"/>
  <c r="I88" i="20"/>
  <c r="T88" i="20" s="1"/>
  <c r="J88" i="20"/>
  <c r="U88" i="20" s="1"/>
  <c r="N88" i="20"/>
  <c r="O88" i="20"/>
  <c r="Q88" i="20"/>
  <c r="R88" i="20"/>
  <c r="W88" i="20"/>
  <c r="D89" i="20"/>
  <c r="E89" i="20"/>
  <c r="X89" i="20" s="1"/>
  <c r="I89" i="20"/>
  <c r="T89" i="20" s="1"/>
  <c r="J89" i="20"/>
  <c r="N89" i="20"/>
  <c r="O89" i="20"/>
  <c r="Q89" i="20"/>
  <c r="R89" i="20"/>
  <c r="U89" i="20"/>
  <c r="W89" i="20"/>
  <c r="D90" i="20"/>
  <c r="E90" i="20"/>
  <c r="X90" i="20" s="1"/>
  <c r="I90" i="20"/>
  <c r="T90" i="20" s="1"/>
  <c r="J90" i="20"/>
  <c r="N90" i="20"/>
  <c r="O90" i="20"/>
  <c r="Q90" i="20"/>
  <c r="R90" i="20"/>
  <c r="U90" i="20"/>
  <c r="W90" i="20"/>
  <c r="D91" i="20"/>
  <c r="E91" i="20"/>
  <c r="X91" i="20" s="1"/>
  <c r="I91" i="20"/>
  <c r="T91" i="20" s="1"/>
  <c r="J91" i="20"/>
  <c r="N91" i="20"/>
  <c r="O91" i="20"/>
  <c r="Q91" i="20"/>
  <c r="R91" i="20"/>
  <c r="U91" i="20"/>
  <c r="W91" i="20"/>
  <c r="D92" i="20"/>
  <c r="E92" i="20"/>
  <c r="X92" i="20" s="1"/>
  <c r="I92" i="20"/>
  <c r="T92" i="20" s="1"/>
  <c r="J92" i="20"/>
  <c r="N92" i="20"/>
  <c r="O92" i="20"/>
  <c r="Q92" i="20"/>
  <c r="R92" i="20"/>
  <c r="U92" i="20"/>
  <c r="W92" i="20"/>
  <c r="D93" i="20"/>
  <c r="E93" i="20"/>
  <c r="X93" i="20" s="1"/>
  <c r="I93" i="20"/>
  <c r="T93" i="20" s="1"/>
  <c r="J93" i="20"/>
  <c r="N93" i="20"/>
  <c r="O93" i="20"/>
  <c r="Q93" i="20"/>
  <c r="R93" i="20"/>
  <c r="U93" i="20"/>
  <c r="W93" i="20"/>
  <c r="D94" i="20"/>
  <c r="E94" i="20"/>
  <c r="X94" i="20" s="1"/>
  <c r="I94" i="20"/>
  <c r="T94" i="20" s="1"/>
  <c r="J94" i="20"/>
  <c r="N94" i="20"/>
  <c r="O94" i="20"/>
  <c r="Q94" i="20"/>
  <c r="R94" i="20"/>
  <c r="U94" i="20"/>
  <c r="W94" i="20"/>
  <c r="D95" i="20"/>
  <c r="E95" i="20"/>
  <c r="X95" i="20" s="1"/>
  <c r="I95" i="20"/>
  <c r="T95" i="20" s="1"/>
  <c r="J95" i="20"/>
  <c r="N95" i="20"/>
  <c r="O95" i="20"/>
  <c r="Q95" i="20"/>
  <c r="R95" i="20"/>
  <c r="U95" i="20"/>
  <c r="W95" i="20"/>
  <c r="D96" i="20"/>
  <c r="E96" i="20"/>
  <c r="X96" i="20" s="1"/>
  <c r="I96" i="20"/>
  <c r="T96" i="20" s="1"/>
  <c r="J96" i="20"/>
  <c r="N96" i="20"/>
  <c r="O96" i="20"/>
  <c r="Q96" i="20"/>
  <c r="R96" i="20"/>
  <c r="U96" i="20"/>
  <c r="W96" i="20"/>
  <c r="D97" i="20"/>
  <c r="E97" i="20"/>
  <c r="X97" i="20" s="1"/>
  <c r="I97" i="20"/>
  <c r="T97" i="20" s="1"/>
  <c r="J97" i="20"/>
  <c r="N97" i="20"/>
  <c r="O97" i="20"/>
  <c r="Q97" i="20"/>
  <c r="R97" i="20"/>
  <c r="U97" i="20"/>
  <c r="W97" i="20"/>
  <c r="D98" i="20"/>
  <c r="E98" i="20"/>
  <c r="X98" i="20" s="1"/>
  <c r="I98" i="20"/>
  <c r="T98" i="20" s="1"/>
  <c r="J98" i="20"/>
  <c r="N98" i="20"/>
  <c r="O98" i="20"/>
  <c r="Q98" i="20"/>
  <c r="R98" i="20"/>
  <c r="U98" i="20"/>
  <c r="W98" i="20"/>
  <c r="D99" i="20"/>
  <c r="E99" i="20"/>
  <c r="X99" i="20" s="1"/>
  <c r="I99" i="20"/>
  <c r="T99" i="20" s="1"/>
  <c r="J99" i="20"/>
  <c r="N99" i="20"/>
  <c r="O99" i="20"/>
  <c r="Q99" i="20"/>
  <c r="R99" i="20"/>
  <c r="U99" i="20"/>
  <c r="W99" i="20"/>
  <c r="D100" i="20"/>
  <c r="E100" i="20"/>
  <c r="X100" i="20" s="1"/>
  <c r="I100" i="20"/>
  <c r="T100" i="20" s="1"/>
  <c r="J100" i="20"/>
  <c r="N100" i="20"/>
  <c r="O100" i="20"/>
  <c r="Q100" i="20"/>
  <c r="R100" i="20"/>
  <c r="U100" i="20"/>
  <c r="W100" i="20"/>
  <c r="D101" i="20"/>
  <c r="E101" i="20"/>
  <c r="X101" i="20" s="1"/>
  <c r="I101" i="20"/>
  <c r="T101" i="20" s="1"/>
  <c r="J101" i="20"/>
  <c r="N101" i="20"/>
  <c r="O101" i="20"/>
  <c r="Q101" i="20"/>
  <c r="R101" i="20"/>
  <c r="U101" i="20"/>
  <c r="W101" i="20"/>
  <c r="D102" i="20"/>
  <c r="E102" i="20"/>
  <c r="X102" i="20" s="1"/>
  <c r="I102" i="20"/>
  <c r="T102" i="20" s="1"/>
  <c r="J102" i="20"/>
  <c r="N102" i="20"/>
  <c r="O102" i="20"/>
  <c r="Q102" i="20"/>
  <c r="R102" i="20"/>
  <c r="U102" i="20"/>
  <c r="W102" i="20"/>
  <c r="D103" i="20"/>
  <c r="E103" i="20"/>
  <c r="X103" i="20" s="1"/>
  <c r="I103" i="20"/>
  <c r="T103" i="20" s="1"/>
  <c r="J103" i="20"/>
  <c r="N103" i="20"/>
  <c r="O103" i="20"/>
  <c r="Q103" i="20"/>
  <c r="R103" i="20"/>
  <c r="U103" i="20"/>
  <c r="W103" i="20"/>
  <c r="D104" i="20"/>
  <c r="E104" i="20"/>
  <c r="X104" i="20" s="1"/>
  <c r="I104" i="20"/>
  <c r="T104" i="20" s="1"/>
  <c r="J104" i="20"/>
  <c r="N104" i="20"/>
  <c r="O104" i="20"/>
  <c r="Q104" i="20"/>
  <c r="R104" i="20"/>
  <c r="U104" i="20"/>
  <c r="W104" i="20"/>
  <c r="D105" i="20"/>
  <c r="E105" i="20"/>
  <c r="X105" i="20" s="1"/>
  <c r="I105" i="20"/>
  <c r="T105" i="20" s="1"/>
  <c r="J105" i="20"/>
  <c r="N105" i="20"/>
  <c r="O105" i="20"/>
  <c r="Q105" i="20"/>
  <c r="R105" i="20"/>
  <c r="U105" i="20"/>
  <c r="W105" i="20"/>
  <c r="D106" i="20"/>
  <c r="E106" i="20"/>
  <c r="X106" i="20" s="1"/>
  <c r="I106" i="20"/>
  <c r="T106" i="20" s="1"/>
  <c r="J106" i="20"/>
  <c r="N106" i="20"/>
  <c r="O106" i="20"/>
  <c r="Q106" i="20"/>
  <c r="R106" i="20"/>
  <c r="U106" i="20"/>
  <c r="W106" i="20"/>
  <c r="D107" i="20"/>
  <c r="E107" i="20"/>
  <c r="X107" i="20" s="1"/>
  <c r="I107" i="20"/>
  <c r="T107" i="20" s="1"/>
  <c r="J107" i="20"/>
  <c r="N107" i="20"/>
  <c r="O107" i="20"/>
  <c r="Q107" i="20"/>
  <c r="R107" i="20"/>
  <c r="U107" i="20"/>
  <c r="W107" i="20"/>
  <c r="D108" i="20"/>
  <c r="E108" i="20"/>
  <c r="X108" i="20" s="1"/>
  <c r="I108" i="20"/>
  <c r="T108" i="20" s="1"/>
  <c r="J108" i="20"/>
  <c r="N108" i="20"/>
  <c r="O108" i="20"/>
  <c r="Q108" i="20"/>
  <c r="R108" i="20"/>
  <c r="U108" i="20"/>
  <c r="W108" i="20"/>
  <c r="D109" i="20"/>
  <c r="E109" i="20"/>
  <c r="X109" i="20" s="1"/>
  <c r="I109" i="20"/>
  <c r="T109" i="20" s="1"/>
  <c r="J109" i="20"/>
  <c r="N109" i="20"/>
  <c r="O109" i="20"/>
  <c r="Q109" i="20"/>
  <c r="R109" i="20"/>
  <c r="U109" i="20"/>
  <c r="W109" i="20"/>
  <c r="D3" i="19"/>
  <c r="E3" i="19"/>
  <c r="I3" i="19"/>
  <c r="J3" i="19"/>
  <c r="N3" i="19"/>
  <c r="O3" i="19"/>
  <c r="Q3" i="19"/>
  <c r="R3" i="19"/>
  <c r="T3" i="19"/>
  <c r="U3" i="19"/>
  <c r="X3" i="19"/>
  <c r="D4" i="19"/>
  <c r="E4" i="19"/>
  <c r="I4" i="19"/>
  <c r="J4" i="19"/>
  <c r="U4" i="19" s="1"/>
  <c r="N4" i="19"/>
  <c r="O4" i="19"/>
  <c r="Q4" i="19"/>
  <c r="R4" i="19"/>
  <c r="T4" i="19"/>
  <c r="X4" i="19"/>
  <c r="D5" i="19"/>
  <c r="W5" i="19" s="1"/>
  <c r="E5" i="19"/>
  <c r="I5" i="19"/>
  <c r="J5" i="19"/>
  <c r="N5" i="19"/>
  <c r="O5" i="19"/>
  <c r="Q5" i="19"/>
  <c r="R5" i="19"/>
  <c r="T5" i="19"/>
  <c r="U5" i="19"/>
  <c r="X5" i="19"/>
  <c r="D6" i="19"/>
  <c r="E6" i="19"/>
  <c r="I6" i="19"/>
  <c r="J6" i="19"/>
  <c r="U6" i="19" s="1"/>
  <c r="N6" i="19"/>
  <c r="O6" i="19"/>
  <c r="Q6" i="19"/>
  <c r="R6" i="19"/>
  <c r="T6" i="19"/>
  <c r="X6" i="19"/>
  <c r="D7" i="19"/>
  <c r="E7" i="19"/>
  <c r="I7" i="19"/>
  <c r="J7" i="19"/>
  <c r="U7" i="19" s="1"/>
  <c r="N7" i="19"/>
  <c r="O7" i="19"/>
  <c r="Q7" i="19"/>
  <c r="R7" i="19"/>
  <c r="T7" i="19"/>
  <c r="X7" i="19"/>
  <c r="D8" i="19"/>
  <c r="E8" i="19"/>
  <c r="I8" i="19"/>
  <c r="J8" i="19"/>
  <c r="U8" i="19" s="1"/>
  <c r="N8" i="19"/>
  <c r="O8" i="19"/>
  <c r="Q8" i="19"/>
  <c r="R8" i="19"/>
  <c r="T8" i="19"/>
  <c r="X8" i="19"/>
  <c r="D9" i="19"/>
  <c r="E9" i="19"/>
  <c r="I9" i="19"/>
  <c r="J9" i="19"/>
  <c r="U9" i="19" s="1"/>
  <c r="N9" i="19"/>
  <c r="O9" i="19"/>
  <c r="Q9" i="19"/>
  <c r="R9" i="19"/>
  <c r="T9" i="19"/>
  <c r="X9" i="19"/>
  <c r="D10" i="19"/>
  <c r="E10" i="19"/>
  <c r="I10" i="19"/>
  <c r="J10" i="19"/>
  <c r="U10" i="19" s="1"/>
  <c r="N10" i="19"/>
  <c r="O10" i="19"/>
  <c r="Q10" i="19"/>
  <c r="R10" i="19"/>
  <c r="T10" i="19"/>
  <c r="X10" i="19"/>
  <c r="D11" i="19"/>
  <c r="E11" i="19"/>
  <c r="I11" i="19"/>
  <c r="J11" i="19"/>
  <c r="U11" i="19" s="1"/>
  <c r="N11" i="19"/>
  <c r="O11" i="19"/>
  <c r="Q11" i="19"/>
  <c r="R11" i="19"/>
  <c r="T11" i="19"/>
  <c r="X11" i="19"/>
  <c r="D12" i="19"/>
  <c r="E12" i="19"/>
  <c r="I12" i="19"/>
  <c r="J12" i="19"/>
  <c r="U12" i="19" s="1"/>
  <c r="N12" i="19"/>
  <c r="O12" i="19"/>
  <c r="Q12" i="19"/>
  <c r="R12" i="19"/>
  <c r="T12" i="19"/>
  <c r="X12" i="19"/>
  <c r="D13" i="19"/>
  <c r="E13" i="19"/>
  <c r="I13" i="19"/>
  <c r="J13" i="19"/>
  <c r="U13" i="19" s="1"/>
  <c r="N13" i="19"/>
  <c r="O13" i="19"/>
  <c r="Q13" i="19"/>
  <c r="R13" i="19"/>
  <c r="T13" i="19"/>
  <c r="X13" i="19"/>
  <c r="D14" i="19"/>
  <c r="E14" i="19"/>
  <c r="I14" i="19"/>
  <c r="J14" i="19"/>
  <c r="U14" i="19" s="1"/>
  <c r="N14" i="19"/>
  <c r="O14" i="19"/>
  <c r="Q14" i="19"/>
  <c r="R14" i="19"/>
  <c r="T14" i="19"/>
  <c r="X14" i="19"/>
  <c r="D15" i="19"/>
  <c r="E15" i="19"/>
  <c r="I15" i="19"/>
  <c r="J15" i="19"/>
  <c r="U15" i="19" s="1"/>
  <c r="N15" i="19"/>
  <c r="O15" i="19"/>
  <c r="Q15" i="19"/>
  <c r="R15" i="19"/>
  <c r="T15" i="19"/>
  <c r="X15" i="19"/>
  <c r="D16" i="19"/>
  <c r="E16" i="19"/>
  <c r="I16" i="19"/>
  <c r="J16" i="19"/>
  <c r="U16" i="19" s="1"/>
  <c r="N16" i="19"/>
  <c r="O16" i="19"/>
  <c r="Q16" i="19"/>
  <c r="R16" i="19"/>
  <c r="T16" i="19"/>
  <c r="X16" i="19"/>
  <c r="D17" i="19"/>
  <c r="E17" i="19"/>
  <c r="I17" i="19"/>
  <c r="J17" i="19"/>
  <c r="U17" i="19" s="1"/>
  <c r="N17" i="19"/>
  <c r="O17" i="19"/>
  <c r="Q17" i="19"/>
  <c r="R17" i="19"/>
  <c r="T17" i="19"/>
  <c r="X17" i="19"/>
  <c r="D18" i="19"/>
  <c r="E18" i="19"/>
  <c r="I18" i="19"/>
  <c r="J18" i="19"/>
  <c r="U18" i="19" s="1"/>
  <c r="N18" i="19"/>
  <c r="O18" i="19"/>
  <c r="Q18" i="19"/>
  <c r="R18" i="19"/>
  <c r="T18" i="19"/>
  <c r="X18" i="19"/>
  <c r="D19" i="19"/>
  <c r="E19" i="19"/>
  <c r="I19" i="19"/>
  <c r="J19" i="19"/>
  <c r="U19" i="19" s="1"/>
  <c r="N19" i="19"/>
  <c r="O19" i="19"/>
  <c r="Q19" i="19"/>
  <c r="R19" i="19"/>
  <c r="T19" i="19"/>
  <c r="X19" i="19"/>
  <c r="D20" i="19"/>
  <c r="E20" i="19"/>
  <c r="I20" i="19"/>
  <c r="J20" i="19"/>
  <c r="U20" i="19" s="1"/>
  <c r="N20" i="19"/>
  <c r="O20" i="19"/>
  <c r="Q20" i="19"/>
  <c r="R20" i="19"/>
  <c r="T20" i="19"/>
  <c r="X20" i="19"/>
  <c r="D21" i="19"/>
  <c r="E21" i="19"/>
  <c r="I21" i="19"/>
  <c r="J21" i="19"/>
  <c r="U21" i="19" s="1"/>
  <c r="N21" i="19"/>
  <c r="O21" i="19"/>
  <c r="Q21" i="19"/>
  <c r="R21" i="19"/>
  <c r="T21" i="19"/>
  <c r="X21" i="19"/>
  <c r="D22" i="19"/>
  <c r="E22" i="19"/>
  <c r="I22" i="19"/>
  <c r="J22" i="19"/>
  <c r="U22" i="19" s="1"/>
  <c r="N22" i="19"/>
  <c r="O22" i="19"/>
  <c r="Q22" i="19"/>
  <c r="R22" i="19"/>
  <c r="T22" i="19"/>
  <c r="X22" i="19"/>
  <c r="D23" i="19"/>
  <c r="E23" i="19"/>
  <c r="I23" i="19"/>
  <c r="J23" i="19"/>
  <c r="U23" i="19" s="1"/>
  <c r="N23" i="19"/>
  <c r="O23" i="19"/>
  <c r="Q23" i="19"/>
  <c r="R23" i="19"/>
  <c r="T23" i="19"/>
  <c r="X23" i="19"/>
  <c r="D24" i="19"/>
  <c r="E24" i="19"/>
  <c r="I24" i="19"/>
  <c r="J24" i="19"/>
  <c r="U24" i="19" s="1"/>
  <c r="N24" i="19"/>
  <c r="O24" i="19"/>
  <c r="Q24" i="19"/>
  <c r="R24" i="19"/>
  <c r="T24" i="19"/>
  <c r="X24" i="19"/>
  <c r="D25" i="19"/>
  <c r="E25" i="19"/>
  <c r="I25" i="19"/>
  <c r="J25" i="19"/>
  <c r="U25" i="19" s="1"/>
  <c r="N25" i="19"/>
  <c r="O25" i="19"/>
  <c r="Q25" i="19"/>
  <c r="R25" i="19"/>
  <c r="T25" i="19"/>
  <c r="X25" i="19"/>
  <c r="D26" i="19"/>
  <c r="E26" i="19"/>
  <c r="I26" i="19"/>
  <c r="J26" i="19"/>
  <c r="U26" i="19" s="1"/>
  <c r="N26" i="19"/>
  <c r="O26" i="19"/>
  <c r="Q26" i="19"/>
  <c r="R26" i="19"/>
  <c r="T26" i="19"/>
  <c r="X26" i="19"/>
  <c r="D27" i="19"/>
  <c r="E27" i="19"/>
  <c r="I27" i="19"/>
  <c r="J27" i="19"/>
  <c r="U27" i="19" s="1"/>
  <c r="N27" i="19"/>
  <c r="O27" i="19"/>
  <c r="Q27" i="19"/>
  <c r="R27" i="19"/>
  <c r="T27" i="19"/>
  <c r="X27" i="19"/>
  <c r="D28" i="19"/>
  <c r="E28" i="19"/>
  <c r="I28" i="19"/>
  <c r="J28" i="19"/>
  <c r="U28" i="19" s="1"/>
  <c r="N28" i="19"/>
  <c r="O28" i="19"/>
  <c r="Q28" i="19"/>
  <c r="R28" i="19"/>
  <c r="T28" i="19"/>
  <c r="X28" i="19"/>
  <c r="D29" i="19"/>
  <c r="E29" i="19"/>
  <c r="I29" i="19"/>
  <c r="J29" i="19"/>
  <c r="U29" i="19" s="1"/>
  <c r="N29" i="19"/>
  <c r="O29" i="19"/>
  <c r="Q29" i="19"/>
  <c r="R29" i="19"/>
  <c r="T29" i="19"/>
  <c r="X29" i="19"/>
  <c r="D30" i="19"/>
  <c r="E30" i="19"/>
  <c r="I30" i="19"/>
  <c r="J30" i="19"/>
  <c r="U30" i="19" s="1"/>
  <c r="N30" i="19"/>
  <c r="O30" i="19"/>
  <c r="Q30" i="19"/>
  <c r="R30" i="19"/>
  <c r="T30" i="19"/>
  <c r="X30" i="19"/>
  <c r="D31" i="19"/>
  <c r="E31" i="19"/>
  <c r="I31" i="19"/>
  <c r="J31" i="19"/>
  <c r="U31" i="19" s="1"/>
  <c r="N31" i="19"/>
  <c r="O31" i="19"/>
  <c r="Q31" i="19"/>
  <c r="R31" i="19"/>
  <c r="T31" i="19"/>
  <c r="X31" i="19"/>
  <c r="D32" i="19"/>
  <c r="E32" i="19"/>
  <c r="I32" i="19"/>
  <c r="J32" i="19"/>
  <c r="U32" i="19" s="1"/>
  <c r="N32" i="19"/>
  <c r="O32" i="19"/>
  <c r="Q32" i="19"/>
  <c r="R32" i="19"/>
  <c r="T32" i="19"/>
  <c r="X32" i="19"/>
  <c r="D33" i="19"/>
  <c r="E33" i="19"/>
  <c r="I33" i="19"/>
  <c r="J33" i="19"/>
  <c r="U33" i="19" s="1"/>
  <c r="N33" i="19"/>
  <c r="O33" i="19"/>
  <c r="Q33" i="19"/>
  <c r="R33" i="19"/>
  <c r="T33" i="19"/>
  <c r="X33" i="19"/>
  <c r="D34" i="19"/>
  <c r="E34" i="19"/>
  <c r="I34" i="19"/>
  <c r="J34" i="19"/>
  <c r="U34" i="19" s="1"/>
  <c r="N34" i="19"/>
  <c r="O34" i="19"/>
  <c r="Q34" i="19"/>
  <c r="R34" i="19"/>
  <c r="T34" i="19"/>
  <c r="X34" i="19"/>
  <c r="D35" i="19"/>
  <c r="E35" i="19"/>
  <c r="I35" i="19"/>
  <c r="J35" i="19"/>
  <c r="U35" i="19" s="1"/>
  <c r="N35" i="19"/>
  <c r="O35" i="19"/>
  <c r="Q35" i="19"/>
  <c r="R35" i="19"/>
  <c r="T35" i="19"/>
  <c r="X35" i="19"/>
  <c r="D36" i="19"/>
  <c r="E36" i="19"/>
  <c r="I36" i="19"/>
  <c r="J36" i="19"/>
  <c r="U36" i="19" s="1"/>
  <c r="N36" i="19"/>
  <c r="O36" i="19"/>
  <c r="Q36" i="19"/>
  <c r="R36" i="19"/>
  <c r="T36" i="19"/>
  <c r="X36" i="19"/>
  <c r="D37" i="19"/>
  <c r="E37" i="19"/>
  <c r="I37" i="19"/>
  <c r="J37" i="19"/>
  <c r="U37" i="19" s="1"/>
  <c r="N37" i="19"/>
  <c r="O37" i="19"/>
  <c r="Q37" i="19"/>
  <c r="R37" i="19"/>
  <c r="T37" i="19"/>
  <c r="X37" i="19"/>
  <c r="D38" i="19"/>
  <c r="E38" i="19"/>
  <c r="I38" i="19"/>
  <c r="J38" i="19"/>
  <c r="U38" i="19" s="1"/>
  <c r="N38" i="19"/>
  <c r="O38" i="19"/>
  <c r="Q38" i="19"/>
  <c r="R38" i="19"/>
  <c r="T38" i="19"/>
  <c r="X38" i="19"/>
  <c r="D39" i="19"/>
  <c r="E39" i="19"/>
  <c r="I39" i="19"/>
  <c r="J39" i="19"/>
  <c r="U39" i="19" s="1"/>
  <c r="N39" i="19"/>
  <c r="O39" i="19"/>
  <c r="Q39" i="19"/>
  <c r="R39" i="19"/>
  <c r="T39" i="19"/>
  <c r="X39" i="19"/>
  <c r="D40" i="19"/>
  <c r="E40" i="19"/>
  <c r="I40" i="19"/>
  <c r="J40" i="19"/>
  <c r="U40" i="19" s="1"/>
  <c r="N40" i="19"/>
  <c r="O40" i="19"/>
  <c r="Q40" i="19"/>
  <c r="R40" i="19"/>
  <c r="T40" i="19"/>
  <c r="X40" i="19"/>
  <c r="D41" i="19"/>
  <c r="E41" i="19"/>
  <c r="I41" i="19"/>
  <c r="J41" i="19"/>
  <c r="U41" i="19" s="1"/>
  <c r="N41" i="19"/>
  <c r="O41" i="19"/>
  <c r="Q41" i="19"/>
  <c r="R41" i="19"/>
  <c r="T41" i="19"/>
  <c r="X41" i="19"/>
  <c r="D42" i="19"/>
  <c r="E42" i="19"/>
  <c r="I42" i="19"/>
  <c r="J42" i="19"/>
  <c r="U42" i="19" s="1"/>
  <c r="N42" i="19"/>
  <c r="O42" i="19"/>
  <c r="Q42" i="19"/>
  <c r="R42" i="19"/>
  <c r="T42" i="19"/>
  <c r="X42" i="19"/>
  <c r="D43" i="19"/>
  <c r="E43" i="19"/>
  <c r="I43" i="19"/>
  <c r="J43" i="19"/>
  <c r="U43" i="19" s="1"/>
  <c r="N43" i="19"/>
  <c r="O43" i="19"/>
  <c r="Q43" i="19"/>
  <c r="R43" i="19"/>
  <c r="T43" i="19"/>
  <c r="X43" i="19"/>
  <c r="D44" i="19"/>
  <c r="E44" i="19"/>
  <c r="I44" i="19"/>
  <c r="J44" i="19"/>
  <c r="U44" i="19" s="1"/>
  <c r="N44" i="19"/>
  <c r="O44" i="19"/>
  <c r="Q44" i="19"/>
  <c r="R44" i="19"/>
  <c r="T44" i="19"/>
  <c r="X44" i="19"/>
  <c r="D45" i="19"/>
  <c r="E45" i="19"/>
  <c r="I45" i="19"/>
  <c r="J45" i="19"/>
  <c r="U45" i="19" s="1"/>
  <c r="N45" i="19"/>
  <c r="O45" i="19"/>
  <c r="Q45" i="19"/>
  <c r="R45" i="19"/>
  <c r="T45" i="19"/>
  <c r="X45" i="19"/>
  <c r="D46" i="19"/>
  <c r="E46" i="19"/>
  <c r="I46" i="19"/>
  <c r="J46" i="19"/>
  <c r="U46" i="19" s="1"/>
  <c r="N46" i="19"/>
  <c r="O46" i="19"/>
  <c r="Q46" i="19"/>
  <c r="R46" i="19"/>
  <c r="T46" i="19"/>
  <c r="X46" i="19"/>
  <c r="D47" i="19"/>
  <c r="E47" i="19"/>
  <c r="I47" i="19"/>
  <c r="J47" i="19"/>
  <c r="U47" i="19" s="1"/>
  <c r="N47" i="19"/>
  <c r="O47" i="19"/>
  <c r="Q47" i="19"/>
  <c r="R47" i="19"/>
  <c r="T47" i="19"/>
  <c r="X47" i="19"/>
  <c r="D48" i="19"/>
  <c r="E48" i="19"/>
  <c r="I48" i="19"/>
  <c r="J48" i="19"/>
  <c r="U48" i="19" s="1"/>
  <c r="N48" i="19"/>
  <c r="O48" i="19"/>
  <c r="Q48" i="19"/>
  <c r="R48" i="19"/>
  <c r="T48" i="19"/>
  <c r="X48" i="19"/>
  <c r="D49" i="19"/>
  <c r="E49" i="19"/>
  <c r="I49" i="19"/>
  <c r="J49" i="19"/>
  <c r="U49" i="19" s="1"/>
  <c r="N49" i="19"/>
  <c r="O49" i="19"/>
  <c r="Q49" i="19"/>
  <c r="R49" i="19"/>
  <c r="T49" i="19"/>
  <c r="X49" i="19"/>
  <c r="D50" i="19"/>
  <c r="E50" i="19"/>
  <c r="I50" i="19"/>
  <c r="J50" i="19"/>
  <c r="U50" i="19" s="1"/>
  <c r="N50" i="19"/>
  <c r="O50" i="19"/>
  <c r="Q50" i="19"/>
  <c r="R50" i="19"/>
  <c r="T50" i="19"/>
  <c r="X50" i="19"/>
  <c r="D51" i="19"/>
  <c r="E51" i="19"/>
  <c r="I51" i="19"/>
  <c r="J51" i="19"/>
  <c r="U51" i="19" s="1"/>
  <c r="N51" i="19"/>
  <c r="O51" i="19"/>
  <c r="Q51" i="19"/>
  <c r="R51" i="19"/>
  <c r="T51" i="19"/>
  <c r="X51" i="19"/>
  <c r="D52" i="19"/>
  <c r="E52" i="19"/>
  <c r="I52" i="19"/>
  <c r="J52" i="19"/>
  <c r="U52" i="19" s="1"/>
  <c r="N52" i="19"/>
  <c r="O52" i="19"/>
  <c r="Q52" i="19"/>
  <c r="R52" i="19"/>
  <c r="T52" i="19"/>
  <c r="X52" i="19"/>
  <c r="D53" i="19"/>
  <c r="E53" i="19"/>
  <c r="I53" i="19"/>
  <c r="J53" i="19"/>
  <c r="U53" i="19" s="1"/>
  <c r="N53" i="19"/>
  <c r="O53" i="19"/>
  <c r="Q53" i="19"/>
  <c r="R53" i="19"/>
  <c r="T53" i="19"/>
  <c r="X53" i="19"/>
  <c r="D54" i="19"/>
  <c r="E54" i="19"/>
  <c r="I54" i="19"/>
  <c r="J54" i="19"/>
  <c r="U54" i="19" s="1"/>
  <c r="N54" i="19"/>
  <c r="O54" i="19"/>
  <c r="Q54" i="19"/>
  <c r="R54" i="19"/>
  <c r="T54" i="19"/>
  <c r="X54" i="19"/>
  <c r="D55" i="19"/>
  <c r="E55" i="19"/>
  <c r="I55" i="19"/>
  <c r="J55" i="19"/>
  <c r="U55" i="19" s="1"/>
  <c r="N55" i="19"/>
  <c r="O55" i="19"/>
  <c r="Q55" i="19"/>
  <c r="R55" i="19"/>
  <c r="T55" i="19"/>
  <c r="X55" i="19"/>
  <c r="D56" i="19"/>
  <c r="E56" i="19"/>
  <c r="I56" i="19"/>
  <c r="J56" i="19"/>
  <c r="U56" i="19" s="1"/>
  <c r="N56" i="19"/>
  <c r="O56" i="19"/>
  <c r="Q56" i="19"/>
  <c r="R56" i="19"/>
  <c r="T56" i="19"/>
  <c r="X56" i="19"/>
  <c r="D57" i="19"/>
  <c r="E57" i="19"/>
  <c r="I57" i="19"/>
  <c r="J57" i="19"/>
  <c r="U57" i="19" s="1"/>
  <c r="N57" i="19"/>
  <c r="O57" i="19"/>
  <c r="Q57" i="19"/>
  <c r="R57" i="19"/>
  <c r="T57" i="19"/>
  <c r="X57" i="19"/>
  <c r="D58" i="19"/>
  <c r="E58" i="19"/>
  <c r="I58" i="19"/>
  <c r="J58" i="19"/>
  <c r="U58" i="19" s="1"/>
  <c r="N58" i="19"/>
  <c r="O58" i="19"/>
  <c r="Q58" i="19"/>
  <c r="R58" i="19"/>
  <c r="T58" i="19"/>
  <c r="X58" i="19"/>
  <c r="D59" i="19"/>
  <c r="E59" i="19"/>
  <c r="I59" i="19"/>
  <c r="J59" i="19"/>
  <c r="U59" i="19" s="1"/>
  <c r="N59" i="19"/>
  <c r="O59" i="19"/>
  <c r="Q59" i="19"/>
  <c r="R59" i="19"/>
  <c r="T59" i="19"/>
  <c r="X59" i="19"/>
  <c r="D60" i="19"/>
  <c r="E60" i="19"/>
  <c r="I60" i="19"/>
  <c r="J60" i="19"/>
  <c r="U60" i="19" s="1"/>
  <c r="N60" i="19"/>
  <c r="O60" i="19"/>
  <c r="Q60" i="19"/>
  <c r="R60" i="19"/>
  <c r="T60" i="19"/>
  <c r="X60" i="19"/>
  <c r="D61" i="19"/>
  <c r="E61" i="19"/>
  <c r="I61" i="19"/>
  <c r="J61" i="19"/>
  <c r="U61" i="19" s="1"/>
  <c r="N61" i="19"/>
  <c r="O61" i="19"/>
  <c r="Q61" i="19"/>
  <c r="R61" i="19"/>
  <c r="T61" i="19"/>
  <c r="X61" i="19"/>
  <c r="D62" i="19"/>
  <c r="E62" i="19"/>
  <c r="I62" i="19"/>
  <c r="J62" i="19"/>
  <c r="U62" i="19" s="1"/>
  <c r="N62" i="19"/>
  <c r="O62" i="19"/>
  <c r="Q62" i="19"/>
  <c r="R62" i="19"/>
  <c r="T62" i="19"/>
  <c r="X62" i="19"/>
  <c r="D63" i="19"/>
  <c r="E63" i="19"/>
  <c r="I63" i="19"/>
  <c r="J63" i="19"/>
  <c r="U63" i="19" s="1"/>
  <c r="N63" i="19"/>
  <c r="O63" i="19"/>
  <c r="Q63" i="19"/>
  <c r="R63" i="19"/>
  <c r="T63" i="19"/>
  <c r="X63" i="19"/>
  <c r="D64" i="19"/>
  <c r="E64" i="19"/>
  <c r="I64" i="19"/>
  <c r="J64" i="19"/>
  <c r="U64" i="19" s="1"/>
  <c r="N64" i="19"/>
  <c r="O64" i="19"/>
  <c r="Q64" i="19"/>
  <c r="R64" i="19"/>
  <c r="T64" i="19"/>
  <c r="X64" i="19"/>
  <c r="D65" i="19"/>
  <c r="E65" i="19"/>
  <c r="I65" i="19"/>
  <c r="J65" i="19"/>
  <c r="U65" i="19" s="1"/>
  <c r="N65" i="19"/>
  <c r="O65" i="19"/>
  <c r="Q65" i="19"/>
  <c r="R65" i="19"/>
  <c r="T65" i="19"/>
  <c r="X65" i="19"/>
  <c r="D66" i="19"/>
  <c r="E66" i="19"/>
  <c r="I66" i="19"/>
  <c r="J66" i="19"/>
  <c r="U66" i="19" s="1"/>
  <c r="N66" i="19"/>
  <c r="O66" i="19"/>
  <c r="Q66" i="19"/>
  <c r="R66" i="19"/>
  <c r="T66" i="19"/>
  <c r="X66" i="19"/>
  <c r="D67" i="19"/>
  <c r="E67" i="19"/>
  <c r="I67" i="19"/>
  <c r="J67" i="19"/>
  <c r="U67" i="19" s="1"/>
  <c r="N67" i="19"/>
  <c r="O67" i="19"/>
  <c r="Q67" i="19"/>
  <c r="R67" i="19"/>
  <c r="T67" i="19"/>
  <c r="D68" i="19"/>
  <c r="E68" i="19"/>
  <c r="I68" i="19"/>
  <c r="J68" i="19"/>
  <c r="U68" i="19" s="1"/>
  <c r="N68" i="19"/>
  <c r="O68" i="19"/>
  <c r="Q68" i="19"/>
  <c r="R68" i="19"/>
  <c r="T68" i="19"/>
  <c r="X68" i="19"/>
  <c r="D69" i="19"/>
  <c r="E69" i="19"/>
  <c r="I69" i="19"/>
  <c r="J69" i="19"/>
  <c r="U69" i="19" s="1"/>
  <c r="N69" i="19"/>
  <c r="O69" i="19"/>
  <c r="Q69" i="19"/>
  <c r="R69" i="19"/>
  <c r="T69" i="19"/>
  <c r="D70" i="19"/>
  <c r="E70" i="19"/>
  <c r="I70" i="19"/>
  <c r="J70" i="19"/>
  <c r="U70" i="19" s="1"/>
  <c r="N70" i="19"/>
  <c r="O70" i="19"/>
  <c r="Q70" i="19"/>
  <c r="R70" i="19"/>
  <c r="T70" i="19"/>
  <c r="X70" i="19"/>
  <c r="D71" i="19"/>
  <c r="E71" i="19"/>
  <c r="I71" i="19"/>
  <c r="J71" i="19"/>
  <c r="U71" i="19" s="1"/>
  <c r="N71" i="19"/>
  <c r="O71" i="19"/>
  <c r="Q71" i="19"/>
  <c r="R71" i="19"/>
  <c r="T71" i="19"/>
  <c r="D72" i="19"/>
  <c r="E72" i="19"/>
  <c r="I72" i="19"/>
  <c r="J72" i="19"/>
  <c r="U72" i="19" s="1"/>
  <c r="N72" i="19"/>
  <c r="O72" i="19"/>
  <c r="Q72" i="19"/>
  <c r="R72" i="19"/>
  <c r="T72" i="19"/>
  <c r="X72" i="19"/>
  <c r="D73" i="19"/>
  <c r="E73" i="19"/>
  <c r="I73" i="19"/>
  <c r="J73" i="19"/>
  <c r="U73" i="19" s="1"/>
  <c r="N73" i="19"/>
  <c r="O73" i="19"/>
  <c r="Q73" i="19"/>
  <c r="R73" i="19"/>
  <c r="T73" i="19"/>
  <c r="D74" i="19"/>
  <c r="E74" i="19"/>
  <c r="I74" i="19"/>
  <c r="J74" i="19"/>
  <c r="U74" i="19" s="1"/>
  <c r="N74" i="19"/>
  <c r="O74" i="19"/>
  <c r="Q74" i="19"/>
  <c r="R74" i="19"/>
  <c r="T74" i="19"/>
  <c r="X74" i="19"/>
  <c r="D75" i="19"/>
  <c r="E75" i="19"/>
  <c r="I75" i="19"/>
  <c r="J75" i="19"/>
  <c r="U75" i="19" s="1"/>
  <c r="N75" i="19"/>
  <c r="O75" i="19"/>
  <c r="Q75" i="19"/>
  <c r="R75" i="19"/>
  <c r="T75" i="19"/>
  <c r="D76" i="19"/>
  <c r="E76" i="19"/>
  <c r="I76" i="19"/>
  <c r="J76" i="19"/>
  <c r="U76" i="19" s="1"/>
  <c r="N76" i="19"/>
  <c r="O76" i="19"/>
  <c r="Q76" i="19"/>
  <c r="R76" i="19"/>
  <c r="T76" i="19"/>
  <c r="W76" i="19"/>
  <c r="X76" i="19"/>
  <c r="D77" i="19"/>
  <c r="E77" i="19"/>
  <c r="I77" i="19"/>
  <c r="W77" i="19" s="1"/>
  <c r="J77" i="19"/>
  <c r="U77" i="19" s="1"/>
  <c r="N77" i="19"/>
  <c r="O77" i="19"/>
  <c r="Q77" i="19"/>
  <c r="R77" i="19"/>
  <c r="X77" i="19"/>
  <c r="D78" i="19"/>
  <c r="W78" i="19" s="1"/>
  <c r="E78" i="19"/>
  <c r="I78" i="19"/>
  <c r="T78" i="19" s="1"/>
  <c r="J78" i="19"/>
  <c r="U78" i="19" s="1"/>
  <c r="N78" i="19"/>
  <c r="O78" i="19"/>
  <c r="Q78" i="19"/>
  <c r="R78" i="19"/>
  <c r="D79" i="19"/>
  <c r="W79" i="19" s="1"/>
  <c r="E79" i="19"/>
  <c r="I79" i="19"/>
  <c r="J79" i="19"/>
  <c r="U79" i="19" s="1"/>
  <c r="N79" i="19"/>
  <c r="O79" i="19"/>
  <c r="Q79" i="19"/>
  <c r="R79" i="19"/>
  <c r="T79" i="19"/>
  <c r="D80" i="19"/>
  <c r="E80" i="19"/>
  <c r="I80" i="19"/>
  <c r="J80" i="19"/>
  <c r="U80" i="19" s="1"/>
  <c r="N80" i="19"/>
  <c r="O80" i="19"/>
  <c r="Q80" i="19"/>
  <c r="R80" i="19"/>
  <c r="T80" i="19"/>
  <c r="W80" i="19"/>
  <c r="X80" i="19"/>
  <c r="D81" i="19"/>
  <c r="E81" i="19"/>
  <c r="I81" i="19"/>
  <c r="W81" i="19" s="1"/>
  <c r="J81" i="19"/>
  <c r="U81" i="19" s="1"/>
  <c r="N81" i="19"/>
  <c r="O81" i="19"/>
  <c r="Q81" i="19"/>
  <c r="R81" i="19"/>
  <c r="X81" i="19"/>
  <c r="D82" i="19"/>
  <c r="W82" i="19" s="1"/>
  <c r="E82" i="19"/>
  <c r="I82" i="19"/>
  <c r="T82" i="19" s="1"/>
  <c r="J82" i="19"/>
  <c r="U82" i="19" s="1"/>
  <c r="N82" i="19"/>
  <c r="O82" i="19"/>
  <c r="Q82" i="19"/>
  <c r="R82" i="19"/>
  <c r="D83" i="19"/>
  <c r="W83" i="19" s="1"/>
  <c r="E83" i="19"/>
  <c r="I83" i="19"/>
  <c r="J83" i="19"/>
  <c r="U83" i="19" s="1"/>
  <c r="N83" i="19"/>
  <c r="O83" i="19"/>
  <c r="Q83" i="19"/>
  <c r="R83" i="19"/>
  <c r="T83" i="19"/>
  <c r="D84" i="19"/>
  <c r="E84" i="19"/>
  <c r="I84" i="19"/>
  <c r="J84" i="19"/>
  <c r="U84" i="19" s="1"/>
  <c r="N84" i="19"/>
  <c r="O84" i="19"/>
  <c r="Q84" i="19"/>
  <c r="R84" i="19"/>
  <c r="T84" i="19"/>
  <c r="W84" i="19"/>
  <c r="X84" i="19"/>
  <c r="D85" i="19"/>
  <c r="E85" i="19"/>
  <c r="I85" i="19"/>
  <c r="W85" i="19" s="1"/>
  <c r="J85" i="19"/>
  <c r="U85" i="19" s="1"/>
  <c r="N85" i="19"/>
  <c r="O85" i="19"/>
  <c r="Q85" i="19"/>
  <c r="R85" i="19"/>
  <c r="X85" i="19"/>
  <c r="D86" i="19"/>
  <c r="W86" i="19" s="1"/>
  <c r="E86" i="19"/>
  <c r="I86" i="19"/>
  <c r="T86" i="19" s="1"/>
  <c r="J86" i="19"/>
  <c r="U86" i="19" s="1"/>
  <c r="N86" i="19"/>
  <c r="O86" i="19"/>
  <c r="Q86" i="19"/>
  <c r="R86" i="19"/>
  <c r="D87" i="19"/>
  <c r="W87" i="19" s="1"/>
  <c r="E87" i="19"/>
  <c r="I87" i="19"/>
  <c r="J87" i="19"/>
  <c r="U87" i="19" s="1"/>
  <c r="N87" i="19"/>
  <c r="O87" i="19"/>
  <c r="Q87" i="19"/>
  <c r="R87" i="19"/>
  <c r="T87" i="19"/>
  <c r="D88" i="19"/>
  <c r="E88" i="19"/>
  <c r="I88" i="19"/>
  <c r="J88" i="19"/>
  <c r="U88" i="19" s="1"/>
  <c r="N88" i="19"/>
  <c r="O88" i="19"/>
  <c r="Q88" i="19"/>
  <c r="R88" i="19"/>
  <c r="T88" i="19"/>
  <c r="W88" i="19"/>
  <c r="X88" i="19"/>
  <c r="D89" i="19"/>
  <c r="E89" i="19"/>
  <c r="I89" i="19"/>
  <c r="W89" i="19" s="1"/>
  <c r="J89" i="19"/>
  <c r="U89" i="19" s="1"/>
  <c r="N89" i="19"/>
  <c r="O89" i="19"/>
  <c r="Q89" i="19"/>
  <c r="R89" i="19"/>
  <c r="X89" i="19"/>
  <c r="D90" i="19"/>
  <c r="E90" i="19"/>
  <c r="I90" i="19"/>
  <c r="T90" i="19" s="1"/>
  <c r="J90" i="19"/>
  <c r="U90" i="19" s="1"/>
  <c r="N90" i="19"/>
  <c r="O90" i="19"/>
  <c r="Q90" i="19"/>
  <c r="R90" i="19"/>
  <c r="W90" i="19"/>
  <c r="X90" i="19"/>
  <c r="D91" i="19"/>
  <c r="E91" i="19"/>
  <c r="I91" i="19"/>
  <c r="T91" i="19" s="1"/>
  <c r="J91" i="19"/>
  <c r="U91" i="19" s="1"/>
  <c r="N91" i="19"/>
  <c r="O91" i="19"/>
  <c r="Q91" i="19"/>
  <c r="R91" i="19"/>
  <c r="W91" i="19"/>
  <c r="X91" i="19"/>
  <c r="D92" i="19"/>
  <c r="E92" i="19"/>
  <c r="I92" i="19"/>
  <c r="T92" i="19" s="1"/>
  <c r="J92" i="19"/>
  <c r="U92" i="19" s="1"/>
  <c r="N92" i="19"/>
  <c r="O92" i="19"/>
  <c r="Q92" i="19"/>
  <c r="R92" i="19"/>
  <c r="W92" i="19"/>
  <c r="X92" i="19"/>
  <c r="D93" i="19"/>
  <c r="E93" i="19"/>
  <c r="I93" i="19"/>
  <c r="T93" i="19" s="1"/>
  <c r="J93" i="19"/>
  <c r="U93" i="19" s="1"/>
  <c r="N93" i="19"/>
  <c r="O93" i="19"/>
  <c r="Q93" i="19"/>
  <c r="R93" i="19"/>
  <c r="W93" i="19"/>
  <c r="X93" i="19"/>
  <c r="D94" i="19"/>
  <c r="E94" i="19"/>
  <c r="I94" i="19"/>
  <c r="T94" i="19" s="1"/>
  <c r="J94" i="19"/>
  <c r="U94" i="19" s="1"/>
  <c r="N94" i="19"/>
  <c r="O94" i="19"/>
  <c r="Q94" i="19"/>
  <c r="R94" i="19"/>
  <c r="W94" i="19"/>
  <c r="X94" i="19"/>
  <c r="D95" i="19"/>
  <c r="E95" i="19"/>
  <c r="I95" i="19"/>
  <c r="T95" i="19" s="1"/>
  <c r="J95" i="19"/>
  <c r="U95" i="19" s="1"/>
  <c r="N95" i="19"/>
  <c r="O95" i="19"/>
  <c r="Q95" i="19"/>
  <c r="R95" i="19"/>
  <c r="W95" i="19"/>
  <c r="X95" i="19"/>
  <c r="D96" i="19"/>
  <c r="E96" i="19"/>
  <c r="I96" i="19"/>
  <c r="T96" i="19" s="1"/>
  <c r="J96" i="19"/>
  <c r="U96" i="19" s="1"/>
  <c r="N96" i="19"/>
  <c r="O96" i="19"/>
  <c r="Q96" i="19"/>
  <c r="R96" i="19"/>
  <c r="W96" i="19"/>
  <c r="X96" i="19"/>
  <c r="D97" i="19"/>
  <c r="E97" i="19"/>
  <c r="I97" i="19"/>
  <c r="T97" i="19" s="1"/>
  <c r="J97" i="19"/>
  <c r="U97" i="19" s="1"/>
  <c r="N97" i="19"/>
  <c r="O97" i="19"/>
  <c r="Q97" i="19"/>
  <c r="R97" i="19"/>
  <c r="W97" i="19"/>
  <c r="X97" i="19"/>
  <c r="D98" i="19"/>
  <c r="E98" i="19"/>
  <c r="I98" i="19"/>
  <c r="T98" i="19" s="1"/>
  <c r="J98" i="19"/>
  <c r="U98" i="19" s="1"/>
  <c r="N98" i="19"/>
  <c r="O98" i="19"/>
  <c r="Q98" i="19"/>
  <c r="R98" i="19"/>
  <c r="W98" i="19"/>
  <c r="X98" i="19"/>
  <c r="D99" i="19"/>
  <c r="E99" i="19"/>
  <c r="I99" i="19"/>
  <c r="T99" i="19" s="1"/>
  <c r="J99" i="19"/>
  <c r="U99" i="19" s="1"/>
  <c r="N99" i="19"/>
  <c r="O99" i="19"/>
  <c r="Q99" i="19"/>
  <c r="R99" i="19"/>
  <c r="W99" i="19"/>
  <c r="X99" i="19"/>
  <c r="D100" i="19"/>
  <c r="E100" i="19"/>
  <c r="I100" i="19"/>
  <c r="T100" i="19" s="1"/>
  <c r="J100" i="19"/>
  <c r="U100" i="19" s="1"/>
  <c r="N100" i="19"/>
  <c r="O100" i="19"/>
  <c r="Q100" i="19"/>
  <c r="R100" i="19"/>
  <c r="W100" i="19"/>
  <c r="X100" i="19"/>
  <c r="D101" i="19"/>
  <c r="E101" i="19"/>
  <c r="I101" i="19"/>
  <c r="T101" i="19" s="1"/>
  <c r="J101" i="19"/>
  <c r="U101" i="19" s="1"/>
  <c r="N101" i="19"/>
  <c r="O101" i="19"/>
  <c r="Q101" i="19"/>
  <c r="R101" i="19"/>
  <c r="W101" i="19"/>
  <c r="X101" i="19"/>
  <c r="D102" i="19"/>
  <c r="E102" i="19"/>
  <c r="I102" i="19"/>
  <c r="T102" i="19" s="1"/>
  <c r="J102" i="19"/>
  <c r="U102" i="19" s="1"/>
  <c r="N102" i="19"/>
  <c r="O102" i="19"/>
  <c r="Q102" i="19"/>
  <c r="R102" i="19"/>
  <c r="W102" i="19"/>
  <c r="X102" i="19"/>
  <c r="D103" i="19"/>
  <c r="E103" i="19"/>
  <c r="I103" i="19"/>
  <c r="T103" i="19" s="1"/>
  <c r="J103" i="19"/>
  <c r="U103" i="19" s="1"/>
  <c r="N103" i="19"/>
  <c r="O103" i="19"/>
  <c r="Q103" i="19"/>
  <c r="R103" i="19"/>
  <c r="W103" i="19"/>
  <c r="X103" i="19"/>
  <c r="D104" i="19"/>
  <c r="E104" i="19"/>
  <c r="I104" i="19"/>
  <c r="T104" i="19" s="1"/>
  <c r="J104" i="19"/>
  <c r="U104" i="19" s="1"/>
  <c r="N104" i="19"/>
  <c r="O104" i="19"/>
  <c r="Q104" i="19"/>
  <c r="R104" i="19"/>
  <c r="W104" i="19"/>
  <c r="X104" i="19"/>
  <c r="D105" i="19"/>
  <c r="E105" i="19"/>
  <c r="I105" i="19"/>
  <c r="T105" i="19" s="1"/>
  <c r="J105" i="19"/>
  <c r="U105" i="19" s="1"/>
  <c r="N105" i="19"/>
  <c r="O105" i="19"/>
  <c r="Q105" i="19"/>
  <c r="R105" i="19"/>
  <c r="W105" i="19"/>
  <c r="X105" i="19"/>
  <c r="D106" i="19"/>
  <c r="E106" i="19"/>
  <c r="I106" i="19"/>
  <c r="T106" i="19" s="1"/>
  <c r="J106" i="19"/>
  <c r="U106" i="19" s="1"/>
  <c r="N106" i="19"/>
  <c r="O106" i="19"/>
  <c r="Q106" i="19"/>
  <c r="R106" i="19"/>
  <c r="W106" i="19"/>
  <c r="X106" i="19"/>
  <c r="D107" i="19"/>
  <c r="E107" i="19"/>
  <c r="I107" i="19"/>
  <c r="T107" i="19" s="1"/>
  <c r="J107" i="19"/>
  <c r="U107" i="19" s="1"/>
  <c r="N107" i="19"/>
  <c r="O107" i="19"/>
  <c r="Q107" i="19"/>
  <c r="R107" i="19"/>
  <c r="W107" i="19"/>
  <c r="X107" i="19"/>
  <c r="D108" i="19"/>
  <c r="E108" i="19"/>
  <c r="I108" i="19"/>
  <c r="T108" i="19" s="1"/>
  <c r="J108" i="19"/>
  <c r="U108" i="19" s="1"/>
  <c r="N108" i="19"/>
  <c r="O108" i="19"/>
  <c r="Q108" i="19"/>
  <c r="R108" i="19"/>
  <c r="W108" i="19"/>
  <c r="X108" i="19"/>
  <c r="D109" i="19"/>
  <c r="E109" i="19"/>
  <c r="I109" i="19"/>
  <c r="T109" i="19" s="1"/>
  <c r="J109" i="19"/>
  <c r="X109" i="19" s="1"/>
  <c r="N109" i="19"/>
  <c r="O109" i="19"/>
  <c r="Q109" i="19"/>
  <c r="R109" i="19"/>
  <c r="W109" i="19"/>
  <c r="D3" i="18"/>
  <c r="E3" i="18"/>
  <c r="I3" i="18"/>
  <c r="T3" i="18" s="1"/>
  <c r="J3" i="18"/>
  <c r="U3" i="18" s="1"/>
  <c r="N3" i="18"/>
  <c r="O3" i="18"/>
  <c r="Q3" i="18"/>
  <c r="R3" i="18"/>
  <c r="D4" i="18"/>
  <c r="E4" i="18"/>
  <c r="I4" i="18"/>
  <c r="T4" i="18" s="1"/>
  <c r="J4" i="18"/>
  <c r="U4" i="18" s="1"/>
  <c r="N4" i="18"/>
  <c r="O4" i="18"/>
  <c r="Q4" i="18"/>
  <c r="R4" i="18"/>
  <c r="W4" i="18"/>
  <c r="X4" i="18"/>
  <c r="D5" i="18"/>
  <c r="E5" i="18"/>
  <c r="I5" i="18"/>
  <c r="T5" i="18" s="1"/>
  <c r="J5" i="18"/>
  <c r="U5" i="18" s="1"/>
  <c r="N5" i="18"/>
  <c r="O5" i="18"/>
  <c r="Q5" i="18"/>
  <c r="R5" i="18"/>
  <c r="D6" i="18"/>
  <c r="E6" i="18"/>
  <c r="I6" i="18"/>
  <c r="T6" i="18" s="1"/>
  <c r="J6" i="18"/>
  <c r="U6" i="18" s="1"/>
  <c r="N6" i="18"/>
  <c r="O6" i="18"/>
  <c r="Q6" i="18"/>
  <c r="R6" i="18"/>
  <c r="W6" i="18"/>
  <c r="X6" i="18"/>
  <c r="D7" i="18"/>
  <c r="E7" i="18"/>
  <c r="I7" i="18"/>
  <c r="T7" i="18" s="1"/>
  <c r="J7" i="18"/>
  <c r="U7" i="18" s="1"/>
  <c r="N7" i="18"/>
  <c r="O7" i="18"/>
  <c r="Q7" i="18"/>
  <c r="R7" i="18"/>
  <c r="D8" i="18"/>
  <c r="E8" i="18"/>
  <c r="I8" i="18"/>
  <c r="T8" i="18" s="1"/>
  <c r="J8" i="18"/>
  <c r="U8" i="18" s="1"/>
  <c r="N8" i="18"/>
  <c r="O8" i="18"/>
  <c r="Q8" i="18"/>
  <c r="R8" i="18"/>
  <c r="W8" i="18"/>
  <c r="X8" i="18"/>
  <c r="D9" i="18"/>
  <c r="E9" i="18"/>
  <c r="I9" i="18"/>
  <c r="T9" i="18" s="1"/>
  <c r="J9" i="18"/>
  <c r="U9" i="18" s="1"/>
  <c r="N9" i="18"/>
  <c r="O9" i="18"/>
  <c r="Q9" i="18"/>
  <c r="R9" i="18"/>
  <c r="D10" i="18"/>
  <c r="E10" i="18"/>
  <c r="I10" i="18"/>
  <c r="T10" i="18" s="1"/>
  <c r="J10" i="18"/>
  <c r="U10" i="18" s="1"/>
  <c r="N10" i="18"/>
  <c r="O10" i="18"/>
  <c r="Q10" i="18"/>
  <c r="R10" i="18"/>
  <c r="W10" i="18"/>
  <c r="X10" i="18"/>
  <c r="D11" i="18"/>
  <c r="E11" i="18"/>
  <c r="I11" i="18"/>
  <c r="T11" i="18" s="1"/>
  <c r="J11" i="18"/>
  <c r="U11" i="18" s="1"/>
  <c r="N11" i="18"/>
  <c r="O11" i="18"/>
  <c r="Q11" i="18"/>
  <c r="R11" i="18"/>
  <c r="D12" i="18"/>
  <c r="E12" i="18"/>
  <c r="I12" i="18"/>
  <c r="T12" i="18" s="1"/>
  <c r="J12" i="18"/>
  <c r="U12" i="18" s="1"/>
  <c r="N12" i="18"/>
  <c r="O12" i="18"/>
  <c r="Q12" i="18"/>
  <c r="R12" i="18"/>
  <c r="W12" i="18"/>
  <c r="X12" i="18"/>
  <c r="D13" i="18"/>
  <c r="E13" i="18"/>
  <c r="I13" i="18"/>
  <c r="T13" i="18" s="1"/>
  <c r="J13" i="18"/>
  <c r="U13" i="18" s="1"/>
  <c r="N13" i="18"/>
  <c r="O13" i="18"/>
  <c r="Q13" i="18"/>
  <c r="R13" i="18"/>
  <c r="D14" i="18"/>
  <c r="E14" i="18"/>
  <c r="I14" i="18"/>
  <c r="T14" i="18" s="1"/>
  <c r="J14" i="18"/>
  <c r="U14" i="18" s="1"/>
  <c r="N14" i="18"/>
  <c r="O14" i="18"/>
  <c r="Q14" i="18"/>
  <c r="R14" i="18"/>
  <c r="W14" i="18"/>
  <c r="X14" i="18"/>
  <c r="D15" i="18"/>
  <c r="E15" i="18"/>
  <c r="I15" i="18"/>
  <c r="T15" i="18" s="1"/>
  <c r="J15" i="18"/>
  <c r="U15" i="18" s="1"/>
  <c r="N15" i="18"/>
  <c r="O15" i="18"/>
  <c r="Q15" i="18"/>
  <c r="R15" i="18"/>
  <c r="D16" i="18"/>
  <c r="E16" i="18"/>
  <c r="I16" i="18"/>
  <c r="T16" i="18" s="1"/>
  <c r="J16" i="18"/>
  <c r="U16" i="18" s="1"/>
  <c r="N16" i="18"/>
  <c r="O16" i="18"/>
  <c r="Q16" i="18"/>
  <c r="R16" i="18"/>
  <c r="W16" i="18"/>
  <c r="X16" i="18"/>
  <c r="D17" i="18"/>
  <c r="E17" i="18"/>
  <c r="I17" i="18"/>
  <c r="T17" i="18" s="1"/>
  <c r="J17" i="18"/>
  <c r="U17" i="18" s="1"/>
  <c r="N17" i="18"/>
  <c r="O17" i="18"/>
  <c r="Q17" i="18"/>
  <c r="R17" i="18"/>
  <c r="D18" i="18"/>
  <c r="E18" i="18"/>
  <c r="I18" i="18"/>
  <c r="T18" i="18" s="1"/>
  <c r="J18" i="18"/>
  <c r="U18" i="18" s="1"/>
  <c r="N18" i="18"/>
  <c r="O18" i="18"/>
  <c r="Q18" i="18"/>
  <c r="R18" i="18"/>
  <c r="W18" i="18"/>
  <c r="X18" i="18"/>
  <c r="D19" i="18"/>
  <c r="E19" i="18"/>
  <c r="I19" i="18"/>
  <c r="T19" i="18" s="1"/>
  <c r="J19" i="18"/>
  <c r="U19" i="18" s="1"/>
  <c r="N19" i="18"/>
  <c r="O19" i="18"/>
  <c r="Q19" i="18"/>
  <c r="R19" i="18"/>
  <c r="D20" i="18"/>
  <c r="E20" i="18"/>
  <c r="I20" i="18"/>
  <c r="T20" i="18" s="1"/>
  <c r="J20" i="18"/>
  <c r="U20" i="18" s="1"/>
  <c r="N20" i="18"/>
  <c r="O20" i="18"/>
  <c r="Q20" i="18"/>
  <c r="R20" i="18"/>
  <c r="W20" i="18"/>
  <c r="X20" i="18"/>
  <c r="D21" i="18"/>
  <c r="E21" i="18"/>
  <c r="I21" i="18"/>
  <c r="T21" i="18" s="1"/>
  <c r="J21" i="18"/>
  <c r="U21" i="18" s="1"/>
  <c r="N21" i="18"/>
  <c r="O21" i="18"/>
  <c r="Q21" i="18"/>
  <c r="R21" i="18"/>
  <c r="D22" i="18"/>
  <c r="E22" i="18"/>
  <c r="I22" i="18"/>
  <c r="T22" i="18" s="1"/>
  <c r="J22" i="18"/>
  <c r="U22" i="18" s="1"/>
  <c r="N22" i="18"/>
  <c r="O22" i="18"/>
  <c r="Q22" i="18"/>
  <c r="R22" i="18"/>
  <c r="W22" i="18"/>
  <c r="X22" i="18"/>
  <c r="D23" i="18"/>
  <c r="E23" i="18"/>
  <c r="I23" i="18"/>
  <c r="T23" i="18" s="1"/>
  <c r="J23" i="18"/>
  <c r="U23" i="18" s="1"/>
  <c r="N23" i="18"/>
  <c r="O23" i="18"/>
  <c r="Q23" i="18"/>
  <c r="R23" i="18"/>
  <c r="D24" i="18"/>
  <c r="E24" i="18"/>
  <c r="I24" i="18"/>
  <c r="T24" i="18" s="1"/>
  <c r="J24" i="18"/>
  <c r="U24" i="18" s="1"/>
  <c r="N24" i="18"/>
  <c r="O24" i="18"/>
  <c r="Q24" i="18"/>
  <c r="R24" i="18"/>
  <c r="W24" i="18"/>
  <c r="X24" i="18"/>
  <c r="D25" i="18"/>
  <c r="E25" i="18"/>
  <c r="I25" i="18"/>
  <c r="T25" i="18" s="1"/>
  <c r="J25" i="18"/>
  <c r="U25" i="18" s="1"/>
  <c r="N25" i="18"/>
  <c r="O25" i="18"/>
  <c r="Q25" i="18"/>
  <c r="R25" i="18"/>
  <c r="D26" i="18"/>
  <c r="E26" i="18"/>
  <c r="I26" i="18"/>
  <c r="T26" i="18" s="1"/>
  <c r="J26" i="18"/>
  <c r="U26" i="18" s="1"/>
  <c r="N26" i="18"/>
  <c r="O26" i="18"/>
  <c r="Q26" i="18"/>
  <c r="R26" i="18"/>
  <c r="W26" i="18"/>
  <c r="X26" i="18"/>
  <c r="D27" i="18"/>
  <c r="E27" i="18"/>
  <c r="I27" i="18"/>
  <c r="T27" i="18" s="1"/>
  <c r="J27" i="18"/>
  <c r="U27" i="18" s="1"/>
  <c r="N27" i="18"/>
  <c r="O27" i="18"/>
  <c r="Q27" i="18"/>
  <c r="R27" i="18"/>
  <c r="D28" i="18"/>
  <c r="E28" i="18"/>
  <c r="I28" i="18"/>
  <c r="T28" i="18" s="1"/>
  <c r="J28" i="18"/>
  <c r="U28" i="18" s="1"/>
  <c r="N28" i="18"/>
  <c r="O28" i="18"/>
  <c r="Q28" i="18"/>
  <c r="R28" i="18"/>
  <c r="W28" i="18"/>
  <c r="X28" i="18"/>
  <c r="D29" i="18"/>
  <c r="E29" i="18"/>
  <c r="I29" i="18"/>
  <c r="T29" i="18" s="1"/>
  <c r="J29" i="18"/>
  <c r="U29" i="18" s="1"/>
  <c r="N29" i="18"/>
  <c r="O29" i="18"/>
  <c r="Q29" i="18"/>
  <c r="R29" i="18"/>
  <c r="D30" i="18"/>
  <c r="E30" i="18"/>
  <c r="I30" i="18"/>
  <c r="T30" i="18" s="1"/>
  <c r="J30" i="18"/>
  <c r="U30" i="18" s="1"/>
  <c r="N30" i="18"/>
  <c r="O30" i="18"/>
  <c r="Q30" i="18"/>
  <c r="R30" i="18"/>
  <c r="W30" i="18"/>
  <c r="X30" i="18"/>
  <c r="D31" i="18"/>
  <c r="E31" i="18"/>
  <c r="I31" i="18"/>
  <c r="T31" i="18" s="1"/>
  <c r="J31" i="18"/>
  <c r="U31" i="18" s="1"/>
  <c r="N31" i="18"/>
  <c r="O31" i="18"/>
  <c r="Q31" i="18"/>
  <c r="R31" i="18"/>
  <c r="D32" i="18"/>
  <c r="E32" i="18"/>
  <c r="I32" i="18"/>
  <c r="T32" i="18" s="1"/>
  <c r="J32" i="18"/>
  <c r="U32" i="18" s="1"/>
  <c r="N32" i="18"/>
  <c r="O32" i="18"/>
  <c r="Q32" i="18"/>
  <c r="R32" i="18"/>
  <c r="W32" i="18"/>
  <c r="X32" i="18"/>
  <c r="D33" i="18"/>
  <c r="E33" i="18"/>
  <c r="I33" i="18"/>
  <c r="T33" i="18" s="1"/>
  <c r="J33" i="18"/>
  <c r="U33" i="18" s="1"/>
  <c r="N33" i="18"/>
  <c r="O33" i="18"/>
  <c r="Q33" i="18"/>
  <c r="R33" i="18"/>
  <c r="D34" i="18"/>
  <c r="E34" i="18"/>
  <c r="I34" i="18"/>
  <c r="T34" i="18" s="1"/>
  <c r="J34" i="18"/>
  <c r="U34" i="18" s="1"/>
  <c r="N34" i="18"/>
  <c r="O34" i="18"/>
  <c r="Q34" i="18"/>
  <c r="R34" i="18"/>
  <c r="W34" i="18"/>
  <c r="X34" i="18"/>
  <c r="D35" i="18"/>
  <c r="E35" i="18"/>
  <c r="I35" i="18"/>
  <c r="T35" i="18" s="1"/>
  <c r="J35" i="18"/>
  <c r="U35" i="18" s="1"/>
  <c r="N35" i="18"/>
  <c r="O35" i="18"/>
  <c r="Q35" i="18"/>
  <c r="R35" i="18"/>
  <c r="D36" i="18"/>
  <c r="E36" i="18"/>
  <c r="I36" i="18"/>
  <c r="T36" i="18" s="1"/>
  <c r="J36" i="18"/>
  <c r="U36" i="18" s="1"/>
  <c r="N36" i="18"/>
  <c r="O36" i="18"/>
  <c r="Q36" i="18"/>
  <c r="R36" i="18"/>
  <c r="W36" i="18"/>
  <c r="X36" i="18"/>
  <c r="D37" i="18"/>
  <c r="E37" i="18"/>
  <c r="I37" i="18"/>
  <c r="T37" i="18" s="1"/>
  <c r="J37" i="18"/>
  <c r="U37" i="18" s="1"/>
  <c r="N37" i="18"/>
  <c r="O37" i="18"/>
  <c r="Q37" i="18"/>
  <c r="R37" i="18"/>
  <c r="D38" i="18"/>
  <c r="E38" i="18"/>
  <c r="I38" i="18"/>
  <c r="T38" i="18" s="1"/>
  <c r="J38" i="18"/>
  <c r="U38" i="18" s="1"/>
  <c r="N38" i="18"/>
  <c r="O38" i="18"/>
  <c r="Q38" i="18"/>
  <c r="R38" i="18"/>
  <c r="W38" i="18"/>
  <c r="X38" i="18"/>
  <c r="D39" i="18"/>
  <c r="E39" i="18"/>
  <c r="I39" i="18"/>
  <c r="T39" i="18" s="1"/>
  <c r="J39" i="18"/>
  <c r="U39" i="18" s="1"/>
  <c r="N39" i="18"/>
  <c r="O39" i="18"/>
  <c r="Q39" i="18"/>
  <c r="R39" i="18"/>
  <c r="D40" i="18"/>
  <c r="E40" i="18"/>
  <c r="I40" i="18"/>
  <c r="T40" i="18" s="1"/>
  <c r="J40" i="18"/>
  <c r="U40" i="18" s="1"/>
  <c r="N40" i="18"/>
  <c r="O40" i="18"/>
  <c r="Q40" i="18"/>
  <c r="R40" i="18"/>
  <c r="W40" i="18"/>
  <c r="X40" i="18"/>
  <c r="D41" i="18"/>
  <c r="E41" i="18"/>
  <c r="I41" i="18"/>
  <c r="T41" i="18" s="1"/>
  <c r="J41" i="18"/>
  <c r="U41" i="18" s="1"/>
  <c r="N41" i="18"/>
  <c r="O41" i="18"/>
  <c r="Q41" i="18"/>
  <c r="R41" i="18"/>
  <c r="D42" i="18"/>
  <c r="E42" i="18"/>
  <c r="I42" i="18"/>
  <c r="T42" i="18" s="1"/>
  <c r="J42" i="18"/>
  <c r="U42" i="18" s="1"/>
  <c r="N42" i="18"/>
  <c r="O42" i="18"/>
  <c r="Q42" i="18"/>
  <c r="R42" i="18"/>
  <c r="W42" i="18"/>
  <c r="X42" i="18"/>
  <c r="D43" i="18"/>
  <c r="E43" i="18"/>
  <c r="I43" i="18"/>
  <c r="T43" i="18" s="1"/>
  <c r="J43" i="18"/>
  <c r="U43" i="18" s="1"/>
  <c r="N43" i="18"/>
  <c r="O43" i="18"/>
  <c r="Q43" i="18"/>
  <c r="R43" i="18"/>
  <c r="D44" i="18"/>
  <c r="E44" i="18"/>
  <c r="I44" i="18"/>
  <c r="T44" i="18" s="1"/>
  <c r="J44" i="18"/>
  <c r="U44" i="18" s="1"/>
  <c r="N44" i="18"/>
  <c r="O44" i="18"/>
  <c r="Q44" i="18"/>
  <c r="R44" i="18"/>
  <c r="W44" i="18"/>
  <c r="X44" i="18"/>
  <c r="D45" i="18"/>
  <c r="E45" i="18"/>
  <c r="I45" i="18"/>
  <c r="T45" i="18" s="1"/>
  <c r="J45" i="18"/>
  <c r="U45" i="18" s="1"/>
  <c r="N45" i="18"/>
  <c r="O45" i="18"/>
  <c r="Q45" i="18"/>
  <c r="R45" i="18"/>
  <c r="D46" i="18"/>
  <c r="E46" i="18"/>
  <c r="I46" i="18"/>
  <c r="T46" i="18" s="1"/>
  <c r="J46" i="18"/>
  <c r="U46" i="18" s="1"/>
  <c r="N46" i="18"/>
  <c r="O46" i="18"/>
  <c r="Q46" i="18"/>
  <c r="R46" i="18"/>
  <c r="W46" i="18"/>
  <c r="X46" i="18"/>
  <c r="D47" i="18"/>
  <c r="E47" i="18"/>
  <c r="I47" i="18"/>
  <c r="T47" i="18" s="1"/>
  <c r="J47" i="18"/>
  <c r="U47" i="18" s="1"/>
  <c r="N47" i="18"/>
  <c r="O47" i="18"/>
  <c r="Q47" i="18"/>
  <c r="R47" i="18"/>
  <c r="D48" i="18"/>
  <c r="E48" i="18"/>
  <c r="I48" i="18"/>
  <c r="T48" i="18" s="1"/>
  <c r="J48" i="18"/>
  <c r="U48" i="18" s="1"/>
  <c r="N48" i="18"/>
  <c r="O48" i="18"/>
  <c r="Q48" i="18"/>
  <c r="R48" i="18"/>
  <c r="W48" i="18"/>
  <c r="X48" i="18"/>
  <c r="D49" i="18"/>
  <c r="E49" i="18"/>
  <c r="I49" i="18"/>
  <c r="T49" i="18" s="1"/>
  <c r="J49" i="18"/>
  <c r="U49" i="18" s="1"/>
  <c r="N49" i="18"/>
  <c r="O49" i="18"/>
  <c r="Q49" i="18"/>
  <c r="R49" i="18"/>
  <c r="D50" i="18"/>
  <c r="E50" i="18"/>
  <c r="I50" i="18"/>
  <c r="T50" i="18" s="1"/>
  <c r="J50" i="18"/>
  <c r="U50" i="18" s="1"/>
  <c r="N50" i="18"/>
  <c r="O50" i="18"/>
  <c r="Q50" i="18"/>
  <c r="R50" i="18"/>
  <c r="W50" i="18"/>
  <c r="X50" i="18"/>
  <c r="D51" i="18"/>
  <c r="E51" i="18"/>
  <c r="I51" i="18"/>
  <c r="T51" i="18" s="1"/>
  <c r="J51" i="18"/>
  <c r="U51" i="18" s="1"/>
  <c r="N51" i="18"/>
  <c r="O51" i="18"/>
  <c r="Q51" i="18"/>
  <c r="R51" i="18"/>
  <c r="D52" i="18"/>
  <c r="E52" i="18"/>
  <c r="I52" i="18"/>
  <c r="T52" i="18" s="1"/>
  <c r="J52" i="18"/>
  <c r="U52" i="18" s="1"/>
  <c r="N52" i="18"/>
  <c r="O52" i="18"/>
  <c r="Q52" i="18"/>
  <c r="R52" i="18"/>
  <c r="W52" i="18"/>
  <c r="X52" i="18"/>
  <c r="D53" i="18"/>
  <c r="E53" i="18"/>
  <c r="I53" i="18"/>
  <c r="T53" i="18" s="1"/>
  <c r="J53" i="18"/>
  <c r="U53" i="18" s="1"/>
  <c r="N53" i="18"/>
  <c r="O53" i="18"/>
  <c r="Q53" i="18"/>
  <c r="R53" i="18"/>
  <c r="D54" i="18"/>
  <c r="E54" i="18"/>
  <c r="I54" i="18"/>
  <c r="T54" i="18" s="1"/>
  <c r="J54" i="18"/>
  <c r="U54" i="18" s="1"/>
  <c r="N54" i="18"/>
  <c r="O54" i="18"/>
  <c r="Q54" i="18"/>
  <c r="R54" i="18"/>
  <c r="W54" i="18"/>
  <c r="X54" i="18"/>
  <c r="D55" i="18"/>
  <c r="E55" i="18"/>
  <c r="I55" i="18"/>
  <c r="T55" i="18" s="1"/>
  <c r="J55" i="18"/>
  <c r="U55" i="18" s="1"/>
  <c r="N55" i="18"/>
  <c r="O55" i="18"/>
  <c r="Q55" i="18"/>
  <c r="R55" i="18"/>
  <c r="D56" i="18"/>
  <c r="E56" i="18"/>
  <c r="I56" i="18"/>
  <c r="T56" i="18" s="1"/>
  <c r="J56" i="18"/>
  <c r="U56" i="18" s="1"/>
  <c r="N56" i="18"/>
  <c r="O56" i="18"/>
  <c r="Q56" i="18"/>
  <c r="R56" i="18"/>
  <c r="W56" i="18"/>
  <c r="X56" i="18"/>
  <c r="D57" i="18"/>
  <c r="E57" i="18"/>
  <c r="I57" i="18"/>
  <c r="T57" i="18" s="1"/>
  <c r="J57" i="18"/>
  <c r="U57" i="18" s="1"/>
  <c r="N57" i="18"/>
  <c r="O57" i="18"/>
  <c r="Q57" i="18"/>
  <c r="R57" i="18"/>
  <c r="D58" i="18"/>
  <c r="E58" i="18"/>
  <c r="I58" i="18"/>
  <c r="T58" i="18" s="1"/>
  <c r="J58" i="18"/>
  <c r="U58" i="18" s="1"/>
  <c r="N58" i="18"/>
  <c r="O58" i="18"/>
  <c r="Q58" i="18"/>
  <c r="R58" i="18"/>
  <c r="W58" i="18"/>
  <c r="X58" i="18"/>
  <c r="D59" i="18"/>
  <c r="E59" i="18"/>
  <c r="I59" i="18"/>
  <c r="T59" i="18" s="1"/>
  <c r="J59" i="18"/>
  <c r="U59" i="18" s="1"/>
  <c r="N59" i="18"/>
  <c r="O59" i="18"/>
  <c r="Q59" i="18"/>
  <c r="R59" i="18"/>
  <c r="D60" i="18"/>
  <c r="E60" i="18"/>
  <c r="I60" i="18"/>
  <c r="T60" i="18" s="1"/>
  <c r="J60" i="18"/>
  <c r="U60" i="18" s="1"/>
  <c r="N60" i="18"/>
  <c r="O60" i="18"/>
  <c r="Q60" i="18"/>
  <c r="R60" i="18"/>
  <c r="W60" i="18"/>
  <c r="X60" i="18"/>
  <c r="D61" i="18"/>
  <c r="E61" i="18"/>
  <c r="I61" i="18"/>
  <c r="T61" i="18" s="1"/>
  <c r="J61" i="18"/>
  <c r="U61" i="18" s="1"/>
  <c r="N61" i="18"/>
  <c r="O61" i="18"/>
  <c r="Q61" i="18"/>
  <c r="R61" i="18"/>
  <c r="D62" i="18"/>
  <c r="E62" i="18"/>
  <c r="I62" i="18"/>
  <c r="T62" i="18" s="1"/>
  <c r="J62" i="18"/>
  <c r="U62" i="18" s="1"/>
  <c r="N62" i="18"/>
  <c r="O62" i="18"/>
  <c r="Q62" i="18"/>
  <c r="R62" i="18"/>
  <c r="W62" i="18"/>
  <c r="X62" i="18"/>
  <c r="D63" i="18"/>
  <c r="E63" i="18"/>
  <c r="I63" i="18"/>
  <c r="T63" i="18" s="1"/>
  <c r="J63" i="18"/>
  <c r="U63" i="18" s="1"/>
  <c r="N63" i="18"/>
  <c r="O63" i="18"/>
  <c r="Q63" i="18"/>
  <c r="R63" i="18"/>
  <c r="D64" i="18"/>
  <c r="E64" i="18"/>
  <c r="I64" i="18"/>
  <c r="T64" i="18" s="1"/>
  <c r="J64" i="18"/>
  <c r="U64" i="18" s="1"/>
  <c r="N64" i="18"/>
  <c r="O64" i="18"/>
  <c r="Q64" i="18"/>
  <c r="R64" i="18"/>
  <c r="W64" i="18"/>
  <c r="X64" i="18"/>
  <c r="D65" i="18"/>
  <c r="E65" i="18"/>
  <c r="I65" i="18"/>
  <c r="T65" i="18" s="1"/>
  <c r="J65" i="18"/>
  <c r="U65" i="18" s="1"/>
  <c r="N65" i="18"/>
  <c r="O65" i="18"/>
  <c r="Q65" i="18"/>
  <c r="R65" i="18"/>
  <c r="D66" i="18"/>
  <c r="E66" i="18"/>
  <c r="I66" i="18"/>
  <c r="T66" i="18" s="1"/>
  <c r="J66" i="18"/>
  <c r="U66" i="18" s="1"/>
  <c r="N66" i="18"/>
  <c r="O66" i="18"/>
  <c r="Q66" i="18"/>
  <c r="R66" i="18"/>
  <c r="W66" i="18"/>
  <c r="X66" i="18"/>
  <c r="D67" i="18"/>
  <c r="E67" i="18"/>
  <c r="I67" i="18"/>
  <c r="T67" i="18" s="1"/>
  <c r="J67" i="18"/>
  <c r="U67" i="18" s="1"/>
  <c r="N67" i="18"/>
  <c r="O67" i="18"/>
  <c r="Q67" i="18"/>
  <c r="R67" i="18"/>
  <c r="D68" i="18"/>
  <c r="E68" i="18"/>
  <c r="I68" i="18"/>
  <c r="T68" i="18" s="1"/>
  <c r="J68" i="18"/>
  <c r="U68" i="18" s="1"/>
  <c r="N68" i="18"/>
  <c r="O68" i="18"/>
  <c r="Q68" i="18"/>
  <c r="R68" i="18"/>
  <c r="W68" i="18"/>
  <c r="X68" i="18"/>
  <c r="D69" i="18"/>
  <c r="E69" i="18"/>
  <c r="I69" i="18"/>
  <c r="T69" i="18" s="1"/>
  <c r="J69" i="18"/>
  <c r="U69" i="18" s="1"/>
  <c r="N69" i="18"/>
  <c r="O69" i="18"/>
  <c r="Q69" i="18"/>
  <c r="R69" i="18"/>
  <c r="D70" i="18"/>
  <c r="E70" i="18"/>
  <c r="I70" i="18"/>
  <c r="T70" i="18" s="1"/>
  <c r="J70" i="18"/>
  <c r="U70" i="18" s="1"/>
  <c r="N70" i="18"/>
  <c r="O70" i="18"/>
  <c r="Q70" i="18"/>
  <c r="R70" i="18"/>
  <c r="W70" i="18"/>
  <c r="X70" i="18"/>
  <c r="D71" i="18"/>
  <c r="E71" i="18"/>
  <c r="I71" i="18"/>
  <c r="T71" i="18" s="1"/>
  <c r="J71" i="18"/>
  <c r="U71" i="18" s="1"/>
  <c r="N71" i="18"/>
  <c r="O71" i="18"/>
  <c r="Q71" i="18"/>
  <c r="R71" i="18"/>
  <c r="D72" i="18"/>
  <c r="E72" i="18"/>
  <c r="I72" i="18"/>
  <c r="T72" i="18" s="1"/>
  <c r="J72" i="18"/>
  <c r="U72" i="18" s="1"/>
  <c r="N72" i="18"/>
  <c r="O72" i="18"/>
  <c r="Q72" i="18"/>
  <c r="R72" i="18"/>
  <c r="W72" i="18"/>
  <c r="X72" i="18"/>
  <c r="D73" i="18"/>
  <c r="E73" i="18"/>
  <c r="I73" i="18"/>
  <c r="T73" i="18" s="1"/>
  <c r="J73" i="18"/>
  <c r="U73" i="18" s="1"/>
  <c r="N73" i="18"/>
  <c r="O73" i="18"/>
  <c r="Q73" i="18"/>
  <c r="R73" i="18"/>
  <c r="D74" i="18"/>
  <c r="E74" i="18"/>
  <c r="I74" i="18"/>
  <c r="T74" i="18" s="1"/>
  <c r="J74" i="18"/>
  <c r="U74" i="18" s="1"/>
  <c r="N74" i="18"/>
  <c r="O74" i="18"/>
  <c r="Q74" i="18"/>
  <c r="R74" i="18"/>
  <c r="W74" i="18"/>
  <c r="X74" i="18"/>
  <c r="D75" i="18"/>
  <c r="E75" i="18"/>
  <c r="I75" i="18"/>
  <c r="T75" i="18" s="1"/>
  <c r="J75" i="18"/>
  <c r="U75" i="18" s="1"/>
  <c r="N75" i="18"/>
  <c r="O75" i="18"/>
  <c r="Q75" i="18"/>
  <c r="R75" i="18"/>
  <c r="D76" i="18"/>
  <c r="E76" i="18"/>
  <c r="I76" i="18"/>
  <c r="T76" i="18" s="1"/>
  <c r="J76" i="18"/>
  <c r="U76" i="18" s="1"/>
  <c r="N76" i="18"/>
  <c r="O76" i="18"/>
  <c r="Q76" i="18"/>
  <c r="R76" i="18"/>
  <c r="W76" i="18"/>
  <c r="X76" i="18"/>
  <c r="D77" i="18"/>
  <c r="E77" i="18"/>
  <c r="I77" i="18"/>
  <c r="T77" i="18" s="1"/>
  <c r="J77" i="18"/>
  <c r="U77" i="18" s="1"/>
  <c r="N77" i="18"/>
  <c r="O77" i="18"/>
  <c r="Q77" i="18"/>
  <c r="R77" i="18"/>
  <c r="D78" i="18"/>
  <c r="E78" i="18"/>
  <c r="I78" i="18"/>
  <c r="T78" i="18" s="1"/>
  <c r="J78" i="18"/>
  <c r="U78" i="18" s="1"/>
  <c r="N78" i="18"/>
  <c r="O78" i="18"/>
  <c r="Q78" i="18"/>
  <c r="R78" i="18"/>
  <c r="W78" i="18"/>
  <c r="X78" i="18"/>
  <c r="D79" i="18"/>
  <c r="E79" i="18"/>
  <c r="I79" i="18"/>
  <c r="T79" i="18" s="1"/>
  <c r="J79" i="18"/>
  <c r="U79" i="18" s="1"/>
  <c r="N79" i="18"/>
  <c r="O79" i="18"/>
  <c r="Q79" i="18"/>
  <c r="R79" i="18"/>
  <c r="D80" i="18"/>
  <c r="E80" i="18"/>
  <c r="I80" i="18"/>
  <c r="T80" i="18" s="1"/>
  <c r="J80" i="18"/>
  <c r="U80" i="18" s="1"/>
  <c r="N80" i="18"/>
  <c r="O80" i="18"/>
  <c r="Q80" i="18"/>
  <c r="R80" i="18"/>
  <c r="W80" i="18"/>
  <c r="X80" i="18"/>
  <c r="D81" i="18"/>
  <c r="E81" i="18"/>
  <c r="I81" i="18"/>
  <c r="T81" i="18" s="1"/>
  <c r="J81" i="18"/>
  <c r="U81" i="18" s="1"/>
  <c r="N81" i="18"/>
  <c r="O81" i="18"/>
  <c r="Q81" i="18"/>
  <c r="R81" i="18"/>
  <c r="D82" i="18"/>
  <c r="E82" i="18"/>
  <c r="I82" i="18"/>
  <c r="T82" i="18" s="1"/>
  <c r="J82" i="18"/>
  <c r="U82" i="18" s="1"/>
  <c r="N82" i="18"/>
  <c r="O82" i="18"/>
  <c r="Q82" i="18"/>
  <c r="R82" i="18"/>
  <c r="W82" i="18"/>
  <c r="X82" i="18"/>
  <c r="D83" i="18"/>
  <c r="E83" i="18"/>
  <c r="I83" i="18"/>
  <c r="T83" i="18" s="1"/>
  <c r="J83" i="18"/>
  <c r="U83" i="18" s="1"/>
  <c r="N83" i="18"/>
  <c r="O83" i="18"/>
  <c r="Q83" i="18"/>
  <c r="R83" i="18"/>
  <c r="D84" i="18"/>
  <c r="E84" i="18"/>
  <c r="I84" i="18"/>
  <c r="T84" i="18" s="1"/>
  <c r="J84" i="18"/>
  <c r="U84" i="18" s="1"/>
  <c r="N84" i="18"/>
  <c r="O84" i="18"/>
  <c r="Q84" i="18"/>
  <c r="R84" i="18"/>
  <c r="W84" i="18"/>
  <c r="X84" i="18"/>
  <c r="D85" i="18"/>
  <c r="E85" i="18"/>
  <c r="I85" i="18"/>
  <c r="T85" i="18" s="1"/>
  <c r="J85" i="18"/>
  <c r="U85" i="18" s="1"/>
  <c r="N85" i="18"/>
  <c r="O85" i="18"/>
  <c r="Q85" i="18"/>
  <c r="R85" i="18"/>
  <c r="D86" i="18"/>
  <c r="E86" i="18"/>
  <c r="I86" i="18"/>
  <c r="T86" i="18" s="1"/>
  <c r="J86" i="18"/>
  <c r="U86" i="18" s="1"/>
  <c r="N86" i="18"/>
  <c r="O86" i="18"/>
  <c r="Q86" i="18"/>
  <c r="R86" i="18"/>
  <c r="W86" i="18"/>
  <c r="X86" i="18"/>
  <c r="D87" i="18"/>
  <c r="E87" i="18"/>
  <c r="I87" i="18"/>
  <c r="T87" i="18" s="1"/>
  <c r="J87" i="18"/>
  <c r="U87" i="18" s="1"/>
  <c r="N87" i="18"/>
  <c r="O87" i="18"/>
  <c r="Q87" i="18"/>
  <c r="R87" i="18"/>
  <c r="D88" i="18"/>
  <c r="W88" i="18" s="1"/>
  <c r="E88" i="18"/>
  <c r="X88" i="18" s="1"/>
  <c r="I88" i="18"/>
  <c r="J88" i="18"/>
  <c r="N88" i="18"/>
  <c r="O88" i="18"/>
  <c r="Q88" i="18"/>
  <c r="R88" i="18"/>
  <c r="T88" i="18"/>
  <c r="U88" i="18"/>
  <c r="D89" i="18"/>
  <c r="W89" i="18" s="1"/>
  <c r="E89" i="18"/>
  <c r="X89" i="18" s="1"/>
  <c r="I89" i="18"/>
  <c r="J89" i="18"/>
  <c r="N89" i="18"/>
  <c r="O89" i="18"/>
  <c r="Q89" i="18"/>
  <c r="R89" i="18"/>
  <c r="T89" i="18"/>
  <c r="U89" i="18"/>
  <c r="D90" i="18"/>
  <c r="W90" i="18" s="1"/>
  <c r="E90" i="18"/>
  <c r="X90" i="18" s="1"/>
  <c r="I90" i="18"/>
  <c r="J90" i="18"/>
  <c r="N90" i="18"/>
  <c r="O90" i="18"/>
  <c r="Q90" i="18"/>
  <c r="R90" i="18"/>
  <c r="T90" i="18"/>
  <c r="U90" i="18"/>
  <c r="D91" i="18"/>
  <c r="W91" i="18" s="1"/>
  <c r="E91" i="18"/>
  <c r="X91" i="18" s="1"/>
  <c r="I91" i="18"/>
  <c r="J91" i="18"/>
  <c r="N91" i="18"/>
  <c r="O91" i="18"/>
  <c r="Q91" i="18"/>
  <c r="R91" i="18"/>
  <c r="T91" i="18"/>
  <c r="U91" i="18"/>
  <c r="D92" i="18"/>
  <c r="W92" i="18" s="1"/>
  <c r="E92" i="18"/>
  <c r="X92" i="18" s="1"/>
  <c r="I92" i="18"/>
  <c r="J92" i="18"/>
  <c r="N92" i="18"/>
  <c r="O92" i="18"/>
  <c r="Q92" i="18"/>
  <c r="R92" i="18"/>
  <c r="T92" i="18"/>
  <c r="U92" i="18"/>
  <c r="D93" i="18"/>
  <c r="W93" i="18" s="1"/>
  <c r="E93" i="18"/>
  <c r="X93" i="18" s="1"/>
  <c r="I93" i="18"/>
  <c r="J93" i="18"/>
  <c r="N93" i="18"/>
  <c r="O93" i="18"/>
  <c r="Q93" i="18"/>
  <c r="R93" i="18"/>
  <c r="T93" i="18"/>
  <c r="U93" i="18"/>
  <c r="D94" i="18"/>
  <c r="W94" i="18" s="1"/>
  <c r="E94" i="18"/>
  <c r="X94" i="18" s="1"/>
  <c r="I94" i="18"/>
  <c r="J94" i="18"/>
  <c r="N94" i="18"/>
  <c r="O94" i="18"/>
  <c r="Q94" i="18"/>
  <c r="R94" i="18"/>
  <c r="T94" i="18"/>
  <c r="U94" i="18"/>
  <c r="D95" i="18"/>
  <c r="W95" i="18" s="1"/>
  <c r="E95" i="18"/>
  <c r="X95" i="18" s="1"/>
  <c r="I95" i="18"/>
  <c r="J95" i="18"/>
  <c r="N95" i="18"/>
  <c r="O95" i="18"/>
  <c r="Q95" i="18"/>
  <c r="R95" i="18"/>
  <c r="T95" i="18"/>
  <c r="U95" i="18"/>
  <c r="D96" i="18"/>
  <c r="W96" i="18" s="1"/>
  <c r="E96" i="18"/>
  <c r="X96" i="18" s="1"/>
  <c r="I96" i="18"/>
  <c r="J96" i="18"/>
  <c r="N96" i="18"/>
  <c r="O96" i="18"/>
  <c r="Q96" i="18"/>
  <c r="R96" i="18"/>
  <c r="T96" i="18"/>
  <c r="U96" i="18"/>
  <c r="D97" i="18"/>
  <c r="W97" i="18" s="1"/>
  <c r="E97" i="18"/>
  <c r="X97" i="18" s="1"/>
  <c r="I97" i="18"/>
  <c r="J97" i="18"/>
  <c r="N97" i="18"/>
  <c r="O97" i="18"/>
  <c r="Q97" i="18"/>
  <c r="R97" i="18"/>
  <c r="T97" i="18"/>
  <c r="U97" i="18"/>
  <c r="D98" i="18"/>
  <c r="W98" i="18" s="1"/>
  <c r="E98" i="18"/>
  <c r="X98" i="18" s="1"/>
  <c r="I98" i="18"/>
  <c r="J98" i="18"/>
  <c r="N98" i="18"/>
  <c r="O98" i="18"/>
  <c r="Q98" i="18"/>
  <c r="R98" i="18"/>
  <c r="T98" i="18"/>
  <c r="U98" i="18"/>
  <c r="D99" i="18"/>
  <c r="W99" i="18" s="1"/>
  <c r="E99" i="18"/>
  <c r="X99" i="18" s="1"/>
  <c r="I99" i="18"/>
  <c r="J99" i="18"/>
  <c r="N99" i="18"/>
  <c r="O99" i="18"/>
  <c r="Q99" i="18"/>
  <c r="R99" i="18"/>
  <c r="T99" i="18"/>
  <c r="U99" i="18"/>
  <c r="D100" i="18"/>
  <c r="W100" i="18" s="1"/>
  <c r="E100" i="18"/>
  <c r="X100" i="18" s="1"/>
  <c r="I100" i="18"/>
  <c r="J100" i="18"/>
  <c r="N100" i="18"/>
  <c r="O100" i="18"/>
  <c r="Q100" i="18"/>
  <c r="R100" i="18"/>
  <c r="T100" i="18"/>
  <c r="U100" i="18"/>
  <c r="D101" i="18"/>
  <c r="W101" i="18" s="1"/>
  <c r="E101" i="18"/>
  <c r="X101" i="18" s="1"/>
  <c r="I101" i="18"/>
  <c r="J101" i="18"/>
  <c r="N101" i="18"/>
  <c r="O101" i="18"/>
  <c r="Q101" i="18"/>
  <c r="R101" i="18"/>
  <c r="T101" i="18"/>
  <c r="U101" i="18"/>
  <c r="D102" i="18"/>
  <c r="W102" i="18" s="1"/>
  <c r="E102" i="18"/>
  <c r="X102" i="18" s="1"/>
  <c r="I102" i="18"/>
  <c r="J102" i="18"/>
  <c r="N102" i="18"/>
  <c r="O102" i="18"/>
  <c r="Q102" i="18"/>
  <c r="R102" i="18"/>
  <c r="T102" i="18"/>
  <c r="U102" i="18"/>
  <c r="D103" i="18"/>
  <c r="W103" i="18" s="1"/>
  <c r="E103" i="18"/>
  <c r="X103" i="18" s="1"/>
  <c r="I103" i="18"/>
  <c r="J103" i="18"/>
  <c r="N103" i="18"/>
  <c r="O103" i="18"/>
  <c r="Q103" i="18"/>
  <c r="R103" i="18"/>
  <c r="T103" i="18"/>
  <c r="U103" i="18"/>
  <c r="D104" i="18"/>
  <c r="W104" i="18" s="1"/>
  <c r="E104" i="18"/>
  <c r="X104" i="18" s="1"/>
  <c r="I104" i="18"/>
  <c r="J104" i="18"/>
  <c r="N104" i="18"/>
  <c r="O104" i="18"/>
  <c r="Q104" i="18"/>
  <c r="R104" i="18"/>
  <c r="T104" i="18"/>
  <c r="U104" i="18"/>
  <c r="D105" i="18"/>
  <c r="W105" i="18" s="1"/>
  <c r="E105" i="18"/>
  <c r="X105" i="18" s="1"/>
  <c r="I105" i="18"/>
  <c r="J105" i="18"/>
  <c r="N105" i="18"/>
  <c r="O105" i="18"/>
  <c r="Q105" i="18"/>
  <c r="R105" i="18"/>
  <c r="T105" i="18"/>
  <c r="U105" i="18"/>
  <c r="D106" i="18"/>
  <c r="W106" i="18" s="1"/>
  <c r="E106" i="18"/>
  <c r="X106" i="18" s="1"/>
  <c r="I106" i="18"/>
  <c r="J106" i="18"/>
  <c r="N106" i="18"/>
  <c r="O106" i="18"/>
  <c r="Q106" i="18"/>
  <c r="R106" i="18"/>
  <c r="T106" i="18"/>
  <c r="U106" i="18"/>
  <c r="D107" i="18"/>
  <c r="W107" i="18" s="1"/>
  <c r="E107" i="18"/>
  <c r="X107" i="18" s="1"/>
  <c r="I107" i="18"/>
  <c r="J107" i="18"/>
  <c r="N107" i="18"/>
  <c r="O107" i="18"/>
  <c r="Q107" i="18"/>
  <c r="R107" i="18"/>
  <c r="T107" i="18"/>
  <c r="U107" i="18"/>
  <c r="D108" i="18"/>
  <c r="W108" i="18" s="1"/>
  <c r="E108" i="18"/>
  <c r="X108" i="18" s="1"/>
  <c r="I108" i="18"/>
  <c r="J108" i="18"/>
  <c r="N108" i="18"/>
  <c r="O108" i="18"/>
  <c r="Q108" i="18"/>
  <c r="R108" i="18"/>
  <c r="T108" i="18"/>
  <c r="U108" i="18"/>
  <c r="D109" i="18"/>
  <c r="W109" i="18" s="1"/>
  <c r="E109" i="18"/>
  <c r="X109" i="18" s="1"/>
  <c r="I109" i="18"/>
  <c r="J109" i="18"/>
  <c r="N109" i="18"/>
  <c r="O109" i="18"/>
  <c r="Q109" i="18"/>
  <c r="R109" i="18"/>
  <c r="T109" i="18"/>
  <c r="U109" i="18"/>
  <c r="W87" i="21" l="1"/>
  <c r="W85" i="21"/>
  <c r="W83" i="21"/>
  <c r="W81" i="21"/>
  <c r="W79" i="21"/>
  <c r="W77" i="21"/>
  <c r="W75" i="21"/>
  <c r="W73" i="21"/>
  <c r="W71" i="21"/>
  <c r="W69" i="21"/>
  <c r="W67" i="21"/>
  <c r="X88" i="21"/>
  <c r="X86" i="21"/>
  <c r="X84" i="21"/>
  <c r="X82" i="21"/>
  <c r="X80" i="21"/>
  <c r="X78" i="21"/>
  <c r="X76" i="21"/>
  <c r="X74" i="21"/>
  <c r="X72" i="21"/>
  <c r="X70" i="21"/>
  <c r="X68" i="21"/>
  <c r="W87" i="20"/>
  <c r="W85" i="20"/>
  <c r="W83" i="20"/>
  <c r="W81" i="20"/>
  <c r="W79" i="20"/>
  <c r="W77" i="20"/>
  <c r="W75" i="20"/>
  <c r="W73" i="20"/>
  <c r="W71" i="20"/>
  <c r="W69" i="20"/>
  <c r="W67" i="20"/>
  <c r="X88" i="20"/>
  <c r="X86" i="20"/>
  <c r="X84" i="20"/>
  <c r="X82" i="20"/>
  <c r="X80" i="20"/>
  <c r="X78" i="20"/>
  <c r="X76" i="20"/>
  <c r="X74" i="20"/>
  <c r="X72" i="20"/>
  <c r="X70" i="20"/>
  <c r="X68" i="20"/>
  <c r="X66" i="20"/>
  <c r="U109" i="19"/>
  <c r="T89" i="19"/>
  <c r="X87" i="19"/>
  <c r="T85" i="19"/>
  <c r="X83" i="19"/>
  <c r="T81" i="19"/>
  <c r="X79" i="19"/>
  <c r="T77" i="19"/>
  <c r="X75" i="19"/>
  <c r="X73" i="19"/>
  <c r="X71" i="19"/>
  <c r="X69" i="19"/>
  <c r="X67" i="19"/>
  <c r="W4" i="19"/>
  <c r="W75" i="19"/>
  <c r="W73" i="19"/>
  <c r="W71" i="19"/>
  <c r="W69" i="19"/>
  <c r="W67" i="19"/>
  <c r="W65" i="19"/>
  <c r="W63" i="19"/>
  <c r="W61" i="19"/>
  <c r="W59" i="19"/>
  <c r="W57" i="19"/>
  <c r="W55" i="19"/>
  <c r="W53" i="19"/>
  <c r="W51" i="19"/>
  <c r="W49" i="19"/>
  <c r="W47" i="19"/>
  <c r="W45" i="19"/>
  <c r="W43" i="19"/>
  <c r="W41" i="19"/>
  <c r="W39" i="19"/>
  <c r="W37" i="19"/>
  <c r="W35" i="19"/>
  <c r="W33" i="19"/>
  <c r="W31" i="19"/>
  <c r="W29" i="19"/>
  <c r="W27" i="19"/>
  <c r="W25" i="19"/>
  <c r="W23" i="19"/>
  <c r="W21" i="19"/>
  <c r="W19" i="19"/>
  <c r="W17" i="19"/>
  <c r="W15" i="19"/>
  <c r="W13" i="19"/>
  <c r="W11" i="19"/>
  <c r="W9" i="19"/>
  <c r="W7" i="19"/>
  <c r="X86" i="19"/>
  <c r="X82" i="19"/>
  <c r="X78" i="19"/>
  <c r="W74" i="19"/>
  <c r="W72" i="19"/>
  <c r="W70" i="19"/>
  <c r="W68" i="19"/>
  <c r="W66" i="19"/>
  <c r="W64" i="19"/>
  <c r="W62" i="19"/>
  <c r="W60" i="19"/>
  <c r="W58" i="19"/>
  <c r="W56" i="19"/>
  <c r="W54" i="19"/>
  <c r="W52" i="19"/>
  <c r="W50" i="19"/>
  <c r="W48" i="19"/>
  <c r="W46" i="19"/>
  <c r="W44" i="19"/>
  <c r="W42" i="19"/>
  <c r="W40" i="19"/>
  <c r="W38" i="19"/>
  <c r="W36" i="19"/>
  <c r="W34" i="19"/>
  <c r="W32" i="19"/>
  <c r="W30" i="19"/>
  <c r="W28" i="19"/>
  <c r="W26" i="19"/>
  <c r="W24" i="19"/>
  <c r="W22" i="19"/>
  <c r="W20" i="19"/>
  <c r="W18" i="19"/>
  <c r="W16" i="19"/>
  <c r="W14" i="19"/>
  <c r="W12" i="19"/>
  <c r="W10" i="19"/>
  <c r="W8" i="19"/>
  <c r="W6" i="19"/>
  <c r="W3" i="19"/>
  <c r="X87" i="18"/>
  <c r="X85" i="18"/>
  <c r="X83" i="18"/>
  <c r="X81" i="18"/>
  <c r="X79" i="18"/>
  <c r="X77" i="18"/>
  <c r="X75" i="18"/>
  <c r="X73" i="18"/>
  <c r="X71" i="18"/>
  <c r="X69" i="18"/>
  <c r="X67" i="18"/>
  <c r="X65" i="18"/>
  <c r="X63" i="18"/>
  <c r="X61" i="18"/>
  <c r="X59" i="18"/>
  <c r="X57" i="18"/>
  <c r="X55" i="18"/>
  <c r="X53" i="18"/>
  <c r="X51" i="18"/>
  <c r="X49" i="18"/>
  <c r="X47" i="18"/>
  <c r="X45" i="18"/>
  <c r="X43" i="18"/>
  <c r="X41" i="18"/>
  <c r="X39" i="18"/>
  <c r="X37" i="18"/>
  <c r="X35" i="18"/>
  <c r="X33" i="18"/>
  <c r="X31" i="18"/>
  <c r="X29" i="18"/>
  <c r="X27" i="18"/>
  <c r="X25" i="18"/>
  <c r="X23" i="18"/>
  <c r="X21" i="18"/>
  <c r="X19" i="18"/>
  <c r="X17" i="18"/>
  <c r="X15" i="18"/>
  <c r="X13" i="18"/>
  <c r="X11" i="18"/>
  <c r="X9" i="18"/>
  <c r="X7" i="18"/>
  <c r="X5" i="18"/>
  <c r="X3" i="18"/>
  <c r="W87" i="18"/>
  <c r="W85" i="18"/>
  <c r="W83" i="18"/>
  <c r="W81" i="18"/>
  <c r="W79" i="18"/>
  <c r="W77" i="18"/>
  <c r="W75" i="18"/>
  <c r="W73" i="18"/>
  <c r="W71" i="18"/>
  <c r="W69" i="18"/>
  <c r="W67" i="18"/>
  <c r="W65" i="18"/>
  <c r="W63" i="18"/>
  <c r="W61" i="18"/>
  <c r="W59" i="18"/>
  <c r="W57" i="18"/>
  <c r="W55" i="18"/>
  <c r="W53" i="18"/>
  <c r="W51" i="18"/>
  <c r="W49" i="18"/>
  <c r="W47" i="18"/>
  <c r="W45" i="18"/>
  <c r="W43" i="18"/>
  <c r="W41" i="18"/>
  <c r="W39" i="18"/>
  <c r="W37" i="18"/>
  <c r="W35" i="18"/>
  <c r="W33" i="18"/>
  <c r="W31" i="18"/>
  <c r="W29" i="18"/>
  <c r="W27" i="18"/>
  <c r="W25" i="18"/>
  <c r="W23" i="18"/>
  <c r="W21" i="18"/>
  <c r="W19" i="18"/>
  <c r="W17" i="18"/>
  <c r="W15" i="18"/>
  <c r="W13" i="18"/>
  <c r="W11" i="18"/>
  <c r="W9" i="18"/>
  <c r="W7" i="18"/>
  <c r="W5" i="18"/>
  <c r="W3" i="18"/>
  <c r="X4" i="7" l="1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3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3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3" i="3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3" i="3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3" i="2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3" i="1"/>
  <c r="E17" i="7" l="1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X3" i="7" s="1"/>
  <c r="D3" i="7"/>
  <c r="W3" i="7" s="1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X3" i="2" s="1"/>
  <c r="D3" i="2"/>
  <c r="W3" i="2" s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X3" i="1" s="1"/>
  <c r="D3" i="1"/>
  <c r="W3" i="1" s="1"/>
  <c r="AD52" i="3" l="1"/>
  <c r="AG52" i="3"/>
  <c r="AD53" i="3"/>
  <c r="AG53" i="3"/>
  <c r="AE33" i="3"/>
  <c r="AH33" i="3"/>
  <c r="AE14" i="3"/>
  <c r="AH14" i="3"/>
  <c r="AH64" i="3"/>
  <c r="AE64" i="3"/>
  <c r="AD5" i="3"/>
  <c r="AG5" i="3"/>
  <c r="AD15" i="3"/>
  <c r="AG15" i="3"/>
  <c r="AD25" i="3"/>
  <c r="AG25" i="3"/>
  <c r="AD35" i="3"/>
  <c r="AG35" i="3"/>
  <c r="AD45" i="3"/>
  <c r="AG45" i="3"/>
  <c r="AD55" i="3"/>
  <c r="AG55" i="3"/>
  <c r="AD65" i="3"/>
  <c r="AG65" i="3"/>
  <c r="AD75" i="3"/>
  <c r="AG75" i="3"/>
  <c r="AD85" i="3"/>
  <c r="AG85" i="3"/>
  <c r="AD95" i="3"/>
  <c r="AG95" i="3"/>
  <c r="AD105" i="3"/>
  <c r="AG105" i="3"/>
  <c r="AD72" i="3"/>
  <c r="AG72" i="3"/>
  <c r="AE82" i="3"/>
  <c r="AH82" i="3"/>
  <c r="AD13" i="3"/>
  <c r="AG13" i="3"/>
  <c r="AG63" i="3"/>
  <c r="AD63" i="3"/>
  <c r="AE53" i="3"/>
  <c r="AH53" i="3"/>
  <c r="AD4" i="3"/>
  <c r="AG4" i="3"/>
  <c r="AD84" i="3"/>
  <c r="AG84" i="3"/>
  <c r="AH4" i="3"/>
  <c r="AE4" i="3"/>
  <c r="AE34" i="3"/>
  <c r="AH34" i="3"/>
  <c r="AE74" i="3"/>
  <c r="AH74" i="3"/>
  <c r="AH104" i="3"/>
  <c r="AE104" i="3"/>
  <c r="AH5" i="3"/>
  <c r="AE5" i="3"/>
  <c r="AE15" i="3"/>
  <c r="AH15" i="3"/>
  <c r="AH25" i="3"/>
  <c r="AE25" i="3"/>
  <c r="AE35" i="3"/>
  <c r="AH35" i="3"/>
  <c r="AH45" i="3"/>
  <c r="AE45" i="3"/>
  <c r="AE55" i="3"/>
  <c r="AH55" i="3"/>
  <c r="AH65" i="3"/>
  <c r="AE65" i="3"/>
  <c r="AE75" i="3"/>
  <c r="AH75" i="3"/>
  <c r="AE85" i="3"/>
  <c r="AH85" i="3"/>
  <c r="AE95" i="3"/>
  <c r="AH95" i="3"/>
  <c r="AE105" i="3"/>
  <c r="AH105" i="3"/>
  <c r="AD92" i="3"/>
  <c r="AG92" i="3"/>
  <c r="AE22" i="3"/>
  <c r="AH22" i="3"/>
  <c r="AE102" i="3"/>
  <c r="AH102" i="3"/>
  <c r="AG103" i="3"/>
  <c r="AD103" i="3"/>
  <c r="AE23" i="3"/>
  <c r="AH23" i="3"/>
  <c r="AD34" i="3"/>
  <c r="AG34" i="3"/>
  <c r="AH24" i="3"/>
  <c r="AE24" i="3"/>
  <c r="AH84" i="3"/>
  <c r="AE84" i="3"/>
  <c r="AD6" i="3"/>
  <c r="AG6" i="3"/>
  <c r="AD16" i="3"/>
  <c r="AG16" i="3"/>
  <c r="AD26" i="3"/>
  <c r="AG26" i="3"/>
  <c r="AD36" i="3"/>
  <c r="AG36" i="3"/>
  <c r="AD46" i="3"/>
  <c r="AG46" i="3"/>
  <c r="AD56" i="3"/>
  <c r="AG56" i="3"/>
  <c r="AD66" i="3"/>
  <c r="AG66" i="3"/>
  <c r="AD76" i="3"/>
  <c r="AG76" i="3"/>
  <c r="AD86" i="3"/>
  <c r="AG86" i="3"/>
  <c r="AD96" i="3"/>
  <c r="AG96" i="3"/>
  <c r="AD106" i="3"/>
  <c r="AG106" i="3"/>
  <c r="AD12" i="3"/>
  <c r="AG12" i="3"/>
  <c r="AE12" i="3"/>
  <c r="AH12" i="3"/>
  <c r="AD73" i="3"/>
  <c r="AG73" i="3"/>
  <c r="AE103" i="3"/>
  <c r="AH103" i="3"/>
  <c r="AE44" i="3"/>
  <c r="AH44" i="3"/>
  <c r="AE94" i="3"/>
  <c r="AH94" i="3"/>
  <c r="AH6" i="3"/>
  <c r="AE6" i="3"/>
  <c r="AE16" i="3"/>
  <c r="AH16" i="3"/>
  <c r="AH26" i="3"/>
  <c r="AE26" i="3"/>
  <c r="AE36" i="3"/>
  <c r="AH36" i="3"/>
  <c r="AH46" i="3"/>
  <c r="AE46" i="3"/>
  <c r="AE56" i="3"/>
  <c r="AH56" i="3"/>
  <c r="AH66" i="3"/>
  <c r="AE66" i="3"/>
  <c r="AE76" i="3"/>
  <c r="AH76" i="3"/>
  <c r="AH86" i="3"/>
  <c r="AE86" i="3"/>
  <c r="AE96" i="3"/>
  <c r="AH96" i="3"/>
  <c r="AH106" i="3"/>
  <c r="AE106" i="3"/>
  <c r="AG62" i="3"/>
  <c r="AD62" i="3"/>
  <c r="AE32" i="3"/>
  <c r="AH32" i="3"/>
  <c r="AG83" i="3"/>
  <c r="AD83" i="3"/>
  <c r="AE83" i="3"/>
  <c r="AH83" i="3"/>
  <c r="AD14" i="3"/>
  <c r="AG14" i="3"/>
  <c r="AE54" i="3"/>
  <c r="AH54" i="3"/>
  <c r="AD7" i="3"/>
  <c r="AG7" i="3"/>
  <c r="AG17" i="3"/>
  <c r="AD17" i="3"/>
  <c r="AD27" i="3"/>
  <c r="AG27" i="3"/>
  <c r="AG37" i="3"/>
  <c r="AD37" i="3"/>
  <c r="AD47" i="3"/>
  <c r="AG47" i="3"/>
  <c r="AG57" i="3"/>
  <c r="AD57" i="3"/>
  <c r="AD67" i="3"/>
  <c r="AG67" i="3"/>
  <c r="AG77" i="3"/>
  <c r="AD77" i="3"/>
  <c r="AD87" i="3"/>
  <c r="AG87" i="3"/>
  <c r="AG97" i="3"/>
  <c r="AD97" i="3"/>
  <c r="AD107" i="3"/>
  <c r="AG107" i="3"/>
  <c r="AG42" i="3"/>
  <c r="AD42" i="3"/>
  <c r="AE62" i="3"/>
  <c r="AH62" i="3"/>
  <c r="AD33" i="3"/>
  <c r="AG33" i="3"/>
  <c r="AH3" i="3"/>
  <c r="AE3" i="3"/>
  <c r="AE93" i="3"/>
  <c r="AH93" i="3"/>
  <c r="AD54" i="3"/>
  <c r="AG54" i="3"/>
  <c r="AE17" i="3"/>
  <c r="AH17" i="3"/>
  <c r="AH47" i="3"/>
  <c r="AE47" i="3"/>
  <c r="AE77" i="3"/>
  <c r="AH77" i="3"/>
  <c r="AE97" i="3"/>
  <c r="AH97" i="3"/>
  <c r="AD8" i="3"/>
  <c r="AG8" i="3"/>
  <c r="AD18" i="3"/>
  <c r="AG18" i="3"/>
  <c r="AD28" i="3"/>
  <c r="AG28" i="3"/>
  <c r="AG38" i="3"/>
  <c r="AD38" i="3"/>
  <c r="AD48" i="3"/>
  <c r="AG48" i="3"/>
  <c r="AG58" i="3"/>
  <c r="AD58" i="3"/>
  <c r="AD68" i="3"/>
  <c r="AG68" i="3"/>
  <c r="AD78" i="3"/>
  <c r="AG78" i="3"/>
  <c r="AD88" i="3"/>
  <c r="AG88" i="3"/>
  <c r="AG98" i="3"/>
  <c r="AD98" i="3"/>
  <c r="AD108" i="3"/>
  <c r="AG108" i="3"/>
  <c r="AG102" i="3"/>
  <c r="AD102" i="3"/>
  <c r="AE52" i="3"/>
  <c r="AH52" i="3"/>
  <c r="AE92" i="3"/>
  <c r="AH92" i="3"/>
  <c r="AE43" i="3"/>
  <c r="AH43" i="3"/>
  <c r="AE73" i="3"/>
  <c r="AH73" i="3"/>
  <c r="AH7" i="3"/>
  <c r="AE7" i="3"/>
  <c r="AH27" i="3"/>
  <c r="AE27" i="3"/>
  <c r="AE37" i="3"/>
  <c r="AH37" i="3"/>
  <c r="AE57" i="3"/>
  <c r="AH57" i="3"/>
  <c r="AH67" i="3"/>
  <c r="AE67" i="3"/>
  <c r="AH87" i="3"/>
  <c r="AE87" i="3"/>
  <c r="AH107" i="3"/>
  <c r="AE107" i="3"/>
  <c r="AH8" i="3"/>
  <c r="AE8" i="3"/>
  <c r="AE18" i="3"/>
  <c r="AH18" i="3"/>
  <c r="AH28" i="3"/>
  <c r="AE28" i="3"/>
  <c r="AE38" i="3"/>
  <c r="AH38" i="3"/>
  <c r="AH48" i="3"/>
  <c r="AE48" i="3"/>
  <c r="AE58" i="3"/>
  <c r="AH58" i="3"/>
  <c r="AH68" i="3"/>
  <c r="AE68" i="3"/>
  <c r="AE78" i="3"/>
  <c r="AH78" i="3"/>
  <c r="AH88" i="3"/>
  <c r="AE88" i="3"/>
  <c r="AE98" i="3"/>
  <c r="AH98" i="3"/>
  <c r="AH108" i="3"/>
  <c r="AE108" i="3"/>
  <c r="AD64" i="3"/>
  <c r="AG64" i="3"/>
  <c r="AD9" i="3"/>
  <c r="AG9" i="3"/>
  <c r="AD24" i="3"/>
  <c r="AG24" i="3"/>
  <c r="AG39" i="3"/>
  <c r="AD39" i="3"/>
  <c r="AH9" i="3"/>
  <c r="AE9" i="3"/>
  <c r="AE19" i="3"/>
  <c r="AH19" i="3"/>
  <c r="AH29" i="3"/>
  <c r="AE29" i="3"/>
  <c r="AE39" i="3"/>
  <c r="AH39" i="3"/>
  <c r="AH49" i="3"/>
  <c r="AE49" i="3"/>
  <c r="AE59" i="3"/>
  <c r="AH59" i="3"/>
  <c r="AH69" i="3"/>
  <c r="AE69" i="3"/>
  <c r="AE79" i="3"/>
  <c r="AH79" i="3"/>
  <c r="AH89" i="3"/>
  <c r="AE89" i="3"/>
  <c r="AE99" i="3"/>
  <c r="AH99" i="3"/>
  <c r="AH109" i="3"/>
  <c r="AE109" i="3"/>
  <c r="AD44" i="3"/>
  <c r="AG44" i="3"/>
  <c r="AG59" i="3"/>
  <c r="AD59" i="3"/>
  <c r="AD10" i="3"/>
  <c r="AG10" i="3"/>
  <c r="AG20" i="3"/>
  <c r="AD20" i="3"/>
  <c r="AD30" i="3"/>
  <c r="AG30" i="3"/>
  <c r="AG40" i="3"/>
  <c r="AD40" i="3"/>
  <c r="AD50" i="3"/>
  <c r="AG50" i="3"/>
  <c r="AG60" i="3"/>
  <c r="AD60" i="3"/>
  <c r="AG70" i="3"/>
  <c r="AD70" i="3"/>
  <c r="AG80" i="3"/>
  <c r="AD80" i="3"/>
  <c r="AG90" i="3"/>
  <c r="AD90" i="3"/>
  <c r="AG100" i="3"/>
  <c r="AD100" i="3"/>
  <c r="AD94" i="3"/>
  <c r="AG94" i="3"/>
  <c r="AD89" i="3"/>
  <c r="AG89" i="3"/>
  <c r="AH10" i="3"/>
  <c r="AE10" i="3"/>
  <c r="AE20" i="3"/>
  <c r="AH20" i="3"/>
  <c r="AE40" i="3"/>
  <c r="AH40" i="3"/>
  <c r="AE60" i="3"/>
  <c r="AH60" i="3"/>
  <c r="AH70" i="3"/>
  <c r="AE70" i="3"/>
  <c r="AE80" i="3"/>
  <c r="AH80" i="3"/>
  <c r="AH90" i="3"/>
  <c r="AE90" i="3"/>
  <c r="AE100" i="3"/>
  <c r="AH100" i="3"/>
  <c r="AG22" i="3"/>
  <c r="AD22" i="3"/>
  <c r="AE42" i="3"/>
  <c r="AH42" i="3"/>
  <c r="AE72" i="3"/>
  <c r="AH72" i="3"/>
  <c r="AG23" i="3"/>
  <c r="AD23" i="3"/>
  <c r="AE63" i="3"/>
  <c r="AH63" i="3"/>
  <c r="AD104" i="3"/>
  <c r="AG104" i="3"/>
  <c r="AG19" i="3"/>
  <c r="AD19" i="3"/>
  <c r="AD49" i="3"/>
  <c r="AG49" i="3"/>
  <c r="AG79" i="3"/>
  <c r="AD79" i="3"/>
  <c r="AH30" i="3"/>
  <c r="AE30" i="3"/>
  <c r="AD11" i="3"/>
  <c r="AG11" i="3"/>
  <c r="AG21" i="3"/>
  <c r="AD21" i="3"/>
  <c r="AD31" i="3"/>
  <c r="AG31" i="3"/>
  <c r="AG41" i="3"/>
  <c r="AD41" i="3"/>
  <c r="AD51" i="3"/>
  <c r="AG51" i="3"/>
  <c r="AG61" i="3"/>
  <c r="AD61" i="3"/>
  <c r="AD71" i="3"/>
  <c r="AG71" i="3"/>
  <c r="AG81" i="3"/>
  <c r="AD81" i="3"/>
  <c r="AD91" i="3"/>
  <c r="AG91" i="3"/>
  <c r="AG101" i="3"/>
  <c r="AD101" i="3"/>
  <c r="AD32" i="3"/>
  <c r="AG32" i="3"/>
  <c r="AG82" i="3"/>
  <c r="AD82" i="3"/>
  <c r="AD3" i="3"/>
  <c r="AG3" i="3"/>
  <c r="AG43" i="3"/>
  <c r="AD43" i="3"/>
  <c r="AD93" i="3"/>
  <c r="AG93" i="3"/>
  <c r="AE13" i="3"/>
  <c r="AH13" i="3"/>
  <c r="AD74" i="3"/>
  <c r="AG74" i="3"/>
  <c r="AD29" i="3"/>
  <c r="AG29" i="3"/>
  <c r="AD69" i="3"/>
  <c r="AG69" i="3"/>
  <c r="AG99" i="3"/>
  <c r="AD99" i="3"/>
  <c r="AD109" i="3"/>
  <c r="AG109" i="3"/>
  <c r="AH50" i="3"/>
  <c r="AE50" i="3"/>
  <c r="AH11" i="3"/>
  <c r="AE11" i="3"/>
  <c r="AE21" i="3"/>
  <c r="AH21" i="3"/>
  <c r="AH31" i="3"/>
  <c r="AE31" i="3"/>
  <c r="AE41" i="3"/>
  <c r="AH41" i="3"/>
  <c r="AH51" i="3"/>
  <c r="AE51" i="3"/>
  <c r="AE61" i="3"/>
  <c r="AH61" i="3"/>
  <c r="AE71" i="3"/>
  <c r="AH71" i="3"/>
  <c r="AE81" i="3"/>
  <c r="AH81" i="3"/>
  <c r="AE91" i="3"/>
  <c r="AH91" i="3"/>
  <c r="AE101" i="3"/>
  <c r="AH101" i="3"/>
  <c r="W36" i="1"/>
  <c r="T36" i="1"/>
  <c r="W32" i="2"/>
  <c r="T32" i="2"/>
  <c r="X6" i="1"/>
  <c r="U6" i="1"/>
  <c r="X16" i="1"/>
  <c r="U16" i="1"/>
  <c r="X26" i="1"/>
  <c r="U26" i="1"/>
  <c r="U36" i="1"/>
  <c r="X36" i="1"/>
  <c r="X46" i="1"/>
  <c r="U46" i="1"/>
  <c r="U56" i="1"/>
  <c r="X56" i="1"/>
  <c r="X66" i="1"/>
  <c r="U66" i="1"/>
  <c r="U76" i="1"/>
  <c r="X76" i="1"/>
  <c r="X86" i="1"/>
  <c r="U86" i="1"/>
  <c r="U96" i="1"/>
  <c r="X96" i="1"/>
  <c r="X106" i="1"/>
  <c r="U106" i="1"/>
  <c r="U12" i="2"/>
  <c r="X12" i="2"/>
  <c r="U22" i="2"/>
  <c r="X22" i="2"/>
  <c r="U32" i="2"/>
  <c r="X32" i="2"/>
  <c r="U42" i="2"/>
  <c r="X42" i="2"/>
  <c r="U52" i="2"/>
  <c r="X52" i="2"/>
  <c r="U62" i="2"/>
  <c r="X62" i="2"/>
  <c r="U72" i="2"/>
  <c r="X72" i="2"/>
  <c r="U82" i="2"/>
  <c r="X82" i="2"/>
  <c r="U92" i="2"/>
  <c r="X92" i="2"/>
  <c r="U102" i="2"/>
  <c r="X102" i="2"/>
  <c r="W7" i="1"/>
  <c r="T7" i="1"/>
  <c r="T17" i="1"/>
  <c r="W17" i="1"/>
  <c r="W27" i="1"/>
  <c r="T27" i="1"/>
  <c r="W37" i="1"/>
  <c r="T37" i="1"/>
  <c r="W47" i="1"/>
  <c r="T47" i="1"/>
  <c r="W57" i="1"/>
  <c r="T57" i="1"/>
  <c r="W67" i="1"/>
  <c r="T67" i="1"/>
  <c r="W77" i="1"/>
  <c r="T77" i="1"/>
  <c r="W87" i="1"/>
  <c r="T87" i="1"/>
  <c r="T97" i="1"/>
  <c r="W97" i="1"/>
  <c r="W107" i="1"/>
  <c r="T107" i="1"/>
  <c r="W13" i="2"/>
  <c r="T13" i="2"/>
  <c r="W23" i="2"/>
  <c r="T23" i="2"/>
  <c r="T33" i="2"/>
  <c r="W33" i="2"/>
  <c r="T43" i="2"/>
  <c r="W43" i="2"/>
  <c r="W53" i="2"/>
  <c r="T53" i="2"/>
  <c r="T63" i="2"/>
  <c r="W63" i="2"/>
  <c r="T73" i="2"/>
  <c r="W73" i="2"/>
  <c r="T83" i="2"/>
  <c r="W83" i="2"/>
  <c r="W93" i="2"/>
  <c r="T93" i="2"/>
  <c r="T103" i="2"/>
  <c r="W103" i="2"/>
  <c r="U7" i="1"/>
  <c r="X7" i="1"/>
  <c r="U17" i="1"/>
  <c r="X17" i="1"/>
  <c r="U27" i="1"/>
  <c r="X27" i="1"/>
  <c r="X37" i="1"/>
  <c r="U37" i="1"/>
  <c r="U47" i="1"/>
  <c r="X47" i="1"/>
  <c r="U57" i="1"/>
  <c r="X57" i="1"/>
  <c r="U67" i="1"/>
  <c r="X67" i="1"/>
  <c r="U77" i="1"/>
  <c r="X77" i="1"/>
  <c r="U87" i="1"/>
  <c r="X87" i="1"/>
  <c r="U97" i="1"/>
  <c r="X97" i="1"/>
  <c r="U107" i="1"/>
  <c r="X107" i="1"/>
  <c r="U13" i="2"/>
  <c r="X13" i="2"/>
  <c r="X23" i="2"/>
  <c r="U23" i="2"/>
  <c r="U33" i="2"/>
  <c r="X33" i="2"/>
  <c r="X43" i="2"/>
  <c r="U43" i="2"/>
  <c r="U53" i="2"/>
  <c r="X53" i="2"/>
  <c r="X63" i="2"/>
  <c r="U63" i="2"/>
  <c r="U73" i="2"/>
  <c r="X73" i="2"/>
  <c r="X83" i="2"/>
  <c r="U83" i="2"/>
  <c r="U93" i="2"/>
  <c r="X93" i="2"/>
  <c r="X103" i="2"/>
  <c r="U103" i="2"/>
  <c r="W26" i="1"/>
  <c r="T26" i="1"/>
  <c r="W46" i="1"/>
  <c r="T46" i="1"/>
  <c r="W66" i="1"/>
  <c r="T66" i="1"/>
  <c r="W86" i="1"/>
  <c r="T86" i="1"/>
  <c r="T22" i="2"/>
  <c r="W22" i="2"/>
  <c r="T42" i="2"/>
  <c r="W42" i="2"/>
  <c r="T62" i="2"/>
  <c r="W62" i="2"/>
  <c r="W72" i="2"/>
  <c r="T72" i="2"/>
  <c r="W92" i="2"/>
  <c r="T92" i="2"/>
  <c r="T48" i="1"/>
  <c r="W48" i="1"/>
  <c r="W44" i="2"/>
  <c r="T44" i="2"/>
  <c r="W104" i="2"/>
  <c r="T104" i="2"/>
  <c r="U18" i="1"/>
  <c r="X18" i="1"/>
  <c r="U78" i="1"/>
  <c r="X78" i="1"/>
  <c r="X14" i="2"/>
  <c r="U14" i="2"/>
  <c r="X74" i="2"/>
  <c r="U74" i="2"/>
  <c r="U9" i="1"/>
  <c r="X9" i="1"/>
  <c r="X19" i="1"/>
  <c r="U19" i="1"/>
  <c r="U29" i="1"/>
  <c r="X29" i="1"/>
  <c r="X39" i="1"/>
  <c r="U39" i="1"/>
  <c r="U49" i="1"/>
  <c r="X49" i="1"/>
  <c r="X59" i="1"/>
  <c r="U59" i="1"/>
  <c r="U69" i="1"/>
  <c r="X69" i="1"/>
  <c r="X79" i="1"/>
  <c r="U79" i="1"/>
  <c r="U89" i="1"/>
  <c r="X89" i="1"/>
  <c r="X99" i="1"/>
  <c r="U99" i="1"/>
  <c r="U109" i="1"/>
  <c r="X109" i="1"/>
  <c r="U5" i="2"/>
  <c r="X5" i="2"/>
  <c r="X15" i="2"/>
  <c r="U15" i="2"/>
  <c r="U25" i="2"/>
  <c r="X25" i="2"/>
  <c r="X35" i="2"/>
  <c r="U35" i="2"/>
  <c r="U45" i="2"/>
  <c r="X45" i="2"/>
  <c r="X55" i="2"/>
  <c r="U55" i="2"/>
  <c r="U65" i="2"/>
  <c r="X65" i="2"/>
  <c r="X75" i="2"/>
  <c r="U75" i="2"/>
  <c r="U85" i="2"/>
  <c r="X85" i="2"/>
  <c r="X95" i="2"/>
  <c r="U95" i="2"/>
  <c r="U105" i="2"/>
  <c r="X105" i="2"/>
  <c r="W6" i="1"/>
  <c r="T6" i="1"/>
  <c r="W106" i="1"/>
  <c r="T106" i="1"/>
  <c r="W38" i="1"/>
  <c r="T38" i="1"/>
  <c r="T68" i="1"/>
  <c r="W68" i="1"/>
  <c r="T108" i="1"/>
  <c r="W108" i="1"/>
  <c r="W14" i="2"/>
  <c r="T14" i="2"/>
  <c r="W54" i="2"/>
  <c r="T54" i="2"/>
  <c r="W84" i="2"/>
  <c r="T84" i="2"/>
  <c r="U38" i="1"/>
  <c r="X38" i="1"/>
  <c r="U98" i="1"/>
  <c r="X98" i="1"/>
  <c r="X34" i="2"/>
  <c r="U34" i="2"/>
  <c r="W10" i="1"/>
  <c r="T10" i="1"/>
  <c r="W20" i="1"/>
  <c r="T20" i="1"/>
  <c r="T30" i="1"/>
  <c r="W30" i="1"/>
  <c r="W40" i="1"/>
  <c r="T40" i="1"/>
  <c r="T50" i="1"/>
  <c r="W50" i="1"/>
  <c r="W60" i="1"/>
  <c r="T60" i="1"/>
  <c r="W70" i="1"/>
  <c r="T70" i="1"/>
  <c r="W80" i="1"/>
  <c r="T80" i="1"/>
  <c r="W90" i="1"/>
  <c r="T90" i="1"/>
  <c r="W100" i="1"/>
  <c r="T100" i="1"/>
  <c r="T6" i="2"/>
  <c r="W6" i="2"/>
  <c r="T16" i="2"/>
  <c r="W16" i="2"/>
  <c r="T26" i="2"/>
  <c r="W26" i="2"/>
  <c r="T36" i="2"/>
  <c r="W36" i="2"/>
  <c r="T46" i="2"/>
  <c r="W46" i="2"/>
  <c r="T56" i="2"/>
  <c r="W56" i="2"/>
  <c r="T66" i="2"/>
  <c r="W66" i="2"/>
  <c r="T76" i="2"/>
  <c r="W76" i="2"/>
  <c r="T86" i="2"/>
  <c r="W86" i="2"/>
  <c r="T96" i="2"/>
  <c r="W96" i="2"/>
  <c r="T106" i="2"/>
  <c r="W106" i="2"/>
  <c r="T76" i="1"/>
  <c r="W76" i="1"/>
  <c r="T82" i="2"/>
  <c r="W82" i="2"/>
  <c r="W58" i="1"/>
  <c r="T58" i="1"/>
  <c r="W4" i="2"/>
  <c r="T4" i="2"/>
  <c r="W74" i="2"/>
  <c r="T74" i="2"/>
  <c r="U48" i="1"/>
  <c r="X48" i="1"/>
  <c r="U108" i="1"/>
  <c r="X108" i="1"/>
  <c r="U4" i="2"/>
  <c r="X4" i="2"/>
  <c r="U64" i="2"/>
  <c r="X64" i="2"/>
  <c r="X94" i="2"/>
  <c r="U94" i="2"/>
  <c r="U20" i="1"/>
  <c r="X20" i="1"/>
  <c r="U40" i="1"/>
  <c r="X40" i="1"/>
  <c r="U60" i="1"/>
  <c r="X60" i="1"/>
  <c r="X80" i="1"/>
  <c r="U80" i="1"/>
  <c r="X100" i="1"/>
  <c r="U100" i="1"/>
  <c r="U6" i="2"/>
  <c r="X6" i="2"/>
  <c r="X16" i="2"/>
  <c r="U16" i="2"/>
  <c r="U26" i="2"/>
  <c r="X26" i="2"/>
  <c r="X36" i="2"/>
  <c r="U36" i="2"/>
  <c r="U46" i="2"/>
  <c r="X46" i="2"/>
  <c r="X56" i="2"/>
  <c r="U56" i="2"/>
  <c r="U66" i="2"/>
  <c r="X66" i="2"/>
  <c r="X76" i="2"/>
  <c r="U76" i="2"/>
  <c r="U86" i="2"/>
  <c r="X86" i="2"/>
  <c r="X96" i="2"/>
  <c r="U96" i="2"/>
  <c r="U106" i="2"/>
  <c r="X106" i="2"/>
  <c r="W56" i="1"/>
  <c r="T56" i="1"/>
  <c r="W52" i="2"/>
  <c r="T52" i="2"/>
  <c r="T8" i="1"/>
  <c r="W8" i="1"/>
  <c r="T98" i="1"/>
  <c r="W98" i="1"/>
  <c r="W34" i="2"/>
  <c r="T34" i="2"/>
  <c r="U28" i="1"/>
  <c r="X28" i="1"/>
  <c r="U88" i="1"/>
  <c r="X88" i="1"/>
  <c r="X54" i="2"/>
  <c r="U54" i="2"/>
  <c r="X10" i="1"/>
  <c r="U10" i="1"/>
  <c r="X30" i="1"/>
  <c r="U30" i="1"/>
  <c r="X50" i="1"/>
  <c r="U50" i="1"/>
  <c r="X70" i="1"/>
  <c r="U70" i="1"/>
  <c r="X90" i="1"/>
  <c r="U90" i="1"/>
  <c r="W96" i="1"/>
  <c r="T96" i="1"/>
  <c r="T102" i="2"/>
  <c r="W102" i="2"/>
  <c r="T28" i="1"/>
  <c r="W28" i="1"/>
  <c r="W88" i="1"/>
  <c r="T88" i="1"/>
  <c r="W64" i="2"/>
  <c r="T64" i="2"/>
  <c r="U58" i="1"/>
  <c r="X58" i="1"/>
  <c r="U24" i="2"/>
  <c r="X24" i="2"/>
  <c r="U104" i="2"/>
  <c r="X104" i="2"/>
  <c r="U31" i="1"/>
  <c r="X31" i="1"/>
  <c r="U51" i="1"/>
  <c r="X51" i="1"/>
  <c r="U61" i="1"/>
  <c r="X61" i="1"/>
  <c r="X71" i="1"/>
  <c r="U71" i="1"/>
  <c r="X81" i="1"/>
  <c r="U81" i="1"/>
  <c r="U91" i="1"/>
  <c r="X91" i="1"/>
  <c r="X101" i="1"/>
  <c r="U101" i="1"/>
  <c r="X7" i="2"/>
  <c r="U7" i="2"/>
  <c r="X17" i="2"/>
  <c r="U17" i="2"/>
  <c r="X27" i="2"/>
  <c r="U27" i="2"/>
  <c r="X37" i="2"/>
  <c r="U37" i="2"/>
  <c r="X47" i="2"/>
  <c r="U47" i="2"/>
  <c r="X57" i="2"/>
  <c r="U57" i="2"/>
  <c r="U67" i="2"/>
  <c r="X67" i="2"/>
  <c r="X77" i="2"/>
  <c r="U77" i="2"/>
  <c r="X87" i="2"/>
  <c r="U87" i="2"/>
  <c r="X97" i="2"/>
  <c r="U97" i="2"/>
  <c r="U107" i="2"/>
  <c r="X107" i="2"/>
  <c r="W16" i="1"/>
  <c r="T16" i="1"/>
  <c r="W12" i="2"/>
  <c r="T12" i="2"/>
  <c r="T18" i="1"/>
  <c r="W18" i="1"/>
  <c r="T78" i="1"/>
  <c r="W78" i="1"/>
  <c r="W24" i="2"/>
  <c r="T24" i="2"/>
  <c r="W94" i="2"/>
  <c r="T94" i="2"/>
  <c r="U8" i="1"/>
  <c r="X8" i="1"/>
  <c r="U68" i="1"/>
  <c r="X68" i="1"/>
  <c r="U44" i="2"/>
  <c r="X44" i="2"/>
  <c r="U84" i="2"/>
  <c r="X84" i="2"/>
  <c r="U11" i="1"/>
  <c r="X11" i="1"/>
  <c r="U21" i="1"/>
  <c r="X21" i="1"/>
  <c r="U41" i="1"/>
  <c r="X41" i="1"/>
  <c r="T12" i="1"/>
  <c r="W12" i="1"/>
  <c r="T22" i="1"/>
  <c r="W22" i="1"/>
  <c r="T32" i="1"/>
  <c r="W32" i="1"/>
  <c r="T42" i="1"/>
  <c r="W42" i="1"/>
  <c r="T52" i="1"/>
  <c r="W52" i="1"/>
  <c r="T62" i="1"/>
  <c r="W62" i="1"/>
  <c r="T72" i="1"/>
  <c r="W72" i="1"/>
  <c r="T82" i="1"/>
  <c r="W82" i="1"/>
  <c r="T92" i="1"/>
  <c r="W92" i="1"/>
  <c r="T102" i="1"/>
  <c r="W102" i="1"/>
  <c r="W8" i="2"/>
  <c r="T8" i="2"/>
  <c r="T18" i="2"/>
  <c r="W18" i="2"/>
  <c r="W28" i="2"/>
  <c r="T28" i="2"/>
  <c r="T38" i="2"/>
  <c r="W38" i="2"/>
  <c r="W48" i="2"/>
  <c r="T48" i="2"/>
  <c r="T58" i="2"/>
  <c r="W58" i="2"/>
  <c r="W68" i="2"/>
  <c r="T68" i="2"/>
  <c r="T78" i="2"/>
  <c r="W78" i="2"/>
  <c r="W88" i="2"/>
  <c r="T88" i="2"/>
  <c r="T98" i="2"/>
  <c r="W98" i="2"/>
  <c r="W108" i="2"/>
  <c r="T108" i="2"/>
  <c r="W9" i="1"/>
  <c r="T9" i="1"/>
  <c r="T19" i="1"/>
  <c r="W19" i="1"/>
  <c r="W29" i="1"/>
  <c r="T29" i="1"/>
  <c r="W39" i="1"/>
  <c r="T39" i="1"/>
  <c r="T49" i="1"/>
  <c r="W49" i="1"/>
  <c r="W59" i="1"/>
  <c r="T59" i="1"/>
  <c r="W69" i="1"/>
  <c r="T69" i="1"/>
  <c r="T79" i="1"/>
  <c r="W79" i="1"/>
  <c r="W89" i="1"/>
  <c r="T89" i="1"/>
  <c r="T99" i="1"/>
  <c r="W99" i="1"/>
  <c r="T109" i="1"/>
  <c r="W109" i="1"/>
  <c r="T5" i="2"/>
  <c r="W5" i="2"/>
  <c r="W15" i="2"/>
  <c r="T15" i="2"/>
  <c r="T25" i="2"/>
  <c r="W25" i="2"/>
  <c r="W35" i="2"/>
  <c r="T35" i="2"/>
  <c r="T45" i="2"/>
  <c r="W45" i="2"/>
  <c r="W55" i="2"/>
  <c r="T55" i="2"/>
  <c r="T65" i="2"/>
  <c r="W65" i="2"/>
  <c r="W75" i="2"/>
  <c r="T75" i="2"/>
  <c r="T85" i="2"/>
  <c r="W85" i="2"/>
  <c r="W95" i="2"/>
  <c r="T95" i="2"/>
  <c r="T105" i="2"/>
  <c r="W105" i="2"/>
  <c r="T11" i="1"/>
  <c r="W11" i="1"/>
  <c r="T21" i="1"/>
  <c r="W21" i="1"/>
  <c r="W31" i="1"/>
  <c r="T31" i="1"/>
  <c r="T41" i="1"/>
  <c r="W41" i="1"/>
  <c r="T51" i="1"/>
  <c r="W51" i="1"/>
  <c r="T61" i="1"/>
  <c r="W61" i="1"/>
  <c r="W71" i="1"/>
  <c r="T71" i="1"/>
  <c r="T81" i="1"/>
  <c r="W81" i="1"/>
  <c r="W91" i="1"/>
  <c r="T91" i="1"/>
  <c r="T101" i="1"/>
  <c r="W101" i="1"/>
  <c r="T7" i="2"/>
  <c r="W7" i="2"/>
  <c r="W17" i="2"/>
  <c r="T17" i="2"/>
  <c r="T27" i="2"/>
  <c r="W27" i="2"/>
  <c r="W37" i="2"/>
  <c r="T37" i="2"/>
  <c r="T47" i="2"/>
  <c r="W47" i="2"/>
  <c r="W57" i="2"/>
  <c r="T57" i="2"/>
  <c r="T67" i="2"/>
  <c r="W67" i="2"/>
  <c r="W77" i="2"/>
  <c r="T77" i="2"/>
  <c r="T87" i="2"/>
  <c r="W87" i="2"/>
  <c r="W97" i="2"/>
  <c r="T97" i="2"/>
  <c r="T107" i="2"/>
  <c r="W107" i="2"/>
  <c r="U8" i="2"/>
  <c r="X8" i="2"/>
  <c r="U28" i="2"/>
  <c r="X28" i="2"/>
  <c r="U68" i="2"/>
  <c r="X68" i="2"/>
  <c r="U88" i="2"/>
  <c r="X88" i="2"/>
  <c r="X98" i="2"/>
  <c r="U98" i="2"/>
  <c r="U108" i="2"/>
  <c r="X108" i="2"/>
  <c r="T79" i="2"/>
  <c r="W79" i="2"/>
  <c r="U42" i="1"/>
  <c r="X42" i="1"/>
  <c r="X92" i="1"/>
  <c r="U92" i="1"/>
  <c r="U48" i="2"/>
  <c r="X48" i="2"/>
  <c r="T23" i="1"/>
  <c r="W23" i="1"/>
  <c r="T83" i="1"/>
  <c r="W83" i="1"/>
  <c r="W9" i="2"/>
  <c r="T9" i="2"/>
  <c r="X13" i="1"/>
  <c r="U13" i="1"/>
  <c r="U23" i="1"/>
  <c r="X23" i="1"/>
  <c r="X33" i="1"/>
  <c r="U33" i="1"/>
  <c r="U43" i="1"/>
  <c r="X43" i="1"/>
  <c r="X53" i="1"/>
  <c r="U53" i="1"/>
  <c r="U63" i="1"/>
  <c r="X63" i="1"/>
  <c r="X73" i="1"/>
  <c r="U73" i="1"/>
  <c r="X83" i="1"/>
  <c r="U83" i="1"/>
  <c r="X93" i="1"/>
  <c r="U93" i="1"/>
  <c r="X103" i="1"/>
  <c r="U103" i="1"/>
  <c r="X9" i="2"/>
  <c r="U9" i="2"/>
  <c r="U19" i="2"/>
  <c r="X19" i="2"/>
  <c r="X29" i="2"/>
  <c r="U29" i="2"/>
  <c r="X39" i="2"/>
  <c r="U39" i="2"/>
  <c r="U49" i="2"/>
  <c r="X49" i="2"/>
  <c r="U59" i="2"/>
  <c r="X59" i="2"/>
  <c r="X69" i="2"/>
  <c r="U69" i="2"/>
  <c r="X79" i="2"/>
  <c r="U79" i="2"/>
  <c r="U89" i="2"/>
  <c r="X89" i="2"/>
  <c r="U99" i="2"/>
  <c r="X99" i="2"/>
  <c r="U109" i="2"/>
  <c r="X109" i="2"/>
  <c r="X12" i="1"/>
  <c r="U12" i="1"/>
  <c r="X32" i="1"/>
  <c r="U32" i="1"/>
  <c r="X52" i="1"/>
  <c r="U52" i="1"/>
  <c r="X72" i="1"/>
  <c r="U72" i="1"/>
  <c r="X102" i="1"/>
  <c r="U102" i="1"/>
  <c r="X18" i="2"/>
  <c r="U18" i="2"/>
  <c r="W53" i="1"/>
  <c r="T53" i="1"/>
  <c r="W29" i="2"/>
  <c r="T29" i="2"/>
  <c r="W89" i="2"/>
  <c r="T89" i="2"/>
  <c r="W14" i="1"/>
  <c r="T14" i="1"/>
  <c r="W44" i="1"/>
  <c r="T44" i="1"/>
  <c r="W54" i="1"/>
  <c r="T54" i="1"/>
  <c r="W64" i="1"/>
  <c r="T64" i="1"/>
  <c r="W74" i="1"/>
  <c r="T74" i="1"/>
  <c r="W84" i="1"/>
  <c r="T84" i="1"/>
  <c r="W94" i="1"/>
  <c r="T94" i="1"/>
  <c r="W104" i="1"/>
  <c r="T104" i="1"/>
  <c r="W10" i="2"/>
  <c r="T10" i="2"/>
  <c r="T20" i="2"/>
  <c r="W20" i="2"/>
  <c r="W30" i="2"/>
  <c r="T30" i="2"/>
  <c r="T40" i="2"/>
  <c r="W40" i="2"/>
  <c r="W50" i="2"/>
  <c r="T50" i="2"/>
  <c r="T60" i="2"/>
  <c r="W60" i="2"/>
  <c r="W70" i="2"/>
  <c r="T70" i="2"/>
  <c r="T80" i="2"/>
  <c r="W80" i="2"/>
  <c r="W90" i="2"/>
  <c r="T90" i="2"/>
  <c r="T100" i="2"/>
  <c r="W100" i="2"/>
  <c r="U62" i="1"/>
  <c r="X62" i="1"/>
  <c r="X38" i="2"/>
  <c r="U38" i="2"/>
  <c r="W73" i="1"/>
  <c r="T73" i="1"/>
  <c r="T59" i="2"/>
  <c r="W59" i="2"/>
  <c r="W4" i="1"/>
  <c r="T4" i="1"/>
  <c r="W24" i="1"/>
  <c r="T24" i="1"/>
  <c r="W34" i="1"/>
  <c r="T34" i="1"/>
  <c r="X4" i="1"/>
  <c r="U4" i="1"/>
  <c r="U14" i="1"/>
  <c r="X14" i="1"/>
  <c r="U24" i="1"/>
  <c r="X24" i="1"/>
  <c r="U34" i="1"/>
  <c r="X34" i="1"/>
  <c r="U44" i="1"/>
  <c r="X44" i="1"/>
  <c r="U54" i="1"/>
  <c r="X54" i="1"/>
  <c r="U64" i="1"/>
  <c r="X64" i="1"/>
  <c r="U74" i="1"/>
  <c r="X74" i="1"/>
  <c r="X84" i="1"/>
  <c r="U84" i="1"/>
  <c r="U94" i="1"/>
  <c r="X94" i="1"/>
  <c r="X104" i="1"/>
  <c r="U104" i="1"/>
  <c r="X10" i="2"/>
  <c r="U10" i="2"/>
  <c r="X20" i="2"/>
  <c r="U20" i="2"/>
  <c r="X30" i="2"/>
  <c r="U30" i="2"/>
  <c r="X40" i="2"/>
  <c r="U40" i="2"/>
  <c r="X50" i="2"/>
  <c r="U50" i="2"/>
  <c r="X60" i="2"/>
  <c r="U60" i="2"/>
  <c r="X70" i="2"/>
  <c r="U70" i="2"/>
  <c r="X80" i="2"/>
  <c r="U80" i="2"/>
  <c r="X90" i="2"/>
  <c r="U90" i="2"/>
  <c r="X100" i="2"/>
  <c r="U100" i="2"/>
  <c r="X82" i="1"/>
  <c r="U82" i="1"/>
  <c r="X58" i="2"/>
  <c r="U58" i="2"/>
  <c r="T43" i="1"/>
  <c r="W43" i="1"/>
  <c r="T103" i="1"/>
  <c r="W103" i="1"/>
  <c r="W49" i="2"/>
  <c r="T49" i="2"/>
  <c r="W109" i="2"/>
  <c r="T109" i="2"/>
  <c r="W15" i="1"/>
  <c r="T15" i="1"/>
  <c r="W55" i="1"/>
  <c r="T55" i="1"/>
  <c r="W75" i="1"/>
  <c r="T75" i="1"/>
  <c r="W95" i="1"/>
  <c r="T95" i="1"/>
  <c r="T105" i="1"/>
  <c r="W105" i="1"/>
  <c r="W11" i="2"/>
  <c r="T11" i="2"/>
  <c r="W21" i="2"/>
  <c r="T21" i="2"/>
  <c r="W31" i="2"/>
  <c r="T31" i="2"/>
  <c r="T41" i="2"/>
  <c r="W41" i="2"/>
  <c r="W51" i="2"/>
  <c r="T51" i="2"/>
  <c r="W61" i="2"/>
  <c r="T61" i="2"/>
  <c r="W71" i="2"/>
  <c r="T71" i="2"/>
  <c r="T81" i="2"/>
  <c r="W81" i="2"/>
  <c r="W91" i="2"/>
  <c r="T91" i="2"/>
  <c r="W101" i="2"/>
  <c r="T101" i="2"/>
  <c r="U22" i="1"/>
  <c r="X22" i="1"/>
  <c r="X78" i="2"/>
  <c r="U78" i="2"/>
  <c r="W13" i="1"/>
  <c r="T13" i="1"/>
  <c r="W33" i="1"/>
  <c r="T33" i="1"/>
  <c r="T63" i="1"/>
  <c r="W63" i="1"/>
  <c r="W93" i="1"/>
  <c r="T93" i="1"/>
  <c r="T19" i="2"/>
  <c r="W19" i="2"/>
  <c r="T39" i="2"/>
  <c r="W39" i="2"/>
  <c r="W69" i="2"/>
  <c r="T69" i="2"/>
  <c r="T99" i="2"/>
  <c r="W99" i="2"/>
  <c r="W5" i="1"/>
  <c r="T5" i="1"/>
  <c r="W25" i="1"/>
  <c r="T25" i="1"/>
  <c r="W35" i="1"/>
  <c r="T35" i="1"/>
  <c r="W45" i="1"/>
  <c r="T45" i="1"/>
  <c r="T65" i="1"/>
  <c r="W65" i="1"/>
  <c r="W85" i="1"/>
  <c r="T85" i="1"/>
  <c r="X5" i="1"/>
  <c r="U5" i="1"/>
  <c r="U15" i="1"/>
  <c r="X15" i="1"/>
  <c r="U25" i="1"/>
  <c r="X25" i="1"/>
  <c r="U35" i="1"/>
  <c r="X35" i="1"/>
  <c r="U45" i="1"/>
  <c r="X45" i="1"/>
  <c r="U55" i="1"/>
  <c r="X55" i="1"/>
  <c r="U65" i="1"/>
  <c r="X65" i="1"/>
  <c r="U75" i="1"/>
  <c r="X75" i="1"/>
  <c r="X85" i="1"/>
  <c r="U85" i="1"/>
  <c r="U95" i="1"/>
  <c r="X95" i="1"/>
  <c r="U105" i="1"/>
  <c r="X105" i="1"/>
  <c r="U11" i="2"/>
  <c r="X11" i="2"/>
  <c r="X21" i="2"/>
  <c r="U21" i="2"/>
  <c r="U31" i="2"/>
  <c r="X31" i="2"/>
  <c r="X41" i="2"/>
  <c r="U41" i="2"/>
  <c r="U51" i="2"/>
  <c r="X51" i="2"/>
  <c r="X61" i="2"/>
  <c r="U61" i="2"/>
  <c r="U71" i="2"/>
  <c r="X71" i="2"/>
  <c r="X81" i="2"/>
  <c r="U81" i="2"/>
  <c r="U91" i="2"/>
  <c r="X91" i="2"/>
  <c r="X101" i="2"/>
  <c r="U101" i="2"/>
  <c r="T3" i="7"/>
  <c r="U3" i="7"/>
  <c r="T3" i="2"/>
  <c r="U3" i="2"/>
  <c r="T3" i="1"/>
  <c r="U3" i="1"/>
  <c r="R3" i="7"/>
  <c r="Q3" i="7"/>
  <c r="R3" i="2"/>
  <c r="Q3" i="2"/>
  <c r="R3" i="1"/>
  <c r="Q3" i="1"/>
</calcChain>
</file>

<file path=xl/sharedStrings.xml><?xml version="1.0" encoding="utf-8"?>
<sst xmlns="http://schemas.openxmlformats.org/spreadsheetml/2006/main" count="320" uniqueCount="13">
  <si>
    <t>Storage modulus</t>
  </si>
  <si>
    <t>Loss modulus</t>
  </si>
  <si>
    <t>MPa</t>
  </si>
  <si>
    <t>Average storage modulus</t>
  </si>
  <si>
    <t>Average loss modulus</t>
  </si>
  <si>
    <t>Time</t>
  </si>
  <si>
    <t>s</t>
  </si>
  <si>
    <t>SD G'</t>
  </si>
  <si>
    <t>SD G''</t>
  </si>
  <si>
    <t>Average storage modulus/initial</t>
  </si>
  <si>
    <t>Average loss modulus/initial</t>
  </si>
  <si>
    <t>Percent storage modulus</t>
  </si>
  <si>
    <t>Percent loss modulus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</si>
</sst>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  <xf numFmtId="11" fontId="0" fillId="0" borderId="0" xfId="0" applyNumberFormat="1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AEF8-2B69-4C1C-9240-C2387B62EE60}">
  <dimension ref="A1:X109"/>
  <sheetViews>
    <sheetView tabSelected="1" zoomScaleNormal="100" workbookViewId="0">
      <selection activeCell="C3" sqref="C3"/>
    </sheetView>
  </sheetViews>
  <sheetFormatPr baseColWidth="10" defaultColWidth="8.83203125" defaultRowHeight="15" x14ac:dyDescent="0.2"/>
  <cols>
    <col min="1" max="1" width="9.5" bestFit="1" customWidth="1"/>
    <col min="2" max="3" width="12.5" bestFit="1" customWidth="1"/>
    <col min="4" max="5" width="12.5" customWidth="1"/>
    <col min="7" max="8" width="12.1640625" bestFit="1" customWidth="1"/>
    <col min="9" max="10" width="12.5" customWidth="1"/>
    <col min="12" max="13" width="11.83203125" bestFit="1" customWidth="1"/>
    <col min="14" max="15" width="12.5" customWidth="1"/>
    <col min="16" max="16" width="8.6640625" style="1"/>
    <col min="17" max="18" width="11.83203125" bestFit="1" customWidth="1"/>
    <col min="20" max="21" width="11.83203125" bestFit="1" customWidth="1"/>
    <col min="23" max="24" width="9.5" bestFit="1" customWidth="1"/>
    <col min="26" max="27" width="11.83203125" bestFit="1" customWidth="1"/>
  </cols>
  <sheetData>
    <row r="1" spans="1:24" ht="32" x14ac:dyDescent="0.2">
      <c r="A1" t="s">
        <v>5</v>
      </c>
      <c r="B1" t="s">
        <v>0</v>
      </c>
      <c r="C1" t="s">
        <v>1</v>
      </c>
      <c r="D1" t="s">
        <v>11</v>
      </c>
      <c r="E1" t="s">
        <v>12</v>
      </c>
      <c r="G1" s="2" t="s">
        <v>0</v>
      </c>
      <c r="H1" s="2" t="s">
        <v>1</v>
      </c>
      <c r="I1" t="s">
        <v>11</v>
      </c>
      <c r="J1" t="s">
        <v>12</v>
      </c>
      <c r="L1" s="2" t="s">
        <v>0</v>
      </c>
      <c r="M1" s="2" t="s">
        <v>1</v>
      </c>
      <c r="N1" t="s">
        <v>11</v>
      </c>
      <c r="O1" t="s">
        <v>12</v>
      </c>
      <c r="Q1" t="s">
        <v>3</v>
      </c>
      <c r="R1" t="s">
        <v>4</v>
      </c>
      <c r="T1" t="s">
        <v>9</v>
      </c>
      <c r="U1" t="s">
        <v>10</v>
      </c>
      <c r="W1" t="s">
        <v>7</v>
      </c>
      <c r="X1" t="s">
        <v>8</v>
      </c>
    </row>
    <row r="2" spans="1:24" ht="16" x14ac:dyDescent="0.2">
      <c r="A2" t="s">
        <v>6</v>
      </c>
      <c r="B2" t="s">
        <v>2</v>
      </c>
      <c r="C2" t="s">
        <v>2</v>
      </c>
      <c r="D2" t="s">
        <v>2</v>
      </c>
      <c r="E2" t="s">
        <v>2</v>
      </c>
      <c r="G2" s="2" t="s">
        <v>2</v>
      </c>
      <c r="H2" s="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2">
      <c r="A3">
        <v>6.2696399999999999</v>
      </c>
      <c r="B3">
        <v>1.1883E-3</v>
      </c>
      <c r="C3">
        <v>2.0567099999999999E-4</v>
      </c>
      <c r="D3">
        <f>B3/$B$3*100</f>
        <v>100</v>
      </c>
      <c r="E3">
        <f>C3/$C$3*100</f>
        <v>100</v>
      </c>
      <c r="G3" s="5">
        <v>9.0278799999999996E-4</v>
      </c>
      <c r="H3" s="5">
        <v>1.72258E-4</v>
      </c>
      <c r="I3" s="4">
        <f>G3/$G$3*100</f>
        <v>100</v>
      </c>
      <c r="J3" s="4">
        <f>H3/$H$3*100</f>
        <v>100</v>
      </c>
      <c r="L3" s="5">
        <v>7.2271800000000001E-4</v>
      </c>
      <c r="M3" s="5">
        <v>1.4806899999999999E-4</v>
      </c>
      <c r="N3" s="4">
        <f>L3/$L$3*100</f>
        <v>100</v>
      </c>
      <c r="O3" s="4">
        <f>M3/$M$3*100</f>
        <v>100</v>
      </c>
      <c r="Q3">
        <f>AVERAGE(B3,G3,L3)</f>
        <v>9.3793533333333347E-4</v>
      </c>
      <c r="R3">
        <f>AVERAGE(C3,H3,M3)</f>
        <v>1.7533266666666666E-4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2">
      <c r="A4">
        <v>12.3698</v>
      </c>
      <c r="B4">
        <v>1.1864099999999999E-3</v>
      </c>
      <c r="C4">
        <v>2.0591500000000001E-4</v>
      </c>
      <c r="D4">
        <f t="shared" ref="D4:D67" si="0">B4/$B$3*100</f>
        <v>99.84094925523857</v>
      </c>
      <c r="E4">
        <f t="shared" ref="E4:E67" si="1">C4/$C$3*100</f>
        <v>100.11863607411837</v>
      </c>
      <c r="G4" s="5">
        <v>9.0132799999999996E-4</v>
      </c>
      <c r="H4" s="5">
        <v>1.7136399999999999E-4</v>
      </c>
      <c r="I4" s="4">
        <f t="shared" ref="I4:I67" si="2">G4/$G$3*100</f>
        <v>99.838278754259022</v>
      </c>
      <c r="J4" s="4">
        <f t="shared" ref="J4:J67" si="3">H4/$H$3*100</f>
        <v>99.481011041577162</v>
      </c>
      <c r="L4" s="5">
        <v>7.2598400000000005E-4</v>
      </c>
      <c r="M4" s="5">
        <v>1.47656E-4</v>
      </c>
      <c r="N4" s="4">
        <f t="shared" ref="N4:N67" si="4">L4/$L$3*100</f>
        <v>100.45190516909777</v>
      </c>
      <c r="O4" s="4">
        <f t="shared" ref="O4:O67" si="5">M4/$M$3*100</f>
        <v>99.721075984844916</v>
      </c>
      <c r="Q4">
        <f t="shared" ref="Q4:Q67" si="6">AVERAGE(B4,G4,L4)</f>
        <v>9.3790733333333346E-4</v>
      </c>
      <c r="R4">
        <f t="shared" ref="R4:R67" si="7">AVERAGE(C4,H4,M4)</f>
        <v>1.7497833333333335E-4</v>
      </c>
      <c r="T4">
        <f t="shared" ref="T4:T67" si="8">AVERAGE(D4,I4,N4)</f>
        <v>100.04371105953179</v>
      </c>
      <c r="U4">
        <f t="shared" ref="U4:U67" si="9">AVERAGE(E4,J4,O4)</f>
        <v>99.773574366846802</v>
      </c>
      <c r="W4">
        <f t="shared" ref="W4:W67" si="10">_xlfn.STDEV.P(D4,I4,N4)</f>
        <v>0.28863888188893827</v>
      </c>
      <c r="X4">
        <f t="shared" ref="X4:X67" si="11">_xlfn.STDEV.P(E4,J4,O4)</f>
        <v>0.26294293502001209</v>
      </c>
    </row>
    <row r="5" spans="1:24" x14ac:dyDescent="0.2">
      <c r="A5">
        <v>18.654</v>
      </c>
      <c r="B5">
        <v>1.18593E-3</v>
      </c>
      <c r="C5">
        <v>2.0465899999999999E-4</v>
      </c>
      <c r="D5">
        <f t="shared" si="0"/>
        <v>99.800555415299158</v>
      </c>
      <c r="E5">
        <f t="shared" si="1"/>
        <v>99.507952020459868</v>
      </c>
      <c r="G5" s="5">
        <v>9.0258700000000005E-4</v>
      </c>
      <c r="H5" s="5">
        <v>1.70426E-4</v>
      </c>
      <c r="I5" s="4">
        <f t="shared" si="2"/>
        <v>99.977735636716488</v>
      </c>
      <c r="J5" s="4">
        <f t="shared" si="3"/>
        <v>98.936479002426594</v>
      </c>
      <c r="L5" s="5">
        <v>7.2793399999999996E-4</v>
      </c>
      <c r="M5" s="5">
        <v>1.47236E-4</v>
      </c>
      <c r="N5" s="4">
        <f t="shared" si="4"/>
        <v>100.72171995162704</v>
      </c>
      <c r="O5" s="4">
        <f t="shared" si="5"/>
        <v>99.43742444400921</v>
      </c>
      <c r="Q5">
        <f t="shared" si="6"/>
        <v>9.3881699999999989E-4</v>
      </c>
      <c r="R5">
        <f t="shared" si="7"/>
        <v>1.7410699999999998E-4</v>
      </c>
      <c r="T5">
        <f t="shared" si="8"/>
        <v>100.16667033454756</v>
      </c>
      <c r="U5">
        <f t="shared" si="9"/>
        <v>99.293951822298553</v>
      </c>
      <c r="W5">
        <f t="shared" si="10"/>
        <v>0.39908918450260228</v>
      </c>
      <c r="X5">
        <f t="shared" si="11"/>
        <v>0.25440603697031322</v>
      </c>
    </row>
    <row r="6" spans="1:24" x14ac:dyDescent="0.2">
      <c r="A6">
        <v>24.779599999999999</v>
      </c>
      <c r="B6">
        <v>1.18735E-3</v>
      </c>
      <c r="C6">
        <v>2.04961E-4</v>
      </c>
      <c r="D6">
        <f t="shared" si="0"/>
        <v>99.920053858453244</v>
      </c>
      <c r="E6">
        <f t="shared" si="1"/>
        <v>99.654788472852289</v>
      </c>
      <c r="G6" s="5">
        <v>9.0287500000000003E-4</v>
      </c>
      <c r="H6" s="5">
        <v>1.6895899999999999E-4</v>
      </c>
      <c r="I6" s="4">
        <f t="shared" si="2"/>
        <v>100.00963681395854</v>
      </c>
      <c r="J6" s="4">
        <f t="shared" si="3"/>
        <v>98.084849469981066</v>
      </c>
      <c r="L6" s="5">
        <v>7.3027599999999997E-4</v>
      </c>
      <c r="M6" s="5">
        <v>1.4624399999999999E-4</v>
      </c>
      <c r="N6" s="4">
        <f t="shared" si="4"/>
        <v>101.04577442377247</v>
      </c>
      <c r="O6" s="4">
        <f t="shared" si="5"/>
        <v>98.767466518987774</v>
      </c>
      <c r="Q6">
        <f t="shared" si="6"/>
        <v>9.4016700000000011E-4</v>
      </c>
      <c r="R6">
        <f t="shared" si="7"/>
        <v>1.7338800000000001E-4</v>
      </c>
      <c r="T6">
        <f t="shared" si="8"/>
        <v>100.3251550320614</v>
      </c>
      <c r="U6">
        <f t="shared" si="9"/>
        <v>98.83570148727371</v>
      </c>
      <c r="W6">
        <f t="shared" si="10"/>
        <v>0.51086561002659847</v>
      </c>
      <c r="X6">
        <f t="shared" si="11"/>
        <v>0.64273847784658078</v>
      </c>
    </row>
    <row r="7" spans="1:24" x14ac:dyDescent="0.2">
      <c r="A7">
        <v>31.0945</v>
      </c>
      <c r="B7">
        <v>1.1859699999999999E-3</v>
      </c>
      <c r="C7">
        <v>2.02203E-4</v>
      </c>
      <c r="D7">
        <f t="shared" si="0"/>
        <v>99.803921568627459</v>
      </c>
      <c r="E7">
        <f t="shared" si="1"/>
        <v>98.313811864579847</v>
      </c>
      <c r="G7" s="5">
        <v>9.0038499999999997E-4</v>
      </c>
      <c r="H7" s="5">
        <v>1.68608E-4</v>
      </c>
      <c r="I7" s="4">
        <f t="shared" si="2"/>
        <v>99.733824552386608</v>
      </c>
      <c r="J7" s="4">
        <f t="shared" si="3"/>
        <v>97.881085348721101</v>
      </c>
      <c r="L7" s="5">
        <v>7.3194999999999998E-4</v>
      </c>
      <c r="M7" s="5">
        <v>1.4617100000000001E-4</v>
      </c>
      <c r="N7" s="4">
        <f t="shared" si="4"/>
        <v>101.27740003708223</v>
      </c>
      <c r="O7" s="4">
        <f t="shared" si="5"/>
        <v>98.718165179747288</v>
      </c>
      <c r="Q7">
        <f t="shared" si="6"/>
        <v>9.3943499999999986E-4</v>
      </c>
      <c r="R7">
        <f t="shared" si="7"/>
        <v>1.7232733333333335E-4</v>
      </c>
      <c r="T7">
        <f t="shared" si="8"/>
        <v>100.2717153860321</v>
      </c>
      <c r="U7">
        <f t="shared" si="9"/>
        <v>98.304354131016069</v>
      </c>
      <c r="W7">
        <f t="shared" si="10"/>
        <v>0.71170200268550421</v>
      </c>
      <c r="X7">
        <f t="shared" si="11"/>
        <v>0.34180184066291014</v>
      </c>
    </row>
    <row r="8" spans="1:24" x14ac:dyDescent="0.2">
      <c r="A8">
        <v>37.161900000000003</v>
      </c>
      <c r="B8">
        <v>1.1848799999999999E-3</v>
      </c>
      <c r="C8">
        <v>2.02532E-4</v>
      </c>
      <c r="D8">
        <f t="shared" si="0"/>
        <v>99.712193890431706</v>
      </c>
      <c r="E8">
        <f t="shared" si="1"/>
        <v>98.473776079272241</v>
      </c>
      <c r="G8" s="5">
        <v>8.9939200000000005E-4</v>
      </c>
      <c r="H8" s="5">
        <v>1.6795100000000001E-4</v>
      </c>
      <c r="I8" s="4">
        <f t="shared" si="2"/>
        <v>99.62383195168745</v>
      </c>
      <c r="J8" s="4">
        <f t="shared" si="3"/>
        <v>97.499680711490896</v>
      </c>
      <c r="L8" s="5">
        <v>7.3301300000000002E-4</v>
      </c>
      <c r="M8" s="5">
        <v>1.45632E-4</v>
      </c>
      <c r="N8" s="4">
        <f t="shared" si="4"/>
        <v>101.42448368519948</v>
      </c>
      <c r="O8" s="4">
        <f t="shared" si="5"/>
        <v>98.354145702341484</v>
      </c>
      <c r="Q8">
        <f t="shared" si="6"/>
        <v>9.3909500000000003E-4</v>
      </c>
      <c r="R8">
        <f t="shared" si="7"/>
        <v>1.7203833333333336E-4</v>
      </c>
      <c r="T8">
        <f t="shared" si="8"/>
        <v>100.25350317577288</v>
      </c>
      <c r="U8">
        <f t="shared" si="9"/>
        <v>98.109200831034869</v>
      </c>
      <c r="W8">
        <f t="shared" si="10"/>
        <v>0.82879369091364496</v>
      </c>
      <c r="X8">
        <f t="shared" si="11"/>
        <v>0.4337541076599562</v>
      </c>
    </row>
    <row r="9" spans="1:24" x14ac:dyDescent="0.2">
      <c r="A9">
        <v>43.441699999999997</v>
      </c>
      <c r="B9">
        <v>1.1837900000000001E-3</v>
      </c>
      <c r="C9">
        <v>2.0159099999999999E-4</v>
      </c>
      <c r="D9">
        <f t="shared" si="0"/>
        <v>99.620466212235982</v>
      </c>
      <c r="E9">
        <f t="shared" si="1"/>
        <v>98.016249252446869</v>
      </c>
      <c r="G9" s="5">
        <v>8.9919100000000003E-4</v>
      </c>
      <c r="H9" s="5">
        <v>1.66873E-4</v>
      </c>
      <c r="I9" s="4">
        <f t="shared" si="2"/>
        <v>99.601567588403924</v>
      </c>
      <c r="J9" s="4">
        <f t="shared" si="3"/>
        <v>96.873875233661138</v>
      </c>
      <c r="L9" s="5">
        <v>7.35504E-4</v>
      </c>
      <c r="M9" s="5">
        <v>1.4520099999999999E-4</v>
      </c>
      <c r="N9" s="4">
        <f t="shared" si="4"/>
        <v>101.76915477406125</v>
      </c>
      <c r="O9" s="4">
        <f t="shared" si="5"/>
        <v>98.063065192579131</v>
      </c>
      <c r="Q9">
        <f t="shared" si="6"/>
        <v>9.3949500000000015E-4</v>
      </c>
      <c r="R9">
        <f t="shared" si="7"/>
        <v>1.7122166666666666E-4</v>
      </c>
      <c r="T9">
        <f t="shared" si="8"/>
        <v>100.33039619156705</v>
      </c>
      <c r="U9">
        <f t="shared" si="9"/>
        <v>97.651063226229041</v>
      </c>
      <c r="W9">
        <f t="shared" si="10"/>
        <v>1.0173852051611592</v>
      </c>
      <c r="X9">
        <f t="shared" si="11"/>
        <v>0.54988714897174895</v>
      </c>
    </row>
    <row r="10" spans="1:24" x14ac:dyDescent="0.2">
      <c r="A10">
        <v>49.671799999999998</v>
      </c>
      <c r="B10">
        <v>1.18358E-3</v>
      </c>
      <c r="C10">
        <v>2.0117099999999999E-4</v>
      </c>
      <c r="D10">
        <f t="shared" si="0"/>
        <v>99.60279390726248</v>
      </c>
      <c r="E10">
        <f t="shared" si="1"/>
        <v>97.812039616669338</v>
      </c>
      <c r="G10" s="5">
        <v>8.9861300000000004E-4</v>
      </c>
      <c r="H10" s="5">
        <v>1.6586500000000001E-4</v>
      </c>
      <c r="I10" s="4">
        <f t="shared" si="2"/>
        <v>99.53754369796674</v>
      </c>
      <c r="J10" s="4">
        <f t="shared" si="3"/>
        <v>96.288706475170969</v>
      </c>
      <c r="L10" s="5">
        <v>7.3627999999999996E-4</v>
      </c>
      <c r="M10" s="5">
        <v>1.4503000000000001E-4</v>
      </c>
      <c r="N10" s="4">
        <f t="shared" si="4"/>
        <v>101.87652722085238</v>
      </c>
      <c r="O10" s="4">
        <f t="shared" si="5"/>
        <v>97.947578493810326</v>
      </c>
      <c r="Q10">
        <f t="shared" si="6"/>
        <v>9.3949100000000009E-4</v>
      </c>
      <c r="R10">
        <f t="shared" si="7"/>
        <v>1.7068866666666667E-4</v>
      </c>
      <c r="T10">
        <f t="shared" si="8"/>
        <v>100.3389549420272</v>
      </c>
      <c r="U10">
        <f t="shared" si="9"/>
        <v>97.349441528550201</v>
      </c>
      <c r="W10">
        <f t="shared" si="10"/>
        <v>1.0875540697399919</v>
      </c>
      <c r="X10">
        <f t="shared" si="11"/>
        <v>0.75209123422838264</v>
      </c>
    </row>
    <row r="11" spans="1:24" x14ac:dyDescent="0.2">
      <c r="A11">
        <v>55.927799999999998</v>
      </c>
      <c r="B11">
        <v>1.1813800000000001E-3</v>
      </c>
      <c r="C11">
        <v>2.0095599999999999E-4</v>
      </c>
      <c r="D11">
        <f t="shared" si="0"/>
        <v>99.417655474206853</v>
      </c>
      <c r="E11">
        <f t="shared" si="1"/>
        <v>97.707503731687979</v>
      </c>
      <c r="G11" s="5">
        <v>8.9708400000000003E-4</v>
      </c>
      <c r="H11" s="5">
        <v>1.66078E-4</v>
      </c>
      <c r="I11" s="4">
        <f t="shared" si="2"/>
        <v>99.368179461844875</v>
      </c>
      <c r="J11" s="4">
        <f t="shared" si="3"/>
        <v>96.412358206875737</v>
      </c>
      <c r="L11" s="5">
        <v>7.3780799999999995E-4</v>
      </c>
      <c r="M11" s="5">
        <v>1.4435399999999999E-4</v>
      </c>
      <c r="N11" s="4">
        <f t="shared" si="4"/>
        <v>102.08795131711123</v>
      </c>
      <c r="O11" s="4">
        <f t="shared" si="5"/>
        <v>97.491034585227155</v>
      </c>
      <c r="Q11">
        <f t="shared" si="6"/>
        <v>9.387573333333334E-4</v>
      </c>
      <c r="R11">
        <f t="shared" si="7"/>
        <v>1.7046266666666666E-4</v>
      </c>
      <c r="T11">
        <f t="shared" si="8"/>
        <v>100.29126208438765</v>
      </c>
      <c r="U11">
        <f t="shared" si="9"/>
        <v>97.203632174596962</v>
      </c>
      <c r="W11">
        <f t="shared" si="10"/>
        <v>1.2706116947330119</v>
      </c>
      <c r="X11">
        <f t="shared" si="11"/>
        <v>0.56645128760104979</v>
      </c>
    </row>
    <row r="12" spans="1:24" x14ac:dyDescent="0.2">
      <c r="A12">
        <v>62.031100000000002</v>
      </c>
      <c r="B12">
        <v>1.1805299999999999E-3</v>
      </c>
      <c r="C12">
        <v>1.9990200000000001E-4</v>
      </c>
      <c r="D12">
        <f t="shared" si="0"/>
        <v>99.346124715980807</v>
      </c>
      <c r="E12">
        <f t="shared" si="1"/>
        <v>97.195034788570098</v>
      </c>
      <c r="G12" s="5">
        <v>8.9574700000000001E-4</v>
      </c>
      <c r="H12" s="5">
        <v>1.6537100000000001E-4</v>
      </c>
      <c r="I12" s="4">
        <f t="shared" si="2"/>
        <v>99.22008267721769</v>
      </c>
      <c r="J12" s="4">
        <f t="shared" si="3"/>
        <v>96.001927341545823</v>
      </c>
      <c r="L12" s="5">
        <v>7.3955400000000001E-4</v>
      </c>
      <c r="M12" s="5">
        <v>1.44344E-4</v>
      </c>
      <c r="N12" s="4">
        <f t="shared" si="4"/>
        <v>102.3295393223913</v>
      </c>
      <c r="O12" s="4">
        <f t="shared" si="5"/>
        <v>97.484280977112022</v>
      </c>
      <c r="Q12">
        <f t="shared" si="6"/>
        <v>9.3861033333333336E-4</v>
      </c>
      <c r="R12">
        <f t="shared" si="7"/>
        <v>1.6987233333333335E-4</v>
      </c>
      <c r="T12">
        <f t="shared" si="8"/>
        <v>100.29858223852993</v>
      </c>
      <c r="U12">
        <f t="shared" si="9"/>
        <v>96.893747702409314</v>
      </c>
      <c r="W12">
        <f t="shared" si="10"/>
        <v>1.4370250882172959</v>
      </c>
      <c r="X12">
        <f t="shared" si="11"/>
        <v>0.64157281033125835</v>
      </c>
    </row>
    <row r="13" spans="1:24" x14ac:dyDescent="0.2">
      <c r="A13">
        <v>68.213200000000001</v>
      </c>
      <c r="B13">
        <v>1.1809699999999999E-3</v>
      </c>
      <c r="C13">
        <v>1.98939E-4</v>
      </c>
      <c r="D13">
        <f t="shared" si="0"/>
        <v>99.383152402591932</v>
      </c>
      <c r="E13">
        <f t="shared" si="1"/>
        <v>96.726811266537339</v>
      </c>
      <c r="G13" s="5">
        <v>8.95932E-4</v>
      </c>
      <c r="H13" s="5">
        <v>1.64754E-4</v>
      </c>
      <c r="I13" s="4">
        <f t="shared" si="2"/>
        <v>99.240574752876654</v>
      </c>
      <c r="J13" s="4">
        <f t="shared" si="3"/>
        <v>95.643743686795389</v>
      </c>
      <c r="L13" s="5">
        <v>7.4048099999999997E-4</v>
      </c>
      <c r="M13" s="5">
        <v>1.4426400000000001E-4</v>
      </c>
      <c r="N13" s="4">
        <f t="shared" si="4"/>
        <v>102.45780511900907</v>
      </c>
      <c r="O13" s="4">
        <f t="shared" si="5"/>
        <v>97.430252112190956</v>
      </c>
      <c r="Q13">
        <f t="shared" si="6"/>
        <v>9.3912766666666653E-4</v>
      </c>
      <c r="R13">
        <f t="shared" si="7"/>
        <v>1.6931900000000002E-4</v>
      </c>
      <c r="T13">
        <f t="shared" si="8"/>
        <v>100.36051075815924</v>
      </c>
      <c r="U13">
        <f t="shared" si="9"/>
        <v>96.600269021841214</v>
      </c>
      <c r="W13">
        <f t="shared" si="10"/>
        <v>1.4841529174558383</v>
      </c>
      <c r="X13">
        <f t="shared" si="11"/>
        <v>0.73480736399498392</v>
      </c>
    </row>
    <row r="14" spans="1:24" x14ac:dyDescent="0.2">
      <c r="A14">
        <v>74.461600000000004</v>
      </c>
      <c r="B14">
        <v>1.1799200000000001E-3</v>
      </c>
      <c r="C14">
        <v>1.9912400000000001E-4</v>
      </c>
      <c r="D14">
        <f t="shared" si="0"/>
        <v>99.294790877724495</v>
      </c>
      <c r="E14">
        <f t="shared" si="1"/>
        <v>96.816760748963162</v>
      </c>
      <c r="G14" s="5">
        <v>8.9442999999999999E-4</v>
      </c>
      <c r="H14" s="5">
        <v>1.6369999999999999E-4</v>
      </c>
      <c r="I14" s="4">
        <f t="shared" si="2"/>
        <v>99.074201252121213</v>
      </c>
      <c r="J14" s="4">
        <f t="shared" si="3"/>
        <v>95.031870798453483</v>
      </c>
      <c r="L14" s="5">
        <v>7.4125600000000003E-4</v>
      </c>
      <c r="M14" s="5">
        <v>1.44E-4</v>
      </c>
      <c r="N14" s="4">
        <f t="shared" si="4"/>
        <v>102.56503919924506</v>
      </c>
      <c r="O14" s="4">
        <f t="shared" si="5"/>
        <v>97.25195685795137</v>
      </c>
      <c r="Q14">
        <f t="shared" si="6"/>
        <v>9.3853533333333337E-4</v>
      </c>
      <c r="R14">
        <f t="shared" si="7"/>
        <v>1.6894133333333333E-4</v>
      </c>
      <c r="T14">
        <f t="shared" si="8"/>
        <v>100.31134377636359</v>
      </c>
      <c r="U14">
        <f t="shared" si="9"/>
        <v>96.366862801789338</v>
      </c>
      <c r="W14">
        <f t="shared" si="10"/>
        <v>1.5961458245972024</v>
      </c>
      <c r="X14">
        <f t="shared" si="11"/>
        <v>0.96055596749924999</v>
      </c>
    </row>
    <row r="15" spans="1:24" x14ac:dyDescent="0.2">
      <c r="A15">
        <v>80.745000000000005</v>
      </c>
      <c r="B15">
        <v>1.1802799999999999E-3</v>
      </c>
      <c r="C15">
        <v>1.97834E-4</v>
      </c>
      <c r="D15">
        <f t="shared" si="0"/>
        <v>99.325086257679033</v>
      </c>
      <c r="E15">
        <f t="shared" si="1"/>
        <v>96.189545439075033</v>
      </c>
      <c r="G15" s="5">
        <v>8.9286599999999997E-4</v>
      </c>
      <c r="H15" s="5">
        <v>1.63981E-4</v>
      </c>
      <c r="I15" s="4">
        <f t="shared" si="2"/>
        <v>98.900960136820601</v>
      </c>
      <c r="J15" s="4">
        <f t="shared" si="3"/>
        <v>95.19499820037386</v>
      </c>
      <c r="L15" s="5">
        <v>7.4286199999999995E-4</v>
      </c>
      <c r="M15" s="5">
        <v>1.4381999999999999E-4</v>
      </c>
      <c r="N15" s="4">
        <f t="shared" si="4"/>
        <v>102.78725588680508</v>
      </c>
      <c r="O15" s="4">
        <f t="shared" si="5"/>
        <v>97.130391911878917</v>
      </c>
      <c r="Q15">
        <f t="shared" si="6"/>
        <v>9.3866933333333321E-4</v>
      </c>
      <c r="R15">
        <f t="shared" si="7"/>
        <v>1.6854500000000001E-4</v>
      </c>
      <c r="T15">
        <f t="shared" si="8"/>
        <v>100.33776742710158</v>
      </c>
      <c r="U15">
        <f t="shared" si="9"/>
        <v>96.171645183775937</v>
      </c>
      <c r="W15">
        <f t="shared" si="10"/>
        <v>1.740683012931824</v>
      </c>
      <c r="X15">
        <f t="shared" si="11"/>
        <v>0.7902225505042485</v>
      </c>
    </row>
    <row r="16" spans="1:24" x14ac:dyDescent="0.2">
      <c r="A16">
        <v>86.833600000000004</v>
      </c>
      <c r="B16">
        <v>1.18005E-3</v>
      </c>
      <c r="C16">
        <v>1.9783499999999999E-4</v>
      </c>
      <c r="D16">
        <f t="shared" si="0"/>
        <v>99.305730876041395</v>
      </c>
      <c r="E16">
        <f t="shared" si="1"/>
        <v>96.190031652493545</v>
      </c>
      <c r="G16" s="5">
        <v>8.9154900000000005E-4</v>
      </c>
      <c r="H16" s="5">
        <v>1.64403E-4</v>
      </c>
      <c r="I16" s="4">
        <f t="shared" si="2"/>
        <v>98.755078711724138</v>
      </c>
      <c r="J16" s="4">
        <f t="shared" si="3"/>
        <v>95.43997956553541</v>
      </c>
      <c r="L16" s="5">
        <v>7.4299900000000005E-4</v>
      </c>
      <c r="M16" s="5">
        <v>1.4396400000000001E-4</v>
      </c>
      <c r="N16" s="4">
        <f t="shared" si="4"/>
        <v>102.80621210485972</v>
      </c>
      <c r="O16" s="4">
        <f t="shared" si="5"/>
        <v>97.227643868736877</v>
      </c>
      <c r="Q16">
        <f t="shared" si="6"/>
        <v>9.3819933333333329E-4</v>
      </c>
      <c r="R16">
        <f t="shared" si="7"/>
        <v>1.68734E-4</v>
      </c>
      <c r="T16">
        <f t="shared" si="8"/>
        <v>100.28900723087509</v>
      </c>
      <c r="U16">
        <f t="shared" si="9"/>
        <v>96.285885028921939</v>
      </c>
      <c r="W16">
        <f t="shared" si="10"/>
        <v>1.7940725988145585</v>
      </c>
      <c r="X16">
        <f t="shared" si="11"/>
        <v>0.73295148432655022</v>
      </c>
    </row>
    <row r="17" spans="1:24" x14ac:dyDescent="0.2">
      <c r="A17">
        <v>93.167199999999994</v>
      </c>
      <c r="B17">
        <v>1.17964E-3</v>
      </c>
      <c r="C17">
        <v>1.9780199999999999E-4</v>
      </c>
      <c r="D17">
        <f t="shared" si="0"/>
        <v>99.271227804426502</v>
      </c>
      <c r="E17">
        <f t="shared" si="1"/>
        <v>96.173986609682444</v>
      </c>
      <c r="G17" s="5">
        <v>8.9229800000000003E-4</v>
      </c>
      <c r="H17" s="5">
        <v>1.63184E-4</v>
      </c>
      <c r="I17" s="4">
        <f t="shared" si="2"/>
        <v>98.838043926148771</v>
      </c>
      <c r="J17" s="4">
        <f t="shared" si="3"/>
        <v>94.732320124464465</v>
      </c>
      <c r="L17" s="5">
        <v>7.4514299999999998E-4</v>
      </c>
      <c r="M17" s="5">
        <v>1.4356699999999999E-4</v>
      </c>
      <c r="N17" s="4">
        <f t="shared" si="4"/>
        <v>103.10286999908678</v>
      </c>
      <c r="O17" s="4">
        <f t="shared" si="5"/>
        <v>96.959525626565991</v>
      </c>
      <c r="Q17">
        <f t="shared" si="6"/>
        <v>9.3902699999999994E-4</v>
      </c>
      <c r="R17">
        <f t="shared" si="7"/>
        <v>1.6818433333333334E-4</v>
      </c>
      <c r="T17">
        <f t="shared" si="8"/>
        <v>100.40404724322069</v>
      </c>
      <c r="U17">
        <f t="shared" si="9"/>
        <v>95.955277453570957</v>
      </c>
      <c r="W17">
        <f t="shared" si="10"/>
        <v>1.9165325058179821</v>
      </c>
      <c r="X17">
        <f t="shared" si="11"/>
        <v>0.92231099540703509</v>
      </c>
    </row>
    <row r="18" spans="1:24" x14ac:dyDescent="0.2">
      <c r="A18">
        <v>99.287099999999995</v>
      </c>
      <c r="B18">
        <v>1.1812700000000001E-3</v>
      </c>
      <c r="C18">
        <v>1.9676000000000001E-4</v>
      </c>
      <c r="D18">
        <f t="shared" si="0"/>
        <v>99.408398552554075</v>
      </c>
      <c r="E18">
        <f t="shared" si="1"/>
        <v>95.66735222758679</v>
      </c>
      <c r="G18" s="5">
        <v>8.9216700000000003E-4</v>
      </c>
      <c r="H18" s="5">
        <v>1.6263700000000001E-4</v>
      </c>
      <c r="I18" s="4">
        <f t="shared" si="2"/>
        <v>98.823533321222712</v>
      </c>
      <c r="J18" s="4">
        <f t="shared" si="3"/>
        <v>94.414773189053633</v>
      </c>
      <c r="L18" s="5">
        <v>7.4671199999999996E-4</v>
      </c>
      <c r="M18" s="5">
        <v>1.43666E-4</v>
      </c>
      <c r="N18" s="4">
        <f t="shared" si="4"/>
        <v>103.3199671241065</v>
      </c>
      <c r="O18" s="4">
        <f t="shared" si="5"/>
        <v>97.026386346905838</v>
      </c>
      <c r="Q18">
        <f t="shared" si="6"/>
        <v>9.4004966666666673E-4</v>
      </c>
      <c r="R18">
        <f t="shared" si="7"/>
        <v>1.6768766666666666E-4</v>
      </c>
      <c r="T18">
        <f t="shared" si="8"/>
        <v>100.51729966596109</v>
      </c>
      <c r="U18">
        <f t="shared" si="9"/>
        <v>95.70283725451543</v>
      </c>
      <c r="W18">
        <f t="shared" si="10"/>
        <v>1.9961171467652696</v>
      </c>
      <c r="X18">
        <f t="shared" si="11"/>
        <v>1.0664818210417482</v>
      </c>
    </row>
    <row r="19" spans="1:24" x14ac:dyDescent="0.2">
      <c r="A19">
        <v>105.572</v>
      </c>
      <c r="B19">
        <v>1.1808299999999999E-3</v>
      </c>
      <c r="C19">
        <v>1.95162E-4</v>
      </c>
      <c r="D19">
        <f t="shared" si="0"/>
        <v>99.371370865942936</v>
      </c>
      <c r="E19">
        <f t="shared" si="1"/>
        <v>94.890383184795141</v>
      </c>
      <c r="G19" s="5">
        <v>8.9225800000000005E-4</v>
      </c>
      <c r="H19" s="5">
        <v>1.6297999999999999E-4</v>
      </c>
      <c r="I19" s="4">
        <f t="shared" si="2"/>
        <v>98.833613207087396</v>
      </c>
      <c r="J19" s="4">
        <f t="shared" si="3"/>
        <v>94.613893113817639</v>
      </c>
      <c r="L19" s="5">
        <v>7.4898800000000002E-4</v>
      </c>
      <c r="M19" s="5">
        <v>1.43719E-4</v>
      </c>
      <c r="N19" s="4">
        <f t="shared" si="4"/>
        <v>103.63488940361248</v>
      </c>
      <c r="O19" s="4">
        <f t="shared" si="5"/>
        <v>97.062180469916058</v>
      </c>
      <c r="Q19">
        <f t="shared" si="6"/>
        <v>9.4069199999999992E-4</v>
      </c>
      <c r="R19">
        <f t="shared" si="7"/>
        <v>1.6728699999999999E-4</v>
      </c>
      <c r="T19">
        <f t="shared" si="8"/>
        <v>100.61329115888094</v>
      </c>
      <c r="U19">
        <f t="shared" si="9"/>
        <v>95.522152256176284</v>
      </c>
      <c r="W19">
        <f t="shared" si="10"/>
        <v>2.1478419850845625</v>
      </c>
      <c r="X19">
        <f t="shared" si="11"/>
        <v>1.0947988747324584</v>
      </c>
    </row>
    <row r="20" spans="1:24" x14ac:dyDescent="0.2">
      <c r="A20">
        <v>111.81699999999999</v>
      </c>
      <c r="B20">
        <v>1.18118E-3</v>
      </c>
      <c r="C20">
        <v>1.97457E-4</v>
      </c>
      <c r="D20">
        <f t="shared" si="0"/>
        <v>99.400824707565434</v>
      </c>
      <c r="E20">
        <f t="shared" si="1"/>
        <v>96.006242980293777</v>
      </c>
      <c r="G20" s="5">
        <v>8.9189200000000003E-4</v>
      </c>
      <c r="H20" s="5">
        <v>1.62998E-4</v>
      </c>
      <c r="I20" s="4">
        <f t="shared" si="2"/>
        <v>98.7930721276756</v>
      </c>
      <c r="J20" s="4">
        <f t="shared" si="3"/>
        <v>94.624342555933538</v>
      </c>
      <c r="L20" s="5">
        <v>7.5095000000000001E-4</v>
      </c>
      <c r="M20" s="5">
        <v>1.4346500000000001E-4</v>
      </c>
      <c r="N20" s="4">
        <f t="shared" si="4"/>
        <v>103.90636458480347</v>
      </c>
      <c r="O20" s="4">
        <f t="shared" si="5"/>
        <v>96.890638823791619</v>
      </c>
      <c r="Q20">
        <f t="shared" si="6"/>
        <v>9.4134066666666657E-4</v>
      </c>
      <c r="R20">
        <f t="shared" si="7"/>
        <v>1.6797333333333332E-4</v>
      </c>
      <c r="T20">
        <f t="shared" si="8"/>
        <v>100.70008714001483</v>
      </c>
      <c r="U20">
        <f t="shared" si="9"/>
        <v>95.840408120006316</v>
      </c>
      <c r="W20">
        <f t="shared" si="10"/>
        <v>2.2807165671210941</v>
      </c>
      <c r="X20">
        <f t="shared" si="11"/>
        <v>0.93261302946498625</v>
      </c>
    </row>
    <row r="21" spans="1:24" x14ac:dyDescent="0.2">
      <c r="A21">
        <v>117.977</v>
      </c>
      <c r="B21">
        <v>1.18118E-3</v>
      </c>
      <c r="C21">
        <v>1.9694499999999999E-4</v>
      </c>
      <c r="D21">
        <f t="shared" si="0"/>
        <v>99.400824707565434</v>
      </c>
      <c r="E21">
        <f t="shared" si="1"/>
        <v>95.757301710012598</v>
      </c>
      <c r="G21" s="5">
        <v>8.9326900000000003E-4</v>
      </c>
      <c r="H21" s="5">
        <v>1.6275999999999999E-4</v>
      </c>
      <c r="I21" s="4">
        <f t="shared" si="2"/>
        <v>98.945599631364175</v>
      </c>
      <c r="J21" s="4">
        <f t="shared" si="3"/>
        <v>94.486177710178907</v>
      </c>
      <c r="L21" s="5">
        <v>7.5238400000000004E-4</v>
      </c>
      <c r="M21" s="5">
        <v>1.43697E-4</v>
      </c>
      <c r="N21" s="4">
        <f t="shared" si="4"/>
        <v>104.10478222487886</v>
      </c>
      <c r="O21" s="4">
        <f t="shared" si="5"/>
        <v>97.047322532062765</v>
      </c>
      <c r="Q21">
        <f t="shared" si="6"/>
        <v>9.4227766666666669E-4</v>
      </c>
      <c r="R21">
        <f t="shared" si="7"/>
        <v>1.6780066666666668E-4</v>
      </c>
      <c r="T21">
        <f t="shared" si="8"/>
        <v>100.81706885460282</v>
      </c>
      <c r="U21">
        <f t="shared" si="9"/>
        <v>95.763600650751414</v>
      </c>
      <c r="W21">
        <f t="shared" si="10"/>
        <v>2.3321809351362481</v>
      </c>
      <c r="X21">
        <f t="shared" si="11"/>
        <v>1.0455924818514613</v>
      </c>
    </row>
    <row r="22" spans="1:24" x14ac:dyDescent="0.2">
      <c r="A22">
        <v>124.10599999999999</v>
      </c>
      <c r="B22">
        <v>1.18323E-3</v>
      </c>
      <c r="C22">
        <v>1.9733700000000001E-4</v>
      </c>
      <c r="D22">
        <f t="shared" si="0"/>
        <v>99.573340065639997</v>
      </c>
      <c r="E22">
        <f t="shared" si="1"/>
        <v>95.94789737007163</v>
      </c>
      <c r="G22" s="5">
        <v>8.9349500000000001E-4</v>
      </c>
      <c r="H22" s="5">
        <v>1.6163000000000001E-4</v>
      </c>
      <c r="I22" s="4">
        <f t="shared" si="2"/>
        <v>98.970633194061065</v>
      </c>
      <c r="J22" s="4">
        <f t="shared" si="3"/>
        <v>93.830184955125446</v>
      </c>
      <c r="L22" s="5">
        <v>7.5395200000000001E-4</v>
      </c>
      <c r="M22" s="5">
        <v>1.4346000000000001E-4</v>
      </c>
      <c r="N22" s="4">
        <f t="shared" si="4"/>
        <v>104.32174098334343</v>
      </c>
      <c r="O22" s="4">
        <f t="shared" si="5"/>
        <v>96.887262019734052</v>
      </c>
      <c r="Q22">
        <f t="shared" si="6"/>
        <v>9.4355899999999996E-4</v>
      </c>
      <c r="R22">
        <f t="shared" si="7"/>
        <v>1.6747566666666669E-4</v>
      </c>
      <c r="T22">
        <f t="shared" si="8"/>
        <v>100.95523808101484</v>
      </c>
      <c r="U22">
        <f t="shared" si="9"/>
        <v>95.555114781643724</v>
      </c>
      <c r="W22">
        <f t="shared" si="10"/>
        <v>2.3931597295628895</v>
      </c>
      <c r="X22">
        <f t="shared" si="11"/>
        <v>1.2785769866191334</v>
      </c>
    </row>
    <row r="23" spans="1:24" x14ac:dyDescent="0.2">
      <c r="A23">
        <v>130.37799999999999</v>
      </c>
      <c r="B23">
        <v>1.1850299999999999E-3</v>
      </c>
      <c r="C23">
        <v>1.96751E-4</v>
      </c>
      <c r="D23">
        <f t="shared" si="0"/>
        <v>99.724816965412771</v>
      </c>
      <c r="E23">
        <f t="shared" si="1"/>
        <v>95.662976306820127</v>
      </c>
      <c r="G23" s="5">
        <v>8.9436599999999995E-4</v>
      </c>
      <c r="H23" s="5">
        <v>1.62671E-4</v>
      </c>
      <c r="I23" s="4">
        <f t="shared" si="2"/>
        <v>99.067112101622968</v>
      </c>
      <c r="J23" s="4">
        <f t="shared" si="3"/>
        <v>94.434511024161424</v>
      </c>
      <c r="L23" s="5">
        <v>7.5685900000000003E-4</v>
      </c>
      <c r="M23" s="5">
        <v>1.4400400000000001E-4</v>
      </c>
      <c r="N23" s="4">
        <f t="shared" si="4"/>
        <v>104.72397255914478</v>
      </c>
      <c r="O23" s="4">
        <f t="shared" si="5"/>
        <v>97.254658301197423</v>
      </c>
      <c r="Q23">
        <f t="shared" si="6"/>
        <v>9.4541833333333322E-4</v>
      </c>
      <c r="R23">
        <f t="shared" si="7"/>
        <v>1.6780866666666664E-4</v>
      </c>
      <c r="T23">
        <f t="shared" si="8"/>
        <v>101.17196720872683</v>
      </c>
      <c r="U23">
        <f t="shared" si="9"/>
        <v>95.784048544059658</v>
      </c>
      <c r="W23">
        <f t="shared" si="10"/>
        <v>2.5259586205388058</v>
      </c>
      <c r="X23">
        <f t="shared" si="11"/>
        <v>1.1544988901441264</v>
      </c>
    </row>
    <row r="24" spans="1:24" x14ac:dyDescent="0.2">
      <c r="A24">
        <v>136.60400000000001</v>
      </c>
      <c r="B24">
        <v>1.1872E-3</v>
      </c>
      <c r="C24">
        <v>1.9626800000000001E-4</v>
      </c>
      <c r="D24">
        <f t="shared" si="0"/>
        <v>99.907430783472179</v>
      </c>
      <c r="E24">
        <f t="shared" si="1"/>
        <v>95.428135225675973</v>
      </c>
      <c r="G24" s="5">
        <v>8.95574E-4</v>
      </c>
      <c r="H24" s="5">
        <v>1.6255999999999999E-4</v>
      </c>
      <c r="I24" s="4">
        <f t="shared" si="2"/>
        <v>99.200919817277153</v>
      </c>
      <c r="J24" s="4">
        <f t="shared" si="3"/>
        <v>94.370072797780068</v>
      </c>
      <c r="L24" s="5">
        <v>7.5937499999999996E-4</v>
      </c>
      <c r="M24" s="5">
        <v>1.4398199999999999E-4</v>
      </c>
      <c r="N24" s="4">
        <f t="shared" si="4"/>
        <v>105.07210281188513</v>
      </c>
      <c r="O24" s="4">
        <f t="shared" si="5"/>
        <v>97.239800363344102</v>
      </c>
      <c r="Q24">
        <f t="shared" si="6"/>
        <v>9.4738299999999999E-4</v>
      </c>
      <c r="R24">
        <f t="shared" si="7"/>
        <v>1.6760333333333335E-4</v>
      </c>
      <c r="T24">
        <f t="shared" si="8"/>
        <v>101.39348447087815</v>
      </c>
      <c r="U24">
        <f t="shared" si="9"/>
        <v>95.679336128933372</v>
      </c>
      <c r="W24">
        <f t="shared" si="10"/>
        <v>2.6171185313155823</v>
      </c>
      <c r="X24">
        <f t="shared" si="11"/>
        <v>1.1849502086550647</v>
      </c>
    </row>
    <row r="25" spans="1:24" x14ac:dyDescent="0.2">
      <c r="A25">
        <v>142.80099999999999</v>
      </c>
      <c r="B25">
        <v>1.188E-3</v>
      </c>
      <c r="C25">
        <v>1.9742699999999999E-4</v>
      </c>
      <c r="D25">
        <f t="shared" si="0"/>
        <v>99.974753850037885</v>
      </c>
      <c r="E25">
        <f t="shared" si="1"/>
        <v>95.99165657773824</v>
      </c>
      <c r="G25" s="5">
        <v>8.9765400000000001E-4</v>
      </c>
      <c r="H25" s="5">
        <v>1.6232200000000001E-4</v>
      </c>
      <c r="I25" s="4">
        <f t="shared" si="2"/>
        <v>99.431317208469778</v>
      </c>
      <c r="J25" s="4">
        <f t="shared" si="3"/>
        <v>94.231907952025452</v>
      </c>
      <c r="L25" s="5">
        <v>7.6165399999999996E-4</v>
      </c>
      <c r="M25" s="5">
        <v>1.44067E-4</v>
      </c>
      <c r="N25" s="4">
        <f t="shared" si="4"/>
        <v>105.38744019105653</v>
      </c>
      <c r="O25" s="4">
        <f t="shared" si="5"/>
        <v>97.297206032322777</v>
      </c>
      <c r="Q25">
        <f t="shared" si="6"/>
        <v>9.491026666666667E-4</v>
      </c>
      <c r="R25">
        <f t="shared" si="7"/>
        <v>1.6793866666666669E-4</v>
      </c>
      <c r="T25">
        <f t="shared" si="8"/>
        <v>101.59783708318805</v>
      </c>
      <c r="U25">
        <f t="shared" si="9"/>
        <v>95.840256854028823</v>
      </c>
      <c r="W25">
        <f t="shared" si="10"/>
        <v>2.6888224972063441</v>
      </c>
      <c r="X25">
        <f t="shared" si="11"/>
        <v>1.255973589829309</v>
      </c>
    </row>
    <row r="26" spans="1:24" x14ac:dyDescent="0.2">
      <c r="A26">
        <v>148.94900000000001</v>
      </c>
      <c r="B26">
        <v>1.18957E-3</v>
      </c>
      <c r="C26">
        <v>1.9723200000000001E-4</v>
      </c>
      <c r="D26">
        <f t="shared" si="0"/>
        <v>100.10687536817302</v>
      </c>
      <c r="E26">
        <f t="shared" si="1"/>
        <v>95.896844961127243</v>
      </c>
      <c r="G26" s="5">
        <v>8.9864100000000004E-4</v>
      </c>
      <c r="H26" s="5">
        <v>1.6275099999999999E-4</v>
      </c>
      <c r="I26" s="4">
        <f t="shared" si="2"/>
        <v>99.540645201309729</v>
      </c>
      <c r="J26" s="4">
        <f t="shared" si="3"/>
        <v>94.480952989120965</v>
      </c>
      <c r="L26" s="5">
        <v>7.6375200000000003E-4</v>
      </c>
      <c r="M26" s="5">
        <v>1.44618E-4</v>
      </c>
      <c r="N26" s="4">
        <f t="shared" si="4"/>
        <v>105.67773322374703</v>
      </c>
      <c r="O26" s="4">
        <f t="shared" si="5"/>
        <v>97.669329839466741</v>
      </c>
      <c r="Q26">
        <f t="shared" si="6"/>
        <v>9.5065433333333326E-4</v>
      </c>
      <c r="R26">
        <f t="shared" si="7"/>
        <v>1.6820033333333334E-4</v>
      </c>
      <c r="T26">
        <f t="shared" si="8"/>
        <v>101.77508459774326</v>
      </c>
      <c r="U26">
        <f t="shared" si="9"/>
        <v>96.015709263238321</v>
      </c>
      <c r="W26">
        <f t="shared" si="10"/>
        <v>2.7692542767567501</v>
      </c>
      <c r="X26">
        <f t="shared" si="11"/>
        <v>1.3043601948062447</v>
      </c>
    </row>
    <row r="27" spans="1:24" x14ac:dyDescent="0.2">
      <c r="A27">
        <v>155.233</v>
      </c>
      <c r="B27">
        <v>1.19173E-3</v>
      </c>
      <c r="C27">
        <v>1.9659899999999999E-4</v>
      </c>
      <c r="D27">
        <f t="shared" si="0"/>
        <v>100.28864764790035</v>
      </c>
      <c r="E27">
        <f t="shared" si="1"/>
        <v>95.589071867205391</v>
      </c>
      <c r="G27" s="5">
        <v>9.0052299999999997E-4</v>
      </c>
      <c r="H27" s="5">
        <v>1.6300599999999999E-4</v>
      </c>
      <c r="I27" s="4">
        <f t="shared" si="2"/>
        <v>99.749110533148425</v>
      </c>
      <c r="J27" s="4">
        <f t="shared" si="3"/>
        <v>94.628986752429483</v>
      </c>
      <c r="L27" s="5">
        <v>7.6708099999999997E-4</v>
      </c>
      <c r="M27" s="5">
        <v>1.4472500000000001E-4</v>
      </c>
      <c r="N27" s="4">
        <f t="shared" si="4"/>
        <v>106.13835548581881</v>
      </c>
      <c r="O27" s="4">
        <f t="shared" si="5"/>
        <v>97.741593446298694</v>
      </c>
      <c r="Q27">
        <f t="shared" si="6"/>
        <v>9.5311133333333324E-4</v>
      </c>
      <c r="R27">
        <f t="shared" si="7"/>
        <v>1.6810999999999999E-4</v>
      </c>
      <c r="T27">
        <f t="shared" si="8"/>
        <v>102.05870455562253</v>
      </c>
      <c r="U27">
        <f t="shared" si="9"/>
        <v>95.986550688644513</v>
      </c>
      <c r="W27">
        <f t="shared" si="10"/>
        <v>2.8931457917795105</v>
      </c>
      <c r="X27">
        <f t="shared" si="11"/>
        <v>1.3014279766982459</v>
      </c>
    </row>
    <row r="28" spans="1:24" x14ac:dyDescent="0.2">
      <c r="A28">
        <v>161.44499999999999</v>
      </c>
      <c r="B28">
        <v>1.1934700000000001E-3</v>
      </c>
      <c r="C28">
        <v>1.9784199999999999E-4</v>
      </c>
      <c r="D28">
        <f t="shared" si="0"/>
        <v>100.43507531768073</v>
      </c>
      <c r="E28">
        <f t="shared" si="1"/>
        <v>96.19343514642317</v>
      </c>
      <c r="G28" s="5">
        <v>9.02625E-4</v>
      </c>
      <c r="H28" s="5">
        <v>1.6285299999999999E-4</v>
      </c>
      <c r="I28" s="4">
        <f t="shared" si="2"/>
        <v>99.981944819824804</v>
      </c>
      <c r="J28" s="4">
        <f t="shared" si="3"/>
        <v>94.540166494444378</v>
      </c>
      <c r="L28" s="5">
        <v>7.6960600000000004E-4</v>
      </c>
      <c r="M28" s="5">
        <v>1.44788E-4</v>
      </c>
      <c r="N28" s="4">
        <f t="shared" si="4"/>
        <v>106.48773103755545</v>
      </c>
      <c r="O28" s="4">
        <f t="shared" si="5"/>
        <v>97.784141177424047</v>
      </c>
      <c r="Q28">
        <f t="shared" si="6"/>
        <v>9.5523366666666663E-4</v>
      </c>
      <c r="R28">
        <f t="shared" si="7"/>
        <v>1.6849433333333331E-4</v>
      </c>
      <c r="T28">
        <f t="shared" si="8"/>
        <v>102.30158372502031</v>
      </c>
      <c r="U28">
        <f t="shared" si="9"/>
        <v>96.172580939430532</v>
      </c>
      <c r="W28">
        <f t="shared" si="10"/>
        <v>2.9658280242011741</v>
      </c>
      <c r="X28">
        <f t="shared" si="11"/>
        <v>1.3244292127592749</v>
      </c>
    </row>
    <row r="29" spans="1:24" x14ac:dyDescent="0.2">
      <c r="A29">
        <v>167.59</v>
      </c>
      <c r="B29">
        <v>1.19582E-3</v>
      </c>
      <c r="C29">
        <v>1.9765200000000001E-4</v>
      </c>
      <c r="D29">
        <f t="shared" si="0"/>
        <v>100.63283682571742</v>
      </c>
      <c r="E29">
        <f t="shared" si="1"/>
        <v>96.101054596904774</v>
      </c>
      <c r="G29" s="5">
        <v>9.0510899999999997E-4</v>
      </c>
      <c r="H29" s="5">
        <v>1.6295400000000001E-4</v>
      </c>
      <c r="I29" s="4">
        <f t="shared" si="2"/>
        <v>100.25709247353754</v>
      </c>
      <c r="J29" s="4">
        <f t="shared" si="3"/>
        <v>94.598799475205794</v>
      </c>
      <c r="L29" s="5">
        <v>7.7227600000000002E-4</v>
      </c>
      <c r="M29" s="5">
        <v>1.4482199999999999E-4</v>
      </c>
      <c r="N29" s="4">
        <f t="shared" si="4"/>
        <v>106.85716973978785</v>
      </c>
      <c r="O29" s="4">
        <f t="shared" si="5"/>
        <v>97.8071034450155</v>
      </c>
      <c r="Q29">
        <f t="shared" si="6"/>
        <v>9.5773500000000003E-4</v>
      </c>
      <c r="R29">
        <f t="shared" si="7"/>
        <v>1.68476E-4</v>
      </c>
      <c r="T29">
        <f t="shared" si="8"/>
        <v>102.58236634634761</v>
      </c>
      <c r="U29">
        <f t="shared" si="9"/>
        <v>96.168985839042023</v>
      </c>
      <c r="W29">
        <f t="shared" si="10"/>
        <v>3.0266322311523033</v>
      </c>
      <c r="X29">
        <f t="shared" si="11"/>
        <v>1.3106651189168324</v>
      </c>
    </row>
    <row r="30" spans="1:24" x14ac:dyDescent="0.2">
      <c r="A30">
        <v>173.74799999999999</v>
      </c>
      <c r="B30">
        <v>1.19721E-3</v>
      </c>
      <c r="C30">
        <v>1.9714900000000001E-4</v>
      </c>
      <c r="D30">
        <f t="shared" si="0"/>
        <v>100.7498106538753</v>
      </c>
      <c r="E30">
        <f t="shared" si="1"/>
        <v>95.856489247390257</v>
      </c>
      <c r="G30" s="5">
        <v>9.0814300000000004E-4</v>
      </c>
      <c r="H30" s="5">
        <v>1.63437E-4</v>
      </c>
      <c r="I30" s="4">
        <f t="shared" si="2"/>
        <v>100.59316251434447</v>
      </c>
      <c r="J30" s="4">
        <f t="shared" si="3"/>
        <v>94.879192838649004</v>
      </c>
      <c r="L30" s="5">
        <v>7.7583199999999995E-4</v>
      </c>
      <c r="M30" s="5">
        <v>1.4628500000000001E-4</v>
      </c>
      <c r="N30" s="4">
        <f t="shared" si="4"/>
        <v>107.34920120987714</v>
      </c>
      <c r="O30" s="4">
        <f t="shared" si="5"/>
        <v>98.795156312259834</v>
      </c>
      <c r="Q30">
        <f t="shared" si="6"/>
        <v>9.6039499999999985E-4</v>
      </c>
      <c r="R30">
        <f t="shared" si="7"/>
        <v>1.6895699999999999E-4</v>
      </c>
      <c r="T30">
        <f t="shared" si="8"/>
        <v>102.89739145936564</v>
      </c>
      <c r="U30">
        <f t="shared" si="9"/>
        <v>96.510279466099703</v>
      </c>
      <c r="W30">
        <f t="shared" si="10"/>
        <v>3.1485543985525135</v>
      </c>
      <c r="X30">
        <f t="shared" si="11"/>
        <v>1.6641862314103457</v>
      </c>
    </row>
    <row r="31" spans="1:24" x14ac:dyDescent="0.2">
      <c r="A31">
        <v>179.999</v>
      </c>
      <c r="B31">
        <v>1.1991899999999999E-3</v>
      </c>
      <c r="C31">
        <v>1.97717E-4</v>
      </c>
      <c r="D31">
        <f t="shared" si="0"/>
        <v>100.91643524362534</v>
      </c>
      <c r="E31">
        <f t="shared" si="1"/>
        <v>96.132658469108435</v>
      </c>
      <c r="G31" s="5">
        <v>9.1017799999999999E-4</v>
      </c>
      <c r="H31" s="5">
        <v>1.6366800000000001E-4</v>
      </c>
      <c r="I31" s="4">
        <f t="shared" si="2"/>
        <v>100.81857534659299</v>
      </c>
      <c r="J31" s="4">
        <f t="shared" si="3"/>
        <v>95.013294012469672</v>
      </c>
      <c r="L31" s="5">
        <v>7.8045199999999995E-4</v>
      </c>
      <c r="M31" s="5">
        <v>1.4599799999999999E-4</v>
      </c>
      <c r="N31" s="4">
        <f t="shared" si="4"/>
        <v>107.98845469463885</v>
      </c>
      <c r="O31" s="4">
        <f t="shared" si="5"/>
        <v>98.601327759355442</v>
      </c>
      <c r="Q31">
        <f t="shared" si="6"/>
        <v>9.6327333333333333E-4</v>
      </c>
      <c r="R31">
        <f t="shared" si="7"/>
        <v>1.6912766666666665E-4</v>
      </c>
      <c r="T31">
        <f t="shared" si="8"/>
        <v>103.24115509495239</v>
      </c>
      <c r="U31">
        <f t="shared" si="9"/>
        <v>96.582426746977845</v>
      </c>
      <c r="W31">
        <f t="shared" si="10"/>
        <v>3.3570854677581226</v>
      </c>
      <c r="X31">
        <f t="shared" si="11"/>
        <v>1.4989363273181417</v>
      </c>
    </row>
    <row r="32" spans="1:24" x14ac:dyDescent="0.2">
      <c r="A32">
        <v>193.20699999999999</v>
      </c>
      <c r="B32">
        <v>3.3295999999999999E-6</v>
      </c>
      <c r="C32">
        <v>2.9575999999999999E-5</v>
      </c>
      <c r="D32">
        <f t="shared" si="0"/>
        <v>0.28019860304636873</v>
      </c>
      <c r="E32">
        <f t="shared" si="1"/>
        <v>14.380248066086128</v>
      </c>
      <c r="G32" s="5">
        <v>5.4770700000000001E-6</v>
      </c>
      <c r="H32" s="5">
        <v>2.73651E-5</v>
      </c>
      <c r="I32" s="4">
        <f t="shared" si="2"/>
        <v>0.60668396124006974</v>
      </c>
      <c r="J32" s="4">
        <f t="shared" si="3"/>
        <v>15.886112691427973</v>
      </c>
      <c r="L32" s="5">
        <v>7.9867299999999997E-6</v>
      </c>
      <c r="M32" s="5">
        <v>2.7548200000000002E-5</v>
      </c>
      <c r="N32" s="4">
        <f t="shared" si="4"/>
        <v>1.1050963169590351</v>
      </c>
      <c r="O32" s="4">
        <f t="shared" si="5"/>
        <v>18.604974707737611</v>
      </c>
      <c r="Q32">
        <f t="shared" si="6"/>
        <v>5.5978E-6</v>
      </c>
      <c r="R32">
        <f t="shared" si="7"/>
        <v>2.8163100000000001E-5</v>
      </c>
      <c r="T32">
        <f t="shared" si="8"/>
        <v>0.66399296041515787</v>
      </c>
      <c r="U32">
        <f t="shared" si="9"/>
        <v>16.290445155083905</v>
      </c>
      <c r="W32">
        <f t="shared" si="10"/>
        <v>0.33919247303404154</v>
      </c>
      <c r="X32">
        <f t="shared" si="11"/>
        <v>1.748273883014249</v>
      </c>
    </row>
    <row r="33" spans="1:24" x14ac:dyDescent="0.2">
      <c r="A33">
        <v>199.40899999999999</v>
      </c>
      <c r="B33">
        <v>3.29249E-6</v>
      </c>
      <c r="C33">
        <v>2.9206299999999999E-5</v>
      </c>
      <c r="D33">
        <f t="shared" si="0"/>
        <v>0.27707565429605319</v>
      </c>
      <c r="E33">
        <f t="shared" si="1"/>
        <v>14.200494965260052</v>
      </c>
      <c r="G33" s="5">
        <v>5.3113700000000001E-6</v>
      </c>
      <c r="H33" s="5">
        <v>2.6905499999999998E-5</v>
      </c>
      <c r="I33" s="4">
        <f t="shared" si="2"/>
        <v>0.58832970752823477</v>
      </c>
      <c r="J33" s="4">
        <f t="shared" si="3"/>
        <v>15.61930360273543</v>
      </c>
      <c r="L33" s="5">
        <v>7.73578E-6</v>
      </c>
      <c r="M33" s="5">
        <v>2.6735899999999999E-5</v>
      </c>
      <c r="N33" s="4">
        <f t="shared" si="4"/>
        <v>1.0703732299458433</v>
      </c>
      <c r="O33" s="4">
        <f t="shared" si="5"/>
        <v>18.056379120545152</v>
      </c>
      <c r="Q33">
        <f t="shared" si="6"/>
        <v>5.4465466666666657E-6</v>
      </c>
      <c r="R33">
        <f t="shared" si="7"/>
        <v>2.7615899999999998E-5</v>
      </c>
      <c r="T33">
        <f t="shared" si="8"/>
        <v>0.64525953059004371</v>
      </c>
      <c r="U33">
        <f t="shared" si="9"/>
        <v>15.958725896180212</v>
      </c>
      <c r="W33">
        <f t="shared" si="10"/>
        <v>0.3263546276147522</v>
      </c>
      <c r="X33">
        <f t="shared" si="11"/>
        <v>1.5923496841063018</v>
      </c>
    </row>
    <row r="34" spans="1:24" x14ac:dyDescent="0.2">
      <c r="A34">
        <v>205.65700000000001</v>
      </c>
      <c r="B34">
        <v>3.23215E-6</v>
      </c>
      <c r="C34">
        <v>2.87788E-5</v>
      </c>
      <c r="D34">
        <f t="shared" si="0"/>
        <v>0.27199781200033663</v>
      </c>
      <c r="E34">
        <f t="shared" si="1"/>
        <v>13.992638728843639</v>
      </c>
      <c r="G34" s="5">
        <v>5.1385E-6</v>
      </c>
      <c r="H34" s="5">
        <v>2.64645E-5</v>
      </c>
      <c r="I34" s="4">
        <f t="shared" si="2"/>
        <v>0.5691812474246446</v>
      </c>
      <c r="J34" s="4">
        <f t="shared" si="3"/>
        <v>15.363292270895981</v>
      </c>
      <c r="L34" s="5">
        <v>7.4388900000000002E-6</v>
      </c>
      <c r="M34" s="5">
        <v>2.5997299999999999E-5</v>
      </c>
      <c r="N34" s="4">
        <f t="shared" si="4"/>
        <v>1.0292935833893717</v>
      </c>
      <c r="O34" s="4">
        <f t="shared" si="5"/>
        <v>17.557557625161245</v>
      </c>
      <c r="Q34">
        <f t="shared" si="6"/>
        <v>5.269846666666667E-6</v>
      </c>
      <c r="R34">
        <f t="shared" si="7"/>
        <v>2.7080200000000002E-5</v>
      </c>
      <c r="T34">
        <f t="shared" si="8"/>
        <v>0.62349088093811766</v>
      </c>
      <c r="U34">
        <f t="shared" si="9"/>
        <v>15.637829541633621</v>
      </c>
      <c r="W34">
        <f t="shared" si="10"/>
        <v>0.311540659262109</v>
      </c>
      <c r="X34">
        <f t="shared" si="11"/>
        <v>1.4682619473601293</v>
      </c>
    </row>
    <row r="35" spans="1:24" x14ac:dyDescent="0.2">
      <c r="A35">
        <v>211.864</v>
      </c>
      <c r="B35">
        <v>3.1810799999999998E-6</v>
      </c>
      <c r="C35">
        <v>2.84313E-5</v>
      </c>
      <c r="D35">
        <f t="shared" si="0"/>
        <v>0.26770007573844984</v>
      </c>
      <c r="E35">
        <f t="shared" si="1"/>
        <v>13.823679565908661</v>
      </c>
      <c r="G35" s="5">
        <v>4.9895100000000001E-6</v>
      </c>
      <c r="H35" s="5">
        <v>2.6121700000000001E-5</v>
      </c>
      <c r="I35" s="4">
        <f t="shared" si="2"/>
        <v>0.55267792660070814</v>
      </c>
      <c r="J35" s="4">
        <f t="shared" si="3"/>
        <v>15.164288451044364</v>
      </c>
      <c r="L35" s="5">
        <v>7.21164E-6</v>
      </c>
      <c r="M35" s="5">
        <v>2.55417E-5</v>
      </c>
      <c r="N35" s="4">
        <f t="shared" si="4"/>
        <v>0.9978497837330742</v>
      </c>
      <c r="O35" s="4">
        <f t="shared" si="5"/>
        <v>17.249863239435669</v>
      </c>
      <c r="Q35">
        <f t="shared" si="6"/>
        <v>5.1274099999999992E-6</v>
      </c>
      <c r="R35">
        <f t="shared" si="7"/>
        <v>2.6698233333333335E-5</v>
      </c>
      <c r="T35">
        <f t="shared" si="8"/>
        <v>0.60607592869074411</v>
      </c>
      <c r="U35">
        <f t="shared" si="9"/>
        <v>15.412610418796232</v>
      </c>
      <c r="W35">
        <f t="shared" si="10"/>
        <v>0.30046426186993169</v>
      </c>
      <c r="X35">
        <f t="shared" si="11"/>
        <v>1.4097119069599235</v>
      </c>
    </row>
    <row r="36" spans="1:24" x14ac:dyDescent="0.2">
      <c r="A36">
        <v>217.958</v>
      </c>
      <c r="B36">
        <v>3.12564E-6</v>
      </c>
      <c r="C36">
        <v>2.8101100000000001E-5</v>
      </c>
      <c r="D36">
        <f t="shared" si="0"/>
        <v>0.26303458722544815</v>
      </c>
      <c r="E36">
        <f t="shared" si="1"/>
        <v>13.663131895114041</v>
      </c>
      <c r="G36" s="5">
        <v>4.85673E-6</v>
      </c>
      <c r="H36" s="5">
        <v>2.57904E-5</v>
      </c>
      <c r="I36" s="4">
        <f t="shared" si="2"/>
        <v>0.53797015467640241</v>
      </c>
      <c r="J36" s="4">
        <f t="shared" si="3"/>
        <v>14.971960663655679</v>
      </c>
      <c r="L36" s="5">
        <v>6.9983399999999998E-6</v>
      </c>
      <c r="M36" s="5">
        <v>2.5151400000000001E-5</v>
      </c>
      <c r="N36" s="4">
        <f t="shared" si="4"/>
        <v>0.96833619752102473</v>
      </c>
      <c r="O36" s="4">
        <f t="shared" si="5"/>
        <v>16.986269914701932</v>
      </c>
      <c r="Q36">
        <f t="shared" si="6"/>
        <v>4.9935699999999995E-6</v>
      </c>
      <c r="R36">
        <f t="shared" si="7"/>
        <v>2.6347633333333335E-5</v>
      </c>
      <c r="T36">
        <f t="shared" si="8"/>
        <v>0.58978031314095836</v>
      </c>
      <c r="U36">
        <f t="shared" si="9"/>
        <v>15.20712082449055</v>
      </c>
      <c r="W36">
        <f t="shared" si="10"/>
        <v>0.29025943540388743</v>
      </c>
      <c r="X36">
        <f t="shared" si="11"/>
        <v>1.366817910389077</v>
      </c>
    </row>
    <row r="37" spans="1:24" x14ac:dyDescent="0.2">
      <c r="A37">
        <v>224.30799999999999</v>
      </c>
      <c r="B37">
        <v>3.0987500000000002E-6</v>
      </c>
      <c r="C37">
        <v>2.7827500000000001E-5</v>
      </c>
      <c r="D37">
        <f t="shared" si="0"/>
        <v>0.26077169065050915</v>
      </c>
      <c r="E37">
        <f t="shared" si="1"/>
        <v>13.530103903807539</v>
      </c>
      <c r="G37" s="5">
        <v>4.7342000000000003E-6</v>
      </c>
      <c r="H37" s="5">
        <v>2.5488000000000001E-5</v>
      </c>
      <c r="I37" s="4">
        <f t="shared" si="2"/>
        <v>0.52439775451157977</v>
      </c>
      <c r="J37" s="4">
        <f t="shared" si="3"/>
        <v>14.796410036108629</v>
      </c>
      <c r="L37" s="5">
        <v>6.8307700000000003E-6</v>
      </c>
      <c r="M37" s="5">
        <v>2.4814400000000001E-5</v>
      </c>
      <c r="N37" s="4">
        <f t="shared" si="4"/>
        <v>0.94515011387567482</v>
      </c>
      <c r="O37" s="4">
        <f t="shared" si="5"/>
        <v>16.758673321221863</v>
      </c>
      <c r="Q37">
        <f t="shared" si="6"/>
        <v>4.8879066666666671E-6</v>
      </c>
      <c r="R37">
        <f t="shared" si="7"/>
        <v>2.6043300000000002E-5</v>
      </c>
      <c r="T37">
        <f t="shared" si="8"/>
        <v>0.57677318634592123</v>
      </c>
      <c r="U37">
        <f t="shared" si="9"/>
        <v>15.028395753712678</v>
      </c>
      <c r="W37">
        <f t="shared" si="10"/>
        <v>0.28184019814889927</v>
      </c>
      <c r="X37">
        <f t="shared" si="11"/>
        <v>1.3282264241323127</v>
      </c>
    </row>
    <row r="38" spans="1:24" x14ac:dyDescent="0.2">
      <c r="A38">
        <v>230.453</v>
      </c>
      <c r="B38">
        <v>3.0615100000000001E-6</v>
      </c>
      <c r="C38">
        <v>2.7555700000000001E-5</v>
      </c>
      <c r="D38">
        <f t="shared" si="0"/>
        <v>0.25763780190187663</v>
      </c>
      <c r="E38">
        <f t="shared" si="1"/>
        <v>13.397951096654367</v>
      </c>
      <c r="G38" s="5">
        <v>4.6406500000000002E-6</v>
      </c>
      <c r="H38" s="5">
        <v>2.5242300000000001E-5</v>
      </c>
      <c r="I38" s="4">
        <f t="shared" si="2"/>
        <v>0.51403541030673872</v>
      </c>
      <c r="J38" s="4">
        <f t="shared" si="3"/>
        <v>14.653775151226647</v>
      </c>
      <c r="L38" s="5">
        <v>6.6537999999999997E-6</v>
      </c>
      <c r="M38" s="5">
        <v>2.4478199999999999E-5</v>
      </c>
      <c r="N38" s="4">
        <f t="shared" si="4"/>
        <v>0.92066338461197861</v>
      </c>
      <c r="O38" s="4">
        <f t="shared" si="5"/>
        <v>16.531617016391007</v>
      </c>
      <c r="Q38">
        <f t="shared" si="6"/>
        <v>4.7853200000000003E-6</v>
      </c>
      <c r="R38">
        <f t="shared" si="7"/>
        <v>2.5758733333333331E-5</v>
      </c>
      <c r="T38">
        <f t="shared" si="8"/>
        <v>0.56411219894019793</v>
      </c>
      <c r="U38">
        <f t="shared" si="9"/>
        <v>14.861114421424006</v>
      </c>
      <c r="W38">
        <f t="shared" si="10"/>
        <v>0.27298534075648051</v>
      </c>
      <c r="X38">
        <f t="shared" si="11"/>
        <v>1.2876872559888652</v>
      </c>
    </row>
    <row r="39" spans="1:24" x14ac:dyDescent="0.2">
      <c r="A39">
        <v>236.73099999999999</v>
      </c>
      <c r="B39">
        <v>3.0454999999999999E-6</v>
      </c>
      <c r="C39">
        <v>2.73403E-5</v>
      </c>
      <c r="D39">
        <f t="shared" si="0"/>
        <v>0.25629049903223089</v>
      </c>
      <c r="E39">
        <f t="shared" si="1"/>
        <v>13.293220726305604</v>
      </c>
      <c r="G39" s="5">
        <v>4.5659800000000003E-6</v>
      </c>
      <c r="H39" s="5">
        <v>2.5112500000000001E-5</v>
      </c>
      <c r="I39" s="4">
        <f t="shared" si="2"/>
        <v>0.50576436549887682</v>
      </c>
      <c r="J39" s="4">
        <f t="shared" si="3"/>
        <v>14.578423063079798</v>
      </c>
      <c r="L39" s="5">
        <v>6.52691E-6</v>
      </c>
      <c r="M39" s="5">
        <v>2.4262700000000001E-5</v>
      </c>
      <c r="N39" s="4">
        <f t="shared" si="4"/>
        <v>0.90310605242985509</v>
      </c>
      <c r="O39" s="4">
        <f t="shared" si="5"/>
        <v>16.386076761509837</v>
      </c>
      <c r="Q39">
        <f t="shared" si="6"/>
        <v>4.7127966666666662E-6</v>
      </c>
      <c r="R39">
        <f t="shared" si="7"/>
        <v>2.5571833333333331E-5</v>
      </c>
      <c r="T39">
        <f t="shared" si="8"/>
        <v>0.55505363898698767</v>
      </c>
      <c r="U39">
        <f t="shared" si="9"/>
        <v>14.75257351696508</v>
      </c>
      <c r="W39">
        <f t="shared" si="10"/>
        <v>0.26635147755050786</v>
      </c>
      <c r="X39">
        <f t="shared" si="11"/>
        <v>1.2686438688789301</v>
      </c>
    </row>
    <row r="40" spans="1:24" x14ac:dyDescent="0.2">
      <c r="A40">
        <v>242.83</v>
      </c>
      <c r="B40">
        <v>3.00888E-6</v>
      </c>
      <c r="C40">
        <v>2.7150600000000001E-5</v>
      </c>
      <c r="D40">
        <f t="shared" si="0"/>
        <v>0.25320878566018679</v>
      </c>
      <c r="E40">
        <f t="shared" si="1"/>
        <v>13.200986040812756</v>
      </c>
      <c r="G40" s="5">
        <v>4.4966799999999999E-6</v>
      </c>
      <c r="H40" s="5">
        <v>2.4989200000000001E-5</v>
      </c>
      <c r="I40" s="4">
        <f t="shared" si="2"/>
        <v>0.4980881447250074</v>
      </c>
      <c r="J40" s="4">
        <f t="shared" si="3"/>
        <v>14.506844384585913</v>
      </c>
      <c r="L40" s="5">
        <v>6.3978099999999998E-6</v>
      </c>
      <c r="M40" s="5">
        <v>2.40893E-5</v>
      </c>
      <c r="N40" s="4">
        <f t="shared" si="4"/>
        <v>0.88524293016086497</v>
      </c>
      <c r="O40" s="4">
        <f t="shared" si="5"/>
        <v>16.268969196793385</v>
      </c>
      <c r="Q40">
        <f t="shared" si="6"/>
        <v>4.634456666666667E-6</v>
      </c>
      <c r="R40">
        <f t="shared" si="7"/>
        <v>2.5409699999999998E-5</v>
      </c>
      <c r="T40">
        <f t="shared" si="8"/>
        <v>0.54551328684868639</v>
      </c>
      <c r="U40">
        <f t="shared" si="9"/>
        <v>14.658933207397352</v>
      </c>
      <c r="W40">
        <f t="shared" si="10"/>
        <v>0.26019691009280432</v>
      </c>
      <c r="X40">
        <f t="shared" si="11"/>
        <v>1.2571073724662087</v>
      </c>
    </row>
    <row r="41" spans="1:24" x14ac:dyDescent="0.2">
      <c r="A41">
        <v>249.16</v>
      </c>
      <c r="B41">
        <v>2.9916700000000001E-6</v>
      </c>
      <c r="C41">
        <v>2.7002300000000001E-5</v>
      </c>
      <c r="D41">
        <f t="shared" si="0"/>
        <v>0.25176049819069263</v>
      </c>
      <c r="E41">
        <f t="shared" si="1"/>
        <v>13.128880590846547</v>
      </c>
      <c r="G41" s="5">
        <v>4.4319800000000004E-6</v>
      </c>
      <c r="H41" s="5">
        <v>2.48758E-5</v>
      </c>
      <c r="I41" s="4">
        <f t="shared" si="2"/>
        <v>0.49092145664319864</v>
      </c>
      <c r="J41" s="4">
        <f t="shared" si="3"/>
        <v>14.441012899255767</v>
      </c>
      <c r="L41" s="5">
        <v>6.2903900000000001E-6</v>
      </c>
      <c r="M41" s="5">
        <v>2.3949500000000002E-5</v>
      </c>
      <c r="N41" s="4">
        <f t="shared" si="4"/>
        <v>0.87037959480737981</v>
      </c>
      <c r="O41" s="4">
        <f t="shared" si="5"/>
        <v>16.174553755343794</v>
      </c>
      <c r="Q41">
        <f t="shared" si="6"/>
        <v>4.5713466666666669E-6</v>
      </c>
      <c r="R41">
        <f t="shared" si="7"/>
        <v>2.527586666666667E-5</v>
      </c>
      <c r="T41">
        <f t="shared" si="8"/>
        <v>0.53768718321375697</v>
      </c>
      <c r="U41">
        <f t="shared" si="9"/>
        <v>14.581482415148704</v>
      </c>
      <c r="W41">
        <f t="shared" si="10"/>
        <v>0.25470593706071543</v>
      </c>
      <c r="X41">
        <f t="shared" si="11"/>
        <v>1.2473518669314512</v>
      </c>
    </row>
    <row r="42" spans="1:24" x14ac:dyDescent="0.2">
      <c r="A42">
        <v>262.286</v>
      </c>
      <c r="B42">
        <v>7.7238199999999995E-4</v>
      </c>
      <c r="C42">
        <v>1.7034999999999999E-4</v>
      </c>
      <c r="D42">
        <f t="shared" si="0"/>
        <v>64.998906000168304</v>
      </c>
      <c r="E42">
        <f t="shared" si="1"/>
        <v>82.826455844528397</v>
      </c>
      <c r="G42" s="5">
        <v>5.0415900000000001E-4</v>
      </c>
      <c r="H42" s="5">
        <v>1.25766E-4</v>
      </c>
      <c r="I42" s="4">
        <f t="shared" si="2"/>
        <v>55.844672281864625</v>
      </c>
      <c r="J42" s="4">
        <f t="shared" si="3"/>
        <v>73.01025206376481</v>
      </c>
      <c r="L42" s="5">
        <v>4.3021900000000002E-4</v>
      </c>
      <c r="M42" s="5">
        <v>1.2070600000000001E-4</v>
      </c>
      <c r="N42" s="4">
        <f t="shared" si="4"/>
        <v>59.527920987162354</v>
      </c>
      <c r="O42" s="4">
        <f t="shared" si="5"/>
        <v>81.520102114554703</v>
      </c>
      <c r="Q42">
        <f t="shared" si="6"/>
        <v>5.6891999999999999E-4</v>
      </c>
      <c r="R42">
        <f t="shared" si="7"/>
        <v>1.3894066666666666E-4</v>
      </c>
      <c r="T42">
        <f t="shared" si="8"/>
        <v>60.123833089731761</v>
      </c>
      <c r="U42">
        <f t="shared" si="9"/>
        <v>79.118936674282637</v>
      </c>
      <c r="W42">
        <f t="shared" si="10"/>
        <v>3.7608804082575773</v>
      </c>
      <c r="X42">
        <f t="shared" si="11"/>
        <v>4.3522914095172931</v>
      </c>
    </row>
    <row r="43" spans="1:24" x14ac:dyDescent="0.2">
      <c r="A43">
        <v>268.49799999999999</v>
      </c>
      <c r="B43">
        <v>7.9070300000000002E-4</v>
      </c>
      <c r="C43">
        <v>1.6944700000000001E-4</v>
      </c>
      <c r="D43">
        <f t="shared" si="0"/>
        <v>66.54068837835564</v>
      </c>
      <c r="E43">
        <f t="shared" si="1"/>
        <v>82.387405127606712</v>
      </c>
      <c r="G43" s="5">
        <v>5.18798E-4</v>
      </c>
      <c r="H43" s="5">
        <v>1.21847E-4</v>
      </c>
      <c r="I43" s="4">
        <f t="shared" si="2"/>
        <v>57.466204690359199</v>
      </c>
      <c r="J43" s="4">
        <f t="shared" si="3"/>
        <v>70.73517630530948</v>
      </c>
      <c r="L43" s="5">
        <v>4.4330200000000002E-4</v>
      </c>
      <c r="M43" s="5">
        <v>1.1853000000000001E-4</v>
      </c>
      <c r="N43" s="4">
        <f t="shared" si="4"/>
        <v>61.338170628101139</v>
      </c>
      <c r="O43" s="4">
        <f t="shared" si="5"/>
        <v>80.050516988701219</v>
      </c>
      <c r="Q43">
        <f t="shared" si="6"/>
        <v>5.8426766666666672E-4</v>
      </c>
      <c r="R43">
        <f t="shared" si="7"/>
        <v>1.36608E-4</v>
      </c>
      <c r="T43">
        <f t="shared" si="8"/>
        <v>61.781687898938664</v>
      </c>
      <c r="U43">
        <f t="shared" si="9"/>
        <v>77.724366140539146</v>
      </c>
      <c r="W43">
        <f t="shared" si="10"/>
        <v>3.7178931514211775</v>
      </c>
      <c r="X43">
        <f t="shared" si="11"/>
        <v>5.0333449751364796</v>
      </c>
    </row>
    <row r="44" spans="1:24" x14ac:dyDescent="0.2">
      <c r="A44">
        <v>274.608</v>
      </c>
      <c r="B44">
        <v>8.0311900000000003E-4</v>
      </c>
      <c r="C44">
        <v>1.6758699999999999E-4</v>
      </c>
      <c r="D44">
        <f t="shared" si="0"/>
        <v>67.58554237145502</v>
      </c>
      <c r="E44">
        <f t="shared" si="1"/>
        <v>81.483048169163368</v>
      </c>
      <c r="G44" s="5">
        <v>5.2641799999999996E-4</v>
      </c>
      <c r="H44" s="5">
        <v>1.21159E-4</v>
      </c>
      <c r="I44" s="4">
        <f t="shared" si="2"/>
        <v>58.31025667155523</v>
      </c>
      <c r="J44" s="4">
        <f t="shared" si="3"/>
        <v>70.335775406657447</v>
      </c>
      <c r="L44" s="5">
        <v>4.5237599999999999E-4</v>
      </c>
      <c r="M44" s="5">
        <v>1.15504E-4</v>
      </c>
      <c r="N44" s="4">
        <f t="shared" si="4"/>
        <v>62.593708749470743</v>
      </c>
      <c r="O44" s="4">
        <f t="shared" si="5"/>
        <v>78.006875173061204</v>
      </c>
      <c r="Q44">
        <f t="shared" si="6"/>
        <v>5.93971E-4</v>
      </c>
      <c r="R44">
        <f t="shared" si="7"/>
        <v>1.3475E-4</v>
      </c>
      <c r="T44">
        <f t="shared" si="8"/>
        <v>62.829835930826995</v>
      </c>
      <c r="U44">
        <f t="shared" si="9"/>
        <v>76.608566249627344</v>
      </c>
      <c r="W44">
        <f t="shared" si="10"/>
        <v>3.7902988657908248</v>
      </c>
      <c r="X44">
        <f t="shared" si="11"/>
        <v>4.657028623091672</v>
      </c>
    </row>
    <row r="45" spans="1:24" x14ac:dyDescent="0.2">
      <c r="A45">
        <v>280.779</v>
      </c>
      <c r="B45">
        <v>8.1012599999999999E-4</v>
      </c>
      <c r="C45">
        <v>1.63144E-4</v>
      </c>
      <c r="D45">
        <f t="shared" si="0"/>
        <v>68.175208280737181</v>
      </c>
      <c r="E45">
        <f t="shared" si="1"/>
        <v>79.322801950688245</v>
      </c>
      <c r="G45" s="5">
        <v>5.3231199999999995E-4</v>
      </c>
      <c r="H45" s="5">
        <v>1.1975400000000001E-4</v>
      </c>
      <c r="I45" s="4">
        <f t="shared" si="2"/>
        <v>58.96312312525199</v>
      </c>
      <c r="J45" s="4">
        <f t="shared" si="3"/>
        <v>69.52013839705559</v>
      </c>
      <c r="L45" s="5">
        <v>4.5890599999999997E-4</v>
      </c>
      <c r="M45" s="5">
        <v>1.1322199999999999E-4</v>
      </c>
      <c r="N45" s="4">
        <f t="shared" si="4"/>
        <v>63.497242354555993</v>
      </c>
      <c r="O45" s="4">
        <f t="shared" si="5"/>
        <v>76.465701801187279</v>
      </c>
      <c r="Q45">
        <f t="shared" si="6"/>
        <v>6.0044800000000006E-4</v>
      </c>
      <c r="R45">
        <f t="shared" si="7"/>
        <v>1.3204000000000002E-4</v>
      </c>
      <c r="T45">
        <f t="shared" si="8"/>
        <v>63.54519125351505</v>
      </c>
      <c r="U45">
        <f t="shared" si="9"/>
        <v>75.102880716310366</v>
      </c>
      <c r="W45">
        <f t="shared" si="10"/>
        <v>3.7609708454654096</v>
      </c>
      <c r="X45">
        <f t="shared" si="11"/>
        <v>4.1163101736440533</v>
      </c>
    </row>
    <row r="46" spans="1:24" x14ac:dyDescent="0.2">
      <c r="A46">
        <v>287.00099999999998</v>
      </c>
      <c r="B46">
        <v>8.16682E-4</v>
      </c>
      <c r="C46">
        <v>1.6185599999999999E-4</v>
      </c>
      <c r="D46">
        <f t="shared" si="0"/>
        <v>68.726920811242948</v>
      </c>
      <c r="E46">
        <f t="shared" si="1"/>
        <v>78.696559067637153</v>
      </c>
      <c r="G46" s="5">
        <v>5.3662000000000002E-4</v>
      </c>
      <c r="H46" s="5">
        <v>1.19595E-4</v>
      </c>
      <c r="I46" s="4">
        <f t="shared" si="2"/>
        <v>59.440311568164404</v>
      </c>
      <c r="J46" s="4">
        <f t="shared" si="3"/>
        <v>69.427834991698504</v>
      </c>
      <c r="L46" s="5">
        <v>4.64664E-4</v>
      </c>
      <c r="M46" s="5">
        <v>1.12323E-4</v>
      </c>
      <c r="N46" s="4">
        <f t="shared" si="4"/>
        <v>64.293956979070671</v>
      </c>
      <c r="O46" s="4">
        <f t="shared" si="5"/>
        <v>75.85855243163661</v>
      </c>
      <c r="Q46">
        <f t="shared" si="6"/>
        <v>6.0598866666666665E-4</v>
      </c>
      <c r="R46">
        <f t="shared" si="7"/>
        <v>1.3125800000000001E-4</v>
      </c>
      <c r="T46">
        <f t="shared" si="8"/>
        <v>64.153729786159332</v>
      </c>
      <c r="U46">
        <f t="shared" si="9"/>
        <v>74.660982163657422</v>
      </c>
      <c r="W46">
        <f t="shared" si="10"/>
        <v>3.7925387765657108</v>
      </c>
      <c r="X46">
        <f t="shared" si="11"/>
        <v>3.8775372260436991</v>
      </c>
    </row>
    <row r="47" spans="1:24" x14ac:dyDescent="0.2">
      <c r="A47">
        <v>293.27300000000002</v>
      </c>
      <c r="B47">
        <v>8.2167700000000004E-4</v>
      </c>
      <c r="C47">
        <v>1.615E-4</v>
      </c>
      <c r="D47">
        <f t="shared" si="0"/>
        <v>69.147269208112434</v>
      </c>
      <c r="E47">
        <f t="shared" si="1"/>
        <v>78.523467090644772</v>
      </c>
      <c r="G47" s="5">
        <v>5.4003700000000005E-4</v>
      </c>
      <c r="H47" s="5">
        <v>1.1903E-4</v>
      </c>
      <c r="I47" s="4">
        <f t="shared" si="2"/>
        <v>59.818805743984193</v>
      </c>
      <c r="J47" s="4">
        <f t="shared" si="3"/>
        <v>69.099838614171773</v>
      </c>
      <c r="L47" s="5">
        <v>4.6934100000000002E-4</v>
      </c>
      <c r="M47" s="5">
        <v>1.12021E-4</v>
      </c>
      <c r="N47" s="4">
        <f t="shared" si="4"/>
        <v>64.941097357475527</v>
      </c>
      <c r="O47" s="4">
        <f t="shared" si="5"/>
        <v>75.654593466559518</v>
      </c>
      <c r="Q47">
        <f t="shared" si="6"/>
        <v>6.1035166666666672E-4</v>
      </c>
      <c r="R47">
        <f t="shared" si="7"/>
        <v>1.3085033333333333E-4</v>
      </c>
      <c r="T47">
        <f t="shared" si="8"/>
        <v>64.635724103190725</v>
      </c>
      <c r="U47">
        <f t="shared" si="9"/>
        <v>74.425966390458697</v>
      </c>
      <c r="W47">
        <f t="shared" si="10"/>
        <v>3.8144459858733732</v>
      </c>
      <c r="X47">
        <f t="shared" si="11"/>
        <v>3.9440534804305294</v>
      </c>
    </row>
    <row r="48" spans="1:24" x14ac:dyDescent="0.2">
      <c r="A48">
        <v>299.46699999999998</v>
      </c>
      <c r="B48">
        <v>8.2529999999999995E-4</v>
      </c>
      <c r="C48">
        <v>1.6123900000000001E-4</v>
      </c>
      <c r="D48">
        <f t="shared" si="0"/>
        <v>69.45215854582176</v>
      </c>
      <c r="E48">
        <f t="shared" si="1"/>
        <v>78.396565388411602</v>
      </c>
      <c r="G48" s="5">
        <v>5.4274300000000004E-4</v>
      </c>
      <c r="H48" s="5">
        <v>1.1834E-4</v>
      </c>
      <c r="I48" s="4">
        <f t="shared" si="2"/>
        <v>60.118543888487672</v>
      </c>
      <c r="J48" s="4">
        <f t="shared" si="3"/>
        <v>68.699276666395747</v>
      </c>
      <c r="L48" s="5">
        <v>4.7315500000000001E-4</v>
      </c>
      <c r="M48" s="5">
        <v>1.11721E-4</v>
      </c>
      <c r="N48" s="4">
        <f t="shared" si="4"/>
        <v>65.468827398791788</v>
      </c>
      <c r="O48" s="4">
        <f t="shared" si="5"/>
        <v>75.451985223105439</v>
      </c>
      <c r="Q48">
        <f t="shared" si="6"/>
        <v>6.1373266666666672E-4</v>
      </c>
      <c r="R48">
        <f t="shared" si="7"/>
        <v>1.3043333333333335E-4</v>
      </c>
      <c r="T48">
        <f t="shared" si="8"/>
        <v>65.013176611033728</v>
      </c>
      <c r="U48">
        <f t="shared" si="9"/>
        <v>74.182609092637605</v>
      </c>
      <c r="W48">
        <f t="shared" si="10"/>
        <v>3.8240296262092279</v>
      </c>
      <c r="X48">
        <f t="shared" si="11"/>
        <v>4.0593791774921373</v>
      </c>
    </row>
    <row r="49" spans="1:24" x14ac:dyDescent="0.2">
      <c r="A49">
        <v>305.70800000000003</v>
      </c>
      <c r="B49">
        <v>8.27734E-4</v>
      </c>
      <c r="C49">
        <v>1.6216099999999999E-4</v>
      </c>
      <c r="D49">
        <f t="shared" si="0"/>
        <v>69.656988975847852</v>
      </c>
      <c r="E49">
        <f t="shared" si="1"/>
        <v>78.844854160285109</v>
      </c>
      <c r="G49" s="5">
        <v>5.4486699999999999E-4</v>
      </c>
      <c r="H49" s="5">
        <v>1.17971E-4</v>
      </c>
      <c r="I49" s="4">
        <f t="shared" si="2"/>
        <v>60.353815070647819</v>
      </c>
      <c r="J49" s="4">
        <f t="shared" si="3"/>
        <v>68.485063103019883</v>
      </c>
      <c r="L49" s="5">
        <v>4.7664000000000002E-4</v>
      </c>
      <c r="M49" s="5">
        <v>1.11776E-4</v>
      </c>
      <c r="N49" s="4">
        <f t="shared" si="4"/>
        <v>65.951034843465919</v>
      </c>
      <c r="O49" s="4">
        <f t="shared" si="5"/>
        <v>75.489130067738685</v>
      </c>
      <c r="Q49">
        <f t="shared" si="6"/>
        <v>6.1641366666666665E-4</v>
      </c>
      <c r="R49">
        <f t="shared" si="7"/>
        <v>1.30636E-4</v>
      </c>
      <c r="T49">
        <f t="shared" si="8"/>
        <v>65.320612963320528</v>
      </c>
      <c r="U49">
        <f t="shared" si="9"/>
        <v>74.273015777014564</v>
      </c>
      <c r="W49">
        <f t="shared" si="10"/>
        <v>3.8240759221737255</v>
      </c>
      <c r="X49">
        <f t="shared" si="11"/>
        <v>4.3159022358116292</v>
      </c>
    </row>
    <row r="50" spans="1:24" x14ac:dyDescent="0.2">
      <c r="A50">
        <v>311.89499999999998</v>
      </c>
      <c r="B50">
        <v>8.2890199999999996E-4</v>
      </c>
      <c r="C50">
        <v>1.6099199999999999E-4</v>
      </c>
      <c r="D50">
        <f t="shared" si="0"/>
        <v>69.755280653033751</v>
      </c>
      <c r="E50">
        <f t="shared" si="1"/>
        <v>78.276470674037654</v>
      </c>
      <c r="G50" s="5">
        <v>5.4770100000000005E-4</v>
      </c>
      <c r="H50" s="5">
        <v>1.17853E-4</v>
      </c>
      <c r="I50" s="4">
        <f t="shared" si="2"/>
        <v>60.667731516147761</v>
      </c>
      <c r="J50" s="4">
        <f t="shared" si="3"/>
        <v>68.416561204704578</v>
      </c>
      <c r="L50" s="5">
        <v>4.7978799999999998E-4</v>
      </c>
      <c r="M50" s="5">
        <v>1.1183699999999999E-4</v>
      </c>
      <c r="N50" s="4">
        <f t="shared" si="4"/>
        <v>66.386612759056774</v>
      </c>
      <c r="O50" s="4">
        <f t="shared" si="5"/>
        <v>75.530327077241012</v>
      </c>
      <c r="Q50">
        <f t="shared" si="6"/>
        <v>6.1879700000000003E-4</v>
      </c>
      <c r="R50">
        <f t="shared" si="7"/>
        <v>1.3022733333333333E-4</v>
      </c>
      <c r="T50">
        <f t="shared" si="8"/>
        <v>65.603208309412764</v>
      </c>
      <c r="U50">
        <f t="shared" si="9"/>
        <v>74.074452985327753</v>
      </c>
      <c r="W50">
        <f t="shared" si="10"/>
        <v>3.7511046575305298</v>
      </c>
      <c r="X50">
        <f t="shared" si="11"/>
        <v>4.1548470260238792</v>
      </c>
    </row>
    <row r="51" spans="1:24" x14ac:dyDescent="0.2">
      <c r="A51">
        <v>318.09899999999999</v>
      </c>
      <c r="B51">
        <v>8.3034000000000005E-4</v>
      </c>
      <c r="C51">
        <v>1.6110899999999999E-4</v>
      </c>
      <c r="D51">
        <f t="shared" si="0"/>
        <v>69.876293865185573</v>
      </c>
      <c r="E51">
        <f t="shared" si="1"/>
        <v>78.333357644004266</v>
      </c>
      <c r="G51" s="5">
        <v>5.50404E-4</v>
      </c>
      <c r="H51" s="5">
        <v>1.17886E-4</v>
      </c>
      <c r="I51" s="4">
        <f t="shared" si="2"/>
        <v>60.967137356721622</v>
      </c>
      <c r="J51" s="4">
        <f t="shared" si="3"/>
        <v>68.435718515250372</v>
      </c>
      <c r="L51" s="5">
        <v>4.8136099999999997E-4</v>
      </c>
      <c r="M51" s="5">
        <v>1.12402E-4</v>
      </c>
      <c r="N51" s="4">
        <f t="shared" si="4"/>
        <v>66.60426335029706</v>
      </c>
      <c r="O51" s="4">
        <f t="shared" si="5"/>
        <v>75.911905935746177</v>
      </c>
      <c r="Q51">
        <f t="shared" si="6"/>
        <v>6.2070166666666673E-4</v>
      </c>
      <c r="R51">
        <f t="shared" si="7"/>
        <v>1.3046566666666666E-4</v>
      </c>
      <c r="T51">
        <f t="shared" si="8"/>
        <v>65.815898190734757</v>
      </c>
      <c r="U51">
        <f t="shared" si="9"/>
        <v>74.226994031666933</v>
      </c>
      <c r="W51">
        <f t="shared" si="10"/>
        <v>3.6796201925094727</v>
      </c>
      <c r="X51">
        <f t="shared" si="11"/>
        <v>4.21268015829519</v>
      </c>
    </row>
    <row r="52" spans="1:24" x14ac:dyDescent="0.2">
      <c r="A52">
        <v>324.33999999999997</v>
      </c>
      <c r="B52">
        <v>8.3237399999999998E-4</v>
      </c>
      <c r="C52">
        <v>1.60629E-4</v>
      </c>
      <c r="D52">
        <f t="shared" si="0"/>
        <v>70.047462761928799</v>
      </c>
      <c r="E52">
        <f t="shared" si="1"/>
        <v>78.099975203115662</v>
      </c>
      <c r="G52" s="5">
        <v>5.5263299999999997E-4</v>
      </c>
      <c r="H52" s="5">
        <v>1.18208E-4</v>
      </c>
      <c r="I52" s="4">
        <f t="shared" si="2"/>
        <v>61.214039176417941</v>
      </c>
      <c r="J52" s="4">
        <f t="shared" si="3"/>
        <v>68.622647424212531</v>
      </c>
      <c r="L52" s="5">
        <v>4.8424900000000002E-4</v>
      </c>
      <c r="M52" s="5">
        <v>1.1178199999999999E-4</v>
      </c>
      <c r="N52" s="4">
        <f t="shared" si="4"/>
        <v>67.003865961550702</v>
      </c>
      <c r="O52" s="4">
        <f t="shared" si="5"/>
        <v>75.493182232607765</v>
      </c>
      <c r="Q52">
        <f t="shared" si="6"/>
        <v>6.2308533333333327E-4</v>
      </c>
      <c r="R52">
        <f t="shared" si="7"/>
        <v>1.3020633333333333E-4</v>
      </c>
      <c r="T52">
        <f t="shared" si="8"/>
        <v>66.08845596663248</v>
      </c>
      <c r="U52">
        <f t="shared" si="9"/>
        <v>74.071934953311981</v>
      </c>
      <c r="W52">
        <f t="shared" si="10"/>
        <v>3.6638617745362621</v>
      </c>
      <c r="X52">
        <f t="shared" si="11"/>
        <v>3.9974903234297288</v>
      </c>
    </row>
    <row r="53" spans="1:24" x14ac:dyDescent="0.2">
      <c r="A53">
        <v>330.45299999999997</v>
      </c>
      <c r="B53">
        <v>8.3257800000000005E-4</v>
      </c>
      <c r="C53">
        <v>1.59474E-4</v>
      </c>
      <c r="D53">
        <f t="shared" si="0"/>
        <v>70.064630143903059</v>
      </c>
      <c r="E53">
        <f t="shared" si="1"/>
        <v>77.538398704727456</v>
      </c>
      <c r="G53" s="5">
        <v>5.5471299999999997E-4</v>
      </c>
      <c r="H53" s="5">
        <v>1.18442E-4</v>
      </c>
      <c r="I53" s="4">
        <f t="shared" si="2"/>
        <v>61.444436567610559</v>
      </c>
      <c r="J53" s="4">
        <f t="shared" si="3"/>
        <v>68.75849017171916</v>
      </c>
      <c r="L53" s="5">
        <v>4.8739399999999999E-4</v>
      </c>
      <c r="M53" s="5">
        <v>1.11512E-4</v>
      </c>
      <c r="N53" s="4">
        <f t="shared" si="4"/>
        <v>67.439028777476139</v>
      </c>
      <c r="O53" s="4">
        <f t="shared" si="5"/>
        <v>75.310834813499113</v>
      </c>
      <c r="Q53">
        <f t="shared" si="6"/>
        <v>6.2489499999999999E-4</v>
      </c>
      <c r="R53">
        <f t="shared" si="7"/>
        <v>1.2980933333333334E-4</v>
      </c>
      <c r="T53">
        <f t="shared" si="8"/>
        <v>66.316031829663245</v>
      </c>
      <c r="U53">
        <f t="shared" si="9"/>
        <v>73.86924122998191</v>
      </c>
      <c r="W53">
        <f t="shared" si="10"/>
        <v>3.6076562966175527</v>
      </c>
      <c r="X53">
        <f t="shared" si="11"/>
        <v>3.7265124452608904</v>
      </c>
    </row>
    <row r="54" spans="1:24" x14ac:dyDescent="0.2">
      <c r="A54">
        <v>336.67899999999997</v>
      </c>
      <c r="B54">
        <v>8.3422300000000004E-4</v>
      </c>
      <c r="C54">
        <v>1.5883499999999999E-4</v>
      </c>
      <c r="D54">
        <f t="shared" si="0"/>
        <v>70.203063199528742</v>
      </c>
      <c r="E54">
        <f t="shared" si="1"/>
        <v>77.227708330294504</v>
      </c>
      <c r="G54" s="5">
        <v>5.5676499999999997E-4</v>
      </c>
      <c r="H54" s="5">
        <v>1.1865499999999999E-4</v>
      </c>
      <c r="I54" s="4">
        <f t="shared" si="2"/>
        <v>61.671732455460194</v>
      </c>
      <c r="J54" s="4">
        <f t="shared" si="3"/>
        <v>68.882141903423928</v>
      </c>
      <c r="L54" s="5">
        <v>4.8989599999999997E-4</v>
      </c>
      <c r="M54" s="5">
        <v>1.11475E-4</v>
      </c>
      <c r="N54" s="4">
        <f t="shared" si="4"/>
        <v>67.785221898444476</v>
      </c>
      <c r="O54" s="4">
        <f t="shared" si="5"/>
        <v>75.285846463473121</v>
      </c>
      <c r="Q54">
        <f t="shared" si="6"/>
        <v>6.2696133333333336E-4</v>
      </c>
      <c r="R54">
        <f t="shared" si="7"/>
        <v>1.2965499999999998E-4</v>
      </c>
      <c r="T54">
        <f t="shared" si="8"/>
        <v>66.553339184477807</v>
      </c>
      <c r="U54">
        <f t="shared" si="9"/>
        <v>73.798565565730513</v>
      </c>
      <c r="W54">
        <f t="shared" si="10"/>
        <v>3.5901766281433116</v>
      </c>
      <c r="X54">
        <f t="shared" si="11"/>
        <v>3.5656811502544512</v>
      </c>
    </row>
    <row r="55" spans="1:24" x14ac:dyDescent="0.2">
      <c r="A55">
        <v>342.94200000000001</v>
      </c>
      <c r="B55">
        <v>8.3609600000000004E-4</v>
      </c>
      <c r="C55">
        <v>1.5820400000000001E-4</v>
      </c>
      <c r="D55">
        <f t="shared" si="0"/>
        <v>70.360683329125649</v>
      </c>
      <c r="E55">
        <f t="shared" si="1"/>
        <v>76.92090766320969</v>
      </c>
      <c r="G55" s="5">
        <v>5.5807999999999997E-4</v>
      </c>
      <c r="H55" s="5">
        <v>1.19212E-4</v>
      </c>
      <c r="I55" s="4">
        <f t="shared" si="2"/>
        <v>61.817392344603604</v>
      </c>
      <c r="J55" s="4">
        <f t="shared" si="3"/>
        <v>69.205494084454713</v>
      </c>
      <c r="L55" s="5">
        <v>4.9230400000000005E-4</v>
      </c>
      <c r="M55" s="5">
        <v>1.1186799999999999E-4</v>
      </c>
      <c r="N55" s="4">
        <f t="shared" si="4"/>
        <v>68.118408563229366</v>
      </c>
      <c r="O55" s="4">
        <f t="shared" si="5"/>
        <v>75.551263262397939</v>
      </c>
      <c r="Q55">
        <f t="shared" si="6"/>
        <v>6.2882666666666672E-4</v>
      </c>
      <c r="R55">
        <f t="shared" si="7"/>
        <v>1.2976133333333334E-4</v>
      </c>
      <c r="T55">
        <f t="shared" si="8"/>
        <v>66.765494745652873</v>
      </c>
      <c r="U55">
        <f t="shared" si="9"/>
        <v>73.892555003354119</v>
      </c>
      <c r="W55">
        <f t="shared" si="10"/>
        <v>3.6166040295555315</v>
      </c>
      <c r="X55">
        <f t="shared" si="11"/>
        <v>3.3610897527710972</v>
      </c>
    </row>
    <row r="56" spans="1:24" x14ac:dyDescent="0.2">
      <c r="A56">
        <v>349.24099999999999</v>
      </c>
      <c r="B56">
        <v>8.3729599999999996E-4</v>
      </c>
      <c r="C56">
        <v>1.5846E-4</v>
      </c>
      <c r="D56">
        <f t="shared" si="0"/>
        <v>70.461667928974165</v>
      </c>
      <c r="E56">
        <f t="shared" si="1"/>
        <v>77.045378298350272</v>
      </c>
      <c r="G56" s="5">
        <v>5.59762E-4</v>
      </c>
      <c r="H56" s="5">
        <v>1.19357E-4</v>
      </c>
      <c r="I56" s="4">
        <f t="shared" si="2"/>
        <v>62.003704081135325</v>
      </c>
      <c r="J56" s="4">
        <f t="shared" si="3"/>
        <v>69.289670145943873</v>
      </c>
      <c r="L56" s="5">
        <v>4.9530199999999998E-4</v>
      </c>
      <c r="M56" s="5">
        <v>1.11976E-4</v>
      </c>
      <c r="N56" s="4">
        <f t="shared" si="4"/>
        <v>68.533231495548748</v>
      </c>
      <c r="O56" s="4">
        <f t="shared" si="5"/>
        <v>75.624202230041405</v>
      </c>
      <c r="Q56">
        <f t="shared" si="6"/>
        <v>6.3078666666666668E-4</v>
      </c>
      <c r="R56">
        <f t="shared" si="7"/>
        <v>1.2993099999999999E-4</v>
      </c>
      <c r="T56">
        <f t="shared" si="8"/>
        <v>66.999534501886089</v>
      </c>
      <c r="U56">
        <f t="shared" si="9"/>
        <v>73.986416891445188</v>
      </c>
      <c r="W56">
        <f t="shared" si="10"/>
        <v>3.6192501952858165</v>
      </c>
      <c r="X56">
        <f t="shared" si="11"/>
        <v>3.3714000897566105</v>
      </c>
    </row>
    <row r="57" spans="1:24" x14ac:dyDescent="0.2">
      <c r="A57">
        <v>355.43299999999999</v>
      </c>
      <c r="B57">
        <v>8.3803600000000001E-4</v>
      </c>
      <c r="C57">
        <v>1.59032E-4</v>
      </c>
      <c r="D57">
        <f t="shared" si="0"/>
        <v>70.52394176554742</v>
      </c>
      <c r="E57">
        <f t="shared" si="1"/>
        <v>77.323492373742539</v>
      </c>
      <c r="G57" s="5">
        <v>5.6203399999999999E-4</v>
      </c>
      <c r="H57" s="5">
        <v>1.19331E-4</v>
      </c>
      <c r="I57" s="4">
        <f t="shared" si="2"/>
        <v>62.255368923822651</v>
      </c>
      <c r="J57" s="4">
        <f t="shared" si="3"/>
        <v>69.274576507332014</v>
      </c>
      <c r="L57" s="5">
        <v>4.9762299999999999E-4</v>
      </c>
      <c r="M57" s="5">
        <v>1.1213399999999999E-4</v>
      </c>
      <c r="N57" s="4">
        <f t="shared" si="4"/>
        <v>68.85438027003616</v>
      </c>
      <c r="O57" s="4">
        <f t="shared" si="5"/>
        <v>75.730909238260537</v>
      </c>
      <c r="Q57">
        <f t="shared" si="6"/>
        <v>6.3256433333333333E-4</v>
      </c>
      <c r="R57">
        <f t="shared" si="7"/>
        <v>1.3016566666666668E-4</v>
      </c>
      <c r="T57">
        <f t="shared" si="8"/>
        <v>67.211230319802084</v>
      </c>
      <c r="U57">
        <f t="shared" si="9"/>
        <v>74.109659373111697</v>
      </c>
      <c r="W57">
        <f t="shared" si="10"/>
        <v>3.5699935134341452</v>
      </c>
      <c r="X57">
        <f t="shared" si="11"/>
        <v>3.4801915656155695</v>
      </c>
    </row>
    <row r="58" spans="1:24" x14ac:dyDescent="0.2">
      <c r="A58">
        <v>361.57799999999997</v>
      </c>
      <c r="B58">
        <v>8.3891900000000004E-4</v>
      </c>
      <c r="C58">
        <v>1.5914100000000001E-4</v>
      </c>
      <c r="D58">
        <f t="shared" si="0"/>
        <v>70.598249600269298</v>
      </c>
      <c r="E58">
        <f t="shared" si="1"/>
        <v>77.376489636360986</v>
      </c>
      <c r="G58" s="5">
        <v>5.6448399999999997E-4</v>
      </c>
      <c r="H58" s="5">
        <v>1.19175E-4</v>
      </c>
      <c r="I58" s="4">
        <f t="shared" si="2"/>
        <v>62.526750466333183</v>
      </c>
      <c r="J58" s="4">
        <f t="shared" si="3"/>
        <v>69.184014675660919</v>
      </c>
      <c r="L58" s="5">
        <v>5.0061699999999997E-4</v>
      </c>
      <c r="M58" s="5">
        <v>1.12679E-4</v>
      </c>
      <c r="N58" s="4">
        <f t="shared" si="4"/>
        <v>69.268649736134975</v>
      </c>
      <c r="O58" s="4">
        <f t="shared" si="5"/>
        <v>76.098980880535422</v>
      </c>
      <c r="Q58">
        <f t="shared" si="6"/>
        <v>6.3467333333333336E-4</v>
      </c>
      <c r="R58">
        <f t="shared" si="7"/>
        <v>1.3033166666666666E-4</v>
      </c>
      <c r="T58">
        <f t="shared" si="8"/>
        <v>67.464549934245824</v>
      </c>
      <c r="U58">
        <f t="shared" si="9"/>
        <v>74.219828397519109</v>
      </c>
      <c r="W58">
        <f t="shared" si="10"/>
        <v>3.5334927610571794</v>
      </c>
      <c r="X58">
        <f t="shared" si="11"/>
        <v>3.5988490786402045</v>
      </c>
    </row>
    <row r="59" spans="1:24" x14ac:dyDescent="0.2">
      <c r="A59">
        <v>367.786</v>
      </c>
      <c r="B59">
        <v>8.3911100000000002E-4</v>
      </c>
      <c r="C59">
        <v>1.59259E-4</v>
      </c>
      <c r="D59">
        <f t="shared" si="0"/>
        <v>70.614407136245063</v>
      </c>
      <c r="E59">
        <f t="shared" si="1"/>
        <v>77.433862819746096</v>
      </c>
      <c r="G59" s="5">
        <v>5.6646099999999998E-4</v>
      </c>
      <c r="H59" s="5">
        <v>1.1945700000000001E-4</v>
      </c>
      <c r="I59" s="4">
        <f t="shared" si="2"/>
        <v>62.745738755942703</v>
      </c>
      <c r="J59" s="4">
        <f t="shared" si="3"/>
        <v>69.347722602143307</v>
      </c>
      <c r="L59" s="5">
        <v>5.0164700000000003E-4</v>
      </c>
      <c r="M59" s="5">
        <v>1.13386E-4</v>
      </c>
      <c r="N59" s="4">
        <f t="shared" si="4"/>
        <v>69.4111672879325</v>
      </c>
      <c r="O59" s="4">
        <f t="shared" si="5"/>
        <v>76.576460974275506</v>
      </c>
      <c r="Q59">
        <f t="shared" si="6"/>
        <v>6.3573966666666661E-4</v>
      </c>
      <c r="R59">
        <f t="shared" si="7"/>
        <v>1.3070066666666667E-4</v>
      </c>
      <c r="T59">
        <f t="shared" si="8"/>
        <v>67.590437726706753</v>
      </c>
      <c r="U59">
        <f t="shared" si="9"/>
        <v>74.452682132054974</v>
      </c>
      <c r="W59">
        <f t="shared" si="10"/>
        <v>3.4607588398243441</v>
      </c>
      <c r="X59">
        <f t="shared" si="11"/>
        <v>3.6266829043154596</v>
      </c>
    </row>
    <row r="60" spans="1:24" x14ac:dyDescent="0.2">
      <c r="A60">
        <v>374.03899999999999</v>
      </c>
      <c r="B60">
        <v>8.3895599999999997E-4</v>
      </c>
      <c r="C60">
        <v>1.5960700000000001E-4</v>
      </c>
      <c r="D60">
        <f t="shared" si="0"/>
        <v>70.601363292097957</v>
      </c>
      <c r="E60">
        <f t="shared" si="1"/>
        <v>77.603065089390341</v>
      </c>
      <c r="G60" s="5">
        <v>5.6784800000000003E-4</v>
      </c>
      <c r="H60" s="5">
        <v>1.19997E-4</v>
      </c>
      <c r="I60" s="4">
        <f t="shared" si="2"/>
        <v>62.899373939396632</v>
      </c>
      <c r="J60" s="4">
        <f t="shared" si="3"/>
        <v>69.661205865620161</v>
      </c>
      <c r="L60" s="5">
        <v>5.0438499999999999E-4</v>
      </c>
      <c r="M60" s="5">
        <v>1.1339E-4</v>
      </c>
      <c r="N60" s="4">
        <f t="shared" si="4"/>
        <v>69.790014915914639</v>
      </c>
      <c r="O60" s="4">
        <f t="shared" si="5"/>
        <v>76.579162417521559</v>
      </c>
      <c r="Q60">
        <f t="shared" si="6"/>
        <v>6.37063E-4</v>
      </c>
      <c r="R60">
        <f t="shared" si="7"/>
        <v>1.3099800000000001E-4</v>
      </c>
      <c r="T60">
        <f t="shared" si="8"/>
        <v>67.763584049136412</v>
      </c>
      <c r="U60">
        <f t="shared" si="9"/>
        <v>74.61447779084402</v>
      </c>
      <c r="W60">
        <f t="shared" si="10"/>
        <v>3.4554282455922229</v>
      </c>
      <c r="X60">
        <f t="shared" si="11"/>
        <v>3.5273475629026758</v>
      </c>
    </row>
    <row r="61" spans="1:24" x14ac:dyDescent="0.2">
      <c r="A61">
        <v>380.137</v>
      </c>
      <c r="B61">
        <v>8.3960100000000004E-4</v>
      </c>
      <c r="C61">
        <v>1.5834399999999999E-4</v>
      </c>
      <c r="D61">
        <f t="shared" si="0"/>
        <v>70.655642514516543</v>
      </c>
      <c r="E61">
        <f t="shared" si="1"/>
        <v>76.9889775418022</v>
      </c>
      <c r="G61" s="5">
        <v>5.71131E-4</v>
      </c>
      <c r="H61" s="5">
        <v>1.20617E-4</v>
      </c>
      <c r="I61" s="4">
        <f t="shared" si="2"/>
        <v>63.263025206360744</v>
      </c>
      <c r="J61" s="4">
        <f t="shared" si="3"/>
        <v>70.021131094056585</v>
      </c>
      <c r="L61" s="5">
        <v>5.0687599999999996E-4</v>
      </c>
      <c r="M61" s="5">
        <v>1.1373400000000001E-4</v>
      </c>
      <c r="N61" s="4">
        <f t="shared" si="4"/>
        <v>70.134686004776398</v>
      </c>
      <c r="O61" s="4">
        <f t="shared" si="5"/>
        <v>76.811486536682224</v>
      </c>
      <c r="Q61">
        <f t="shared" si="6"/>
        <v>6.392026666666666E-4</v>
      </c>
      <c r="R61">
        <f t="shared" si="7"/>
        <v>1.3089833333333333E-4</v>
      </c>
      <c r="T61">
        <f t="shared" si="8"/>
        <v>68.017784575217902</v>
      </c>
      <c r="U61">
        <f t="shared" si="9"/>
        <v>74.607198390847003</v>
      </c>
      <c r="W61">
        <f t="shared" si="10"/>
        <v>3.3688426710134247</v>
      </c>
      <c r="X61">
        <f t="shared" si="11"/>
        <v>3.2436487378920007</v>
      </c>
    </row>
    <row r="62" spans="1:24" x14ac:dyDescent="0.2">
      <c r="A62">
        <v>386.49799999999999</v>
      </c>
      <c r="B62">
        <v>8.4033299999999997E-4</v>
      </c>
      <c r="C62">
        <v>1.5849700000000001E-4</v>
      </c>
      <c r="D62">
        <f t="shared" si="0"/>
        <v>70.717243120424129</v>
      </c>
      <c r="E62">
        <f t="shared" si="1"/>
        <v>77.063368194835448</v>
      </c>
      <c r="G62" s="5">
        <v>5.7334200000000001E-4</v>
      </c>
      <c r="H62" s="5">
        <v>1.2086099999999999E-4</v>
      </c>
      <c r="I62" s="4">
        <f t="shared" si="2"/>
        <v>63.507933202479435</v>
      </c>
      <c r="J62" s="4">
        <f t="shared" si="3"/>
        <v>70.162779087183168</v>
      </c>
      <c r="L62" s="5">
        <v>5.0912400000000001E-4</v>
      </c>
      <c r="M62" s="5">
        <v>1.13675E-4</v>
      </c>
      <c r="N62" s="4">
        <f t="shared" si="4"/>
        <v>70.445734020738385</v>
      </c>
      <c r="O62" s="4">
        <f t="shared" si="5"/>
        <v>76.771640248802925</v>
      </c>
      <c r="Q62">
        <f t="shared" si="6"/>
        <v>6.4093300000000011E-4</v>
      </c>
      <c r="R62">
        <f t="shared" si="7"/>
        <v>1.31011E-4</v>
      </c>
      <c r="T62">
        <f t="shared" si="8"/>
        <v>68.223636781213983</v>
      </c>
      <c r="U62">
        <f t="shared" si="9"/>
        <v>74.665929176940509</v>
      </c>
      <c r="W62">
        <f t="shared" si="10"/>
        <v>3.3363477516260609</v>
      </c>
      <c r="X62">
        <f t="shared" si="11"/>
        <v>3.1864344594740248</v>
      </c>
    </row>
    <row r="63" spans="1:24" x14ac:dyDescent="0.2">
      <c r="A63">
        <v>392.601</v>
      </c>
      <c r="B63">
        <v>8.4127599999999996E-4</v>
      </c>
      <c r="C63">
        <v>1.5807700000000001E-4</v>
      </c>
      <c r="D63">
        <f t="shared" si="0"/>
        <v>70.796600185138431</v>
      </c>
      <c r="E63">
        <f t="shared" si="1"/>
        <v>76.859158559057931</v>
      </c>
      <c r="G63" s="5">
        <v>5.7379299999999996E-4</v>
      </c>
      <c r="H63" s="5">
        <v>1.21415E-4</v>
      </c>
      <c r="I63" s="4">
        <f t="shared" si="2"/>
        <v>63.557889559896672</v>
      </c>
      <c r="J63" s="4">
        <f t="shared" si="3"/>
        <v>70.484389694527977</v>
      </c>
      <c r="L63" s="5">
        <v>5.1151600000000005E-4</v>
      </c>
      <c r="M63" s="5">
        <v>1.14119E-4</v>
      </c>
      <c r="N63" s="4">
        <f t="shared" si="4"/>
        <v>70.776706820640982</v>
      </c>
      <c r="O63" s="4">
        <f t="shared" si="5"/>
        <v>77.071500449114936</v>
      </c>
      <c r="Q63">
        <f t="shared" si="6"/>
        <v>6.4219500000000003E-4</v>
      </c>
      <c r="R63">
        <f t="shared" si="7"/>
        <v>1.3120366666666665E-4</v>
      </c>
      <c r="T63">
        <f t="shared" si="8"/>
        <v>68.377065521892021</v>
      </c>
      <c r="U63">
        <f t="shared" si="9"/>
        <v>74.805016234233619</v>
      </c>
      <c r="W63">
        <f t="shared" si="10"/>
        <v>3.4076816802623209</v>
      </c>
      <c r="X63">
        <f t="shared" si="11"/>
        <v>3.0563739454103431</v>
      </c>
    </row>
    <row r="64" spans="1:24" x14ac:dyDescent="0.2">
      <c r="A64">
        <v>398.83199999999999</v>
      </c>
      <c r="B64">
        <v>8.4253099999999999E-4</v>
      </c>
      <c r="C64">
        <v>1.5819E-4</v>
      </c>
      <c r="D64">
        <f t="shared" si="0"/>
        <v>70.902213245813357</v>
      </c>
      <c r="E64">
        <f t="shared" si="1"/>
        <v>76.91410067535044</v>
      </c>
      <c r="G64" s="5">
        <v>5.7567800000000004E-4</v>
      </c>
      <c r="H64" s="5">
        <v>1.22087E-4</v>
      </c>
      <c r="I64" s="4">
        <f t="shared" si="2"/>
        <v>63.766687195664993</v>
      </c>
      <c r="J64" s="4">
        <f t="shared" si="3"/>
        <v>70.87450220018809</v>
      </c>
      <c r="L64" s="5">
        <v>5.14976E-4</v>
      </c>
      <c r="M64" s="5">
        <v>1.14166E-4</v>
      </c>
      <c r="N64" s="4">
        <f t="shared" si="4"/>
        <v>71.25545510143651</v>
      </c>
      <c r="O64" s="4">
        <f t="shared" si="5"/>
        <v>77.103242407256076</v>
      </c>
      <c r="Q64">
        <f t="shared" si="6"/>
        <v>6.4439499999999997E-4</v>
      </c>
      <c r="R64">
        <f t="shared" si="7"/>
        <v>1.31481E-4</v>
      </c>
      <c r="T64">
        <f t="shared" si="8"/>
        <v>68.64145184763828</v>
      </c>
      <c r="U64">
        <f t="shared" si="9"/>
        <v>74.963948427598197</v>
      </c>
      <c r="W64">
        <f t="shared" si="10"/>
        <v>3.4499944696803264</v>
      </c>
      <c r="X64">
        <f t="shared" si="11"/>
        <v>2.8927059401013171</v>
      </c>
    </row>
    <row r="65" spans="1:24" x14ac:dyDescent="0.2">
      <c r="A65">
        <v>405.02199999999999</v>
      </c>
      <c r="B65">
        <v>8.4268199999999998E-4</v>
      </c>
      <c r="C65">
        <v>1.5863699999999999E-4</v>
      </c>
      <c r="D65">
        <f t="shared" si="0"/>
        <v>70.914920474627621</v>
      </c>
      <c r="E65">
        <f t="shared" si="1"/>
        <v>77.131438073427944</v>
      </c>
      <c r="G65" s="5">
        <v>5.7816699999999998E-4</v>
      </c>
      <c r="H65" s="5">
        <v>1.22108E-4</v>
      </c>
      <c r="I65" s="4">
        <f t="shared" si="2"/>
        <v>64.042388689260378</v>
      </c>
      <c r="J65" s="4">
        <f t="shared" si="3"/>
        <v>70.886693215989965</v>
      </c>
      <c r="L65" s="5">
        <v>5.1768099999999998E-4</v>
      </c>
      <c r="M65" s="5">
        <v>1.14679E-4</v>
      </c>
      <c r="N65" s="4">
        <f t="shared" si="4"/>
        <v>71.629736633098943</v>
      </c>
      <c r="O65" s="4">
        <f t="shared" si="5"/>
        <v>77.449702503562534</v>
      </c>
      <c r="Q65">
        <f t="shared" si="6"/>
        <v>6.4617666666666668E-4</v>
      </c>
      <c r="R65">
        <f t="shared" si="7"/>
        <v>1.31808E-4</v>
      </c>
      <c r="T65">
        <f t="shared" si="8"/>
        <v>68.862348598995652</v>
      </c>
      <c r="U65">
        <f t="shared" si="9"/>
        <v>75.155944597660152</v>
      </c>
      <c r="W65">
        <f t="shared" si="10"/>
        <v>3.4206968767289068</v>
      </c>
      <c r="X65">
        <f t="shared" si="11"/>
        <v>3.0216114444439302</v>
      </c>
    </row>
    <row r="66" spans="1:24" x14ac:dyDescent="0.2">
      <c r="A66">
        <v>411.33699999999999</v>
      </c>
      <c r="B66">
        <v>8.4283800000000005E-4</v>
      </c>
      <c r="C66">
        <v>1.5841999999999999E-4</v>
      </c>
      <c r="D66">
        <f t="shared" si="0"/>
        <v>70.928048472607927</v>
      </c>
      <c r="E66">
        <f t="shared" si="1"/>
        <v>77.025929761609561</v>
      </c>
      <c r="G66" s="5">
        <v>5.8132599999999996E-4</v>
      </c>
      <c r="H66" s="5">
        <v>1.2253700000000001E-4</v>
      </c>
      <c r="I66" s="4">
        <f t="shared" si="2"/>
        <v>64.39230472713416</v>
      </c>
      <c r="J66" s="4">
        <f t="shared" si="3"/>
        <v>71.135738253085492</v>
      </c>
      <c r="L66" s="5">
        <v>5.19466E-4</v>
      </c>
      <c r="M66" s="5">
        <v>1.15369E-4</v>
      </c>
      <c r="N66" s="4">
        <f t="shared" si="4"/>
        <v>71.876720934029592</v>
      </c>
      <c r="O66" s="4">
        <f t="shared" si="5"/>
        <v>77.915701463506878</v>
      </c>
      <c r="Q66">
        <f t="shared" si="6"/>
        <v>6.4787666666666667E-4</v>
      </c>
      <c r="R66">
        <f t="shared" si="7"/>
        <v>1.3210866666666664E-4</v>
      </c>
      <c r="T66">
        <f t="shared" si="8"/>
        <v>69.065691377923898</v>
      </c>
      <c r="U66">
        <f t="shared" si="9"/>
        <v>75.359123159400653</v>
      </c>
      <c r="W66">
        <f t="shared" si="10"/>
        <v>3.3272012213069528</v>
      </c>
      <c r="X66">
        <f t="shared" si="11"/>
        <v>3.0083947514183587</v>
      </c>
    </row>
    <row r="67" spans="1:24" x14ac:dyDescent="0.2">
      <c r="A67">
        <v>417.42200000000003</v>
      </c>
      <c r="B67">
        <v>8.4314600000000002E-4</v>
      </c>
      <c r="C67">
        <v>1.5829099999999999E-4</v>
      </c>
      <c r="D67">
        <f t="shared" si="0"/>
        <v>70.953967853235724</v>
      </c>
      <c r="E67">
        <f t="shared" si="1"/>
        <v>76.963208230620751</v>
      </c>
      <c r="G67" s="5">
        <v>5.8288299999999997E-4</v>
      </c>
      <c r="H67" s="5">
        <v>1.2265900000000001E-4</v>
      </c>
      <c r="I67" s="4">
        <f t="shared" si="2"/>
        <v>64.564770466599015</v>
      </c>
      <c r="J67" s="4">
        <f t="shared" si="3"/>
        <v>71.206562249648783</v>
      </c>
      <c r="L67" s="5">
        <v>5.2269600000000001E-4</v>
      </c>
      <c r="M67" s="5">
        <v>1.1586699999999999E-4</v>
      </c>
      <c r="N67" s="4">
        <f t="shared" si="4"/>
        <v>72.32364490714221</v>
      </c>
      <c r="O67" s="4">
        <f t="shared" si="5"/>
        <v>78.252031147640622</v>
      </c>
      <c r="Q67">
        <f t="shared" si="6"/>
        <v>6.49575E-4</v>
      </c>
      <c r="R67">
        <f t="shared" si="7"/>
        <v>1.322723333333333E-4</v>
      </c>
      <c r="T67">
        <f t="shared" si="8"/>
        <v>69.280794408992321</v>
      </c>
      <c r="U67">
        <f t="shared" si="9"/>
        <v>75.473933875970047</v>
      </c>
      <c r="W67">
        <f t="shared" si="10"/>
        <v>3.3812882334912566</v>
      </c>
      <c r="X67">
        <f t="shared" si="11"/>
        <v>3.0630172026623002</v>
      </c>
    </row>
    <row r="68" spans="1:24" x14ac:dyDescent="0.2">
      <c r="A68">
        <v>423.74099999999999</v>
      </c>
      <c r="B68">
        <v>8.4330199999999998E-4</v>
      </c>
      <c r="C68">
        <v>1.5946100000000001E-4</v>
      </c>
      <c r="D68">
        <f t="shared" ref="D68:D109" si="12">B68/$B$3*100</f>
        <v>70.967095851216015</v>
      </c>
      <c r="E68">
        <f t="shared" ref="E68:E109" si="13">C68/$C$3*100</f>
        <v>77.532077930286718</v>
      </c>
      <c r="G68" s="5">
        <v>5.85908E-4</v>
      </c>
      <c r="H68" s="5">
        <v>1.23232E-4</v>
      </c>
      <c r="I68" s="4">
        <f t="shared" ref="I68:I109" si="14">G68/$G$3*100</f>
        <v>64.899843595617142</v>
      </c>
      <c r="J68" s="4">
        <f t="shared" ref="J68:J109" si="15">H68/$H$3*100</f>
        <v>71.539202823671459</v>
      </c>
      <c r="L68" s="5">
        <v>5.2492000000000001E-4</v>
      </c>
      <c r="M68" s="5">
        <v>1.1627400000000001E-4</v>
      </c>
      <c r="N68" s="4">
        <f t="shared" ref="N68:N109" si="16">L68/$L$3*100</f>
        <v>72.631372125780729</v>
      </c>
      <c r="O68" s="4">
        <f t="shared" ref="O68:O109" si="17">M68/$M$3*100</f>
        <v>78.526902997926655</v>
      </c>
      <c r="Q68">
        <f t="shared" ref="Q68:Q109" si="18">AVERAGE(B68,G68,L68)</f>
        <v>6.513766666666667E-4</v>
      </c>
      <c r="R68">
        <f t="shared" ref="R68:R109" si="19">AVERAGE(C68,H68,M68)</f>
        <v>1.32989E-4</v>
      </c>
      <c r="T68">
        <f t="shared" ref="T68:T109" si="20">AVERAGE(D68,I68,N68)</f>
        <v>69.499437190871291</v>
      </c>
      <c r="U68">
        <f t="shared" ref="U68:U109" si="21">AVERAGE(E68,J68,O68)</f>
        <v>75.866061250628277</v>
      </c>
      <c r="W68">
        <f t="shared" ref="W68:W109" si="22">_xlfn.STDEV.P(D68,I68,N68)</f>
        <v>3.3226144134448323</v>
      </c>
      <c r="X68">
        <f t="shared" ref="X68:X109" si="23">_xlfn.STDEV.P(E68,J68,O68)</f>
        <v>3.0863891647032702</v>
      </c>
    </row>
    <row r="69" spans="1:24" x14ac:dyDescent="0.2">
      <c r="A69">
        <v>429.80099999999999</v>
      </c>
      <c r="B69">
        <v>8.4398000000000003E-4</v>
      </c>
      <c r="C69">
        <v>1.58942E-4</v>
      </c>
      <c r="D69">
        <f t="shared" si="12"/>
        <v>71.024152150130433</v>
      </c>
      <c r="E69">
        <f t="shared" si="13"/>
        <v>77.279733166075914</v>
      </c>
      <c r="G69" s="5">
        <v>5.8803800000000004E-4</v>
      </c>
      <c r="H69" s="5">
        <v>1.24251E-4</v>
      </c>
      <c r="I69" s="4">
        <f t="shared" si="14"/>
        <v>65.135779385636511</v>
      </c>
      <c r="J69" s="4">
        <f t="shared" si="15"/>
        <v>72.130757352343579</v>
      </c>
      <c r="L69" s="5">
        <v>5.2747700000000005E-4</v>
      </c>
      <c r="M69" s="5">
        <v>1.1633000000000001E-4</v>
      </c>
      <c r="N69" s="4">
        <f t="shared" si="16"/>
        <v>72.985175407281957</v>
      </c>
      <c r="O69" s="4">
        <f t="shared" si="17"/>
        <v>78.564723203371415</v>
      </c>
      <c r="Q69">
        <f t="shared" si="18"/>
        <v>6.5316500000000015E-4</v>
      </c>
      <c r="R69">
        <f t="shared" si="19"/>
        <v>1.3317433333333333E-4</v>
      </c>
      <c r="T69">
        <f t="shared" si="20"/>
        <v>69.715035647682967</v>
      </c>
      <c r="U69">
        <f t="shared" si="21"/>
        <v>75.991737907263641</v>
      </c>
      <c r="W69">
        <f t="shared" si="22"/>
        <v>3.3355253448186195</v>
      </c>
      <c r="X69">
        <f t="shared" si="23"/>
        <v>2.78006930166501</v>
      </c>
    </row>
    <row r="70" spans="1:24" x14ac:dyDescent="0.2">
      <c r="A70">
        <v>436.18</v>
      </c>
      <c r="B70">
        <v>8.4393599999999999E-4</v>
      </c>
      <c r="C70">
        <v>1.58877E-4</v>
      </c>
      <c r="D70">
        <f t="shared" si="12"/>
        <v>71.020449381469334</v>
      </c>
      <c r="E70">
        <f t="shared" si="13"/>
        <v>77.248129293872253</v>
      </c>
      <c r="G70" s="5">
        <v>5.9127099999999998E-4</v>
      </c>
      <c r="H70" s="5">
        <v>1.24661E-4</v>
      </c>
      <c r="I70" s="4">
        <f t="shared" si="14"/>
        <v>65.493892253773865</v>
      </c>
      <c r="J70" s="4">
        <f t="shared" si="15"/>
        <v>72.368772422761211</v>
      </c>
      <c r="L70" s="5">
        <v>5.2898300000000001E-4</v>
      </c>
      <c r="M70" s="5">
        <v>1.1695499999999999E-4</v>
      </c>
      <c r="N70" s="4">
        <f t="shared" si="16"/>
        <v>73.193555439327653</v>
      </c>
      <c r="O70" s="4">
        <f t="shared" si="17"/>
        <v>78.986823710567364</v>
      </c>
      <c r="Q70">
        <f t="shared" si="18"/>
        <v>6.5473000000000007E-4</v>
      </c>
      <c r="R70">
        <f t="shared" si="19"/>
        <v>1.3349766666666667E-4</v>
      </c>
      <c r="T70">
        <f t="shared" si="20"/>
        <v>69.902632358190274</v>
      </c>
      <c r="U70">
        <f t="shared" si="21"/>
        <v>76.201241809066943</v>
      </c>
      <c r="W70">
        <f t="shared" si="22"/>
        <v>3.2412281073581153</v>
      </c>
      <c r="X70">
        <f t="shared" si="23"/>
        <v>2.8013842728657874</v>
      </c>
    </row>
    <row r="71" spans="1:24" x14ac:dyDescent="0.2">
      <c r="A71">
        <v>449.34699999999998</v>
      </c>
      <c r="B71">
        <v>2.8949800000000001E-6</v>
      </c>
      <c r="C71">
        <v>2.63144E-5</v>
      </c>
      <c r="D71">
        <f t="shared" si="12"/>
        <v>0.24362366405789784</v>
      </c>
      <c r="E71">
        <f t="shared" si="13"/>
        <v>12.794414380248067</v>
      </c>
      <c r="G71" s="5">
        <v>4.1249899999999996E-6</v>
      </c>
      <c r="H71" s="5">
        <v>2.4180199999999999E-5</v>
      </c>
      <c r="I71" s="4">
        <f t="shared" si="14"/>
        <v>0.45691679552674602</v>
      </c>
      <c r="J71" s="4">
        <f t="shared" si="15"/>
        <v>14.037200013932589</v>
      </c>
      <c r="L71" s="5">
        <v>6.09529E-6</v>
      </c>
      <c r="M71" s="5">
        <v>2.42979E-5</v>
      </c>
      <c r="N71" s="4">
        <f t="shared" si="16"/>
        <v>0.84338427989893694</v>
      </c>
      <c r="O71" s="4">
        <f t="shared" si="17"/>
        <v>16.409849462075112</v>
      </c>
      <c r="Q71">
        <f t="shared" si="18"/>
        <v>4.3717533333333331E-6</v>
      </c>
      <c r="R71">
        <f t="shared" si="19"/>
        <v>2.4930833333333332E-5</v>
      </c>
      <c r="T71">
        <f t="shared" si="20"/>
        <v>0.51464157982786018</v>
      </c>
      <c r="U71">
        <f t="shared" si="21"/>
        <v>14.413821285418587</v>
      </c>
      <c r="W71">
        <f t="shared" si="22"/>
        <v>0.24823015143271548</v>
      </c>
      <c r="X71">
        <f t="shared" si="23"/>
        <v>1.4998278555283775</v>
      </c>
    </row>
    <row r="72" spans="1:24" x14ac:dyDescent="0.2">
      <c r="A72">
        <v>455.601</v>
      </c>
      <c r="B72">
        <v>2.89763E-6</v>
      </c>
      <c r="C72">
        <v>2.62771E-5</v>
      </c>
      <c r="D72">
        <f t="shared" si="12"/>
        <v>0.24384667171589666</v>
      </c>
      <c r="E72">
        <f t="shared" si="13"/>
        <v>12.776278619737347</v>
      </c>
      <c r="G72" s="5">
        <v>4.0826399999999999E-6</v>
      </c>
      <c r="H72" s="5">
        <v>2.4042499999999999E-5</v>
      </c>
      <c r="I72" s="4">
        <f t="shared" si="14"/>
        <v>0.45222577172049255</v>
      </c>
      <c r="J72" s="4">
        <f t="shared" si="15"/>
        <v>13.957261781745986</v>
      </c>
      <c r="L72" s="5">
        <v>6.0021399999999999E-6</v>
      </c>
      <c r="M72" s="5">
        <v>2.4155099999999998E-5</v>
      </c>
      <c r="N72" s="4">
        <f t="shared" si="16"/>
        <v>0.83049543528734582</v>
      </c>
      <c r="O72" s="4">
        <f t="shared" si="17"/>
        <v>16.313407938190977</v>
      </c>
      <c r="Q72">
        <f t="shared" si="18"/>
        <v>4.3274700000000001E-6</v>
      </c>
      <c r="R72">
        <f t="shared" si="19"/>
        <v>2.48249E-5</v>
      </c>
      <c r="T72">
        <f t="shared" si="20"/>
        <v>0.50885595957457841</v>
      </c>
      <c r="U72">
        <f t="shared" si="21"/>
        <v>14.348982779891436</v>
      </c>
      <c r="W72">
        <f t="shared" si="22"/>
        <v>0.24282288000690178</v>
      </c>
      <c r="X72">
        <f t="shared" si="23"/>
        <v>1.4703525561708168</v>
      </c>
    </row>
    <row r="73" spans="1:24" x14ac:dyDescent="0.2">
      <c r="A73">
        <v>461.72699999999998</v>
      </c>
      <c r="B73">
        <v>2.8827099999999998E-6</v>
      </c>
      <c r="C73">
        <v>2.6179599999999999E-5</v>
      </c>
      <c r="D73">
        <f t="shared" si="12"/>
        <v>0.24259109652444666</v>
      </c>
      <c r="E73">
        <f t="shared" si="13"/>
        <v>12.728872811431849</v>
      </c>
      <c r="G73" s="5">
        <v>4.0366100000000003E-6</v>
      </c>
      <c r="H73" s="5">
        <v>2.39396E-5</v>
      </c>
      <c r="I73" s="4">
        <f t="shared" si="14"/>
        <v>0.44712712176059061</v>
      </c>
      <c r="J73" s="4">
        <f t="shared" si="15"/>
        <v>13.897525804316778</v>
      </c>
      <c r="L73" s="5">
        <v>5.8972199999999998E-6</v>
      </c>
      <c r="M73" s="5">
        <v>2.39735E-5</v>
      </c>
      <c r="N73" s="4">
        <f t="shared" si="16"/>
        <v>0.81597801632171885</v>
      </c>
      <c r="O73" s="4">
        <f t="shared" si="17"/>
        <v>16.190762414820117</v>
      </c>
      <c r="Q73">
        <f t="shared" si="18"/>
        <v>4.2721799999999998E-6</v>
      </c>
      <c r="R73">
        <f t="shared" si="19"/>
        <v>2.4697566666666669E-5</v>
      </c>
      <c r="T73">
        <f t="shared" si="20"/>
        <v>0.50189874486891872</v>
      </c>
      <c r="U73">
        <f t="shared" si="21"/>
        <v>14.272387010189581</v>
      </c>
      <c r="W73">
        <f t="shared" si="22"/>
        <v>0.23726649991390333</v>
      </c>
      <c r="X73">
        <f t="shared" si="23"/>
        <v>1.4379523866162935</v>
      </c>
    </row>
    <row r="74" spans="1:24" x14ac:dyDescent="0.2">
      <c r="A74">
        <v>467.90100000000001</v>
      </c>
      <c r="B74">
        <v>2.87431E-6</v>
      </c>
      <c r="C74">
        <v>2.6143600000000002E-5</v>
      </c>
      <c r="D74">
        <f t="shared" si="12"/>
        <v>0.241884204325507</v>
      </c>
      <c r="E74">
        <f t="shared" si="13"/>
        <v>12.711369128365204</v>
      </c>
      <c r="G74" s="5">
        <v>3.9926999999999999E-6</v>
      </c>
      <c r="H74" s="5">
        <v>2.38653E-5</v>
      </c>
      <c r="I74" s="4">
        <f t="shared" si="14"/>
        <v>0.44226329991094254</v>
      </c>
      <c r="J74" s="4">
        <f t="shared" si="15"/>
        <v>13.854392829360609</v>
      </c>
      <c r="L74" s="5">
        <v>5.8141699999999998E-6</v>
      </c>
      <c r="M74" s="5">
        <v>2.38605E-5</v>
      </c>
      <c r="N74" s="4">
        <f t="shared" si="16"/>
        <v>0.80448667391707418</v>
      </c>
      <c r="O74" s="4">
        <f t="shared" si="17"/>
        <v>16.114446643119088</v>
      </c>
      <c r="Q74">
        <f t="shared" si="18"/>
        <v>4.2270599999999995E-6</v>
      </c>
      <c r="R74">
        <f t="shared" si="19"/>
        <v>2.4623133333333335E-5</v>
      </c>
      <c r="T74">
        <f t="shared" si="20"/>
        <v>0.49621139271784126</v>
      </c>
      <c r="U74">
        <f t="shared" si="21"/>
        <v>14.226736200281634</v>
      </c>
      <c r="W74">
        <f t="shared" si="22"/>
        <v>0.2328278079550907</v>
      </c>
      <c r="X74">
        <f t="shared" si="23"/>
        <v>1.4140282487177054</v>
      </c>
    </row>
    <row r="75" spans="1:24" x14ac:dyDescent="0.2">
      <c r="A75">
        <v>474.11200000000002</v>
      </c>
      <c r="B75">
        <v>2.8671999999999998E-6</v>
      </c>
      <c r="C75">
        <v>2.61211E-5</v>
      </c>
      <c r="D75">
        <f t="shared" si="12"/>
        <v>0.24128587057140452</v>
      </c>
      <c r="E75">
        <f t="shared" si="13"/>
        <v>12.700429326448551</v>
      </c>
      <c r="G75" s="5">
        <v>3.9613399999999999E-6</v>
      </c>
      <c r="H75" s="5">
        <v>2.3821599999999999E-5</v>
      </c>
      <c r="I75" s="4">
        <f t="shared" si="14"/>
        <v>0.43878961616680767</v>
      </c>
      <c r="J75" s="4">
        <f t="shared" si="15"/>
        <v>13.829023906001462</v>
      </c>
      <c r="L75" s="5">
        <v>5.7547899999999997E-6</v>
      </c>
      <c r="M75" s="5">
        <v>2.3818100000000002E-5</v>
      </c>
      <c r="N75" s="4">
        <f t="shared" si="16"/>
        <v>0.79627046787266953</v>
      </c>
      <c r="O75" s="4">
        <f t="shared" si="17"/>
        <v>16.085811344710912</v>
      </c>
      <c r="Q75">
        <f t="shared" si="18"/>
        <v>4.1944433333333333E-6</v>
      </c>
      <c r="R75">
        <f t="shared" si="19"/>
        <v>2.4586933333333333E-5</v>
      </c>
      <c r="T75">
        <f t="shared" si="20"/>
        <v>0.49211531820362725</v>
      </c>
      <c r="U75">
        <f t="shared" si="21"/>
        <v>14.205088192386976</v>
      </c>
      <c r="W75">
        <f t="shared" si="22"/>
        <v>0.22968775715987638</v>
      </c>
      <c r="X75">
        <f t="shared" si="23"/>
        <v>1.4074258092973657</v>
      </c>
    </row>
    <row r="76" spans="1:24" x14ac:dyDescent="0.2">
      <c r="A76">
        <v>480.45699999999999</v>
      </c>
      <c r="B76">
        <v>2.8612600000000002E-6</v>
      </c>
      <c r="C76">
        <v>2.6123699999999999E-5</v>
      </c>
      <c r="D76">
        <f t="shared" si="12"/>
        <v>0.24078599680215437</v>
      </c>
      <c r="E76">
        <f t="shared" si="13"/>
        <v>12.701693481336699</v>
      </c>
      <c r="G76" s="5">
        <v>3.9314299999999997E-6</v>
      </c>
      <c r="H76" s="5">
        <v>2.3785200000000001E-5</v>
      </c>
      <c r="I76" s="4">
        <f t="shared" si="14"/>
        <v>0.43547654598864849</v>
      </c>
      <c r="J76" s="4">
        <f t="shared" si="15"/>
        <v>13.807892811944875</v>
      </c>
      <c r="L76" s="5">
        <v>5.7063400000000002E-6</v>
      </c>
      <c r="M76" s="5">
        <v>2.37557E-5</v>
      </c>
      <c r="N76" s="4">
        <f t="shared" si="16"/>
        <v>0.78956660827598035</v>
      </c>
      <c r="O76" s="4">
        <f t="shared" si="17"/>
        <v>16.043668830072466</v>
      </c>
      <c r="Q76">
        <f t="shared" si="18"/>
        <v>4.1663433333333327E-6</v>
      </c>
      <c r="R76">
        <f t="shared" si="19"/>
        <v>2.4554866666666664E-5</v>
      </c>
      <c r="T76">
        <f t="shared" si="20"/>
        <v>0.48860971702226114</v>
      </c>
      <c r="U76">
        <f t="shared" si="21"/>
        <v>14.184418374451345</v>
      </c>
      <c r="W76">
        <f t="shared" si="22"/>
        <v>0.22716717820504187</v>
      </c>
      <c r="X76">
        <f t="shared" si="23"/>
        <v>1.3900907481899636</v>
      </c>
    </row>
    <row r="77" spans="1:24" x14ac:dyDescent="0.2">
      <c r="A77">
        <v>486.59</v>
      </c>
      <c r="B77">
        <v>2.8496600000000002E-6</v>
      </c>
      <c r="C77">
        <v>2.6087600000000001E-5</v>
      </c>
      <c r="D77">
        <f t="shared" si="12"/>
        <v>0.23980981233695195</v>
      </c>
      <c r="E77">
        <f t="shared" si="13"/>
        <v>12.684141176928202</v>
      </c>
      <c r="G77" s="5">
        <v>3.9045100000000003E-6</v>
      </c>
      <c r="H77" s="5">
        <v>2.37479E-5</v>
      </c>
      <c r="I77" s="4">
        <f t="shared" si="14"/>
        <v>0.43249467206032877</v>
      </c>
      <c r="J77" s="4">
        <f t="shared" si="15"/>
        <v>13.78623924578249</v>
      </c>
      <c r="L77" s="5">
        <v>5.6573699999999998E-6</v>
      </c>
      <c r="M77" s="5">
        <v>2.3707099999999999E-5</v>
      </c>
      <c r="N77" s="4">
        <f t="shared" si="16"/>
        <v>0.7827907980706168</v>
      </c>
      <c r="O77" s="4">
        <f t="shared" si="17"/>
        <v>16.010846294632909</v>
      </c>
      <c r="Q77">
        <f t="shared" si="18"/>
        <v>4.1371800000000003E-6</v>
      </c>
      <c r="R77">
        <f t="shared" si="19"/>
        <v>2.45142E-5</v>
      </c>
      <c r="T77">
        <f t="shared" si="20"/>
        <v>0.4850317608226325</v>
      </c>
      <c r="U77">
        <f t="shared" si="21"/>
        <v>14.160408905781201</v>
      </c>
      <c r="W77">
        <f t="shared" si="22"/>
        <v>0.22476238859261899</v>
      </c>
      <c r="X77">
        <f t="shared" si="23"/>
        <v>1.3836531202793894</v>
      </c>
    </row>
    <row r="78" spans="1:24" x14ac:dyDescent="0.2">
      <c r="A78">
        <v>492.80599999999998</v>
      </c>
      <c r="B78">
        <v>2.8422800000000002E-6</v>
      </c>
      <c r="C78">
        <v>2.6053800000000001E-5</v>
      </c>
      <c r="D78">
        <f t="shared" si="12"/>
        <v>0.23918875704788353</v>
      </c>
      <c r="E78">
        <f t="shared" si="13"/>
        <v>12.667707163382296</v>
      </c>
      <c r="G78" s="5">
        <v>3.8890000000000004E-6</v>
      </c>
      <c r="H78" s="5">
        <v>2.3741299999999999E-5</v>
      </c>
      <c r="I78" s="4">
        <f t="shared" si="14"/>
        <v>0.43077666074427223</v>
      </c>
      <c r="J78" s="4">
        <f t="shared" si="15"/>
        <v>13.782407783673326</v>
      </c>
      <c r="L78" s="5">
        <v>5.5785699999999999E-6</v>
      </c>
      <c r="M78" s="5">
        <v>2.3634499999999999E-5</v>
      </c>
      <c r="N78" s="4">
        <f t="shared" si="16"/>
        <v>0.77188751352533069</v>
      </c>
      <c r="O78" s="4">
        <f t="shared" si="17"/>
        <v>15.961815099717025</v>
      </c>
      <c r="Q78">
        <f t="shared" si="18"/>
        <v>4.1032833333333335E-6</v>
      </c>
      <c r="R78">
        <f t="shared" si="19"/>
        <v>2.4476533333333335E-5</v>
      </c>
      <c r="T78">
        <f t="shared" si="20"/>
        <v>0.48061764377249555</v>
      </c>
      <c r="U78">
        <f t="shared" si="21"/>
        <v>14.137310015590884</v>
      </c>
      <c r="W78">
        <f t="shared" si="22"/>
        <v>0.22031051416893277</v>
      </c>
      <c r="X78">
        <f t="shared" si="23"/>
        <v>1.368028622926901</v>
      </c>
    </row>
    <row r="79" spans="1:24" x14ac:dyDescent="0.2">
      <c r="A79">
        <v>499.017</v>
      </c>
      <c r="B79">
        <v>2.8359100000000001E-6</v>
      </c>
      <c r="C79">
        <v>2.6074199999999998E-5</v>
      </c>
      <c r="D79">
        <f t="shared" si="12"/>
        <v>0.23865269713035431</v>
      </c>
      <c r="E79">
        <f t="shared" si="13"/>
        <v>12.677625917120061</v>
      </c>
      <c r="G79" s="5">
        <v>3.8554899999999999E-6</v>
      </c>
      <c r="H79" s="5">
        <v>2.3714699999999998E-5</v>
      </c>
      <c r="I79" s="4">
        <f t="shared" si="14"/>
        <v>0.4270648258505873</v>
      </c>
      <c r="J79" s="4">
        <f t="shared" si="15"/>
        <v>13.766965830324279</v>
      </c>
      <c r="L79" s="5">
        <v>5.5374700000000004E-6</v>
      </c>
      <c r="M79" s="5">
        <v>2.3597100000000001E-5</v>
      </c>
      <c r="N79" s="4">
        <f t="shared" si="16"/>
        <v>0.76620064810894428</v>
      </c>
      <c r="O79" s="4">
        <f t="shared" si="17"/>
        <v>15.93655660536642</v>
      </c>
      <c r="Q79">
        <f t="shared" si="18"/>
        <v>4.0762900000000004E-6</v>
      </c>
      <c r="R79">
        <f t="shared" si="19"/>
        <v>2.4462000000000001E-5</v>
      </c>
      <c r="T79">
        <f t="shared" si="20"/>
        <v>0.47730605702996193</v>
      </c>
      <c r="U79">
        <f t="shared" si="21"/>
        <v>14.127049450936921</v>
      </c>
      <c r="W79">
        <f t="shared" si="22"/>
        <v>0.21828092927577186</v>
      </c>
      <c r="X79">
        <f t="shared" si="23"/>
        <v>1.3545977184078435</v>
      </c>
    </row>
    <row r="80" spans="1:24" x14ac:dyDescent="0.2">
      <c r="A80">
        <v>505.20699999999999</v>
      </c>
      <c r="B80">
        <v>2.8327800000000001E-6</v>
      </c>
      <c r="C80">
        <v>2.6080100000000001E-5</v>
      </c>
      <c r="D80">
        <f t="shared" si="12"/>
        <v>0.23838929563241607</v>
      </c>
      <c r="E80">
        <f t="shared" si="13"/>
        <v>12.680494576289316</v>
      </c>
      <c r="G80" s="5">
        <v>3.8361399999999998E-6</v>
      </c>
      <c r="H80" s="5">
        <v>2.36797E-5</v>
      </c>
      <c r="I80" s="4">
        <f t="shared" si="14"/>
        <v>0.42492146550463672</v>
      </c>
      <c r="J80" s="4">
        <f t="shared" si="15"/>
        <v>13.746647470654484</v>
      </c>
      <c r="L80" s="5">
        <v>5.48012E-6</v>
      </c>
      <c r="M80" s="5">
        <v>2.3498000000000001E-5</v>
      </c>
      <c r="N80" s="4">
        <f t="shared" si="16"/>
        <v>0.75826532617148046</v>
      </c>
      <c r="O80" s="4">
        <f t="shared" si="17"/>
        <v>15.869628348945424</v>
      </c>
      <c r="Q80">
        <f t="shared" si="18"/>
        <v>4.0496799999999998E-6</v>
      </c>
      <c r="R80">
        <f t="shared" si="19"/>
        <v>2.4419266666666665E-5</v>
      </c>
      <c r="T80">
        <f t="shared" si="20"/>
        <v>0.47385869576951106</v>
      </c>
      <c r="U80">
        <f t="shared" si="21"/>
        <v>14.098923465296409</v>
      </c>
      <c r="W80">
        <f t="shared" si="22"/>
        <v>0.21504094363905304</v>
      </c>
      <c r="X80">
        <f t="shared" si="23"/>
        <v>1.3255734198890841</v>
      </c>
    </row>
    <row r="81" spans="1:24" x14ac:dyDescent="0.2">
      <c r="A81">
        <v>518.327</v>
      </c>
      <c r="B81">
        <v>6.8194700000000002E-4</v>
      </c>
      <c r="C81">
        <v>1.6096E-4</v>
      </c>
      <c r="D81">
        <f t="shared" si="12"/>
        <v>57.388454094083983</v>
      </c>
      <c r="E81">
        <f t="shared" si="13"/>
        <v>78.260911844645094</v>
      </c>
      <c r="G81" s="5">
        <v>5.4291599999999995E-4</v>
      </c>
      <c r="H81" s="5">
        <v>1.42652E-4</v>
      </c>
      <c r="I81" s="4">
        <f t="shared" si="14"/>
        <v>60.137706748428201</v>
      </c>
      <c r="J81" s="4">
        <f t="shared" si="15"/>
        <v>82.812989817599174</v>
      </c>
      <c r="L81" s="5">
        <v>4.32972E-4</v>
      </c>
      <c r="M81" s="5">
        <v>1.2853800000000001E-4</v>
      </c>
      <c r="N81" s="4">
        <f t="shared" si="16"/>
        <v>59.908844113471652</v>
      </c>
      <c r="O81" s="4">
        <f t="shared" si="17"/>
        <v>86.809527990328831</v>
      </c>
      <c r="Q81">
        <f t="shared" si="18"/>
        <v>5.5261166666666669E-4</v>
      </c>
      <c r="R81">
        <f t="shared" si="19"/>
        <v>1.4404999999999998E-4</v>
      </c>
      <c r="T81">
        <f t="shared" si="20"/>
        <v>59.145001651994612</v>
      </c>
      <c r="U81">
        <f t="shared" si="21"/>
        <v>82.627809884191038</v>
      </c>
      <c r="W81">
        <f t="shared" si="22"/>
        <v>1.2455759093209748</v>
      </c>
      <c r="X81">
        <f t="shared" si="23"/>
        <v>3.4924135119201787</v>
      </c>
    </row>
    <row r="82" spans="1:24" x14ac:dyDescent="0.2">
      <c r="A82">
        <v>524.44100000000003</v>
      </c>
      <c r="B82">
        <v>7.0152799999999998E-4</v>
      </c>
      <c r="C82">
        <v>1.54437E-4</v>
      </c>
      <c r="D82">
        <f t="shared" si="12"/>
        <v>59.036270302112257</v>
      </c>
      <c r="E82">
        <f t="shared" si="13"/>
        <v>75.089341715652665</v>
      </c>
      <c r="G82" s="5">
        <v>5.5835300000000004E-4</v>
      </c>
      <c r="H82" s="5">
        <v>1.4034900000000001E-4</v>
      </c>
      <c r="I82" s="4">
        <f t="shared" si="14"/>
        <v>61.847632002197642</v>
      </c>
      <c r="J82" s="4">
        <f t="shared" si="15"/>
        <v>81.476041751326505</v>
      </c>
      <c r="L82" s="5">
        <v>4.4793799999999999E-4</v>
      </c>
      <c r="M82" s="5">
        <v>1.2566899999999999E-4</v>
      </c>
      <c r="N82" s="4">
        <f t="shared" si="16"/>
        <v>61.979637977745114</v>
      </c>
      <c r="O82" s="4">
        <f t="shared" si="17"/>
        <v>84.871917822096449</v>
      </c>
      <c r="Q82">
        <f t="shared" si="18"/>
        <v>5.6927300000000002E-4</v>
      </c>
      <c r="R82">
        <f t="shared" si="19"/>
        <v>1.4015166666666668E-4</v>
      </c>
      <c r="T82">
        <f t="shared" si="20"/>
        <v>60.954513427351664</v>
      </c>
      <c r="U82">
        <f t="shared" si="21"/>
        <v>80.479100429691869</v>
      </c>
      <c r="W82">
        <f t="shared" si="22"/>
        <v>1.3574728751228058</v>
      </c>
      <c r="X82">
        <f t="shared" si="23"/>
        <v>4.0554586932247396</v>
      </c>
    </row>
    <row r="83" spans="1:24" x14ac:dyDescent="0.2">
      <c r="A83">
        <v>530.67700000000002</v>
      </c>
      <c r="B83">
        <v>7.1381899999999998E-4</v>
      </c>
      <c r="C83">
        <v>1.5245100000000001E-4</v>
      </c>
      <c r="D83">
        <f t="shared" si="12"/>
        <v>60.070605066060757</v>
      </c>
      <c r="E83">
        <f t="shared" si="13"/>
        <v>74.123721866476075</v>
      </c>
      <c r="G83" s="5">
        <v>5.6786499999999997E-4</v>
      </c>
      <c r="H83" s="5">
        <v>1.3742600000000001E-4</v>
      </c>
      <c r="I83" s="4">
        <f t="shared" si="14"/>
        <v>62.901256994997723</v>
      </c>
      <c r="J83" s="4">
        <f t="shared" si="15"/>
        <v>79.779168456617398</v>
      </c>
      <c r="L83" s="5">
        <v>4.5812499999999998E-4</v>
      </c>
      <c r="M83" s="5">
        <v>1.22235E-4</v>
      </c>
      <c r="N83" s="4">
        <f t="shared" si="16"/>
        <v>63.38917807498914</v>
      </c>
      <c r="O83" s="4">
        <f t="shared" si="17"/>
        <v>82.552728795358917</v>
      </c>
      <c r="Q83">
        <f t="shared" si="18"/>
        <v>5.7993633333333335E-4</v>
      </c>
      <c r="R83">
        <f t="shared" si="19"/>
        <v>1.3737066666666666E-4</v>
      </c>
      <c r="T83">
        <f t="shared" si="20"/>
        <v>62.120346712015873</v>
      </c>
      <c r="U83">
        <f t="shared" si="21"/>
        <v>78.818539706150787</v>
      </c>
      <c r="W83">
        <f t="shared" si="22"/>
        <v>1.4630099923211026</v>
      </c>
      <c r="X83">
        <f t="shared" si="23"/>
        <v>3.5075295341076376</v>
      </c>
    </row>
    <row r="84" spans="1:24" x14ac:dyDescent="0.2">
      <c r="A84">
        <v>536.91800000000001</v>
      </c>
      <c r="B84">
        <v>7.2259400000000001E-4</v>
      </c>
      <c r="C84">
        <v>1.5081799999999999E-4</v>
      </c>
      <c r="D84">
        <f t="shared" si="12"/>
        <v>60.809054952453089</v>
      </c>
      <c r="E84">
        <f t="shared" si="13"/>
        <v>73.329735354036302</v>
      </c>
      <c r="G84" s="5">
        <v>5.7479600000000003E-4</v>
      </c>
      <c r="H84" s="5">
        <v>1.3553299999999999E-4</v>
      </c>
      <c r="I84" s="4">
        <f t="shared" si="14"/>
        <v>63.668989840361199</v>
      </c>
      <c r="J84" s="4">
        <f t="shared" si="15"/>
        <v>78.680235460762333</v>
      </c>
      <c r="L84" s="5">
        <v>4.6664299999999998E-4</v>
      </c>
      <c r="M84" s="5">
        <v>1.19935E-4</v>
      </c>
      <c r="N84" s="4">
        <f t="shared" si="16"/>
        <v>64.567784391699107</v>
      </c>
      <c r="O84" s="4">
        <f t="shared" si="17"/>
        <v>80.999398928877753</v>
      </c>
      <c r="Q84">
        <f t="shared" si="18"/>
        <v>5.8801099999999994E-4</v>
      </c>
      <c r="R84">
        <f t="shared" si="19"/>
        <v>1.3542866666666666E-4</v>
      </c>
      <c r="T84">
        <f t="shared" si="20"/>
        <v>63.015276394837798</v>
      </c>
      <c r="U84">
        <f t="shared" si="21"/>
        <v>77.669789914558791</v>
      </c>
      <c r="W84">
        <f t="shared" si="22"/>
        <v>1.6026057325508414</v>
      </c>
      <c r="X84">
        <f t="shared" si="23"/>
        <v>3.2116127816819553</v>
      </c>
    </row>
    <row r="85" spans="1:24" x14ac:dyDescent="0.2">
      <c r="A85">
        <v>543.17700000000002</v>
      </c>
      <c r="B85">
        <v>7.2929899999999998E-4</v>
      </c>
      <c r="C85">
        <v>1.5071799999999999E-4</v>
      </c>
      <c r="D85">
        <f t="shared" si="12"/>
        <v>61.373306404106707</v>
      </c>
      <c r="E85">
        <f t="shared" si="13"/>
        <v>73.281114012184517</v>
      </c>
      <c r="G85" s="5">
        <v>5.8145199999999999E-4</v>
      </c>
      <c r="H85" s="5">
        <v>1.3464600000000001E-4</v>
      </c>
      <c r="I85" s="4">
        <f t="shared" si="14"/>
        <v>64.406261492177563</v>
      </c>
      <c r="J85" s="4">
        <f t="shared" si="15"/>
        <v>78.165310174273486</v>
      </c>
      <c r="L85" s="5">
        <v>4.74501E-4</v>
      </c>
      <c r="M85" s="5">
        <v>1.19153E-4</v>
      </c>
      <c r="N85" s="4">
        <f t="shared" si="16"/>
        <v>65.655068782014553</v>
      </c>
      <c r="O85" s="4">
        <f t="shared" si="17"/>
        <v>80.47126677427417</v>
      </c>
      <c r="Q85">
        <f t="shared" si="18"/>
        <v>5.9508399999999996E-4</v>
      </c>
      <c r="R85">
        <f t="shared" si="19"/>
        <v>1.3483899999999999E-4</v>
      </c>
      <c r="T85">
        <f t="shared" si="20"/>
        <v>63.811545559432943</v>
      </c>
      <c r="U85">
        <f t="shared" si="21"/>
        <v>77.305896986910724</v>
      </c>
      <c r="W85">
        <f t="shared" si="22"/>
        <v>1.7978946105027018</v>
      </c>
      <c r="X85">
        <f t="shared" si="23"/>
        <v>2.9976121002676042</v>
      </c>
    </row>
    <row r="86" spans="1:24" x14ac:dyDescent="0.2">
      <c r="A86">
        <v>549.27800000000002</v>
      </c>
      <c r="B86">
        <v>7.3373600000000002E-4</v>
      </c>
      <c r="C86">
        <v>1.50328E-4</v>
      </c>
      <c r="D86">
        <f t="shared" si="12"/>
        <v>61.74669696204662</v>
      </c>
      <c r="E86">
        <f t="shared" si="13"/>
        <v>73.091490778962523</v>
      </c>
      <c r="G86" s="5">
        <v>5.8675100000000005E-4</v>
      </c>
      <c r="H86" s="5">
        <v>1.3430699999999999E-4</v>
      </c>
      <c r="I86" s="4">
        <f t="shared" si="14"/>
        <v>64.993220999836083</v>
      </c>
      <c r="J86" s="4">
        <f t="shared" si="15"/>
        <v>77.968512347757425</v>
      </c>
      <c r="L86" s="5">
        <v>4.80588E-4</v>
      </c>
      <c r="M86" s="5">
        <v>1.18831E-4</v>
      </c>
      <c r="N86" s="4">
        <f t="shared" si="16"/>
        <v>66.49730600317136</v>
      </c>
      <c r="O86" s="4">
        <f t="shared" si="17"/>
        <v>80.253800592966797</v>
      </c>
      <c r="Q86">
        <f t="shared" si="18"/>
        <v>6.0035833333333332E-4</v>
      </c>
      <c r="R86">
        <f t="shared" si="19"/>
        <v>1.3448866666666666E-4</v>
      </c>
      <c r="T86">
        <f t="shared" si="20"/>
        <v>64.412407988351347</v>
      </c>
      <c r="U86">
        <f t="shared" si="21"/>
        <v>77.104601239895587</v>
      </c>
      <c r="W86">
        <f t="shared" si="22"/>
        <v>1.9824361076104489</v>
      </c>
      <c r="X86">
        <f t="shared" si="23"/>
        <v>2.9871309835872943</v>
      </c>
    </row>
    <row r="87" spans="1:24" x14ac:dyDescent="0.2">
      <c r="A87">
        <v>555.61199999999997</v>
      </c>
      <c r="B87">
        <v>7.3799E-4</v>
      </c>
      <c r="C87">
        <v>1.5023400000000001E-4</v>
      </c>
      <c r="D87">
        <f t="shared" si="12"/>
        <v>62.104687368509637</v>
      </c>
      <c r="E87">
        <f t="shared" si="13"/>
        <v>73.045786717621837</v>
      </c>
      <c r="G87" s="5">
        <v>5.9081499999999996E-4</v>
      </c>
      <c r="H87" s="5">
        <v>1.34905E-4</v>
      </c>
      <c r="I87" s="4">
        <f t="shared" si="14"/>
        <v>65.443382056473936</v>
      </c>
      <c r="J87" s="4">
        <f t="shared" si="15"/>
        <v>78.315666035829963</v>
      </c>
      <c r="L87" s="5">
        <v>4.8487600000000002E-4</v>
      </c>
      <c r="M87" s="5">
        <v>1.1954499999999999E-4</v>
      </c>
      <c r="N87" s="4">
        <f t="shared" si="16"/>
        <v>67.090621791625509</v>
      </c>
      <c r="O87" s="4">
        <f t="shared" si="17"/>
        <v>80.736008212387461</v>
      </c>
      <c r="Q87">
        <f t="shared" si="18"/>
        <v>6.0456033333333335E-4</v>
      </c>
      <c r="R87">
        <f t="shared" si="19"/>
        <v>1.3489466666666665E-4</v>
      </c>
      <c r="T87">
        <f t="shared" si="20"/>
        <v>64.879563738869692</v>
      </c>
      <c r="U87">
        <f t="shared" si="21"/>
        <v>77.36582032194643</v>
      </c>
      <c r="W87">
        <f t="shared" si="22"/>
        <v>2.0741751516128861</v>
      </c>
      <c r="X87">
        <f t="shared" si="23"/>
        <v>3.210558811149653</v>
      </c>
    </row>
    <row r="88" spans="1:24" x14ac:dyDescent="0.2">
      <c r="A88">
        <v>561.73</v>
      </c>
      <c r="B88">
        <v>7.4184000000000001E-4</v>
      </c>
      <c r="C88">
        <v>1.50688E-4</v>
      </c>
      <c r="D88">
        <f t="shared" si="12"/>
        <v>62.428679626356988</v>
      </c>
      <c r="E88">
        <f t="shared" si="13"/>
        <v>73.26652760962898</v>
      </c>
      <c r="G88" s="5">
        <v>5.9358299999999996E-4</v>
      </c>
      <c r="H88" s="5">
        <v>1.3569999999999999E-4</v>
      </c>
      <c r="I88" s="4">
        <f t="shared" si="14"/>
        <v>65.749987815522587</v>
      </c>
      <c r="J88" s="4">
        <f t="shared" si="15"/>
        <v>78.777183062615379</v>
      </c>
      <c r="L88" s="5">
        <v>4.8880400000000002E-4</v>
      </c>
      <c r="M88" s="5">
        <v>1.19839E-4</v>
      </c>
      <c r="N88" s="4">
        <f t="shared" si="16"/>
        <v>67.634125620228076</v>
      </c>
      <c r="O88" s="4">
        <f t="shared" si="17"/>
        <v>80.93456429097246</v>
      </c>
      <c r="Q88">
        <f t="shared" si="18"/>
        <v>6.0807566666666666E-4</v>
      </c>
      <c r="R88">
        <f t="shared" si="19"/>
        <v>1.3540899999999999E-4</v>
      </c>
      <c r="T88">
        <f t="shared" si="20"/>
        <v>65.270931020702548</v>
      </c>
      <c r="U88">
        <f t="shared" si="21"/>
        <v>77.65942498773893</v>
      </c>
      <c r="W88">
        <f t="shared" si="22"/>
        <v>2.1519430844819563</v>
      </c>
      <c r="X88">
        <f t="shared" si="23"/>
        <v>3.2286977738267684</v>
      </c>
    </row>
    <row r="89" spans="1:24" x14ac:dyDescent="0.2">
      <c r="A89">
        <v>567.92600000000004</v>
      </c>
      <c r="B89">
        <v>7.4464400000000004E-4</v>
      </c>
      <c r="C89">
        <v>1.4942699999999999E-4</v>
      </c>
      <c r="D89">
        <f t="shared" si="12"/>
        <v>62.664646974669701</v>
      </c>
      <c r="E89">
        <f t="shared" si="13"/>
        <v>72.653412488877862</v>
      </c>
      <c r="G89" s="5">
        <v>5.96657E-4</v>
      </c>
      <c r="H89" s="5">
        <v>1.3562000000000001E-4</v>
      </c>
      <c r="I89" s="4">
        <f t="shared" si="14"/>
        <v>66.090488575390907</v>
      </c>
      <c r="J89" s="4">
        <f t="shared" si="15"/>
        <v>78.730741097655837</v>
      </c>
      <c r="L89" s="5">
        <v>4.9328600000000001E-4</v>
      </c>
      <c r="M89" s="5">
        <v>1.19776E-4</v>
      </c>
      <c r="N89" s="4">
        <f t="shared" si="16"/>
        <v>68.254284520379997</v>
      </c>
      <c r="O89" s="4">
        <f t="shared" si="17"/>
        <v>80.892016559847107</v>
      </c>
      <c r="Q89">
        <f t="shared" si="18"/>
        <v>6.1152899999999998E-4</v>
      </c>
      <c r="R89">
        <f t="shared" si="19"/>
        <v>1.3494099999999999E-4</v>
      </c>
      <c r="T89">
        <f t="shared" si="20"/>
        <v>65.669806690146871</v>
      </c>
      <c r="U89">
        <f t="shared" si="21"/>
        <v>77.425390048793602</v>
      </c>
      <c r="W89">
        <f t="shared" si="22"/>
        <v>2.3012665946579527</v>
      </c>
      <c r="X89">
        <f t="shared" si="23"/>
        <v>3.4877504956750234</v>
      </c>
    </row>
    <row r="90" spans="1:24" x14ac:dyDescent="0.2">
      <c r="A90">
        <v>574.19000000000005</v>
      </c>
      <c r="B90">
        <v>7.4759800000000003E-4</v>
      </c>
      <c r="C90">
        <v>1.49918E-4</v>
      </c>
      <c r="D90">
        <f t="shared" si="12"/>
        <v>62.913237397963485</v>
      </c>
      <c r="E90">
        <f t="shared" si="13"/>
        <v>72.892143277370167</v>
      </c>
      <c r="G90" s="5">
        <v>5.9893800000000003E-4</v>
      </c>
      <c r="H90" s="5">
        <v>1.35683E-4</v>
      </c>
      <c r="I90" s="4">
        <f t="shared" si="14"/>
        <v>66.343150329867044</v>
      </c>
      <c r="J90" s="4">
        <f t="shared" si="15"/>
        <v>78.767314145061476</v>
      </c>
      <c r="L90" s="5">
        <v>4.9652699999999997E-4</v>
      </c>
      <c r="M90" s="5">
        <v>1.20161E-4</v>
      </c>
      <c r="N90" s="4">
        <f t="shared" si="16"/>
        <v>68.702730525599193</v>
      </c>
      <c r="O90" s="4">
        <f t="shared" si="17"/>
        <v>81.152030472279819</v>
      </c>
      <c r="Q90">
        <f t="shared" si="18"/>
        <v>6.1435433333333338E-4</v>
      </c>
      <c r="R90">
        <f t="shared" si="19"/>
        <v>1.3525400000000002E-4</v>
      </c>
      <c r="T90">
        <f t="shared" si="20"/>
        <v>65.986372751143236</v>
      </c>
      <c r="U90">
        <f t="shared" si="21"/>
        <v>77.603829298237159</v>
      </c>
      <c r="W90">
        <f t="shared" si="22"/>
        <v>2.3769764196341661</v>
      </c>
      <c r="X90">
        <f t="shared" si="23"/>
        <v>3.4709947526850251</v>
      </c>
    </row>
    <row r="91" spans="1:24" x14ac:dyDescent="0.2">
      <c r="A91">
        <v>580.33500000000004</v>
      </c>
      <c r="B91">
        <v>7.5020700000000002E-4</v>
      </c>
      <c r="C91">
        <v>1.4959199999999999E-4</v>
      </c>
      <c r="D91">
        <f t="shared" si="12"/>
        <v>63.132794748800812</v>
      </c>
      <c r="E91">
        <f t="shared" si="13"/>
        <v>72.733637702933322</v>
      </c>
      <c r="G91" s="5">
        <v>6.0159700000000005E-4</v>
      </c>
      <c r="H91" s="5">
        <v>1.3477199999999999E-4</v>
      </c>
      <c r="I91" s="4">
        <f t="shared" si="14"/>
        <v>66.637682379473375</v>
      </c>
      <c r="J91" s="4">
        <f t="shared" si="15"/>
        <v>78.238456269084736</v>
      </c>
      <c r="L91" s="5">
        <v>4.9841000000000002E-4</v>
      </c>
      <c r="M91" s="5">
        <v>1.20086E-4</v>
      </c>
      <c r="N91" s="4">
        <f t="shared" si="16"/>
        <v>68.963274748933884</v>
      </c>
      <c r="O91" s="4">
        <f t="shared" si="17"/>
        <v>81.101378411416306</v>
      </c>
      <c r="Q91">
        <f t="shared" si="18"/>
        <v>6.1673800000000003E-4</v>
      </c>
      <c r="R91">
        <f t="shared" si="19"/>
        <v>1.3481666666666665E-4</v>
      </c>
      <c r="T91">
        <f t="shared" si="20"/>
        <v>66.244583959069359</v>
      </c>
      <c r="U91">
        <f t="shared" si="21"/>
        <v>77.357824127811455</v>
      </c>
      <c r="W91">
        <f t="shared" si="22"/>
        <v>2.3964583637917349</v>
      </c>
      <c r="X91">
        <f t="shared" si="23"/>
        <v>3.4724060695031524</v>
      </c>
    </row>
    <row r="92" spans="1:24" x14ac:dyDescent="0.2">
      <c r="A92">
        <v>586.61800000000005</v>
      </c>
      <c r="B92">
        <v>7.51252E-4</v>
      </c>
      <c r="C92">
        <v>1.4829599999999999E-4</v>
      </c>
      <c r="D92">
        <f t="shared" si="12"/>
        <v>63.220735504502237</v>
      </c>
      <c r="E92">
        <f t="shared" si="13"/>
        <v>72.103505112534094</v>
      </c>
      <c r="G92" s="5">
        <v>6.0333100000000003E-4</v>
      </c>
      <c r="H92" s="5">
        <v>1.34609E-4</v>
      </c>
      <c r="I92" s="4">
        <f t="shared" si="14"/>
        <v>66.829754050784913</v>
      </c>
      <c r="J92" s="4">
        <f t="shared" si="15"/>
        <v>78.143830765479677</v>
      </c>
      <c r="L92" s="5">
        <v>5.0260300000000001E-4</v>
      </c>
      <c r="M92" s="5">
        <v>1.1992799999999999E-4</v>
      </c>
      <c r="N92" s="4">
        <f t="shared" si="16"/>
        <v>69.543445714649422</v>
      </c>
      <c r="O92" s="4">
        <f t="shared" si="17"/>
        <v>80.99467140319716</v>
      </c>
      <c r="Q92">
        <f t="shared" si="18"/>
        <v>6.1906199999999998E-4</v>
      </c>
      <c r="R92">
        <f t="shared" si="19"/>
        <v>1.3427766666666664E-4</v>
      </c>
      <c r="T92">
        <f t="shared" si="20"/>
        <v>66.531311756645536</v>
      </c>
      <c r="U92">
        <f t="shared" si="21"/>
        <v>77.080669093736972</v>
      </c>
      <c r="W92">
        <f t="shared" si="22"/>
        <v>2.5898477371682493</v>
      </c>
      <c r="X92">
        <f t="shared" si="23"/>
        <v>3.7068354929106175</v>
      </c>
    </row>
    <row r="93" spans="1:24" x14ac:dyDescent="0.2">
      <c r="A93">
        <v>592.80999999999995</v>
      </c>
      <c r="B93">
        <v>7.5434999999999999E-4</v>
      </c>
      <c r="C93">
        <v>1.4910300000000001E-4</v>
      </c>
      <c r="D93">
        <f t="shared" si="12"/>
        <v>63.481444079777837</v>
      </c>
      <c r="E93">
        <f t="shared" si="13"/>
        <v>72.495879341278069</v>
      </c>
      <c r="G93" s="5">
        <v>6.0703299999999999E-4</v>
      </c>
      <c r="H93" s="5">
        <v>1.34513E-4</v>
      </c>
      <c r="I93" s="4">
        <f t="shared" si="14"/>
        <v>67.239817099917147</v>
      </c>
      <c r="J93" s="4">
        <f t="shared" si="15"/>
        <v>78.088100407528245</v>
      </c>
      <c r="L93" s="5">
        <v>5.0755600000000004E-4</v>
      </c>
      <c r="M93" s="5">
        <v>1.19849E-4</v>
      </c>
      <c r="N93" s="4">
        <f t="shared" si="16"/>
        <v>70.228775262273814</v>
      </c>
      <c r="O93" s="4">
        <f t="shared" si="17"/>
        <v>80.941317899087579</v>
      </c>
      <c r="Q93">
        <f t="shared" si="18"/>
        <v>6.2297966666666671E-4</v>
      </c>
      <c r="R93">
        <f t="shared" si="19"/>
        <v>1.3448833333333334E-4</v>
      </c>
      <c r="T93">
        <f t="shared" si="20"/>
        <v>66.983345480656268</v>
      </c>
      <c r="U93">
        <f t="shared" si="21"/>
        <v>77.175099215964636</v>
      </c>
      <c r="W93">
        <f t="shared" si="22"/>
        <v>2.7605497991264181</v>
      </c>
      <c r="X93">
        <f t="shared" si="23"/>
        <v>3.5077567846399433</v>
      </c>
    </row>
    <row r="94" spans="1:24" x14ac:dyDescent="0.2">
      <c r="A94">
        <v>598.93799999999999</v>
      </c>
      <c r="B94">
        <v>7.5588599999999999E-4</v>
      </c>
      <c r="C94">
        <v>1.4966400000000001E-4</v>
      </c>
      <c r="D94">
        <f t="shared" si="12"/>
        <v>63.610704367583949</v>
      </c>
      <c r="E94">
        <f t="shared" si="13"/>
        <v>72.768645069066622</v>
      </c>
      <c r="G94" s="5">
        <v>6.0932599999999999E-4</v>
      </c>
      <c r="H94" s="5">
        <v>1.3525700000000001E-4</v>
      </c>
      <c r="I94" s="4">
        <f t="shared" si="14"/>
        <v>67.493808070111712</v>
      </c>
      <c r="J94" s="4">
        <f t="shared" si="15"/>
        <v>78.520010681651939</v>
      </c>
      <c r="L94" s="5">
        <v>5.1212800000000004E-4</v>
      </c>
      <c r="M94" s="5">
        <v>1.20189E-4</v>
      </c>
      <c r="N94" s="4">
        <f t="shared" si="16"/>
        <v>70.861387152388616</v>
      </c>
      <c r="O94" s="4">
        <f t="shared" si="17"/>
        <v>81.170940575002192</v>
      </c>
      <c r="Q94">
        <f t="shared" si="18"/>
        <v>6.2577999999999993E-4</v>
      </c>
      <c r="R94">
        <f t="shared" si="19"/>
        <v>1.3503666666666667E-4</v>
      </c>
      <c r="T94">
        <f t="shared" si="20"/>
        <v>67.321966530028092</v>
      </c>
      <c r="U94">
        <f t="shared" si="21"/>
        <v>77.486532108573584</v>
      </c>
      <c r="W94">
        <f t="shared" si="22"/>
        <v>2.9625717822683972</v>
      </c>
      <c r="X94">
        <f t="shared" si="23"/>
        <v>3.5072022005225496</v>
      </c>
    </row>
    <row r="95" spans="1:24" x14ac:dyDescent="0.2">
      <c r="A95">
        <v>605.25900000000001</v>
      </c>
      <c r="B95">
        <v>7.5733400000000002E-4</v>
      </c>
      <c r="C95">
        <v>1.49591E-4</v>
      </c>
      <c r="D95">
        <f t="shared" si="12"/>
        <v>63.732559118067833</v>
      </c>
      <c r="E95">
        <f t="shared" si="13"/>
        <v>72.73315148951481</v>
      </c>
      <c r="G95" s="5">
        <v>6.1236600000000004E-4</v>
      </c>
      <c r="H95" s="5">
        <v>1.3534899999999999E-4</v>
      </c>
      <c r="I95" s="4">
        <f t="shared" si="14"/>
        <v>67.830542718777849</v>
      </c>
      <c r="J95" s="4">
        <f t="shared" si="15"/>
        <v>78.573418941355399</v>
      </c>
      <c r="L95" s="5">
        <v>5.1544199999999996E-4</v>
      </c>
      <c r="M95" s="5">
        <v>1.2134299999999999E-4</v>
      </c>
      <c r="N95" s="4">
        <f t="shared" si="16"/>
        <v>71.319933916133266</v>
      </c>
      <c r="O95" s="4">
        <f t="shared" si="17"/>
        <v>81.950306951488827</v>
      </c>
      <c r="Q95">
        <f t="shared" si="18"/>
        <v>6.2838066666666675E-4</v>
      </c>
      <c r="R95">
        <f t="shared" si="19"/>
        <v>1.3542766666666667E-4</v>
      </c>
      <c r="T95">
        <f t="shared" si="20"/>
        <v>67.627678584326318</v>
      </c>
      <c r="U95">
        <f t="shared" si="21"/>
        <v>77.75229246078635</v>
      </c>
      <c r="W95">
        <f t="shared" si="22"/>
        <v>3.1008525144293992</v>
      </c>
      <c r="X95">
        <f t="shared" si="23"/>
        <v>3.8074204062915662</v>
      </c>
    </row>
    <row r="96" spans="1:24" x14ac:dyDescent="0.2">
      <c r="A96">
        <v>611.42399999999998</v>
      </c>
      <c r="B96">
        <v>7.5916099999999995E-4</v>
      </c>
      <c r="C96">
        <v>1.4922899999999999E-4</v>
      </c>
      <c r="D96">
        <f t="shared" si="12"/>
        <v>63.886308171337205</v>
      </c>
      <c r="E96">
        <f t="shared" si="13"/>
        <v>72.557142232011316</v>
      </c>
      <c r="G96" s="5">
        <v>6.1363499999999996E-4</v>
      </c>
      <c r="H96" s="5">
        <v>1.3621299999999999E-4</v>
      </c>
      <c r="I96" s="4">
        <f t="shared" si="14"/>
        <v>67.971107281000627</v>
      </c>
      <c r="J96" s="4">
        <f t="shared" si="15"/>
        <v>79.074992162918406</v>
      </c>
      <c r="L96" s="5">
        <v>5.1950800000000001E-4</v>
      </c>
      <c r="M96" s="5">
        <v>1.22299E-4</v>
      </c>
      <c r="N96" s="4">
        <f t="shared" si="16"/>
        <v>71.882532329345608</v>
      </c>
      <c r="O96" s="4">
        <f t="shared" si="17"/>
        <v>82.595951887295797</v>
      </c>
      <c r="Q96">
        <f t="shared" si="18"/>
        <v>6.3076799999999998E-4</v>
      </c>
      <c r="R96">
        <f t="shared" si="19"/>
        <v>1.3591366666666665E-4</v>
      </c>
      <c r="T96">
        <f t="shared" si="20"/>
        <v>67.913315927227814</v>
      </c>
      <c r="U96">
        <f t="shared" si="21"/>
        <v>78.076028760741835</v>
      </c>
      <c r="W96">
        <f t="shared" si="22"/>
        <v>3.2647006066618594</v>
      </c>
      <c r="X96">
        <f t="shared" si="23"/>
        <v>4.1587554815452794</v>
      </c>
    </row>
    <row r="97" spans="1:24" x14ac:dyDescent="0.2">
      <c r="A97">
        <v>617.57000000000005</v>
      </c>
      <c r="B97">
        <v>7.6058099999999997E-4</v>
      </c>
      <c r="C97">
        <v>1.4933000000000001E-4</v>
      </c>
      <c r="D97">
        <f t="shared" si="12"/>
        <v>64.005806614491291</v>
      </c>
      <c r="E97">
        <f t="shared" si="13"/>
        <v>72.606249787281641</v>
      </c>
      <c r="G97" s="5">
        <v>6.1503100000000004E-4</v>
      </c>
      <c r="H97" s="5">
        <v>1.3690999999999999E-4</v>
      </c>
      <c r="I97" s="4">
        <f t="shared" si="14"/>
        <v>68.125739376243374</v>
      </c>
      <c r="J97" s="4">
        <f t="shared" si="15"/>
        <v>79.479617782628381</v>
      </c>
      <c r="L97" s="5">
        <v>5.2339900000000002E-4</v>
      </c>
      <c r="M97" s="5">
        <v>1.2342599999999999E-4</v>
      </c>
      <c r="N97" s="4">
        <f t="shared" si="16"/>
        <v>72.420916595407888</v>
      </c>
      <c r="O97" s="4">
        <f t="shared" si="17"/>
        <v>83.357083521871559</v>
      </c>
      <c r="Q97">
        <f t="shared" si="18"/>
        <v>6.3300366666666668E-4</v>
      </c>
      <c r="R97">
        <f t="shared" si="19"/>
        <v>1.3655533333333333E-4</v>
      </c>
      <c r="T97">
        <f t="shared" si="20"/>
        <v>68.184154195380856</v>
      </c>
      <c r="U97">
        <f t="shared" si="21"/>
        <v>78.480983697260527</v>
      </c>
      <c r="W97">
        <f t="shared" si="22"/>
        <v>3.4357025692039254</v>
      </c>
      <c r="X97">
        <f t="shared" si="23"/>
        <v>4.4454515349619266</v>
      </c>
    </row>
    <row r="98" spans="1:24" x14ac:dyDescent="0.2">
      <c r="A98">
        <v>623.89099999999996</v>
      </c>
      <c r="B98">
        <v>7.6182599999999995E-4</v>
      </c>
      <c r="C98">
        <v>1.49665E-4</v>
      </c>
      <c r="D98">
        <f t="shared" si="12"/>
        <v>64.110578136834135</v>
      </c>
      <c r="E98">
        <f t="shared" si="13"/>
        <v>72.769131282485134</v>
      </c>
      <c r="G98" s="5">
        <v>6.1717399999999996E-4</v>
      </c>
      <c r="H98" s="5">
        <v>1.3774600000000001E-4</v>
      </c>
      <c r="I98" s="4">
        <f t="shared" si="14"/>
        <v>68.363115149957693</v>
      </c>
      <c r="J98" s="4">
        <f t="shared" si="15"/>
        <v>79.96493631645555</v>
      </c>
      <c r="L98" s="5">
        <v>5.2745299999999999E-4</v>
      </c>
      <c r="M98" s="5">
        <v>1.23492E-4</v>
      </c>
      <c r="N98" s="4">
        <f t="shared" si="16"/>
        <v>72.981854609958518</v>
      </c>
      <c r="O98" s="4">
        <f t="shared" si="17"/>
        <v>83.401657335431452</v>
      </c>
      <c r="Q98">
        <f t="shared" si="18"/>
        <v>6.3548433333333334E-4</v>
      </c>
      <c r="R98">
        <f t="shared" si="19"/>
        <v>1.3696766666666666E-4</v>
      </c>
      <c r="T98">
        <f t="shared" si="20"/>
        <v>68.48518263225013</v>
      </c>
      <c r="U98">
        <f t="shared" si="21"/>
        <v>78.711908311457378</v>
      </c>
      <c r="W98">
        <f t="shared" si="22"/>
        <v>3.6227118680465011</v>
      </c>
      <c r="X98">
        <f t="shared" si="23"/>
        <v>4.4302153410887994</v>
      </c>
    </row>
    <row r="99" spans="1:24" x14ac:dyDescent="0.2">
      <c r="A99">
        <v>630.03800000000001</v>
      </c>
      <c r="B99">
        <v>7.6288599999999995E-4</v>
      </c>
      <c r="C99">
        <v>1.49596E-4</v>
      </c>
      <c r="D99">
        <f t="shared" si="12"/>
        <v>64.199781200033655</v>
      </c>
      <c r="E99">
        <f t="shared" si="13"/>
        <v>72.735582556607397</v>
      </c>
      <c r="G99" s="5">
        <v>6.1952299999999997E-4</v>
      </c>
      <c r="H99" s="5">
        <v>1.37427E-4</v>
      </c>
      <c r="I99" s="4">
        <f t="shared" si="14"/>
        <v>68.623309126838194</v>
      </c>
      <c r="J99" s="4">
        <f t="shared" si="15"/>
        <v>79.779748981179381</v>
      </c>
      <c r="L99" s="5">
        <v>5.3030199999999997E-4</v>
      </c>
      <c r="M99" s="5">
        <v>1.2417099999999999E-4</v>
      </c>
      <c r="N99" s="4">
        <f t="shared" si="16"/>
        <v>73.376060925561561</v>
      </c>
      <c r="O99" s="4">
        <f t="shared" si="17"/>
        <v>83.860227326449149</v>
      </c>
      <c r="Q99">
        <f t="shared" si="18"/>
        <v>6.3757033333333322E-4</v>
      </c>
      <c r="R99">
        <f t="shared" si="19"/>
        <v>1.3706466666666664E-4</v>
      </c>
      <c r="T99">
        <f t="shared" si="20"/>
        <v>68.733050417477799</v>
      </c>
      <c r="U99">
        <f t="shared" si="21"/>
        <v>78.791852954745309</v>
      </c>
      <c r="W99">
        <f t="shared" si="22"/>
        <v>3.7470041155957343</v>
      </c>
      <c r="X99">
        <f t="shared" si="23"/>
        <v>4.595025152856441</v>
      </c>
    </row>
    <row r="100" spans="1:24" x14ac:dyDescent="0.2">
      <c r="A100">
        <v>636.29200000000003</v>
      </c>
      <c r="B100">
        <v>7.6246699999999996E-4</v>
      </c>
      <c r="C100">
        <v>1.47756E-4</v>
      </c>
      <c r="D100">
        <f t="shared" si="12"/>
        <v>64.16452074391988</v>
      </c>
      <c r="E100">
        <f t="shared" si="13"/>
        <v>71.840949866534416</v>
      </c>
      <c r="G100" s="5">
        <v>6.2076099999999995E-4</v>
      </c>
      <c r="H100" s="5">
        <v>1.3751E-4</v>
      </c>
      <c r="I100" s="4">
        <f t="shared" si="14"/>
        <v>68.760439881788415</v>
      </c>
      <c r="J100" s="4">
        <f t="shared" si="15"/>
        <v>79.827932519824913</v>
      </c>
      <c r="L100" s="5">
        <v>5.3416900000000003E-4</v>
      </c>
      <c r="M100" s="5">
        <v>1.2428800000000001E-4</v>
      </c>
      <c r="N100" s="4">
        <f t="shared" si="16"/>
        <v>73.911124394300415</v>
      </c>
      <c r="O100" s="4">
        <f t="shared" si="17"/>
        <v>83.939244541396249</v>
      </c>
      <c r="Q100">
        <f t="shared" si="18"/>
        <v>6.3913233333333331E-4</v>
      </c>
      <c r="R100">
        <f t="shared" si="19"/>
        <v>1.36518E-4</v>
      </c>
      <c r="T100">
        <f t="shared" si="20"/>
        <v>68.945361673336251</v>
      </c>
      <c r="U100">
        <f t="shared" si="21"/>
        <v>78.536042309251854</v>
      </c>
      <c r="W100">
        <f t="shared" si="22"/>
        <v>3.9811822139614708</v>
      </c>
      <c r="X100">
        <f t="shared" si="23"/>
        <v>5.0228755872228152</v>
      </c>
    </row>
    <row r="101" spans="1:24" x14ac:dyDescent="0.2">
      <c r="A101">
        <v>642.43200000000002</v>
      </c>
      <c r="B101">
        <v>7.65189E-4</v>
      </c>
      <c r="C101">
        <v>1.5022700000000001E-4</v>
      </c>
      <c r="D101">
        <f t="shared" si="12"/>
        <v>64.39358747790962</v>
      </c>
      <c r="E101">
        <f t="shared" si="13"/>
        <v>73.042383223692227</v>
      </c>
      <c r="G101" s="5">
        <v>6.2316599999999998E-4</v>
      </c>
      <c r="H101" s="5">
        <v>1.37952E-4</v>
      </c>
      <c r="I101" s="4">
        <f t="shared" si="14"/>
        <v>69.026836865354881</v>
      </c>
      <c r="J101" s="4">
        <f t="shared" si="15"/>
        <v>80.084524376226355</v>
      </c>
      <c r="L101" s="5">
        <v>5.3969E-4</v>
      </c>
      <c r="M101" s="5">
        <v>1.24487E-4</v>
      </c>
      <c r="N101" s="4">
        <f t="shared" si="16"/>
        <v>74.675046145246142</v>
      </c>
      <c r="O101" s="4">
        <f t="shared" si="17"/>
        <v>84.073641342887441</v>
      </c>
      <c r="Q101">
        <f t="shared" si="18"/>
        <v>6.4268166666666662E-4</v>
      </c>
      <c r="R101">
        <f t="shared" si="19"/>
        <v>1.3755533333333333E-4</v>
      </c>
      <c r="T101">
        <f t="shared" si="20"/>
        <v>69.365156829503547</v>
      </c>
      <c r="U101">
        <f t="shared" si="21"/>
        <v>79.066849647602012</v>
      </c>
      <c r="W101">
        <f t="shared" si="22"/>
        <v>4.2041997558507687</v>
      </c>
      <c r="X101">
        <f t="shared" si="23"/>
        <v>4.5606220564770963</v>
      </c>
    </row>
    <row r="102" spans="1:24" x14ac:dyDescent="0.2">
      <c r="A102">
        <v>648.59</v>
      </c>
      <c r="B102">
        <v>7.6628500000000001E-4</v>
      </c>
      <c r="C102">
        <v>1.5077800000000001E-4</v>
      </c>
      <c r="D102">
        <f t="shared" si="12"/>
        <v>64.485820079104599</v>
      </c>
      <c r="E102">
        <f t="shared" si="13"/>
        <v>73.310286817295591</v>
      </c>
      <c r="G102" s="5">
        <v>6.2586900000000003E-4</v>
      </c>
      <c r="H102" s="5">
        <v>1.37639E-4</v>
      </c>
      <c r="I102" s="4">
        <f t="shared" si="14"/>
        <v>69.326242705928749</v>
      </c>
      <c r="J102" s="4">
        <f t="shared" si="15"/>
        <v>79.902820188322167</v>
      </c>
      <c r="L102" s="5">
        <v>5.4396499999999999E-4</v>
      </c>
      <c r="M102" s="5">
        <v>1.2439999999999999E-4</v>
      </c>
      <c r="N102" s="4">
        <f t="shared" si="16"/>
        <v>75.266563168483415</v>
      </c>
      <c r="O102" s="4">
        <f t="shared" si="17"/>
        <v>84.014884952285755</v>
      </c>
      <c r="Q102">
        <f t="shared" si="18"/>
        <v>6.4537299999999998E-4</v>
      </c>
      <c r="R102">
        <f t="shared" si="19"/>
        <v>1.3760566666666668E-4</v>
      </c>
      <c r="T102">
        <f t="shared" si="20"/>
        <v>69.692875317838912</v>
      </c>
      <c r="U102">
        <f t="shared" si="21"/>
        <v>79.075997319301166</v>
      </c>
      <c r="W102">
        <f t="shared" si="22"/>
        <v>4.4088486776696652</v>
      </c>
      <c r="X102">
        <f t="shared" si="23"/>
        <v>4.4090688624289527</v>
      </c>
    </row>
    <row r="103" spans="1:24" x14ac:dyDescent="0.2">
      <c r="A103">
        <v>654.86</v>
      </c>
      <c r="B103">
        <v>7.6791000000000001E-4</v>
      </c>
      <c r="C103">
        <v>1.5064599999999999E-4</v>
      </c>
      <c r="D103">
        <f t="shared" si="12"/>
        <v>64.622570058066145</v>
      </c>
      <c r="E103">
        <f t="shared" si="13"/>
        <v>73.246106646051217</v>
      </c>
      <c r="G103" s="5">
        <v>6.2806899999999998E-4</v>
      </c>
      <c r="H103" s="5">
        <v>1.3876200000000001E-4</v>
      </c>
      <c r="I103" s="4">
        <f t="shared" si="14"/>
        <v>69.569932254305556</v>
      </c>
      <c r="J103" s="4">
        <f t="shared" si="15"/>
        <v>80.554749271441679</v>
      </c>
      <c r="L103" s="5">
        <v>5.48118E-4</v>
      </c>
      <c r="M103" s="5">
        <v>1.2540399999999999E-4</v>
      </c>
      <c r="N103" s="4">
        <f t="shared" si="16"/>
        <v>75.841199471993221</v>
      </c>
      <c r="O103" s="4">
        <f t="shared" si="17"/>
        <v>84.692947207045364</v>
      </c>
      <c r="Q103">
        <f t="shared" si="18"/>
        <v>6.4803233333333326E-4</v>
      </c>
      <c r="R103">
        <f t="shared" si="19"/>
        <v>1.3827066666666666E-4</v>
      </c>
      <c r="T103">
        <f t="shared" si="20"/>
        <v>70.011233928121626</v>
      </c>
      <c r="U103">
        <f t="shared" si="21"/>
        <v>79.497934374846082</v>
      </c>
      <c r="W103">
        <f t="shared" si="22"/>
        <v>4.5906043071504286</v>
      </c>
      <c r="X103">
        <f t="shared" si="23"/>
        <v>4.7325245554182436</v>
      </c>
    </row>
    <row r="104" spans="1:24" x14ac:dyDescent="0.2">
      <c r="A104">
        <v>661.11800000000005</v>
      </c>
      <c r="B104">
        <v>7.6737300000000001E-4</v>
      </c>
      <c r="C104">
        <v>1.5087600000000001E-4</v>
      </c>
      <c r="D104">
        <f t="shared" si="12"/>
        <v>64.577379449633938</v>
      </c>
      <c r="E104">
        <f t="shared" si="13"/>
        <v>73.357935732310352</v>
      </c>
      <c r="G104" s="5">
        <v>6.3057599999999999E-4</v>
      </c>
      <c r="H104" s="5">
        <v>1.38784E-4</v>
      </c>
      <c r="I104" s="4">
        <f t="shared" si="14"/>
        <v>69.847627571478583</v>
      </c>
      <c r="J104" s="4">
        <f t="shared" si="15"/>
        <v>80.567520811805551</v>
      </c>
      <c r="L104" s="5">
        <v>5.5347299999999996E-4</v>
      </c>
      <c r="M104" s="5">
        <v>1.2658999999999999E-4</v>
      </c>
      <c r="N104" s="4">
        <f t="shared" si="16"/>
        <v>76.582152374785181</v>
      </c>
      <c r="O104" s="4">
        <f t="shared" si="17"/>
        <v>85.49392512950044</v>
      </c>
      <c r="Q104">
        <f t="shared" si="18"/>
        <v>6.5047399999999995E-4</v>
      </c>
      <c r="R104">
        <f t="shared" si="19"/>
        <v>1.3875000000000001E-4</v>
      </c>
      <c r="T104">
        <f t="shared" si="20"/>
        <v>70.335719798632567</v>
      </c>
      <c r="U104">
        <f t="shared" si="21"/>
        <v>79.806460557872114</v>
      </c>
      <c r="W104">
        <f t="shared" si="22"/>
        <v>4.9130654899473365</v>
      </c>
      <c r="X104">
        <f t="shared" si="23"/>
        <v>4.9836378409595188</v>
      </c>
    </row>
    <row r="105" spans="1:24" x14ac:dyDescent="0.2">
      <c r="A105">
        <v>667.221</v>
      </c>
      <c r="B105">
        <v>7.6827299999999998E-4</v>
      </c>
      <c r="C105">
        <v>1.5158500000000001E-4</v>
      </c>
      <c r="D105">
        <f t="shared" si="12"/>
        <v>64.653117899520325</v>
      </c>
      <c r="E105">
        <f t="shared" si="13"/>
        <v>73.702661046039552</v>
      </c>
      <c r="G105" s="5">
        <v>6.3326799999999998E-4</v>
      </c>
      <c r="H105" s="5">
        <v>1.40328E-4</v>
      </c>
      <c r="I105" s="4">
        <f t="shared" si="14"/>
        <v>70.14581496431056</v>
      </c>
      <c r="J105" s="4">
        <f t="shared" si="15"/>
        <v>81.46385073552463</v>
      </c>
      <c r="L105" s="5">
        <v>5.5859499999999995E-4</v>
      </c>
      <c r="M105" s="5">
        <v>1.2713399999999999E-4</v>
      </c>
      <c r="N105" s="4">
        <f t="shared" si="16"/>
        <v>77.290865870228771</v>
      </c>
      <c r="O105" s="4">
        <f t="shared" si="17"/>
        <v>85.861321410963811</v>
      </c>
      <c r="Q105">
        <f t="shared" si="18"/>
        <v>6.5337866666666667E-4</v>
      </c>
      <c r="R105">
        <f t="shared" si="19"/>
        <v>1.3968233333333332E-4</v>
      </c>
      <c r="T105">
        <f t="shared" si="20"/>
        <v>70.696599578019885</v>
      </c>
      <c r="U105">
        <f t="shared" si="21"/>
        <v>80.342611064175983</v>
      </c>
      <c r="W105">
        <f t="shared" si="22"/>
        <v>5.1740178591890311</v>
      </c>
      <c r="X105">
        <f t="shared" si="23"/>
        <v>5.0266714810664075</v>
      </c>
    </row>
    <row r="106" spans="1:24" x14ac:dyDescent="0.2">
      <c r="A106">
        <v>673.51599999999996</v>
      </c>
      <c r="B106">
        <v>7.6893199999999995E-4</v>
      </c>
      <c r="C106">
        <v>1.5277300000000001E-4</v>
      </c>
      <c r="D106">
        <f t="shared" si="12"/>
        <v>64.708575275603792</v>
      </c>
      <c r="E106">
        <f t="shared" si="13"/>
        <v>74.280282587238858</v>
      </c>
      <c r="G106" s="5">
        <v>6.3472500000000005E-4</v>
      </c>
      <c r="H106" s="5">
        <v>1.39586E-4</v>
      </c>
      <c r="I106" s="4">
        <f t="shared" si="14"/>
        <v>70.307203906121927</v>
      </c>
      <c r="J106" s="4">
        <f t="shared" si="15"/>
        <v>81.033101510524901</v>
      </c>
      <c r="L106" s="5">
        <v>5.6266699999999998E-4</v>
      </c>
      <c r="M106" s="5">
        <v>1.27298E-4</v>
      </c>
      <c r="N106" s="4">
        <f t="shared" si="16"/>
        <v>77.854294482771977</v>
      </c>
      <c r="O106" s="4">
        <f t="shared" si="17"/>
        <v>85.972080584052037</v>
      </c>
      <c r="Q106">
        <f t="shared" si="18"/>
        <v>6.5544133333333336E-4</v>
      </c>
      <c r="R106">
        <f t="shared" si="19"/>
        <v>1.3988566666666669E-4</v>
      </c>
      <c r="T106">
        <f t="shared" si="20"/>
        <v>70.956691221499227</v>
      </c>
      <c r="U106">
        <f t="shared" si="21"/>
        <v>80.428488227271927</v>
      </c>
      <c r="W106">
        <f t="shared" si="22"/>
        <v>5.3863320047477359</v>
      </c>
      <c r="X106">
        <f t="shared" si="23"/>
        <v>4.7922648101766123</v>
      </c>
    </row>
    <row r="107" spans="1:24" x14ac:dyDescent="0.2">
      <c r="A107">
        <v>679.74</v>
      </c>
      <c r="B107">
        <v>7.7053699999999996E-4</v>
      </c>
      <c r="C107">
        <v>1.51812E-4</v>
      </c>
      <c r="D107">
        <f t="shared" si="12"/>
        <v>64.843642177901188</v>
      </c>
      <c r="E107">
        <f t="shared" si="13"/>
        <v>73.813031492043123</v>
      </c>
      <c r="G107" s="5">
        <v>6.3715899999999999E-4</v>
      </c>
      <c r="H107" s="5">
        <v>1.4054099999999999E-4</v>
      </c>
      <c r="I107" s="4">
        <f t="shared" si="14"/>
        <v>70.576813161007905</v>
      </c>
      <c r="J107" s="4">
        <f t="shared" si="15"/>
        <v>81.587502467229385</v>
      </c>
      <c r="L107" s="5">
        <v>5.6654399999999999E-4</v>
      </c>
      <c r="M107" s="5">
        <v>1.2936499999999999E-4</v>
      </c>
      <c r="N107" s="4">
        <f t="shared" si="16"/>
        <v>78.390741617062247</v>
      </c>
      <c r="O107" s="4">
        <f t="shared" si="17"/>
        <v>87.368051381450542</v>
      </c>
      <c r="Q107">
        <f t="shared" si="18"/>
        <v>6.5808000000000001E-4</v>
      </c>
      <c r="R107">
        <f t="shared" si="19"/>
        <v>1.4057266666666666E-4</v>
      </c>
      <c r="T107">
        <f t="shared" si="20"/>
        <v>71.27039898532378</v>
      </c>
      <c r="U107">
        <f t="shared" si="21"/>
        <v>80.922861780241021</v>
      </c>
      <c r="W107">
        <f t="shared" si="22"/>
        <v>5.5522831205068792</v>
      </c>
      <c r="X107">
        <f t="shared" si="23"/>
        <v>5.5537345682977417</v>
      </c>
    </row>
    <row r="108" spans="1:24" x14ac:dyDescent="0.2">
      <c r="A108">
        <v>685.89499999999998</v>
      </c>
      <c r="B108">
        <v>7.7289999999999998E-4</v>
      </c>
      <c r="C108">
        <v>1.5183899999999999E-4</v>
      </c>
      <c r="D108">
        <f t="shared" si="12"/>
        <v>65.04249768576959</v>
      </c>
      <c r="E108">
        <f t="shared" si="13"/>
        <v>73.826159254343111</v>
      </c>
      <c r="G108" s="5">
        <v>6.3862900000000004E-4</v>
      </c>
      <c r="H108" s="5">
        <v>1.4105500000000001E-4</v>
      </c>
      <c r="I108" s="4">
        <f t="shared" si="14"/>
        <v>70.739642086514237</v>
      </c>
      <c r="J108" s="4">
        <f t="shared" si="15"/>
        <v>81.885892092094423</v>
      </c>
      <c r="L108" s="5">
        <v>5.7194199999999998E-4</v>
      </c>
      <c r="M108" s="5">
        <v>1.29648E-4</v>
      </c>
      <c r="N108" s="4">
        <f t="shared" si="16"/>
        <v>79.137644281725372</v>
      </c>
      <c r="O108" s="4">
        <f t="shared" si="17"/>
        <v>87.559178491108881</v>
      </c>
      <c r="Q108">
        <f t="shared" si="18"/>
        <v>6.6115699999999989E-4</v>
      </c>
      <c r="R108">
        <f t="shared" si="19"/>
        <v>1.4084733333333334E-4</v>
      </c>
      <c r="T108">
        <f t="shared" si="20"/>
        <v>71.639928018003062</v>
      </c>
      <c r="U108">
        <f t="shared" si="21"/>
        <v>81.090409945848805</v>
      </c>
      <c r="W108">
        <f t="shared" si="22"/>
        <v>5.7894257319817424</v>
      </c>
      <c r="X108">
        <f t="shared" si="23"/>
        <v>5.6346279512251343</v>
      </c>
    </row>
    <row r="109" spans="1:24" x14ac:dyDescent="0.2">
      <c r="A109">
        <v>692.197</v>
      </c>
      <c r="B109">
        <v>7.7437600000000001E-4</v>
      </c>
      <c r="C109">
        <v>1.52461E-4</v>
      </c>
      <c r="D109">
        <f t="shared" si="12"/>
        <v>65.166708743583271</v>
      </c>
      <c r="E109">
        <f t="shared" si="13"/>
        <v>74.128584000661263</v>
      </c>
      <c r="G109" s="5">
        <v>6.4163299999999996E-4</v>
      </c>
      <c r="H109" s="5">
        <v>1.4098100000000001E-4</v>
      </c>
      <c r="I109" s="4">
        <f t="shared" si="14"/>
        <v>71.072389088025091</v>
      </c>
      <c r="J109" s="4">
        <f t="shared" si="15"/>
        <v>81.842933274506848</v>
      </c>
      <c r="L109" s="5">
        <v>5.7657400000000005E-4</v>
      </c>
      <c r="M109" s="5">
        <v>1.29634E-4</v>
      </c>
      <c r="N109" s="4">
        <f t="shared" si="16"/>
        <v>79.778558165148795</v>
      </c>
      <c r="O109" s="4">
        <f t="shared" si="17"/>
        <v>87.54972343974768</v>
      </c>
      <c r="Q109">
        <f t="shared" si="18"/>
        <v>6.6419433333333338E-4</v>
      </c>
      <c r="R109">
        <f t="shared" si="19"/>
        <v>1.4102533333333332E-4</v>
      </c>
      <c r="T109">
        <f t="shared" si="20"/>
        <v>72.00588533225239</v>
      </c>
      <c r="U109">
        <f t="shared" si="21"/>
        <v>81.173746904971935</v>
      </c>
      <c r="W109">
        <f t="shared" si="22"/>
        <v>6.0016718397524329</v>
      </c>
      <c r="X109">
        <f t="shared" si="23"/>
        <v>5.4995517246850039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E84D-04A8-6A4E-8245-7F752BA5A7EF}">
  <dimension ref="A1:X109"/>
  <sheetViews>
    <sheetView topLeftCell="Y18" zoomScaleNormal="100" workbookViewId="0">
      <selection activeCell="AH19" sqref="AH19"/>
    </sheetView>
  </sheetViews>
  <sheetFormatPr baseColWidth="10" defaultColWidth="8.83203125" defaultRowHeight="15" x14ac:dyDescent="0.2"/>
  <cols>
    <col min="1" max="1" width="9.5" bestFit="1" customWidth="1"/>
    <col min="2" max="3" width="12.5" bestFit="1" customWidth="1"/>
    <col min="4" max="5" width="12.5" customWidth="1"/>
    <col min="7" max="8" width="12.1640625" bestFit="1" customWidth="1"/>
    <col min="9" max="10" width="12.1640625" customWidth="1"/>
    <col min="12" max="13" width="11.83203125" bestFit="1" customWidth="1"/>
    <col min="14" max="15" width="11.83203125" customWidth="1"/>
    <col min="16" max="16" width="8.83203125" style="1"/>
    <col min="20" max="21" width="11.83203125" bestFit="1" customWidth="1"/>
    <col min="23" max="24" width="9.5" bestFit="1" customWidth="1"/>
    <col min="26" max="27" width="11.83203125" bestFit="1" customWidth="1"/>
  </cols>
  <sheetData>
    <row r="1" spans="1:24" ht="32" x14ac:dyDescent="0.2">
      <c r="A1" t="s">
        <v>5</v>
      </c>
      <c r="B1" t="s">
        <v>0</v>
      </c>
      <c r="C1" t="s">
        <v>1</v>
      </c>
      <c r="D1" t="s">
        <v>11</v>
      </c>
      <c r="E1" t="s">
        <v>12</v>
      </c>
      <c r="G1" t="s">
        <v>0</v>
      </c>
      <c r="H1" t="s">
        <v>1</v>
      </c>
      <c r="I1" t="s">
        <v>11</v>
      </c>
      <c r="J1" t="s">
        <v>12</v>
      </c>
      <c r="L1" s="2" t="s">
        <v>0</v>
      </c>
      <c r="M1" s="2" t="s">
        <v>1</v>
      </c>
      <c r="N1" t="s">
        <v>11</v>
      </c>
      <c r="O1" t="s">
        <v>12</v>
      </c>
      <c r="Q1" t="s">
        <v>3</v>
      </c>
      <c r="R1" t="s">
        <v>4</v>
      </c>
      <c r="T1" t="s">
        <v>9</v>
      </c>
      <c r="U1" t="s">
        <v>10</v>
      </c>
      <c r="W1" t="s">
        <v>7</v>
      </c>
      <c r="X1" t="s">
        <v>8</v>
      </c>
    </row>
    <row r="2" spans="1:24" ht="16" x14ac:dyDescent="0.2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2">
      <c r="A3">
        <v>6.2718699999999998</v>
      </c>
      <c r="B3">
        <v>8.3219700000000001E-4</v>
      </c>
      <c r="C3">
        <v>1.5370800000000001E-4</v>
      </c>
      <c r="D3">
        <f>B3/$B$3*100</f>
        <v>100</v>
      </c>
      <c r="E3">
        <f>C3/$C$3*100</f>
        <v>100</v>
      </c>
      <c r="G3">
        <v>8.4802100000000002E-4</v>
      </c>
      <c r="H3">
        <v>1.77818E-4</v>
      </c>
      <c r="I3">
        <f>G3/$G$3*100</f>
        <v>100</v>
      </c>
      <c r="J3">
        <f>H3/$H$3*100</f>
        <v>100</v>
      </c>
      <c r="L3" s="5">
        <v>9.8549300000000005E-4</v>
      </c>
      <c r="M3" s="5">
        <v>1.9363E-4</v>
      </c>
      <c r="N3" s="4">
        <f>L3/$L$3*100</f>
        <v>100</v>
      </c>
      <c r="O3" s="4">
        <f>M3/$M$3*100</f>
        <v>100</v>
      </c>
      <c r="Q3">
        <f>AVERAGE(B3,G3,L3)</f>
        <v>8.8857033333333347E-4</v>
      </c>
      <c r="R3">
        <f>AVERAGE(C3,H3,M3)</f>
        <v>1.75052E-4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2">
      <c r="A4">
        <v>12.437099999999999</v>
      </c>
      <c r="B4">
        <v>8.3523699999999996E-4</v>
      </c>
      <c r="C4">
        <v>1.5369299999999999E-4</v>
      </c>
      <c r="D4">
        <f>B4/$B$3*100</f>
        <v>100.36529812051714</v>
      </c>
      <c r="E4">
        <f>C4/$C$3*100</f>
        <v>99.990241236630482</v>
      </c>
      <c r="G4">
        <v>8.50912E-4</v>
      </c>
      <c r="H4">
        <v>1.7887999999999999E-4</v>
      </c>
      <c r="I4">
        <f>G4/$G$3*100</f>
        <v>100.34091136894014</v>
      </c>
      <c r="J4">
        <f>H4/$H$3*100</f>
        <v>100.59723987447839</v>
      </c>
      <c r="L4" s="5">
        <v>9.8799700000000001E-4</v>
      </c>
      <c r="M4" s="5">
        <v>1.9360100000000001E-4</v>
      </c>
      <c r="N4" s="4">
        <f>L4/$L$3*100</f>
        <v>100.25408602597888</v>
      </c>
      <c r="O4" s="4">
        <f>M4/$M$3*100</f>
        <v>99.985022981975931</v>
      </c>
      <c r="Q4">
        <f>AVERAGE(B4,G4,L4)</f>
        <v>8.9138200000000003E-4</v>
      </c>
      <c r="R4">
        <f>AVERAGE(C4,H4,M4)</f>
        <v>1.753913333333333E-4</v>
      </c>
      <c r="T4">
        <f>AVERAGE(D4,I4,N4)</f>
        <v>100.32009850514538</v>
      </c>
      <c r="U4">
        <f>AVERAGE(E4,J4,O4)</f>
        <v>100.19083469769494</v>
      </c>
      <c r="W4">
        <f>_xlfn.STDEV.P(D4,I4,N4)</f>
        <v>4.7727797402918007E-2</v>
      </c>
      <c r="X4">
        <f>_xlfn.STDEV.P(E4,J4,O4)</f>
        <v>0.28737975263021354</v>
      </c>
    </row>
    <row r="5" spans="1:24" x14ac:dyDescent="0.2">
      <c r="A5">
        <v>18.545500000000001</v>
      </c>
      <c r="B5">
        <v>8.3674499999999996E-4</v>
      </c>
      <c r="C5">
        <v>1.53005E-4</v>
      </c>
      <c r="D5">
        <f>B5/$B$3*100</f>
        <v>100.54650521451049</v>
      </c>
      <c r="E5">
        <f>C5/$C$3*100</f>
        <v>99.542639290082491</v>
      </c>
      <c r="G5">
        <v>8.5296199999999997E-4</v>
      </c>
      <c r="H5">
        <v>1.7580699999999999E-4</v>
      </c>
      <c r="I5">
        <f>G5/$G$3*100</f>
        <v>100.58265066549059</v>
      </c>
      <c r="J5">
        <f>H5/$H$3*100</f>
        <v>98.869068373280541</v>
      </c>
      <c r="L5" s="5">
        <v>9.9317700000000004E-4</v>
      </c>
      <c r="M5" s="5">
        <v>1.9364299999999999E-4</v>
      </c>
      <c r="N5" s="4">
        <f>L5/$L$3*100</f>
        <v>100.77971127141441</v>
      </c>
      <c r="O5" s="4">
        <f>M5/$M$3*100</f>
        <v>100.00671383566595</v>
      </c>
      <c r="Q5">
        <f>AVERAGE(B5,G5,L5)</f>
        <v>8.9429466666666665E-4</v>
      </c>
      <c r="R5">
        <f>AVERAGE(C5,H5,M5)</f>
        <v>1.7415166666666666E-4</v>
      </c>
      <c r="T5">
        <f>AVERAGE(D5,I5,N5)</f>
        <v>100.63628905047183</v>
      </c>
      <c r="U5">
        <f>AVERAGE(E5,J5,O5)</f>
        <v>99.472807166342989</v>
      </c>
      <c r="W5">
        <f>_xlfn.STDEV.P(D5,I5,N5)</f>
        <v>0.10248275790497949</v>
      </c>
      <c r="X5">
        <f>_xlfn.STDEV.P(E5,J5,O5)</f>
        <v>0.46705937784611723</v>
      </c>
    </row>
    <row r="6" spans="1:24" x14ac:dyDescent="0.2">
      <c r="A6">
        <v>24.791399999999999</v>
      </c>
      <c r="B6">
        <v>8.3934099999999996E-4</v>
      </c>
      <c r="C6">
        <v>1.53585E-4</v>
      </c>
      <c r="D6">
        <f>B6/$B$3*100</f>
        <v>100.85845058321527</v>
      </c>
      <c r="E6">
        <f>C6/$C$3*100</f>
        <v>99.919978140370048</v>
      </c>
      <c r="G6">
        <v>8.5644400000000004E-4</v>
      </c>
      <c r="H6">
        <v>1.7835299999999999E-4</v>
      </c>
      <c r="I6">
        <f>G6/$G$3*100</f>
        <v>100.99325370480213</v>
      </c>
      <c r="J6">
        <f>H6/$H$3*100</f>
        <v>100.30086942829183</v>
      </c>
      <c r="L6" s="5">
        <v>9.9623200000000011E-4</v>
      </c>
      <c r="M6" s="5">
        <v>1.9249600000000001E-4</v>
      </c>
      <c r="N6" s="4">
        <f>L6/$L$3*100</f>
        <v>101.08970839975527</v>
      </c>
      <c r="O6" s="4">
        <f>M6/$M$3*100</f>
        <v>99.414346950369264</v>
      </c>
      <c r="Q6">
        <f>AVERAGE(B6,G6,L6)</f>
        <v>8.9733900000000004E-4</v>
      </c>
      <c r="R6">
        <f>AVERAGE(C6,H6,M6)</f>
        <v>1.7481133333333335E-4</v>
      </c>
      <c r="T6">
        <f>AVERAGE(D6,I6,N6)</f>
        <v>100.98047089592421</v>
      </c>
      <c r="U6">
        <f>AVERAGE(E6,J6,O6)</f>
        <v>99.878398173010396</v>
      </c>
      <c r="W6">
        <f>_xlfn.STDEV.P(D6,I6,N6)</f>
        <v>9.4842306241529839E-2</v>
      </c>
      <c r="X6">
        <f>_xlfn.STDEV.P(E6,J6,O6)</f>
        <v>0.36311356922200516</v>
      </c>
    </row>
    <row r="7" spans="1:24" x14ac:dyDescent="0.2">
      <c r="A7">
        <v>31.106999999999999</v>
      </c>
      <c r="B7">
        <v>8.4102500000000002E-4</v>
      </c>
      <c r="C7">
        <v>1.53344E-4</v>
      </c>
      <c r="D7">
        <f>B7/$B$3*100</f>
        <v>101.0608065157649</v>
      </c>
      <c r="E7">
        <f>C7/$C$3*100</f>
        <v>99.763187342233323</v>
      </c>
      <c r="G7">
        <v>8.59733E-4</v>
      </c>
      <c r="H7">
        <v>1.81831E-4</v>
      </c>
      <c r="I7">
        <f>G7/$G$3*100</f>
        <v>101.38109787375549</v>
      </c>
      <c r="J7">
        <f>H7/$H$3*100</f>
        <v>102.25680189857044</v>
      </c>
      <c r="L7" s="5">
        <v>1.0002500000000001E-3</v>
      </c>
      <c r="M7" s="5">
        <v>1.9134299999999999E-4</v>
      </c>
      <c r="N7" s="4">
        <f>L7/$L$3*100</f>
        <v>101.49742311716065</v>
      </c>
      <c r="O7" s="4">
        <f>M7/$M$3*100</f>
        <v>98.818881371688263</v>
      </c>
      <c r="Q7">
        <f>AVERAGE(B7,G7,L7)</f>
        <v>9.0033600000000017E-4</v>
      </c>
      <c r="R7">
        <f>AVERAGE(C7,H7,M7)</f>
        <v>1.75506E-4</v>
      </c>
      <c r="T7">
        <f>AVERAGE(D7,I7,N7)</f>
        <v>101.31310916889367</v>
      </c>
      <c r="U7">
        <f>AVERAGE(E7,J7,O7)</f>
        <v>100.27962353749734</v>
      </c>
      <c r="W7">
        <f>_xlfn.STDEV.P(D7,I7,N7)</f>
        <v>0.18461737394800282</v>
      </c>
      <c r="X7">
        <f>_xlfn.STDEV.P(E7,J7,O7)</f>
        <v>1.4502538042525628</v>
      </c>
    </row>
    <row r="8" spans="1:24" x14ac:dyDescent="0.2">
      <c r="A8">
        <v>37.192399999999999</v>
      </c>
      <c r="B8">
        <v>8.4330600000000005E-4</v>
      </c>
      <c r="C8">
        <v>1.5270600000000001E-4</v>
      </c>
      <c r="D8">
        <f>B8/$B$3*100</f>
        <v>101.33490027000818</v>
      </c>
      <c r="E8">
        <f>C8/$C$3*100</f>
        <v>99.348114606917022</v>
      </c>
      <c r="G8">
        <v>8.6044599999999995E-4</v>
      </c>
      <c r="H8">
        <v>1.7623399999999999E-4</v>
      </c>
      <c r="I8">
        <f>G8/$G$3*100</f>
        <v>101.4651759803118</v>
      </c>
      <c r="J8">
        <f>H8/$H$3*100</f>
        <v>99.10920154315086</v>
      </c>
      <c r="L8" s="5">
        <v>1.0041099999999999E-3</v>
      </c>
      <c r="M8" s="5">
        <v>1.9256899999999999E-4</v>
      </c>
      <c r="N8" s="4">
        <f>L8/$L$3*100</f>
        <v>101.8891052498597</v>
      </c>
      <c r="O8" s="4">
        <f>M8/$M$3*100</f>
        <v>99.452047719878109</v>
      </c>
      <c r="Q8">
        <f>AVERAGE(B8,G8,L8)</f>
        <v>9.0262066666666667E-4</v>
      </c>
      <c r="R8">
        <f>AVERAGE(C8,H8,M8)</f>
        <v>1.7383633333333331E-4</v>
      </c>
      <c r="T8">
        <f>AVERAGE(D8,I8,N8)</f>
        <v>101.5630605000599</v>
      </c>
      <c r="U8">
        <f>AVERAGE(E8,J8,O8)</f>
        <v>99.303121289982002</v>
      </c>
      <c r="W8">
        <f>_xlfn.STDEV.P(D8,I8,N8)</f>
        <v>0.23660350001326658</v>
      </c>
      <c r="X8">
        <f>_xlfn.STDEV.P(E8,J8,O8)</f>
        <v>0.14353669484545245</v>
      </c>
    </row>
    <row r="9" spans="1:24" x14ac:dyDescent="0.2">
      <c r="A9">
        <v>43.526200000000003</v>
      </c>
      <c r="B9">
        <v>8.4447999999999999E-4</v>
      </c>
      <c r="C9">
        <v>1.5195000000000001E-4</v>
      </c>
      <c r="D9">
        <f>B9/$B$3*100</f>
        <v>101.47597263628685</v>
      </c>
      <c r="E9">
        <f>C9/$C$3*100</f>
        <v>98.856272933093919</v>
      </c>
      <c r="G9">
        <v>8.6191900000000005E-4</v>
      </c>
      <c r="H9">
        <v>1.7789800000000001E-4</v>
      </c>
      <c r="I9">
        <f>G9/$G$3*100</f>
        <v>101.63887450900391</v>
      </c>
      <c r="J9">
        <f>H9/$H$3*100</f>
        <v>100.04498982105299</v>
      </c>
      <c r="L9" s="5">
        <v>1.00606E-3</v>
      </c>
      <c r="M9" s="5">
        <v>1.91449E-4</v>
      </c>
      <c r="N9" s="4">
        <f>L9/$L$3*100</f>
        <v>102.08697575731132</v>
      </c>
      <c r="O9" s="4">
        <f>M9/$M$3*100</f>
        <v>98.873624954810722</v>
      </c>
      <c r="Q9">
        <f>AVERAGE(B9,G9,L9)</f>
        <v>9.0415299999999999E-4</v>
      </c>
      <c r="R9">
        <f>AVERAGE(C9,H9,M9)</f>
        <v>1.7376566666666666E-4</v>
      </c>
      <c r="T9">
        <f>AVERAGE(D9,I9,N9)</f>
        <v>101.73394096753402</v>
      </c>
      <c r="U9">
        <f>AVERAGE(E9,J9,O9)</f>
        <v>99.258295902985878</v>
      </c>
      <c r="W9">
        <f>_xlfn.STDEV.P(D9,I9,N9)</f>
        <v>0.25834012093685566</v>
      </c>
      <c r="X9">
        <f>_xlfn.STDEV.P(E9,J9,O9)</f>
        <v>0.55632170771191791</v>
      </c>
    </row>
    <row r="10" spans="1:24" x14ac:dyDescent="0.2">
      <c r="A10">
        <v>49.688299999999998</v>
      </c>
      <c r="B10">
        <v>8.4721199999999997E-4</v>
      </c>
      <c r="C10">
        <v>1.5185700000000001E-4</v>
      </c>
      <c r="D10">
        <f>B10/$B$3*100</f>
        <v>101.80426028933051</v>
      </c>
      <c r="E10">
        <f>C10/$C$3*100</f>
        <v>98.795768600202976</v>
      </c>
      <c r="G10">
        <v>8.6484699999999997E-4</v>
      </c>
      <c r="H10">
        <v>1.7896200000000001E-4</v>
      </c>
      <c r="I10">
        <f>G10/$G$3*100</f>
        <v>101.98414897744277</v>
      </c>
      <c r="J10">
        <f>H10/$H$3*100</f>
        <v>100.64335444105772</v>
      </c>
      <c r="L10" s="5">
        <v>1.0096899999999999E-3</v>
      </c>
      <c r="M10" s="5">
        <v>1.89836E-4</v>
      </c>
      <c r="N10" s="4">
        <f>L10/$L$3*100</f>
        <v>102.4553193173366</v>
      </c>
      <c r="O10" s="4">
        <f>M10/$M$3*100</f>
        <v>98.040592883334199</v>
      </c>
      <c r="Q10">
        <f>AVERAGE(B10,G10,L10)</f>
        <v>9.0724966666666659E-4</v>
      </c>
      <c r="R10">
        <f>AVERAGE(C10,H10,M10)</f>
        <v>1.7355166666666665E-4</v>
      </c>
      <c r="T10">
        <f>AVERAGE(D10,I10,N10)</f>
        <v>102.08124286136996</v>
      </c>
      <c r="U10">
        <f>AVERAGE(E10,J10,O10)</f>
        <v>99.15990530819829</v>
      </c>
      <c r="W10">
        <f>_xlfn.STDEV.P(D10,I10,N10)</f>
        <v>0.2745176147464351</v>
      </c>
      <c r="X10">
        <f>_xlfn.STDEV.P(E10,J10,O10)</f>
        <v>1.0933247727834889</v>
      </c>
    </row>
    <row r="11" spans="1:24" x14ac:dyDescent="0.2">
      <c r="A11">
        <v>55.8005</v>
      </c>
      <c r="B11">
        <v>8.4869899999999996E-4</v>
      </c>
      <c r="C11">
        <v>1.51321E-4</v>
      </c>
      <c r="D11">
        <f>B11/$B$3*100</f>
        <v>101.98294394235981</v>
      </c>
      <c r="E11">
        <f>C11/$C$3*100</f>
        <v>98.447055455799287</v>
      </c>
      <c r="G11">
        <v>8.6593E-4</v>
      </c>
      <c r="H11">
        <v>1.78462E-4</v>
      </c>
      <c r="I11">
        <f>G11/$G$3*100</f>
        <v>102.11185807898624</v>
      </c>
      <c r="J11">
        <f>H11/$H$3*100</f>
        <v>100.36216805947656</v>
      </c>
      <c r="L11" s="5">
        <v>1.01228E-3</v>
      </c>
      <c r="M11" s="5">
        <v>1.9264999999999999E-4</v>
      </c>
      <c r="N11" s="4">
        <f>L11/$L$3*100</f>
        <v>102.71813194005436</v>
      </c>
      <c r="O11" s="4">
        <f>M11/$M$3*100</f>
        <v>99.493880080566015</v>
      </c>
      <c r="Q11">
        <f>AVERAGE(B11,G11,L11)</f>
        <v>9.0896966666666667E-4</v>
      </c>
      <c r="R11">
        <f>AVERAGE(C11,H11,M11)</f>
        <v>1.7414433333333334E-4</v>
      </c>
      <c r="T11">
        <f>AVERAGE(D11,I11,N11)</f>
        <v>102.27097798713346</v>
      </c>
      <c r="U11">
        <f>AVERAGE(E11,J11,O11)</f>
        <v>99.434367865280635</v>
      </c>
      <c r="W11">
        <f>_xlfn.STDEV.P(D11,I11,N11)</f>
        <v>0.32053570457919145</v>
      </c>
      <c r="X11">
        <f>_xlfn.STDEV.P(E11,J11,O11)</f>
        <v>0.78297311533965064</v>
      </c>
    </row>
    <row r="12" spans="1:24" x14ac:dyDescent="0.2">
      <c r="A12">
        <v>62.111400000000003</v>
      </c>
      <c r="B12">
        <v>8.5013000000000005E-4</v>
      </c>
      <c r="C12">
        <v>1.5173300000000001E-4</v>
      </c>
      <c r="D12">
        <f>B12/$B$3*100</f>
        <v>102.15489841948482</v>
      </c>
      <c r="E12">
        <f>C12/$C$3*100</f>
        <v>98.715096156348395</v>
      </c>
      <c r="G12">
        <v>8.6841499999999999E-4</v>
      </c>
      <c r="H12">
        <v>1.7922899999999999E-4</v>
      </c>
      <c r="I12">
        <f>G12/$G$3*100</f>
        <v>102.40489327504861</v>
      </c>
      <c r="J12">
        <f>H12/$H$3*100</f>
        <v>100.79350796882206</v>
      </c>
      <c r="L12" s="5">
        <v>1.0152200000000001E-3</v>
      </c>
      <c r="M12" s="5">
        <v>1.92697E-4</v>
      </c>
      <c r="N12" s="4">
        <f>L12/$L$3*100</f>
        <v>103.01645978205831</v>
      </c>
      <c r="O12" s="4">
        <f>M12/$M$3*100</f>
        <v>99.518153178742963</v>
      </c>
      <c r="Q12">
        <f>AVERAGE(B12,G12,L12)</f>
        <v>9.1125500000000003E-4</v>
      </c>
      <c r="R12">
        <f>AVERAGE(C12,H12,M12)</f>
        <v>1.7455300000000001E-4</v>
      </c>
      <c r="T12">
        <f>AVERAGE(D12,I12,N12)</f>
        <v>102.5254171588639</v>
      </c>
      <c r="U12">
        <f>AVERAGE(E12,J12,O12)</f>
        <v>99.675585767971143</v>
      </c>
      <c r="W12">
        <f>_xlfn.STDEV.P(D12,I12,N12)</f>
        <v>0.36190836805036036</v>
      </c>
      <c r="X12">
        <f>_xlfn.STDEV.P(E12,J12,O12)</f>
        <v>0.8557794422516537</v>
      </c>
    </row>
    <row r="13" spans="1:24" x14ac:dyDescent="0.2">
      <c r="A13">
        <v>68.338800000000006</v>
      </c>
      <c r="B13">
        <v>8.5203799999999995E-4</v>
      </c>
      <c r="C13">
        <v>1.51624E-4</v>
      </c>
      <c r="D13">
        <f>B13/$B$3*100</f>
        <v>102.38417105565148</v>
      </c>
      <c r="E13">
        <f>C13/$C$3*100</f>
        <v>98.644182475863317</v>
      </c>
      <c r="G13">
        <v>8.7054600000000004E-4</v>
      </c>
      <c r="H13">
        <v>1.7885399999999999E-4</v>
      </c>
      <c r="I13">
        <f>G13/$G$3*100</f>
        <v>102.65618422185301</v>
      </c>
      <c r="J13">
        <f>H13/$H$3*100</f>
        <v>100.58261818263618</v>
      </c>
      <c r="L13" s="5">
        <v>1.0173000000000001E-3</v>
      </c>
      <c r="M13" s="5">
        <v>1.90974E-4</v>
      </c>
      <c r="N13" s="4">
        <f>L13/$L$3*100</f>
        <v>103.22752165667337</v>
      </c>
      <c r="O13" s="4">
        <f>M13/$M$3*100</f>
        <v>98.628311728554465</v>
      </c>
      <c r="Q13">
        <f>AVERAGE(B13,G13,L13)</f>
        <v>9.1329466666666668E-4</v>
      </c>
      <c r="R13">
        <f>AVERAGE(C13,H13,M13)</f>
        <v>1.7381733333333331E-4</v>
      </c>
      <c r="T13">
        <f>AVERAGE(D13,I13,N13)</f>
        <v>102.7559589780593</v>
      </c>
      <c r="U13">
        <f>AVERAGE(E13,J13,O13)</f>
        <v>99.285037462351326</v>
      </c>
      <c r="W13">
        <f>_xlfn.STDEV.P(D13,I13,N13)</f>
        <v>0.35145062293586848</v>
      </c>
      <c r="X13">
        <f>_xlfn.STDEV.P(E13,J13,O13)</f>
        <v>0.91755100290438663</v>
      </c>
    </row>
    <row r="14" spans="1:24" x14ac:dyDescent="0.2">
      <c r="A14">
        <v>74.508499999999998</v>
      </c>
      <c r="B14">
        <v>8.5288599999999997E-4</v>
      </c>
      <c r="C14">
        <v>1.51607E-4</v>
      </c>
      <c r="D14">
        <f>B14/$B$3*100</f>
        <v>102.48607000505889</v>
      </c>
      <c r="E14">
        <f>C14/$C$3*100</f>
        <v>98.633122544044554</v>
      </c>
      <c r="G14">
        <v>8.7092199999999999E-4</v>
      </c>
      <c r="H14">
        <v>1.78617E-4</v>
      </c>
      <c r="I14">
        <f>G14/$G$3*100</f>
        <v>102.70052274648857</v>
      </c>
      <c r="J14">
        <f>H14/$H$3*100</f>
        <v>100.44933583776671</v>
      </c>
      <c r="L14" s="5">
        <v>1.0191499999999999E-3</v>
      </c>
      <c r="M14" s="5">
        <v>1.9263900000000001E-4</v>
      </c>
      <c r="N14" s="4">
        <f>L14/$L$3*100</f>
        <v>103.41524495861461</v>
      </c>
      <c r="O14" s="4">
        <f>M14/$M$3*100</f>
        <v>99.488199142694839</v>
      </c>
      <c r="Q14">
        <f>AVERAGE(B14,G14,L14)</f>
        <v>9.1431933333333329E-4</v>
      </c>
      <c r="R14">
        <f>AVERAGE(C14,H14,M14)</f>
        <v>1.7428766666666669E-4</v>
      </c>
      <c r="T14">
        <f>AVERAGE(D14,I14,N14)</f>
        <v>102.86727923672068</v>
      </c>
      <c r="U14">
        <f>AVERAGE(E14,J14,O14)</f>
        <v>99.523552508168692</v>
      </c>
      <c r="W14">
        <f>_xlfn.STDEV.P(D14,I14,N14)</f>
        <v>0.39723823150574467</v>
      </c>
      <c r="X14">
        <f>_xlfn.STDEV.P(E14,J14,O14)</f>
        <v>0.74188726790127091</v>
      </c>
    </row>
    <row r="15" spans="1:24" x14ac:dyDescent="0.2">
      <c r="A15">
        <v>80.784599999999998</v>
      </c>
      <c r="B15">
        <v>8.5431099999999996E-4</v>
      </c>
      <c r="C15">
        <v>1.5152899999999999E-4</v>
      </c>
      <c r="D15">
        <f>B15/$B$3*100</f>
        <v>102.6573034990513</v>
      </c>
      <c r="E15">
        <f>C15/$C$3*100</f>
        <v>98.582376974523115</v>
      </c>
      <c r="G15">
        <v>8.7451300000000005E-4</v>
      </c>
      <c r="H15">
        <v>1.81182E-4</v>
      </c>
      <c r="I15">
        <f>G15/$G$3*100</f>
        <v>103.12397924108012</v>
      </c>
      <c r="J15">
        <f>H15/$H$3*100</f>
        <v>101.89182197527809</v>
      </c>
      <c r="L15" s="5">
        <v>1.0223000000000001E-3</v>
      </c>
      <c r="M15" s="5">
        <v>1.9319300000000001E-4</v>
      </c>
      <c r="N15" s="4">
        <f>L15/$L$3*100</f>
        <v>103.73488193219029</v>
      </c>
      <c r="O15" s="4">
        <f>M15/$M$3*100</f>
        <v>99.774311831844244</v>
      </c>
      <c r="Q15">
        <f>AVERAGE(B15,G15,L15)</f>
        <v>9.1704133333333322E-4</v>
      </c>
      <c r="R15">
        <f>AVERAGE(C15,H15,M15)</f>
        <v>1.7530133333333334E-4</v>
      </c>
      <c r="T15">
        <f>AVERAGE(D15,I15,N15)</f>
        <v>103.17205489077389</v>
      </c>
      <c r="U15">
        <f>AVERAGE(E15,J15,O15)</f>
        <v>100.08283692721515</v>
      </c>
      <c r="W15">
        <f>_xlfn.STDEV.P(D15,I15,N15)</f>
        <v>0.44123105886574715</v>
      </c>
      <c r="X15">
        <f>_xlfn.STDEV.P(E15,J15,O15)</f>
        <v>1.368575257731131</v>
      </c>
    </row>
    <row r="16" spans="1:24" x14ac:dyDescent="0.2">
      <c r="A16">
        <v>86.936599999999999</v>
      </c>
      <c r="B16">
        <v>8.5578599999999998E-4</v>
      </c>
      <c r="C16">
        <v>1.5106599999999999E-4</v>
      </c>
      <c r="D16">
        <f>B16/$B$3*100</f>
        <v>102.83454518581539</v>
      </c>
      <c r="E16">
        <f>C16/$C$3*100</f>
        <v>98.281156478517701</v>
      </c>
      <c r="G16">
        <v>8.7575800000000003E-4</v>
      </c>
      <c r="H16">
        <v>1.7842499999999999E-4</v>
      </c>
      <c r="I16">
        <f>G16/$G$3*100</f>
        <v>103.27079164313149</v>
      </c>
      <c r="J16">
        <f>H16/$H$3*100</f>
        <v>100.34136026723952</v>
      </c>
      <c r="L16" s="5">
        <v>1.02417E-3</v>
      </c>
      <c r="M16" s="5">
        <v>1.9325500000000001E-4</v>
      </c>
      <c r="N16" s="4">
        <f>L16/$L$3*100</f>
        <v>103.92463467523361</v>
      </c>
      <c r="O16" s="4">
        <f>M16/$M$3*100</f>
        <v>99.806331663481899</v>
      </c>
      <c r="Q16">
        <f>AVERAGE(B16,G16,L16)</f>
        <v>9.1857133333333345E-4</v>
      </c>
      <c r="R16">
        <f>AVERAGE(C16,H16,M16)</f>
        <v>1.7424866666666667E-4</v>
      </c>
      <c r="T16">
        <f>AVERAGE(D16,I16,N16)</f>
        <v>103.34332383472683</v>
      </c>
      <c r="U16">
        <f>AVERAGE(E16,J16,O16)</f>
        <v>99.476282803079698</v>
      </c>
      <c r="W16">
        <f>_xlfn.STDEV.P(D16,I16,N16)</f>
        <v>0.44797281379434573</v>
      </c>
      <c r="X16">
        <f>_xlfn.STDEV.P(E16,J16,O16)</f>
        <v>0.87285321425599227</v>
      </c>
    </row>
    <row r="17" spans="1:24" x14ac:dyDescent="0.2">
      <c r="A17">
        <v>93.113100000000003</v>
      </c>
      <c r="B17">
        <v>8.5646699999999997E-4</v>
      </c>
      <c r="C17">
        <v>1.5081799999999999E-4</v>
      </c>
      <c r="D17">
        <f>B17/$B$3*100</f>
        <v>102.91637677136542</v>
      </c>
      <c r="E17">
        <f>C17/$C$3*100</f>
        <v>98.119811590808538</v>
      </c>
      <c r="G17">
        <v>8.7598500000000002E-4</v>
      </c>
      <c r="H17">
        <v>1.7787E-4</v>
      </c>
      <c r="I17">
        <f>G17/$G$3*100</f>
        <v>103.29755984816413</v>
      </c>
      <c r="J17">
        <f>H17/$H$3*100</f>
        <v>100.02924338368445</v>
      </c>
      <c r="L17" s="5">
        <v>1.0266800000000001E-3</v>
      </c>
      <c r="M17" s="5">
        <v>1.9308699999999999E-4</v>
      </c>
      <c r="N17" s="4">
        <f>L17/$L$3*100</f>
        <v>104.17932953354313</v>
      </c>
      <c r="O17" s="4">
        <f>M17/$M$3*100</f>
        <v>99.719568248721785</v>
      </c>
      <c r="Q17">
        <f>AVERAGE(B17,G17,L17)</f>
        <v>9.1971066666666666E-4</v>
      </c>
      <c r="R17">
        <f>AVERAGE(C17,H17,M17)</f>
        <v>1.7392499999999999E-4</v>
      </c>
      <c r="T17">
        <f>AVERAGE(D17,I17,N17)</f>
        <v>103.46442205102421</v>
      </c>
      <c r="U17">
        <f>AVERAGE(E17,J17,O17)</f>
        <v>99.289541074404909</v>
      </c>
      <c r="W17">
        <f>_xlfn.STDEV.P(D17,I17,N17)</f>
        <v>0.52892637542514143</v>
      </c>
      <c r="X17">
        <f>_xlfn.STDEV.P(E17,J17,O17)</f>
        <v>0.83672973370518866</v>
      </c>
    </row>
    <row r="18" spans="1:24" x14ac:dyDescent="0.2">
      <c r="A18">
        <v>99.351399999999998</v>
      </c>
      <c r="B18">
        <v>8.5779699999999999E-4</v>
      </c>
      <c r="C18">
        <v>1.5087799999999999E-4</v>
      </c>
      <c r="D18">
        <f>B18/$B$3*100</f>
        <v>103.07619469909169</v>
      </c>
      <c r="E18">
        <f>C18/$C$3*100</f>
        <v>98.158846644286555</v>
      </c>
      <c r="G18">
        <v>8.7841700000000004E-4</v>
      </c>
      <c r="H18">
        <v>1.75286E-4</v>
      </c>
      <c r="I18">
        <f>G18/$G$3*100</f>
        <v>103.58434519899862</v>
      </c>
      <c r="J18">
        <f>H18/$H$3*100</f>
        <v>98.576072163672961</v>
      </c>
      <c r="L18" s="5">
        <v>1.02855E-3</v>
      </c>
      <c r="M18" s="5">
        <v>1.92766E-4</v>
      </c>
      <c r="N18" s="4">
        <f>L18/$L$3*100</f>
        <v>104.36908227658644</v>
      </c>
      <c r="O18" s="4">
        <f>M18/$M$3*100</f>
        <v>99.553788152662293</v>
      </c>
      <c r="Q18">
        <f>AVERAGE(B18,G18,L18)</f>
        <v>9.2158800000000009E-4</v>
      </c>
      <c r="R18">
        <f>AVERAGE(C18,H18,M18)</f>
        <v>1.7297666666666667E-4</v>
      </c>
      <c r="T18">
        <f>AVERAGE(D18,I18,N18)</f>
        <v>103.67654072489223</v>
      </c>
      <c r="U18">
        <f>AVERAGE(E18,J18,O18)</f>
        <v>98.76290232020726</v>
      </c>
      <c r="W18">
        <f>_xlfn.STDEV.P(D18,I18,N18)</f>
        <v>0.53182991219384212</v>
      </c>
      <c r="X18">
        <f>_xlfn.STDEV.P(E18,J18,O18)</f>
        <v>0.58460504245195033</v>
      </c>
    </row>
    <row r="19" spans="1:24" x14ac:dyDescent="0.2">
      <c r="A19">
        <v>105.571</v>
      </c>
      <c r="B19">
        <v>8.5913600000000004E-4</v>
      </c>
      <c r="C19">
        <v>1.50624E-4</v>
      </c>
      <c r="D19">
        <f>B19/$B$3*100</f>
        <v>103.23709410151682</v>
      </c>
      <c r="E19">
        <f>C19/$C$3*100</f>
        <v>97.993598251229599</v>
      </c>
      <c r="G19">
        <v>8.8060799999999996E-4</v>
      </c>
      <c r="H19">
        <v>1.81726E-4</v>
      </c>
      <c r="I19">
        <f>G19/$G$3*100</f>
        <v>103.84271144228738</v>
      </c>
      <c r="J19">
        <f>H19/$H$3*100</f>
        <v>102.19775275843841</v>
      </c>
      <c r="L19" s="5">
        <v>1.0311599999999999E-3</v>
      </c>
      <c r="M19" s="5">
        <v>1.9521600000000001E-4</v>
      </c>
      <c r="N19" s="4">
        <f>L19/$L$3*100</f>
        <v>104.63392434040625</v>
      </c>
      <c r="O19" s="4">
        <f>M19/$M$3*100</f>
        <v>100.81908795124723</v>
      </c>
      <c r="Q19">
        <f>AVERAGE(B19,G19,L19)</f>
        <v>9.2363466666666675E-4</v>
      </c>
      <c r="R19">
        <f>AVERAGE(C19,H19,M19)</f>
        <v>1.7585533333333334E-4</v>
      </c>
      <c r="T19">
        <f>AVERAGE(D19,I19,N19)</f>
        <v>103.90457662807016</v>
      </c>
      <c r="U19">
        <f>AVERAGE(E19,J19,O19)</f>
        <v>100.33681298697174</v>
      </c>
      <c r="W19">
        <f>_xlfn.STDEV.P(D19,I19,N19)</f>
        <v>0.57192899033471623</v>
      </c>
      <c r="X19">
        <f>_xlfn.STDEV.P(E19,J19,O19)</f>
        <v>1.7498896414719471</v>
      </c>
    </row>
    <row r="20" spans="1:24" x14ac:dyDescent="0.2">
      <c r="A20">
        <v>111.708</v>
      </c>
      <c r="B20">
        <v>8.5977500000000001E-4</v>
      </c>
      <c r="C20">
        <v>1.51001E-4</v>
      </c>
      <c r="D20">
        <f>B20/$B$3*100</f>
        <v>103.3138788051387</v>
      </c>
      <c r="E20">
        <f>C20/$C$3*100</f>
        <v>98.238868503916507</v>
      </c>
      <c r="G20">
        <v>8.8170200000000005E-4</v>
      </c>
      <c r="H20">
        <v>1.8029499999999999E-4</v>
      </c>
      <c r="I20">
        <f>G20/$G$3*100</f>
        <v>103.97171768151969</v>
      </c>
      <c r="J20">
        <f>H20/$H$3*100</f>
        <v>101.3929973343531</v>
      </c>
      <c r="L20" s="5">
        <v>1.03243E-3</v>
      </c>
      <c r="M20" s="5">
        <v>1.9498399999999999E-4</v>
      </c>
      <c r="N20" s="4">
        <f>L20/$L$3*100</f>
        <v>104.76279385038755</v>
      </c>
      <c r="O20" s="4">
        <f>M20/$M$3*100</f>
        <v>100.69927180705469</v>
      </c>
      <c r="Q20">
        <f>AVERAGE(B20,G20,L20)</f>
        <v>9.2463566666666668E-4</v>
      </c>
      <c r="R20">
        <f>AVERAGE(C20,H20,M20)</f>
        <v>1.7542666666666668E-4</v>
      </c>
      <c r="T20">
        <f>AVERAGE(D20,I20,N20)</f>
        <v>104.01613011234865</v>
      </c>
      <c r="U20">
        <f>AVERAGE(E20,J20,O20)</f>
        <v>100.1103792151081</v>
      </c>
      <c r="W20">
        <f>_xlfn.STDEV.P(D20,I20,N20)</f>
        <v>0.59235014988108969</v>
      </c>
      <c r="X20">
        <f>_xlfn.STDEV.P(E20,J20,O20)</f>
        <v>1.3533238177132632</v>
      </c>
    </row>
    <row r="21" spans="1:24" x14ac:dyDescent="0.2">
      <c r="A21">
        <v>118.009</v>
      </c>
      <c r="B21">
        <v>8.6090099999999996E-4</v>
      </c>
      <c r="C21">
        <v>1.5061799999999999E-4</v>
      </c>
      <c r="D21">
        <f>B21/$B$3*100</f>
        <v>103.44918330635655</v>
      </c>
      <c r="E21">
        <f>C21/$C$3*100</f>
        <v>97.989694745881778</v>
      </c>
      <c r="G21">
        <v>8.8433299999999995E-4</v>
      </c>
      <c r="H21">
        <v>1.8274200000000001E-4</v>
      </c>
      <c r="I21">
        <f>G21/$G$3*100</f>
        <v>104.28196943236074</v>
      </c>
      <c r="J21">
        <f>H21/$H$3*100</f>
        <v>102.76912348581133</v>
      </c>
      <c r="L21" s="5">
        <v>1.0349199999999999E-3</v>
      </c>
      <c r="M21" s="5">
        <v>1.9213300000000001E-4</v>
      </c>
      <c r="N21" s="4">
        <f>L21/$L$3*100</f>
        <v>105.01545926759499</v>
      </c>
      <c r="O21" s="4">
        <f>M21/$M$3*100</f>
        <v>99.22687600061974</v>
      </c>
      <c r="Q21">
        <f>AVERAGE(B21,G21,L21)</f>
        <v>9.2671799999999999E-4</v>
      </c>
      <c r="R21">
        <f>AVERAGE(C21,H21,M21)</f>
        <v>1.7516433333333335E-4</v>
      </c>
      <c r="T21">
        <f>AVERAGE(D21,I21,N21)</f>
        <v>104.24887066877075</v>
      </c>
      <c r="U21">
        <f>AVERAGE(E21,J21,O21)</f>
        <v>99.995231410770955</v>
      </c>
      <c r="W21">
        <f>_xlfn.STDEV.P(D21,I21,N21)</f>
        <v>0.63985766271452582</v>
      </c>
      <c r="X21">
        <f>_xlfn.STDEV.P(E21,J21,O21)</f>
        <v>2.025423790592582</v>
      </c>
    </row>
    <row r="22" spans="1:24" x14ac:dyDescent="0.2">
      <c r="A22">
        <v>124.221</v>
      </c>
      <c r="B22">
        <v>8.629E-4</v>
      </c>
      <c r="C22">
        <v>1.5034400000000001E-4</v>
      </c>
      <c r="D22">
        <f>B22/$B$3*100</f>
        <v>103.68939085336766</v>
      </c>
      <c r="E22">
        <f>C22/$C$3*100</f>
        <v>97.811434668332168</v>
      </c>
      <c r="G22">
        <v>8.8482299999999997E-4</v>
      </c>
      <c r="H22">
        <v>1.7921199999999999E-4</v>
      </c>
      <c r="I22">
        <f>G22/$G$3*100</f>
        <v>104.33975102031671</v>
      </c>
      <c r="J22">
        <f>H22/$H$3*100</f>
        <v>100.78394763184828</v>
      </c>
      <c r="L22" s="5">
        <v>1.0372300000000001E-3</v>
      </c>
      <c r="M22" s="5">
        <v>1.9428199999999999E-4</v>
      </c>
      <c r="N22" s="4">
        <f>L22/$L$3*100</f>
        <v>105.24985971488383</v>
      </c>
      <c r="O22" s="4">
        <f>M22/$M$3*100</f>
        <v>100.3367246810928</v>
      </c>
      <c r="Q22">
        <f>AVERAGE(B22,G22,L22)</f>
        <v>9.2831766666666676E-4</v>
      </c>
      <c r="R22">
        <f>AVERAGE(C22,H22,M22)</f>
        <v>1.7461266666666666E-4</v>
      </c>
      <c r="T22">
        <f>AVERAGE(D22,I22,N22)</f>
        <v>104.42633386285605</v>
      </c>
      <c r="U22">
        <f>AVERAGE(E22,J22,O22)</f>
        <v>99.644035660424422</v>
      </c>
      <c r="W22">
        <f>_xlfn.STDEV.P(D22,I22,N22)</f>
        <v>0.63999385851586588</v>
      </c>
      <c r="X22">
        <f>_xlfn.STDEV.P(E22,J22,O22)</f>
        <v>1.3086435443067828</v>
      </c>
    </row>
    <row r="23" spans="1:24" x14ac:dyDescent="0.2">
      <c r="A23">
        <v>130.28700000000001</v>
      </c>
      <c r="B23">
        <v>8.6353199999999997E-4</v>
      </c>
      <c r="C23">
        <v>1.50841E-4</v>
      </c>
      <c r="D23">
        <f>B23/$B$3*100</f>
        <v>103.76533441000146</v>
      </c>
      <c r="E23">
        <f>C23/$C$3*100</f>
        <v>98.134775027975124</v>
      </c>
      <c r="G23">
        <v>8.8738E-4</v>
      </c>
      <c r="H23">
        <v>1.83821E-4</v>
      </c>
      <c r="I23">
        <f>G23/$G$3*100</f>
        <v>104.64127657216036</v>
      </c>
      <c r="J23">
        <f>H23/$H$3*100</f>
        <v>103.37592369726349</v>
      </c>
      <c r="L23" s="5">
        <v>1.0379E-3</v>
      </c>
      <c r="M23" s="5">
        <v>1.88316E-4</v>
      </c>
      <c r="N23" s="4">
        <f>L23/$L$3*100</f>
        <v>105.3178459918031</v>
      </c>
      <c r="O23" s="4">
        <f>M23/$M$3*100</f>
        <v>97.255590559314157</v>
      </c>
      <c r="Q23">
        <f>AVERAGE(B23,G23,L23)</f>
        <v>9.29604E-4</v>
      </c>
      <c r="R23">
        <f>AVERAGE(C23,H23,M23)</f>
        <v>1.7432600000000001E-4</v>
      </c>
      <c r="T23">
        <f>AVERAGE(D23,I23,N23)</f>
        <v>104.57481899132165</v>
      </c>
      <c r="U23">
        <f>AVERAGE(E23,J23,O23)</f>
        <v>99.588763094850933</v>
      </c>
      <c r="W23">
        <f>_xlfn.STDEV.P(D23,I23,N23)</f>
        <v>0.63554989861550004</v>
      </c>
      <c r="X23">
        <f>_xlfn.STDEV.P(E23,J23,O23)</f>
        <v>2.7018734739476722</v>
      </c>
    </row>
    <row r="24" spans="1:24" x14ac:dyDescent="0.2">
      <c r="A24">
        <v>136.62799999999999</v>
      </c>
      <c r="B24">
        <v>8.6462300000000002E-4</v>
      </c>
      <c r="C24">
        <v>1.5037699999999999E-4</v>
      </c>
      <c r="D24">
        <f>B24/$B$3*100</f>
        <v>103.89643317627917</v>
      </c>
      <c r="E24">
        <f>C24/$C$3*100</f>
        <v>97.832903947745052</v>
      </c>
      <c r="G24">
        <v>8.8798399999999997E-4</v>
      </c>
      <c r="H24">
        <v>1.8364299999999999E-4</v>
      </c>
      <c r="I24">
        <f>G24/$G$3*100</f>
        <v>104.71250122343667</v>
      </c>
      <c r="J24">
        <f>H24/$H$3*100</f>
        <v>103.2758213454206</v>
      </c>
      <c r="L24" s="5">
        <v>1.04112E-3</v>
      </c>
      <c r="M24" s="5">
        <v>1.8441200000000001E-4</v>
      </c>
      <c r="N24" s="4">
        <f>L24/$L$3*100</f>
        <v>105.64458600923598</v>
      </c>
      <c r="O24" s="4">
        <f>M24/$M$3*100</f>
        <v>95.239374063936381</v>
      </c>
      <c r="Q24">
        <f>AVERAGE(B24,G24,L24)</f>
        <v>9.3124233333333336E-4</v>
      </c>
      <c r="R24">
        <f>AVERAGE(C24,H24,M24)</f>
        <v>1.7281066666666666E-4</v>
      </c>
      <c r="T24">
        <f>AVERAGE(D24,I24,N24)</f>
        <v>104.75117346965061</v>
      </c>
      <c r="U24">
        <f>AVERAGE(E24,J24,O24)</f>
        <v>98.782699785700686</v>
      </c>
      <c r="W24">
        <f>_xlfn.STDEV.P(D24,I24,N24)</f>
        <v>0.71420409725985612</v>
      </c>
      <c r="X24">
        <f>_xlfn.STDEV.P(E24,J24,O24)</f>
        <v>3.3489008472798081</v>
      </c>
    </row>
    <row r="25" spans="1:24" x14ac:dyDescent="0.2">
      <c r="A25">
        <v>142.79400000000001</v>
      </c>
      <c r="B25">
        <v>8.6564699999999999E-4</v>
      </c>
      <c r="C25">
        <v>1.5081599999999999E-4</v>
      </c>
      <c r="D25">
        <f>B25/$B$3*100</f>
        <v>104.01948096424283</v>
      </c>
      <c r="E25">
        <f>C25/$C$3*100</f>
        <v>98.118510422359265</v>
      </c>
      <c r="G25">
        <v>8.9032800000000002E-4</v>
      </c>
      <c r="H25">
        <v>1.8311600000000001E-4</v>
      </c>
      <c r="I25">
        <f>G25/$G$3*100</f>
        <v>104.9889094727607</v>
      </c>
      <c r="J25">
        <f>H25/$H$3*100</f>
        <v>102.97945089923405</v>
      </c>
      <c r="L25" s="5">
        <v>1.04141E-3</v>
      </c>
      <c r="M25" s="5">
        <v>1.87944E-4</v>
      </c>
      <c r="N25" s="4">
        <f>L25/$L$3*100</f>
        <v>105.67401290521596</v>
      </c>
      <c r="O25" s="4">
        <f>M25/$M$3*100</f>
        <v>97.0634715694882</v>
      </c>
      <c r="Q25">
        <f>AVERAGE(B25,G25,L25)</f>
        <v>9.3246166666666663E-4</v>
      </c>
      <c r="R25">
        <f>AVERAGE(C25,H25,M25)</f>
        <v>1.7395866666666666E-4</v>
      </c>
      <c r="T25">
        <f>AVERAGE(D25,I25,N25)</f>
        <v>104.89413444740649</v>
      </c>
      <c r="U25">
        <f>AVERAGE(E25,J25,O25)</f>
        <v>99.387144297027177</v>
      </c>
      <c r="W25">
        <f>_xlfn.STDEV.P(D25,I25,N25)</f>
        <v>0.67877621005170985</v>
      </c>
      <c r="X25">
        <f>_xlfn.STDEV.P(E25,J25,O25)</f>
        <v>2.5764027620516718</v>
      </c>
    </row>
    <row r="26" spans="1:24" x14ac:dyDescent="0.2">
      <c r="A26">
        <v>149.03399999999999</v>
      </c>
      <c r="B26">
        <v>8.6651199999999995E-4</v>
      </c>
      <c r="C26">
        <v>1.4993100000000001E-4</v>
      </c>
      <c r="D26">
        <f>B26/$B$3*100</f>
        <v>104.12342269919262</v>
      </c>
      <c r="E26">
        <f>C26/$C$3*100</f>
        <v>97.542743383558445</v>
      </c>
      <c r="G26">
        <v>8.9110800000000005E-4</v>
      </c>
      <c r="H26">
        <v>1.84334E-4</v>
      </c>
      <c r="I26">
        <f>G26/$G$3*100</f>
        <v>105.08088832705793</v>
      </c>
      <c r="J26">
        <f>H26/$H$3*100</f>
        <v>103.66442092476578</v>
      </c>
      <c r="L26" s="5">
        <v>1.0430400000000001E-3</v>
      </c>
      <c r="M26" s="5">
        <v>1.9086099999999999E-4</v>
      </c>
      <c r="N26" s="4">
        <f>L26/$L$3*100</f>
        <v>105.83941235503448</v>
      </c>
      <c r="O26" s="4">
        <f>M26/$M$3*100</f>
        <v>98.569953003150331</v>
      </c>
      <c r="Q26">
        <f>AVERAGE(B26,G26,L26)</f>
        <v>9.3355333333333332E-4</v>
      </c>
      <c r="R26">
        <f>AVERAGE(C26,H26,M26)</f>
        <v>1.7504200000000001E-4</v>
      </c>
      <c r="T26">
        <f>AVERAGE(D26,I26,N26)</f>
        <v>105.01457446042834</v>
      </c>
      <c r="U26">
        <f>AVERAGE(E26,J26,O26)</f>
        <v>99.925705770491518</v>
      </c>
      <c r="W26">
        <f>_xlfn.STDEV.P(D26,I26,N26)</f>
        <v>0.70211740301253389</v>
      </c>
      <c r="X26">
        <f>_xlfn.STDEV.P(E26,J26,O26)</f>
        <v>2.6767247591345074</v>
      </c>
    </row>
    <row r="27" spans="1:24" x14ac:dyDescent="0.2">
      <c r="A27">
        <v>155.125</v>
      </c>
      <c r="B27">
        <v>8.6718299999999999E-4</v>
      </c>
      <c r="C27">
        <v>1.5008400000000001E-4</v>
      </c>
      <c r="D27">
        <f>B27/$B$3*100</f>
        <v>104.20405264618834</v>
      </c>
      <c r="E27">
        <f>C27/$C$3*100</f>
        <v>97.642282769927391</v>
      </c>
      <c r="G27">
        <v>8.9222399999999995E-4</v>
      </c>
      <c r="H27">
        <v>1.85451E-4</v>
      </c>
      <c r="I27">
        <f>G27/$G$3*100</f>
        <v>105.21248884166783</v>
      </c>
      <c r="J27">
        <f>H27/$H$3*100</f>
        <v>104.29259130121811</v>
      </c>
      <c r="L27" s="5">
        <v>1.04604E-3</v>
      </c>
      <c r="M27" s="5">
        <v>1.89478E-4</v>
      </c>
      <c r="N27" s="4">
        <f>L27/$L$3*100</f>
        <v>106.14382852034463</v>
      </c>
      <c r="O27" s="4">
        <f>M27/$M$3*100</f>
        <v>97.855704178071576</v>
      </c>
      <c r="Q27">
        <f>AVERAGE(B27,G27,L27)</f>
        <v>9.3514900000000003E-4</v>
      </c>
      <c r="R27">
        <f>AVERAGE(C27,H27,M27)</f>
        <v>1.7500433333333333E-4</v>
      </c>
      <c r="T27">
        <f>AVERAGE(D27,I27,N27)</f>
        <v>105.18679000273362</v>
      </c>
      <c r="U27">
        <f>AVERAGE(E27,J27,O27)</f>
        <v>99.930192749739021</v>
      </c>
      <c r="W27">
        <f>_xlfn.STDEV.P(D27,I27,N27)</f>
        <v>0.7921186498800199</v>
      </c>
      <c r="X27">
        <f>_xlfn.STDEV.P(E27,J27,O27)</f>
        <v>3.0859118604634697</v>
      </c>
    </row>
    <row r="28" spans="1:24" x14ac:dyDescent="0.2">
      <c r="A28">
        <v>161.47300000000001</v>
      </c>
      <c r="B28">
        <v>8.6801999999999995E-4</v>
      </c>
      <c r="C28">
        <v>1.50517E-4</v>
      </c>
      <c r="D28">
        <f>B28/$B$3*100</f>
        <v>104.30462979318598</v>
      </c>
      <c r="E28">
        <f>C28/$C$3*100</f>
        <v>97.923985739193782</v>
      </c>
      <c r="G28">
        <v>8.9466999999999997E-4</v>
      </c>
      <c r="H28">
        <v>1.84897E-4</v>
      </c>
      <c r="I28">
        <f>G28/$G$3*100</f>
        <v>105.50092509501535</v>
      </c>
      <c r="J28">
        <f>H28/$H$3*100</f>
        <v>103.98103679042616</v>
      </c>
      <c r="L28" s="5">
        <v>1.04703E-3</v>
      </c>
      <c r="M28" s="5">
        <v>1.9149E-4</v>
      </c>
      <c r="N28" s="4">
        <f>L28/$L$3*100</f>
        <v>106.24428585489699</v>
      </c>
      <c r="O28" s="4">
        <f>M28/$M$3*100</f>
        <v>98.894799359603368</v>
      </c>
      <c r="Q28">
        <f>AVERAGE(B28,G28,L28)</f>
        <v>9.3657333333333327E-4</v>
      </c>
      <c r="R28">
        <f>AVERAGE(C28,H28,M28)</f>
        <v>1.7563466666666667E-4</v>
      </c>
      <c r="T28">
        <f>AVERAGE(D28,I28,N28)</f>
        <v>105.34994691436611</v>
      </c>
      <c r="U28">
        <f>AVERAGE(E28,J28,O28)</f>
        <v>100.26660729640777</v>
      </c>
      <c r="W28">
        <f>_xlfn.STDEV.P(D28,I28,N28)</f>
        <v>0.79902533030652545</v>
      </c>
      <c r="X28">
        <f>_xlfn.STDEV.P(E28,J28,O28)</f>
        <v>2.656232873942403</v>
      </c>
    </row>
    <row r="29" spans="1:24" x14ac:dyDescent="0.2">
      <c r="A29">
        <v>167.614</v>
      </c>
      <c r="B29">
        <v>8.6937400000000001E-4</v>
      </c>
      <c r="C29">
        <v>1.5033900000000001E-4</v>
      </c>
      <c r="D29">
        <f>B29/$B$3*100</f>
        <v>104.46733165344264</v>
      </c>
      <c r="E29">
        <f>C29/$C$3*100</f>
        <v>97.808181747208991</v>
      </c>
      <c r="G29">
        <v>8.9635699999999997E-4</v>
      </c>
      <c r="H29">
        <v>1.84391E-4</v>
      </c>
      <c r="I29">
        <f>G29/$G$3*100</f>
        <v>105.69985884783513</v>
      </c>
      <c r="J29">
        <f>H29/$H$3*100</f>
        <v>103.69647617226603</v>
      </c>
      <c r="L29" s="5">
        <v>1.04951E-3</v>
      </c>
      <c r="M29" s="5">
        <v>1.8834599999999999E-4</v>
      </c>
      <c r="N29" s="4">
        <f>L29/$L$3*100</f>
        <v>106.49593655155338</v>
      </c>
      <c r="O29" s="4">
        <f>M29/$M$3*100</f>
        <v>97.271084026235599</v>
      </c>
      <c r="Q29">
        <f>AVERAGE(B29,G29,L29)</f>
        <v>9.3841366666666667E-4</v>
      </c>
      <c r="R29">
        <f>AVERAGE(C29,H29,M29)</f>
        <v>1.7435866666666664E-4</v>
      </c>
      <c r="T29">
        <f>AVERAGE(D29,I29,N29)</f>
        <v>105.55437568427705</v>
      </c>
      <c r="U29">
        <f>AVERAGE(E29,J29,O29)</f>
        <v>99.591913981903531</v>
      </c>
      <c r="W29">
        <f>_xlfn.STDEV.P(D29,I29,N29)</f>
        <v>0.83453918275052619</v>
      </c>
      <c r="X29">
        <f>_xlfn.STDEV.P(E29,J29,O29)</f>
        <v>2.9106347041362763</v>
      </c>
    </row>
    <row r="30" spans="1:24" x14ac:dyDescent="0.2">
      <c r="A30">
        <v>173.85</v>
      </c>
      <c r="B30">
        <v>8.7042599999999999E-4</v>
      </c>
      <c r="C30">
        <v>1.5082800000000001E-4</v>
      </c>
      <c r="D30">
        <f>B30/$B$3*100</f>
        <v>104.59374402935843</v>
      </c>
      <c r="E30">
        <f>C30/$C$3*100</f>
        <v>98.126317433054894</v>
      </c>
      <c r="G30">
        <v>8.9627399999999996E-4</v>
      </c>
      <c r="H30">
        <v>1.83857E-4</v>
      </c>
      <c r="I30">
        <f>G30/$G$3*100</f>
        <v>105.69007135436503</v>
      </c>
      <c r="J30">
        <f>H30/$H$3*100</f>
        <v>103.39616911673734</v>
      </c>
      <c r="L30" s="5">
        <v>1.05116E-3</v>
      </c>
      <c r="M30" s="5">
        <v>1.8823000000000001E-4</v>
      </c>
      <c r="N30" s="4">
        <f>L30/$L$3*100</f>
        <v>106.66336544247397</v>
      </c>
      <c r="O30" s="4">
        <f>M30/$M$3*100</f>
        <v>97.211175954139335</v>
      </c>
      <c r="Q30">
        <f>AVERAGE(B30,G30,L30)</f>
        <v>9.3928666666666675E-4</v>
      </c>
      <c r="R30">
        <f>AVERAGE(C30,H30,M30)</f>
        <v>1.7430500000000003E-4</v>
      </c>
      <c r="T30">
        <f>AVERAGE(D30,I30,N30)</f>
        <v>105.64906027539915</v>
      </c>
      <c r="U30">
        <f>AVERAGE(E30,J30,O30)</f>
        <v>99.577887501310514</v>
      </c>
      <c r="W30">
        <f>_xlfn.STDEV.P(D30,I30,N30)</f>
        <v>0.84541691090059323</v>
      </c>
      <c r="X30">
        <f>_xlfn.STDEV.P(E30,J30,O30)</f>
        <v>2.7256591683037894</v>
      </c>
    </row>
    <row r="31" spans="1:24" x14ac:dyDescent="0.2">
      <c r="A31">
        <v>179.93600000000001</v>
      </c>
      <c r="B31">
        <v>8.7092400000000003E-4</v>
      </c>
      <c r="C31">
        <v>1.5081099999999999E-4</v>
      </c>
      <c r="D31">
        <f>B31/$B$3*100</f>
        <v>104.6535856293642</v>
      </c>
      <c r="E31">
        <f>C31/$C$3*100</f>
        <v>98.115257501236101</v>
      </c>
      <c r="G31">
        <v>8.9853000000000003E-4</v>
      </c>
      <c r="H31">
        <v>1.85372E-4</v>
      </c>
      <c r="I31">
        <f>G31/$G$3*100</f>
        <v>105.9561025021786</v>
      </c>
      <c r="J31">
        <f>H31/$H$3*100</f>
        <v>104.24816385292827</v>
      </c>
      <c r="L31" s="5">
        <v>1.05378E-3</v>
      </c>
      <c r="M31" s="5">
        <v>1.99089E-4</v>
      </c>
      <c r="N31" s="4">
        <f>L31/$L$3*100</f>
        <v>106.92922222684484</v>
      </c>
      <c r="O31" s="4">
        <f>M31/$M$3*100</f>
        <v>102.81929453080619</v>
      </c>
      <c r="Q31">
        <f>AVERAGE(B31,G31,L31)</f>
        <v>9.4107800000000003E-4</v>
      </c>
      <c r="R31">
        <f>AVERAGE(C31,H31,M31)</f>
        <v>1.7842400000000003E-4</v>
      </c>
      <c r="T31">
        <f>AVERAGE(D31,I31,N31)</f>
        <v>105.84630345279588</v>
      </c>
      <c r="U31">
        <f>AVERAGE(E31,J31,O31)</f>
        <v>101.72757196165685</v>
      </c>
      <c r="W31">
        <f>_xlfn.STDEV.P(D31,I31,N31)</f>
        <v>0.93226332273749379</v>
      </c>
      <c r="X31">
        <f>_xlfn.STDEV.P(E31,J31,O31)</f>
        <v>2.6200545421357244</v>
      </c>
    </row>
    <row r="32" spans="1:24" x14ac:dyDescent="0.2">
      <c r="A32">
        <v>193.119</v>
      </c>
      <c r="B32">
        <v>1.49034E-6</v>
      </c>
      <c r="C32">
        <v>2.3490699999999999E-5</v>
      </c>
      <c r="D32">
        <f>B32/$B$3*100</f>
        <v>0.17908500030641783</v>
      </c>
      <c r="E32">
        <f>C32/$C$3*100</f>
        <v>15.282678845603352</v>
      </c>
      <c r="G32">
        <v>1.5582200000000001E-6</v>
      </c>
      <c r="H32">
        <v>2.43445E-5</v>
      </c>
      <c r="I32">
        <f>G32/$G$3*100</f>
        <v>0.18374780813210995</v>
      </c>
      <c r="J32">
        <f>H32/$H$3*100</f>
        <v>13.690683732805454</v>
      </c>
      <c r="L32" s="5">
        <v>1.34855E-6</v>
      </c>
      <c r="M32" s="5">
        <v>2.79135E-5</v>
      </c>
      <c r="N32" s="4">
        <f>L32/$L$3*100</f>
        <v>0.13684013990966959</v>
      </c>
      <c r="O32" s="4">
        <f>M32/$M$3*100</f>
        <v>14.415896297061407</v>
      </c>
      <c r="Q32">
        <f>AVERAGE(B32,G32,L32)</f>
        <v>1.4657033333333332E-6</v>
      </c>
      <c r="R32">
        <f>AVERAGE(C32,H32,M32)</f>
        <v>2.5249566666666666E-5</v>
      </c>
      <c r="T32">
        <f>AVERAGE(D32,I32,N32)</f>
        <v>0.16655764944939913</v>
      </c>
      <c r="U32">
        <f>AVERAGE(E32,J32,O32)</f>
        <v>14.463086291823403</v>
      </c>
      <c r="W32">
        <f>_xlfn.STDEV.P(D32,I32,N32)</f>
        <v>2.109949800568367E-2</v>
      </c>
      <c r="X32">
        <f>_xlfn.STDEV.P(E32,J32,O32)</f>
        <v>0.65078531098836068</v>
      </c>
    </row>
    <row r="33" spans="1:24" x14ac:dyDescent="0.2">
      <c r="A33">
        <v>199.374</v>
      </c>
      <c r="B33">
        <v>1.4651200000000001E-6</v>
      </c>
      <c r="C33">
        <v>2.33182E-5</v>
      </c>
      <c r="D33">
        <f>B33/$B$3*100</f>
        <v>0.17605446787239079</v>
      </c>
      <c r="E33">
        <f>C33/$C$3*100</f>
        <v>15.170453066854034</v>
      </c>
      <c r="G33">
        <v>1.54243E-6</v>
      </c>
      <c r="H33">
        <v>2.4242600000000001E-5</v>
      </c>
      <c r="I33">
        <f>G33/$G$3*100</f>
        <v>0.18188582594063119</v>
      </c>
      <c r="J33">
        <f>H33/$H$3*100</f>
        <v>13.633377948239211</v>
      </c>
      <c r="L33" s="5">
        <v>1.30672E-6</v>
      </c>
      <c r="M33" s="5">
        <v>2.7848399999999999E-5</v>
      </c>
      <c r="N33" s="4">
        <f>L33/$L$3*100</f>
        <v>0.13259556384469498</v>
      </c>
      <c r="O33" s="4">
        <f>M33/$M$3*100</f>
        <v>14.382275473841863</v>
      </c>
      <c r="Q33">
        <f>AVERAGE(B33,G33,L33)</f>
        <v>1.43809E-6</v>
      </c>
      <c r="R33">
        <f>AVERAGE(C33,H33,M33)</f>
        <v>2.5136399999999999E-5</v>
      </c>
      <c r="T33">
        <f>AVERAGE(D33,I33,N33)</f>
        <v>0.16351195255257231</v>
      </c>
      <c r="U33">
        <f>AVERAGE(E33,J33,O33)</f>
        <v>14.395368829645037</v>
      </c>
      <c r="W33">
        <f>_xlfn.STDEV.P(D33,I33,N33)</f>
        <v>2.1990429771189736E-2</v>
      </c>
      <c r="X33">
        <f>_xlfn.STDEV.P(E33,J33,O33)</f>
        <v>0.62757658605189859</v>
      </c>
    </row>
    <row r="34" spans="1:24" x14ac:dyDescent="0.2">
      <c r="A34">
        <v>205.643</v>
      </c>
      <c r="B34">
        <v>1.43634E-6</v>
      </c>
      <c r="C34">
        <v>2.3113400000000001E-5</v>
      </c>
      <c r="D34">
        <f>B34/$B$3*100</f>
        <v>0.17259615211302129</v>
      </c>
      <c r="E34">
        <f>C34/$C$3*100</f>
        <v>15.037213417649047</v>
      </c>
      <c r="G34">
        <v>1.5121600000000001E-6</v>
      </c>
      <c r="H34">
        <v>2.4051400000000002E-5</v>
      </c>
      <c r="I34">
        <f>G34/$G$3*100</f>
        <v>0.17831633886424983</v>
      </c>
      <c r="J34">
        <f>H34/$H$3*100</f>
        <v>13.525852275922572</v>
      </c>
      <c r="L34" s="5">
        <v>1.28761E-6</v>
      </c>
      <c r="M34" s="5">
        <v>2.7644299999999999E-5</v>
      </c>
      <c r="N34" s="4">
        <f>L34/$L$3*100</f>
        <v>0.13065643287166931</v>
      </c>
      <c r="O34" s="4">
        <f>M34/$M$3*100</f>
        <v>14.276868253886278</v>
      </c>
      <c r="Q34">
        <f>AVERAGE(B34,G34,L34)</f>
        <v>1.4120366666666666E-6</v>
      </c>
      <c r="R34">
        <f>AVERAGE(C34,H34,M34)</f>
        <v>2.4936366666666667E-5</v>
      </c>
      <c r="T34">
        <f>AVERAGE(D34,I34,N34)</f>
        <v>0.16052297461631349</v>
      </c>
      <c r="U34">
        <f>AVERAGE(E34,J34,O34)</f>
        <v>14.279977982485965</v>
      </c>
      <c r="W34">
        <f>_xlfn.STDEV.P(D34,I34,N34)</f>
        <v>2.12475546978259E-2</v>
      </c>
      <c r="X34">
        <f>_xlfn.STDEV.P(E34,J34,O34)</f>
        <v>0.61701452062284623</v>
      </c>
    </row>
    <row r="35" spans="1:24" x14ac:dyDescent="0.2">
      <c r="A35">
        <v>211.75800000000001</v>
      </c>
      <c r="B35">
        <v>1.41411E-6</v>
      </c>
      <c r="C35">
        <v>2.3031400000000001E-5</v>
      </c>
      <c r="D35">
        <f>B35/$B$3*100</f>
        <v>0.16992490960673975</v>
      </c>
      <c r="E35">
        <f>C35/$C$3*100</f>
        <v>14.983865511229084</v>
      </c>
      <c r="G35">
        <v>1.49196E-6</v>
      </c>
      <c r="H35">
        <v>2.3904899999999999E-5</v>
      </c>
      <c r="I35">
        <f>G35/$G$3*100</f>
        <v>0.17593432238116746</v>
      </c>
      <c r="J35">
        <f>H35/$H$3*100</f>
        <v>13.44346466611929</v>
      </c>
      <c r="L35" s="5">
        <v>1.2633099999999999E-6</v>
      </c>
      <c r="M35" s="5">
        <v>2.7364699999999999E-5</v>
      </c>
      <c r="N35" s="4">
        <f>L35/$L$3*100</f>
        <v>0.12819066193265705</v>
      </c>
      <c r="O35" s="4">
        <f>M35/$M$3*100</f>
        <v>14.13246914217838</v>
      </c>
      <c r="Q35">
        <f>AVERAGE(B35,G35,L35)</f>
        <v>1.3897933333333332E-6</v>
      </c>
      <c r="R35">
        <f>AVERAGE(C35,H35,M35)</f>
        <v>2.4767000000000002E-5</v>
      </c>
      <c r="T35">
        <f>AVERAGE(D35,I35,N35)</f>
        <v>0.15801663130685475</v>
      </c>
      <c r="U35">
        <f>AVERAGE(E35,J35,O35)</f>
        <v>14.186599773175585</v>
      </c>
      <c r="W35">
        <f>_xlfn.STDEV.P(D35,I35,N35)</f>
        <v>2.1232358909712916E-2</v>
      </c>
      <c r="X35">
        <f>_xlfn.STDEV.P(E35,J35,O35)</f>
        <v>0.63002977962043372</v>
      </c>
    </row>
    <row r="36" spans="1:24" x14ac:dyDescent="0.2">
      <c r="A36">
        <v>218.077</v>
      </c>
      <c r="B36">
        <v>1.3904799999999999E-6</v>
      </c>
      <c r="C36">
        <v>2.29398E-5</v>
      </c>
      <c r="D36">
        <f>B36/$B$3*100</f>
        <v>0.16708543770285161</v>
      </c>
      <c r="E36">
        <f>C36/$C$3*100</f>
        <v>14.924271996252633</v>
      </c>
      <c r="G36">
        <v>1.4848200000000001E-6</v>
      </c>
      <c r="H36">
        <v>2.3790000000000001E-5</v>
      </c>
      <c r="I36">
        <f>G36/$G$3*100</f>
        <v>0.17509236209952347</v>
      </c>
      <c r="J36">
        <f>H36/$H$3*100</f>
        <v>13.378848035631938</v>
      </c>
      <c r="L36" s="5">
        <v>1.24748E-6</v>
      </c>
      <c r="M36" s="5">
        <v>2.7112999999999999E-5</v>
      </c>
      <c r="N36" s="4">
        <f>L36/$L$3*100</f>
        <v>0.12658435930037049</v>
      </c>
      <c r="O36" s="4">
        <f>M36/$M$3*100</f>
        <v>14.002478954707431</v>
      </c>
      <c r="Q36">
        <f>AVERAGE(B36,G36,L36)</f>
        <v>1.3742600000000001E-6</v>
      </c>
      <c r="R36">
        <f>AVERAGE(C36,H36,M36)</f>
        <v>2.4614266666666669E-5</v>
      </c>
      <c r="T36">
        <f>AVERAGE(D36,I36,N36)</f>
        <v>0.15625405303424852</v>
      </c>
      <c r="U36">
        <f>AVERAGE(E36,J36,O36)</f>
        <v>14.101866328864</v>
      </c>
      <c r="W36">
        <f>_xlfn.STDEV.P(D36,I36,N36)</f>
        <v>2.1232769551962155E-2</v>
      </c>
      <c r="X36">
        <f>_xlfn.STDEV.P(E36,J36,O36)</f>
        <v>0.63481871014300484</v>
      </c>
    </row>
    <row r="37" spans="1:24" x14ac:dyDescent="0.2">
      <c r="A37">
        <v>224.21</v>
      </c>
      <c r="B37">
        <v>1.3660699999999999E-6</v>
      </c>
      <c r="C37">
        <v>2.28439E-5</v>
      </c>
      <c r="D37">
        <f>B37/$B$3*100</f>
        <v>0.16415223799172551</v>
      </c>
      <c r="E37">
        <f>C37/$C$3*100</f>
        <v>14.861880969110262</v>
      </c>
      <c r="G37">
        <v>1.4654199999999999E-6</v>
      </c>
      <c r="H37">
        <v>2.3695900000000001E-5</v>
      </c>
      <c r="I37">
        <f>G37/$G$3*100</f>
        <v>0.1728046829028998</v>
      </c>
      <c r="J37">
        <f>H37/$H$3*100</f>
        <v>13.325928758618364</v>
      </c>
      <c r="L37" s="5">
        <v>1.22844E-6</v>
      </c>
      <c r="M37" s="5">
        <v>2.6881800000000001E-5</v>
      </c>
      <c r="N37" s="4">
        <f>L37/$L$3*100</f>
        <v>0.12465233137120202</v>
      </c>
      <c r="O37" s="4">
        <f>M37/$M$3*100</f>
        <v>13.883075969632804</v>
      </c>
      <c r="Q37">
        <f>AVERAGE(B37,G37,L37)</f>
        <v>1.3533100000000001E-6</v>
      </c>
      <c r="R37">
        <f>AVERAGE(C37,H37,M37)</f>
        <v>2.4473866666666666E-5</v>
      </c>
      <c r="T37">
        <f>AVERAGE(D37,I37,N37)</f>
        <v>0.15386975075527579</v>
      </c>
      <c r="U37">
        <f>AVERAGE(E37,J37,O37)</f>
        <v>14.023628565787144</v>
      </c>
      <c r="W37">
        <f>_xlfn.STDEV.P(D37,I37,N37)</f>
        <v>2.0959634178325741E-2</v>
      </c>
      <c r="X37">
        <f>_xlfn.STDEV.P(E37,J37,O37)</f>
        <v>0.6348771915066358</v>
      </c>
    </row>
    <row r="38" spans="1:24" x14ac:dyDescent="0.2">
      <c r="A38">
        <v>230.48099999999999</v>
      </c>
      <c r="B38">
        <v>1.3384500000000001E-6</v>
      </c>
      <c r="C38">
        <v>2.2821100000000001E-5</v>
      </c>
      <c r="D38">
        <f>B38/$B$3*100</f>
        <v>0.16083331230465864</v>
      </c>
      <c r="E38">
        <f>C38/$C$3*100</f>
        <v>14.84704764878861</v>
      </c>
      <c r="G38">
        <v>1.4477299999999999E-6</v>
      </c>
      <c r="H38">
        <v>2.36303E-5</v>
      </c>
      <c r="I38">
        <f>G38/$G$3*100</f>
        <v>0.17071864965608163</v>
      </c>
      <c r="J38">
        <f>H38/$H$3*100</f>
        <v>13.289037105354915</v>
      </c>
      <c r="L38" s="5">
        <v>1.19237E-6</v>
      </c>
      <c r="M38" s="5">
        <v>2.6644499999999999E-5</v>
      </c>
      <c r="N38" s="4">
        <f>L38/$L$3*100</f>
        <v>0.12099223434362293</v>
      </c>
      <c r="O38" s="4">
        <f>M38/$M$3*100</f>
        <v>13.760522646284148</v>
      </c>
      <c r="Q38">
        <f>AVERAGE(B38,G38,L38)</f>
        <v>1.3261833333333334E-6</v>
      </c>
      <c r="R38">
        <f>AVERAGE(C38,H38,M38)</f>
        <v>2.4365299999999999E-5</v>
      </c>
      <c r="T38">
        <f>AVERAGE(D38,I38,N38)</f>
        <v>0.15084806543478774</v>
      </c>
      <c r="U38">
        <f>AVERAGE(E38,J38,O38)</f>
        <v>13.965535800142556</v>
      </c>
      <c r="W38">
        <f>_xlfn.STDEV.P(D38,I38,N38)</f>
        <v>2.1493533310370037E-2</v>
      </c>
      <c r="X38">
        <f>_xlfn.STDEV.P(E38,J38,O38)</f>
        <v>0.65236595471349201</v>
      </c>
    </row>
    <row r="39" spans="1:24" x14ac:dyDescent="0.2">
      <c r="A39">
        <v>236.60900000000001</v>
      </c>
      <c r="B39">
        <v>1.3112799999999999E-6</v>
      </c>
      <c r="C39">
        <v>2.2739E-5</v>
      </c>
      <c r="D39">
        <f>B39/$B$3*100</f>
        <v>0.15756846035253669</v>
      </c>
      <c r="E39">
        <f>C39/$C$3*100</f>
        <v>14.793634683946182</v>
      </c>
      <c r="G39">
        <v>1.4291499999999999E-6</v>
      </c>
      <c r="H39">
        <v>2.3557499999999999E-5</v>
      </c>
      <c r="I39">
        <f>G39/$G$3*100</f>
        <v>0.16852766617807813</v>
      </c>
      <c r="J39">
        <f>H39/$H$3*100</f>
        <v>13.248096368196697</v>
      </c>
      <c r="L39" s="5">
        <v>1.1543399999999999E-6</v>
      </c>
      <c r="M39" s="5">
        <v>2.6437200000000002E-5</v>
      </c>
      <c r="N39" s="4">
        <f>L39/$L$3*100</f>
        <v>0.11713325208804121</v>
      </c>
      <c r="O39" s="4">
        <f>M39/$M$3*100</f>
        <v>13.653462789856944</v>
      </c>
      <c r="Q39">
        <f>AVERAGE(B39,G39,L39)</f>
        <v>1.2982566666666667E-6</v>
      </c>
      <c r="R39">
        <f>AVERAGE(C39,H39,M39)</f>
        <v>2.4244566666666668E-5</v>
      </c>
      <c r="T39">
        <f>AVERAGE(D39,I39,N39)</f>
        <v>0.14774312620621868</v>
      </c>
      <c r="U39">
        <f>AVERAGE(E39,J39,O39)</f>
        <v>13.898397947333274</v>
      </c>
      <c r="W39">
        <f>_xlfn.STDEV.P(D39,I39,N39)</f>
        <v>2.2102026200172147E-2</v>
      </c>
      <c r="X39">
        <f>_xlfn.STDEV.P(E39,J39,O39)</f>
        <v>0.65430222114269965</v>
      </c>
    </row>
    <row r="40" spans="1:24" x14ac:dyDescent="0.2">
      <c r="A40">
        <v>242.952</v>
      </c>
      <c r="B40">
        <v>1.2802499999999999E-6</v>
      </c>
      <c r="C40">
        <v>2.2683900000000001E-5</v>
      </c>
      <c r="D40">
        <f>B40/$B$3*100</f>
        <v>0.15383977591844239</v>
      </c>
      <c r="E40">
        <f>C40/$C$3*100</f>
        <v>14.757787493168864</v>
      </c>
      <c r="G40">
        <v>1.40802E-6</v>
      </c>
      <c r="H40">
        <v>2.3507899999999999E-5</v>
      </c>
      <c r="I40">
        <f>G40/$G$3*100</f>
        <v>0.16603598259948751</v>
      </c>
      <c r="J40">
        <f>H40/$H$3*100</f>
        <v>13.220202679143844</v>
      </c>
      <c r="L40" s="5">
        <v>1.1194400000000001E-6</v>
      </c>
      <c r="M40" s="5">
        <v>2.6263700000000001E-5</v>
      </c>
      <c r="N40" s="4">
        <f>L40/$L$3*100</f>
        <v>0.11359187736493309</v>
      </c>
      <c r="O40" s="4">
        <f>M40/$M$3*100</f>
        <v>13.563858906161236</v>
      </c>
      <c r="Q40">
        <f>AVERAGE(B40,G40,L40)</f>
        <v>1.2692366666666667E-6</v>
      </c>
      <c r="R40">
        <f>AVERAGE(C40,H40,M40)</f>
        <v>2.4151833333333335E-5</v>
      </c>
      <c r="T40">
        <f>AVERAGE(D40,I40,N40)</f>
        <v>0.14448921196095435</v>
      </c>
      <c r="U40">
        <f>AVERAGE(E40,J40,O40)</f>
        <v>13.847283026157982</v>
      </c>
      <c r="W40">
        <f>_xlfn.STDEV.P(D40,I40,N40)</f>
        <v>2.2407897836931766E-2</v>
      </c>
      <c r="X40">
        <f>_xlfn.STDEV.P(E40,J40,O40)</f>
        <v>0.65893281849115004</v>
      </c>
    </row>
    <row r="41" spans="1:24" x14ac:dyDescent="0.2">
      <c r="A41">
        <v>249.15899999999999</v>
      </c>
      <c r="B41">
        <v>1.25302E-6</v>
      </c>
      <c r="C41">
        <v>2.2595800000000001E-5</v>
      </c>
      <c r="D41">
        <f>B41/$B$3*100</f>
        <v>0.15056771413499448</v>
      </c>
      <c r="E41">
        <f>C41/$C$3*100</f>
        <v>14.700471022978634</v>
      </c>
      <c r="G41">
        <v>1.3931700000000001E-6</v>
      </c>
      <c r="H41">
        <v>2.3488600000000001E-5</v>
      </c>
      <c r="I41">
        <f>G41/$G$3*100</f>
        <v>0.16428484671959775</v>
      </c>
      <c r="J41">
        <f>H41/$H$3*100</f>
        <v>13.209348884814812</v>
      </c>
      <c r="L41" s="5">
        <v>1.0942099999999999E-6</v>
      </c>
      <c r="M41" s="5">
        <v>2.6140400000000001E-5</v>
      </c>
      <c r="N41" s="4">
        <f>L41/$L$3*100</f>
        <v>0.11103173741467467</v>
      </c>
      <c r="O41" s="4">
        <f>M41/$M$3*100</f>
        <v>13.500180757114084</v>
      </c>
      <c r="Q41">
        <f>AVERAGE(B41,G41,L41)</f>
        <v>1.2468000000000001E-6</v>
      </c>
      <c r="R41">
        <f>AVERAGE(C41,H41,M41)</f>
        <v>2.4074933333333336E-5</v>
      </c>
      <c r="T41">
        <f>AVERAGE(D41,I41,N41)</f>
        <v>0.14196143275642228</v>
      </c>
      <c r="U41">
        <f>AVERAGE(E41,J41,O41)</f>
        <v>13.803333554969177</v>
      </c>
      <c r="W41">
        <f>_xlfn.STDEV.P(D41,I41,N41)</f>
        <v>2.2576159579460429E-2</v>
      </c>
      <c r="X41">
        <f>_xlfn.STDEV.P(E41,J41,O41)</f>
        <v>0.64538749180425992</v>
      </c>
    </row>
    <row r="42" spans="1:24" x14ac:dyDescent="0.2">
      <c r="A42">
        <v>262.24700000000001</v>
      </c>
      <c r="B42">
        <v>6.6939500000000004E-4</v>
      </c>
      <c r="C42">
        <v>1.56856E-4</v>
      </c>
      <c r="D42">
        <f>B42/$B$3*100</f>
        <v>80.437084007752986</v>
      </c>
      <c r="E42">
        <f>C42/$C$3*100</f>
        <v>102.04803913914695</v>
      </c>
      <c r="G42">
        <v>6.7564700000000003E-4</v>
      </c>
      <c r="H42">
        <v>1.80044E-4</v>
      </c>
      <c r="I42">
        <f>G42/$G$3*100</f>
        <v>79.673380729958339</v>
      </c>
      <c r="J42">
        <f>H42/$H$3*100</f>
        <v>101.25184177079936</v>
      </c>
      <c r="L42" s="5">
        <v>7.8643300000000001E-4</v>
      </c>
      <c r="M42" s="5">
        <v>1.95405E-4</v>
      </c>
      <c r="N42" s="4">
        <f>L42/$L$3*100</f>
        <v>79.800972711120224</v>
      </c>
      <c r="O42" s="4">
        <f>M42/$M$3*100</f>
        <v>100.91669679285235</v>
      </c>
      <c r="Q42">
        <f>AVERAGE(B42,G42,L42)</f>
        <v>7.1049166666666658E-4</v>
      </c>
      <c r="R42">
        <f>AVERAGE(C42,H42,M42)</f>
        <v>1.7743500000000001E-4</v>
      </c>
      <c r="T42">
        <f>AVERAGE(D42,I42,N42)</f>
        <v>79.970479149610512</v>
      </c>
      <c r="U42">
        <f>AVERAGE(E42,J42,O42)</f>
        <v>101.40552590093289</v>
      </c>
      <c r="W42">
        <f>_xlfn.STDEV.P(D42,I42,N42)</f>
        <v>0.33402594574455796</v>
      </c>
      <c r="X42">
        <f>_xlfn.STDEV.P(E42,J42,O42)</f>
        <v>0.47448075831798703</v>
      </c>
    </row>
    <row r="43" spans="1:24" x14ac:dyDescent="0.2">
      <c r="A43">
        <v>268.46699999999998</v>
      </c>
      <c r="B43">
        <v>6.8926999999999997E-4</v>
      </c>
      <c r="C43">
        <v>1.63673E-4</v>
      </c>
      <c r="D43">
        <f>B43/$B$3*100</f>
        <v>82.82534063448918</v>
      </c>
      <c r="E43">
        <f>C43/$C$3*100</f>
        <v>106.48307179847502</v>
      </c>
      <c r="G43">
        <v>6.99346E-4</v>
      </c>
      <c r="H43">
        <v>1.86264E-4</v>
      </c>
      <c r="I43">
        <f>G43/$G$3*100</f>
        <v>82.468004919689491</v>
      </c>
      <c r="J43">
        <f>H43/$H$3*100</f>
        <v>104.74980035766907</v>
      </c>
      <c r="L43" s="5">
        <v>8.0970800000000002E-4</v>
      </c>
      <c r="M43" s="5">
        <v>1.98211E-4</v>
      </c>
      <c r="N43" s="4">
        <f>L43/$L$3*100</f>
        <v>82.162734793651509</v>
      </c>
      <c r="O43" s="4">
        <f>M43/$M$3*100</f>
        <v>102.36585239890512</v>
      </c>
      <c r="Q43">
        <f>AVERAGE(B43,G43,L43)</f>
        <v>7.327746666666667E-4</v>
      </c>
      <c r="R43">
        <f>AVERAGE(C43,H43,M43)</f>
        <v>1.82716E-4</v>
      </c>
      <c r="T43">
        <f>AVERAGE(D43,I43,N43)</f>
        <v>82.485360115943394</v>
      </c>
      <c r="U43">
        <f>AVERAGE(E43,J43,O43)</f>
        <v>104.53290818501641</v>
      </c>
      <c r="W43">
        <f>_xlfn.STDEV.P(D43,I43,N43)</f>
        <v>0.27078592677095531</v>
      </c>
      <c r="X43">
        <f>_xlfn.STDEV.P(E43,J43,O43)</f>
        <v>1.6878300777363398</v>
      </c>
    </row>
    <row r="44" spans="1:24" x14ac:dyDescent="0.2">
      <c r="A44">
        <v>274.76</v>
      </c>
      <c r="B44">
        <v>7.0384500000000003E-4</v>
      </c>
      <c r="C44">
        <v>1.6006399999999999E-4</v>
      </c>
      <c r="D44">
        <f>B44/$B$3*100</f>
        <v>84.576728827429079</v>
      </c>
      <c r="E44">
        <f>C44/$C$3*100</f>
        <v>104.13511333177192</v>
      </c>
      <c r="G44">
        <v>7.1190399999999997E-4</v>
      </c>
      <c r="H44">
        <v>1.7728399999999999E-4</v>
      </c>
      <c r="I44">
        <f>G44/$G$3*100</f>
        <v>83.948864473875048</v>
      </c>
      <c r="J44">
        <f>H44/$H$3*100</f>
        <v>99.699692944471309</v>
      </c>
      <c r="L44" s="5">
        <v>8.2713399999999999E-4</v>
      </c>
      <c r="M44" s="5">
        <v>1.97617E-4</v>
      </c>
      <c r="N44" s="4">
        <f>L44/$L$3*100</f>
        <v>83.930986825883082</v>
      </c>
      <c r="O44" s="4">
        <f>M44/$M$3*100</f>
        <v>102.05908175386045</v>
      </c>
      <c r="Q44">
        <f>AVERAGE(B44,G44,L44)</f>
        <v>7.476276666666667E-4</v>
      </c>
      <c r="R44">
        <f>AVERAGE(C44,H44,M44)</f>
        <v>1.7832166666666667E-4</v>
      </c>
      <c r="T44">
        <f>AVERAGE(D44,I44,N44)</f>
        <v>84.15219337572907</v>
      </c>
      <c r="U44">
        <f>AVERAGE(E44,J44,O44)</f>
        <v>101.96462934336789</v>
      </c>
      <c r="W44">
        <f>_xlfn.STDEV.P(D44,I44,N44)</f>
        <v>0.30028060752905716</v>
      </c>
      <c r="X44">
        <f>_xlfn.STDEV.P(E44,J44,O44)</f>
        <v>1.8119840776354088</v>
      </c>
    </row>
    <row r="45" spans="1:24" x14ac:dyDescent="0.2">
      <c r="A45">
        <v>280.99099999999999</v>
      </c>
      <c r="B45">
        <v>7.1665100000000001E-4</v>
      </c>
      <c r="C45">
        <v>1.5544199999999999E-4</v>
      </c>
      <c r="D45">
        <f>B45/$B$3*100</f>
        <v>86.115547160107525</v>
      </c>
      <c r="E45">
        <f>C45/$C$3*100</f>
        <v>101.12811304551485</v>
      </c>
      <c r="G45">
        <v>7.2069199999999999E-4</v>
      </c>
      <c r="H45">
        <v>1.73229E-4</v>
      </c>
      <c r="I45">
        <f>G45/$G$3*100</f>
        <v>84.98515956562396</v>
      </c>
      <c r="J45">
        <f>H45/$H$3*100</f>
        <v>97.419271389848049</v>
      </c>
      <c r="L45" s="5">
        <v>8.4366900000000002E-4</v>
      </c>
      <c r="M45" s="5">
        <v>2.0239999999999999E-4</v>
      </c>
      <c r="N45" s="4">
        <f>L45/$L$3*100</f>
        <v>85.608827257017552</v>
      </c>
      <c r="O45" s="4">
        <f>M45/$M$3*100</f>
        <v>104.52925683003667</v>
      </c>
      <c r="Q45">
        <f>AVERAGE(B45,G45,L45)</f>
        <v>7.603373333333333E-4</v>
      </c>
      <c r="R45">
        <f>AVERAGE(C45,H45,M45)</f>
        <v>1.7702366666666664E-4</v>
      </c>
      <c r="T45">
        <f>AVERAGE(D45,I45,N45)</f>
        <v>85.569844660916331</v>
      </c>
      <c r="U45">
        <f>AVERAGE(E45,J45,O45)</f>
        <v>101.02554708846652</v>
      </c>
      <c r="W45">
        <f>_xlfn.STDEV.P(D45,I45,N45)</f>
        <v>0.46230131627159765</v>
      </c>
      <c r="X45">
        <f>_xlfn.STDEV.P(E45,J45,O45)</f>
        <v>2.9035453123819144</v>
      </c>
    </row>
    <row r="46" spans="1:24" x14ac:dyDescent="0.2">
      <c r="A46">
        <v>287.21100000000001</v>
      </c>
      <c r="B46">
        <v>7.2787899999999996E-4</v>
      </c>
      <c r="C46">
        <v>1.5396499999999999E-4</v>
      </c>
      <c r="D46">
        <f>B46/$B$3*100</f>
        <v>87.464746928912263</v>
      </c>
      <c r="E46">
        <f>C46/$C$3*100</f>
        <v>100.16720014573086</v>
      </c>
      <c r="G46">
        <v>7.3111400000000005E-4</v>
      </c>
      <c r="H46">
        <v>1.7145600000000001E-4</v>
      </c>
      <c r="I46">
        <f>G46/$G$3*100</f>
        <v>86.214138564964784</v>
      </c>
      <c r="J46">
        <f>H46/$H$3*100</f>
        <v>96.422184480761231</v>
      </c>
      <c r="L46" s="5">
        <v>8.5973799999999997E-4</v>
      </c>
      <c r="M46" s="5">
        <v>2.0356399999999999E-4</v>
      </c>
      <c r="N46" s="4">
        <f>L46/$L$3*100</f>
        <v>87.239381710473836</v>
      </c>
      <c r="O46" s="4">
        <f>M46/$M$3*100</f>
        <v>105.13040334658885</v>
      </c>
      <c r="Q46">
        <f>AVERAGE(B46,G46,L46)</f>
        <v>7.729103333333334E-4</v>
      </c>
      <c r="R46">
        <f>AVERAGE(C46,H46,M46)</f>
        <v>1.7632833333333336E-4</v>
      </c>
      <c r="T46">
        <f>AVERAGE(D46,I46,N46)</f>
        <v>86.972755734783618</v>
      </c>
      <c r="U46">
        <f>AVERAGE(E46,J46,O46)</f>
        <v>100.57326265769365</v>
      </c>
      <c r="W46">
        <f>_xlfn.STDEV.P(D46,I46,N46)</f>
        <v>0.54425629880196069</v>
      </c>
      <c r="X46">
        <f>_xlfn.STDEV.P(E46,J46,O46)</f>
        <v>3.566691653479936</v>
      </c>
    </row>
    <row r="47" spans="1:24" x14ac:dyDescent="0.2">
      <c r="A47">
        <v>293.38900000000001</v>
      </c>
      <c r="B47">
        <v>7.3782700000000004E-4</v>
      </c>
      <c r="C47">
        <v>1.53738E-4</v>
      </c>
      <c r="D47">
        <f>B47/$B$3*100</f>
        <v>88.660136962762422</v>
      </c>
      <c r="E47">
        <f>C47/$C$3*100</f>
        <v>100.01951752673901</v>
      </c>
      <c r="G47">
        <v>7.3810399999999995E-4</v>
      </c>
      <c r="H47">
        <v>1.69533E-4</v>
      </c>
      <c r="I47">
        <f>G47/$G$3*100</f>
        <v>87.038410605397729</v>
      </c>
      <c r="J47">
        <f>H47/$H$3*100</f>
        <v>95.34074165720007</v>
      </c>
      <c r="L47" s="5">
        <v>8.7147600000000004E-4</v>
      </c>
      <c r="M47" s="5">
        <v>2.0395100000000001E-4</v>
      </c>
      <c r="N47" s="4">
        <f>L47/$L$3*100</f>
        <v>88.430460693277382</v>
      </c>
      <c r="O47" s="4">
        <f>M47/$M$3*100</f>
        <v>105.33026906987556</v>
      </c>
      <c r="Q47">
        <f>AVERAGE(B47,G47,L47)</f>
        <v>7.8246900000000005E-4</v>
      </c>
      <c r="R47">
        <f>AVERAGE(C47,H47,M47)</f>
        <v>1.7574066666666664E-4</v>
      </c>
      <c r="T47">
        <f>AVERAGE(D47,I47,N47)</f>
        <v>88.043002753812516</v>
      </c>
      <c r="U47">
        <f>AVERAGE(E47,J47,O47)</f>
        <v>100.23017608460488</v>
      </c>
      <c r="W47">
        <f>_xlfn.STDEV.P(D47,I47,N47)</f>
        <v>0.71651556655972803</v>
      </c>
      <c r="X47">
        <f>_xlfn.STDEV.P(E47,J47,O47)</f>
        <v>4.0809269578655236</v>
      </c>
    </row>
    <row r="48" spans="1:24" x14ac:dyDescent="0.2">
      <c r="A48">
        <v>299.65600000000001</v>
      </c>
      <c r="B48">
        <v>7.4328899999999995E-4</v>
      </c>
      <c r="C48">
        <v>1.54823E-4</v>
      </c>
      <c r="D48">
        <f>B48/$B$3*100</f>
        <v>89.316471941138929</v>
      </c>
      <c r="E48">
        <f>C48/$C$3*100</f>
        <v>100.7254014104666</v>
      </c>
      <c r="G48">
        <v>7.4526400000000004E-4</v>
      </c>
      <c r="H48">
        <v>1.7097799999999999E-4</v>
      </c>
      <c r="I48">
        <f>G48/$G$3*100</f>
        <v>87.882729319203179</v>
      </c>
      <c r="J48">
        <f>H48/$H$3*100</f>
        <v>96.153370299969637</v>
      </c>
      <c r="L48" s="5">
        <v>8.7841799999999995E-4</v>
      </c>
      <c r="M48" s="5">
        <v>2.0710300000000001E-4</v>
      </c>
      <c r="N48" s="4">
        <f>L48/$L$3*100</f>
        <v>89.134879699805055</v>
      </c>
      <c r="O48" s="4">
        <f>M48/$M$3*100</f>
        <v>106.95811599442236</v>
      </c>
      <c r="Q48">
        <f>AVERAGE(B48,G48,L48)</f>
        <v>7.8899033333333331E-4</v>
      </c>
      <c r="R48">
        <f>AVERAGE(C48,H48,M48)</f>
        <v>1.776346666666667E-4</v>
      </c>
      <c r="T48">
        <f>AVERAGE(D48,I48,N48)</f>
        <v>88.778026986715716</v>
      </c>
      <c r="U48">
        <f>AVERAGE(E48,J48,O48)</f>
        <v>101.2789625682862</v>
      </c>
      <c r="W48">
        <f>_xlfn.STDEV.P(D48,I48,N48)</f>
        <v>0.63739698284936641</v>
      </c>
      <c r="X48">
        <f>_xlfn.STDEV.P(E48,J48,O48)</f>
        <v>4.4283522027223308</v>
      </c>
    </row>
    <row r="49" spans="1:24" x14ac:dyDescent="0.2">
      <c r="A49">
        <v>305.76400000000001</v>
      </c>
      <c r="B49">
        <v>7.4909E-4</v>
      </c>
      <c r="C49">
        <v>1.552E-4</v>
      </c>
      <c r="D49">
        <f>B49/$B$3*100</f>
        <v>90.013542466507317</v>
      </c>
      <c r="E49">
        <f>C49/$C$3*100</f>
        <v>100.9706716631535</v>
      </c>
      <c r="G49">
        <v>7.4980000000000001E-4</v>
      </c>
      <c r="H49">
        <v>1.76644E-4</v>
      </c>
      <c r="I49">
        <f>G49/$G$3*100</f>
        <v>88.417621733424056</v>
      </c>
      <c r="J49">
        <f>H49/$H$3*100</f>
        <v>99.339774376047416</v>
      </c>
      <c r="L49" s="5">
        <v>8.8471199999999996E-4</v>
      </c>
      <c r="M49" s="5">
        <v>2.12518E-4</v>
      </c>
      <c r="N49" s="4">
        <f>L49/$L$3*100</f>
        <v>89.773544814625765</v>
      </c>
      <c r="O49" s="4">
        <f>M49/$M$3*100</f>
        <v>109.75468677374374</v>
      </c>
      <c r="Q49">
        <f>AVERAGE(B49,G49,L49)</f>
        <v>7.9453400000000006E-4</v>
      </c>
      <c r="R49">
        <f>AVERAGE(C49,H49,M49)</f>
        <v>1.8145399999999997E-4</v>
      </c>
      <c r="T49">
        <f>AVERAGE(D49,I49,N49)</f>
        <v>89.401569671519042</v>
      </c>
      <c r="U49">
        <f>AVERAGE(E49,J49,O49)</f>
        <v>103.35504427098154</v>
      </c>
      <c r="W49">
        <f>_xlfn.STDEV.P(D49,I49,N49)</f>
        <v>0.7026212241258688</v>
      </c>
      <c r="X49">
        <f>_xlfn.STDEV.P(E49,J49,O49)</f>
        <v>4.5739497601557115</v>
      </c>
    </row>
    <row r="50" spans="1:24" x14ac:dyDescent="0.2">
      <c r="A50">
        <v>311.92599999999999</v>
      </c>
      <c r="B50">
        <v>7.53077E-4</v>
      </c>
      <c r="C50">
        <v>1.5503199999999999E-4</v>
      </c>
      <c r="D50">
        <f>B50/$B$3*100</f>
        <v>90.492635758119761</v>
      </c>
      <c r="E50">
        <f>C50/$C$3*100</f>
        <v>100.86137351341502</v>
      </c>
      <c r="G50">
        <v>7.5485099999999996E-4</v>
      </c>
      <c r="H50">
        <v>1.7533100000000001E-4</v>
      </c>
      <c r="I50">
        <f>G50/$G$3*100</f>
        <v>89.013243775802721</v>
      </c>
      <c r="J50">
        <f>H50/$H$3*100</f>
        <v>98.601378938015287</v>
      </c>
      <c r="L50" s="5">
        <v>8.8829899999999995E-4</v>
      </c>
      <c r="M50" s="5">
        <v>2.0800300000000001E-4</v>
      </c>
      <c r="N50" s="4">
        <f>L50/$L$3*100</f>
        <v>90.137525076281605</v>
      </c>
      <c r="O50" s="4">
        <f>M50/$M$3*100</f>
        <v>107.42292000206579</v>
      </c>
      <c r="Q50">
        <f>AVERAGE(B50,G50,L50)</f>
        <v>7.9874233333333334E-4</v>
      </c>
      <c r="R50">
        <f>AVERAGE(C50,H50,M50)</f>
        <v>1.7945533333333332E-4</v>
      </c>
      <c r="T50">
        <f>AVERAGE(D50,I50,N50)</f>
        <v>89.881134870068038</v>
      </c>
      <c r="U50">
        <f>AVERAGE(E50,J50,O50)</f>
        <v>102.29522415116537</v>
      </c>
      <c r="W50">
        <f>_xlfn.STDEV.P(D50,I50,N50)</f>
        <v>0.63058285879952114</v>
      </c>
      <c r="X50">
        <f>_xlfn.STDEV.P(E50,J50,O50)</f>
        <v>3.741376077035039</v>
      </c>
    </row>
    <row r="51" spans="1:24" x14ac:dyDescent="0.2">
      <c r="A51">
        <v>318.20600000000002</v>
      </c>
      <c r="B51">
        <v>7.5571600000000003E-4</v>
      </c>
      <c r="C51">
        <v>1.54957E-4</v>
      </c>
      <c r="D51">
        <f>B51/$B$3*100</f>
        <v>90.809748172608167</v>
      </c>
      <c r="E51">
        <f>C51/$C$3*100</f>
        <v>100.81257969656751</v>
      </c>
      <c r="G51">
        <v>7.5976099999999997E-4</v>
      </c>
      <c r="H51">
        <v>1.76241E-4</v>
      </c>
      <c r="I51">
        <f>G51/$G$3*100</f>
        <v>89.59223887144303</v>
      </c>
      <c r="J51">
        <f>H51/$H$3*100</f>
        <v>99.113138152492994</v>
      </c>
      <c r="L51" s="5">
        <v>8.9050399999999997E-4</v>
      </c>
      <c r="M51" s="5">
        <v>2.0267500000000001E-4</v>
      </c>
      <c r="N51" s="4">
        <f>L51/$L$3*100</f>
        <v>90.361270957784583</v>
      </c>
      <c r="O51" s="4">
        <f>M51/$M$3*100</f>
        <v>104.6712802768166</v>
      </c>
      <c r="Q51">
        <f>AVERAGE(B51,G51,L51)</f>
        <v>8.0199366666666662E-4</v>
      </c>
      <c r="R51">
        <f>AVERAGE(C51,H51,M51)</f>
        <v>1.7795766666666669E-4</v>
      </c>
      <c r="T51">
        <f>AVERAGE(D51,I51,N51)</f>
        <v>90.254419333945251</v>
      </c>
      <c r="U51">
        <f>AVERAGE(E51,J51,O51)</f>
        <v>101.5323327086257</v>
      </c>
      <c r="W51">
        <f>_xlfn.STDEV.P(D51,I51,N51)</f>
        <v>0.50275585641789078</v>
      </c>
      <c r="X51">
        <f>_xlfn.STDEV.P(E51,J51,O51)</f>
        <v>2.3254776236750838</v>
      </c>
    </row>
    <row r="52" spans="1:24" x14ac:dyDescent="0.2">
      <c r="A52">
        <v>324.48599999999999</v>
      </c>
      <c r="B52">
        <v>7.5943600000000005E-4</v>
      </c>
      <c r="C52">
        <v>1.53671E-4</v>
      </c>
      <c r="D52">
        <f>B52/$B$3*100</f>
        <v>91.25675771481994</v>
      </c>
      <c r="E52">
        <f>C52/$C$3*100</f>
        <v>99.97592838368854</v>
      </c>
      <c r="G52">
        <v>7.5987099999999996E-4</v>
      </c>
      <c r="H52">
        <v>1.70421E-4</v>
      </c>
      <c r="I52">
        <f>G52/$G$3*100</f>
        <v>89.605210248331119</v>
      </c>
      <c r="J52">
        <f>H52/$H$3*100</f>
        <v>95.84012867088822</v>
      </c>
      <c r="L52" s="5">
        <v>8.9588000000000005E-4</v>
      </c>
      <c r="M52" s="5">
        <v>2.0983800000000001E-4</v>
      </c>
      <c r="N52" s="4">
        <f>L52/$L$3*100</f>
        <v>90.906784726020376</v>
      </c>
      <c r="O52" s="4">
        <f>M52/$M$3*100</f>
        <v>108.37060372876104</v>
      </c>
      <c r="Q52">
        <f>AVERAGE(B52,G52,L52)</f>
        <v>8.0506233333333332E-4</v>
      </c>
      <c r="R52">
        <f>AVERAGE(C52,H52,M52)</f>
        <v>1.7797666666666666E-4</v>
      </c>
      <c r="T52">
        <f>AVERAGE(D52,I52,N52)</f>
        <v>90.589584229723812</v>
      </c>
      <c r="U52">
        <f>AVERAGE(E52,J52,O52)</f>
        <v>101.39555359444593</v>
      </c>
      <c r="W52">
        <f>_xlfn.STDEV.P(D52,I52,N52)</f>
        <v>0.71056990022305411</v>
      </c>
      <c r="X52">
        <f>_xlfn.STDEV.P(E52,J52,O52)</f>
        <v>5.2131054787114302</v>
      </c>
    </row>
    <row r="53" spans="1:24" x14ac:dyDescent="0.2">
      <c r="A53">
        <v>330.68</v>
      </c>
      <c r="B53">
        <v>7.6287000000000002E-4</v>
      </c>
      <c r="C53">
        <v>1.5174000000000001E-4</v>
      </c>
      <c r="D53">
        <f>B53/$B$3*100</f>
        <v>91.669400394377774</v>
      </c>
      <c r="E53">
        <f>C53/$C$3*100</f>
        <v>98.719650245920832</v>
      </c>
      <c r="G53">
        <v>7.6514200000000001E-4</v>
      </c>
      <c r="H53">
        <v>1.7438600000000001E-4</v>
      </c>
      <c r="I53">
        <f>G53/$G$3*100</f>
        <v>90.226775044485933</v>
      </c>
      <c r="J53">
        <f>H53/$H$3*100</f>
        <v>98.06993667682687</v>
      </c>
      <c r="L53" s="5">
        <v>8.97261E-4</v>
      </c>
      <c r="M53" s="5">
        <v>2.08402E-4</v>
      </c>
      <c r="N53" s="4">
        <f>L53/$L$3*100</f>
        <v>91.046917634118145</v>
      </c>
      <c r="O53" s="4">
        <f>M53/$M$3*100</f>
        <v>107.62898311212106</v>
      </c>
      <c r="Q53">
        <f>AVERAGE(B53,G53,L53)</f>
        <v>8.0842433333333334E-4</v>
      </c>
      <c r="R53">
        <f>AVERAGE(C53,H53,M53)</f>
        <v>1.7817600000000002E-4</v>
      </c>
      <c r="T53">
        <f>AVERAGE(D53,I53,N53)</f>
        <v>90.981031024327294</v>
      </c>
      <c r="U53">
        <f>AVERAGE(E53,J53,O53)</f>
        <v>101.47285667828959</v>
      </c>
      <c r="W53">
        <f>_xlfn.STDEV.P(D53,I53,N53)</f>
        <v>0.5907891665955175</v>
      </c>
      <c r="X53">
        <f>_xlfn.STDEV.P(E53,J53,O53)</f>
        <v>4.3611123529404869</v>
      </c>
    </row>
    <row r="54" spans="1:24" x14ac:dyDescent="0.2">
      <c r="A54">
        <v>336.81799999999998</v>
      </c>
      <c r="B54">
        <v>7.67496E-4</v>
      </c>
      <c r="C54">
        <v>1.5048199999999999E-4</v>
      </c>
      <c r="D54">
        <f>B54/$B$3*100</f>
        <v>92.225278389612072</v>
      </c>
      <c r="E54">
        <f>C54/$C$3*100</f>
        <v>97.901215291331596</v>
      </c>
      <c r="G54">
        <v>7.7023599999999999E-4</v>
      </c>
      <c r="H54">
        <v>1.75852E-4</v>
      </c>
      <c r="I54">
        <f>G54/$G$3*100</f>
        <v>90.827467716011739</v>
      </c>
      <c r="J54">
        <f>H54/$H$3*100</f>
        <v>98.894375147622853</v>
      </c>
      <c r="L54" s="5">
        <v>9.0158999999999997E-4</v>
      </c>
      <c r="M54" s="5">
        <v>2.0249999999999999E-4</v>
      </c>
      <c r="N54" s="4">
        <f>L54/$L$3*100</f>
        <v>91.486190160660698</v>
      </c>
      <c r="O54" s="4">
        <f>M54/$M$3*100</f>
        <v>104.58090171977483</v>
      </c>
      <c r="Q54">
        <f>AVERAGE(B54,G54,L54)</f>
        <v>8.1310733333333325E-4</v>
      </c>
      <c r="R54">
        <f>AVERAGE(C54,H54,M54)</f>
        <v>1.7627799999999998E-4</v>
      </c>
      <c r="T54">
        <f>AVERAGE(D54,I54,N54)</f>
        <v>91.512978755428165</v>
      </c>
      <c r="U54">
        <f>AVERAGE(E54,J54,O54)</f>
        <v>100.45883071957643</v>
      </c>
      <c r="W54">
        <f>_xlfn.STDEV.P(D54,I54,N54)</f>
        <v>0.5709681201929262</v>
      </c>
      <c r="X54">
        <f>_xlfn.STDEV.P(E54,J54,O54)</f>
        <v>2.9428097257603563</v>
      </c>
    </row>
    <row r="55" spans="1:24" x14ac:dyDescent="0.2">
      <c r="A55">
        <v>343.04300000000001</v>
      </c>
      <c r="B55">
        <v>7.7116399999999996E-4</v>
      </c>
      <c r="C55">
        <v>1.5077800000000001E-4</v>
      </c>
      <c r="D55">
        <f>B55/$B$3*100</f>
        <v>92.666039411341288</v>
      </c>
      <c r="E55">
        <f>C55/$C$3*100</f>
        <v>98.093788221823203</v>
      </c>
      <c r="G55">
        <v>7.7548500000000002E-4</v>
      </c>
      <c r="H55">
        <v>1.7376100000000001E-4</v>
      </c>
      <c r="I55">
        <f>G55/$G$3*100</f>
        <v>91.44643823678895</v>
      </c>
      <c r="J55">
        <f>H55/$H$3*100</f>
        <v>97.718453699850414</v>
      </c>
      <c r="L55" s="5">
        <v>9.0791799999999996E-4</v>
      </c>
      <c r="M55" s="5">
        <v>2.0457299999999999E-4</v>
      </c>
      <c r="N55" s="4">
        <f>L55/$L$3*100</f>
        <v>92.128305325354916</v>
      </c>
      <c r="O55" s="4">
        <f>M55/$M$3*100</f>
        <v>105.65150028404689</v>
      </c>
      <c r="Q55">
        <f>AVERAGE(B55,G55,L55)</f>
        <v>8.1818899999999998E-4</v>
      </c>
      <c r="R55">
        <f>AVERAGE(C55,H55,M55)</f>
        <v>1.7637066666666666E-4</v>
      </c>
      <c r="T55">
        <f>AVERAGE(D55,I55,N55)</f>
        <v>92.080260991161708</v>
      </c>
      <c r="U55">
        <f>AVERAGE(E55,J55,O55)</f>
        <v>100.4879140685735</v>
      </c>
      <c r="W55">
        <f>_xlfn.STDEV.P(D55,I55,N55)</f>
        <v>0.49905774534176656</v>
      </c>
      <c r="X55">
        <f>_xlfn.STDEV.P(E55,J55,O55)</f>
        <v>3.6544206977591966</v>
      </c>
    </row>
    <row r="56" spans="1:24" x14ac:dyDescent="0.2">
      <c r="A56">
        <v>349.23899999999998</v>
      </c>
      <c r="B56">
        <v>7.74306E-4</v>
      </c>
      <c r="C56">
        <v>1.5141800000000001E-4</v>
      </c>
      <c r="D56">
        <f>B56/$B$3*100</f>
        <v>93.043594245112644</v>
      </c>
      <c r="E56">
        <f>C56/$C$3*100</f>
        <v>98.510162125588778</v>
      </c>
      <c r="G56">
        <v>7.7878599999999995E-4</v>
      </c>
      <c r="H56">
        <v>1.77162E-4</v>
      </c>
      <c r="I56">
        <f>G56/$G$3*100</f>
        <v>91.835697465039175</v>
      </c>
      <c r="J56">
        <f>H56/$H$3*100</f>
        <v>99.631083467365514</v>
      </c>
      <c r="L56" s="5">
        <v>9.1364099999999998E-4</v>
      </c>
      <c r="M56" s="5">
        <v>2.06391E-4</v>
      </c>
      <c r="N56" s="4">
        <f>L56/$L$3*100</f>
        <v>92.709029896711598</v>
      </c>
      <c r="O56" s="4">
        <f>M56/$M$3*100</f>
        <v>106.59040437948664</v>
      </c>
      <c r="Q56">
        <f>AVERAGE(B56,G56,L56)</f>
        <v>8.2224433333333324E-4</v>
      </c>
      <c r="R56">
        <f>AVERAGE(C56,H56,M56)</f>
        <v>1.7832366666666665E-4</v>
      </c>
      <c r="T56">
        <f>AVERAGE(D56,I56,N56)</f>
        <v>92.529440535621134</v>
      </c>
      <c r="U56">
        <f>AVERAGE(E56,J56,O56)</f>
        <v>101.57721665748032</v>
      </c>
      <c r="W56">
        <f>_xlfn.STDEV.P(D56,I56,N56)</f>
        <v>0.50921044228008716</v>
      </c>
      <c r="X56">
        <f>_xlfn.STDEV.P(E56,J56,O56)</f>
        <v>3.5742742401471204</v>
      </c>
    </row>
    <row r="57" spans="1:24" x14ac:dyDescent="0.2">
      <c r="A57">
        <v>355.53699999999998</v>
      </c>
      <c r="B57">
        <v>7.77336E-4</v>
      </c>
      <c r="C57">
        <v>1.51509E-4</v>
      </c>
      <c r="D57">
        <f>B57/$B$3*100</f>
        <v>93.407690727075448</v>
      </c>
      <c r="E57">
        <f>C57/$C$3*100</f>
        <v>98.569365290030447</v>
      </c>
      <c r="G57">
        <v>7.8306199999999995E-4</v>
      </c>
      <c r="H57">
        <v>1.77899E-4</v>
      </c>
      <c r="I57">
        <f>G57/$G$3*100</f>
        <v>92.339930261160973</v>
      </c>
      <c r="J57">
        <f>H57/$H$3*100</f>
        <v>100.04555219381615</v>
      </c>
      <c r="L57" s="5">
        <v>9.1711199999999998E-4</v>
      </c>
      <c r="M57" s="5">
        <v>2.06534E-4</v>
      </c>
      <c r="N57" s="4">
        <f>L57/$L$3*100</f>
        <v>93.061239399975435</v>
      </c>
      <c r="O57" s="4">
        <f>M57/$M$3*100</f>
        <v>106.66425657181222</v>
      </c>
      <c r="Q57">
        <f>AVERAGE(B57,G57,L57)</f>
        <v>8.2583666666666668E-4</v>
      </c>
      <c r="R57">
        <f>AVERAGE(C57,H57,M57)</f>
        <v>1.7864733333333333E-4</v>
      </c>
      <c r="T57">
        <f>AVERAGE(D57,I57,N57)</f>
        <v>92.936286796070604</v>
      </c>
      <c r="U57">
        <f>AVERAGE(E57,J57,O57)</f>
        <v>101.75972468521961</v>
      </c>
      <c r="W57">
        <f>_xlfn.STDEV.P(D57,I57,N57)</f>
        <v>0.44477557491347591</v>
      </c>
      <c r="X57">
        <f>_xlfn.STDEV.P(E57,J57,O57)</f>
        <v>3.5200006357650819</v>
      </c>
    </row>
    <row r="58" spans="1:24" x14ac:dyDescent="0.2">
      <c r="A58">
        <v>361.666</v>
      </c>
      <c r="B58">
        <v>7.7937600000000003E-4</v>
      </c>
      <c r="C58">
        <v>1.52366E-4</v>
      </c>
      <c r="D58">
        <f>B58/$B$3*100</f>
        <v>93.65282499215931</v>
      </c>
      <c r="E58">
        <f>C58/$C$3*100</f>
        <v>99.126915970541546</v>
      </c>
      <c r="G58">
        <v>7.8617800000000001E-4</v>
      </c>
      <c r="H58">
        <v>1.7830100000000001E-4</v>
      </c>
      <c r="I58">
        <f>G58/$G$3*100</f>
        <v>92.707373991917649</v>
      </c>
      <c r="J58">
        <f>H58/$H$3*100</f>
        <v>100.27162604460742</v>
      </c>
      <c r="L58" s="5">
        <v>9.1655299999999996E-4</v>
      </c>
      <c r="M58" s="5">
        <v>2.03733E-4</v>
      </c>
      <c r="N58" s="4">
        <f>L58/$L$3*100</f>
        <v>93.004516521172647</v>
      </c>
      <c r="O58" s="4">
        <f>M58/$M$3*100</f>
        <v>105.21768321024634</v>
      </c>
      <c r="Q58">
        <f>AVERAGE(B58,G58,L58)</f>
        <v>8.27369E-4</v>
      </c>
      <c r="R58">
        <f>AVERAGE(C58,H58,M58)</f>
        <v>1.7813333333333332E-4</v>
      </c>
      <c r="T58">
        <f>AVERAGE(D58,I58,N58)</f>
        <v>93.121571835083202</v>
      </c>
      <c r="U58">
        <f>AVERAGE(E58,J58,O58)</f>
        <v>101.53874174179843</v>
      </c>
      <c r="W58">
        <f>_xlfn.STDEV.P(D58,I58,N58)</f>
        <v>0.39475381218384142</v>
      </c>
      <c r="X58">
        <f>_xlfn.STDEV.P(E58,J58,O58)</f>
        <v>2.643047235624842</v>
      </c>
    </row>
    <row r="59" spans="1:24" x14ac:dyDescent="0.2">
      <c r="A59">
        <v>367.87200000000001</v>
      </c>
      <c r="B59">
        <v>7.8164800000000002E-4</v>
      </c>
      <c r="C59">
        <v>1.51595E-4</v>
      </c>
      <c r="D59">
        <f>B59/$B$3*100</f>
        <v>93.925837271703699</v>
      </c>
      <c r="E59">
        <f>C59/$C$3*100</f>
        <v>98.625315533348939</v>
      </c>
      <c r="G59">
        <v>7.8667299999999999E-4</v>
      </c>
      <c r="H59">
        <v>1.77749E-4</v>
      </c>
      <c r="I59">
        <f>G59/$G$3*100</f>
        <v>92.765745187913978</v>
      </c>
      <c r="J59">
        <f>H59/$H$3*100</f>
        <v>99.961196279341806</v>
      </c>
      <c r="L59" s="5">
        <v>9.1954899999999997E-4</v>
      </c>
      <c r="M59" s="5">
        <v>2.0353400000000001E-4</v>
      </c>
      <c r="N59" s="4">
        <f>L59/$L$3*100</f>
        <v>93.308526798262378</v>
      </c>
      <c r="O59" s="4">
        <f>M59/$M$3*100</f>
        <v>105.11490987966741</v>
      </c>
      <c r="Q59">
        <f>AVERAGE(B59,G59,L59)</f>
        <v>8.2929E-4</v>
      </c>
      <c r="R59">
        <f>AVERAGE(C59,H59,M59)</f>
        <v>1.7762599999999998E-4</v>
      </c>
      <c r="T59">
        <f>AVERAGE(D59,I59,N59)</f>
        <v>93.333369752626695</v>
      </c>
      <c r="U59">
        <f>AVERAGE(E59,J59,O59)</f>
        <v>101.23380723078606</v>
      </c>
      <c r="W59">
        <f>_xlfn.STDEV.P(D59,I59,N59)</f>
        <v>0.47393128194148876</v>
      </c>
      <c r="X59">
        <f>_xlfn.STDEV.P(E59,J59,O59)</f>
        <v>2.7980186644890974</v>
      </c>
    </row>
    <row r="60" spans="1:24" x14ac:dyDescent="0.2">
      <c r="A60">
        <v>374.14400000000001</v>
      </c>
      <c r="B60">
        <v>7.8319299999999995E-4</v>
      </c>
      <c r="C60">
        <v>1.52087E-4</v>
      </c>
      <c r="D60">
        <f>B60/$B$3*100</f>
        <v>94.111490428348091</v>
      </c>
      <c r="E60">
        <f>C60/$C$3*100</f>
        <v>98.945402971868717</v>
      </c>
      <c r="G60">
        <v>7.9110699999999999E-4</v>
      </c>
      <c r="H60">
        <v>1.79116E-4</v>
      </c>
      <c r="I60">
        <f>G60/$G$3*100</f>
        <v>93.288609598111364</v>
      </c>
      <c r="J60">
        <f>H60/$H$3*100</f>
        <v>100.72995984658471</v>
      </c>
      <c r="L60" s="5">
        <v>9.2091600000000003E-4</v>
      </c>
      <c r="M60" s="5">
        <v>2.0453800000000001E-4</v>
      </c>
      <c r="N60" s="4">
        <f>L60/$L$3*100</f>
        <v>93.447239097588721</v>
      </c>
      <c r="O60" s="4">
        <f>M60/$M$3*100</f>
        <v>105.63342457263853</v>
      </c>
      <c r="Q60">
        <f>AVERAGE(B60,G60,L60)</f>
        <v>8.3173866666666658E-4</v>
      </c>
      <c r="R60">
        <f>AVERAGE(C60,H60,M60)</f>
        <v>1.7858033333333331E-4</v>
      </c>
      <c r="T60">
        <f>AVERAGE(D60,I60,N60)</f>
        <v>93.615779708016063</v>
      </c>
      <c r="U60">
        <f>AVERAGE(E60,J60,O60)</f>
        <v>101.76959579703066</v>
      </c>
      <c r="W60">
        <f>_xlfn.STDEV.P(D60,I60,N60)</f>
        <v>0.35645258517338696</v>
      </c>
      <c r="X60">
        <f>_xlfn.STDEV.P(E60,J60,O60)</f>
        <v>2.8276068108544421</v>
      </c>
    </row>
    <row r="61" spans="1:24" x14ac:dyDescent="0.2">
      <c r="A61">
        <v>380.34899999999999</v>
      </c>
      <c r="B61">
        <v>7.8489599999999999E-4</v>
      </c>
      <c r="C61">
        <v>1.5138900000000001E-4</v>
      </c>
      <c r="D61">
        <f>B61/$B$3*100</f>
        <v>94.316129474150941</v>
      </c>
      <c r="E61">
        <f>C61/$C$3*100</f>
        <v>98.491295183074399</v>
      </c>
      <c r="G61">
        <v>7.9174900000000001E-4</v>
      </c>
      <c r="H61">
        <v>1.7960099999999999E-4</v>
      </c>
      <c r="I61">
        <f>G61/$G$3*100</f>
        <v>93.364315270494487</v>
      </c>
      <c r="J61">
        <f>H61/$H$3*100</f>
        <v>101.00271063671843</v>
      </c>
      <c r="L61" s="5">
        <v>9.2056199999999999E-4</v>
      </c>
      <c r="M61" s="5">
        <v>1.9757499999999999E-4</v>
      </c>
      <c r="N61" s="4">
        <f>L61/$L$3*100</f>
        <v>93.411317990082125</v>
      </c>
      <c r="O61" s="4">
        <f>M61/$M$3*100</f>
        <v>102.03739090017044</v>
      </c>
      <c r="Q61">
        <f>AVERAGE(B61,G61,L61)</f>
        <v>8.3240233333333336E-4</v>
      </c>
      <c r="R61">
        <f>AVERAGE(C61,H61,M61)</f>
        <v>1.7618833333333332E-4</v>
      </c>
      <c r="T61">
        <f>AVERAGE(D61,I61,N61)</f>
        <v>93.697254244909189</v>
      </c>
      <c r="U61">
        <f>AVERAGE(E61,J61,O61)</f>
        <v>100.51046557332108</v>
      </c>
      <c r="W61">
        <f>_xlfn.STDEV.P(D61,I61,N61)</f>
        <v>0.43803137325914315</v>
      </c>
      <c r="X61">
        <f>_xlfn.STDEV.P(E61,J61,O61)</f>
        <v>1.48894316223085</v>
      </c>
    </row>
    <row r="62" spans="1:24" x14ac:dyDescent="0.2">
      <c r="A62">
        <v>386.57</v>
      </c>
      <c r="B62">
        <v>7.8679800000000001E-4</v>
      </c>
      <c r="C62">
        <v>1.50741E-4</v>
      </c>
      <c r="D62">
        <f>B62/$B$3*100</f>
        <v>94.544681127185029</v>
      </c>
      <c r="E62">
        <f>C62/$C$3*100</f>
        <v>98.069716605511729</v>
      </c>
      <c r="G62">
        <v>7.9399600000000005E-4</v>
      </c>
      <c r="H62">
        <v>1.7835E-4</v>
      </c>
      <c r="I62">
        <f>G62/$G$3*100</f>
        <v>93.629285123835388</v>
      </c>
      <c r="J62">
        <f>H62/$H$3*100</f>
        <v>100.29918231000237</v>
      </c>
      <c r="L62" s="5">
        <v>9.2188199999999995E-4</v>
      </c>
      <c r="M62" s="5">
        <v>1.8766900000000001E-4</v>
      </c>
      <c r="N62" s="4">
        <f>L62/$L$3*100</f>
        <v>93.545261102818571</v>
      </c>
      <c r="O62" s="4">
        <f>M62/$M$3*100</f>
        <v>96.92144812270827</v>
      </c>
      <c r="Q62">
        <f>AVERAGE(B62,G62,L62)</f>
        <v>8.3422533333333323E-4</v>
      </c>
      <c r="R62">
        <f>AVERAGE(C62,H62,M62)</f>
        <v>1.7225333333333333E-4</v>
      </c>
      <c r="T62">
        <f>AVERAGE(D62,I62,N62)</f>
        <v>93.906409117946339</v>
      </c>
      <c r="U62">
        <f>AVERAGE(E62,J62,O62)</f>
        <v>98.43011567940745</v>
      </c>
      <c r="W62">
        <f>_xlfn.STDEV.P(D62,I62,N62)</f>
        <v>0.45262816038492631</v>
      </c>
      <c r="X62">
        <f>_xlfn.STDEV.P(E62,J62,O62)</f>
        <v>1.402304693317991</v>
      </c>
    </row>
    <row r="63" spans="1:24" x14ac:dyDescent="0.2">
      <c r="A63">
        <v>392.74099999999999</v>
      </c>
      <c r="B63">
        <v>7.8870299999999997E-4</v>
      </c>
      <c r="C63">
        <v>1.5011399999999999E-4</v>
      </c>
      <c r="D63">
        <f>B63/$B$3*100</f>
        <v>94.773593271785401</v>
      </c>
      <c r="E63">
        <f>C63/$C$3*100</f>
        <v>97.661800296666385</v>
      </c>
      <c r="G63">
        <v>7.9709400000000004E-4</v>
      </c>
      <c r="H63">
        <v>1.7837800000000001E-4</v>
      </c>
      <c r="I63">
        <f>G63/$G$3*100</f>
        <v>93.994606265646723</v>
      </c>
      <c r="J63">
        <f>H63/$H$3*100</f>
        <v>100.31492874737091</v>
      </c>
      <c r="L63" s="5">
        <v>9.2619299999999996E-4</v>
      </c>
      <c r="M63" s="5">
        <v>1.8953899999999999E-4</v>
      </c>
      <c r="N63" s="4">
        <f>L63/$L$3*100</f>
        <v>93.982707132369271</v>
      </c>
      <c r="O63" s="4">
        <f>M63/$M$3*100</f>
        <v>97.887207560811845</v>
      </c>
      <c r="Q63">
        <f>AVERAGE(B63,G63,L63)</f>
        <v>8.3732999999999995E-4</v>
      </c>
      <c r="R63">
        <f>AVERAGE(C63,H63,M63)</f>
        <v>1.7267699999999999E-4</v>
      </c>
      <c r="T63">
        <f>AVERAGE(D63,I63,N63)</f>
        <v>94.250302223267127</v>
      </c>
      <c r="U63">
        <f>AVERAGE(E63,J63,O63)</f>
        <v>98.621312201616391</v>
      </c>
      <c r="W63">
        <f>_xlfn.STDEV.P(D63,I63,N63)</f>
        <v>0.3700545351140388</v>
      </c>
      <c r="X63">
        <f>_xlfn.STDEV.P(E63,J63,O63)</f>
        <v>1.2010980703013723</v>
      </c>
    </row>
    <row r="64" spans="1:24" x14ac:dyDescent="0.2">
      <c r="A64">
        <v>399.01299999999998</v>
      </c>
      <c r="B64">
        <v>7.9170300000000005E-4</v>
      </c>
      <c r="C64">
        <v>1.50161E-4</v>
      </c>
      <c r="D64">
        <f>B64/$B$3*100</f>
        <v>95.134084838085215</v>
      </c>
      <c r="E64">
        <f>C64/$C$3*100</f>
        <v>97.692377755224186</v>
      </c>
      <c r="G64">
        <v>7.9957100000000001E-4</v>
      </c>
      <c r="H64">
        <v>1.78121E-4</v>
      </c>
      <c r="I64">
        <f>G64/$G$3*100</f>
        <v>94.286698088844503</v>
      </c>
      <c r="J64">
        <f>H64/$H$3*100</f>
        <v>100.17039894723818</v>
      </c>
      <c r="L64" s="5">
        <v>9.2834099999999995E-4</v>
      </c>
      <c r="M64" s="5">
        <v>1.8921000000000001E-4</v>
      </c>
      <c r="N64" s="4">
        <f>L64/$L$3*100</f>
        <v>94.20066910673134</v>
      </c>
      <c r="O64" s="4">
        <f>M64/$M$3*100</f>
        <v>97.71729587357332</v>
      </c>
      <c r="Q64">
        <f>AVERAGE(B64,G64,L64)</f>
        <v>8.398716666666667E-4</v>
      </c>
      <c r="R64">
        <f>AVERAGE(C64,H64,M64)</f>
        <v>1.7249733333333335E-4</v>
      </c>
      <c r="T64">
        <f>AVERAGE(D64,I64,N64)</f>
        <v>94.540484011220357</v>
      </c>
      <c r="U64">
        <f>AVERAGE(E64,J64,O64)</f>
        <v>98.526690858678577</v>
      </c>
      <c r="W64">
        <f>_xlfn.STDEV.P(D64,I64,N64)</f>
        <v>0.42120596915827546</v>
      </c>
      <c r="X64">
        <f>_xlfn.STDEV.P(E64,J64,O64)</f>
        <v>1.1623216532591871</v>
      </c>
    </row>
    <row r="65" spans="1:24" x14ac:dyDescent="0.2">
      <c r="A65">
        <v>405.089</v>
      </c>
      <c r="B65">
        <v>7.9421500000000003E-4</v>
      </c>
      <c r="C65">
        <v>1.5078300000000001E-4</v>
      </c>
      <c r="D65">
        <f>B65/$B$3*100</f>
        <v>95.435936442933595</v>
      </c>
      <c r="E65">
        <f>C65/$C$3*100</f>
        <v>98.097041142946367</v>
      </c>
      <c r="G65">
        <v>8.0093799999999995E-4</v>
      </c>
      <c r="H65">
        <v>1.78832E-4</v>
      </c>
      <c r="I65">
        <f>G65/$G$3*100</f>
        <v>94.447896927080805</v>
      </c>
      <c r="J65">
        <f>H65/$H$3*100</f>
        <v>100.57024598184661</v>
      </c>
      <c r="L65" s="5">
        <v>9.2988000000000001E-4</v>
      </c>
      <c r="M65" s="5">
        <v>1.8787900000000001E-4</v>
      </c>
      <c r="N65" s="4">
        <f>L65/$L$3*100</f>
        <v>94.35683459953546</v>
      </c>
      <c r="O65" s="4">
        <f>M65/$M$3*100</f>
        <v>97.029902391158402</v>
      </c>
      <c r="Q65">
        <f>AVERAGE(B65,G65,L65)</f>
        <v>8.4167766666666663E-4</v>
      </c>
      <c r="R65">
        <f>AVERAGE(C65,H65,M65)</f>
        <v>1.7249800000000001E-4</v>
      </c>
      <c r="T65">
        <f>AVERAGE(D65,I65,N65)</f>
        <v>94.746889323183282</v>
      </c>
      <c r="U65">
        <f>AVERAGE(E65,J65,O65)</f>
        <v>98.565729838650455</v>
      </c>
      <c r="W65">
        <f>_xlfn.STDEV.P(D65,I65,N65)</f>
        <v>0.48864611380264472</v>
      </c>
      <c r="X65">
        <f>_xlfn.STDEV.P(E65,J65,O65)</f>
        <v>1.4828486110956336</v>
      </c>
    </row>
    <row r="66" spans="1:24" x14ac:dyDescent="0.2">
      <c r="A66">
        <v>411.38600000000002</v>
      </c>
      <c r="B66">
        <v>7.9620500000000002E-4</v>
      </c>
      <c r="C66">
        <v>1.5117799999999999E-4</v>
      </c>
      <c r="D66">
        <f>B66/$B$3*100</f>
        <v>95.675062515245784</v>
      </c>
      <c r="E66">
        <f>C66/$C$3*100</f>
        <v>98.354021911676668</v>
      </c>
      <c r="G66">
        <v>8.0520699999999995E-4</v>
      </c>
      <c r="H66">
        <v>1.81461E-4</v>
      </c>
      <c r="I66">
        <f>G66/$G$3*100</f>
        <v>94.951304271946086</v>
      </c>
      <c r="J66">
        <f>H66/$H$3*100</f>
        <v>102.04872397620039</v>
      </c>
      <c r="L66" s="5">
        <v>9.3417800000000003E-4</v>
      </c>
      <c r="M66" s="5">
        <v>1.9179399999999999E-4</v>
      </c>
      <c r="N66" s="4">
        <f>L66/$L$3*100</f>
        <v>94.792961492369813</v>
      </c>
      <c r="O66" s="4">
        <f>M66/$M$3*100</f>
        <v>99.051799824407368</v>
      </c>
      <c r="Q66">
        <f>AVERAGE(B66,G66,L66)</f>
        <v>8.4519666666666663E-4</v>
      </c>
      <c r="R66">
        <f>AVERAGE(C66,H66,M66)</f>
        <v>1.74811E-4</v>
      </c>
      <c r="T66">
        <f>AVERAGE(D66,I66,N66)</f>
        <v>95.139776093187223</v>
      </c>
      <c r="U66">
        <f>AVERAGE(E66,J66,O66)</f>
        <v>99.818181904094828</v>
      </c>
      <c r="W66">
        <f>_xlfn.STDEV.P(D66,I66,N66)</f>
        <v>0.38398504674980388</v>
      </c>
      <c r="X66">
        <f>_xlfn.STDEV.P(E66,J66,O66)</f>
        <v>1.6027501272185265</v>
      </c>
    </row>
    <row r="67" spans="1:24" x14ac:dyDescent="0.2">
      <c r="A67">
        <v>417.61700000000002</v>
      </c>
      <c r="B67">
        <v>7.9716300000000004E-4</v>
      </c>
      <c r="C67">
        <v>1.51602E-4</v>
      </c>
      <c r="D67">
        <f>B67/$B$3*100</f>
        <v>95.790179488750866</v>
      </c>
      <c r="E67">
        <f>C67/$C$3*100</f>
        <v>98.629869622921376</v>
      </c>
      <c r="G67">
        <v>8.04618E-4</v>
      </c>
      <c r="H67">
        <v>1.79808E-4</v>
      </c>
      <c r="I67">
        <f>G67/$G$3*100</f>
        <v>94.881848444790876</v>
      </c>
      <c r="J67">
        <f>H67/$H$3*100</f>
        <v>101.11912179869304</v>
      </c>
      <c r="L67" s="5">
        <v>9.3271000000000001E-4</v>
      </c>
      <c r="M67" s="5">
        <v>1.87722E-4</v>
      </c>
      <c r="N67" s="4">
        <f>L67/$L$3*100</f>
        <v>94.644000515478027</v>
      </c>
      <c r="O67" s="4">
        <f>M67/$M$3*100</f>
        <v>96.948819914269478</v>
      </c>
      <c r="Q67">
        <f>AVERAGE(B67,G67,L67)</f>
        <v>8.4483033333333324E-4</v>
      </c>
      <c r="R67">
        <f>AVERAGE(C67,H67,M67)</f>
        <v>1.7304399999999999E-4</v>
      </c>
      <c r="T67">
        <f>AVERAGE(D67,I67,N67)</f>
        <v>95.105342816339927</v>
      </c>
      <c r="U67">
        <f>AVERAGE(E67,J67,O67)</f>
        <v>98.899270445294633</v>
      </c>
      <c r="W67">
        <f>_xlfn.STDEV.P(D67,I67,N67)</f>
        <v>0.49389193168733619</v>
      </c>
      <c r="X67">
        <f>_xlfn.STDEV.P(E67,J67,O67)</f>
        <v>1.7131427366350664</v>
      </c>
    </row>
    <row r="68" spans="1:24" x14ac:dyDescent="0.2">
      <c r="A68">
        <v>423.72800000000001</v>
      </c>
      <c r="B68">
        <v>7.9807599999999999E-4</v>
      </c>
      <c r="C68">
        <v>1.51559E-4</v>
      </c>
      <c r="D68">
        <f>B68/$B$3*100</f>
        <v>95.899889088761441</v>
      </c>
      <c r="E68">
        <f>C68/$C$3*100</f>
        <v>98.601894501262137</v>
      </c>
      <c r="G68">
        <v>8.06622E-4</v>
      </c>
      <c r="H68">
        <v>1.7953500000000001E-4</v>
      </c>
      <c r="I68">
        <f>G68/$G$3*100</f>
        <v>95.118163347369929</v>
      </c>
      <c r="J68">
        <f>H68/$H$3*100</f>
        <v>100.96559403434972</v>
      </c>
      <c r="L68" s="5">
        <v>9.3479200000000004E-4</v>
      </c>
      <c r="M68" s="5">
        <v>1.8704799999999999E-4</v>
      </c>
      <c r="N68" s="4">
        <f>L68/$L$3*100</f>
        <v>94.855265334203281</v>
      </c>
      <c r="O68" s="4">
        <f>M68/$M$3*100</f>
        <v>96.600733357434279</v>
      </c>
      <c r="Q68">
        <f>AVERAGE(B68,G68,L68)</f>
        <v>8.4649666666666672E-4</v>
      </c>
      <c r="R68">
        <f>AVERAGE(C68,H68,M68)</f>
        <v>1.72714E-4</v>
      </c>
      <c r="T68">
        <f>AVERAGE(D68,I68,N68)</f>
        <v>95.291105923444889</v>
      </c>
      <c r="U68">
        <f>AVERAGE(E68,J68,O68)</f>
        <v>98.722740631015384</v>
      </c>
      <c r="W68">
        <f>_xlfn.STDEV.P(D68,I68,N68)</f>
        <v>0.4436526780499791</v>
      </c>
      <c r="X68">
        <f>_xlfn.STDEV.P(E68,J68,O68)</f>
        <v>1.7839945856659121</v>
      </c>
    </row>
    <row r="69" spans="1:24" x14ac:dyDescent="0.2">
      <c r="A69">
        <v>429.99799999999999</v>
      </c>
      <c r="B69">
        <v>7.9860100000000002E-4</v>
      </c>
      <c r="C69">
        <v>1.5166600000000001E-4</v>
      </c>
      <c r="D69">
        <f>B69/$B$3*100</f>
        <v>95.962975112863901</v>
      </c>
      <c r="E69">
        <f>C69/$C$3*100</f>
        <v>98.671507013297941</v>
      </c>
      <c r="G69">
        <v>8.0823799999999997E-4</v>
      </c>
      <c r="H69">
        <v>1.7783600000000001E-4</v>
      </c>
      <c r="I69">
        <f>G69/$G$3*100</f>
        <v>95.308724666016516</v>
      </c>
      <c r="J69">
        <f>H69/$H$3*100</f>
        <v>100.01012270973692</v>
      </c>
      <c r="L69" s="5">
        <v>9.3510100000000003E-4</v>
      </c>
      <c r="M69" s="5">
        <v>1.93995E-4</v>
      </c>
      <c r="N69" s="4">
        <f>L69/$L$3*100</f>
        <v>94.886620199230236</v>
      </c>
      <c r="O69" s="4">
        <f>M69/$M$3*100</f>
        <v>100.1885038475443</v>
      </c>
      <c r="Q69">
        <f>AVERAGE(B69,G69,L69)</f>
        <v>8.4731333333333341E-4</v>
      </c>
      <c r="R69">
        <f>AVERAGE(C69,H69,M69)</f>
        <v>1.7449900000000002E-4</v>
      </c>
      <c r="T69">
        <f>AVERAGE(D69,I69,N69)</f>
        <v>95.386106659370213</v>
      </c>
      <c r="U69">
        <f>AVERAGE(E69,J69,O69)</f>
        <v>99.623377856859705</v>
      </c>
      <c r="W69">
        <f>_xlfn.STDEV.P(D69,I69,N69)</f>
        <v>0.44281369648899965</v>
      </c>
      <c r="X69">
        <f>_xlfn.STDEV.P(E69,J69,O69)</f>
        <v>0.67700247892142018</v>
      </c>
    </row>
    <row r="70" spans="1:24" x14ac:dyDescent="0.2">
      <c r="A70">
        <v>436.13900000000001</v>
      </c>
      <c r="B70">
        <v>8.0136400000000005E-4</v>
      </c>
      <c r="C70">
        <v>1.5038700000000001E-4</v>
      </c>
      <c r="D70">
        <f>B70/$B$3*100</f>
        <v>96.294987845426022</v>
      </c>
      <c r="E70">
        <f>C70/$C$3*100</f>
        <v>97.839409789991407</v>
      </c>
      <c r="G70">
        <v>8.1105700000000001E-4</v>
      </c>
      <c r="H70">
        <v>1.79264E-4</v>
      </c>
      <c r="I70">
        <f>G70/$G$3*100</f>
        <v>95.641145679175395</v>
      </c>
      <c r="J70">
        <f>H70/$H$3*100</f>
        <v>100.81319101553274</v>
      </c>
      <c r="L70" s="5">
        <v>9.3783899999999999E-4</v>
      </c>
      <c r="M70" s="5">
        <v>1.9687599999999999E-4</v>
      </c>
      <c r="N70" s="4">
        <f>L70/$L$3*100</f>
        <v>95.164450686103294</v>
      </c>
      <c r="O70" s="4">
        <f>M70/$M$3*100</f>
        <v>101.67639312090068</v>
      </c>
      <c r="Q70">
        <f>AVERAGE(B70,G70,L70)</f>
        <v>8.5008666666666676E-4</v>
      </c>
      <c r="R70">
        <f>AVERAGE(C70,H70,M70)</f>
        <v>1.7550900000000002E-4</v>
      </c>
      <c r="T70">
        <f>AVERAGE(D70,I70,N70)</f>
        <v>95.700194736901565</v>
      </c>
      <c r="U70">
        <f>AVERAGE(E70,J70,O70)</f>
        <v>100.1096646421416</v>
      </c>
      <c r="W70">
        <f>_xlfn.STDEV.P(D70,I70,N70)</f>
        <v>0.46342468684504179</v>
      </c>
      <c r="X70">
        <f>_xlfn.STDEV.P(E70,J70,O70)</f>
        <v>1.643537300856817</v>
      </c>
    </row>
    <row r="71" spans="1:24" x14ac:dyDescent="0.2">
      <c r="A71">
        <v>449.34300000000002</v>
      </c>
      <c r="B71">
        <v>1.15597E-6</v>
      </c>
      <c r="C71">
        <v>2.24467E-5</v>
      </c>
      <c r="D71">
        <f>B71/$B$3*100</f>
        <v>0.13890581196519575</v>
      </c>
      <c r="E71">
        <f>C71/$C$3*100</f>
        <v>14.603468915085745</v>
      </c>
      <c r="G71">
        <v>1.2909899999999999E-6</v>
      </c>
      <c r="H71">
        <v>2.3319299999999999E-5</v>
      </c>
      <c r="I71">
        <f>G71/$G$3*100</f>
        <v>0.15223561680665926</v>
      </c>
      <c r="J71">
        <f>H71/$H$3*100</f>
        <v>13.114139176011427</v>
      </c>
      <c r="L71" s="5">
        <v>9.9430500000000009E-7</v>
      </c>
      <c r="M71" s="5">
        <v>2.57674E-5</v>
      </c>
      <c r="N71" s="4">
        <f>L71/$L$3*100</f>
        <v>0.10089417174957103</v>
      </c>
      <c r="O71" s="4">
        <f>M71/$M$3*100</f>
        <v>13.307545318390746</v>
      </c>
      <c r="Q71">
        <f>AVERAGE(B71,G71,L71)</f>
        <v>1.1470883333333334E-6</v>
      </c>
      <c r="R71">
        <f>AVERAGE(C71,H71,M71)</f>
        <v>2.3844466666666665E-5</v>
      </c>
      <c r="T71">
        <f>AVERAGE(D71,I71,N71)</f>
        <v>0.13067853350714201</v>
      </c>
      <c r="U71">
        <f>AVERAGE(E71,J71,O71)</f>
        <v>13.675051136495973</v>
      </c>
      <c r="W71">
        <f>_xlfn.STDEV.P(D71,I71,N71)</f>
        <v>2.1752426351363957E-2</v>
      </c>
      <c r="X71">
        <f>_xlfn.STDEV.P(E71,J71,O71)</f>
        <v>0.66122167875263949</v>
      </c>
    </row>
    <row r="72" spans="1:24" x14ac:dyDescent="0.2">
      <c r="A72">
        <v>455.57600000000002</v>
      </c>
      <c r="B72">
        <v>1.1569399999999999E-6</v>
      </c>
      <c r="C72">
        <v>2.25101E-5</v>
      </c>
      <c r="D72">
        <f>B72/$B$3*100</f>
        <v>0.139022370904966</v>
      </c>
      <c r="E72">
        <f>C72/$C$3*100</f>
        <v>14.644715954927523</v>
      </c>
      <c r="G72">
        <v>1.29087E-6</v>
      </c>
      <c r="H72">
        <v>2.33894E-5</v>
      </c>
      <c r="I72">
        <f>G72/$G$3*100</f>
        <v>0.15222146621369045</v>
      </c>
      <c r="J72">
        <f>H72/$H$3*100</f>
        <v>13.153561506709108</v>
      </c>
      <c r="L72" s="5">
        <v>9.9172700000000008E-7</v>
      </c>
      <c r="M72" s="5">
        <v>2.58078E-5</v>
      </c>
      <c r="N72" s="4">
        <f>L72/$L$3*100</f>
        <v>0.10063257679151451</v>
      </c>
      <c r="O72" s="4">
        <f>M72/$M$3*100</f>
        <v>13.328409853844963</v>
      </c>
      <c r="Q72">
        <f>AVERAGE(B72,G72,L72)</f>
        <v>1.1465123333333334E-6</v>
      </c>
      <c r="R72">
        <f>AVERAGE(C72,H72,M72)</f>
        <v>2.3902433333333333E-5</v>
      </c>
      <c r="T72">
        <f>AVERAGE(D72,I72,N72)</f>
        <v>0.13062547130339031</v>
      </c>
      <c r="U72">
        <f>AVERAGE(E72,J72,O72)</f>
        <v>13.708895771827196</v>
      </c>
      <c r="W72">
        <f>_xlfn.STDEV.P(D72,I72,N72)</f>
        <v>2.1882021846599497E-2</v>
      </c>
      <c r="X72">
        <f>_xlfn.STDEV.P(E72,J72,O72)</f>
        <v>0.66556369464661547</v>
      </c>
    </row>
    <row r="73" spans="1:24" x14ac:dyDescent="0.2">
      <c r="A73">
        <v>461.834</v>
      </c>
      <c r="B73">
        <v>1.1454300000000001E-6</v>
      </c>
      <c r="C73">
        <v>2.2458799999999999E-5</v>
      </c>
      <c r="D73">
        <f>B73/$B$3*100</f>
        <v>0.1376392849289291</v>
      </c>
      <c r="E73">
        <f>C73/$C$3*100</f>
        <v>14.611340984203814</v>
      </c>
      <c r="G73">
        <v>1.27564E-6</v>
      </c>
      <c r="H73">
        <v>2.3328300000000002E-5</v>
      </c>
      <c r="I73">
        <f>G73/$G$3*100</f>
        <v>0.1504255201227328</v>
      </c>
      <c r="J73">
        <f>H73/$H$3*100</f>
        <v>13.11920053087989</v>
      </c>
      <c r="L73" s="5">
        <v>9.7743099999999996E-7</v>
      </c>
      <c r="M73" s="5">
        <v>2.56978E-5</v>
      </c>
      <c r="N73" s="4">
        <f>L73/$L$3*100</f>
        <v>9.9181932291756494E-2</v>
      </c>
      <c r="O73" s="4">
        <f>M73/$M$3*100</f>
        <v>13.271600475132987</v>
      </c>
      <c r="Q73">
        <f>AVERAGE(B73,G73,L73)</f>
        <v>1.1328336666666667E-6</v>
      </c>
      <c r="R73">
        <f>AVERAGE(C73,H73,M73)</f>
        <v>2.38283E-5</v>
      </c>
      <c r="T73">
        <f>AVERAGE(D73,I73,N73)</f>
        <v>0.12908224578113944</v>
      </c>
      <c r="U73">
        <f>AVERAGE(E73,J73,O73)</f>
        <v>13.667380663405565</v>
      </c>
      <c r="W73">
        <f>_xlfn.STDEV.P(D73,I73,N73)</f>
        <v>2.1777565102345606E-2</v>
      </c>
      <c r="X73">
        <f>_xlfn.STDEV.P(E73,J73,O73)</f>
        <v>0.6703741498512793</v>
      </c>
    </row>
    <row r="74" spans="1:24" x14ac:dyDescent="0.2">
      <c r="A74">
        <v>468.06400000000002</v>
      </c>
      <c r="B74">
        <v>1.1300800000000001E-6</v>
      </c>
      <c r="C74">
        <v>2.2407899999999999E-5</v>
      </c>
      <c r="D74">
        <f>B74/$B$3*100</f>
        <v>0.13579476974802843</v>
      </c>
      <c r="E74">
        <f>C74/$C$3*100</f>
        <v>14.578226247169956</v>
      </c>
      <c r="G74">
        <v>1.2513100000000001E-6</v>
      </c>
      <c r="H74">
        <v>2.3261900000000002E-5</v>
      </c>
      <c r="I74">
        <f>G74/$G$3*100</f>
        <v>0.14755648739830735</v>
      </c>
      <c r="J74">
        <f>H74/$H$3*100</f>
        <v>13.081858979405911</v>
      </c>
      <c r="L74" s="5">
        <v>9.5530900000000002E-7</v>
      </c>
      <c r="M74" s="5">
        <v>2.5644599999999998E-5</v>
      </c>
      <c r="N74" s="4">
        <f>L74/$L$3*100</f>
        <v>9.6937167488759426E-2</v>
      </c>
      <c r="O74" s="4">
        <f>M74/$M$3*100</f>
        <v>13.244125393792283</v>
      </c>
      <c r="Q74">
        <f>AVERAGE(B74,G74,L74)</f>
        <v>1.112233E-6</v>
      </c>
      <c r="R74">
        <f>AVERAGE(C74,H74,M74)</f>
        <v>2.3771466666666668E-5</v>
      </c>
      <c r="T74">
        <f>AVERAGE(D74,I74,N74)</f>
        <v>0.12676280821169841</v>
      </c>
      <c r="U74">
        <f>AVERAGE(E74,J74,O74)</f>
        <v>13.634736873456049</v>
      </c>
      <c r="W74">
        <f>_xlfn.STDEV.P(D74,I74,N74)</f>
        <v>2.1629626810181692E-2</v>
      </c>
      <c r="X74">
        <f>_xlfn.STDEV.P(E74,J74,O74)</f>
        <v>0.67042859229140206</v>
      </c>
    </row>
    <row r="75" spans="1:24" x14ac:dyDescent="0.2">
      <c r="A75">
        <v>474.19400000000002</v>
      </c>
      <c r="B75">
        <v>1.11854E-6</v>
      </c>
      <c r="C75">
        <v>2.2367699999999999E-5</v>
      </c>
      <c r="D75">
        <f>B75/$B$3*100</f>
        <v>0.13440807885632849</v>
      </c>
      <c r="E75">
        <f>C75/$C$3*100</f>
        <v>14.552072761339682</v>
      </c>
      <c r="G75">
        <v>1.2425800000000001E-6</v>
      </c>
      <c r="H75">
        <v>2.3219900000000001E-5</v>
      </c>
      <c r="I75">
        <f>G75/$G$3*100</f>
        <v>0.1465270317598267</v>
      </c>
      <c r="J75">
        <f>H75/$H$3*100</f>
        <v>13.05823932335309</v>
      </c>
      <c r="L75" s="5">
        <v>9.2838799999999996E-7</v>
      </c>
      <c r="M75" s="5">
        <v>2.5649599999999999E-5</v>
      </c>
      <c r="N75" s="4">
        <f>L75/$L$3*100</f>
        <v>9.4205438293321203E-2</v>
      </c>
      <c r="O75" s="4">
        <f>M75/$M$3*100</f>
        <v>13.246707638279192</v>
      </c>
      <c r="Q75">
        <f>AVERAGE(B75,G75,L75)</f>
        <v>1.0965026666666665E-6</v>
      </c>
      <c r="R75">
        <f>AVERAGE(C75,H75,M75)</f>
        <v>2.3745733333333332E-5</v>
      </c>
      <c r="T75">
        <f>AVERAGE(D75,I75,N75)</f>
        <v>0.12504684963649212</v>
      </c>
      <c r="U75">
        <f>AVERAGE(E75,J75,O75)</f>
        <v>13.619006574323988</v>
      </c>
      <c r="W75">
        <f>_xlfn.STDEV.P(D75,I75,N75)</f>
        <v>2.2362345510527497E-2</v>
      </c>
      <c r="X75">
        <f>_xlfn.STDEV.P(E75,J75,O75)</f>
        <v>0.66424867755320638</v>
      </c>
    </row>
    <row r="76" spans="1:24" x14ac:dyDescent="0.2">
      <c r="A76">
        <v>480.49299999999999</v>
      </c>
      <c r="B76">
        <v>1.11158E-6</v>
      </c>
      <c r="C76">
        <v>2.2340800000000001E-5</v>
      </c>
      <c r="D76">
        <f>B76/$B$3*100</f>
        <v>0.13357173842251294</v>
      </c>
      <c r="E76">
        <f>C76/$C$3*100</f>
        <v>14.534572045697036</v>
      </c>
      <c r="G76">
        <v>1.22966E-6</v>
      </c>
      <c r="H76">
        <v>2.3182800000000001E-5</v>
      </c>
      <c r="I76">
        <f>G76/$G$3*100</f>
        <v>0.14500348458351858</v>
      </c>
      <c r="J76">
        <f>H76/$H$3*100</f>
        <v>13.037375293839769</v>
      </c>
      <c r="L76" s="5">
        <v>9.0375899999999996E-7</v>
      </c>
      <c r="M76" s="5">
        <v>2.5626000000000002E-5</v>
      </c>
      <c r="N76" s="4">
        <f>L76/$L$3*100</f>
        <v>9.1706283048179932E-2</v>
      </c>
      <c r="O76" s="4">
        <f>M76/$M$3*100</f>
        <v>13.234519444300988</v>
      </c>
      <c r="Q76">
        <f>AVERAGE(B76,G76,L76)</f>
        <v>1.0816663333333334E-6</v>
      </c>
      <c r="R76">
        <f>AVERAGE(C76,H76,M76)</f>
        <v>2.3716533333333336E-5</v>
      </c>
      <c r="T76">
        <f>AVERAGE(D76,I76,N76)</f>
        <v>0.12342716868473717</v>
      </c>
      <c r="U76">
        <f>AVERAGE(E76,J76,O76)</f>
        <v>13.602155594612597</v>
      </c>
      <c r="W76">
        <f>_xlfn.STDEV.P(D76,I76,N76)</f>
        <v>2.291043640277023E-2</v>
      </c>
      <c r="X76">
        <f>_xlfn.STDEV.P(E76,J76,O76)</f>
        <v>0.66421220640442069</v>
      </c>
    </row>
    <row r="77" spans="1:24" x14ac:dyDescent="0.2">
      <c r="A77">
        <v>486.74799999999999</v>
      </c>
      <c r="B77">
        <v>1.1024199999999999E-6</v>
      </c>
      <c r="C77">
        <v>2.2314899999999999E-5</v>
      </c>
      <c r="D77">
        <f>B77/$B$3*100</f>
        <v>0.13247103750674419</v>
      </c>
      <c r="E77">
        <f>C77/$C$3*100</f>
        <v>14.517721914279019</v>
      </c>
      <c r="G77">
        <v>1.2236400000000001E-6</v>
      </c>
      <c r="H77">
        <v>2.31376E-5</v>
      </c>
      <c r="I77">
        <f>G77/$G$3*100</f>
        <v>0.14429359650291679</v>
      </c>
      <c r="J77">
        <f>H77/$H$3*100</f>
        <v>13.011956044944831</v>
      </c>
      <c r="L77" s="5">
        <v>8.8405899999999996E-7</v>
      </c>
      <c r="M77" s="5">
        <v>2.5641400000000002E-5</v>
      </c>
      <c r="N77" s="4">
        <f>L77/$L$3*100</f>
        <v>8.9707283562643264E-2</v>
      </c>
      <c r="O77" s="4">
        <f>M77/$M$3*100</f>
        <v>13.242472757320664</v>
      </c>
      <c r="Q77">
        <f>AVERAGE(B77,G77,L77)</f>
        <v>1.0700396666666668E-6</v>
      </c>
      <c r="R77">
        <f>AVERAGE(C77,H77,M77)</f>
        <v>2.3697966666666666E-5</v>
      </c>
      <c r="T77">
        <f>AVERAGE(D77,I77,N77)</f>
        <v>0.12215730585743474</v>
      </c>
      <c r="U77">
        <f>AVERAGE(E77,J77,O77)</f>
        <v>13.590716905514839</v>
      </c>
      <c r="W77">
        <f>_xlfn.STDEV.P(D77,I77,N77)</f>
        <v>2.3447760170271326E-2</v>
      </c>
      <c r="X77">
        <f>_xlfn.STDEV.P(E77,J77,O77)</f>
        <v>0.66221255569318493</v>
      </c>
    </row>
    <row r="78" spans="1:24" x14ac:dyDescent="0.2">
      <c r="A78">
        <v>492.90800000000002</v>
      </c>
      <c r="B78">
        <v>1.0987200000000001E-6</v>
      </c>
      <c r="C78">
        <v>2.2293099999999998E-5</v>
      </c>
      <c r="D78">
        <f>B78/$B$3*100</f>
        <v>0.13202643124164112</v>
      </c>
      <c r="E78">
        <f>C78/$C$3*100</f>
        <v>14.503539178182004</v>
      </c>
      <c r="G78">
        <v>1.20841E-6</v>
      </c>
      <c r="H78">
        <v>2.3084699999999999E-5</v>
      </c>
      <c r="I78">
        <f>G78/$G$3*100</f>
        <v>0.14249765041195914</v>
      </c>
      <c r="J78">
        <f>H78/$H$3*100</f>
        <v>12.982206525773544</v>
      </c>
      <c r="L78" s="5">
        <v>8.6154200000000003E-7</v>
      </c>
      <c r="M78" s="5">
        <v>2.5593999999999999E-5</v>
      </c>
      <c r="N78" s="4">
        <f>L78/$L$3*100</f>
        <v>8.7422437297880351E-2</v>
      </c>
      <c r="O78" s="4">
        <f>M78/$M$3*100</f>
        <v>13.217993079584774</v>
      </c>
      <c r="Q78">
        <f>AVERAGE(B78,G78,L78)</f>
        <v>1.056224E-6</v>
      </c>
      <c r="R78">
        <f>AVERAGE(C78,H78,M78)</f>
        <v>2.3657266666666665E-5</v>
      </c>
      <c r="T78">
        <f>AVERAGE(D78,I78,N78)</f>
        <v>0.12064883965049354</v>
      </c>
      <c r="U78">
        <f>AVERAGE(E78,J78,O78)</f>
        <v>13.567912927846775</v>
      </c>
      <c r="W78">
        <f>_xlfn.STDEV.P(D78,I78,N78)</f>
        <v>2.3880354097060824E-2</v>
      </c>
      <c r="X78">
        <f>_xlfn.STDEV.P(E78,J78,O78)</f>
        <v>0.66855375499497238</v>
      </c>
    </row>
    <row r="79" spans="1:24" x14ac:dyDescent="0.2">
      <c r="A79">
        <v>499.07900000000001</v>
      </c>
      <c r="B79">
        <v>1.08773E-6</v>
      </c>
      <c r="C79">
        <v>2.2279399999999999E-5</v>
      </c>
      <c r="D79">
        <f>B79/$B$3*100</f>
        <v>0.13070583047042947</v>
      </c>
      <c r="E79">
        <f>C79/$C$3*100</f>
        <v>14.494626174304523</v>
      </c>
      <c r="G79">
        <v>1.19401E-6</v>
      </c>
      <c r="H79">
        <v>2.30232E-5</v>
      </c>
      <c r="I79">
        <f>G79/$G$3*100</f>
        <v>0.14079957925570238</v>
      </c>
      <c r="J79">
        <f>H79/$H$3*100</f>
        <v>12.947620600839061</v>
      </c>
      <c r="L79" s="5">
        <v>8.385E-7</v>
      </c>
      <c r="M79" s="5">
        <v>2.55215E-5</v>
      </c>
      <c r="N79" s="4">
        <f>L79/$L$3*100</f>
        <v>8.5084318204188158E-2</v>
      </c>
      <c r="O79" s="4">
        <f>M79/$M$3*100</f>
        <v>13.180550534524608</v>
      </c>
      <c r="Q79">
        <f>AVERAGE(B79,G79,L79)</f>
        <v>1.0400800000000001E-6</v>
      </c>
      <c r="R79">
        <f>AVERAGE(C79,H79,M79)</f>
        <v>2.3608033333333332E-5</v>
      </c>
      <c r="T79">
        <f>AVERAGE(D79,I79,N79)</f>
        <v>0.11886324264344</v>
      </c>
      <c r="U79">
        <f>AVERAGE(E79,J79,O79)</f>
        <v>13.540932436556064</v>
      </c>
      <c r="W79">
        <f>_xlfn.STDEV.P(D79,I79,N79)</f>
        <v>2.4238161967437027E-2</v>
      </c>
      <c r="X79">
        <f>_xlfn.STDEV.P(E79,J79,O79)</f>
        <v>0.68103494651750851</v>
      </c>
    </row>
    <row r="80" spans="1:24" x14ac:dyDescent="0.2">
      <c r="A80">
        <v>505.34300000000002</v>
      </c>
      <c r="B80">
        <v>1.07835E-6</v>
      </c>
      <c r="C80">
        <v>2.22415E-5</v>
      </c>
      <c r="D80">
        <f>B80/$B$3*100</f>
        <v>0.12957869350646542</v>
      </c>
      <c r="E80">
        <f>C80/$C$3*100</f>
        <v>14.469969032190907</v>
      </c>
      <c r="G80">
        <v>1.1813100000000001E-6</v>
      </c>
      <c r="H80">
        <v>2.30061E-5</v>
      </c>
      <c r="I80">
        <f>G80/$G$3*100</f>
        <v>0.13930197483317042</v>
      </c>
      <c r="J80">
        <f>H80/$H$3*100</f>
        <v>12.938004026588985</v>
      </c>
      <c r="L80" s="5">
        <v>8.2131099999999996E-7</v>
      </c>
      <c r="M80" s="5">
        <v>2.5451499999999998E-5</v>
      </c>
      <c r="N80" s="4">
        <f>L80/$L$3*100</f>
        <v>8.3340115049016075E-2</v>
      </c>
      <c r="O80" s="4">
        <f>M80/$M$3*100</f>
        <v>13.144399111707896</v>
      </c>
      <c r="Q80">
        <f>AVERAGE(B80,G80,L80)</f>
        <v>1.0269903333333336E-6</v>
      </c>
      <c r="R80">
        <f>AVERAGE(C80,H80,M80)</f>
        <v>2.3566366666666669E-5</v>
      </c>
      <c r="T80">
        <f>AVERAGE(D80,I80,N80)</f>
        <v>0.11740692779621731</v>
      </c>
      <c r="U80">
        <f>AVERAGE(E80,J80,O80)</f>
        <v>13.517457390162596</v>
      </c>
      <c r="W80">
        <f>_xlfn.STDEV.P(D80,I80,N80)</f>
        <v>2.4413744052674043E-2</v>
      </c>
      <c r="X80">
        <f>_xlfn.STDEV.P(E80,J80,O80)</f>
        <v>0.67877760419738487</v>
      </c>
    </row>
    <row r="81" spans="1:24" x14ac:dyDescent="0.2">
      <c r="A81">
        <v>518.67100000000005</v>
      </c>
      <c r="B81">
        <v>6.7796800000000004E-4</v>
      </c>
      <c r="C81">
        <v>1.55277E-4</v>
      </c>
      <c r="D81">
        <f>B81/$B$3*100</f>
        <v>81.467248740382388</v>
      </c>
      <c r="E81">
        <f>C81/$C$3*100</f>
        <v>101.02076664845031</v>
      </c>
      <c r="G81">
        <v>6.8626099999999997E-4</v>
      </c>
      <c r="H81">
        <v>2.01936E-4</v>
      </c>
      <c r="I81">
        <f>G81/$G$3*100</f>
        <v>80.925000678049244</v>
      </c>
      <c r="J81">
        <f>H81/$H$3*100</f>
        <v>113.5633063019492</v>
      </c>
      <c r="L81" s="5">
        <v>7.7965300000000005E-4</v>
      </c>
      <c r="M81" s="5">
        <v>1.9858199999999999E-4</v>
      </c>
      <c r="N81" s="4">
        <f>L81/$L$3*100</f>
        <v>79.112992177519274</v>
      </c>
      <c r="O81" s="4">
        <f>M81/$M$3*100</f>
        <v>102.5574549398337</v>
      </c>
      <c r="Q81">
        <f>AVERAGE(B81,G81,L81)</f>
        <v>7.1462733333333339E-4</v>
      </c>
      <c r="R81">
        <f>AVERAGE(C81,H81,M81)</f>
        <v>1.85265E-4</v>
      </c>
      <c r="T81">
        <f>AVERAGE(D81,I81,N81)</f>
        <v>80.501747198650307</v>
      </c>
      <c r="U81">
        <f>AVERAGE(E81,J81,O81)</f>
        <v>105.71384263007774</v>
      </c>
      <c r="W81">
        <f>_xlfn.STDEV.P(D81,I81,N81)</f>
        <v>1.0066408236683344</v>
      </c>
      <c r="X81">
        <f>_xlfn.STDEV.P(E81,J81,O81)</f>
        <v>5.5857504824473416</v>
      </c>
    </row>
    <row r="82" spans="1:24" x14ac:dyDescent="0.2">
      <c r="A82">
        <v>524.91800000000001</v>
      </c>
      <c r="B82">
        <v>7.0014299999999997E-4</v>
      </c>
      <c r="C82">
        <v>1.5976900000000001E-4</v>
      </c>
      <c r="D82">
        <f>B82/$B$3*100</f>
        <v>84.131882234615119</v>
      </c>
      <c r="E82">
        <f>C82/$C$3*100</f>
        <v>103.94319098550497</v>
      </c>
      <c r="G82">
        <v>7.0886799999999998E-4</v>
      </c>
      <c r="H82">
        <v>2.0425400000000001E-4</v>
      </c>
      <c r="I82">
        <f>G82/$G$3*100</f>
        <v>83.59085447176426</v>
      </c>
      <c r="J82">
        <f>H82/$H$3*100</f>
        <v>114.86688636695948</v>
      </c>
      <c r="L82" s="5">
        <v>8.0518199999999999E-4</v>
      </c>
      <c r="M82" s="5">
        <v>2.00089E-4</v>
      </c>
      <c r="N82" s="4">
        <f>L82/$L$3*100</f>
        <v>81.703472272253578</v>
      </c>
      <c r="O82" s="4">
        <f>M82/$M$3*100</f>
        <v>103.33574342818778</v>
      </c>
      <c r="Q82">
        <f>AVERAGE(B82,G82,L82)</f>
        <v>7.3806433333333324E-4</v>
      </c>
      <c r="R82">
        <f>AVERAGE(C82,H82,M82)</f>
        <v>1.8803733333333332E-4</v>
      </c>
      <c r="T82">
        <f>AVERAGE(D82,I82,N82)</f>
        <v>83.142069659544319</v>
      </c>
      <c r="U82">
        <f>AVERAGE(E82,J82,O82)</f>
        <v>107.38194026021741</v>
      </c>
      <c r="W82">
        <f>_xlfn.STDEV.P(D82,I82,N82)</f>
        <v>1.0409449527820582</v>
      </c>
      <c r="X82">
        <f>_xlfn.STDEV.P(E82,J82,O82)</f>
        <v>5.2984627833204341</v>
      </c>
    </row>
    <row r="83" spans="1:24" x14ac:dyDescent="0.2">
      <c r="A83">
        <v>531.04899999999998</v>
      </c>
      <c r="B83">
        <v>7.1471999999999996E-4</v>
      </c>
      <c r="C83">
        <v>1.5774300000000001E-4</v>
      </c>
      <c r="D83">
        <f>B83/$B$3*100</f>
        <v>85.883510755265874</v>
      </c>
      <c r="E83">
        <f>C83/$C$3*100</f>
        <v>102.62510734639707</v>
      </c>
      <c r="G83">
        <v>7.2410499999999995E-4</v>
      </c>
      <c r="H83">
        <v>2.0323499999999999E-4</v>
      </c>
      <c r="I83">
        <f>G83/$G$3*100</f>
        <v>85.387626013978419</v>
      </c>
      <c r="J83">
        <f>H83/$H$3*100</f>
        <v>114.29382852129706</v>
      </c>
      <c r="L83" s="5">
        <v>8.2290800000000002E-4</v>
      </c>
      <c r="M83" s="5">
        <v>2.0568299999999999E-4</v>
      </c>
      <c r="N83" s="4">
        <f>L83/$L$3*100</f>
        <v>83.502165921016186</v>
      </c>
      <c r="O83" s="4">
        <f>M83/$M$3*100</f>
        <v>106.22475856014046</v>
      </c>
      <c r="Q83">
        <f>AVERAGE(B83,G83,L83)</f>
        <v>7.5391100000000001E-4</v>
      </c>
      <c r="R83">
        <f>AVERAGE(C83,H83,M83)</f>
        <v>1.88887E-4</v>
      </c>
      <c r="T83">
        <f>AVERAGE(D83,I83,N83)</f>
        <v>84.924434230086831</v>
      </c>
      <c r="U83">
        <f>AVERAGE(E83,J83,O83)</f>
        <v>107.7145648092782</v>
      </c>
      <c r="W83">
        <f>_xlfn.STDEV.P(D83,I83,N83)</f>
        <v>1.0258689898164144</v>
      </c>
      <c r="X83">
        <f>_xlfn.STDEV.P(E83,J83,O83)</f>
        <v>4.8788253681507685</v>
      </c>
    </row>
    <row r="84" spans="1:24" x14ac:dyDescent="0.2">
      <c r="A84">
        <v>537.19200000000001</v>
      </c>
      <c r="B84">
        <v>7.2710699999999995E-4</v>
      </c>
      <c r="C84">
        <v>1.5581300000000001E-4</v>
      </c>
      <c r="D84">
        <f>B84/$B$3*100</f>
        <v>87.371980432517773</v>
      </c>
      <c r="E84">
        <f>C84/$C$3*100</f>
        <v>101.36947979285398</v>
      </c>
      <c r="G84">
        <v>7.3937000000000004E-4</v>
      </c>
      <c r="H84">
        <v>2.00552E-4</v>
      </c>
      <c r="I84">
        <f>G84/$G$3*100</f>
        <v>87.187699361218648</v>
      </c>
      <c r="J84">
        <f>H84/$H$3*100</f>
        <v>112.78498239773252</v>
      </c>
      <c r="L84" s="5">
        <v>8.3458000000000002E-4</v>
      </c>
      <c r="M84" s="5">
        <v>1.9798799999999999E-4</v>
      </c>
      <c r="N84" s="4">
        <f>L84/$L$3*100</f>
        <v>84.686547748182889</v>
      </c>
      <c r="O84" s="4">
        <f>M84/$M$3*100</f>
        <v>102.25068429478902</v>
      </c>
      <c r="Q84">
        <f>AVERAGE(B84,G84,L84)</f>
        <v>7.6701899999999997E-4</v>
      </c>
      <c r="R84">
        <f>AVERAGE(C84,H84,M84)</f>
        <v>1.8478433333333331E-4</v>
      </c>
      <c r="T84">
        <f>AVERAGE(D84,I84,N84)</f>
        <v>86.41540918063977</v>
      </c>
      <c r="U84">
        <f>AVERAGE(E84,J84,O84)</f>
        <v>105.46838216179185</v>
      </c>
      <c r="W84">
        <f>_xlfn.STDEV.P(D84,I84,N84)</f>
        <v>1.2248023698505901</v>
      </c>
      <c r="X84">
        <f>_xlfn.STDEV.P(E84,J84,O84)</f>
        <v>5.1861102702624855</v>
      </c>
    </row>
    <row r="85" spans="1:24" x14ac:dyDescent="0.2">
      <c r="A85">
        <v>543.55200000000002</v>
      </c>
      <c r="B85">
        <v>7.3743099999999998E-4</v>
      </c>
      <c r="C85">
        <v>1.55332E-4</v>
      </c>
      <c r="D85">
        <f>B85/$B$3*100</f>
        <v>88.612552076010843</v>
      </c>
      <c r="E85">
        <f>C85/$C$3*100</f>
        <v>101.05654878080514</v>
      </c>
      <c r="G85">
        <v>7.5367399999999997E-4</v>
      </c>
      <c r="H85">
        <v>2.02315E-4</v>
      </c>
      <c r="I85">
        <f>G85/$G$3*100</f>
        <v>88.874450043100339</v>
      </c>
      <c r="J85">
        <f>H85/$H$3*100</f>
        <v>113.77644557918771</v>
      </c>
      <c r="L85" s="5">
        <v>8.4671099999999999E-4</v>
      </c>
      <c r="M85" s="5">
        <v>1.97023E-4</v>
      </c>
      <c r="N85" s="4">
        <f>L85/$L$3*100</f>
        <v>85.917505248642044</v>
      </c>
      <c r="O85" s="4">
        <f>M85/$M$3*100</f>
        <v>101.75231110881577</v>
      </c>
      <c r="Q85">
        <f>AVERAGE(B85,G85,L85)</f>
        <v>7.7927200000000002E-4</v>
      </c>
      <c r="R85">
        <f>AVERAGE(C85,H85,M85)</f>
        <v>1.8488999999999997E-4</v>
      </c>
      <c r="T85">
        <f>AVERAGE(D85,I85,N85)</f>
        <v>87.801502455917742</v>
      </c>
      <c r="U85">
        <f>AVERAGE(E85,J85,O85)</f>
        <v>105.52843515626955</v>
      </c>
      <c r="W85">
        <f>_xlfn.STDEV.P(D85,I85,N85)</f>
        <v>1.336470911033576</v>
      </c>
      <c r="X85">
        <f>_xlfn.STDEV.P(E85,J85,O85)</f>
        <v>5.8391368230070171</v>
      </c>
    </row>
    <row r="86" spans="1:24" x14ac:dyDescent="0.2">
      <c r="A86">
        <v>549.649</v>
      </c>
      <c r="B86">
        <v>7.4571000000000001E-4</v>
      </c>
      <c r="C86">
        <v>1.5490400000000001E-4</v>
      </c>
      <c r="D86">
        <f>B86/$B$3*100</f>
        <v>89.607388635142883</v>
      </c>
      <c r="E86">
        <f>C86/$C$3*100</f>
        <v>100.77809873266193</v>
      </c>
      <c r="G86">
        <v>7.6248199999999998E-4</v>
      </c>
      <c r="H86">
        <v>2.0016899999999999E-4</v>
      </c>
      <c r="I86">
        <f>G86/$G$3*100</f>
        <v>89.913103567010722</v>
      </c>
      <c r="J86">
        <f>H86/$H$3*100</f>
        <v>112.56959362944133</v>
      </c>
      <c r="L86" s="5">
        <v>8.56944E-4</v>
      </c>
      <c r="M86" s="5">
        <v>1.9685199999999999E-4</v>
      </c>
      <c r="N86" s="4">
        <f>L86/$L$3*100</f>
        <v>86.955868788514977</v>
      </c>
      <c r="O86" s="4">
        <f>M86/$M$3*100</f>
        <v>101.66399834736353</v>
      </c>
      <c r="Q86">
        <f>AVERAGE(B86,G86,L86)</f>
        <v>7.8837866666666659E-4</v>
      </c>
      <c r="R86">
        <f>AVERAGE(C86,H86,M86)</f>
        <v>1.8397499999999999E-4</v>
      </c>
      <c r="T86">
        <f>AVERAGE(D86,I86,N86)</f>
        <v>88.825453663556189</v>
      </c>
      <c r="U86">
        <f>AVERAGE(E86,J86,O86)</f>
        <v>105.00389690315559</v>
      </c>
      <c r="W86">
        <f>_xlfn.STDEV.P(D86,I86,N86)</f>
        <v>1.3278745193300212</v>
      </c>
      <c r="X86">
        <f>_xlfn.STDEV.P(E86,J86,O86)</f>
        <v>5.3619666632949823</v>
      </c>
    </row>
    <row r="87" spans="1:24" x14ac:dyDescent="0.2">
      <c r="A87">
        <v>555.86300000000006</v>
      </c>
      <c r="B87">
        <v>7.5298699999999999E-4</v>
      </c>
      <c r="C87">
        <v>1.5526099999999999E-4</v>
      </c>
      <c r="D87">
        <f>B87/$B$3*100</f>
        <v>90.481821011130776</v>
      </c>
      <c r="E87">
        <f>C87/$C$3*100</f>
        <v>101.01035730085614</v>
      </c>
      <c r="G87">
        <v>7.6812600000000005E-4</v>
      </c>
      <c r="H87">
        <v>1.9956600000000001E-4</v>
      </c>
      <c r="I87">
        <f>G87/$G$3*100</f>
        <v>90.578653122976917</v>
      </c>
      <c r="J87">
        <f>H87/$H$3*100</f>
        <v>112.23048285325446</v>
      </c>
      <c r="L87" s="5">
        <v>8.6450700000000004E-4</v>
      </c>
      <c r="M87" s="5">
        <v>1.9437400000000001E-4</v>
      </c>
      <c r="N87" s="4">
        <f>L87/$L$3*100</f>
        <v>87.723301941261894</v>
      </c>
      <c r="O87" s="4">
        <f>M87/$M$3*100</f>
        <v>100.38423797965193</v>
      </c>
      <c r="Q87">
        <f>AVERAGE(B87,G87,L87)</f>
        <v>7.9520666666666677E-4</v>
      </c>
      <c r="R87">
        <f>AVERAGE(C87,H87,M87)</f>
        <v>1.83067E-4</v>
      </c>
      <c r="T87">
        <f>AVERAGE(D87,I87,N87)</f>
        <v>89.594592025123191</v>
      </c>
      <c r="U87">
        <f>AVERAGE(E87,J87,O87)</f>
        <v>104.54169271125419</v>
      </c>
      <c r="W87">
        <f>_xlfn.STDEV.P(D87,I87,N87)</f>
        <v>1.3237922918492848</v>
      </c>
      <c r="X87">
        <f>_xlfn.STDEV.P(E87,J87,O87)</f>
        <v>5.4428011622011221</v>
      </c>
    </row>
    <row r="88" spans="1:24" x14ac:dyDescent="0.2">
      <c r="A88">
        <v>562.19600000000003</v>
      </c>
      <c r="B88">
        <v>7.5779299999999999E-4</v>
      </c>
      <c r="C88">
        <v>1.55494E-4</v>
      </c>
      <c r="D88">
        <f>B88/$B$3*100</f>
        <v>91.059328500343057</v>
      </c>
      <c r="E88">
        <f>C88/$C$3*100</f>
        <v>101.16194342519582</v>
      </c>
      <c r="G88">
        <v>7.7562799999999999E-4</v>
      </c>
      <c r="H88">
        <v>2.03439E-4</v>
      </c>
      <c r="I88">
        <f>G88/$G$3*100</f>
        <v>91.463301026743437</v>
      </c>
      <c r="J88">
        <f>H88/$H$3*100</f>
        <v>114.40855256498217</v>
      </c>
      <c r="L88" s="5">
        <v>8.6876200000000003E-4</v>
      </c>
      <c r="M88" s="5">
        <v>1.9815499999999999E-4</v>
      </c>
      <c r="N88" s="4">
        <f>L88/$L$3*100</f>
        <v>88.155065535726777</v>
      </c>
      <c r="O88" s="4">
        <f>M88/$M$3*100</f>
        <v>102.33693126065175</v>
      </c>
      <c r="Q88">
        <f>AVERAGE(B88,G88,L88)</f>
        <v>8.0072766666666663E-4</v>
      </c>
      <c r="R88">
        <f>AVERAGE(C88,H88,M88)</f>
        <v>1.8569599999999998E-4</v>
      </c>
      <c r="T88">
        <f>AVERAGE(D88,I88,N88)</f>
        <v>90.225898354271109</v>
      </c>
      <c r="U88">
        <f>AVERAGE(E88,J88,O88)</f>
        <v>105.96914241694326</v>
      </c>
      <c r="W88">
        <f>_xlfn.STDEV.P(D88,I88,N88)</f>
        <v>1.4735580233551973</v>
      </c>
      <c r="X88">
        <f>_xlfn.STDEV.P(E88,J88,O88)</f>
        <v>5.9868122757988758</v>
      </c>
    </row>
    <row r="89" spans="1:24" x14ac:dyDescent="0.2">
      <c r="A89">
        <v>568.34699999999998</v>
      </c>
      <c r="B89">
        <v>7.6236299999999995E-4</v>
      </c>
      <c r="C89">
        <v>1.5601699999999999E-4</v>
      </c>
      <c r="D89">
        <f>B89/$B$3*100</f>
        <v>91.608477319673099</v>
      </c>
      <c r="E89">
        <f>C89/$C$3*100</f>
        <v>101.50219897467925</v>
      </c>
      <c r="G89">
        <v>7.7788499999999997E-4</v>
      </c>
      <c r="H89">
        <v>2.0478E-4</v>
      </c>
      <c r="I89">
        <f>G89/$G$3*100</f>
        <v>91.729450096165067</v>
      </c>
      <c r="J89">
        <f>H89/$H$3*100</f>
        <v>115.16269444038288</v>
      </c>
      <c r="L89" s="5">
        <v>8.7600199999999997E-4</v>
      </c>
      <c r="M89" s="5">
        <v>1.9365100000000001E-4</v>
      </c>
      <c r="N89" s="4">
        <f>L89/$L$3*100</f>
        <v>88.889723214675286</v>
      </c>
      <c r="O89" s="4">
        <f>M89/$M$3*100</f>
        <v>100.01084542684502</v>
      </c>
      <c r="Q89">
        <f>AVERAGE(B89,G89,L89)</f>
        <v>8.0541666666666663E-4</v>
      </c>
      <c r="R89">
        <f>AVERAGE(C89,H89,M89)</f>
        <v>1.84816E-4</v>
      </c>
      <c r="T89">
        <f>AVERAGE(D89,I89,N89)</f>
        <v>90.74255021017116</v>
      </c>
      <c r="U89">
        <f>AVERAGE(E89,J89,O89)</f>
        <v>105.55857961396906</v>
      </c>
      <c r="W89">
        <f>_xlfn.STDEV.P(D89,I89,N89)</f>
        <v>1.311077040602298</v>
      </c>
      <c r="X89">
        <f>_xlfn.STDEV.P(E89,J89,O89)</f>
        <v>6.8183722422274116</v>
      </c>
    </row>
    <row r="90" spans="1:24" x14ac:dyDescent="0.2">
      <c r="A90">
        <v>574.55200000000002</v>
      </c>
      <c r="B90">
        <v>7.6573799999999997E-4</v>
      </c>
      <c r="C90">
        <v>1.55857E-4</v>
      </c>
      <c r="D90">
        <f>B90/$B$3*100</f>
        <v>92.014030331760381</v>
      </c>
      <c r="E90">
        <f>C90/$C$3*100</f>
        <v>101.39810549873785</v>
      </c>
      <c r="G90">
        <v>7.8229500000000002E-4</v>
      </c>
      <c r="H90">
        <v>2.05183E-4</v>
      </c>
      <c r="I90">
        <f>G90/$G$3*100</f>
        <v>92.249484387768703</v>
      </c>
      <c r="J90">
        <f>H90/$H$3*100</f>
        <v>115.38933066393729</v>
      </c>
      <c r="L90" s="5">
        <v>8.8055200000000005E-4</v>
      </c>
      <c r="M90" s="5">
        <v>1.9729200000000001E-4</v>
      </c>
      <c r="N90" s="4">
        <f>L90/$L$3*100</f>
        <v>89.351421065395698</v>
      </c>
      <c r="O90" s="4">
        <f>M90/$M$3*100</f>
        <v>101.89123586221143</v>
      </c>
      <c r="Q90">
        <f>AVERAGE(B90,G90,L90)</f>
        <v>8.0952833333333338E-4</v>
      </c>
      <c r="R90">
        <f>AVERAGE(C90,H90,M90)</f>
        <v>1.8611066666666663E-4</v>
      </c>
      <c r="T90">
        <f>AVERAGE(D90,I90,N90)</f>
        <v>91.204978594974932</v>
      </c>
      <c r="U90">
        <f>AVERAGE(E90,J90,O90)</f>
        <v>106.22622400829552</v>
      </c>
      <c r="W90">
        <f>_xlfn.STDEV.P(D90,I90,N90)</f>
        <v>1.3141832164802554</v>
      </c>
      <c r="X90">
        <f>_xlfn.STDEV.P(E90,J90,O90)</f>
        <v>6.4824217221572731</v>
      </c>
    </row>
    <row r="91" spans="1:24" x14ac:dyDescent="0.2">
      <c r="A91">
        <v>580.73699999999997</v>
      </c>
      <c r="B91">
        <v>7.7065100000000002E-4</v>
      </c>
      <c r="C91">
        <v>1.5386299999999999E-4</v>
      </c>
      <c r="D91">
        <f>B91/$B$3*100</f>
        <v>92.604395353504046</v>
      </c>
      <c r="E91">
        <f>C91/$C$3*100</f>
        <v>100.10084055481821</v>
      </c>
      <c r="G91">
        <v>7.8629700000000004E-4</v>
      </c>
      <c r="H91">
        <v>2.0665000000000001E-4</v>
      </c>
      <c r="I91">
        <f>G91/$G$3*100</f>
        <v>92.721406663278387</v>
      </c>
      <c r="J91">
        <f>H91/$H$3*100</f>
        <v>116.21433150749642</v>
      </c>
      <c r="L91" s="5">
        <v>8.8528100000000002E-4</v>
      </c>
      <c r="M91" s="5">
        <v>1.9732699999999999E-4</v>
      </c>
      <c r="N91" s="4">
        <f>L91/$L$3*100</f>
        <v>89.831282413979594</v>
      </c>
      <c r="O91" s="4">
        <f>M91/$M$3*100</f>
        <v>101.90931157361977</v>
      </c>
      <c r="Q91">
        <f>AVERAGE(B91,G91,L91)</f>
        <v>8.1407633333333343E-4</v>
      </c>
      <c r="R91">
        <f>AVERAGE(C91,H91,M91)</f>
        <v>1.8594666666666665E-4</v>
      </c>
      <c r="T91">
        <f>AVERAGE(D91,I91,N91)</f>
        <v>91.719028143587352</v>
      </c>
      <c r="U91">
        <f>AVERAGE(E91,J91,O91)</f>
        <v>106.0748278786448</v>
      </c>
      <c r="W91">
        <f>_xlfn.STDEV.P(D91,I91,N91)</f>
        <v>1.3356922964997078</v>
      </c>
      <c r="X91">
        <f>_xlfn.STDEV.P(E91,J91,O91)</f>
        <v>7.2076252323994909</v>
      </c>
    </row>
    <row r="92" spans="1:24" x14ac:dyDescent="0.2">
      <c r="A92">
        <v>587.00400000000002</v>
      </c>
      <c r="B92">
        <v>7.7464700000000005E-4</v>
      </c>
      <c r="C92">
        <v>1.5346399999999999E-4</v>
      </c>
      <c r="D92">
        <f>B92/$B$3*100</f>
        <v>93.084570119815382</v>
      </c>
      <c r="E92">
        <f>C92/$C$3*100</f>
        <v>99.841257449189357</v>
      </c>
      <c r="G92">
        <v>7.9035200000000003E-4</v>
      </c>
      <c r="H92">
        <v>2.0682400000000001E-4</v>
      </c>
      <c r="I92">
        <f>G92/$G$3*100</f>
        <v>93.199578784015969</v>
      </c>
      <c r="J92">
        <f>H92/$H$3*100</f>
        <v>116.31218436828668</v>
      </c>
      <c r="L92" s="5">
        <v>8.8852799999999997E-4</v>
      </c>
      <c r="M92" s="5">
        <v>1.98822E-4</v>
      </c>
      <c r="N92" s="4">
        <f>L92/$L$3*100</f>
        <v>90.160762176900292</v>
      </c>
      <c r="O92" s="4">
        <f>M92/$M$3*100</f>
        <v>102.68140267520529</v>
      </c>
      <c r="Q92">
        <f>AVERAGE(B92,G92,L92)</f>
        <v>8.1784233333333331E-4</v>
      </c>
      <c r="R92">
        <f>AVERAGE(C92,H92,M92)</f>
        <v>1.8637000000000002E-4</v>
      </c>
      <c r="T92">
        <f>AVERAGE(D92,I92,N92)</f>
        <v>92.148303693577205</v>
      </c>
      <c r="U92">
        <f>AVERAGE(E92,J92,O92)</f>
        <v>106.27828149756044</v>
      </c>
      <c r="W92">
        <f>_xlfn.STDEV.P(D92,I92,N92)</f>
        <v>1.4061881591963674</v>
      </c>
      <c r="X92">
        <f>_xlfn.STDEV.P(E92,J92,O92)</f>
        <v>7.1891590301226671</v>
      </c>
    </row>
    <row r="93" spans="1:24" x14ac:dyDescent="0.2">
      <c r="A93">
        <v>593.21</v>
      </c>
      <c r="B93">
        <v>7.7811899999999997E-4</v>
      </c>
      <c r="C93">
        <v>1.5279700000000001E-4</v>
      </c>
      <c r="D93">
        <f>B93/$B$3*100</f>
        <v>93.501779025879685</v>
      </c>
      <c r="E93">
        <f>C93/$C$3*100</f>
        <v>99.407317771358677</v>
      </c>
      <c r="G93">
        <v>7.93559E-4</v>
      </c>
      <c r="H93">
        <v>2.0501499999999999E-4</v>
      </c>
      <c r="I93">
        <f>G93/$G$3*100</f>
        <v>93.577753381107314</v>
      </c>
      <c r="J93">
        <f>H93/$H$3*100</f>
        <v>115.29485203972601</v>
      </c>
      <c r="L93" s="5">
        <v>8.9513600000000004E-4</v>
      </c>
      <c r="M93" s="5">
        <v>1.96059E-4</v>
      </c>
      <c r="N93" s="4">
        <f>L93/$L$3*100</f>
        <v>90.831289517023464</v>
      </c>
      <c r="O93" s="4">
        <f>M93/$M$3*100</f>
        <v>101.25445437173993</v>
      </c>
      <c r="Q93">
        <f>AVERAGE(B93,G93,L93)</f>
        <v>8.2227133333333334E-4</v>
      </c>
      <c r="R93">
        <f>AVERAGE(C93,H93,M93)</f>
        <v>1.8462366666666669E-4</v>
      </c>
      <c r="T93">
        <f>AVERAGE(D93,I93,N93)</f>
        <v>92.636940641336821</v>
      </c>
      <c r="U93">
        <f>AVERAGE(E93,J93,O93)</f>
        <v>105.3188747276082</v>
      </c>
      <c r="W93">
        <f>_xlfn.STDEV.P(D93,I93,N93)</f>
        <v>1.2771648321480491</v>
      </c>
      <c r="X93">
        <f>_xlfn.STDEV.P(E93,J93,O93)</f>
        <v>7.0942733197997523</v>
      </c>
    </row>
    <row r="94" spans="1:24" x14ac:dyDescent="0.2">
      <c r="A94">
        <v>599.31799999999998</v>
      </c>
      <c r="B94">
        <v>7.8217499999999997E-4</v>
      </c>
      <c r="C94">
        <v>1.5312799999999999E-4</v>
      </c>
      <c r="D94">
        <f>B94/$B$3*100</f>
        <v>93.98916362351703</v>
      </c>
      <c r="E94">
        <f>C94/$C$3*100</f>
        <v>99.622661149712428</v>
      </c>
      <c r="G94">
        <v>7.9885199999999996E-4</v>
      </c>
      <c r="H94">
        <v>2.01609E-4</v>
      </c>
      <c r="I94">
        <f>G94/$G$3*100</f>
        <v>94.201912452639718</v>
      </c>
      <c r="J94">
        <f>H94/$H$3*100</f>
        <v>113.3794104083951</v>
      </c>
      <c r="L94" s="5">
        <v>8.9720399999999997E-4</v>
      </c>
      <c r="M94" s="5">
        <v>1.8605100000000001E-4</v>
      </c>
      <c r="N94" s="4">
        <f>L94/$L$3*100</f>
        <v>91.04113372697725</v>
      </c>
      <c r="O94" s="4">
        <f>M94/$M$3*100</f>
        <v>96.08583380674483</v>
      </c>
      <c r="Q94">
        <f>AVERAGE(B94,G94,L94)</f>
        <v>8.2607700000000004E-4</v>
      </c>
      <c r="R94">
        <f>AVERAGE(C94,H94,M94)</f>
        <v>1.8026266666666666E-4</v>
      </c>
      <c r="T94">
        <f>AVERAGE(D94,I94,N94)</f>
        <v>93.077403267711318</v>
      </c>
      <c r="U94">
        <f>AVERAGE(E94,J94,O94)</f>
        <v>103.02930178828412</v>
      </c>
      <c r="W94">
        <f>_xlfn.STDEV.P(D94,I94,N94)</f>
        <v>1.4424772090549212</v>
      </c>
      <c r="X94">
        <f>_xlfn.STDEV.P(E94,J94,O94)</f>
        <v>7.4597072440126651</v>
      </c>
    </row>
    <row r="95" spans="1:24" x14ac:dyDescent="0.2">
      <c r="A95">
        <v>605.59400000000005</v>
      </c>
      <c r="B95">
        <v>7.8514999999999998E-4</v>
      </c>
      <c r="C95">
        <v>1.5309899999999999E-4</v>
      </c>
      <c r="D95">
        <f>B95/$B$3*100</f>
        <v>94.346651093431007</v>
      </c>
      <c r="E95">
        <f>C95/$C$3*100</f>
        <v>99.60379420719805</v>
      </c>
      <c r="G95">
        <v>8.0405299999999999E-4</v>
      </c>
      <c r="H95">
        <v>2.0508500000000001E-4</v>
      </c>
      <c r="I95">
        <f>G95/$G$3*100</f>
        <v>94.815222736229416</v>
      </c>
      <c r="J95">
        <f>H95/$H$3*100</f>
        <v>115.33421813314737</v>
      </c>
      <c r="L95" s="5">
        <v>9.0376900000000001E-4</v>
      </c>
      <c r="M95" s="5">
        <v>1.88378E-4</v>
      </c>
      <c r="N95" s="4">
        <f>L95/$L$3*100</f>
        <v>91.707297768730982</v>
      </c>
      <c r="O95" s="4">
        <f>M95/$M$3*100</f>
        <v>97.287610390951812</v>
      </c>
      <c r="Q95">
        <f>AVERAGE(B95,G95,L95)</f>
        <v>8.3099066666666662E-4</v>
      </c>
      <c r="R95">
        <f>AVERAGE(C95,H95,M95)</f>
        <v>1.8218733333333334E-4</v>
      </c>
      <c r="T95">
        <f>AVERAGE(D95,I95,N95)</f>
        <v>93.623057199463801</v>
      </c>
      <c r="U95">
        <f>AVERAGE(E95,J95,O95)</f>
        <v>104.07520757709908</v>
      </c>
      <c r="W95">
        <f>_xlfn.STDEV.P(D95,I95,N95)</f>
        <v>1.3680863748170295</v>
      </c>
      <c r="X95">
        <f>_xlfn.STDEV.P(E95,J95,O95)</f>
        <v>8.0172799166785342</v>
      </c>
    </row>
    <row r="96" spans="1:24" x14ac:dyDescent="0.2">
      <c r="A96">
        <v>611.76900000000001</v>
      </c>
      <c r="B96">
        <v>7.88257E-4</v>
      </c>
      <c r="C96">
        <v>1.5363900000000001E-4</v>
      </c>
      <c r="D96">
        <f>B96/$B$3*100</f>
        <v>94.720000192262162</v>
      </c>
      <c r="E96">
        <f>C96/$C$3*100</f>
        <v>99.955109688500272</v>
      </c>
      <c r="G96">
        <v>8.0708099999999997E-4</v>
      </c>
      <c r="H96">
        <v>2.0399700000000001E-4</v>
      </c>
      <c r="I96">
        <f>G96/$G$3*100</f>
        <v>95.172289365475621</v>
      </c>
      <c r="J96">
        <f>H96/$H$3*100</f>
        <v>114.72235656682676</v>
      </c>
      <c r="L96" s="5">
        <v>9.0461299999999997E-4</v>
      </c>
      <c r="M96" s="5">
        <v>1.91535E-4</v>
      </c>
      <c r="N96" s="4">
        <f>L96/$L$3*100</f>
        <v>91.79294018323823</v>
      </c>
      <c r="O96" s="4">
        <f>M96/$M$3*100</f>
        <v>98.918039559985544</v>
      </c>
      <c r="Q96">
        <f>AVERAGE(B96,G96,L96)</f>
        <v>8.3331699999999998E-4</v>
      </c>
      <c r="R96">
        <f>AVERAGE(C96,H96,M96)</f>
        <v>1.8305700000000001E-4</v>
      </c>
      <c r="T96">
        <f>AVERAGE(D96,I96,N96)</f>
        <v>93.895076580325338</v>
      </c>
      <c r="U96">
        <f>AVERAGE(E96,J96,O96)</f>
        <v>104.53183527177084</v>
      </c>
      <c r="W96">
        <f>_xlfn.STDEV.P(D96,I96,N96)</f>
        <v>1.4978594611467624</v>
      </c>
      <c r="X96">
        <f>_xlfn.STDEV.P(E96,J96,O96)</f>
        <v>7.2182140825186236</v>
      </c>
    </row>
    <row r="97" spans="1:24" x14ac:dyDescent="0.2">
      <c r="A97">
        <v>617.947</v>
      </c>
      <c r="B97">
        <v>7.9004499999999996E-4</v>
      </c>
      <c r="C97">
        <v>1.5384200000000001E-4</v>
      </c>
      <c r="D97">
        <f>B97/$B$3*100</f>
        <v>94.934853165776843</v>
      </c>
      <c r="E97">
        <f>C97/$C$3*100</f>
        <v>100.08717828610092</v>
      </c>
      <c r="G97">
        <v>8.1266599999999997E-4</v>
      </c>
      <c r="H97">
        <v>2.07071E-4</v>
      </c>
      <c r="I97">
        <f>G97/$G$3*100</f>
        <v>95.830881546565479</v>
      </c>
      <c r="J97">
        <f>H97/$H$3*100</f>
        <v>116.45109044078777</v>
      </c>
      <c r="L97" s="5">
        <v>9.0831899999999999E-4</v>
      </c>
      <c r="M97" s="5">
        <v>1.9028900000000001E-4</v>
      </c>
      <c r="N97" s="4">
        <f>L97/$L$3*100</f>
        <v>92.16899561945138</v>
      </c>
      <c r="O97" s="4">
        <f>M97/$M$3*100</f>
        <v>98.274544233848061</v>
      </c>
      <c r="Q97">
        <f>AVERAGE(B97,G97,L97)</f>
        <v>8.3701000000000001E-4</v>
      </c>
      <c r="R97">
        <f>AVERAGE(C97,H97,M97)</f>
        <v>1.8373399999999999E-4</v>
      </c>
      <c r="T97">
        <f>AVERAGE(D97,I97,N97)</f>
        <v>94.311576777264577</v>
      </c>
      <c r="U97">
        <f>AVERAGE(E97,J97,O97)</f>
        <v>104.9376043202456</v>
      </c>
      <c r="W97">
        <f>_xlfn.STDEV.P(D97,I97,N97)</f>
        <v>1.5585692644552247</v>
      </c>
      <c r="X97">
        <f>_xlfn.STDEV.P(E97,J97,O97)</f>
        <v>8.1748265032674041</v>
      </c>
    </row>
    <row r="98" spans="1:24" x14ac:dyDescent="0.2">
      <c r="A98">
        <v>624.12199999999996</v>
      </c>
      <c r="B98">
        <v>7.9192100000000001E-4</v>
      </c>
      <c r="C98">
        <v>1.5417600000000001E-4</v>
      </c>
      <c r="D98">
        <f>B98/$B$3*100</f>
        <v>95.160280558569667</v>
      </c>
      <c r="E98">
        <f>C98/$C$3*100</f>
        <v>100.30447341712858</v>
      </c>
      <c r="G98">
        <v>8.16489E-4</v>
      </c>
      <c r="H98">
        <v>2.0850799999999999E-4</v>
      </c>
      <c r="I98">
        <f>G98/$G$3*100</f>
        <v>96.281695854230023</v>
      </c>
      <c r="J98">
        <f>H98/$H$3*100</f>
        <v>117.25922010145204</v>
      </c>
      <c r="L98" s="5">
        <v>9.1207799999999998E-4</v>
      </c>
      <c r="M98" s="5">
        <v>1.8919999999999999E-4</v>
      </c>
      <c r="N98" s="4">
        <f>L98/$L$3*100</f>
        <v>92.550429074584997</v>
      </c>
      <c r="O98" s="4">
        <f>M98/$M$3*100</f>
        <v>97.712131384599488</v>
      </c>
      <c r="Q98">
        <f>AVERAGE(B98,G98,L98)</f>
        <v>8.4016266666666662E-4</v>
      </c>
      <c r="R98">
        <f>AVERAGE(C98,H98,M98)</f>
        <v>1.8396133333333333E-4</v>
      </c>
      <c r="T98">
        <f>AVERAGE(D98,I98,N98)</f>
        <v>94.664135162461562</v>
      </c>
      <c r="U98">
        <f>AVERAGE(E98,J98,O98)</f>
        <v>105.09194163439338</v>
      </c>
      <c r="W98">
        <f>_xlfn.STDEV.P(D98,I98,N98)</f>
        <v>1.5631609291816568</v>
      </c>
      <c r="X98">
        <f>_xlfn.STDEV.P(E98,J98,O98)</f>
        <v>8.6684123219351825</v>
      </c>
    </row>
    <row r="99" spans="1:24" x14ac:dyDescent="0.2">
      <c r="A99">
        <v>630.39800000000002</v>
      </c>
      <c r="B99">
        <v>7.9440700000000001E-4</v>
      </c>
      <c r="C99">
        <v>1.5327099999999999E-4</v>
      </c>
      <c r="D99">
        <f>B99/$B$3*100</f>
        <v>95.459007903176769</v>
      </c>
      <c r="E99">
        <f>C99/$C$3*100</f>
        <v>99.715694693835047</v>
      </c>
      <c r="G99">
        <v>8.1575899999999999E-4</v>
      </c>
      <c r="H99">
        <v>2.0686899999999999E-4</v>
      </c>
      <c r="I99">
        <f>G99/$G$3*100</f>
        <v>96.195613080336457</v>
      </c>
      <c r="J99">
        <f>H99/$H$3*100</f>
        <v>116.33749114262896</v>
      </c>
      <c r="L99" s="5">
        <v>9.1294800000000001E-4</v>
      </c>
      <c r="M99" s="5">
        <v>1.8735400000000001E-4</v>
      </c>
      <c r="N99" s="4">
        <f>L99/$L$3*100</f>
        <v>92.638709762524954</v>
      </c>
      <c r="O99" s="4">
        <f>M99/$M$3*100</f>
        <v>96.758766720033051</v>
      </c>
      <c r="Q99">
        <f>AVERAGE(B99,G99,L99)</f>
        <v>8.4103800000000001E-4</v>
      </c>
      <c r="R99">
        <f>AVERAGE(C99,H99,M99)</f>
        <v>1.8249800000000001E-4</v>
      </c>
      <c r="T99">
        <f>AVERAGE(D99,I99,N99)</f>
        <v>94.764443582012731</v>
      </c>
      <c r="U99">
        <f>AVERAGE(E99,J99,O99)</f>
        <v>104.2706508521657</v>
      </c>
      <c r="W99">
        <f>_xlfn.STDEV.P(D99,I99,N99)</f>
        <v>1.5329068247918549</v>
      </c>
      <c r="X99">
        <f>_xlfn.STDEV.P(E99,J99,O99)</f>
        <v>8.617514402162767</v>
      </c>
    </row>
    <row r="100" spans="1:24" x14ac:dyDescent="0.2">
      <c r="A100">
        <v>636.58100000000002</v>
      </c>
      <c r="B100">
        <v>7.9651600000000004E-4</v>
      </c>
      <c r="C100">
        <v>1.5291999999999999E-4</v>
      </c>
      <c r="D100">
        <f>B100/$B$3*100</f>
        <v>95.712433474285547</v>
      </c>
      <c r="E100">
        <f>C100/$C$3*100</f>
        <v>99.487339630988615</v>
      </c>
      <c r="G100">
        <v>8.1391600000000003E-4</v>
      </c>
      <c r="H100">
        <v>2.0256399999999999E-4</v>
      </c>
      <c r="I100">
        <f>G100/$G$3*100</f>
        <v>95.978283556657203</v>
      </c>
      <c r="J100">
        <f>H100/$H$3*100</f>
        <v>113.91647639721513</v>
      </c>
      <c r="L100" s="5">
        <v>9.1595700000000001E-4</v>
      </c>
      <c r="M100" s="5">
        <v>1.8657499999999999E-4</v>
      </c>
      <c r="N100" s="4">
        <f>L100/$L$3*100</f>
        <v>92.944039176331032</v>
      </c>
      <c r="O100" s="4">
        <f>M100/$M$3*100</f>
        <v>96.35645302897278</v>
      </c>
      <c r="Q100">
        <f>AVERAGE(B100,G100,L100)</f>
        <v>8.421296666666668E-4</v>
      </c>
      <c r="R100">
        <f>AVERAGE(C100,H100,M100)</f>
        <v>1.8068633333333335E-4</v>
      </c>
      <c r="T100">
        <f>AVERAGE(D100,I100,N100)</f>
        <v>94.878252069091261</v>
      </c>
      <c r="U100">
        <f>AVERAGE(E100,J100,O100)</f>
        <v>103.25342301905884</v>
      </c>
      <c r="W100">
        <f>_xlfn.STDEV.P(D100,I100,N100)</f>
        <v>1.3719945827065483</v>
      </c>
      <c r="X100">
        <f>_xlfn.STDEV.P(E100,J100,O100)</f>
        <v>7.6474894894873087</v>
      </c>
    </row>
    <row r="101" spans="1:24" x14ac:dyDescent="0.2">
      <c r="A101">
        <v>642.83500000000004</v>
      </c>
      <c r="B101">
        <v>7.9896399999999999E-4</v>
      </c>
      <c r="C101">
        <v>1.5306799999999999E-4</v>
      </c>
      <c r="D101">
        <f>B101/$B$3*100</f>
        <v>96.006594592386179</v>
      </c>
      <c r="E101">
        <f>C101/$C$3*100</f>
        <v>99.583626096234397</v>
      </c>
      <c r="G101">
        <v>8.1678800000000004E-4</v>
      </c>
      <c r="H101">
        <v>1.9873699999999999E-4</v>
      </c>
      <c r="I101">
        <f>G101/$G$3*100</f>
        <v>96.316954415043966</v>
      </c>
      <c r="J101">
        <f>H101/$H$3*100</f>
        <v>111.76427583259287</v>
      </c>
      <c r="L101" s="5">
        <v>9.18339E-4</v>
      </c>
      <c r="M101" s="5">
        <v>1.9001200000000001E-4</v>
      </c>
      <c r="N101" s="4">
        <f>L101/$L$3*100</f>
        <v>93.185745611587294</v>
      </c>
      <c r="O101" s="4">
        <f>M101/$M$3*100</f>
        <v>98.131487889273359</v>
      </c>
      <c r="Q101">
        <f>AVERAGE(B101,G101,L101)</f>
        <v>8.4469700000000005E-4</v>
      </c>
      <c r="R101">
        <f>AVERAGE(C101,H101,M101)</f>
        <v>1.8060566666666666E-4</v>
      </c>
      <c r="T101">
        <f>AVERAGE(D101,I101,N101)</f>
        <v>95.169764873005803</v>
      </c>
      <c r="U101">
        <f>AVERAGE(E101,J101,O101)</f>
        <v>103.15979660603354</v>
      </c>
      <c r="W101">
        <f>_xlfn.STDEV.P(D101,I101,N101)</f>
        <v>1.4086234716061892</v>
      </c>
      <c r="X101">
        <f>_xlfn.STDEV.P(E101,J101,O101)</f>
        <v>6.1130992365164651</v>
      </c>
    </row>
    <row r="102" spans="1:24" x14ac:dyDescent="0.2">
      <c r="A102">
        <v>649.06100000000004</v>
      </c>
      <c r="B102">
        <v>8.0130100000000003E-4</v>
      </c>
      <c r="C102">
        <v>1.52516E-4</v>
      </c>
      <c r="D102">
        <f>B102/$B$3*100</f>
        <v>96.28741752253373</v>
      </c>
      <c r="E102">
        <f>C102/$C$3*100</f>
        <v>99.224503604236602</v>
      </c>
      <c r="G102">
        <v>8.1979899999999996E-4</v>
      </c>
      <c r="H102">
        <v>1.98708E-4</v>
      </c>
      <c r="I102">
        <f>G102/$G$3*100</f>
        <v>96.672016376952925</v>
      </c>
      <c r="J102">
        <f>H102/$H$3*100</f>
        <v>111.74796702246117</v>
      </c>
      <c r="L102" s="5">
        <v>9.1864400000000004E-4</v>
      </c>
      <c r="M102" s="5">
        <v>1.94651E-4</v>
      </c>
      <c r="N102" s="4">
        <f>L102/$L$3*100</f>
        <v>93.216694588393835</v>
      </c>
      <c r="O102" s="4">
        <f>M102/$M$3*100</f>
        <v>100.52729432422663</v>
      </c>
      <c r="Q102">
        <f>AVERAGE(B102,G102,L102)</f>
        <v>8.4658133333333338E-4</v>
      </c>
      <c r="R102">
        <f>AVERAGE(C102,H102,M102)</f>
        <v>1.8195833333333334E-4</v>
      </c>
      <c r="T102">
        <f>AVERAGE(D102,I102,N102)</f>
        <v>95.392042829293516</v>
      </c>
      <c r="U102">
        <f>AVERAGE(E102,J102,O102)</f>
        <v>103.83325498364145</v>
      </c>
      <c r="W102">
        <f>_xlfn.STDEV.P(D102,I102,N102)</f>
        <v>1.5461962028569936</v>
      </c>
      <c r="X102">
        <f>_xlfn.STDEV.P(E102,J102,O102)</f>
        <v>5.6217622330903305</v>
      </c>
    </row>
    <row r="103" spans="1:24" x14ac:dyDescent="0.2">
      <c r="A103">
        <v>655.28099999999995</v>
      </c>
      <c r="B103">
        <v>8.0328699999999997E-4</v>
      </c>
      <c r="C103">
        <v>1.5239299999999999E-4</v>
      </c>
      <c r="D103">
        <f>B103/$B$3*100</f>
        <v>96.526062939424193</v>
      </c>
      <c r="E103">
        <f>C103/$C$3*100</f>
        <v>99.144481744606637</v>
      </c>
      <c r="G103">
        <v>8.2502599999999997E-4</v>
      </c>
      <c r="H103">
        <v>2.00507E-4</v>
      </c>
      <c r="I103">
        <f>G103/$G$3*100</f>
        <v>97.288392622352504</v>
      </c>
      <c r="J103">
        <f>H103/$H$3*100</f>
        <v>112.75967562339019</v>
      </c>
      <c r="L103" s="5">
        <v>9.2324300000000002E-4</v>
      </c>
      <c r="M103" s="5">
        <v>1.9551200000000001E-4</v>
      </c>
      <c r="N103" s="4">
        <f>L103/$L$3*100</f>
        <v>93.683364569814302</v>
      </c>
      <c r="O103" s="4">
        <f>M103/$M$3*100</f>
        <v>100.97195682487219</v>
      </c>
      <c r="Q103">
        <f>AVERAGE(B103,G103,L103)</f>
        <v>8.5051866666666662E-4</v>
      </c>
      <c r="R103">
        <f>AVERAGE(C103,H103,M103)</f>
        <v>1.8280399999999998E-4</v>
      </c>
      <c r="T103">
        <f>AVERAGE(D103,I103,N103)</f>
        <v>95.832606710530328</v>
      </c>
      <c r="U103">
        <f>AVERAGE(E103,J103,O103)</f>
        <v>104.29203806428968</v>
      </c>
      <c r="W103">
        <f>_xlfn.STDEV.P(D103,I103,N103)</f>
        <v>1.5512829036941471</v>
      </c>
      <c r="X103">
        <f>_xlfn.STDEV.P(E103,J103,O103)</f>
        <v>6.0338257994114732</v>
      </c>
    </row>
    <row r="104" spans="1:24" x14ac:dyDescent="0.2">
      <c r="A104">
        <v>661.45299999999997</v>
      </c>
      <c r="B104">
        <v>8.0575199999999997E-4</v>
      </c>
      <c r="C104">
        <v>1.5261699999999999E-4</v>
      </c>
      <c r="D104">
        <f>B104/$B$3*100</f>
        <v>96.822266843067197</v>
      </c>
      <c r="E104">
        <f>C104/$C$3*100</f>
        <v>99.290212610924598</v>
      </c>
      <c r="G104">
        <v>8.2676600000000005E-4</v>
      </c>
      <c r="H104">
        <v>2.00299E-4</v>
      </c>
      <c r="I104">
        <f>G104/$G$3*100</f>
        <v>97.4935762204002</v>
      </c>
      <c r="J104">
        <f>H104/$H$3*100</f>
        <v>112.64270208865244</v>
      </c>
      <c r="L104" s="5">
        <v>9.2572300000000004E-4</v>
      </c>
      <c r="M104" s="5">
        <v>1.9381300000000001E-4</v>
      </c>
      <c r="N104" s="4">
        <f>L104/$L$3*100</f>
        <v>93.935015266470685</v>
      </c>
      <c r="O104" s="4">
        <f>M104/$M$3*100</f>
        <v>100.09451014822083</v>
      </c>
      <c r="Q104">
        <f>AVERAGE(B104,G104,L104)</f>
        <v>8.5274700000000005E-4</v>
      </c>
      <c r="R104">
        <f>AVERAGE(C104,H104,M104)</f>
        <v>1.8224300000000001E-4</v>
      </c>
      <c r="T104">
        <f>AVERAGE(D104,I104,N104)</f>
        <v>96.083619443312685</v>
      </c>
      <c r="U104">
        <f>AVERAGE(E104,J104,O104)</f>
        <v>104.00914161593262</v>
      </c>
      <c r="W104">
        <f>_xlfn.STDEV.P(D104,I104,N104)</f>
        <v>1.543813244659902</v>
      </c>
      <c r="X104">
        <f>_xlfn.STDEV.P(E104,J104,O104)</f>
        <v>6.113673116286571</v>
      </c>
    </row>
    <row r="105" spans="1:24" x14ac:dyDescent="0.2">
      <c r="A105">
        <v>667.70500000000004</v>
      </c>
      <c r="B105">
        <v>8.0748599999999995E-4</v>
      </c>
      <c r="C105">
        <v>1.5372500000000001E-4</v>
      </c>
      <c r="D105">
        <f>B105/$B$3*100</f>
        <v>97.030630968388493</v>
      </c>
      <c r="E105">
        <f>C105/$C$3*100</f>
        <v>100.01105993181878</v>
      </c>
      <c r="G105">
        <v>8.2719800000000002E-4</v>
      </c>
      <c r="H105">
        <v>1.9853399999999999E-4</v>
      </c>
      <c r="I105">
        <f>G105/$G$3*100</f>
        <v>97.544518355087902</v>
      </c>
      <c r="J105">
        <f>H105/$H$3*100</f>
        <v>111.65011416167093</v>
      </c>
      <c r="L105" s="5">
        <v>9.27118E-4</v>
      </c>
      <c r="M105" s="5">
        <v>1.9739399999999999E-4</v>
      </c>
      <c r="N105" s="4">
        <f>L105/$L$3*100</f>
        <v>94.076568783339908</v>
      </c>
      <c r="O105" s="4">
        <f>M105/$M$3*100</f>
        <v>101.94391364974436</v>
      </c>
      <c r="Q105">
        <f>AVERAGE(B105,G105,L105)</f>
        <v>8.5393400000000009E-4</v>
      </c>
      <c r="R105">
        <f>AVERAGE(C105,H105,M105)</f>
        <v>1.8321766666666667E-4</v>
      </c>
      <c r="T105">
        <f>AVERAGE(D105,I105,N105)</f>
        <v>96.217239368938763</v>
      </c>
      <c r="U105">
        <f>AVERAGE(E105,J105,O105)</f>
        <v>104.5350292477447</v>
      </c>
      <c r="W105">
        <f>_xlfn.STDEV.P(D105,I105,N105)</f>
        <v>1.5281520383758309</v>
      </c>
      <c r="X105">
        <f>_xlfn.STDEV.P(E105,J105,O105)</f>
        <v>5.0926290442174205</v>
      </c>
    </row>
    <row r="106" spans="1:24" x14ac:dyDescent="0.2">
      <c r="A106">
        <v>673.85199999999998</v>
      </c>
      <c r="B106">
        <v>8.0879300000000003E-4</v>
      </c>
      <c r="C106">
        <v>1.5329499999999999E-4</v>
      </c>
      <c r="D106">
        <f>B106/$B$3*100</f>
        <v>97.187685127439778</v>
      </c>
      <c r="E106">
        <f>C106/$C$3*100</f>
        <v>99.731308715226248</v>
      </c>
      <c r="G106">
        <v>8.3015200000000002E-4</v>
      </c>
      <c r="H106">
        <v>2.0128999999999999E-4</v>
      </c>
      <c r="I106">
        <f>G106/$G$3*100</f>
        <v>97.892858785336685</v>
      </c>
      <c r="J106">
        <f>H106/$H$3*100</f>
        <v>113.20001349694631</v>
      </c>
      <c r="L106" s="5">
        <v>9.3074E-4</v>
      </c>
      <c r="M106" s="5">
        <v>1.99571E-4</v>
      </c>
      <c r="N106" s="4">
        <f>L106/$L$3*100</f>
        <v>94.444100566924376</v>
      </c>
      <c r="O106" s="4">
        <f>M106/$M$3*100</f>
        <v>103.06822289934412</v>
      </c>
      <c r="Q106">
        <f>AVERAGE(B106,G106,L106)</f>
        <v>8.5656166666666679E-4</v>
      </c>
      <c r="R106">
        <f>AVERAGE(C106,H106,M106)</f>
        <v>1.8471866666666667E-4</v>
      </c>
      <c r="T106">
        <f>AVERAGE(D106,I106,N106)</f>
        <v>96.508214826566942</v>
      </c>
      <c r="U106">
        <f>AVERAGE(E106,J106,O106)</f>
        <v>105.33318170383889</v>
      </c>
      <c r="W106">
        <f>_xlfn.STDEV.P(D106,I106,N106)</f>
        <v>1.4876700417303053</v>
      </c>
      <c r="X106">
        <f>_xlfn.STDEV.P(E106,J106,O106)</f>
        <v>5.7270720217708702</v>
      </c>
    </row>
    <row r="107" spans="1:24" x14ac:dyDescent="0.2">
      <c r="A107">
        <v>680.23400000000004</v>
      </c>
      <c r="B107">
        <v>8.10774E-4</v>
      </c>
      <c r="C107">
        <v>1.5326200000000001E-4</v>
      </c>
      <c r="D107">
        <f>B107/$B$3*100</f>
        <v>97.425729725053074</v>
      </c>
      <c r="E107">
        <f>C107/$C$3*100</f>
        <v>99.709839435813365</v>
      </c>
      <c r="G107">
        <v>8.31845E-4</v>
      </c>
      <c r="H107">
        <v>2.0204500000000001E-4</v>
      </c>
      <c r="I107">
        <f>G107/$G$3*100</f>
        <v>98.09250006780492</v>
      </c>
      <c r="J107">
        <f>H107/$H$3*100</f>
        <v>113.6246049331339</v>
      </c>
      <c r="L107" s="5">
        <v>9.3134499999999998E-4</v>
      </c>
      <c r="M107" s="5">
        <v>1.9588E-4</v>
      </c>
      <c r="N107" s="4">
        <f>L107/$L$3*100</f>
        <v>94.505491160261911</v>
      </c>
      <c r="O107" s="4">
        <f>M107/$M$3*100</f>
        <v>101.16201001910861</v>
      </c>
      <c r="Q107">
        <f>AVERAGE(B107,G107,L107)</f>
        <v>8.5798800000000007E-4</v>
      </c>
      <c r="R107">
        <f>AVERAGE(C107,H107,M107)</f>
        <v>1.8372900000000002E-4</v>
      </c>
      <c r="T107">
        <f>AVERAGE(D107,I107,N107)</f>
        <v>96.674573651039964</v>
      </c>
      <c r="U107">
        <f>AVERAGE(E107,J107,O107)</f>
        <v>104.8321514626853</v>
      </c>
      <c r="W107">
        <f>_xlfn.STDEV.P(D107,I107,N107)</f>
        <v>1.5577408452292503</v>
      </c>
      <c r="X107">
        <f>_xlfn.STDEV.P(E107,J107,O107)</f>
        <v>6.2454051575671645</v>
      </c>
    </row>
    <row r="108" spans="1:24" x14ac:dyDescent="0.2">
      <c r="A108">
        <v>686.39200000000005</v>
      </c>
      <c r="B108">
        <v>8.11497E-4</v>
      </c>
      <c r="C108">
        <v>1.5417E-4</v>
      </c>
      <c r="D108">
        <f>B108/$B$3*100</f>
        <v>97.512608192531331</v>
      </c>
      <c r="E108">
        <f>C108/$C$3*100</f>
        <v>100.30056991178076</v>
      </c>
      <c r="G108">
        <v>8.3216599999999996E-4</v>
      </c>
      <c r="H108">
        <v>2.0311999999999999E-4</v>
      </c>
      <c r="I108">
        <f>G108/$G$3*100</f>
        <v>98.130352903996481</v>
      </c>
      <c r="J108">
        <f>H108/$H$3*100</f>
        <v>114.22915565353338</v>
      </c>
      <c r="L108" s="5">
        <v>9.3149699999999999E-4</v>
      </c>
      <c r="M108" s="5">
        <v>1.9259600000000001E-4</v>
      </c>
      <c r="N108" s="4">
        <f>L108/$L$3*100</f>
        <v>94.520914912637636</v>
      </c>
      <c r="O108" s="4">
        <f>M108/$M$3*100</f>
        <v>99.465991840107421</v>
      </c>
      <c r="Q108">
        <f>AVERAGE(B108,G108,L108)</f>
        <v>8.5838666666666669E-4</v>
      </c>
      <c r="R108">
        <f>AVERAGE(C108,H108,M108)</f>
        <v>1.8329533333333336E-4</v>
      </c>
      <c r="T108">
        <f>AVERAGE(D108,I108,N108)</f>
        <v>96.721292003055154</v>
      </c>
      <c r="U108">
        <f>AVERAGE(E108,J108,O108)</f>
        <v>104.66523913514054</v>
      </c>
      <c r="W108">
        <f>_xlfn.STDEV.P(D108,I108,N108)</f>
        <v>1.5762078198768656</v>
      </c>
      <c r="X108">
        <f>_xlfn.STDEV.P(E108,J108,O108)</f>
        <v>6.771287643056791</v>
      </c>
    </row>
    <row r="109" spans="1:24" x14ac:dyDescent="0.2">
      <c r="A109">
        <v>692.49400000000003</v>
      </c>
      <c r="B109">
        <v>8.1341599999999997E-4</v>
      </c>
      <c r="C109">
        <v>1.53578E-4</v>
      </c>
      <c r="D109">
        <f>B109/$B$3*100</f>
        <v>97.743202631107778</v>
      </c>
      <c r="E109">
        <f>C109/$C$3*100</f>
        <v>99.915424050797611</v>
      </c>
      <c r="G109">
        <v>8.3547000000000005E-4</v>
      </c>
      <c r="H109">
        <v>2.0394599999999999E-4</v>
      </c>
      <c r="I109">
        <f>G109/$G$3*100</f>
        <v>98.519965897070946</v>
      </c>
      <c r="J109">
        <f>H109/$H$3*100</f>
        <v>114.69367555590546</v>
      </c>
      <c r="L109" s="5">
        <v>9.3325099999999996E-4</v>
      </c>
      <c r="M109" s="5">
        <v>1.90485E-4</v>
      </c>
      <c r="N109" s="4">
        <f>L109/$L$3*100</f>
        <v>94.698896897288961</v>
      </c>
      <c r="O109" s="4">
        <f>M109/$M$3*100</f>
        <v>98.375768217734858</v>
      </c>
      <c r="Q109">
        <f>AVERAGE(B109,G109,L109)</f>
        <v>8.6071233333333329E-4</v>
      </c>
      <c r="R109">
        <f>AVERAGE(C109,H109,M109)</f>
        <v>1.8266966666666666E-4</v>
      </c>
      <c r="T109">
        <f>AVERAGE(D109,I109,N109)</f>
        <v>96.987355141822562</v>
      </c>
      <c r="U109">
        <f>AVERAGE(E109,J109,O109)</f>
        <v>104.32828927481263</v>
      </c>
      <c r="W109">
        <f>_xlfn.STDEV.P(D109,I109,N109)</f>
        <v>1.6489635422627957</v>
      </c>
      <c r="X109">
        <f>_xlfn.STDEV.P(E109,J109,O109)</f>
        <v>7.3563378383663789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A546-1EFC-47D7-80C8-A852AA3E57B1}">
  <dimension ref="A1:X109"/>
  <sheetViews>
    <sheetView topLeftCell="AF19" workbookViewId="0">
      <selection activeCell="AQ14" sqref="AQ14"/>
    </sheetView>
  </sheetViews>
  <sheetFormatPr baseColWidth="10" defaultColWidth="8.83203125" defaultRowHeight="15" x14ac:dyDescent="0.2"/>
  <cols>
    <col min="1" max="1" width="9.5" bestFit="1" customWidth="1"/>
    <col min="2" max="2" width="12.1640625" bestFit="1" customWidth="1"/>
    <col min="3" max="3" width="9.33203125" bestFit="1" customWidth="1"/>
    <col min="4" max="5" width="12.5" customWidth="1"/>
    <col min="7" max="7" width="12.1640625" bestFit="1" customWidth="1"/>
    <col min="8" max="8" width="11.83203125" bestFit="1" customWidth="1"/>
    <col min="9" max="10" width="12.5" customWidth="1"/>
    <col min="12" max="13" width="11.83203125" bestFit="1" customWidth="1"/>
    <col min="14" max="15" width="12.5" customWidth="1"/>
    <col min="16" max="16" width="8.6640625" style="1"/>
    <col min="17" max="18" width="11.83203125" bestFit="1" customWidth="1"/>
    <col min="20" max="21" width="11.83203125" bestFit="1" customWidth="1"/>
    <col min="23" max="24" width="9.5" bestFit="1" customWidth="1"/>
  </cols>
  <sheetData>
    <row r="1" spans="1:24" ht="32" x14ac:dyDescent="0.2">
      <c r="A1" t="s">
        <v>5</v>
      </c>
      <c r="B1" t="s">
        <v>0</v>
      </c>
      <c r="C1" t="s">
        <v>1</v>
      </c>
      <c r="D1" t="s">
        <v>11</v>
      </c>
      <c r="E1" t="s">
        <v>12</v>
      </c>
      <c r="G1" s="2" t="s">
        <v>0</v>
      </c>
      <c r="H1" s="2" t="s">
        <v>1</v>
      </c>
      <c r="I1" t="s">
        <v>11</v>
      </c>
      <c r="J1" t="s">
        <v>12</v>
      </c>
      <c r="L1" s="2" t="s">
        <v>0</v>
      </c>
      <c r="M1" s="2" t="s">
        <v>1</v>
      </c>
      <c r="N1" t="s">
        <v>11</v>
      </c>
      <c r="O1" t="s">
        <v>12</v>
      </c>
      <c r="Q1" t="s">
        <v>3</v>
      </c>
      <c r="R1" t="s">
        <v>4</v>
      </c>
      <c r="T1" t="s">
        <v>9</v>
      </c>
      <c r="U1" t="s">
        <v>10</v>
      </c>
      <c r="W1" t="s">
        <v>7</v>
      </c>
      <c r="X1" t="s">
        <v>8</v>
      </c>
    </row>
    <row r="2" spans="1:24" ht="16" x14ac:dyDescent="0.2">
      <c r="A2" t="s">
        <v>6</v>
      </c>
      <c r="B2" t="s">
        <v>2</v>
      </c>
      <c r="C2" t="s">
        <v>2</v>
      </c>
      <c r="D2" t="s">
        <v>2</v>
      </c>
      <c r="E2" t="s">
        <v>2</v>
      </c>
      <c r="G2" s="2" t="s">
        <v>2</v>
      </c>
      <c r="H2" s="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2">
      <c r="A3">
        <v>6.2696399999999999</v>
      </c>
      <c r="B3">
        <v>3.3224600000000002E-3</v>
      </c>
      <c r="C3">
        <v>2.7827700000000001E-4</v>
      </c>
      <c r="D3">
        <f>B3/$B$3*100</f>
        <v>100</v>
      </c>
      <c r="E3">
        <f>C3/$C$3*100</f>
        <v>100</v>
      </c>
      <c r="G3" s="5">
        <v>6.1274500000000004E-4</v>
      </c>
      <c r="H3" s="5">
        <v>1.27253E-4</v>
      </c>
      <c r="I3" s="4">
        <f>G3/$G$3*100</f>
        <v>100</v>
      </c>
      <c r="J3" s="4">
        <f>H3/$H$3*100</f>
        <v>100</v>
      </c>
      <c r="L3" s="5">
        <v>7.6735499999999995E-4</v>
      </c>
      <c r="M3" s="5">
        <v>1.54473E-4</v>
      </c>
      <c r="N3" s="4">
        <f>L3/$L$3*100</f>
        <v>100</v>
      </c>
      <c r="O3" s="4">
        <f>M3/$M$3*100</f>
        <v>100</v>
      </c>
      <c r="Q3">
        <f t="shared" ref="Q3:Q66" si="0">AVERAGE(B3,G3,L3)</f>
        <v>1.5675200000000002E-3</v>
      </c>
      <c r="R3">
        <f t="shared" ref="R3:R66" si="1">AVERAGE(C3,H3,M3)</f>
        <v>1.8666766666666668E-4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2">
      <c r="A4">
        <v>12.3698</v>
      </c>
      <c r="B4">
        <v>3.3146299999999998E-3</v>
      </c>
      <c r="C4">
        <v>2.8272099999999999E-4</v>
      </c>
      <c r="D4">
        <f t="shared" ref="D4:D67" si="2">B4/$B$3*100</f>
        <v>99.764331248532699</v>
      </c>
      <c r="E4">
        <f t="shared" ref="E4:E67" si="3">C4/$C$3*100</f>
        <v>101.59696992564962</v>
      </c>
      <c r="G4" s="5">
        <v>6.1414599999999998E-4</v>
      </c>
      <c r="H4" s="5">
        <v>1.2683200000000001E-4</v>
      </c>
      <c r="I4" s="4">
        <f t="shared" ref="I4:I67" si="4">G4/$G$3*100</f>
        <v>100.22864323658291</v>
      </c>
      <c r="J4" s="4">
        <f t="shared" ref="J4:J67" si="5">H4/$H$3*100</f>
        <v>99.669163005980224</v>
      </c>
      <c r="L4" s="5">
        <v>7.6956099999999999E-4</v>
      </c>
      <c r="M4" s="5">
        <v>1.5384E-4</v>
      </c>
      <c r="N4" s="4">
        <f t="shared" ref="N4:N67" si="6">L4/$L$3*100</f>
        <v>100.28748102247332</v>
      </c>
      <c r="O4" s="4">
        <f t="shared" ref="O4:O67" si="7">M4/$M$3*100</f>
        <v>99.590219650035934</v>
      </c>
      <c r="Q4">
        <f t="shared" si="0"/>
        <v>1.5661123333333335E-3</v>
      </c>
      <c r="R4">
        <f t="shared" si="1"/>
        <v>1.8779766666666669E-4</v>
      </c>
      <c r="T4">
        <f t="shared" ref="T4:T67" si="8">AVERAGE(D4,I4,N4)</f>
        <v>100.09348516919631</v>
      </c>
      <c r="U4">
        <f t="shared" ref="U4:U67" si="9">AVERAGE(E4,J4,O4)</f>
        <v>100.28545086055526</v>
      </c>
      <c r="W4">
        <f t="shared" ref="W4:W67" si="10">_xlfn.STDEV.P(D4,I4,N4)</f>
        <v>0.23398318868142454</v>
      </c>
      <c r="X4">
        <f t="shared" ref="X4:X67" si="11">_xlfn.STDEV.P(E4,J4,O4)</f>
        <v>0.92794385855374628</v>
      </c>
    </row>
    <row r="5" spans="1:24" x14ac:dyDescent="0.2">
      <c r="A5">
        <v>18.654</v>
      </c>
      <c r="B5">
        <v>3.32628E-3</v>
      </c>
      <c r="C5">
        <v>2.7398800000000002E-4</v>
      </c>
      <c r="D5">
        <f t="shared" si="2"/>
        <v>100.11497504860856</v>
      </c>
      <c r="E5">
        <f t="shared" si="3"/>
        <v>98.458729970497032</v>
      </c>
      <c r="G5" s="5">
        <v>6.1477000000000005E-4</v>
      </c>
      <c r="H5" s="5">
        <v>1.2594700000000001E-4</v>
      </c>
      <c r="I5" s="4">
        <f t="shared" si="4"/>
        <v>100.33048005287681</v>
      </c>
      <c r="J5" s="4">
        <f t="shared" si="5"/>
        <v>98.973698066057395</v>
      </c>
      <c r="L5" s="5">
        <v>7.7106099999999997E-4</v>
      </c>
      <c r="M5" s="5">
        <v>1.5316E-4</v>
      </c>
      <c r="N5" s="4">
        <f t="shared" si="6"/>
        <v>100.48295769233275</v>
      </c>
      <c r="O5" s="4">
        <f t="shared" si="7"/>
        <v>99.150013270927602</v>
      </c>
      <c r="Q5">
        <f t="shared" si="0"/>
        <v>1.5707036666666666E-3</v>
      </c>
      <c r="R5">
        <f t="shared" si="1"/>
        <v>1.84365E-4</v>
      </c>
      <c r="T5">
        <f t="shared" si="8"/>
        <v>100.3094709312727</v>
      </c>
      <c r="U5">
        <f t="shared" si="9"/>
        <v>98.860813769160686</v>
      </c>
      <c r="W5">
        <f t="shared" si="10"/>
        <v>0.15096101906009396</v>
      </c>
      <c r="X5">
        <f t="shared" si="11"/>
        <v>0.29328632054466863</v>
      </c>
    </row>
    <row r="6" spans="1:24" x14ac:dyDescent="0.2">
      <c r="A6">
        <v>24.779599999999999</v>
      </c>
      <c r="B6">
        <v>3.3215200000000001E-3</v>
      </c>
      <c r="C6">
        <v>2.7154399999999997E-4</v>
      </c>
      <c r="D6">
        <f t="shared" si="2"/>
        <v>99.971707710551811</v>
      </c>
      <c r="E6">
        <f t="shared" si="3"/>
        <v>97.580468382223458</v>
      </c>
      <c r="G6" s="5">
        <v>6.1546099999999998E-4</v>
      </c>
      <c r="H6" s="5">
        <v>1.25833E-4</v>
      </c>
      <c r="I6" s="4">
        <f t="shared" si="4"/>
        <v>100.4432512709202</v>
      </c>
      <c r="J6" s="4">
        <f t="shared" si="5"/>
        <v>98.884112751762245</v>
      </c>
      <c r="L6" s="5">
        <v>7.7362000000000004E-4</v>
      </c>
      <c r="M6" s="5">
        <v>1.53103E-4</v>
      </c>
      <c r="N6" s="4">
        <f t="shared" si="6"/>
        <v>100.81644089111299</v>
      </c>
      <c r="O6" s="4">
        <f t="shared" si="7"/>
        <v>99.113113618561172</v>
      </c>
      <c r="Q6">
        <f t="shared" si="0"/>
        <v>1.5702003333333333E-3</v>
      </c>
      <c r="R6">
        <f t="shared" si="1"/>
        <v>1.8349333333333333E-4</v>
      </c>
      <c r="T6">
        <f t="shared" si="8"/>
        <v>100.41046662419501</v>
      </c>
      <c r="U6">
        <f t="shared" si="9"/>
        <v>98.525898250848954</v>
      </c>
      <c r="W6">
        <f t="shared" si="10"/>
        <v>0.34563917735206962</v>
      </c>
      <c r="X6">
        <f t="shared" si="11"/>
        <v>0.67502522254880148</v>
      </c>
    </row>
    <row r="7" spans="1:24" x14ac:dyDescent="0.2">
      <c r="A7">
        <v>31.0945</v>
      </c>
      <c r="B7">
        <v>3.3225899999999998E-3</v>
      </c>
      <c r="C7">
        <v>2.69177E-4</v>
      </c>
      <c r="D7">
        <f t="shared" si="2"/>
        <v>100.00391276343433</v>
      </c>
      <c r="E7">
        <f t="shared" si="3"/>
        <v>96.72987706493889</v>
      </c>
      <c r="G7" s="5">
        <v>6.1547100000000003E-4</v>
      </c>
      <c r="H7" s="5">
        <v>1.2557099999999999E-4</v>
      </c>
      <c r="I7" s="4">
        <f t="shared" si="4"/>
        <v>100.44488327118133</v>
      </c>
      <c r="J7" s="4">
        <f t="shared" si="5"/>
        <v>98.678223696101469</v>
      </c>
      <c r="L7" s="5">
        <v>7.7489499999999995E-4</v>
      </c>
      <c r="M7" s="5">
        <v>1.52087E-4</v>
      </c>
      <c r="N7" s="4">
        <f t="shared" si="6"/>
        <v>100.98259606049351</v>
      </c>
      <c r="O7" s="4">
        <f t="shared" si="7"/>
        <v>98.455393499187565</v>
      </c>
      <c r="Q7">
        <f t="shared" si="0"/>
        <v>1.5709853333333334E-3</v>
      </c>
      <c r="R7">
        <f t="shared" si="1"/>
        <v>1.8227833333333331E-4</v>
      </c>
      <c r="T7">
        <f t="shared" si="8"/>
        <v>100.47713069836972</v>
      </c>
      <c r="U7">
        <f t="shared" si="9"/>
        <v>97.954498086742646</v>
      </c>
      <c r="W7">
        <f t="shared" si="10"/>
        <v>0.40019592818673094</v>
      </c>
      <c r="X7">
        <f t="shared" si="11"/>
        <v>0.87070309116518785</v>
      </c>
    </row>
    <row r="8" spans="1:24" x14ac:dyDescent="0.2">
      <c r="A8">
        <v>37.161900000000003</v>
      </c>
      <c r="B8">
        <v>3.3242100000000002E-3</v>
      </c>
      <c r="C8">
        <v>2.6552900000000003E-4</v>
      </c>
      <c r="D8">
        <f t="shared" si="2"/>
        <v>100.05267181546205</v>
      </c>
      <c r="E8">
        <f t="shared" si="3"/>
        <v>95.418953057564948</v>
      </c>
      <c r="G8" s="5">
        <v>6.1479199999999996E-4</v>
      </c>
      <c r="H8" s="5">
        <v>1.25129E-4</v>
      </c>
      <c r="I8" s="4">
        <f t="shared" si="4"/>
        <v>100.33407045345126</v>
      </c>
      <c r="J8" s="4">
        <f t="shared" si="5"/>
        <v>98.330884144185205</v>
      </c>
      <c r="L8" s="5">
        <v>7.7616899999999995E-4</v>
      </c>
      <c r="M8" s="5">
        <v>1.5235300000000001E-4</v>
      </c>
      <c r="N8" s="4">
        <f t="shared" si="6"/>
        <v>101.14862091209413</v>
      </c>
      <c r="O8" s="4">
        <f t="shared" si="7"/>
        <v>98.627591876897597</v>
      </c>
      <c r="Q8">
        <f t="shared" si="0"/>
        <v>1.5717236666666669E-3</v>
      </c>
      <c r="R8">
        <f t="shared" si="1"/>
        <v>1.8100366666666667E-4</v>
      </c>
      <c r="T8">
        <f t="shared" si="8"/>
        <v>100.51178772700247</v>
      </c>
      <c r="U8">
        <f t="shared" si="9"/>
        <v>97.459143026215926</v>
      </c>
      <c r="W8">
        <f t="shared" si="10"/>
        <v>0.46473194968786663</v>
      </c>
      <c r="X8">
        <f t="shared" si="11"/>
        <v>1.4477085804357317</v>
      </c>
    </row>
    <row r="9" spans="1:24" x14ac:dyDescent="0.2">
      <c r="A9">
        <v>43.441699999999997</v>
      </c>
      <c r="B9">
        <v>3.3245900000000001E-3</v>
      </c>
      <c r="C9">
        <v>2.6177399999999999E-4</v>
      </c>
      <c r="D9">
        <f t="shared" si="2"/>
        <v>100.06410912396235</v>
      </c>
      <c r="E9">
        <f t="shared" si="3"/>
        <v>94.069578154141382</v>
      </c>
      <c r="G9" s="5">
        <v>6.156E-4</v>
      </c>
      <c r="H9" s="5">
        <v>1.2462199999999999E-4</v>
      </c>
      <c r="I9" s="4">
        <f t="shared" si="4"/>
        <v>100.46593607454977</v>
      </c>
      <c r="J9" s="4">
        <f t="shared" si="5"/>
        <v>97.932465246398905</v>
      </c>
      <c r="L9" s="5">
        <v>7.7657400000000004E-4</v>
      </c>
      <c r="M9" s="5">
        <v>1.52409E-4</v>
      </c>
      <c r="N9" s="4">
        <f t="shared" si="6"/>
        <v>101.20139961295619</v>
      </c>
      <c r="O9" s="4">
        <f t="shared" si="7"/>
        <v>98.6638441669418</v>
      </c>
      <c r="Q9">
        <f t="shared" si="0"/>
        <v>1.5722546666666667E-3</v>
      </c>
      <c r="R9">
        <f t="shared" si="1"/>
        <v>1.7960166666666669E-4</v>
      </c>
      <c r="T9">
        <f t="shared" si="8"/>
        <v>100.57714827048945</v>
      </c>
      <c r="U9">
        <f t="shared" si="9"/>
        <v>96.888629189160682</v>
      </c>
      <c r="W9">
        <f t="shared" si="10"/>
        <v>0.47090942404617808</v>
      </c>
      <c r="X9">
        <f t="shared" si="11"/>
        <v>2.0156083175865658</v>
      </c>
    </row>
    <row r="10" spans="1:24" x14ac:dyDescent="0.2">
      <c r="A10">
        <v>49.671799999999998</v>
      </c>
      <c r="B10">
        <v>3.3303400000000002E-3</v>
      </c>
      <c r="C10">
        <v>2.6724000000000002E-4</v>
      </c>
      <c r="D10">
        <f t="shared" si="2"/>
        <v>100.23717366048048</v>
      </c>
      <c r="E10">
        <f t="shared" si="3"/>
        <v>96.033808040190166</v>
      </c>
      <c r="G10" s="5">
        <v>6.1520900000000002E-4</v>
      </c>
      <c r="H10" s="5">
        <v>1.24766E-4</v>
      </c>
      <c r="I10" s="4">
        <f t="shared" si="4"/>
        <v>100.40212486433997</v>
      </c>
      <c r="J10" s="4">
        <f t="shared" si="5"/>
        <v>98.045625643403298</v>
      </c>
      <c r="L10" s="5">
        <v>7.7722100000000003E-4</v>
      </c>
      <c r="M10" s="5">
        <v>1.51578E-4</v>
      </c>
      <c r="N10" s="4">
        <f t="shared" si="6"/>
        <v>101.28571521655559</v>
      </c>
      <c r="O10" s="4">
        <f t="shared" si="7"/>
        <v>98.125886077178535</v>
      </c>
      <c r="Q10">
        <f t="shared" si="0"/>
        <v>1.5742566666666668E-3</v>
      </c>
      <c r="R10">
        <f t="shared" si="1"/>
        <v>1.811946666666667E-4</v>
      </c>
      <c r="T10">
        <f t="shared" si="8"/>
        <v>100.64167124712533</v>
      </c>
      <c r="U10">
        <f t="shared" si="9"/>
        <v>97.401773253590662</v>
      </c>
      <c r="W10">
        <f t="shared" si="10"/>
        <v>0.46035978743679101</v>
      </c>
      <c r="X10">
        <f t="shared" si="11"/>
        <v>0.96785227974550403</v>
      </c>
    </row>
    <row r="11" spans="1:24" x14ac:dyDescent="0.2">
      <c r="A11">
        <v>55.927799999999998</v>
      </c>
      <c r="B11">
        <v>3.3255400000000001E-3</v>
      </c>
      <c r="C11">
        <v>2.5750000000000002E-4</v>
      </c>
      <c r="D11">
        <f t="shared" si="2"/>
        <v>100.09270239521317</v>
      </c>
      <c r="E11">
        <f t="shared" si="3"/>
        <v>92.533698437168738</v>
      </c>
      <c r="G11" s="5">
        <v>6.1446600000000004E-4</v>
      </c>
      <c r="H11" s="5">
        <v>1.2439699999999999E-4</v>
      </c>
      <c r="I11" s="4">
        <f t="shared" si="4"/>
        <v>100.28086724493876</v>
      </c>
      <c r="J11" s="4">
        <f t="shared" si="5"/>
        <v>97.755652126079539</v>
      </c>
      <c r="L11" s="5">
        <v>7.7836400000000003E-4</v>
      </c>
      <c r="M11" s="5">
        <v>1.5148200000000001E-4</v>
      </c>
      <c r="N11" s="4">
        <f t="shared" si="6"/>
        <v>101.43466843898847</v>
      </c>
      <c r="O11" s="4">
        <f t="shared" si="7"/>
        <v>98.063739294245607</v>
      </c>
      <c r="Q11">
        <f t="shared" si="0"/>
        <v>1.5727900000000001E-3</v>
      </c>
      <c r="R11">
        <f t="shared" si="1"/>
        <v>1.7779300000000001E-4</v>
      </c>
      <c r="T11">
        <f t="shared" si="8"/>
        <v>100.60274602638013</v>
      </c>
      <c r="U11">
        <f t="shared" si="9"/>
        <v>96.117696619164619</v>
      </c>
      <c r="W11">
        <f t="shared" si="10"/>
        <v>0.59325243537531824</v>
      </c>
      <c r="X11">
        <f t="shared" si="11"/>
        <v>2.5373886382407056</v>
      </c>
    </row>
    <row r="12" spans="1:24" x14ac:dyDescent="0.2">
      <c r="A12">
        <v>62.031100000000002</v>
      </c>
      <c r="B12">
        <v>3.32556E-3</v>
      </c>
      <c r="C12">
        <v>2.5676200000000001E-4</v>
      </c>
      <c r="D12">
        <f t="shared" si="2"/>
        <v>100.09330435881847</v>
      </c>
      <c r="E12">
        <f t="shared" si="3"/>
        <v>92.268495060676941</v>
      </c>
      <c r="G12" s="5">
        <v>6.1413500000000003E-4</v>
      </c>
      <c r="H12" s="5">
        <v>1.2407499999999999E-4</v>
      </c>
      <c r="I12" s="4">
        <f t="shared" si="4"/>
        <v>100.22684803629569</v>
      </c>
      <c r="J12" s="4">
        <f t="shared" si="5"/>
        <v>97.502612905000277</v>
      </c>
      <c r="L12" s="5">
        <v>7.7773899999999995E-4</v>
      </c>
      <c r="M12" s="5">
        <v>1.5196200000000001E-4</v>
      </c>
      <c r="N12" s="4">
        <f t="shared" si="6"/>
        <v>101.35321982654703</v>
      </c>
      <c r="O12" s="4">
        <f t="shared" si="7"/>
        <v>98.374473208910302</v>
      </c>
      <c r="Q12">
        <f t="shared" si="0"/>
        <v>1.5724779999999998E-3</v>
      </c>
      <c r="R12">
        <f t="shared" si="1"/>
        <v>1.7759966666666669E-4</v>
      </c>
      <c r="T12">
        <f t="shared" si="8"/>
        <v>100.55779074055374</v>
      </c>
      <c r="U12">
        <f t="shared" si="9"/>
        <v>96.04852705819583</v>
      </c>
      <c r="W12">
        <f t="shared" si="10"/>
        <v>0.5650894038891181</v>
      </c>
      <c r="X12">
        <f t="shared" si="11"/>
        <v>2.6964812285746969</v>
      </c>
    </row>
    <row r="13" spans="1:24" x14ac:dyDescent="0.2">
      <c r="A13">
        <v>68.213200000000001</v>
      </c>
      <c r="B13">
        <v>3.3246299999999999E-3</v>
      </c>
      <c r="C13">
        <v>2.5493400000000001E-4</v>
      </c>
      <c r="D13">
        <f t="shared" si="2"/>
        <v>100.06531305117292</v>
      </c>
      <c r="E13">
        <f t="shared" si="3"/>
        <v>91.61159564031523</v>
      </c>
      <c r="G13" s="5">
        <v>6.1418400000000004E-4</v>
      </c>
      <c r="H13" s="5">
        <v>1.2367199999999999E-4</v>
      </c>
      <c r="I13" s="4">
        <f t="shared" si="4"/>
        <v>100.23484483757517</v>
      </c>
      <c r="J13" s="4">
        <f t="shared" si="5"/>
        <v>97.185920960606026</v>
      </c>
      <c r="L13" s="5">
        <v>7.7837000000000002E-4</v>
      </c>
      <c r="M13" s="5">
        <v>1.5138799999999999E-4</v>
      </c>
      <c r="N13" s="4">
        <f t="shared" si="6"/>
        <v>101.43545034566792</v>
      </c>
      <c r="O13" s="4">
        <f t="shared" si="7"/>
        <v>98.00288723595709</v>
      </c>
      <c r="Q13">
        <f t="shared" si="0"/>
        <v>1.5723946666666665E-3</v>
      </c>
      <c r="R13">
        <f t="shared" si="1"/>
        <v>1.7666466666666666E-4</v>
      </c>
      <c r="T13">
        <f t="shared" si="8"/>
        <v>100.57853607813867</v>
      </c>
      <c r="U13">
        <f t="shared" si="9"/>
        <v>95.600134612292777</v>
      </c>
      <c r="W13">
        <f t="shared" si="10"/>
        <v>0.60986982385400645</v>
      </c>
      <c r="X13">
        <f t="shared" si="11"/>
        <v>2.8399754484857853</v>
      </c>
    </row>
    <row r="14" spans="1:24" x14ac:dyDescent="0.2">
      <c r="A14">
        <v>74.461600000000004</v>
      </c>
      <c r="B14">
        <v>3.3224800000000001E-3</v>
      </c>
      <c r="C14">
        <v>2.5256299999999997E-4</v>
      </c>
      <c r="D14">
        <f t="shared" si="2"/>
        <v>100.00060196360528</v>
      </c>
      <c r="E14">
        <f t="shared" si="3"/>
        <v>90.759566906355886</v>
      </c>
      <c r="G14" s="5">
        <v>6.1367099999999999E-4</v>
      </c>
      <c r="H14" s="5">
        <v>1.2314100000000001E-4</v>
      </c>
      <c r="I14" s="4">
        <f t="shared" si="4"/>
        <v>100.15112322417971</v>
      </c>
      <c r="J14" s="4">
        <f t="shared" si="5"/>
        <v>96.768641996652349</v>
      </c>
      <c r="L14" s="5">
        <v>7.7888700000000003E-4</v>
      </c>
      <c r="M14" s="5">
        <v>1.51108E-4</v>
      </c>
      <c r="N14" s="4">
        <f t="shared" si="6"/>
        <v>101.50282463787947</v>
      </c>
      <c r="O14" s="4">
        <f t="shared" si="7"/>
        <v>97.821625785736018</v>
      </c>
      <c r="Q14">
        <f t="shared" si="0"/>
        <v>1.5716793333333332E-3</v>
      </c>
      <c r="R14">
        <f t="shared" si="1"/>
        <v>1.7560399999999999E-4</v>
      </c>
      <c r="T14">
        <f t="shared" si="8"/>
        <v>100.55151660855482</v>
      </c>
      <c r="U14">
        <f t="shared" si="9"/>
        <v>95.11661156291477</v>
      </c>
      <c r="W14">
        <f t="shared" si="10"/>
        <v>0.67547730653437044</v>
      </c>
      <c r="X14">
        <f t="shared" si="11"/>
        <v>3.1107418535835216</v>
      </c>
    </row>
    <row r="15" spans="1:24" x14ac:dyDescent="0.2">
      <c r="A15">
        <v>80.745000000000005</v>
      </c>
      <c r="B15">
        <v>3.3241299999999998E-3</v>
      </c>
      <c r="C15">
        <v>2.5013699999999999E-4</v>
      </c>
      <c r="D15">
        <f t="shared" si="2"/>
        <v>100.05026396104091</v>
      </c>
      <c r="E15">
        <f t="shared" si="3"/>
        <v>89.887773693118717</v>
      </c>
      <c r="G15" s="5">
        <v>6.13018E-4</v>
      </c>
      <c r="H15" s="5">
        <v>1.2277499999999999E-4</v>
      </c>
      <c r="I15" s="4">
        <f t="shared" si="4"/>
        <v>100.04455360712856</v>
      </c>
      <c r="J15" s="4">
        <f t="shared" si="5"/>
        <v>96.481025987599494</v>
      </c>
      <c r="L15" s="5">
        <v>7.7924000000000005E-4</v>
      </c>
      <c r="M15" s="5">
        <v>1.5096400000000001E-4</v>
      </c>
      <c r="N15" s="4">
        <f t="shared" si="6"/>
        <v>101.5488268141864</v>
      </c>
      <c r="O15" s="4">
        <f t="shared" si="7"/>
        <v>97.728405611336626</v>
      </c>
      <c r="Q15">
        <f t="shared" si="0"/>
        <v>1.5721293333333334E-3</v>
      </c>
      <c r="R15">
        <f t="shared" si="1"/>
        <v>1.7462533333333332E-4</v>
      </c>
      <c r="T15">
        <f t="shared" si="8"/>
        <v>100.54788146078529</v>
      </c>
      <c r="U15">
        <f t="shared" si="9"/>
        <v>94.699068430684932</v>
      </c>
      <c r="W15">
        <f t="shared" si="10"/>
        <v>0.70777908625356722</v>
      </c>
      <c r="X15">
        <f t="shared" si="11"/>
        <v>3.4400006560297833</v>
      </c>
    </row>
    <row r="16" spans="1:24" x14ac:dyDescent="0.2">
      <c r="A16">
        <v>86.833600000000004</v>
      </c>
      <c r="B16">
        <v>3.3256900000000001E-3</v>
      </c>
      <c r="C16">
        <v>2.5091600000000001E-4</v>
      </c>
      <c r="D16">
        <f t="shared" si="2"/>
        <v>100.09721712225279</v>
      </c>
      <c r="E16">
        <f t="shared" si="3"/>
        <v>90.16771059052671</v>
      </c>
      <c r="G16" s="5">
        <v>6.1271999999999997E-4</v>
      </c>
      <c r="H16" s="5">
        <v>1.22817E-4</v>
      </c>
      <c r="I16" s="4">
        <f t="shared" si="4"/>
        <v>99.995919999347194</v>
      </c>
      <c r="J16" s="4">
        <f t="shared" si="5"/>
        <v>96.514031103392455</v>
      </c>
      <c r="L16" s="5">
        <v>7.8020300000000004E-4</v>
      </c>
      <c r="M16" s="5">
        <v>1.5134600000000001E-4</v>
      </c>
      <c r="N16" s="4">
        <f t="shared" si="6"/>
        <v>101.67432283623616</v>
      </c>
      <c r="O16" s="4">
        <f t="shared" si="7"/>
        <v>97.975698018423941</v>
      </c>
      <c r="Q16">
        <f t="shared" si="0"/>
        <v>1.572871E-3</v>
      </c>
      <c r="R16">
        <f t="shared" si="1"/>
        <v>1.7502633333333335E-4</v>
      </c>
      <c r="T16">
        <f t="shared" si="8"/>
        <v>100.58915331927871</v>
      </c>
      <c r="U16">
        <f t="shared" si="9"/>
        <v>94.885813237447692</v>
      </c>
      <c r="W16">
        <f t="shared" si="10"/>
        <v>0.76844428866703518</v>
      </c>
      <c r="X16">
        <f t="shared" si="11"/>
        <v>3.3891480721843723</v>
      </c>
    </row>
    <row r="17" spans="1:24" x14ac:dyDescent="0.2">
      <c r="A17">
        <v>93.167199999999994</v>
      </c>
      <c r="B17">
        <v>3.3232800000000001E-3</v>
      </c>
      <c r="C17">
        <v>2.5018399999999997E-4</v>
      </c>
      <c r="D17">
        <f t="shared" si="2"/>
        <v>100.0246805078165</v>
      </c>
      <c r="E17">
        <f t="shared" si="3"/>
        <v>89.904663339047048</v>
      </c>
      <c r="G17" s="5">
        <v>6.1226E-4</v>
      </c>
      <c r="H17" s="5">
        <v>1.2236199999999999E-4</v>
      </c>
      <c r="I17" s="4">
        <f t="shared" si="4"/>
        <v>99.920847987335677</v>
      </c>
      <c r="J17" s="4">
        <f t="shared" si="5"/>
        <v>96.156475682302172</v>
      </c>
      <c r="L17" s="5">
        <v>7.8104499999999996E-4</v>
      </c>
      <c r="M17" s="5">
        <v>1.50655E-4</v>
      </c>
      <c r="N17" s="4">
        <f t="shared" si="6"/>
        <v>101.78405040691727</v>
      </c>
      <c r="O17" s="4">
        <f t="shared" si="7"/>
        <v>97.528370653771219</v>
      </c>
      <c r="Q17">
        <f t="shared" si="0"/>
        <v>1.5721950000000002E-3</v>
      </c>
      <c r="R17">
        <f t="shared" si="1"/>
        <v>1.744003333333333E-4</v>
      </c>
      <c r="T17">
        <f t="shared" si="8"/>
        <v>100.57652630068982</v>
      </c>
      <c r="U17">
        <f t="shared" si="9"/>
        <v>94.529836558373475</v>
      </c>
      <c r="W17">
        <f t="shared" si="10"/>
        <v>0.85490005202076702</v>
      </c>
      <c r="X17">
        <f t="shared" si="11"/>
        <v>3.3181013079537256</v>
      </c>
    </row>
    <row r="18" spans="1:24" x14ac:dyDescent="0.2">
      <c r="A18">
        <v>99.287099999999995</v>
      </c>
      <c r="B18">
        <v>3.3230299999999998E-3</v>
      </c>
      <c r="C18">
        <v>2.4809499999999999E-4</v>
      </c>
      <c r="D18">
        <f t="shared" si="2"/>
        <v>100.01715596275049</v>
      </c>
      <c r="E18">
        <f t="shared" si="3"/>
        <v>89.153972480657757</v>
      </c>
      <c r="G18" s="5">
        <v>6.1159599999999995E-4</v>
      </c>
      <c r="H18" s="5">
        <v>1.21724E-4</v>
      </c>
      <c r="I18" s="4">
        <f t="shared" si="4"/>
        <v>99.812483169997293</v>
      </c>
      <c r="J18" s="4">
        <f t="shared" si="5"/>
        <v>95.655112256685499</v>
      </c>
      <c r="L18" s="5">
        <v>7.8167199999999997E-4</v>
      </c>
      <c r="M18" s="5">
        <v>1.5010100000000001E-4</v>
      </c>
      <c r="N18" s="4">
        <f t="shared" si="6"/>
        <v>101.86575965491853</v>
      </c>
      <c r="O18" s="4">
        <f t="shared" si="7"/>
        <v>97.169731927262376</v>
      </c>
      <c r="Q18">
        <f t="shared" si="0"/>
        <v>1.5720993333333334E-3</v>
      </c>
      <c r="R18">
        <f t="shared" si="1"/>
        <v>1.7330666666666667E-4</v>
      </c>
      <c r="T18">
        <f t="shared" si="8"/>
        <v>100.5651329292221</v>
      </c>
      <c r="U18">
        <f t="shared" si="9"/>
        <v>93.992938888201877</v>
      </c>
      <c r="W18">
        <f t="shared" si="10"/>
        <v>0.9234699589844837</v>
      </c>
      <c r="X18">
        <f t="shared" si="11"/>
        <v>3.477088351540691</v>
      </c>
    </row>
    <row r="19" spans="1:24" x14ac:dyDescent="0.2">
      <c r="A19">
        <v>105.572</v>
      </c>
      <c r="B19">
        <v>3.3238999999999999E-3</v>
      </c>
      <c r="C19">
        <v>2.4738899999999999E-4</v>
      </c>
      <c r="D19">
        <f t="shared" si="2"/>
        <v>100.04334137958017</v>
      </c>
      <c r="E19">
        <f t="shared" si="3"/>
        <v>88.900268437563994</v>
      </c>
      <c r="G19" s="5">
        <v>6.1132299999999999E-4</v>
      </c>
      <c r="H19" s="5">
        <v>1.2211500000000001E-4</v>
      </c>
      <c r="I19" s="4">
        <f t="shared" si="4"/>
        <v>99.767929562868716</v>
      </c>
      <c r="J19" s="4">
        <f t="shared" si="5"/>
        <v>95.962374167996046</v>
      </c>
      <c r="L19" s="5">
        <v>7.8199499999999996E-4</v>
      </c>
      <c r="M19" s="5">
        <v>1.5115500000000001E-4</v>
      </c>
      <c r="N19" s="4">
        <f t="shared" si="6"/>
        <v>101.90785229782826</v>
      </c>
      <c r="O19" s="4">
        <f t="shared" si="7"/>
        <v>97.852051814880284</v>
      </c>
      <c r="Q19">
        <f t="shared" si="0"/>
        <v>1.5724059999999999E-3</v>
      </c>
      <c r="R19">
        <f t="shared" si="1"/>
        <v>1.7355300000000001E-4</v>
      </c>
      <c r="T19">
        <f t="shared" si="8"/>
        <v>100.57304108009238</v>
      </c>
      <c r="U19">
        <f t="shared" si="9"/>
        <v>94.238231473480099</v>
      </c>
      <c r="W19">
        <f t="shared" si="10"/>
        <v>0.95052745267780114</v>
      </c>
      <c r="X19">
        <f t="shared" si="11"/>
        <v>3.8525409305105436</v>
      </c>
    </row>
    <row r="20" spans="1:24" x14ac:dyDescent="0.2">
      <c r="A20">
        <v>111.81699999999999</v>
      </c>
      <c r="B20">
        <v>3.3170299999999999E-3</v>
      </c>
      <c r="C20">
        <v>2.5196399999999997E-4</v>
      </c>
      <c r="D20">
        <f t="shared" si="2"/>
        <v>99.836566881166362</v>
      </c>
      <c r="E20">
        <f t="shared" si="3"/>
        <v>90.544313759311763</v>
      </c>
      <c r="G20" s="5">
        <v>6.1103700000000004E-4</v>
      </c>
      <c r="H20" s="5">
        <v>1.21983E-4</v>
      </c>
      <c r="I20" s="4">
        <f t="shared" si="4"/>
        <v>99.721254355400703</v>
      </c>
      <c r="J20" s="4">
        <f t="shared" si="5"/>
        <v>95.858643804075356</v>
      </c>
      <c r="L20" s="5">
        <v>7.8256199999999999E-4</v>
      </c>
      <c r="M20" s="5">
        <v>1.5050600000000001E-4</v>
      </c>
      <c r="N20" s="4">
        <f t="shared" si="6"/>
        <v>101.98174247903513</v>
      </c>
      <c r="O20" s="4">
        <f t="shared" si="7"/>
        <v>97.43191366776071</v>
      </c>
      <c r="Q20">
        <f t="shared" si="0"/>
        <v>1.5702096666666667E-3</v>
      </c>
      <c r="R20">
        <f t="shared" si="1"/>
        <v>1.7481766666666669E-4</v>
      </c>
      <c r="T20">
        <f t="shared" si="8"/>
        <v>100.51318790520072</v>
      </c>
      <c r="U20">
        <f t="shared" si="9"/>
        <v>94.611623743715953</v>
      </c>
      <c r="W20">
        <f t="shared" si="10"/>
        <v>1.0394914291444215</v>
      </c>
      <c r="X20">
        <f t="shared" si="11"/>
        <v>2.9468686655409426</v>
      </c>
    </row>
    <row r="21" spans="1:24" x14ac:dyDescent="0.2">
      <c r="A21">
        <v>117.977</v>
      </c>
      <c r="B21">
        <v>3.3211899999999999E-3</v>
      </c>
      <c r="C21">
        <v>2.4874199999999998E-4</v>
      </c>
      <c r="D21">
        <f t="shared" si="2"/>
        <v>99.961775311064685</v>
      </c>
      <c r="E21">
        <f t="shared" si="3"/>
        <v>89.386474627798918</v>
      </c>
      <c r="G21" s="5">
        <v>6.1084400000000004E-4</v>
      </c>
      <c r="H21" s="5">
        <v>1.21663E-4</v>
      </c>
      <c r="I21" s="4">
        <f t="shared" si="4"/>
        <v>99.689756750361084</v>
      </c>
      <c r="J21" s="4">
        <f t="shared" si="5"/>
        <v>95.607176255176697</v>
      </c>
      <c r="L21" s="5">
        <v>7.8337600000000002E-4</v>
      </c>
      <c r="M21" s="5">
        <v>1.5042399999999999E-4</v>
      </c>
      <c r="N21" s="4">
        <f t="shared" si="6"/>
        <v>102.08782115187887</v>
      </c>
      <c r="O21" s="4">
        <f t="shared" si="7"/>
        <v>97.378829957338823</v>
      </c>
      <c r="Q21">
        <f t="shared" si="0"/>
        <v>1.5718033333333332E-3</v>
      </c>
      <c r="R21">
        <f t="shared" si="1"/>
        <v>1.7360966666666667E-4</v>
      </c>
      <c r="T21">
        <f t="shared" si="8"/>
        <v>100.57978440443488</v>
      </c>
      <c r="U21">
        <f t="shared" si="9"/>
        <v>94.124160280104817</v>
      </c>
      <c r="W21">
        <f t="shared" si="10"/>
        <v>1.0721099595572905</v>
      </c>
      <c r="X21">
        <f t="shared" si="11"/>
        <v>3.4272377813768173</v>
      </c>
    </row>
    <row r="22" spans="1:24" x14ac:dyDescent="0.2">
      <c r="A22">
        <v>124.10599999999999</v>
      </c>
      <c r="B22">
        <v>3.3245000000000002E-3</v>
      </c>
      <c r="C22">
        <v>2.4767499999999999E-4</v>
      </c>
      <c r="D22">
        <f t="shared" si="2"/>
        <v>100.06140028773859</v>
      </c>
      <c r="E22">
        <f t="shared" si="3"/>
        <v>89.00304372980878</v>
      </c>
      <c r="G22" s="5">
        <v>6.1009499999999995E-4</v>
      </c>
      <c r="H22" s="5">
        <v>1.21476E-4</v>
      </c>
      <c r="I22" s="4">
        <f t="shared" si="4"/>
        <v>99.567519930803172</v>
      </c>
      <c r="J22" s="4">
        <f t="shared" si="5"/>
        <v>95.460224906289042</v>
      </c>
      <c r="L22" s="5">
        <v>7.8500499999999997E-4</v>
      </c>
      <c r="M22" s="5">
        <v>1.50517E-4</v>
      </c>
      <c r="N22" s="4">
        <f t="shared" si="6"/>
        <v>102.30010881534623</v>
      </c>
      <c r="O22" s="4">
        <f t="shared" si="7"/>
        <v>97.439034653305114</v>
      </c>
      <c r="Q22">
        <f t="shared" si="0"/>
        <v>1.5732000000000001E-3</v>
      </c>
      <c r="R22">
        <f t="shared" si="1"/>
        <v>1.7322266666666664E-4</v>
      </c>
      <c r="T22">
        <f t="shared" si="8"/>
        <v>100.64300967796267</v>
      </c>
      <c r="U22">
        <f t="shared" si="9"/>
        <v>93.967434429800974</v>
      </c>
      <c r="W22">
        <f t="shared" si="10"/>
        <v>1.1889666704270812</v>
      </c>
      <c r="X22">
        <f t="shared" si="11"/>
        <v>3.6021107951078006</v>
      </c>
    </row>
    <row r="23" spans="1:24" x14ac:dyDescent="0.2">
      <c r="A23">
        <v>130.37799999999999</v>
      </c>
      <c r="B23">
        <v>3.3267499999999998E-3</v>
      </c>
      <c r="C23">
        <v>2.4877900000000002E-4</v>
      </c>
      <c r="D23">
        <f t="shared" si="2"/>
        <v>100.12912119333264</v>
      </c>
      <c r="E23">
        <f t="shared" si="3"/>
        <v>89.39977073204038</v>
      </c>
      <c r="G23" s="5">
        <v>6.1003700000000001E-4</v>
      </c>
      <c r="H23" s="5">
        <v>1.22037E-4</v>
      </c>
      <c r="I23" s="4">
        <f t="shared" si="4"/>
        <v>99.558054329288694</v>
      </c>
      <c r="J23" s="4">
        <f t="shared" si="5"/>
        <v>95.901078952951991</v>
      </c>
      <c r="L23" s="5">
        <v>7.85434E-4</v>
      </c>
      <c r="M23" s="5">
        <v>1.5034799999999999E-4</v>
      </c>
      <c r="N23" s="4">
        <f t="shared" si="6"/>
        <v>102.35601514292603</v>
      </c>
      <c r="O23" s="4">
        <f t="shared" si="7"/>
        <v>97.329630420850251</v>
      </c>
      <c r="Q23">
        <f t="shared" si="0"/>
        <v>1.5740736666666666E-3</v>
      </c>
      <c r="R23">
        <f t="shared" si="1"/>
        <v>1.7372133333333335E-4</v>
      </c>
      <c r="T23">
        <f t="shared" si="8"/>
        <v>100.68106355518245</v>
      </c>
      <c r="U23">
        <f t="shared" si="9"/>
        <v>94.210160035280879</v>
      </c>
      <c r="W23">
        <f t="shared" si="10"/>
        <v>1.2070974710065971</v>
      </c>
      <c r="X23">
        <f t="shared" si="11"/>
        <v>3.4510939097293472</v>
      </c>
    </row>
    <row r="24" spans="1:24" x14ac:dyDescent="0.2">
      <c r="A24">
        <v>136.60400000000001</v>
      </c>
      <c r="B24">
        <v>3.3263799999999999E-3</v>
      </c>
      <c r="C24">
        <v>2.4687999999999999E-4</v>
      </c>
      <c r="D24">
        <f t="shared" si="2"/>
        <v>100.11798486663494</v>
      </c>
      <c r="E24">
        <f t="shared" si="3"/>
        <v>88.717357165701799</v>
      </c>
      <c r="G24" s="5">
        <v>6.0989699999999998E-4</v>
      </c>
      <c r="H24" s="5">
        <v>1.21441E-4</v>
      </c>
      <c r="I24" s="4">
        <f t="shared" si="4"/>
        <v>99.535206325632998</v>
      </c>
      <c r="J24" s="4">
        <f t="shared" si="5"/>
        <v>95.432720643128263</v>
      </c>
      <c r="L24" s="5">
        <v>7.8751400000000001E-4</v>
      </c>
      <c r="M24" s="5">
        <v>1.51192E-4</v>
      </c>
      <c r="N24" s="4">
        <f t="shared" si="6"/>
        <v>102.62707612513114</v>
      </c>
      <c r="O24" s="4">
        <f t="shared" si="7"/>
        <v>97.876004220802344</v>
      </c>
      <c r="Q24">
        <f t="shared" si="0"/>
        <v>1.5745969999999998E-3</v>
      </c>
      <c r="R24">
        <f t="shared" si="1"/>
        <v>1.7317099999999999E-4</v>
      </c>
      <c r="T24">
        <f t="shared" si="8"/>
        <v>100.76008910579969</v>
      </c>
      <c r="U24">
        <f t="shared" si="9"/>
        <v>94.008694009877487</v>
      </c>
      <c r="W24">
        <f t="shared" si="10"/>
        <v>1.3414266298055411</v>
      </c>
      <c r="X24">
        <f t="shared" si="11"/>
        <v>3.8722166656951731</v>
      </c>
    </row>
    <row r="25" spans="1:24" x14ac:dyDescent="0.2">
      <c r="A25">
        <v>142.80099999999999</v>
      </c>
      <c r="B25">
        <v>3.3272499999999999E-3</v>
      </c>
      <c r="C25">
        <v>2.4585600000000003E-4</v>
      </c>
      <c r="D25">
        <f t="shared" si="2"/>
        <v>100.14417028346465</v>
      </c>
      <c r="E25">
        <f t="shared" si="3"/>
        <v>88.349378496965258</v>
      </c>
      <c r="G25" s="5">
        <v>6.1101899999999997E-4</v>
      </c>
      <c r="H25" s="5">
        <v>1.21317E-4</v>
      </c>
      <c r="I25" s="4">
        <f t="shared" si="4"/>
        <v>99.718316754930669</v>
      </c>
      <c r="J25" s="4">
        <f t="shared" si="5"/>
        <v>95.335276967930042</v>
      </c>
      <c r="L25" s="5">
        <v>7.8967200000000005E-4</v>
      </c>
      <c r="M25" s="5">
        <v>1.5086E-4</v>
      </c>
      <c r="N25" s="4">
        <f t="shared" si="6"/>
        <v>102.90830189416896</v>
      </c>
      <c r="O25" s="4">
        <f t="shared" si="7"/>
        <v>97.661079929825931</v>
      </c>
      <c r="Q25">
        <f t="shared" si="0"/>
        <v>1.5759803333333332E-3</v>
      </c>
      <c r="R25">
        <f t="shared" si="1"/>
        <v>1.7267766666666665E-4</v>
      </c>
      <c r="T25">
        <f t="shared" si="8"/>
        <v>100.92359631085476</v>
      </c>
      <c r="U25">
        <f t="shared" si="9"/>
        <v>93.781911798240401</v>
      </c>
      <c r="W25">
        <f t="shared" si="10"/>
        <v>1.4141263489684195</v>
      </c>
      <c r="X25">
        <f t="shared" si="11"/>
        <v>3.9569898834415831</v>
      </c>
    </row>
    <row r="26" spans="1:24" x14ac:dyDescent="0.2">
      <c r="A26">
        <v>148.94900000000001</v>
      </c>
      <c r="B26">
        <v>3.32614E-3</v>
      </c>
      <c r="C26">
        <v>2.4472600000000001E-4</v>
      </c>
      <c r="D26">
        <f t="shared" si="2"/>
        <v>100.1107613033716</v>
      </c>
      <c r="E26">
        <f t="shared" si="3"/>
        <v>87.943308286347772</v>
      </c>
      <c r="G26" s="5">
        <v>6.1047E-4</v>
      </c>
      <c r="H26" s="5">
        <v>1.21345E-4</v>
      </c>
      <c r="I26" s="4">
        <f t="shared" si="4"/>
        <v>99.628719940595175</v>
      </c>
      <c r="J26" s="4">
        <f t="shared" si="5"/>
        <v>95.357280378458668</v>
      </c>
      <c r="L26" s="5">
        <v>7.91514E-4</v>
      </c>
      <c r="M26" s="5">
        <v>1.51235E-4</v>
      </c>
      <c r="N26" s="4">
        <f t="shared" si="6"/>
        <v>103.14834724475634</v>
      </c>
      <c r="O26" s="4">
        <f t="shared" si="7"/>
        <v>97.903840800657733</v>
      </c>
      <c r="Q26">
        <f t="shared" si="0"/>
        <v>1.5760413333333334E-3</v>
      </c>
      <c r="R26">
        <f t="shared" si="1"/>
        <v>1.7243533333333335E-4</v>
      </c>
      <c r="T26">
        <f t="shared" si="8"/>
        <v>100.96260949624104</v>
      </c>
      <c r="U26">
        <f t="shared" si="9"/>
        <v>93.734809821821386</v>
      </c>
      <c r="W26">
        <f t="shared" si="10"/>
        <v>1.5580282620073325</v>
      </c>
      <c r="X26">
        <f t="shared" si="11"/>
        <v>4.2251122290832015</v>
      </c>
    </row>
    <row r="27" spans="1:24" x14ac:dyDescent="0.2">
      <c r="A27">
        <v>155.233</v>
      </c>
      <c r="B27">
        <v>3.3278600000000002E-3</v>
      </c>
      <c r="C27">
        <v>2.4168799999999999E-4</v>
      </c>
      <c r="D27">
        <f t="shared" si="2"/>
        <v>100.16253017342571</v>
      </c>
      <c r="E27">
        <f t="shared" si="3"/>
        <v>86.85159032187353</v>
      </c>
      <c r="G27" s="5">
        <v>6.1059199999999997E-4</v>
      </c>
      <c r="H27" s="5">
        <v>1.21422E-4</v>
      </c>
      <c r="I27" s="4">
        <f t="shared" si="4"/>
        <v>99.648630343780837</v>
      </c>
      <c r="J27" s="4">
        <f t="shared" si="5"/>
        <v>95.417789757412407</v>
      </c>
      <c r="L27" s="5">
        <v>7.9289699999999998E-4</v>
      </c>
      <c r="M27" s="5">
        <v>1.5160099999999999E-4</v>
      </c>
      <c r="N27" s="4">
        <f t="shared" si="6"/>
        <v>103.32857673436675</v>
      </c>
      <c r="O27" s="4">
        <f t="shared" si="7"/>
        <v>98.140775410589541</v>
      </c>
      <c r="Q27">
        <f t="shared" si="0"/>
        <v>1.5771163333333333E-3</v>
      </c>
      <c r="R27">
        <f t="shared" si="1"/>
        <v>1.7157033333333331E-4</v>
      </c>
      <c r="T27">
        <f t="shared" si="8"/>
        <v>101.04657908385775</v>
      </c>
      <c r="U27">
        <f t="shared" si="9"/>
        <v>93.470051829958493</v>
      </c>
      <c r="W27">
        <f t="shared" si="10"/>
        <v>1.62719763528664</v>
      </c>
      <c r="X27">
        <f t="shared" si="11"/>
        <v>4.8101758295897277</v>
      </c>
    </row>
    <row r="28" spans="1:24" x14ac:dyDescent="0.2">
      <c r="A28">
        <v>161.44499999999999</v>
      </c>
      <c r="B28">
        <v>3.3312400000000001E-3</v>
      </c>
      <c r="C28">
        <v>2.4424599999999999E-4</v>
      </c>
      <c r="D28">
        <f t="shared" si="2"/>
        <v>100.2642620227181</v>
      </c>
      <c r="E28">
        <f t="shared" si="3"/>
        <v>87.770818285377516</v>
      </c>
      <c r="G28" s="5">
        <v>6.1006400000000001E-4</v>
      </c>
      <c r="H28" s="5">
        <v>1.20914E-4</v>
      </c>
      <c r="I28" s="4">
        <f t="shared" si="4"/>
        <v>99.562460729993703</v>
      </c>
      <c r="J28" s="4">
        <f t="shared" si="5"/>
        <v>95.018585023535792</v>
      </c>
      <c r="L28" s="5">
        <v>7.9587600000000005E-4</v>
      </c>
      <c r="M28" s="5">
        <v>1.5149099999999999E-4</v>
      </c>
      <c r="N28" s="4">
        <f t="shared" si="6"/>
        <v>103.71679340070763</v>
      </c>
      <c r="O28" s="4">
        <f t="shared" si="7"/>
        <v>98.069565555145559</v>
      </c>
      <c r="Q28">
        <f t="shared" si="0"/>
        <v>1.57906E-3</v>
      </c>
      <c r="R28">
        <f t="shared" si="1"/>
        <v>1.7221700000000001E-4</v>
      </c>
      <c r="T28">
        <f t="shared" si="8"/>
        <v>101.18117205113981</v>
      </c>
      <c r="U28">
        <f t="shared" si="9"/>
        <v>93.619656288019613</v>
      </c>
      <c r="W28">
        <f t="shared" si="10"/>
        <v>1.8157024324680342</v>
      </c>
      <c r="X28">
        <f t="shared" si="11"/>
        <v>4.3192437638185641</v>
      </c>
    </row>
    <row r="29" spans="1:24" x14ac:dyDescent="0.2">
      <c r="A29">
        <v>167.59</v>
      </c>
      <c r="B29">
        <v>3.33089E-3</v>
      </c>
      <c r="C29">
        <v>2.46557E-4</v>
      </c>
      <c r="D29">
        <f t="shared" si="2"/>
        <v>100.2537276596257</v>
      </c>
      <c r="E29">
        <f t="shared" si="3"/>
        <v>88.601285769215565</v>
      </c>
      <c r="G29" s="5">
        <v>6.1104799999999999E-4</v>
      </c>
      <c r="H29" s="5">
        <v>1.2084299999999999E-4</v>
      </c>
      <c r="I29" s="4">
        <f t="shared" si="4"/>
        <v>99.723049555687922</v>
      </c>
      <c r="J29" s="4">
        <f t="shared" si="5"/>
        <v>94.962790661123904</v>
      </c>
      <c r="L29" s="5">
        <v>7.9841500000000002E-4</v>
      </c>
      <c r="M29" s="5">
        <v>1.52063E-4</v>
      </c>
      <c r="N29" s="4">
        <f t="shared" si="6"/>
        <v>104.04767024388974</v>
      </c>
      <c r="O29" s="4">
        <f t="shared" si="7"/>
        <v>98.439856803454333</v>
      </c>
      <c r="Q29">
        <f t="shared" si="0"/>
        <v>1.5801176666666668E-3</v>
      </c>
      <c r="R29">
        <f t="shared" si="1"/>
        <v>1.7315433333333331E-4</v>
      </c>
      <c r="T29">
        <f t="shared" si="8"/>
        <v>101.34148248640112</v>
      </c>
      <c r="U29">
        <f t="shared" si="9"/>
        <v>94.001311077931277</v>
      </c>
      <c r="W29">
        <f t="shared" si="10"/>
        <v>1.9257888334542665</v>
      </c>
      <c r="X29">
        <f t="shared" si="11"/>
        <v>4.0737126588745998</v>
      </c>
    </row>
    <row r="30" spans="1:24" x14ac:dyDescent="0.2">
      <c r="A30">
        <v>173.74799999999999</v>
      </c>
      <c r="B30">
        <v>3.3337599999999998E-3</v>
      </c>
      <c r="C30">
        <v>2.45042E-4</v>
      </c>
      <c r="D30">
        <f t="shared" si="2"/>
        <v>100.34010943698344</v>
      </c>
      <c r="E30">
        <f t="shared" si="3"/>
        <v>88.056864203653191</v>
      </c>
      <c r="G30" s="5">
        <v>6.1133300000000004E-4</v>
      </c>
      <c r="H30" s="5">
        <v>1.20856E-4</v>
      </c>
      <c r="I30" s="4">
        <f t="shared" si="4"/>
        <v>99.769561563129855</v>
      </c>
      <c r="J30" s="4">
        <f t="shared" si="5"/>
        <v>94.973006530297909</v>
      </c>
      <c r="L30" s="5">
        <v>8.0066299999999996E-4</v>
      </c>
      <c r="M30" s="5">
        <v>1.52335E-4</v>
      </c>
      <c r="N30" s="4">
        <f t="shared" si="6"/>
        <v>104.3406246131191</v>
      </c>
      <c r="O30" s="4">
        <f t="shared" si="7"/>
        <v>98.615939355097666</v>
      </c>
      <c r="Q30">
        <f t="shared" si="0"/>
        <v>1.5819186666666668E-3</v>
      </c>
      <c r="R30">
        <f t="shared" si="1"/>
        <v>1.7274433333333333E-4</v>
      </c>
      <c r="T30">
        <f t="shared" si="8"/>
        <v>101.48343187107746</v>
      </c>
      <c r="U30">
        <f t="shared" si="9"/>
        <v>93.881936696349598</v>
      </c>
      <c r="W30">
        <f t="shared" si="10"/>
        <v>2.0337230216151645</v>
      </c>
      <c r="X30">
        <f t="shared" si="11"/>
        <v>4.3792192645399748</v>
      </c>
    </row>
    <row r="31" spans="1:24" x14ac:dyDescent="0.2">
      <c r="A31">
        <v>179.999</v>
      </c>
      <c r="B31">
        <v>3.3344199999999998E-3</v>
      </c>
      <c r="C31">
        <v>2.4493699999999998E-4</v>
      </c>
      <c r="D31">
        <f t="shared" si="2"/>
        <v>100.35997423595768</v>
      </c>
      <c r="E31">
        <f t="shared" si="3"/>
        <v>88.01913201594094</v>
      </c>
      <c r="G31" s="5">
        <v>6.1198299999999997E-4</v>
      </c>
      <c r="H31" s="5">
        <v>1.21177E-4</v>
      </c>
      <c r="I31" s="4">
        <f t="shared" si="4"/>
        <v>99.875641580102638</v>
      </c>
      <c r="J31" s="4">
        <f t="shared" si="5"/>
        <v>95.22525991528687</v>
      </c>
      <c r="L31" s="5">
        <v>8.03282E-4</v>
      </c>
      <c r="M31" s="5">
        <v>1.52817E-4</v>
      </c>
      <c r="N31" s="4">
        <f t="shared" si="6"/>
        <v>104.68192687869372</v>
      </c>
      <c r="O31" s="4">
        <f t="shared" si="7"/>
        <v>98.927967994406785</v>
      </c>
      <c r="Q31">
        <f t="shared" si="0"/>
        <v>1.5832283333333331E-3</v>
      </c>
      <c r="R31">
        <f t="shared" si="1"/>
        <v>1.7297699999999997E-4</v>
      </c>
      <c r="T31">
        <f t="shared" si="8"/>
        <v>101.63918089825135</v>
      </c>
      <c r="U31">
        <f t="shared" si="9"/>
        <v>94.057453308544879</v>
      </c>
      <c r="W31">
        <f t="shared" si="10"/>
        <v>2.1606128538766582</v>
      </c>
      <c r="X31">
        <f t="shared" si="11"/>
        <v>4.5294226861216664</v>
      </c>
    </row>
    <row r="32" spans="1:24" x14ac:dyDescent="0.2">
      <c r="A32">
        <v>193.20699999999999</v>
      </c>
      <c r="B32">
        <v>5.0660600000000002E-6</v>
      </c>
      <c r="C32">
        <v>5.3650499999999997E-5</v>
      </c>
      <c r="D32">
        <f t="shared" si="2"/>
        <v>0.15247918710834743</v>
      </c>
      <c r="E32">
        <f t="shared" si="3"/>
        <v>19.279530827197362</v>
      </c>
      <c r="G32" s="5">
        <v>6.19942E-6</v>
      </c>
      <c r="H32" s="5">
        <v>2.3779100000000001E-5</v>
      </c>
      <c r="I32" s="4">
        <f t="shared" si="4"/>
        <v>1.0117455058792808</v>
      </c>
      <c r="J32" s="4">
        <f t="shared" si="5"/>
        <v>18.686474975049705</v>
      </c>
      <c r="L32" s="5">
        <v>4.7092800000000003E-6</v>
      </c>
      <c r="M32" s="5">
        <v>2.52079E-5</v>
      </c>
      <c r="N32" s="4">
        <f t="shared" si="6"/>
        <v>0.61370291455714776</v>
      </c>
      <c r="O32" s="4">
        <f t="shared" si="7"/>
        <v>16.318644682242205</v>
      </c>
      <c r="Q32">
        <f t="shared" si="0"/>
        <v>5.324920000000001E-6</v>
      </c>
      <c r="R32">
        <f t="shared" si="1"/>
        <v>3.4212499999999998E-5</v>
      </c>
      <c r="T32">
        <f t="shared" si="8"/>
        <v>0.59264253584825866</v>
      </c>
      <c r="U32">
        <f t="shared" si="9"/>
        <v>18.094883494829759</v>
      </c>
      <c r="W32">
        <f t="shared" si="10"/>
        <v>0.35110996027556107</v>
      </c>
      <c r="X32">
        <f t="shared" si="11"/>
        <v>1.2791135082414111</v>
      </c>
    </row>
    <row r="33" spans="1:24" x14ac:dyDescent="0.2">
      <c r="A33">
        <v>199.40899999999999</v>
      </c>
      <c r="B33">
        <v>5.17773E-6</v>
      </c>
      <c r="C33">
        <v>5.3242399999999997E-5</v>
      </c>
      <c r="D33">
        <f t="shared" si="2"/>
        <v>0.15584025089843068</v>
      </c>
      <c r="E33">
        <f t="shared" si="3"/>
        <v>19.132878390955774</v>
      </c>
      <c r="G33" s="5">
        <v>5.9694099999999998E-6</v>
      </c>
      <c r="H33" s="5">
        <v>2.3256099999999999E-5</v>
      </c>
      <c r="I33" s="4">
        <f t="shared" si="4"/>
        <v>0.97420786787325875</v>
      </c>
      <c r="J33" s="4">
        <f t="shared" si="5"/>
        <v>18.275482699818472</v>
      </c>
      <c r="L33" s="5">
        <v>4.59707E-6</v>
      </c>
      <c r="M33" s="5">
        <v>2.49081E-5</v>
      </c>
      <c r="N33" s="4">
        <f t="shared" si="6"/>
        <v>0.59907995647386159</v>
      </c>
      <c r="O33" s="4">
        <f t="shared" si="7"/>
        <v>16.124565458041211</v>
      </c>
      <c r="Q33">
        <f t="shared" si="0"/>
        <v>5.2480699999999994E-6</v>
      </c>
      <c r="R33">
        <f t="shared" si="1"/>
        <v>3.38022E-5</v>
      </c>
      <c r="T33">
        <f t="shared" si="8"/>
        <v>0.57637602508185026</v>
      </c>
      <c r="U33">
        <f t="shared" si="9"/>
        <v>17.844308849605152</v>
      </c>
      <c r="W33">
        <f t="shared" si="10"/>
        <v>0.3344826756886467</v>
      </c>
      <c r="X33">
        <f t="shared" si="11"/>
        <v>1.265416885830144</v>
      </c>
    </row>
    <row r="34" spans="1:24" x14ac:dyDescent="0.2">
      <c r="A34">
        <v>205.65700000000001</v>
      </c>
      <c r="B34">
        <v>5.1494899999999997E-6</v>
      </c>
      <c r="C34">
        <v>5.2640399999999998E-5</v>
      </c>
      <c r="D34">
        <f t="shared" si="2"/>
        <v>0.1549902782877747</v>
      </c>
      <c r="E34">
        <f t="shared" si="3"/>
        <v>18.916547181405576</v>
      </c>
      <c r="G34" s="5">
        <v>5.7564200000000002E-6</v>
      </c>
      <c r="H34" s="5">
        <v>2.2861899999999999E-5</v>
      </c>
      <c r="I34" s="4">
        <f t="shared" si="4"/>
        <v>0.93944789431166309</v>
      </c>
      <c r="J34" s="4">
        <f t="shared" si="5"/>
        <v>17.965706113018946</v>
      </c>
      <c r="L34" s="5">
        <v>4.47083E-6</v>
      </c>
      <c r="M34" s="5">
        <v>2.46347E-5</v>
      </c>
      <c r="N34" s="4">
        <f t="shared" si="6"/>
        <v>0.58262863993849001</v>
      </c>
      <c r="O34" s="4">
        <f t="shared" si="7"/>
        <v>15.947576599146776</v>
      </c>
      <c r="Q34">
        <f t="shared" si="0"/>
        <v>5.12558E-6</v>
      </c>
      <c r="R34">
        <f t="shared" si="1"/>
        <v>3.3379E-5</v>
      </c>
      <c r="T34">
        <f t="shared" si="8"/>
        <v>0.559022270845976</v>
      </c>
      <c r="U34">
        <f t="shared" si="9"/>
        <v>17.6099432978571</v>
      </c>
      <c r="W34">
        <f t="shared" si="10"/>
        <v>0.3206882009374728</v>
      </c>
      <c r="X34">
        <f t="shared" si="11"/>
        <v>1.2379073646194079</v>
      </c>
    </row>
    <row r="35" spans="1:24" x14ac:dyDescent="0.2">
      <c r="A35">
        <v>211.864</v>
      </c>
      <c r="B35">
        <v>5.1809400000000001E-6</v>
      </c>
      <c r="C35">
        <v>5.2349699999999998E-5</v>
      </c>
      <c r="D35">
        <f t="shared" si="2"/>
        <v>0.15593686605707818</v>
      </c>
      <c r="E35">
        <f t="shared" si="3"/>
        <v>18.812082924567967</v>
      </c>
      <c r="G35" s="5">
        <v>5.5940500000000003E-6</v>
      </c>
      <c r="H35" s="5">
        <v>2.2600699999999999E-5</v>
      </c>
      <c r="I35" s="4">
        <f t="shared" si="4"/>
        <v>0.91294910607185686</v>
      </c>
      <c r="J35" s="4">
        <f t="shared" si="5"/>
        <v>17.760445726230422</v>
      </c>
      <c r="L35" s="5">
        <v>4.3770300000000002E-6</v>
      </c>
      <c r="M35" s="5">
        <v>2.4422399999999998E-5</v>
      </c>
      <c r="N35" s="4">
        <f t="shared" si="6"/>
        <v>0.57040483218327898</v>
      </c>
      <c r="O35" s="4">
        <f t="shared" si="7"/>
        <v>15.81014157813987</v>
      </c>
      <c r="Q35">
        <f t="shared" si="0"/>
        <v>5.0506733333333341E-6</v>
      </c>
      <c r="R35">
        <f t="shared" si="1"/>
        <v>3.3124266666666664E-5</v>
      </c>
      <c r="T35">
        <f t="shared" si="8"/>
        <v>0.54643026810407136</v>
      </c>
      <c r="U35">
        <f t="shared" si="9"/>
        <v>17.460890076312754</v>
      </c>
      <c r="W35">
        <f t="shared" si="10"/>
        <v>0.30951356208857711</v>
      </c>
      <c r="X35">
        <f t="shared" si="11"/>
        <v>1.2437076699387821</v>
      </c>
    </row>
    <row r="36" spans="1:24" x14ac:dyDescent="0.2">
      <c r="A36">
        <v>217.958</v>
      </c>
      <c r="B36">
        <v>5.1469200000000004E-6</v>
      </c>
      <c r="C36">
        <v>5.2025399999999998E-5</v>
      </c>
      <c r="D36">
        <f t="shared" si="2"/>
        <v>0.15491292596449621</v>
      </c>
      <c r="E36">
        <f t="shared" si="3"/>
        <v>18.695544367662436</v>
      </c>
      <c r="G36" s="5">
        <v>5.4649099999999998E-6</v>
      </c>
      <c r="H36" s="5">
        <v>2.2396799999999999E-5</v>
      </c>
      <c r="I36" s="4">
        <f t="shared" si="4"/>
        <v>0.89187345469975265</v>
      </c>
      <c r="J36" s="4">
        <f t="shared" si="5"/>
        <v>17.600213747416564</v>
      </c>
      <c r="L36" s="5">
        <v>4.3073799999999999E-6</v>
      </c>
      <c r="M36" s="5">
        <v>2.42778E-5</v>
      </c>
      <c r="N36" s="4">
        <f t="shared" si="6"/>
        <v>0.56132819881280505</v>
      </c>
      <c r="O36" s="4">
        <f t="shared" si="7"/>
        <v>15.716532986347129</v>
      </c>
      <c r="Q36">
        <f t="shared" si="0"/>
        <v>4.9730700000000003E-6</v>
      </c>
      <c r="R36">
        <f t="shared" si="1"/>
        <v>3.29E-5</v>
      </c>
      <c r="T36">
        <f t="shared" si="8"/>
        <v>0.53603819315901802</v>
      </c>
      <c r="U36">
        <f t="shared" si="9"/>
        <v>17.337430367142044</v>
      </c>
      <c r="W36">
        <f t="shared" si="10"/>
        <v>0.30139386580565258</v>
      </c>
      <c r="X36">
        <f t="shared" si="11"/>
        <v>1.230289540775642</v>
      </c>
    </row>
    <row r="37" spans="1:24" x14ac:dyDescent="0.2">
      <c r="A37">
        <v>224.30799999999999</v>
      </c>
      <c r="B37">
        <v>5.1298100000000003E-6</v>
      </c>
      <c r="C37">
        <v>5.1739800000000002E-5</v>
      </c>
      <c r="D37">
        <f t="shared" si="2"/>
        <v>0.15439794610017876</v>
      </c>
      <c r="E37">
        <f t="shared" si="3"/>
        <v>18.592912817085136</v>
      </c>
      <c r="G37" s="5">
        <v>5.3359099999999999E-6</v>
      </c>
      <c r="H37" s="5">
        <v>2.2203899999999999E-5</v>
      </c>
      <c r="I37" s="4">
        <f t="shared" si="4"/>
        <v>0.87082065133130415</v>
      </c>
      <c r="J37" s="4">
        <f t="shared" si="5"/>
        <v>17.448625965596097</v>
      </c>
      <c r="L37" s="5">
        <v>4.2488199999999996E-6</v>
      </c>
      <c r="M37" s="5">
        <v>2.4169099999999999E-5</v>
      </c>
      <c r="N37" s="4">
        <f t="shared" si="6"/>
        <v>0.55369678962149205</v>
      </c>
      <c r="O37" s="4">
        <f t="shared" si="7"/>
        <v>15.64616470192202</v>
      </c>
      <c r="Q37">
        <f t="shared" si="0"/>
        <v>4.9048466666666663E-6</v>
      </c>
      <c r="R37">
        <f t="shared" si="1"/>
        <v>3.2704266666666664E-5</v>
      </c>
      <c r="T37">
        <f t="shared" si="8"/>
        <v>0.52630512901765825</v>
      </c>
      <c r="U37">
        <f t="shared" si="9"/>
        <v>17.22923449486775</v>
      </c>
      <c r="W37">
        <f t="shared" si="10"/>
        <v>0.29311897521387426</v>
      </c>
      <c r="X37">
        <f t="shared" si="11"/>
        <v>1.2129662200917781</v>
      </c>
    </row>
    <row r="38" spans="1:24" x14ac:dyDescent="0.2">
      <c r="A38">
        <v>230.453</v>
      </c>
      <c r="B38">
        <v>5.0898099999999998E-6</v>
      </c>
      <c r="C38">
        <v>5.1564399999999997E-5</v>
      </c>
      <c r="D38">
        <f t="shared" si="2"/>
        <v>0.15319401888961792</v>
      </c>
      <c r="E38">
        <f t="shared" si="3"/>
        <v>18.52988209589725</v>
      </c>
      <c r="G38" s="5">
        <v>5.2349499999999997E-6</v>
      </c>
      <c r="H38" s="5">
        <v>2.2074900000000001E-5</v>
      </c>
      <c r="I38" s="4">
        <f t="shared" si="4"/>
        <v>0.85434397669503626</v>
      </c>
      <c r="J38" s="4">
        <f t="shared" si="5"/>
        <v>17.34725310994633</v>
      </c>
      <c r="L38" s="5">
        <v>4.1982900000000003E-6</v>
      </c>
      <c r="M38" s="5">
        <v>2.4061199999999999E-5</v>
      </c>
      <c r="N38" s="4">
        <f t="shared" si="6"/>
        <v>0.54711183220282666</v>
      </c>
      <c r="O38" s="4">
        <f t="shared" si="7"/>
        <v>15.576314307354682</v>
      </c>
      <c r="Q38">
        <f t="shared" si="0"/>
        <v>4.8410166666666666E-6</v>
      </c>
      <c r="R38">
        <f t="shared" si="1"/>
        <v>3.2566833333333335E-5</v>
      </c>
      <c r="T38">
        <f t="shared" si="8"/>
        <v>0.51821660926249358</v>
      </c>
      <c r="U38">
        <f t="shared" si="9"/>
        <v>17.151149837732756</v>
      </c>
      <c r="W38">
        <f t="shared" si="10"/>
        <v>0.28697156219645831</v>
      </c>
      <c r="X38">
        <f t="shared" si="11"/>
        <v>1.2137361164077121</v>
      </c>
    </row>
    <row r="39" spans="1:24" x14ac:dyDescent="0.2">
      <c r="A39">
        <v>236.73099999999999</v>
      </c>
      <c r="B39">
        <v>5.0941000000000001E-6</v>
      </c>
      <c r="C39">
        <v>5.1416999999999999E-5</v>
      </c>
      <c r="D39">
        <f t="shared" si="2"/>
        <v>0.15332314008295059</v>
      </c>
      <c r="E39">
        <f t="shared" si="3"/>
        <v>18.476913291432638</v>
      </c>
      <c r="G39" s="5">
        <v>5.1505299999999996E-6</v>
      </c>
      <c r="H39" s="5">
        <v>2.1959000000000001E-5</v>
      </c>
      <c r="I39" s="4">
        <f t="shared" si="4"/>
        <v>0.84056663049066083</v>
      </c>
      <c r="J39" s="4">
        <f t="shared" si="5"/>
        <v>17.256174707079598</v>
      </c>
      <c r="L39" s="5">
        <v>4.1403099999999998E-6</v>
      </c>
      <c r="M39" s="5">
        <v>2.3955899999999999E-5</v>
      </c>
      <c r="N39" s="4">
        <f t="shared" si="6"/>
        <v>0.53955600732385922</v>
      </c>
      <c r="O39" s="4">
        <f t="shared" si="7"/>
        <v>15.508147054825114</v>
      </c>
      <c r="Q39">
        <f t="shared" si="0"/>
        <v>4.7949799999999993E-6</v>
      </c>
      <c r="R39">
        <f t="shared" si="1"/>
        <v>3.2443966666666663E-5</v>
      </c>
      <c r="T39">
        <f t="shared" si="8"/>
        <v>0.51114859263249024</v>
      </c>
      <c r="U39">
        <f t="shared" si="9"/>
        <v>17.080411684445782</v>
      </c>
      <c r="W39">
        <f t="shared" si="10"/>
        <v>0.28128412644397915</v>
      </c>
      <c r="X39">
        <f t="shared" si="11"/>
        <v>1.218349353838827</v>
      </c>
    </row>
    <row r="40" spans="1:24" x14ac:dyDescent="0.2">
      <c r="A40">
        <v>242.83</v>
      </c>
      <c r="B40">
        <v>5.0550199999999996E-6</v>
      </c>
      <c r="C40">
        <v>5.1242100000000002E-5</v>
      </c>
      <c r="D40">
        <f t="shared" si="2"/>
        <v>0.15214690319823262</v>
      </c>
      <c r="E40">
        <f t="shared" si="3"/>
        <v>18.414062247329099</v>
      </c>
      <c r="G40" s="5">
        <v>5.0613400000000004E-6</v>
      </c>
      <c r="H40" s="5">
        <v>2.18458E-5</v>
      </c>
      <c r="I40" s="4">
        <f t="shared" si="4"/>
        <v>0.82601082016173122</v>
      </c>
      <c r="J40" s="4">
        <f t="shared" si="5"/>
        <v>17.167218061656701</v>
      </c>
      <c r="L40" s="5">
        <v>4.0970599999999999E-6</v>
      </c>
      <c r="M40" s="5">
        <v>2.3861300000000001E-5</v>
      </c>
      <c r="N40" s="4">
        <f t="shared" si="6"/>
        <v>0.53391976334291169</v>
      </c>
      <c r="O40" s="4">
        <f t="shared" si="7"/>
        <v>15.446906579143283</v>
      </c>
      <c r="Q40">
        <f t="shared" si="0"/>
        <v>4.7378066666666666E-6</v>
      </c>
      <c r="R40">
        <f t="shared" si="1"/>
        <v>3.2316400000000001E-5</v>
      </c>
      <c r="T40">
        <f t="shared" si="8"/>
        <v>0.50402582890095848</v>
      </c>
      <c r="U40">
        <f t="shared" si="9"/>
        <v>17.00939562937636</v>
      </c>
      <c r="W40">
        <f t="shared" si="10"/>
        <v>0.2759146971241439</v>
      </c>
      <c r="X40">
        <f t="shared" si="11"/>
        <v>1.2164659551092982</v>
      </c>
    </row>
    <row r="41" spans="1:24" x14ac:dyDescent="0.2">
      <c r="A41">
        <v>249.16</v>
      </c>
      <c r="B41">
        <v>5.0606999999999997E-6</v>
      </c>
      <c r="C41">
        <v>5.1087200000000001E-5</v>
      </c>
      <c r="D41">
        <f t="shared" si="2"/>
        <v>0.15231786086213225</v>
      </c>
      <c r="E41">
        <f t="shared" si="3"/>
        <v>18.358398286599321</v>
      </c>
      <c r="G41" s="5">
        <v>4.9865700000000003E-6</v>
      </c>
      <c r="H41" s="5">
        <v>2.1749699999999999E-5</v>
      </c>
      <c r="I41" s="4">
        <f t="shared" si="4"/>
        <v>0.81380835420933662</v>
      </c>
      <c r="J41" s="4">
        <f t="shared" si="5"/>
        <v>17.091699213378071</v>
      </c>
      <c r="L41" s="5">
        <v>4.0618499999999999E-6</v>
      </c>
      <c r="M41" s="5">
        <v>2.3785600000000001E-5</v>
      </c>
      <c r="N41" s="4">
        <f t="shared" si="6"/>
        <v>0.52933127431241089</v>
      </c>
      <c r="O41" s="4">
        <f t="shared" si="7"/>
        <v>15.397901251351371</v>
      </c>
      <c r="Q41">
        <f t="shared" si="0"/>
        <v>4.7030399999999991E-6</v>
      </c>
      <c r="R41">
        <f t="shared" si="1"/>
        <v>3.22075E-5</v>
      </c>
      <c r="T41">
        <f t="shared" si="8"/>
        <v>0.49848582979462658</v>
      </c>
      <c r="U41">
        <f t="shared" si="9"/>
        <v>16.949332917109587</v>
      </c>
      <c r="W41">
        <f t="shared" si="10"/>
        <v>0.27093172483463651</v>
      </c>
      <c r="X41">
        <f t="shared" si="11"/>
        <v>1.2128030331049584</v>
      </c>
    </row>
    <row r="42" spans="1:24" x14ac:dyDescent="0.2">
      <c r="A42">
        <v>262.286</v>
      </c>
      <c r="B42">
        <v>2.1636699999999999E-3</v>
      </c>
      <c r="C42">
        <v>2.28042E-4</v>
      </c>
      <c r="D42">
        <f t="shared" si="2"/>
        <v>65.122529691854822</v>
      </c>
      <c r="E42">
        <f t="shared" si="3"/>
        <v>81.94784333595662</v>
      </c>
      <c r="G42" s="5">
        <v>3.9666000000000001E-4</v>
      </c>
      <c r="H42" s="5">
        <v>1.15346E-4</v>
      </c>
      <c r="I42" s="4">
        <f t="shared" si="4"/>
        <v>64.734922357587578</v>
      </c>
      <c r="J42" s="4">
        <f t="shared" si="5"/>
        <v>90.643049672699277</v>
      </c>
      <c r="L42" s="5">
        <v>5.2183999999999998E-4</v>
      </c>
      <c r="M42" s="5">
        <v>1.4134600000000001E-4</v>
      </c>
      <c r="N42" s="4">
        <f t="shared" si="6"/>
        <v>68.005030266304388</v>
      </c>
      <c r="O42" s="4">
        <f t="shared" si="7"/>
        <v>91.502074796242709</v>
      </c>
      <c r="Q42">
        <f t="shared" si="0"/>
        <v>1.02739E-3</v>
      </c>
      <c r="R42">
        <f t="shared" si="1"/>
        <v>1.61578E-4</v>
      </c>
      <c r="T42">
        <f t="shared" si="8"/>
        <v>65.954160771915596</v>
      </c>
      <c r="U42">
        <f t="shared" si="9"/>
        <v>88.030989268299535</v>
      </c>
      <c r="W42">
        <f t="shared" si="10"/>
        <v>1.4587915372333233</v>
      </c>
      <c r="X42">
        <f t="shared" si="11"/>
        <v>4.3157061505123213</v>
      </c>
    </row>
    <row r="43" spans="1:24" x14ac:dyDescent="0.2">
      <c r="A43">
        <v>268.49799999999999</v>
      </c>
      <c r="B43">
        <v>2.1980400000000001E-3</v>
      </c>
      <c r="C43">
        <v>2.1587599999999999E-4</v>
      </c>
      <c r="D43">
        <f t="shared" si="2"/>
        <v>66.157004147529236</v>
      </c>
      <c r="E43">
        <f t="shared" si="3"/>
        <v>77.575940519697994</v>
      </c>
      <c r="G43" s="5">
        <v>4.0889099999999999E-4</v>
      </c>
      <c r="H43" s="5">
        <v>1.12569E-4</v>
      </c>
      <c r="I43" s="4">
        <f t="shared" si="4"/>
        <v>66.731021876963496</v>
      </c>
      <c r="J43" s="4">
        <f t="shared" si="5"/>
        <v>88.460782849913173</v>
      </c>
      <c r="L43" s="5">
        <v>5.36846E-4</v>
      </c>
      <c r="M43" s="5">
        <v>1.3860399999999999E-4</v>
      </c>
      <c r="N43" s="4">
        <f t="shared" si="6"/>
        <v>69.960578871578349</v>
      </c>
      <c r="O43" s="4">
        <f t="shared" si="7"/>
        <v>89.727007308720601</v>
      </c>
      <c r="Q43">
        <f t="shared" si="0"/>
        <v>1.0479256666666666E-3</v>
      </c>
      <c r="R43">
        <f t="shared" si="1"/>
        <v>1.5568299999999999E-4</v>
      </c>
      <c r="T43">
        <f t="shared" si="8"/>
        <v>67.616201632023689</v>
      </c>
      <c r="U43">
        <f t="shared" si="9"/>
        <v>85.254576892777251</v>
      </c>
      <c r="W43">
        <f t="shared" si="10"/>
        <v>1.674206791176575</v>
      </c>
      <c r="X43">
        <f t="shared" si="11"/>
        <v>5.4541680396740269</v>
      </c>
    </row>
    <row r="44" spans="1:24" x14ac:dyDescent="0.2">
      <c r="A44">
        <v>274.608</v>
      </c>
      <c r="B44">
        <v>2.2196400000000002E-3</v>
      </c>
      <c r="C44">
        <v>2.1133100000000001E-4</v>
      </c>
      <c r="D44">
        <f t="shared" si="2"/>
        <v>66.807124841232095</v>
      </c>
      <c r="E44">
        <f t="shared" si="3"/>
        <v>75.942675823010887</v>
      </c>
      <c r="G44" s="5">
        <v>4.1728199999999999E-4</v>
      </c>
      <c r="H44" s="5">
        <v>1.09196E-4</v>
      </c>
      <c r="I44" s="4">
        <f t="shared" si="4"/>
        <v>68.100433296069312</v>
      </c>
      <c r="J44" s="4">
        <f t="shared" si="5"/>
        <v>85.810157717303326</v>
      </c>
      <c r="L44" s="5">
        <v>5.4574400000000003E-4</v>
      </c>
      <c r="M44" s="5">
        <v>1.3485600000000001E-4</v>
      </c>
      <c r="N44" s="4">
        <f t="shared" si="6"/>
        <v>71.120146477184619</v>
      </c>
      <c r="O44" s="4">
        <f t="shared" si="7"/>
        <v>87.300693325047106</v>
      </c>
      <c r="Q44">
        <f t="shared" si="0"/>
        <v>1.0608886666666668E-3</v>
      </c>
      <c r="R44">
        <f t="shared" si="1"/>
        <v>1.5179433333333337E-4</v>
      </c>
      <c r="T44">
        <f t="shared" si="8"/>
        <v>68.675901538162009</v>
      </c>
      <c r="U44">
        <f t="shared" si="9"/>
        <v>83.017842288453778</v>
      </c>
      <c r="W44">
        <f t="shared" si="10"/>
        <v>1.8071915008822557</v>
      </c>
      <c r="X44">
        <f t="shared" si="11"/>
        <v>5.0397691405317184</v>
      </c>
    </row>
    <row r="45" spans="1:24" x14ac:dyDescent="0.2">
      <c r="A45">
        <v>280.779</v>
      </c>
      <c r="B45">
        <v>2.2318199999999998E-3</v>
      </c>
      <c r="C45">
        <v>2.0362900000000001E-4</v>
      </c>
      <c r="D45">
        <f t="shared" si="2"/>
        <v>67.173720676847864</v>
      </c>
      <c r="E45">
        <f t="shared" si="3"/>
        <v>73.174930015775658</v>
      </c>
      <c r="G45" s="5">
        <v>4.23263E-4</v>
      </c>
      <c r="H45" s="5">
        <v>1.0684900000000001E-4</v>
      </c>
      <c r="I45" s="4">
        <f t="shared" si="4"/>
        <v>69.07653265224522</v>
      </c>
      <c r="J45" s="4">
        <f t="shared" si="5"/>
        <v>83.965800413349783</v>
      </c>
      <c r="L45" s="5">
        <v>5.5336800000000005E-4</v>
      </c>
      <c r="M45" s="5">
        <v>1.32674E-4</v>
      </c>
      <c r="N45" s="4">
        <f t="shared" si="6"/>
        <v>72.113689231190264</v>
      </c>
      <c r="O45" s="4">
        <f t="shared" si="7"/>
        <v>85.888148737967157</v>
      </c>
      <c r="Q45">
        <f t="shared" si="0"/>
        <v>1.0694836666666667E-3</v>
      </c>
      <c r="R45">
        <f t="shared" si="1"/>
        <v>1.4771733333333333E-4</v>
      </c>
      <c r="T45">
        <f t="shared" si="8"/>
        <v>69.454647520094454</v>
      </c>
      <c r="U45">
        <f t="shared" si="9"/>
        <v>81.009626389030856</v>
      </c>
      <c r="W45">
        <f t="shared" si="10"/>
        <v>2.0343795892014866</v>
      </c>
      <c r="X45">
        <f t="shared" si="11"/>
        <v>5.5952781412016526</v>
      </c>
    </row>
    <row r="46" spans="1:24" x14ac:dyDescent="0.2">
      <c r="A46">
        <v>287.00099999999998</v>
      </c>
      <c r="B46">
        <v>2.2422700000000002E-3</v>
      </c>
      <c r="C46">
        <v>2.0031000000000001E-4</v>
      </c>
      <c r="D46">
        <f t="shared" si="2"/>
        <v>67.488246660606904</v>
      </c>
      <c r="E46">
        <f t="shared" si="3"/>
        <v>71.982233529900057</v>
      </c>
      <c r="G46" s="5">
        <v>4.2788800000000002E-4</v>
      </c>
      <c r="H46" s="5">
        <v>1.05747E-4</v>
      </c>
      <c r="I46" s="4">
        <f t="shared" si="4"/>
        <v>69.831332773013244</v>
      </c>
      <c r="J46" s="4">
        <f t="shared" si="5"/>
        <v>83.099809041830071</v>
      </c>
      <c r="L46" s="5">
        <v>5.5906E-4</v>
      </c>
      <c r="M46" s="5">
        <v>1.3077499999999999E-4</v>
      </c>
      <c r="N46" s="4">
        <f t="shared" si="6"/>
        <v>72.855458034416927</v>
      </c>
      <c r="O46" s="4">
        <f t="shared" si="7"/>
        <v>84.65880768807493</v>
      </c>
      <c r="Q46">
        <f t="shared" si="0"/>
        <v>1.076406E-3</v>
      </c>
      <c r="R46">
        <f t="shared" si="1"/>
        <v>1.4561066666666665E-4</v>
      </c>
      <c r="T46">
        <f t="shared" si="8"/>
        <v>70.05834582267903</v>
      </c>
      <c r="U46">
        <f t="shared" si="9"/>
        <v>79.913616753268357</v>
      </c>
      <c r="W46">
        <f t="shared" si="10"/>
        <v>2.1970268813903688</v>
      </c>
      <c r="X46">
        <f t="shared" si="11"/>
        <v>5.6443333867809029</v>
      </c>
    </row>
    <row r="47" spans="1:24" x14ac:dyDescent="0.2">
      <c r="A47">
        <v>293.27300000000002</v>
      </c>
      <c r="B47">
        <v>2.2513799999999999E-3</v>
      </c>
      <c r="C47">
        <v>1.9698299999999999E-4</v>
      </c>
      <c r="D47">
        <f t="shared" si="2"/>
        <v>67.762441082812131</v>
      </c>
      <c r="E47">
        <f t="shared" si="3"/>
        <v>70.786662210674962</v>
      </c>
      <c r="G47" s="5">
        <v>4.31292E-4</v>
      </c>
      <c r="H47" s="5">
        <v>1.0496E-4</v>
      </c>
      <c r="I47" s="4">
        <f t="shared" si="4"/>
        <v>70.386865661898497</v>
      </c>
      <c r="J47" s="4">
        <f t="shared" si="5"/>
        <v>82.48135603875744</v>
      </c>
      <c r="L47" s="5">
        <v>5.6383900000000001E-4</v>
      </c>
      <c r="M47" s="5">
        <v>1.3032199999999999E-4</v>
      </c>
      <c r="N47" s="4">
        <f t="shared" si="6"/>
        <v>73.478246704589139</v>
      </c>
      <c r="O47" s="4">
        <f t="shared" si="7"/>
        <v>84.365552556110117</v>
      </c>
      <c r="Q47">
        <f t="shared" si="0"/>
        <v>1.0821703333333333E-3</v>
      </c>
      <c r="R47">
        <f t="shared" si="1"/>
        <v>1.4408833333333333E-4</v>
      </c>
      <c r="T47">
        <f t="shared" si="8"/>
        <v>70.542517816433261</v>
      </c>
      <c r="U47">
        <f t="shared" si="9"/>
        <v>79.211190268514173</v>
      </c>
      <c r="W47">
        <f t="shared" si="10"/>
        <v>2.3360620955492455</v>
      </c>
      <c r="X47">
        <f t="shared" si="11"/>
        <v>6.006499472903835</v>
      </c>
    </row>
    <row r="48" spans="1:24" x14ac:dyDescent="0.2">
      <c r="A48">
        <v>299.46699999999998</v>
      </c>
      <c r="B48">
        <v>2.2586199999999998E-3</v>
      </c>
      <c r="C48">
        <v>1.9476300000000001E-4</v>
      </c>
      <c r="D48">
        <f t="shared" si="2"/>
        <v>67.980351907923648</v>
      </c>
      <c r="E48">
        <f t="shared" si="3"/>
        <v>69.988895956187534</v>
      </c>
      <c r="G48" s="5">
        <v>4.35024E-4</v>
      </c>
      <c r="H48" s="5">
        <v>1.04724E-4</v>
      </c>
      <c r="I48" s="4">
        <f t="shared" si="4"/>
        <v>70.995928159348495</v>
      </c>
      <c r="J48" s="4">
        <f t="shared" si="5"/>
        <v>82.295898721444686</v>
      </c>
      <c r="L48" s="5">
        <v>5.6684300000000003E-4</v>
      </c>
      <c r="M48" s="5">
        <v>1.30345E-4</v>
      </c>
      <c r="N48" s="4">
        <f t="shared" si="6"/>
        <v>73.869721315427682</v>
      </c>
      <c r="O48" s="4">
        <f t="shared" si="7"/>
        <v>84.380441889521151</v>
      </c>
      <c r="Q48">
        <f t="shared" si="0"/>
        <v>1.0868289999999999E-3</v>
      </c>
      <c r="R48">
        <f t="shared" si="1"/>
        <v>1.4327733333333332E-4</v>
      </c>
      <c r="T48">
        <f t="shared" si="8"/>
        <v>70.948667127566608</v>
      </c>
      <c r="U48">
        <f t="shared" si="9"/>
        <v>78.888412189051124</v>
      </c>
      <c r="W48">
        <f t="shared" si="10"/>
        <v>2.4045572299774056</v>
      </c>
      <c r="X48">
        <f t="shared" si="11"/>
        <v>6.3501901251928654</v>
      </c>
    </row>
    <row r="49" spans="1:24" x14ac:dyDescent="0.2">
      <c r="A49">
        <v>305.70800000000003</v>
      </c>
      <c r="B49">
        <v>2.26552E-3</v>
      </c>
      <c r="C49">
        <v>1.90891E-4</v>
      </c>
      <c r="D49">
        <f t="shared" si="2"/>
        <v>68.188029351745399</v>
      </c>
      <c r="E49">
        <f t="shared" si="3"/>
        <v>68.597476615027475</v>
      </c>
      <c r="G49" s="5">
        <v>4.3720100000000002E-4</v>
      </c>
      <c r="H49" s="5">
        <v>1.04314E-4</v>
      </c>
      <c r="I49" s="4">
        <f t="shared" si="4"/>
        <v>71.351214616194341</v>
      </c>
      <c r="J49" s="4">
        <f t="shared" si="5"/>
        <v>81.973705924418297</v>
      </c>
      <c r="L49" s="5">
        <v>5.6953699999999995E-4</v>
      </c>
      <c r="M49" s="5">
        <v>1.3065599999999999E-4</v>
      </c>
      <c r="N49" s="4">
        <f t="shared" si="6"/>
        <v>74.220797414495237</v>
      </c>
      <c r="O49" s="4">
        <f t="shared" si="7"/>
        <v>84.581771571730982</v>
      </c>
      <c r="Q49">
        <f t="shared" si="0"/>
        <v>1.0907526666666667E-3</v>
      </c>
      <c r="R49">
        <f t="shared" si="1"/>
        <v>1.4195366666666667E-4</v>
      </c>
      <c r="T49">
        <f t="shared" si="8"/>
        <v>71.253347127478321</v>
      </c>
      <c r="U49">
        <f t="shared" si="9"/>
        <v>78.384318037058918</v>
      </c>
      <c r="W49">
        <f t="shared" si="10"/>
        <v>2.4638393019492013</v>
      </c>
      <c r="X49">
        <f t="shared" si="11"/>
        <v>7.0017712221106825</v>
      </c>
    </row>
    <row r="50" spans="1:24" x14ac:dyDescent="0.2">
      <c r="A50">
        <v>311.89499999999998</v>
      </c>
      <c r="B50">
        <v>2.2704700000000001E-3</v>
      </c>
      <c r="C50">
        <v>1.88882E-4</v>
      </c>
      <c r="D50">
        <f t="shared" si="2"/>
        <v>68.337015344052304</v>
      </c>
      <c r="E50">
        <f t="shared" si="3"/>
        <v>67.875534090133215</v>
      </c>
      <c r="G50" s="5">
        <v>4.3861799999999999E-4</v>
      </c>
      <c r="H50" s="5">
        <v>1.0438999999999999E-4</v>
      </c>
      <c r="I50" s="4">
        <f t="shared" si="4"/>
        <v>71.582469053195041</v>
      </c>
      <c r="J50" s="4">
        <f t="shared" si="5"/>
        <v>82.033429467281721</v>
      </c>
      <c r="L50" s="5">
        <v>5.7234400000000002E-4</v>
      </c>
      <c r="M50" s="5">
        <v>1.30266E-4</v>
      </c>
      <c r="N50" s="4">
        <f t="shared" si="6"/>
        <v>74.586599422692245</v>
      </c>
      <c r="O50" s="4">
        <f t="shared" si="7"/>
        <v>84.329300266065914</v>
      </c>
      <c r="Q50">
        <f t="shared" si="0"/>
        <v>1.0938106666666667E-3</v>
      </c>
      <c r="R50">
        <f t="shared" si="1"/>
        <v>1.4117933333333333E-4</v>
      </c>
      <c r="T50">
        <f t="shared" si="8"/>
        <v>71.502027939979868</v>
      </c>
      <c r="U50">
        <f t="shared" si="9"/>
        <v>78.079421274493612</v>
      </c>
      <c r="W50">
        <f t="shared" si="10"/>
        <v>2.5520159832988156</v>
      </c>
      <c r="X50">
        <f t="shared" si="11"/>
        <v>7.2758615038378025</v>
      </c>
    </row>
    <row r="51" spans="1:24" x14ac:dyDescent="0.2">
      <c r="A51">
        <v>318.09899999999999</v>
      </c>
      <c r="B51">
        <v>2.2783E-3</v>
      </c>
      <c r="C51">
        <v>1.8904999999999999E-4</v>
      </c>
      <c r="D51">
        <f t="shared" si="2"/>
        <v>68.572684095519591</v>
      </c>
      <c r="E51">
        <f t="shared" si="3"/>
        <v>67.9359055904728</v>
      </c>
      <c r="G51" s="5">
        <v>4.4065E-4</v>
      </c>
      <c r="H51" s="5">
        <v>1.03917E-4</v>
      </c>
      <c r="I51" s="4">
        <f t="shared" si="4"/>
        <v>71.914091506254636</v>
      </c>
      <c r="J51" s="4">
        <f t="shared" si="5"/>
        <v>81.661728996565898</v>
      </c>
      <c r="L51" s="5">
        <v>5.7421100000000004E-4</v>
      </c>
      <c r="M51" s="5">
        <v>1.29784E-4</v>
      </c>
      <c r="N51" s="4">
        <f t="shared" si="6"/>
        <v>74.829902717777301</v>
      </c>
      <c r="O51" s="4">
        <f t="shared" si="7"/>
        <v>84.017271626756781</v>
      </c>
      <c r="Q51">
        <f t="shared" si="0"/>
        <v>1.0977203333333333E-3</v>
      </c>
      <c r="R51">
        <f t="shared" si="1"/>
        <v>1.4091699999999998E-4</v>
      </c>
      <c r="T51">
        <f t="shared" si="8"/>
        <v>71.772226106517181</v>
      </c>
      <c r="U51">
        <f t="shared" si="9"/>
        <v>77.871635404598493</v>
      </c>
      <c r="W51">
        <f t="shared" si="10"/>
        <v>2.5564676887473952</v>
      </c>
      <c r="X51">
        <f t="shared" si="11"/>
        <v>7.0911301626346921</v>
      </c>
    </row>
    <row r="52" spans="1:24" x14ac:dyDescent="0.2">
      <c r="A52">
        <v>324.33999999999997</v>
      </c>
      <c r="B52">
        <v>2.27327E-3</v>
      </c>
      <c r="C52">
        <v>1.9473299999999999E-4</v>
      </c>
      <c r="D52">
        <f t="shared" si="2"/>
        <v>68.42129024879155</v>
      </c>
      <c r="E52">
        <f t="shared" si="3"/>
        <v>69.978115331126901</v>
      </c>
      <c r="G52" s="5">
        <v>4.4163699999999999E-4</v>
      </c>
      <c r="H52" s="5">
        <v>1.03874E-4</v>
      </c>
      <c r="I52" s="4">
        <f t="shared" si="4"/>
        <v>72.07516993202718</v>
      </c>
      <c r="J52" s="4">
        <f t="shared" si="5"/>
        <v>81.627938044682651</v>
      </c>
      <c r="L52" s="5">
        <v>5.7600999999999996E-4</v>
      </c>
      <c r="M52" s="5">
        <v>1.2961900000000001E-4</v>
      </c>
      <c r="N52" s="4">
        <f t="shared" si="6"/>
        <v>75.064344403828727</v>
      </c>
      <c r="O52" s="4">
        <f t="shared" si="7"/>
        <v>83.910456843590794</v>
      </c>
      <c r="Q52">
        <f t="shared" si="0"/>
        <v>1.0969723333333333E-3</v>
      </c>
      <c r="R52">
        <f t="shared" si="1"/>
        <v>1.4274199999999998E-4</v>
      </c>
      <c r="T52">
        <f t="shared" si="8"/>
        <v>71.853601528215819</v>
      </c>
      <c r="U52">
        <f t="shared" si="9"/>
        <v>78.505503406466786</v>
      </c>
      <c r="W52">
        <f t="shared" si="10"/>
        <v>2.7165372007839701</v>
      </c>
      <c r="X52">
        <f t="shared" si="11"/>
        <v>6.1013514108175997</v>
      </c>
    </row>
    <row r="53" spans="1:24" x14ac:dyDescent="0.2">
      <c r="A53">
        <v>330.45299999999997</v>
      </c>
      <c r="B53">
        <v>2.28269E-3</v>
      </c>
      <c r="C53">
        <v>1.9052699999999999E-4</v>
      </c>
      <c r="D53">
        <f t="shared" si="2"/>
        <v>68.704815106878641</v>
      </c>
      <c r="E53">
        <f t="shared" si="3"/>
        <v>68.466671697625031</v>
      </c>
      <c r="G53" s="5">
        <v>4.4352299999999997E-4</v>
      </c>
      <c r="H53" s="5">
        <v>1.0257200000000001E-4</v>
      </c>
      <c r="I53" s="4">
        <f t="shared" si="4"/>
        <v>72.382965181274415</v>
      </c>
      <c r="J53" s="4">
        <f t="shared" si="5"/>
        <v>80.604779455101266</v>
      </c>
      <c r="L53" s="5">
        <v>5.7789099999999997E-4</v>
      </c>
      <c r="M53" s="5">
        <v>1.2918200000000001E-4</v>
      </c>
      <c r="N53" s="4">
        <f t="shared" si="6"/>
        <v>75.309472147832494</v>
      </c>
      <c r="O53" s="4">
        <f t="shared" si="7"/>
        <v>83.627559508781474</v>
      </c>
      <c r="Q53">
        <f t="shared" si="0"/>
        <v>1.1013679999999999E-3</v>
      </c>
      <c r="R53">
        <f t="shared" si="1"/>
        <v>1.4076033333333335E-4</v>
      </c>
      <c r="T53">
        <f t="shared" si="8"/>
        <v>72.13241747866185</v>
      </c>
      <c r="U53">
        <f t="shared" si="9"/>
        <v>77.566336887169257</v>
      </c>
      <c r="W53">
        <f t="shared" si="10"/>
        <v>2.7021539890266126</v>
      </c>
      <c r="X53">
        <f t="shared" si="11"/>
        <v>6.5517035817454348</v>
      </c>
    </row>
    <row r="54" spans="1:24" x14ac:dyDescent="0.2">
      <c r="A54">
        <v>336.67899999999997</v>
      </c>
      <c r="B54">
        <v>2.28751E-3</v>
      </c>
      <c r="C54">
        <v>1.9091099999999999E-4</v>
      </c>
      <c r="D54">
        <f t="shared" si="2"/>
        <v>68.849888335751217</v>
      </c>
      <c r="E54">
        <f t="shared" si="3"/>
        <v>68.604663698401225</v>
      </c>
      <c r="G54" s="5">
        <v>4.4460700000000002E-4</v>
      </c>
      <c r="H54" s="5">
        <v>1.01922E-4</v>
      </c>
      <c r="I54" s="4">
        <f t="shared" si="4"/>
        <v>72.559874009579843</v>
      </c>
      <c r="J54" s="4">
        <f t="shared" si="5"/>
        <v>80.093985996400875</v>
      </c>
      <c r="L54" s="5">
        <v>5.7996999999999996E-4</v>
      </c>
      <c r="M54" s="5">
        <v>1.2860599999999999E-4</v>
      </c>
      <c r="N54" s="4">
        <f t="shared" si="6"/>
        <v>75.580402812257702</v>
      </c>
      <c r="O54" s="4">
        <f t="shared" si="7"/>
        <v>83.254678811183837</v>
      </c>
      <c r="Q54">
        <f t="shared" si="0"/>
        <v>1.1040290000000001E-3</v>
      </c>
      <c r="R54">
        <f t="shared" si="1"/>
        <v>1.4047966666666666E-4</v>
      </c>
      <c r="T54">
        <f t="shared" si="8"/>
        <v>72.330055052529588</v>
      </c>
      <c r="U54">
        <f t="shared" si="9"/>
        <v>77.317776168661979</v>
      </c>
      <c r="W54">
        <f t="shared" si="10"/>
        <v>2.7525223395255236</v>
      </c>
      <c r="X54">
        <f t="shared" si="11"/>
        <v>6.2947725114794126</v>
      </c>
    </row>
    <row r="55" spans="1:24" x14ac:dyDescent="0.2">
      <c r="A55">
        <v>342.94200000000001</v>
      </c>
      <c r="B55">
        <v>2.2892199999999998E-3</v>
      </c>
      <c r="C55">
        <v>1.9056800000000001E-4</v>
      </c>
      <c r="D55">
        <f t="shared" si="2"/>
        <v>68.901356224002683</v>
      </c>
      <c r="E55">
        <f t="shared" si="3"/>
        <v>68.481405218541241</v>
      </c>
      <c r="G55" s="5">
        <v>4.46623E-4</v>
      </c>
      <c r="H55" s="5">
        <v>1.0215199999999999E-4</v>
      </c>
      <c r="I55" s="4">
        <f t="shared" si="4"/>
        <v>72.888885262221635</v>
      </c>
      <c r="J55" s="4">
        <f t="shared" si="5"/>
        <v>80.274728297171777</v>
      </c>
      <c r="L55" s="5">
        <v>5.8224399999999999E-4</v>
      </c>
      <c r="M55" s="5">
        <v>1.2796199999999999E-4</v>
      </c>
      <c r="N55" s="4">
        <f t="shared" si="6"/>
        <v>75.876745443764619</v>
      </c>
      <c r="O55" s="4">
        <f t="shared" si="7"/>
        <v>82.837777475675352</v>
      </c>
      <c r="Q55">
        <f t="shared" si="0"/>
        <v>1.1060289999999999E-3</v>
      </c>
      <c r="R55">
        <f t="shared" si="1"/>
        <v>1.4022733333333333E-4</v>
      </c>
      <c r="T55">
        <f t="shared" si="8"/>
        <v>72.555662309996308</v>
      </c>
      <c r="U55">
        <f t="shared" si="9"/>
        <v>77.197970330462795</v>
      </c>
      <c r="W55">
        <f t="shared" si="10"/>
        <v>2.857422130022103</v>
      </c>
      <c r="X55">
        <f t="shared" si="11"/>
        <v>6.2517296692266378</v>
      </c>
    </row>
    <row r="56" spans="1:24" x14ac:dyDescent="0.2">
      <c r="A56">
        <v>349.24099999999999</v>
      </c>
      <c r="B56">
        <v>2.2977700000000002E-3</v>
      </c>
      <c r="C56">
        <v>1.8989500000000001E-4</v>
      </c>
      <c r="D56">
        <f t="shared" si="2"/>
        <v>69.158695665260083</v>
      </c>
      <c r="E56">
        <f t="shared" si="3"/>
        <v>68.239559863014193</v>
      </c>
      <c r="G56" s="5">
        <v>4.4711499999999999E-4</v>
      </c>
      <c r="H56" s="5">
        <v>1.02872E-4</v>
      </c>
      <c r="I56" s="4">
        <f t="shared" si="4"/>
        <v>72.969179675068744</v>
      </c>
      <c r="J56" s="4">
        <f t="shared" si="5"/>
        <v>80.84053028219374</v>
      </c>
      <c r="L56" s="5">
        <v>5.8378800000000002E-4</v>
      </c>
      <c r="M56" s="5">
        <v>1.2923899999999999E-4</v>
      </c>
      <c r="N56" s="4">
        <f t="shared" si="6"/>
        <v>76.077956095939953</v>
      </c>
      <c r="O56" s="4">
        <f t="shared" si="7"/>
        <v>83.664459161147903</v>
      </c>
      <c r="Q56">
        <f t="shared" si="0"/>
        <v>1.1095576666666667E-3</v>
      </c>
      <c r="R56">
        <f t="shared" si="1"/>
        <v>1.4066866666666666E-4</v>
      </c>
      <c r="T56">
        <f t="shared" si="8"/>
        <v>72.735277145422927</v>
      </c>
      <c r="U56">
        <f t="shared" si="9"/>
        <v>77.581516435451945</v>
      </c>
      <c r="W56">
        <f t="shared" si="10"/>
        <v>2.8296141105486545</v>
      </c>
      <c r="X56">
        <f t="shared" si="11"/>
        <v>6.7056075056295237</v>
      </c>
    </row>
    <row r="57" spans="1:24" x14ac:dyDescent="0.2">
      <c r="A57">
        <v>355.43299999999999</v>
      </c>
      <c r="B57">
        <v>2.3051899999999999E-3</v>
      </c>
      <c r="C57">
        <v>1.9259100000000001E-4</v>
      </c>
      <c r="D57">
        <f t="shared" si="2"/>
        <v>69.382024162819107</v>
      </c>
      <c r="E57">
        <f t="shared" si="3"/>
        <v>69.20837870179713</v>
      </c>
      <c r="G57" s="5">
        <v>4.4833500000000001E-4</v>
      </c>
      <c r="H57" s="5">
        <v>1.02823E-4</v>
      </c>
      <c r="I57" s="4">
        <f t="shared" si="4"/>
        <v>73.168283706925379</v>
      </c>
      <c r="J57" s="4">
        <f t="shared" si="5"/>
        <v>80.802024313768641</v>
      </c>
      <c r="L57" s="5">
        <v>5.8579900000000002E-4</v>
      </c>
      <c r="M57" s="5">
        <v>1.29608E-4</v>
      </c>
      <c r="N57" s="4">
        <f t="shared" si="6"/>
        <v>76.340025151331531</v>
      </c>
      <c r="O57" s="4">
        <f t="shared" si="7"/>
        <v>83.90333585804639</v>
      </c>
      <c r="Q57">
        <f t="shared" si="0"/>
        <v>1.113108E-3</v>
      </c>
      <c r="R57">
        <f t="shared" si="1"/>
        <v>1.4167400000000003E-4</v>
      </c>
      <c r="T57">
        <f t="shared" si="8"/>
        <v>72.963444340358663</v>
      </c>
      <c r="U57">
        <f t="shared" si="9"/>
        <v>77.971246291204054</v>
      </c>
      <c r="W57">
        <f t="shared" si="10"/>
        <v>2.8442824301402228</v>
      </c>
      <c r="X57">
        <f t="shared" si="11"/>
        <v>6.3243139082842461</v>
      </c>
    </row>
    <row r="58" spans="1:24" x14ac:dyDescent="0.2">
      <c r="A58">
        <v>361.57799999999997</v>
      </c>
      <c r="B58">
        <v>2.30745E-3</v>
      </c>
      <c r="C58">
        <v>1.8914600000000001E-4</v>
      </c>
      <c r="D58">
        <f t="shared" si="2"/>
        <v>69.450046050215803</v>
      </c>
      <c r="E58">
        <f t="shared" si="3"/>
        <v>67.970403590666848</v>
      </c>
      <c r="G58" s="5">
        <v>4.4951300000000002E-4</v>
      </c>
      <c r="H58" s="5">
        <v>1.0283799999999999E-4</v>
      </c>
      <c r="I58" s="4">
        <f t="shared" si="4"/>
        <v>73.360533337685325</v>
      </c>
      <c r="J58" s="4">
        <f t="shared" si="5"/>
        <v>80.813811855123248</v>
      </c>
      <c r="L58" s="5">
        <v>5.8767800000000001E-4</v>
      </c>
      <c r="M58" s="5">
        <v>1.30412E-4</v>
      </c>
      <c r="N58" s="4">
        <f t="shared" si="6"/>
        <v>76.584892259775472</v>
      </c>
      <c r="O58" s="4">
        <f t="shared" si="7"/>
        <v>84.423815165109758</v>
      </c>
      <c r="Q58">
        <f t="shared" si="0"/>
        <v>1.1148803333333333E-3</v>
      </c>
      <c r="R58">
        <f t="shared" si="1"/>
        <v>1.4079866666666667E-4</v>
      </c>
      <c r="T58">
        <f t="shared" si="8"/>
        <v>73.131823882558862</v>
      </c>
      <c r="U58">
        <f t="shared" si="9"/>
        <v>77.736010203633285</v>
      </c>
      <c r="W58">
        <f t="shared" si="10"/>
        <v>2.9172748264622097</v>
      </c>
      <c r="X58">
        <f t="shared" si="11"/>
        <v>7.060846755828404</v>
      </c>
    </row>
    <row r="59" spans="1:24" x14ac:dyDescent="0.2">
      <c r="A59">
        <v>367.786</v>
      </c>
      <c r="B59">
        <v>2.31132E-3</v>
      </c>
      <c r="C59">
        <v>1.9212600000000001E-4</v>
      </c>
      <c r="D59">
        <f t="shared" si="2"/>
        <v>69.566526007837552</v>
      </c>
      <c r="E59">
        <f t="shared" si="3"/>
        <v>69.041279013357197</v>
      </c>
      <c r="G59" s="5">
        <v>4.5027400000000002E-4</v>
      </c>
      <c r="H59" s="5">
        <v>1.0271E-4</v>
      </c>
      <c r="I59" s="4">
        <f t="shared" si="4"/>
        <v>73.484728557556565</v>
      </c>
      <c r="J59" s="4">
        <f t="shared" si="5"/>
        <v>80.713224835563807</v>
      </c>
      <c r="L59" s="5">
        <v>5.88201E-4</v>
      </c>
      <c r="M59" s="5">
        <v>1.3037899999999999E-4</v>
      </c>
      <c r="N59" s="4">
        <f t="shared" si="6"/>
        <v>76.653048458666461</v>
      </c>
      <c r="O59" s="4">
        <f t="shared" si="7"/>
        <v>84.402452208476561</v>
      </c>
      <c r="Q59">
        <f t="shared" si="0"/>
        <v>1.1165983333333333E-3</v>
      </c>
      <c r="R59">
        <f t="shared" si="1"/>
        <v>1.4173833333333335E-4</v>
      </c>
      <c r="T59">
        <f t="shared" si="8"/>
        <v>73.234767674686864</v>
      </c>
      <c r="U59">
        <f t="shared" si="9"/>
        <v>78.052318685799193</v>
      </c>
      <c r="W59">
        <f t="shared" si="10"/>
        <v>2.8984548117631337</v>
      </c>
      <c r="X59">
        <f t="shared" si="11"/>
        <v>6.5473519652861585</v>
      </c>
    </row>
    <row r="60" spans="1:24" x14ac:dyDescent="0.2">
      <c r="A60">
        <v>374.03899999999999</v>
      </c>
      <c r="B60">
        <v>2.3176400000000002E-3</v>
      </c>
      <c r="C60">
        <v>1.90731E-4</v>
      </c>
      <c r="D60">
        <f t="shared" si="2"/>
        <v>69.756746507106186</v>
      </c>
      <c r="E60">
        <f t="shared" si="3"/>
        <v>68.539979948037384</v>
      </c>
      <c r="G60" s="5">
        <v>4.5092199999999998E-4</v>
      </c>
      <c r="H60" s="5">
        <v>1.02711E-4</v>
      </c>
      <c r="I60" s="4">
        <f t="shared" si="4"/>
        <v>73.590482174477131</v>
      </c>
      <c r="J60" s="4">
        <f t="shared" si="5"/>
        <v>80.714010671654108</v>
      </c>
      <c r="L60" s="5">
        <v>5.89475E-4</v>
      </c>
      <c r="M60" s="5">
        <v>1.3048899999999999E-4</v>
      </c>
      <c r="N60" s="4">
        <f t="shared" si="6"/>
        <v>76.8190733102671</v>
      </c>
      <c r="O60" s="4">
        <f t="shared" si="7"/>
        <v>84.473662063920557</v>
      </c>
      <c r="Q60">
        <f t="shared" si="0"/>
        <v>1.1193456666666666E-3</v>
      </c>
      <c r="R60">
        <f t="shared" si="1"/>
        <v>1.4131033333333333E-4</v>
      </c>
      <c r="T60">
        <f t="shared" si="8"/>
        <v>73.388767330616801</v>
      </c>
      <c r="U60">
        <f t="shared" si="9"/>
        <v>77.909217561204017</v>
      </c>
      <c r="W60">
        <f t="shared" si="10"/>
        <v>2.886708809623451</v>
      </c>
      <c r="X60">
        <f t="shared" si="11"/>
        <v>6.80052472175616</v>
      </c>
    </row>
    <row r="61" spans="1:24" x14ac:dyDescent="0.2">
      <c r="A61">
        <v>380.137</v>
      </c>
      <c r="B61">
        <v>2.3246500000000002E-3</v>
      </c>
      <c r="C61">
        <v>1.9120899999999999E-4</v>
      </c>
      <c r="D61">
        <f t="shared" si="2"/>
        <v>69.967734750756975</v>
      </c>
      <c r="E61">
        <f t="shared" si="3"/>
        <v>68.711751240670253</v>
      </c>
      <c r="G61" s="5">
        <v>4.5137600000000002E-4</v>
      </c>
      <c r="H61" s="5">
        <v>1.02223E-4</v>
      </c>
      <c r="I61" s="4">
        <f t="shared" si="4"/>
        <v>73.664574986331999</v>
      </c>
      <c r="J61" s="4">
        <f t="shared" si="5"/>
        <v>80.330522659583664</v>
      </c>
      <c r="L61" s="5">
        <v>5.9098899999999999E-4</v>
      </c>
      <c r="M61" s="5">
        <v>1.29751E-4</v>
      </c>
      <c r="N61" s="4">
        <f t="shared" si="6"/>
        <v>77.016374429045229</v>
      </c>
      <c r="O61" s="4">
        <f t="shared" si="7"/>
        <v>83.995908670123583</v>
      </c>
      <c r="Q61">
        <f t="shared" si="0"/>
        <v>1.1223383333333334E-3</v>
      </c>
      <c r="R61">
        <f t="shared" si="1"/>
        <v>1.41061E-4</v>
      </c>
      <c r="T61">
        <f t="shared" si="8"/>
        <v>73.54956138871141</v>
      </c>
      <c r="U61">
        <f t="shared" si="9"/>
        <v>77.679394190125834</v>
      </c>
      <c r="W61">
        <f t="shared" si="10"/>
        <v>2.8787441039815853</v>
      </c>
      <c r="X61">
        <f t="shared" si="11"/>
        <v>6.5152502486221113</v>
      </c>
    </row>
    <row r="62" spans="1:24" x14ac:dyDescent="0.2">
      <c r="A62">
        <v>386.49799999999999</v>
      </c>
      <c r="B62">
        <v>2.3291900000000001E-3</v>
      </c>
      <c r="C62">
        <v>1.8939799999999999E-4</v>
      </c>
      <c r="D62">
        <f t="shared" si="2"/>
        <v>70.104380489155631</v>
      </c>
      <c r="E62">
        <f t="shared" si="3"/>
        <v>68.060960841176239</v>
      </c>
      <c r="G62" s="5">
        <v>4.5276499999999999E-4</v>
      </c>
      <c r="H62" s="5">
        <v>1.02049E-4</v>
      </c>
      <c r="I62" s="4">
        <f t="shared" si="4"/>
        <v>73.891259822601569</v>
      </c>
      <c r="J62" s="4">
        <f t="shared" si="5"/>
        <v>80.193787179870029</v>
      </c>
      <c r="L62" s="5">
        <v>5.93448E-4</v>
      </c>
      <c r="M62" s="5">
        <v>1.2986399999999999E-4</v>
      </c>
      <c r="N62" s="4">
        <f t="shared" si="6"/>
        <v>77.336825849834824</v>
      </c>
      <c r="O62" s="4">
        <f t="shared" si="7"/>
        <v>84.069060612534216</v>
      </c>
      <c r="Q62">
        <f t="shared" si="0"/>
        <v>1.1251343333333332E-3</v>
      </c>
      <c r="R62">
        <f t="shared" si="1"/>
        <v>1.4043700000000001E-4</v>
      </c>
      <c r="T62">
        <f t="shared" si="8"/>
        <v>73.777488720530684</v>
      </c>
      <c r="U62">
        <f t="shared" si="9"/>
        <v>77.441269544526833</v>
      </c>
      <c r="W62">
        <f t="shared" si="10"/>
        <v>2.9537292102868102</v>
      </c>
      <c r="X62">
        <f t="shared" si="11"/>
        <v>6.8189480895562538</v>
      </c>
    </row>
    <row r="63" spans="1:24" x14ac:dyDescent="0.2">
      <c r="A63">
        <v>392.601</v>
      </c>
      <c r="B63">
        <v>2.33577E-3</v>
      </c>
      <c r="C63">
        <v>1.9073399999999999E-4</v>
      </c>
      <c r="D63">
        <f t="shared" si="2"/>
        <v>70.302426515292879</v>
      </c>
      <c r="E63">
        <f t="shared" si="3"/>
        <v>68.541058010543438</v>
      </c>
      <c r="G63" s="5">
        <v>4.53919E-4</v>
      </c>
      <c r="H63" s="5">
        <v>1.0206599999999999E-4</v>
      </c>
      <c r="I63" s="4">
        <f t="shared" si="4"/>
        <v>74.079592652734817</v>
      </c>
      <c r="J63" s="4">
        <f t="shared" si="5"/>
        <v>80.207146393405253</v>
      </c>
      <c r="L63" s="5">
        <v>5.9495800000000003E-4</v>
      </c>
      <c r="M63" s="5">
        <v>1.3029E-4</v>
      </c>
      <c r="N63" s="4">
        <f t="shared" si="6"/>
        <v>77.533605697493343</v>
      </c>
      <c r="O63" s="4">
        <f t="shared" si="7"/>
        <v>84.344836961799146</v>
      </c>
      <c r="Q63">
        <f t="shared" si="0"/>
        <v>1.1282156666666667E-3</v>
      </c>
      <c r="R63">
        <f t="shared" si="1"/>
        <v>1.4103E-4</v>
      </c>
      <c r="T63">
        <f t="shared" si="8"/>
        <v>73.971874955173675</v>
      </c>
      <c r="U63">
        <f t="shared" si="9"/>
        <v>77.697680455249284</v>
      </c>
      <c r="W63">
        <f t="shared" si="10"/>
        <v>2.9530989844622826</v>
      </c>
      <c r="X63">
        <f t="shared" si="11"/>
        <v>6.6914334167457241</v>
      </c>
    </row>
    <row r="64" spans="1:24" x14ac:dyDescent="0.2">
      <c r="A64">
        <v>398.83199999999999</v>
      </c>
      <c r="B64">
        <v>2.3432499999999998E-3</v>
      </c>
      <c r="C64">
        <v>1.9060999999999999E-4</v>
      </c>
      <c r="D64">
        <f t="shared" si="2"/>
        <v>70.527560903667748</v>
      </c>
      <c r="E64">
        <f t="shared" si="3"/>
        <v>68.49649809362613</v>
      </c>
      <c r="G64" s="5">
        <v>4.5475000000000002E-4</v>
      </c>
      <c r="H64" s="5">
        <v>1.0225699999999999E-4</v>
      </c>
      <c r="I64" s="4">
        <f t="shared" si="4"/>
        <v>74.215211874433891</v>
      </c>
      <c r="J64" s="4">
        <f t="shared" si="5"/>
        <v>80.357241086654142</v>
      </c>
      <c r="L64" s="5">
        <v>5.9602199999999998E-4</v>
      </c>
      <c r="M64" s="5">
        <v>1.3108E-4</v>
      </c>
      <c r="N64" s="4">
        <f t="shared" si="6"/>
        <v>77.672263815313642</v>
      </c>
      <c r="O64" s="4">
        <f t="shared" si="7"/>
        <v>84.856253196351474</v>
      </c>
      <c r="Q64">
        <f t="shared" si="0"/>
        <v>1.1313406666666665E-3</v>
      </c>
      <c r="R64">
        <f t="shared" si="1"/>
        <v>1.4131566666666665E-4</v>
      </c>
      <c r="T64">
        <f t="shared" si="8"/>
        <v>74.138345531138427</v>
      </c>
      <c r="U64">
        <f t="shared" si="9"/>
        <v>77.903330792210582</v>
      </c>
      <c r="W64">
        <f t="shared" si="10"/>
        <v>2.917319117496866</v>
      </c>
      <c r="X64">
        <f t="shared" si="11"/>
        <v>6.9005629507149173</v>
      </c>
    </row>
    <row r="65" spans="1:24" x14ac:dyDescent="0.2">
      <c r="A65">
        <v>405.02199999999999</v>
      </c>
      <c r="B65">
        <v>2.3484600000000001E-3</v>
      </c>
      <c r="C65">
        <v>1.92256E-4</v>
      </c>
      <c r="D65">
        <f t="shared" si="2"/>
        <v>70.68437242284331</v>
      </c>
      <c r="E65">
        <f t="shared" si="3"/>
        <v>69.087995055286626</v>
      </c>
      <c r="G65" s="5">
        <v>4.55561E-4</v>
      </c>
      <c r="H65" s="5">
        <v>1.0234300000000001E-4</v>
      </c>
      <c r="I65" s="4">
        <f t="shared" si="4"/>
        <v>74.347567095610728</v>
      </c>
      <c r="J65" s="4">
        <f t="shared" si="5"/>
        <v>80.424822990420665</v>
      </c>
      <c r="L65" s="5">
        <v>5.9840100000000003E-4</v>
      </c>
      <c r="M65" s="5">
        <v>1.3151699999999999E-4</v>
      </c>
      <c r="N65" s="4">
        <f t="shared" si="6"/>
        <v>77.98228981371075</v>
      </c>
      <c r="O65" s="4">
        <f t="shared" si="7"/>
        <v>85.13915053116078</v>
      </c>
      <c r="Q65">
        <f t="shared" si="0"/>
        <v>1.1341406666666668E-3</v>
      </c>
      <c r="R65">
        <f t="shared" si="1"/>
        <v>1.4203866666666665E-4</v>
      </c>
      <c r="T65">
        <f t="shared" si="8"/>
        <v>74.338076444054934</v>
      </c>
      <c r="U65">
        <f t="shared" si="9"/>
        <v>78.217322858956024</v>
      </c>
      <c r="W65">
        <f t="shared" si="10"/>
        <v>2.9793698567909255</v>
      </c>
      <c r="X65">
        <f t="shared" si="11"/>
        <v>6.7362051953348088</v>
      </c>
    </row>
    <row r="66" spans="1:24" x14ac:dyDescent="0.2">
      <c r="A66">
        <v>411.33699999999999</v>
      </c>
      <c r="B66">
        <v>2.3538600000000002E-3</v>
      </c>
      <c r="C66">
        <v>1.9130300000000001E-4</v>
      </c>
      <c r="D66">
        <f t="shared" si="2"/>
        <v>70.846902596269032</v>
      </c>
      <c r="E66">
        <f t="shared" si="3"/>
        <v>68.745530532526942</v>
      </c>
      <c r="G66" s="5">
        <v>4.5585500000000002E-4</v>
      </c>
      <c r="H66" s="5">
        <v>1.0252899999999999E-4</v>
      </c>
      <c r="I66" s="4">
        <f t="shared" si="4"/>
        <v>74.395547903287664</v>
      </c>
      <c r="J66" s="4">
        <f t="shared" si="5"/>
        <v>80.570988503218004</v>
      </c>
      <c r="L66" s="5">
        <v>6.0014900000000002E-4</v>
      </c>
      <c r="M66" s="5">
        <v>1.3204499999999999E-4</v>
      </c>
      <c r="N66" s="4">
        <f t="shared" si="6"/>
        <v>78.210085292986946</v>
      </c>
      <c r="O66" s="4">
        <f t="shared" si="7"/>
        <v>85.480957837291953</v>
      </c>
      <c r="Q66">
        <f t="shared" si="0"/>
        <v>1.1366213333333334E-3</v>
      </c>
      <c r="R66">
        <f t="shared" si="1"/>
        <v>1.4195899999999999E-4</v>
      </c>
      <c r="T66">
        <f t="shared" si="8"/>
        <v>74.484178597514543</v>
      </c>
      <c r="U66">
        <f t="shared" si="9"/>
        <v>78.265825624345624</v>
      </c>
      <c r="W66">
        <f t="shared" si="10"/>
        <v>3.0066599859069396</v>
      </c>
      <c r="X66">
        <f t="shared" si="11"/>
        <v>7.0239572745410372</v>
      </c>
    </row>
    <row r="67" spans="1:24" x14ac:dyDescent="0.2">
      <c r="A67">
        <v>417.42200000000003</v>
      </c>
      <c r="B67">
        <v>2.3585099999999999E-3</v>
      </c>
      <c r="C67">
        <v>1.95179E-4</v>
      </c>
      <c r="D67">
        <f t="shared" si="2"/>
        <v>70.986859134496711</v>
      </c>
      <c r="E67">
        <f t="shared" si="3"/>
        <v>70.138387290361763</v>
      </c>
      <c r="G67" s="5">
        <v>4.5653399999999998E-4</v>
      </c>
      <c r="H67" s="5">
        <v>1.02742E-4</v>
      </c>
      <c r="I67" s="4">
        <f t="shared" si="4"/>
        <v>74.5063607210177</v>
      </c>
      <c r="J67" s="4">
        <f t="shared" si="5"/>
        <v>80.738371590453667</v>
      </c>
      <c r="L67" s="5">
        <v>6.0135400000000002E-4</v>
      </c>
      <c r="M67" s="5">
        <v>1.3271499999999999E-4</v>
      </c>
      <c r="N67" s="4">
        <f t="shared" si="6"/>
        <v>78.367118217774049</v>
      </c>
      <c r="O67" s="4">
        <f t="shared" si="7"/>
        <v>85.914690593178094</v>
      </c>
      <c r="Q67">
        <f t="shared" ref="Q67:R109" si="12">AVERAGE(B67,G67,L67)</f>
        <v>1.1387993333333334E-3</v>
      </c>
      <c r="R67">
        <f t="shared" si="12"/>
        <v>1.4354533333333332E-4</v>
      </c>
      <c r="T67">
        <f t="shared" si="8"/>
        <v>74.620112691096153</v>
      </c>
      <c r="U67">
        <f t="shared" si="9"/>
        <v>78.930483157997841</v>
      </c>
      <c r="W67">
        <f t="shared" si="10"/>
        <v>3.0140516106062241</v>
      </c>
      <c r="X67">
        <f t="shared" si="11"/>
        <v>6.5662917954133517</v>
      </c>
    </row>
    <row r="68" spans="1:24" x14ac:dyDescent="0.2">
      <c r="A68">
        <v>423.74099999999999</v>
      </c>
      <c r="B68">
        <v>2.3612500000000001E-3</v>
      </c>
      <c r="C68">
        <v>1.9822500000000001E-4</v>
      </c>
      <c r="D68">
        <f t="shared" ref="D68:D109" si="13">B68/$B$3*100</f>
        <v>71.069328148420141</v>
      </c>
      <c r="E68">
        <f t="shared" ref="E68:E109" si="14">C68/$C$3*100</f>
        <v>71.232980088185514</v>
      </c>
      <c r="G68" s="5">
        <v>4.5738499999999999E-4</v>
      </c>
      <c r="H68" s="5">
        <v>1.0268999999999999E-4</v>
      </c>
      <c r="I68" s="4">
        <f t="shared" ref="I68:I109" si="15">G68/$G$3*100</f>
        <v>74.645243943239024</v>
      </c>
      <c r="J68" s="4">
        <f t="shared" ref="J68:J109" si="16">H68/$H$3*100</f>
        <v>80.697508113757635</v>
      </c>
      <c r="L68" s="5">
        <v>6.0255300000000003E-4</v>
      </c>
      <c r="M68" s="5">
        <v>1.33759E-4</v>
      </c>
      <c r="N68" s="4">
        <f t="shared" ref="N68:N109" si="17">L68/$L$3*100</f>
        <v>78.523369235881702</v>
      </c>
      <c r="O68" s="4">
        <f t="shared" ref="O68:O109" si="18">M68/$M$3*100</f>
        <v>86.590536857573824</v>
      </c>
      <c r="Q68">
        <f t="shared" si="12"/>
        <v>1.1403959999999999E-3</v>
      </c>
      <c r="R68">
        <f t="shared" si="12"/>
        <v>1.4489133333333334E-4</v>
      </c>
      <c r="T68">
        <f t="shared" ref="T68:T109" si="19">AVERAGE(D68,I68,N68)</f>
        <v>74.745980442513613</v>
      </c>
      <c r="U68">
        <f t="shared" ref="U68:U109" si="20">AVERAGE(E68,J68,O68)</f>
        <v>79.507008353172324</v>
      </c>
      <c r="W68">
        <f t="shared" ref="W68:W109" si="21">_xlfn.STDEV.P(D68,I68,N68)</f>
        <v>3.0439330933411202</v>
      </c>
      <c r="X68">
        <f t="shared" ref="X68:X109" si="22">_xlfn.STDEV.P(E68,J68,O68)</f>
        <v>6.3259573579135804</v>
      </c>
    </row>
    <row r="69" spans="1:24" x14ac:dyDescent="0.2">
      <c r="A69">
        <v>429.80099999999999</v>
      </c>
      <c r="B69">
        <v>2.3734099999999998E-3</v>
      </c>
      <c r="C69">
        <v>1.9470199999999999E-4</v>
      </c>
      <c r="D69">
        <f t="shared" si="13"/>
        <v>71.435322020430633</v>
      </c>
      <c r="E69">
        <f t="shared" si="14"/>
        <v>69.96697535189756</v>
      </c>
      <c r="G69" s="5">
        <v>4.5774200000000002E-4</v>
      </c>
      <c r="H69" s="5">
        <v>1.0252299999999999E-4</v>
      </c>
      <c r="I69" s="4">
        <f t="shared" si="15"/>
        <v>74.703506352561007</v>
      </c>
      <c r="J69" s="4">
        <f t="shared" si="16"/>
        <v>80.566273486676138</v>
      </c>
      <c r="L69" s="5">
        <v>6.0422899999999996E-4</v>
      </c>
      <c r="M69" s="5">
        <v>1.33738E-4</v>
      </c>
      <c r="N69" s="4">
        <f t="shared" si="17"/>
        <v>78.741781835004659</v>
      </c>
      <c r="O69" s="4">
        <f t="shared" si="18"/>
        <v>86.576942248807228</v>
      </c>
      <c r="Q69">
        <f t="shared" si="12"/>
        <v>1.1451269999999999E-3</v>
      </c>
      <c r="R69">
        <f t="shared" si="12"/>
        <v>1.4365433333333332E-4</v>
      </c>
      <c r="T69">
        <f t="shared" si="19"/>
        <v>74.960203402665442</v>
      </c>
      <c r="U69">
        <f t="shared" si="20"/>
        <v>79.036730362460304</v>
      </c>
      <c r="W69">
        <f t="shared" si="21"/>
        <v>2.9883673120000398</v>
      </c>
      <c r="X69">
        <f t="shared" si="22"/>
        <v>6.8667011344961315</v>
      </c>
    </row>
    <row r="70" spans="1:24" x14ac:dyDescent="0.2">
      <c r="A70">
        <v>436.18</v>
      </c>
      <c r="B70">
        <v>2.38047E-3</v>
      </c>
      <c r="C70">
        <v>1.95016E-4</v>
      </c>
      <c r="D70">
        <f t="shared" si="13"/>
        <v>71.647815173094628</v>
      </c>
      <c r="E70">
        <f t="shared" si="14"/>
        <v>70.079812560865619</v>
      </c>
      <c r="G70" s="5">
        <v>4.5859900000000002E-4</v>
      </c>
      <c r="H70" s="5">
        <v>1.0327699999999999E-4</v>
      </c>
      <c r="I70" s="4">
        <f t="shared" si="15"/>
        <v>74.843368774938995</v>
      </c>
      <c r="J70" s="4">
        <f t="shared" si="16"/>
        <v>81.158793898768593</v>
      </c>
      <c r="L70" s="5">
        <v>6.0678000000000001E-4</v>
      </c>
      <c r="M70" s="5">
        <v>1.3383899999999999E-4</v>
      </c>
      <c r="N70" s="4">
        <f t="shared" si="17"/>
        <v>79.07422249154564</v>
      </c>
      <c r="O70" s="4">
        <f t="shared" si="18"/>
        <v>86.642325843351259</v>
      </c>
      <c r="Q70">
        <f t="shared" si="12"/>
        <v>1.1486163333333332E-3</v>
      </c>
      <c r="R70">
        <f t="shared" si="12"/>
        <v>1.4404399999999999E-4</v>
      </c>
      <c r="T70">
        <f t="shared" si="19"/>
        <v>75.188468813193083</v>
      </c>
      <c r="U70">
        <f t="shared" si="20"/>
        <v>79.293644100995152</v>
      </c>
      <c r="W70">
        <f t="shared" si="21"/>
        <v>3.041622586952335</v>
      </c>
      <c r="X70">
        <f t="shared" si="22"/>
        <v>6.8890395742913748</v>
      </c>
    </row>
    <row r="71" spans="1:24" x14ac:dyDescent="0.2">
      <c r="A71">
        <v>449.34699999999998</v>
      </c>
      <c r="B71">
        <v>5.4027500000000001E-6</v>
      </c>
      <c r="C71">
        <v>5.2206999999999997E-5</v>
      </c>
      <c r="D71">
        <f t="shared" si="13"/>
        <v>0.16261294342144073</v>
      </c>
      <c r="E71">
        <f t="shared" si="14"/>
        <v>18.760803084696182</v>
      </c>
      <c r="G71" s="5">
        <v>4.7246599999999996E-6</v>
      </c>
      <c r="H71" s="5">
        <v>2.1384799999999999E-5</v>
      </c>
      <c r="I71" s="4">
        <f t="shared" si="15"/>
        <v>0.77106463537034153</v>
      </c>
      <c r="J71" s="4">
        <f t="shared" si="16"/>
        <v>16.804947624024578</v>
      </c>
      <c r="L71" s="5">
        <v>3.8427300000000001E-6</v>
      </c>
      <c r="M71" s="5">
        <v>2.3366999999999998E-5</v>
      </c>
      <c r="N71" s="4">
        <f t="shared" si="17"/>
        <v>0.50077604237934203</v>
      </c>
      <c r="O71" s="4">
        <f t="shared" si="18"/>
        <v>15.126915383270861</v>
      </c>
      <c r="Q71">
        <f t="shared" si="12"/>
        <v>4.6567133333333335E-6</v>
      </c>
      <c r="R71">
        <f t="shared" si="12"/>
        <v>3.2319599999999995E-5</v>
      </c>
      <c r="T71">
        <f t="shared" si="19"/>
        <v>0.47815120705704145</v>
      </c>
      <c r="U71">
        <f t="shared" si="20"/>
        <v>16.897555363997206</v>
      </c>
      <c r="W71">
        <f t="shared" si="21"/>
        <v>0.2489140115768107</v>
      </c>
      <c r="X71">
        <f t="shared" si="22"/>
        <v>1.4849729743376205</v>
      </c>
    </row>
    <row r="72" spans="1:24" x14ac:dyDescent="0.2">
      <c r="A72">
        <v>455.601</v>
      </c>
      <c r="B72">
        <v>5.4107499999999998E-6</v>
      </c>
      <c r="C72">
        <v>5.2233500000000001E-5</v>
      </c>
      <c r="D72">
        <f t="shared" si="13"/>
        <v>0.1628537288635529</v>
      </c>
      <c r="E72">
        <f t="shared" si="14"/>
        <v>18.770325970166414</v>
      </c>
      <c r="G72" s="5">
        <v>4.6621099999999997E-6</v>
      </c>
      <c r="H72" s="5">
        <v>2.13048E-5</v>
      </c>
      <c r="I72" s="4">
        <f t="shared" si="15"/>
        <v>0.76085647373703569</v>
      </c>
      <c r="J72" s="4">
        <f t="shared" si="16"/>
        <v>16.74208073679992</v>
      </c>
      <c r="L72" s="5">
        <v>3.7966799999999999E-6</v>
      </c>
      <c r="M72" s="5">
        <v>2.3290199999999999E-5</v>
      </c>
      <c r="N72" s="4">
        <f t="shared" si="17"/>
        <v>0.49477490861465684</v>
      </c>
      <c r="O72" s="4">
        <f t="shared" si="18"/>
        <v>15.077197956924513</v>
      </c>
      <c r="Q72">
        <f t="shared" si="12"/>
        <v>4.6231799999999995E-6</v>
      </c>
      <c r="R72">
        <f t="shared" si="12"/>
        <v>3.2276166666666668E-5</v>
      </c>
      <c r="T72">
        <f t="shared" si="19"/>
        <v>0.4728283704050818</v>
      </c>
      <c r="U72">
        <f t="shared" si="20"/>
        <v>16.863201554630283</v>
      </c>
      <c r="W72">
        <f t="shared" si="21"/>
        <v>0.24462632540753954</v>
      </c>
      <c r="X72">
        <f t="shared" si="22"/>
        <v>1.5101437723898876</v>
      </c>
    </row>
    <row r="73" spans="1:24" x14ac:dyDescent="0.2">
      <c r="A73">
        <v>461.72699999999998</v>
      </c>
      <c r="B73">
        <v>5.3782100000000003E-6</v>
      </c>
      <c r="C73">
        <v>5.2069800000000001E-5</v>
      </c>
      <c r="D73">
        <f t="shared" si="13"/>
        <v>0.16187433407776167</v>
      </c>
      <c r="E73">
        <f t="shared" si="14"/>
        <v>18.711499692752188</v>
      </c>
      <c r="G73" s="5">
        <v>4.5971000000000004E-6</v>
      </c>
      <c r="H73" s="5">
        <v>2.1212700000000001E-5</v>
      </c>
      <c r="I73" s="4">
        <f t="shared" si="15"/>
        <v>0.75024684003949449</v>
      </c>
      <c r="J73" s="4">
        <f t="shared" si="16"/>
        <v>16.669705232882524</v>
      </c>
      <c r="L73" s="5">
        <v>3.75704E-6</v>
      </c>
      <c r="M73" s="5">
        <v>2.3222199999999999E-5</v>
      </c>
      <c r="N73" s="4">
        <f t="shared" si="17"/>
        <v>0.48960911181917105</v>
      </c>
      <c r="O73" s="4">
        <f t="shared" si="18"/>
        <v>15.03317731901368</v>
      </c>
      <c r="Q73">
        <f t="shared" si="12"/>
        <v>4.5774500000000005E-6</v>
      </c>
      <c r="R73">
        <f t="shared" si="12"/>
        <v>3.2168233333333335E-5</v>
      </c>
      <c r="T73">
        <f t="shared" si="19"/>
        <v>0.46724342864547569</v>
      </c>
      <c r="U73">
        <f t="shared" si="20"/>
        <v>16.804794081549463</v>
      </c>
      <c r="W73">
        <f t="shared" si="21"/>
        <v>0.24072213480939941</v>
      </c>
      <c r="X73">
        <f t="shared" si="22"/>
        <v>1.5047038732060523</v>
      </c>
    </row>
    <row r="74" spans="1:24" x14ac:dyDescent="0.2">
      <c r="A74">
        <v>467.90100000000001</v>
      </c>
      <c r="B74">
        <v>5.3503799999999999E-6</v>
      </c>
      <c r="C74">
        <v>5.1912100000000001E-5</v>
      </c>
      <c r="D74">
        <f t="shared" si="13"/>
        <v>0.16103670172101392</v>
      </c>
      <c r="E74">
        <f t="shared" si="14"/>
        <v>18.654829540350082</v>
      </c>
      <c r="G74" s="5">
        <v>4.5383199999999999E-6</v>
      </c>
      <c r="H74" s="5">
        <v>2.1145299999999999E-5</v>
      </c>
      <c r="I74" s="4">
        <f t="shared" si="15"/>
        <v>0.74065394250463079</v>
      </c>
      <c r="J74" s="4">
        <f t="shared" si="16"/>
        <v>16.616739880395748</v>
      </c>
      <c r="L74" s="5">
        <v>3.7296799999999999E-6</v>
      </c>
      <c r="M74" s="5">
        <v>2.31809E-5</v>
      </c>
      <c r="N74" s="4">
        <f t="shared" si="17"/>
        <v>0.48604361736093465</v>
      </c>
      <c r="O74" s="4">
        <f t="shared" si="18"/>
        <v>15.00644125510607</v>
      </c>
      <c r="Q74">
        <f t="shared" si="12"/>
        <v>4.5394599999999992E-6</v>
      </c>
      <c r="R74">
        <f t="shared" si="12"/>
        <v>3.2079433333333337E-5</v>
      </c>
      <c r="T74">
        <f t="shared" si="19"/>
        <v>0.46257808719552646</v>
      </c>
      <c r="U74">
        <f t="shared" si="20"/>
        <v>16.759336891950635</v>
      </c>
      <c r="W74">
        <f t="shared" si="21"/>
        <v>0.23720878255643785</v>
      </c>
      <c r="X74">
        <f t="shared" si="22"/>
        <v>1.4928573722350311</v>
      </c>
    </row>
    <row r="75" spans="1:24" x14ac:dyDescent="0.2">
      <c r="A75">
        <v>474.11200000000002</v>
      </c>
      <c r="B75">
        <v>5.3716999999999997E-6</v>
      </c>
      <c r="C75">
        <v>5.1878500000000001E-5</v>
      </c>
      <c r="D75">
        <f t="shared" si="13"/>
        <v>0.16167839492424288</v>
      </c>
      <c r="E75">
        <f t="shared" si="14"/>
        <v>18.642755240282167</v>
      </c>
      <c r="G75" s="5">
        <v>4.4896000000000002E-6</v>
      </c>
      <c r="H75" s="5">
        <v>2.10826E-5</v>
      </c>
      <c r="I75" s="4">
        <f t="shared" si="15"/>
        <v>0.732702837232454</v>
      </c>
      <c r="J75" s="4">
        <f t="shared" si="16"/>
        <v>16.56746795753342</v>
      </c>
      <c r="L75" s="5">
        <v>3.69648E-6</v>
      </c>
      <c r="M75" s="5">
        <v>2.3123299999999999E-5</v>
      </c>
      <c r="N75" s="4">
        <f t="shared" si="17"/>
        <v>0.48171706706804546</v>
      </c>
      <c r="O75" s="4">
        <f t="shared" si="18"/>
        <v>14.969153185346308</v>
      </c>
      <c r="Q75">
        <f t="shared" si="12"/>
        <v>4.5192599999999998E-6</v>
      </c>
      <c r="R75">
        <f t="shared" si="12"/>
        <v>3.2028133333333333E-5</v>
      </c>
      <c r="T75">
        <f t="shared" si="19"/>
        <v>0.45869943307491412</v>
      </c>
      <c r="U75">
        <f t="shared" si="20"/>
        <v>16.726458794387298</v>
      </c>
      <c r="W75">
        <f t="shared" si="21"/>
        <v>0.23368723689914014</v>
      </c>
      <c r="X75">
        <f t="shared" si="22"/>
        <v>1.5039495956003899</v>
      </c>
    </row>
    <row r="76" spans="1:24" x14ac:dyDescent="0.2">
      <c r="A76">
        <v>480.45699999999999</v>
      </c>
      <c r="B76">
        <v>5.3655800000000002E-6</v>
      </c>
      <c r="C76">
        <v>5.1817100000000002E-5</v>
      </c>
      <c r="D76">
        <f t="shared" si="13"/>
        <v>0.16149419406102705</v>
      </c>
      <c r="E76">
        <f t="shared" si="14"/>
        <v>18.620690894324721</v>
      </c>
      <c r="G76" s="5">
        <v>4.4464000000000003E-6</v>
      </c>
      <c r="H76" s="5">
        <v>2.1036400000000001E-5</v>
      </c>
      <c r="I76" s="4">
        <f t="shared" si="15"/>
        <v>0.72565259610441535</v>
      </c>
      <c r="J76" s="4">
        <f t="shared" si="16"/>
        <v>16.531162330161177</v>
      </c>
      <c r="L76" s="5">
        <v>3.67089E-6</v>
      </c>
      <c r="M76" s="5">
        <v>2.3073599999999999E-5</v>
      </c>
      <c r="N76" s="4">
        <f t="shared" si="17"/>
        <v>0.47838223508024325</v>
      </c>
      <c r="O76" s="4">
        <f t="shared" si="18"/>
        <v>14.936979277932066</v>
      </c>
      <c r="Q76">
        <f t="shared" si="12"/>
        <v>4.4942900000000005E-6</v>
      </c>
      <c r="R76">
        <f t="shared" si="12"/>
        <v>3.1975700000000006E-5</v>
      </c>
      <c r="T76">
        <f t="shared" si="19"/>
        <v>0.45517634174856186</v>
      </c>
      <c r="U76">
        <f t="shared" si="20"/>
        <v>16.696277500805987</v>
      </c>
      <c r="W76">
        <f t="shared" si="21"/>
        <v>0.23090049915209282</v>
      </c>
      <c r="X76">
        <f t="shared" si="22"/>
        <v>1.5083943080572679</v>
      </c>
    </row>
    <row r="77" spans="1:24" x14ac:dyDescent="0.2">
      <c r="A77">
        <v>486.59</v>
      </c>
      <c r="B77">
        <v>5.3711600000000001E-6</v>
      </c>
      <c r="C77">
        <v>5.1773900000000002E-5</v>
      </c>
      <c r="D77">
        <f t="shared" si="13"/>
        <v>0.16166214190690029</v>
      </c>
      <c r="E77">
        <f t="shared" si="14"/>
        <v>18.605166794237395</v>
      </c>
      <c r="G77" s="5">
        <v>4.4050299999999997E-6</v>
      </c>
      <c r="H77" s="5">
        <v>2.0994900000000001E-5</v>
      </c>
      <c r="I77" s="4">
        <f t="shared" si="15"/>
        <v>0.71890101102416171</v>
      </c>
      <c r="J77" s="4">
        <f t="shared" si="16"/>
        <v>16.498550132413385</v>
      </c>
      <c r="L77" s="5">
        <v>3.6381899999999999E-6</v>
      </c>
      <c r="M77" s="5">
        <v>2.2987099999999999E-5</v>
      </c>
      <c r="N77" s="4">
        <f t="shared" si="17"/>
        <v>0.47412084367730711</v>
      </c>
      <c r="O77" s="4">
        <f t="shared" si="18"/>
        <v>14.880982437060197</v>
      </c>
      <c r="Q77">
        <f t="shared" si="12"/>
        <v>4.4714599999999992E-6</v>
      </c>
      <c r="R77">
        <f t="shared" si="12"/>
        <v>3.1918633333333336E-5</v>
      </c>
      <c r="T77">
        <f t="shared" si="19"/>
        <v>0.45156133220278977</v>
      </c>
      <c r="U77">
        <f t="shared" si="20"/>
        <v>16.661566454570323</v>
      </c>
      <c r="W77">
        <f t="shared" si="21"/>
        <v>0.22805041545273527</v>
      </c>
      <c r="X77">
        <f t="shared" si="22"/>
        <v>1.5247552858361708</v>
      </c>
    </row>
    <row r="78" spans="1:24" x14ac:dyDescent="0.2">
      <c r="A78">
        <v>492.80599999999998</v>
      </c>
      <c r="B78">
        <v>5.3595500000000002E-6</v>
      </c>
      <c r="C78">
        <v>5.1700199999999997E-5</v>
      </c>
      <c r="D78">
        <f t="shared" si="13"/>
        <v>0.16131270203403503</v>
      </c>
      <c r="E78">
        <f t="shared" si="14"/>
        <v>18.578682392005085</v>
      </c>
      <c r="G78" s="5">
        <v>4.36469E-6</v>
      </c>
      <c r="H78" s="5">
        <v>2.0951E-5</v>
      </c>
      <c r="I78" s="4">
        <f t="shared" si="15"/>
        <v>0.71231752197080345</v>
      </c>
      <c r="J78" s="4">
        <f t="shared" si="16"/>
        <v>16.464051928048846</v>
      </c>
      <c r="L78" s="5">
        <v>3.6165099999999999E-6</v>
      </c>
      <c r="M78" s="5">
        <v>2.2942199999999999E-5</v>
      </c>
      <c r="N78" s="4">
        <f t="shared" si="17"/>
        <v>0.47129555420893854</v>
      </c>
      <c r="O78" s="4">
        <f t="shared" si="18"/>
        <v>14.851915868792604</v>
      </c>
      <c r="Q78">
        <f t="shared" si="12"/>
        <v>4.4469166666666664E-6</v>
      </c>
      <c r="R78">
        <f t="shared" si="12"/>
        <v>3.1864466666666666E-5</v>
      </c>
      <c r="T78">
        <f t="shared" si="19"/>
        <v>0.44830859273792562</v>
      </c>
      <c r="U78">
        <f t="shared" si="20"/>
        <v>16.631550062948843</v>
      </c>
      <c r="W78">
        <f t="shared" si="21"/>
        <v>0.22553326169568286</v>
      </c>
      <c r="X78">
        <f t="shared" si="22"/>
        <v>1.5260491251443042</v>
      </c>
    </row>
    <row r="79" spans="1:24" x14ac:dyDescent="0.2">
      <c r="A79">
        <v>499.017</v>
      </c>
      <c r="B79">
        <v>5.3514000000000001E-6</v>
      </c>
      <c r="C79">
        <v>5.1671E-5</v>
      </c>
      <c r="D79">
        <f t="shared" si="13"/>
        <v>0.16106740186488325</v>
      </c>
      <c r="E79">
        <f t="shared" si="14"/>
        <v>18.568189250279399</v>
      </c>
      <c r="G79" s="5">
        <v>4.3245099999999997E-6</v>
      </c>
      <c r="H79" s="5">
        <v>2.0914400000000001E-5</v>
      </c>
      <c r="I79" s="4">
        <f t="shared" si="15"/>
        <v>0.70576014492162309</v>
      </c>
      <c r="J79" s="4">
        <f t="shared" si="16"/>
        <v>16.435290327143566</v>
      </c>
      <c r="L79" s="5">
        <v>3.59703E-6</v>
      </c>
      <c r="M79" s="5">
        <v>2.2920799999999999E-5</v>
      </c>
      <c r="N79" s="4">
        <f t="shared" si="17"/>
        <v>0.46875696385636378</v>
      </c>
      <c r="O79" s="4">
        <f t="shared" si="18"/>
        <v>14.838062315097137</v>
      </c>
      <c r="Q79">
        <f t="shared" si="12"/>
        <v>4.4243133333333338E-6</v>
      </c>
      <c r="R79">
        <f t="shared" si="12"/>
        <v>3.1835399999999997E-5</v>
      </c>
      <c r="T79">
        <f t="shared" si="19"/>
        <v>0.44519483688095668</v>
      </c>
      <c r="U79">
        <f t="shared" si="20"/>
        <v>16.613847297506698</v>
      </c>
      <c r="W79">
        <f t="shared" si="21"/>
        <v>0.22299316350562973</v>
      </c>
      <c r="X79">
        <f t="shared" si="22"/>
        <v>1.528043123713464</v>
      </c>
    </row>
    <row r="80" spans="1:24" x14ac:dyDescent="0.2">
      <c r="A80">
        <v>505.20699999999999</v>
      </c>
      <c r="B80">
        <v>5.3377700000000004E-6</v>
      </c>
      <c r="C80">
        <v>5.1583499999999998E-5</v>
      </c>
      <c r="D80">
        <f t="shared" si="13"/>
        <v>0.16065716366788463</v>
      </c>
      <c r="E80">
        <f t="shared" si="14"/>
        <v>18.536745760519192</v>
      </c>
      <c r="G80" s="5">
        <v>4.2924800000000003E-6</v>
      </c>
      <c r="H80" s="5">
        <v>2.0873399999999999E-5</v>
      </c>
      <c r="I80" s="4">
        <f t="shared" si="15"/>
        <v>0.70053284808525573</v>
      </c>
      <c r="J80" s="4">
        <f t="shared" si="16"/>
        <v>16.403071047440925</v>
      </c>
      <c r="L80" s="5">
        <v>3.5777699999999999E-6</v>
      </c>
      <c r="M80" s="5">
        <v>2.2902900000000001E-5</v>
      </c>
      <c r="N80" s="4">
        <f t="shared" si="17"/>
        <v>0.46624704341536838</v>
      </c>
      <c r="O80" s="4">
        <f t="shared" si="18"/>
        <v>14.826474529529431</v>
      </c>
      <c r="Q80">
        <f t="shared" si="12"/>
        <v>4.4026733333333337E-6</v>
      </c>
      <c r="R80">
        <f t="shared" si="12"/>
        <v>3.1786599999999998E-5</v>
      </c>
      <c r="T80">
        <f t="shared" si="19"/>
        <v>0.44247901838950288</v>
      </c>
      <c r="U80">
        <f t="shared" si="20"/>
        <v>16.588763779163184</v>
      </c>
      <c r="W80">
        <f t="shared" si="21"/>
        <v>0.22104317514383767</v>
      </c>
      <c r="X80">
        <f t="shared" si="22"/>
        <v>1.520392382432558</v>
      </c>
    </row>
    <row r="81" spans="1:24" x14ac:dyDescent="0.2">
      <c r="A81">
        <v>518.327</v>
      </c>
      <c r="B81">
        <v>2.3012699999999998E-3</v>
      </c>
      <c r="C81">
        <v>2.4265699999999999E-4</v>
      </c>
      <c r="D81">
        <f t="shared" si="13"/>
        <v>69.264039296184137</v>
      </c>
      <c r="E81">
        <f t="shared" si="14"/>
        <v>87.199804511332218</v>
      </c>
      <c r="G81" s="5">
        <v>3.87122E-4</v>
      </c>
      <c r="H81" s="5">
        <v>1.15573E-4</v>
      </c>
      <c r="I81" s="4">
        <f t="shared" si="15"/>
        <v>63.178320508531272</v>
      </c>
      <c r="J81" s="4">
        <f t="shared" si="16"/>
        <v>90.821434465199246</v>
      </c>
      <c r="L81" s="5">
        <v>5.0942399999999997E-4</v>
      </c>
      <c r="M81" s="5">
        <v>1.43399E-4</v>
      </c>
      <c r="N81" s="4">
        <f t="shared" si="17"/>
        <v>66.387004710987739</v>
      </c>
      <c r="O81" s="4">
        <f t="shared" si="18"/>
        <v>92.83110964375652</v>
      </c>
      <c r="Q81">
        <f t="shared" si="12"/>
        <v>1.0659386666666667E-3</v>
      </c>
      <c r="R81">
        <f t="shared" si="12"/>
        <v>1.6720966666666665E-4</v>
      </c>
      <c r="T81">
        <f t="shared" si="19"/>
        <v>66.276454838567716</v>
      </c>
      <c r="U81">
        <f t="shared" si="20"/>
        <v>90.284116206762675</v>
      </c>
      <c r="W81">
        <f t="shared" si="21"/>
        <v>2.4857137467693029</v>
      </c>
      <c r="X81">
        <f t="shared" si="22"/>
        <v>2.3301548670641421</v>
      </c>
    </row>
    <row r="82" spans="1:24" x14ac:dyDescent="0.2">
      <c r="A82">
        <v>524.44100000000003</v>
      </c>
      <c r="B82">
        <v>2.3374200000000002E-3</v>
      </c>
      <c r="C82">
        <v>2.3207800000000001E-4</v>
      </c>
      <c r="D82">
        <f t="shared" si="13"/>
        <v>70.352088512728528</v>
      </c>
      <c r="E82">
        <f t="shared" si="14"/>
        <v>83.398196760781531</v>
      </c>
      <c r="G82" s="5">
        <v>3.9844499999999998E-4</v>
      </c>
      <c r="H82" s="5">
        <v>1.1285099999999999E-4</v>
      </c>
      <c r="I82" s="4">
        <f t="shared" si="15"/>
        <v>65.02623440419751</v>
      </c>
      <c r="J82" s="4">
        <f t="shared" si="16"/>
        <v>88.682388627380107</v>
      </c>
      <c r="L82" s="5">
        <v>5.2338500000000002E-4</v>
      </c>
      <c r="M82" s="5">
        <v>1.4122700000000001E-4</v>
      </c>
      <c r="N82" s="4">
        <f t="shared" si="17"/>
        <v>68.206371236259628</v>
      </c>
      <c r="O82" s="4">
        <f t="shared" si="18"/>
        <v>91.425038679898762</v>
      </c>
      <c r="Q82">
        <f t="shared" si="12"/>
        <v>1.0864166666666667E-3</v>
      </c>
      <c r="R82">
        <f t="shared" si="12"/>
        <v>1.6205200000000001E-4</v>
      </c>
      <c r="T82">
        <f t="shared" si="19"/>
        <v>67.861564717728555</v>
      </c>
      <c r="U82">
        <f t="shared" si="20"/>
        <v>87.8352080226868</v>
      </c>
      <c r="W82">
        <f t="shared" si="21"/>
        <v>2.1878984052823114</v>
      </c>
      <c r="X82">
        <f t="shared" si="22"/>
        <v>3.3312494183965256</v>
      </c>
    </row>
    <row r="83" spans="1:24" x14ac:dyDescent="0.2">
      <c r="A83">
        <v>530.67700000000002</v>
      </c>
      <c r="B83">
        <v>2.3620799999999999E-3</v>
      </c>
      <c r="C83">
        <v>2.2484999999999999E-4</v>
      </c>
      <c r="D83">
        <f t="shared" si="13"/>
        <v>71.094309638039277</v>
      </c>
      <c r="E83">
        <f t="shared" si="14"/>
        <v>80.800784829504408</v>
      </c>
      <c r="G83" s="5">
        <v>4.0707699999999999E-4</v>
      </c>
      <c r="H83" s="5">
        <v>1.0921699999999999E-4</v>
      </c>
      <c r="I83" s="4">
        <f t="shared" si="15"/>
        <v>66.434977029596325</v>
      </c>
      <c r="J83" s="4">
        <f t="shared" si="16"/>
        <v>85.826660275199799</v>
      </c>
      <c r="L83" s="5">
        <v>5.3404400000000001E-4</v>
      </c>
      <c r="M83" s="5">
        <v>1.37033E-4</v>
      </c>
      <c r="N83" s="4">
        <f t="shared" si="17"/>
        <v>69.595428452280899</v>
      </c>
      <c r="O83" s="4">
        <f t="shared" si="18"/>
        <v>88.710001100515939</v>
      </c>
      <c r="Q83">
        <f t="shared" si="12"/>
        <v>1.1010670000000001E-3</v>
      </c>
      <c r="R83">
        <f t="shared" si="12"/>
        <v>1.5703333333333332E-4</v>
      </c>
      <c r="T83">
        <f t="shared" si="19"/>
        <v>69.041571706638834</v>
      </c>
      <c r="U83">
        <f t="shared" si="20"/>
        <v>85.11248206840672</v>
      </c>
      <c r="W83">
        <f t="shared" si="21"/>
        <v>1.9420630027619024</v>
      </c>
      <c r="X83">
        <f t="shared" si="22"/>
        <v>3.2681761874886757</v>
      </c>
    </row>
    <row r="84" spans="1:24" x14ac:dyDescent="0.2">
      <c r="A84">
        <v>536.91800000000001</v>
      </c>
      <c r="B84">
        <v>2.3784399999999999E-3</v>
      </c>
      <c r="C84">
        <v>2.2204399999999999E-4</v>
      </c>
      <c r="D84">
        <f t="shared" si="13"/>
        <v>71.586715867158674</v>
      </c>
      <c r="E84">
        <f t="shared" si="14"/>
        <v>79.792437032165793</v>
      </c>
      <c r="G84" s="5">
        <v>4.1357200000000002E-4</v>
      </c>
      <c r="H84" s="5">
        <v>1.07162E-4</v>
      </c>
      <c r="I84" s="4">
        <f t="shared" si="15"/>
        <v>67.494961199193796</v>
      </c>
      <c r="J84" s="4">
        <f t="shared" si="16"/>
        <v>84.211767109616275</v>
      </c>
      <c r="L84" s="5">
        <v>5.4209500000000003E-4</v>
      </c>
      <c r="M84" s="5">
        <v>1.3478000000000001E-4</v>
      </c>
      <c r="N84" s="4">
        <f t="shared" si="17"/>
        <v>70.644616898306538</v>
      </c>
      <c r="O84" s="4">
        <f t="shared" si="18"/>
        <v>87.25149378855852</v>
      </c>
      <c r="Q84">
        <f t="shared" si="12"/>
        <v>1.1113690000000001E-3</v>
      </c>
      <c r="R84">
        <f t="shared" si="12"/>
        <v>1.5466199999999999E-4</v>
      </c>
      <c r="T84">
        <f t="shared" si="19"/>
        <v>69.90876465488634</v>
      </c>
      <c r="U84">
        <f t="shared" si="20"/>
        <v>83.751899310113529</v>
      </c>
      <c r="W84">
        <f t="shared" si="21"/>
        <v>1.7496138543143362</v>
      </c>
      <c r="X84">
        <f t="shared" si="22"/>
        <v>3.0624598738635602</v>
      </c>
    </row>
    <row r="85" spans="1:24" x14ac:dyDescent="0.2">
      <c r="A85">
        <v>543.17700000000002</v>
      </c>
      <c r="B85">
        <v>2.3898000000000001E-3</v>
      </c>
      <c r="C85">
        <v>2.1897600000000001E-4</v>
      </c>
      <c r="D85">
        <f t="shared" si="13"/>
        <v>71.928631194957944</v>
      </c>
      <c r="E85">
        <f t="shared" si="14"/>
        <v>78.689938442630904</v>
      </c>
      <c r="G85" s="5">
        <v>4.1878599999999998E-4</v>
      </c>
      <c r="H85" s="5">
        <v>1.06161E-4</v>
      </c>
      <c r="I85" s="4">
        <f t="shared" si="15"/>
        <v>68.345886135341772</v>
      </c>
      <c r="J85" s="4">
        <f t="shared" si="16"/>
        <v>83.42514518321768</v>
      </c>
      <c r="L85" s="5">
        <v>5.4789200000000002E-4</v>
      </c>
      <c r="M85" s="5">
        <v>1.3403699999999999E-4</v>
      </c>
      <c r="N85" s="4">
        <f t="shared" si="17"/>
        <v>71.400069068423349</v>
      </c>
      <c r="O85" s="4">
        <f t="shared" si="18"/>
        <v>86.770503583150443</v>
      </c>
      <c r="Q85">
        <f t="shared" si="12"/>
        <v>1.1188260000000001E-3</v>
      </c>
      <c r="R85">
        <f t="shared" si="12"/>
        <v>1.53058E-4</v>
      </c>
      <c r="T85">
        <f t="shared" si="19"/>
        <v>70.558195466241031</v>
      </c>
      <c r="U85">
        <f t="shared" si="20"/>
        <v>82.961862402999671</v>
      </c>
      <c r="W85">
        <f t="shared" si="21"/>
        <v>1.5791514413527303</v>
      </c>
      <c r="X85">
        <f t="shared" si="22"/>
        <v>3.3151024567756355</v>
      </c>
    </row>
    <row r="86" spans="1:24" x14ac:dyDescent="0.2">
      <c r="A86">
        <v>549.27800000000002</v>
      </c>
      <c r="B86">
        <v>2.4025299999999999E-3</v>
      </c>
      <c r="C86">
        <v>2.1489999999999999E-4</v>
      </c>
      <c r="D86">
        <f t="shared" si="13"/>
        <v>72.311781029718929</v>
      </c>
      <c r="E86">
        <f t="shared" si="14"/>
        <v>77.225210851058463</v>
      </c>
      <c r="G86" s="5">
        <v>4.2278500000000001E-4</v>
      </c>
      <c r="H86" s="5">
        <v>1.0626E-4</v>
      </c>
      <c r="I86" s="4">
        <f t="shared" si="15"/>
        <v>68.998523039763683</v>
      </c>
      <c r="J86" s="4">
        <f t="shared" si="16"/>
        <v>83.502942956158208</v>
      </c>
      <c r="L86" s="5">
        <v>5.5539399999999996E-4</v>
      </c>
      <c r="M86" s="5">
        <v>1.3424899999999999E-4</v>
      </c>
      <c r="N86" s="4">
        <f t="shared" si="17"/>
        <v>72.377713053280416</v>
      </c>
      <c r="O86" s="4">
        <f t="shared" si="18"/>
        <v>86.907744395460696</v>
      </c>
      <c r="Q86">
        <f t="shared" si="12"/>
        <v>1.1269030000000001E-3</v>
      </c>
      <c r="R86">
        <f t="shared" si="12"/>
        <v>1.5180300000000002E-4</v>
      </c>
      <c r="T86">
        <f t="shared" si="19"/>
        <v>71.229339040921005</v>
      </c>
      <c r="U86">
        <f t="shared" si="20"/>
        <v>82.545299400892461</v>
      </c>
      <c r="W86">
        <f t="shared" si="21"/>
        <v>1.5776547533596406</v>
      </c>
      <c r="X86">
        <f t="shared" si="22"/>
        <v>4.0104592292176164</v>
      </c>
    </row>
    <row r="87" spans="1:24" x14ac:dyDescent="0.2">
      <c r="A87">
        <v>555.61199999999997</v>
      </c>
      <c r="B87">
        <v>2.4140799999999999E-3</v>
      </c>
      <c r="C87">
        <v>2.1221900000000001E-4</v>
      </c>
      <c r="D87">
        <f t="shared" si="13"/>
        <v>72.659415011768374</v>
      </c>
      <c r="E87">
        <f t="shared" si="14"/>
        <v>76.261782324805864</v>
      </c>
      <c r="G87" s="5">
        <v>4.2603399999999999E-4</v>
      </c>
      <c r="H87" s="5">
        <v>1.05925E-4</v>
      </c>
      <c r="I87" s="4">
        <f t="shared" si="15"/>
        <v>69.528759924601573</v>
      </c>
      <c r="J87" s="4">
        <f t="shared" si="16"/>
        <v>83.239687865904926</v>
      </c>
      <c r="L87" s="5">
        <v>5.5979399999999996E-4</v>
      </c>
      <c r="M87" s="5">
        <v>1.3468700000000001E-4</v>
      </c>
      <c r="N87" s="4">
        <f t="shared" si="17"/>
        <v>72.951111284868148</v>
      </c>
      <c r="O87" s="4">
        <f t="shared" si="18"/>
        <v>87.191289092592243</v>
      </c>
      <c r="Q87">
        <f t="shared" si="12"/>
        <v>1.1333026666666666E-3</v>
      </c>
      <c r="R87">
        <f t="shared" si="12"/>
        <v>1.5094366666666668E-4</v>
      </c>
      <c r="T87">
        <f t="shared" si="19"/>
        <v>71.713095407079365</v>
      </c>
      <c r="U87">
        <f t="shared" si="20"/>
        <v>82.230919761101006</v>
      </c>
      <c r="W87">
        <f t="shared" si="21"/>
        <v>1.5491423011769427</v>
      </c>
      <c r="X87">
        <f t="shared" si="22"/>
        <v>4.518608883548441</v>
      </c>
    </row>
    <row r="88" spans="1:24" x14ac:dyDescent="0.2">
      <c r="A88">
        <v>561.73</v>
      </c>
      <c r="B88">
        <v>2.42304E-3</v>
      </c>
      <c r="C88">
        <v>2.09583E-4</v>
      </c>
      <c r="D88">
        <f t="shared" si="13"/>
        <v>72.929094706934023</v>
      </c>
      <c r="E88">
        <f t="shared" si="14"/>
        <v>75.314524736144207</v>
      </c>
      <c r="G88" s="5">
        <v>4.2850000000000001E-4</v>
      </c>
      <c r="H88" s="5">
        <v>1.0567E-4</v>
      </c>
      <c r="I88" s="4">
        <f t="shared" si="15"/>
        <v>69.931211188993785</v>
      </c>
      <c r="J88" s="4">
        <f t="shared" si="16"/>
        <v>83.039299662876317</v>
      </c>
      <c r="L88" s="5">
        <v>5.6223799999999995E-4</v>
      </c>
      <c r="M88" s="5">
        <v>1.3609399999999999E-4</v>
      </c>
      <c r="N88" s="4">
        <f t="shared" si="17"/>
        <v>73.26960793895914</v>
      </c>
      <c r="O88" s="4">
        <f t="shared" si="18"/>
        <v>88.10212787995313</v>
      </c>
      <c r="Q88">
        <f t="shared" si="12"/>
        <v>1.137926E-3</v>
      </c>
      <c r="R88">
        <f t="shared" si="12"/>
        <v>1.5044899999999998E-4</v>
      </c>
      <c r="T88">
        <f t="shared" si="19"/>
        <v>72.043304611628983</v>
      </c>
      <c r="U88">
        <f t="shared" si="20"/>
        <v>82.151984092991214</v>
      </c>
      <c r="W88">
        <f t="shared" si="21"/>
        <v>1.4999313950422746</v>
      </c>
      <c r="X88">
        <f t="shared" si="22"/>
        <v>5.258085534444918</v>
      </c>
    </row>
    <row r="89" spans="1:24" x14ac:dyDescent="0.2">
      <c r="A89">
        <v>567.92600000000004</v>
      </c>
      <c r="B89">
        <v>2.4316300000000002E-3</v>
      </c>
      <c r="C89">
        <v>2.1020300000000001E-4</v>
      </c>
      <c r="D89">
        <f t="shared" si="13"/>
        <v>73.187638075401964</v>
      </c>
      <c r="E89">
        <f t="shared" si="14"/>
        <v>75.537324320730775</v>
      </c>
      <c r="G89" s="5">
        <v>4.3049899999999999E-4</v>
      </c>
      <c r="H89" s="5">
        <v>1.0610199999999999E-4</v>
      </c>
      <c r="I89" s="4">
        <f t="shared" si="15"/>
        <v>70.25744804119168</v>
      </c>
      <c r="J89" s="4">
        <f t="shared" si="16"/>
        <v>83.378780853889495</v>
      </c>
      <c r="L89" s="5">
        <v>5.6551699999999997E-4</v>
      </c>
      <c r="M89" s="5">
        <v>1.3712699999999999E-4</v>
      </c>
      <c r="N89" s="4">
        <f t="shared" si="17"/>
        <v>73.696919939271922</v>
      </c>
      <c r="O89" s="4">
        <f t="shared" si="18"/>
        <v>88.770853158804442</v>
      </c>
      <c r="Q89">
        <f t="shared" si="12"/>
        <v>1.1425486666666667E-3</v>
      </c>
      <c r="R89">
        <f t="shared" si="12"/>
        <v>1.51144E-4</v>
      </c>
      <c r="T89">
        <f t="shared" si="19"/>
        <v>72.380668685288526</v>
      </c>
      <c r="U89">
        <f t="shared" si="20"/>
        <v>82.562319444474909</v>
      </c>
      <c r="W89">
        <f t="shared" si="21"/>
        <v>1.5156717832600328</v>
      </c>
      <c r="X89">
        <f t="shared" si="22"/>
        <v>5.4333248446863722</v>
      </c>
    </row>
    <row r="90" spans="1:24" x14ac:dyDescent="0.2">
      <c r="A90">
        <v>574.19000000000005</v>
      </c>
      <c r="B90">
        <v>2.4364999999999999E-3</v>
      </c>
      <c r="C90">
        <v>2.1099500000000001E-4</v>
      </c>
      <c r="D90">
        <f t="shared" si="13"/>
        <v>73.334216213287746</v>
      </c>
      <c r="E90">
        <f t="shared" si="14"/>
        <v>75.821932822331704</v>
      </c>
      <c r="G90" s="5">
        <v>4.3226099999999997E-4</v>
      </c>
      <c r="H90" s="5">
        <v>1.05034E-4</v>
      </c>
      <c r="I90" s="4">
        <f t="shared" si="15"/>
        <v>70.545006487201036</v>
      </c>
      <c r="J90" s="4">
        <f t="shared" si="16"/>
        <v>82.539507909440246</v>
      </c>
      <c r="L90" s="5">
        <v>5.6884800000000005E-4</v>
      </c>
      <c r="M90" s="5">
        <v>1.36771E-4</v>
      </c>
      <c r="N90" s="4">
        <f t="shared" si="17"/>
        <v>74.131008464139811</v>
      </c>
      <c r="O90" s="4">
        <f t="shared" si="18"/>
        <v>88.540392172094798</v>
      </c>
      <c r="Q90">
        <f t="shared" si="12"/>
        <v>1.1458696666666668E-3</v>
      </c>
      <c r="R90">
        <f t="shared" si="12"/>
        <v>1.5093333333333333E-4</v>
      </c>
      <c r="T90">
        <f t="shared" si="19"/>
        <v>72.670077054876188</v>
      </c>
      <c r="U90">
        <f t="shared" si="20"/>
        <v>82.300610967955592</v>
      </c>
      <c r="W90">
        <f t="shared" si="21"/>
        <v>1.5374574597808985</v>
      </c>
      <c r="X90">
        <f t="shared" si="22"/>
        <v>5.1950364688730923</v>
      </c>
    </row>
    <row r="91" spans="1:24" x14ac:dyDescent="0.2">
      <c r="A91">
        <v>580.33500000000004</v>
      </c>
      <c r="B91">
        <v>2.4463699999999998E-3</v>
      </c>
      <c r="C91">
        <v>2.10254E-4</v>
      </c>
      <c r="D91">
        <f t="shared" si="13"/>
        <v>73.631285252493626</v>
      </c>
      <c r="E91">
        <f t="shared" si="14"/>
        <v>75.555651383333867</v>
      </c>
      <c r="G91" s="5">
        <v>4.3394700000000001E-4</v>
      </c>
      <c r="H91" s="5">
        <v>1.05265E-4</v>
      </c>
      <c r="I91" s="4">
        <f t="shared" si="15"/>
        <v>70.820161731225866</v>
      </c>
      <c r="J91" s="4">
        <f t="shared" si="16"/>
        <v>82.721036046301464</v>
      </c>
      <c r="L91" s="5">
        <v>5.7220299999999997E-4</v>
      </c>
      <c r="M91" s="5">
        <v>1.36389E-4</v>
      </c>
      <c r="N91" s="4">
        <f t="shared" si="17"/>
        <v>74.568224615725441</v>
      </c>
      <c r="O91" s="4">
        <f t="shared" si="18"/>
        <v>88.293099765007483</v>
      </c>
      <c r="Q91">
        <f t="shared" si="12"/>
        <v>1.15084E-3</v>
      </c>
      <c r="R91">
        <f t="shared" si="12"/>
        <v>1.50636E-4</v>
      </c>
      <c r="T91">
        <f t="shared" si="19"/>
        <v>73.006557199814992</v>
      </c>
      <c r="U91">
        <f t="shared" si="20"/>
        <v>82.189929064880928</v>
      </c>
      <c r="W91">
        <f t="shared" si="21"/>
        <v>1.5926304659050827</v>
      </c>
      <c r="X91">
        <f t="shared" si="22"/>
        <v>5.2135850613715684</v>
      </c>
    </row>
    <row r="92" spans="1:24" x14ac:dyDescent="0.2">
      <c r="A92">
        <v>586.61800000000005</v>
      </c>
      <c r="B92">
        <v>2.4507700000000001E-3</v>
      </c>
      <c r="C92">
        <v>2.0988300000000001E-4</v>
      </c>
      <c r="D92">
        <f t="shared" si="13"/>
        <v>73.763717245655329</v>
      </c>
      <c r="E92">
        <f t="shared" si="14"/>
        <v>75.422330986750623</v>
      </c>
      <c r="G92" s="5">
        <v>4.35902E-4</v>
      </c>
      <c r="H92" s="5">
        <v>1.0482199999999999E-4</v>
      </c>
      <c r="I92" s="4">
        <f t="shared" si="15"/>
        <v>71.139217782274841</v>
      </c>
      <c r="J92" s="4">
        <f t="shared" si="16"/>
        <v>82.372910658294899</v>
      </c>
      <c r="L92" s="5">
        <v>5.7325099999999999E-4</v>
      </c>
      <c r="M92" s="5">
        <v>1.36802E-4</v>
      </c>
      <c r="N92" s="4">
        <f t="shared" si="17"/>
        <v>74.70479764906726</v>
      </c>
      <c r="O92" s="4">
        <f t="shared" si="18"/>
        <v>88.560460404083557</v>
      </c>
      <c r="Q92">
        <f t="shared" si="12"/>
        <v>1.1533076666666666E-3</v>
      </c>
      <c r="R92">
        <f t="shared" si="12"/>
        <v>1.5050233333333332E-4</v>
      </c>
      <c r="T92">
        <f t="shared" si="19"/>
        <v>73.202577558999153</v>
      </c>
      <c r="U92">
        <f t="shared" si="20"/>
        <v>82.118567349709693</v>
      </c>
      <c r="W92">
        <f t="shared" si="21"/>
        <v>1.5087518588940356</v>
      </c>
      <c r="X92">
        <f t="shared" si="22"/>
        <v>5.3666332733296764</v>
      </c>
    </row>
    <row r="93" spans="1:24" x14ac:dyDescent="0.2">
      <c r="A93">
        <v>592.80999999999995</v>
      </c>
      <c r="B93">
        <v>2.4591399999999999E-3</v>
      </c>
      <c r="C93">
        <v>2.10266E-4</v>
      </c>
      <c r="D93">
        <f t="shared" si="13"/>
        <v>74.015639014465179</v>
      </c>
      <c r="E93">
        <f t="shared" si="14"/>
        <v>75.559963633358123</v>
      </c>
      <c r="G93" s="5">
        <v>4.3765999999999998E-4</v>
      </c>
      <c r="H93" s="5">
        <v>1.04038E-4</v>
      </c>
      <c r="I93" s="4">
        <f t="shared" si="15"/>
        <v>71.42612342817975</v>
      </c>
      <c r="J93" s="4">
        <f t="shared" si="16"/>
        <v>81.756815163493201</v>
      </c>
      <c r="L93" s="5">
        <v>5.7823399999999995E-4</v>
      </c>
      <c r="M93" s="5">
        <v>1.3597300000000001E-4</v>
      </c>
      <c r="N93" s="4">
        <f t="shared" si="17"/>
        <v>75.354171146340349</v>
      </c>
      <c r="O93" s="4">
        <f t="shared" si="18"/>
        <v>88.023797038964744</v>
      </c>
      <c r="Q93">
        <f t="shared" si="12"/>
        <v>1.1583446666666665E-3</v>
      </c>
      <c r="R93">
        <f t="shared" si="12"/>
        <v>1.5009233333333335E-4</v>
      </c>
      <c r="T93">
        <f t="shared" si="19"/>
        <v>73.598644529661755</v>
      </c>
      <c r="U93">
        <f t="shared" si="20"/>
        <v>81.780191945272023</v>
      </c>
      <c r="W93">
        <f t="shared" si="21"/>
        <v>1.6305015627722295</v>
      </c>
      <c r="X93">
        <f t="shared" si="22"/>
        <v>5.0883655297239043</v>
      </c>
    </row>
    <row r="94" spans="1:24" x14ac:dyDescent="0.2">
      <c r="A94">
        <v>598.93799999999999</v>
      </c>
      <c r="B94">
        <v>2.4647200000000001E-3</v>
      </c>
      <c r="C94">
        <v>2.10929E-4</v>
      </c>
      <c r="D94">
        <f t="shared" si="13"/>
        <v>74.183586860338423</v>
      </c>
      <c r="E94">
        <f t="shared" si="14"/>
        <v>75.798215447198288</v>
      </c>
      <c r="G94" s="5">
        <v>4.3954999999999998E-4</v>
      </c>
      <c r="H94" s="5">
        <v>1.04301E-4</v>
      </c>
      <c r="I94" s="4">
        <f t="shared" si="15"/>
        <v>71.734571477531432</v>
      </c>
      <c r="J94" s="4">
        <f t="shared" si="16"/>
        <v>81.963490055244279</v>
      </c>
      <c r="L94" s="5">
        <v>5.8246000000000003E-4</v>
      </c>
      <c r="M94" s="5">
        <v>1.3603399999999999E-4</v>
      </c>
      <c r="N94" s="4">
        <f t="shared" si="17"/>
        <v>75.904894084224395</v>
      </c>
      <c r="O94" s="4">
        <f t="shared" si="18"/>
        <v>88.06328614062005</v>
      </c>
      <c r="Q94">
        <f t="shared" si="12"/>
        <v>1.1622433333333332E-3</v>
      </c>
      <c r="R94">
        <f t="shared" si="12"/>
        <v>1.5042133333333332E-4</v>
      </c>
      <c r="T94">
        <f t="shared" si="19"/>
        <v>73.941017474031412</v>
      </c>
      <c r="U94">
        <f t="shared" si="20"/>
        <v>81.941663881020872</v>
      </c>
      <c r="W94">
        <f t="shared" si="21"/>
        <v>1.7111453457365169</v>
      </c>
      <c r="X94">
        <f t="shared" si="22"/>
        <v>5.0072179278230786</v>
      </c>
    </row>
    <row r="95" spans="1:24" x14ac:dyDescent="0.2">
      <c r="A95">
        <v>605.25900000000001</v>
      </c>
      <c r="B95">
        <v>2.4776099999999999E-3</v>
      </c>
      <c r="C95">
        <v>2.0982299999999999E-4</v>
      </c>
      <c r="D95">
        <f t="shared" si="13"/>
        <v>74.571552403941652</v>
      </c>
      <c r="E95">
        <f t="shared" si="14"/>
        <v>75.400769736629329</v>
      </c>
      <c r="G95" s="5">
        <v>4.4089800000000001E-4</v>
      </c>
      <c r="H95" s="5">
        <v>1.04769E-4</v>
      </c>
      <c r="I95" s="4">
        <f t="shared" si="15"/>
        <v>71.954565112730421</v>
      </c>
      <c r="J95" s="4">
        <f t="shared" si="16"/>
        <v>82.331261345508551</v>
      </c>
      <c r="L95" s="5">
        <v>5.8616799999999998E-4</v>
      </c>
      <c r="M95" s="5">
        <v>1.3771000000000001E-4</v>
      </c>
      <c r="N95" s="4">
        <f t="shared" si="17"/>
        <v>76.388112412116953</v>
      </c>
      <c r="O95" s="4">
        <f t="shared" si="18"/>
        <v>89.148265392657621</v>
      </c>
      <c r="Q95">
        <f t="shared" si="12"/>
        <v>1.1682253333333333E-3</v>
      </c>
      <c r="R95">
        <f t="shared" si="12"/>
        <v>1.5076733333333335E-4</v>
      </c>
      <c r="T95">
        <f t="shared" si="19"/>
        <v>74.304743309596333</v>
      </c>
      <c r="U95">
        <f t="shared" si="20"/>
        <v>82.293432158265162</v>
      </c>
      <c r="W95">
        <f t="shared" si="21"/>
        <v>1.8197940787523967</v>
      </c>
      <c r="X95">
        <f t="shared" si="22"/>
        <v>5.6124553443619076</v>
      </c>
    </row>
    <row r="96" spans="1:24" x14ac:dyDescent="0.2">
      <c r="A96">
        <v>611.42399999999998</v>
      </c>
      <c r="B96">
        <v>2.47599E-3</v>
      </c>
      <c r="C96">
        <v>2.08147E-4</v>
      </c>
      <c r="D96">
        <f t="shared" si="13"/>
        <v>74.522793351913947</v>
      </c>
      <c r="E96">
        <f t="shared" si="14"/>
        <v>74.798492149908185</v>
      </c>
      <c r="G96" s="5">
        <v>4.4309699999999999E-4</v>
      </c>
      <c r="H96" s="5">
        <v>1.05228E-4</v>
      </c>
      <c r="I96" s="4">
        <f t="shared" si="15"/>
        <v>72.313441970150706</v>
      </c>
      <c r="J96" s="4">
        <f t="shared" si="16"/>
        <v>82.691960110960068</v>
      </c>
      <c r="L96" s="5">
        <v>5.87609E-4</v>
      </c>
      <c r="M96" s="5">
        <v>1.3926800000000001E-4</v>
      </c>
      <c r="N96" s="4">
        <f t="shared" si="17"/>
        <v>76.575900332961936</v>
      </c>
      <c r="O96" s="4">
        <f t="shared" si="18"/>
        <v>90.156855890673455</v>
      </c>
      <c r="Q96">
        <f t="shared" si="12"/>
        <v>1.1688986666666668E-3</v>
      </c>
      <c r="R96">
        <f t="shared" si="12"/>
        <v>1.5088100000000001E-4</v>
      </c>
      <c r="T96">
        <f t="shared" si="19"/>
        <v>74.470711885008868</v>
      </c>
      <c r="U96">
        <f t="shared" si="20"/>
        <v>82.549102717180574</v>
      </c>
      <c r="W96">
        <f t="shared" si="21"/>
        <v>1.7405309885340714</v>
      </c>
      <c r="X96">
        <f t="shared" si="22"/>
        <v>6.2708394108301775</v>
      </c>
    </row>
    <row r="97" spans="1:24" x14ac:dyDescent="0.2">
      <c r="A97">
        <v>617.57000000000005</v>
      </c>
      <c r="B97">
        <v>2.4866799999999998E-3</v>
      </c>
      <c r="C97">
        <v>2.08703E-4</v>
      </c>
      <c r="D97">
        <f t="shared" si="13"/>
        <v>74.844542898936311</v>
      </c>
      <c r="E97">
        <f t="shared" si="14"/>
        <v>74.998293067698725</v>
      </c>
      <c r="G97" s="5">
        <v>4.4399100000000003E-4</v>
      </c>
      <c r="H97" s="5">
        <v>1.05022E-4</v>
      </c>
      <c r="I97" s="4">
        <f t="shared" si="15"/>
        <v>72.459342793494841</v>
      </c>
      <c r="J97" s="4">
        <f t="shared" si="16"/>
        <v>82.530077876356557</v>
      </c>
      <c r="L97" s="5">
        <v>5.8995499999999997E-4</v>
      </c>
      <c r="M97" s="5">
        <v>1.41006E-4</v>
      </c>
      <c r="N97" s="4">
        <f t="shared" si="17"/>
        <v>76.881625844622121</v>
      </c>
      <c r="O97" s="4">
        <f t="shared" si="18"/>
        <v>91.281971606688543</v>
      </c>
      <c r="Q97">
        <f t="shared" si="12"/>
        <v>1.1735419999999999E-3</v>
      </c>
      <c r="R97">
        <f t="shared" si="12"/>
        <v>1.5157699999999999E-4</v>
      </c>
      <c r="T97">
        <f t="shared" si="19"/>
        <v>74.728503845684429</v>
      </c>
      <c r="U97">
        <f t="shared" si="20"/>
        <v>82.936780850247942</v>
      </c>
      <c r="W97">
        <f t="shared" si="21"/>
        <v>1.807253098393913</v>
      </c>
      <c r="X97">
        <f t="shared" si="22"/>
        <v>6.6540014112822101</v>
      </c>
    </row>
    <row r="98" spans="1:24" x14ac:dyDescent="0.2">
      <c r="A98">
        <v>623.89099999999996</v>
      </c>
      <c r="B98">
        <v>2.4948700000000002E-3</v>
      </c>
      <c r="C98">
        <v>2.0973000000000001E-4</v>
      </c>
      <c r="D98">
        <f t="shared" si="13"/>
        <v>75.091046995298655</v>
      </c>
      <c r="E98">
        <f t="shared" si="14"/>
        <v>75.367349798941348</v>
      </c>
      <c r="G98" s="5">
        <v>4.4498200000000002E-4</v>
      </c>
      <c r="H98" s="5">
        <v>1.05247E-4</v>
      </c>
      <c r="I98" s="4">
        <f t="shared" si="15"/>
        <v>72.621074019371846</v>
      </c>
      <c r="J98" s="4">
        <f t="shared" si="16"/>
        <v>82.706890996675924</v>
      </c>
      <c r="L98" s="5">
        <v>5.9523499999999995E-4</v>
      </c>
      <c r="M98" s="5">
        <v>1.40195E-4</v>
      </c>
      <c r="N98" s="4">
        <f t="shared" si="17"/>
        <v>77.569703722527379</v>
      </c>
      <c r="O98" s="4">
        <f t="shared" si="18"/>
        <v>90.756960763369648</v>
      </c>
      <c r="Q98">
        <f t="shared" si="12"/>
        <v>1.1783623333333334E-3</v>
      </c>
      <c r="R98">
        <f t="shared" si="12"/>
        <v>1.51724E-4</v>
      </c>
      <c r="T98">
        <f t="shared" si="19"/>
        <v>75.093941579065969</v>
      </c>
      <c r="U98">
        <f t="shared" si="20"/>
        <v>82.943733852995635</v>
      </c>
      <c r="W98">
        <f t="shared" si="21"/>
        <v>2.0202706532706114</v>
      </c>
      <c r="X98">
        <f t="shared" si="22"/>
        <v>6.2850140446968616</v>
      </c>
    </row>
    <row r="99" spans="1:24" x14ac:dyDescent="0.2">
      <c r="A99">
        <v>630.03800000000001</v>
      </c>
      <c r="B99">
        <v>2.49607E-3</v>
      </c>
      <c r="C99">
        <v>2.10464E-4</v>
      </c>
      <c r="D99">
        <f t="shared" si="13"/>
        <v>75.127164811615486</v>
      </c>
      <c r="E99">
        <f t="shared" si="14"/>
        <v>75.631115758758355</v>
      </c>
      <c r="G99" s="5">
        <v>4.4568E-4</v>
      </c>
      <c r="H99" s="5">
        <v>1.05376E-4</v>
      </c>
      <c r="I99" s="4">
        <f t="shared" si="15"/>
        <v>72.73498763759801</v>
      </c>
      <c r="J99" s="4">
        <f t="shared" si="16"/>
        <v>82.80826385232568</v>
      </c>
      <c r="L99" s="5">
        <v>5.9829000000000002E-4</v>
      </c>
      <c r="M99" s="5">
        <v>1.40791E-4</v>
      </c>
      <c r="N99" s="4">
        <f t="shared" si="17"/>
        <v>77.967824540141137</v>
      </c>
      <c r="O99" s="4">
        <f t="shared" si="18"/>
        <v>91.142788707411654</v>
      </c>
      <c r="Q99">
        <f t="shared" si="12"/>
        <v>1.1800133333333333E-3</v>
      </c>
      <c r="R99">
        <f t="shared" si="12"/>
        <v>1.5221033333333333E-4</v>
      </c>
      <c r="T99">
        <f t="shared" si="19"/>
        <v>75.276658996451545</v>
      </c>
      <c r="U99">
        <f t="shared" si="20"/>
        <v>83.194056106165235</v>
      </c>
      <c r="W99">
        <f t="shared" si="21"/>
        <v>2.1389104540441668</v>
      </c>
      <c r="X99">
        <f t="shared" si="22"/>
        <v>6.3384869994785342</v>
      </c>
    </row>
    <row r="100" spans="1:24" x14ac:dyDescent="0.2">
      <c r="A100">
        <v>636.29200000000003</v>
      </c>
      <c r="B100">
        <v>2.5084199999999999E-3</v>
      </c>
      <c r="C100">
        <v>2.1179799999999999E-4</v>
      </c>
      <c r="D100">
        <f t="shared" si="13"/>
        <v>75.498877337876152</v>
      </c>
      <c r="E100">
        <f t="shared" si="14"/>
        <v>76.110494219788194</v>
      </c>
      <c r="G100" s="5">
        <v>4.4729900000000001E-4</v>
      </c>
      <c r="H100" s="5">
        <v>1.0477899999999999E-4</v>
      </c>
      <c r="I100" s="4">
        <f t="shared" si="15"/>
        <v>72.99920847987336</v>
      </c>
      <c r="J100" s="4">
        <f t="shared" si="16"/>
        <v>82.339119706411637</v>
      </c>
      <c r="L100" s="5">
        <v>5.9969799999999996E-4</v>
      </c>
      <c r="M100" s="5">
        <v>1.4147000000000001E-4</v>
      </c>
      <c r="N100" s="4">
        <f t="shared" si="17"/>
        <v>78.151311974249211</v>
      </c>
      <c r="O100" s="4">
        <f t="shared" si="18"/>
        <v>91.58234772419776</v>
      </c>
      <c r="Q100">
        <f t="shared" si="12"/>
        <v>1.185139E-3</v>
      </c>
      <c r="R100">
        <f t="shared" si="12"/>
        <v>1.5268233333333331E-4</v>
      </c>
      <c r="T100">
        <f t="shared" si="19"/>
        <v>75.549799263999574</v>
      </c>
      <c r="U100">
        <f t="shared" si="20"/>
        <v>83.343987216799192</v>
      </c>
      <c r="W100">
        <f t="shared" si="21"/>
        <v>2.1036456270183361</v>
      </c>
      <c r="X100">
        <f t="shared" si="22"/>
        <v>6.3561981168280148</v>
      </c>
    </row>
    <row r="101" spans="1:24" x14ac:dyDescent="0.2">
      <c r="A101">
        <v>642.43200000000002</v>
      </c>
      <c r="B101">
        <v>2.5154399999999999E-3</v>
      </c>
      <c r="C101">
        <v>2.1230899999999999E-4</v>
      </c>
      <c r="D101">
        <f t="shared" si="13"/>
        <v>75.71016656332958</v>
      </c>
      <c r="E101">
        <f t="shared" si="14"/>
        <v>76.294124199987778</v>
      </c>
      <c r="G101" s="5">
        <v>4.48682E-4</v>
      </c>
      <c r="H101" s="5">
        <v>1.05046E-4</v>
      </c>
      <c r="I101" s="4">
        <f t="shared" si="15"/>
        <v>73.224914115986252</v>
      </c>
      <c r="J101" s="4">
        <f t="shared" si="16"/>
        <v>82.548937942523949</v>
      </c>
      <c r="L101" s="5">
        <v>6.0400199999999997E-4</v>
      </c>
      <c r="M101" s="5">
        <v>1.4161100000000001E-4</v>
      </c>
      <c r="N101" s="4">
        <f t="shared" si="17"/>
        <v>78.712199698965932</v>
      </c>
      <c r="O101" s="4">
        <f t="shared" si="18"/>
        <v>91.673625811630515</v>
      </c>
      <c r="Q101">
        <f t="shared" si="12"/>
        <v>1.1893746666666665E-3</v>
      </c>
      <c r="R101">
        <f t="shared" si="12"/>
        <v>1.5298866666666667E-4</v>
      </c>
      <c r="T101">
        <f t="shared" si="19"/>
        <v>75.882426792760597</v>
      </c>
      <c r="U101">
        <f t="shared" si="20"/>
        <v>83.505562651380743</v>
      </c>
      <c r="W101">
        <f t="shared" si="21"/>
        <v>2.2434840401002605</v>
      </c>
      <c r="X101">
        <f t="shared" si="22"/>
        <v>6.3149882861241009</v>
      </c>
    </row>
    <row r="102" spans="1:24" x14ac:dyDescent="0.2">
      <c r="A102">
        <v>648.59</v>
      </c>
      <c r="B102">
        <v>2.5229800000000002E-3</v>
      </c>
      <c r="C102">
        <v>2.10686E-4</v>
      </c>
      <c r="D102">
        <f t="shared" si="13"/>
        <v>75.937106842520308</v>
      </c>
      <c r="E102">
        <f t="shared" si="14"/>
        <v>75.710892384207099</v>
      </c>
      <c r="G102" s="5">
        <v>4.50183E-4</v>
      </c>
      <c r="H102" s="5">
        <v>1.0511899999999999E-4</v>
      </c>
      <c r="I102" s="4">
        <f t="shared" si="15"/>
        <v>73.469877355180373</v>
      </c>
      <c r="J102" s="4">
        <f t="shared" si="16"/>
        <v>82.60630397711644</v>
      </c>
      <c r="L102" s="5">
        <v>6.0963399999999996E-4</v>
      </c>
      <c r="M102" s="5">
        <v>1.41383E-4</v>
      </c>
      <c r="N102" s="4">
        <f t="shared" si="17"/>
        <v>79.446149435398212</v>
      </c>
      <c r="O102" s="4">
        <f t="shared" si="18"/>
        <v>91.526027202164784</v>
      </c>
      <c r="Q102">
        <f t="shared" si="12"/>
        <v>1.1942656666666667E-3</v>
      </c>
      <c r="R102">
        <f t="shared" si="12"/>
        <v>1.5239599999999998E-4</v>
      </c>
      <c r="T102">
        <f t="shared" si="19"/>
        <v>76.28437787769964</v>
      </c>
      <c r="U102">
        <f t="shared" si="20"/>
        <v>83.281074521162779</v>
      </c>
      <c r="W102">
        <f t="shared" si="21"/>
        <v>2.4521289896881719</v>
      </c>
      <c r="X102">
        <f t="shared" si="22"/>
        <v>6.474107855804216</v>
      </c>
    </row>
    <row r="103" spans="1:24" x14ac:dyDescent="0.2">
      <c r="A103">
        <v>654.86</v>
      </c>
      <c r="B103">
        <v>2.5338299999999999E-3</v>
      </c>
      <c r="C103">
        <v>2.09345E-4</v>
      </c>
      <c r="D103">
        <f t="shared" si="13"/>
        <v>76.26367209838493</v>
      </c>
      <c r="E103">
        <f t="shared" si="14"/>
        <v>75.228998443996446</v>
      </c>
      <c r="G103" s="5">
        <v>4.50941E-4</v>
      </c>
      <c r="H103" s="5">
        <v>1.0576100000000001E-4</v>
      </c>
      <c r="I103" s="4">
        <f t="shared" si="15"/>
        <v>73.593582974973273</v>
      </c>
      <c r="J103" s="4">
        <f t="shared" si="16"/>
        <v>83.110810747094376</v>
      </c>
      <c r="L103" s="5">
        <v>6.1344199999999996E-4</v>
      </c>
      <c r="M103" s="5">
        <v>1.4201900000000001E-4</v>
      </c>
      <c r="N103" s="4">
        <f t="shared" si="17"/>
        <v>79.942399541281418</v>
      </c>
      <c r="O103" s="4">
        <f t="shared" si="18"/>
        <v>91.937749639095514</v>
      </c>
      <c r="Q103">
        <f t="shared" si="12"/>
        <v>1.1994043333333332E-3</v>
      </c>
      <c r="R103">
        <f t="shared" si="12"/>
        <v>1.52375E-4</v>
      </c>
      <c r="T103">
        <f t="shared" si="19"/>
        <v>76.599884871546536</v>
      </c>
      <c r="U103">
        <f t="shared" si="20"/>
        <v>83.425852943395441</v>
      </c>
      <c r="W103">
        <f t="shared" si="21"/>
        <v>2.6027738049735771</v>
      </c>
      <c r="X103">
        <f t="shared" si="22"/>
        <v>6.8249556928485529</v>
      </c>
    </row>
    <row r="104" spans="1:24" x14ac:dyDescent="0.2">
      <c r="A104">
        <v>661.11800000000005</v>
      </c>
      <c r="B104">
        <v>2.5364699999999999E-3</v>
      </c>
      <c r="C104">
        <v>2.14346E-4</v>
      </c>
      <c r="D104">
        <f t="shared" si="13"/>
        <v>76.343131294281946</v>
      </c>
      <c r="E104">
        <f t="shared" si="14"/>
        <v>77.026128641605311</v>
      </c>
      <c r="G104" s="5">
        <v>4.5283600000000003E-4</v>
      </c>
      <c r="H104" s="5">
        <v>1.0555700000000001E-4</v>
      </c>
      <c r="I104" s="4">
        <f t="shared" si="15"/>
        <v>73.902847024455525</v>
      </c>
      <c r="J104" s="4">
        <f t="shared" si="16"/>
        <v>82.950500184671498</v>
      </c>
      <c r="L104" s="5">
        <v>6.1769500000000003E-4</v>
      </c>
      <c r="M104" s="5">
        <v>1.4341399999999999E-4</v>
      </c>
      <c r="N104" s="4">
        <f t="shared" si="17"/>
        <v>80.496641059222924</v>
      </c>
      <c r="O104" s="4">
        <f t="shared" si="18"/>
        <v>92.840820078589786</v>
      </c>
      <c r="Q104">
        <f t="shared" si="12"/>
        <v>1.2023336666666666E-3</v>
      </c>
      <c r="R104">
        <f t="shared" si="12"/>
        <v>1.54439E-4</v>
      </c>
      <c r="T104">
        <f t="shared" si="19"/>
        <v>76.914206459320127</v>
      </c>
      <c r="U104">
        <f t="shared" si="20"/>
        <v>84.272482968288855</v>
      </c>
      <c r="W104">
        <f t="shared" si="21"/>
        <v>2.7220243785739164</v>
      </c>
      <c r="X104">
        <f t="shared" si="22"/>
        <v>6.5236413743600314</v>
      </c>
    </row>
    <row r="105" spans="1:24" x14ac:dyDescent="0.2">
      <c r="A105">
        <v>667.221</v>
      </c>
      <c r="B105">
        <v>2.5443499999999999E-3</v>
      </c>
      <c r="C105">
        <v>2.1445200000000001E-4</v>
      </c>
      <c r="D105">
        <f t="shared" si="13"/>
        <v>76.580304954762425</v>
      </c>
      <c r="E105">
        <f t="shared" si="14"/>
        <v>77.064220183486242</v>
      </c>
      <c r="G105" s="5">
        <v>4.5366699999999999E-4</v>
      </c>
      <c r="H105" s="5">
        <v>1.0653E-4</v>
      </c>
      <c r="I105" s="4">
        <f t="shared" si="15"/>
        <v>74.038466246154584</v>
      </c>
      <c r="J105" s="4">
        <f t="shared" si="16"/>
        <v>83.715118700541453</v>
      </c>
      <c r="L105" s="5">
        <v>6.2368899999999997E-4</v>
      </c>
      <c r="M105" s="5">
        <v>1.4418100000000001E-4</v>
      </c>
      <c r="N105" s="4">
        <f t="shared" si="17"/>
        <v>81.277765831981284</v>
      </c>
      <c r="O105" s="4">
        <f t="shared" si="18"/>
        <v>93.337346979731095</v>
      </c>
      <c r="Q105">
        <f t="shared" si="12"/>
        <v>1.2072353333333332E-3</v>
      </c>
      <c r="R105">
        <f t="shared" si="12"/>
        <v>1.5505433333333336E-4</v>
      </c>
      <c r="T105">
        <f t="shared" si="19"/>
        <v>77.298845677632769</v>
      </c>
      <c r="U105">
        <f t="shared" si="20"/>
        <v>84.705561954586258</v>
      </c>
      <c r="W105">
        <f t="shared" si="21"/>
        <v>2.9987875551245629</v>
      </c>
      <c r="X105">
        <f t="shared" si="22"/>
        <v>6.6802892807261829</v>
      </c>
    </row>
    <row r="106" spans="1:24" x14ac:dyDescent="0.2">
      <c r="A106">
        <v>673.51599999999996</v>
      </c>
      <c r="B106">
        <v>2.5513699999999999E-3</v>
      </c>
      <c r="C106">
        <v>2.1528899999999999E-4</v>
      </c>
      <c r="D106">
        <f t="shared" si="13"/>
        <v>76.791594180215867</v>
      </c>
      <c r="E106">
        <f t="shared" si="14"/>
        <v>77.364999622678127</v>
      </c>
      <c r="G106" s="5">
        <v>4.5448500000000002E-4</v>
      </c>
      <c r="H106" s="5">
        <v>1.06098E-4</v>
      </c>
      <c r="I106" s="4">
        <f t="shared" si="15"/>
        <v>74.171963867514208</v>
      </c>
      <c r="J106" s="4">
        <f t="shared" si="16"/>
        <v>83.375637509528261</v>
      </c>
      <c r="L106" s="5">
        <v>6.2916100000000004E-4</v>
      </c>
      <c r="M106" s="5">
        <v>1.4452000000000001E-4</v>
      </c>
      <c r="N106" s="4">
        <f t="shared" si="17"/>
        <v>81.990864723628576</v>
      </c>
      <c r="O106" s="4">
        <f t="shared" si="18"/>
        <v>93.556802806963034</v>
      </c>
      <c r="Q106">
        <f t="shared" si="12"/>
        <v>1.211672E-3</v>
      </c>
      <c r="R106">
        <f t="shared" si="12"/>
        <v>1.5530233333333333E-4</v>
      </c>
      <c r="T106">
        <f t="shared" si="19"/>
        <v>77.65147425711956</v>
      </c>
      <c r="U106">
        <f t="shared" si="20"/>
        <v>84.765813313056469</v>
      </c>
      <c r="W106">
        <f t="shared" si="21"/>
        <v>3.2494458973214098</v>
      </c>
      <c r="X106">
        <f t="shared" si="22"/>
        <v>6.682966614869537</v>
      </c>
    </row>
    <row r="107" spans="1:24" x14ac:dyDescent="0.2">
      <c r="A107">
        <v>679.74</v>
      </c>
      <c r="B107">
        <v>2.5565399999999999E-3</v>
      </c>
      <c r="C107">
        <v>2.1685399999999999E-4</v>
      </c>
      <c r="D107">
        <f t="shared" si="13"/>
        <v>76.947201772180847</v>
      </c>
      <c r="E107">
        <f t="shared" si="14"/>
        <v>77.927388896674884</v>
      </c>
      <c r="G107" s="5">
        <v>4.5495000000000003E-4</v>
      </c>
      <c r="H107" s="5">
        <v>1.06718E-4</v>
      </c>
      <c r="I107" s="4">
        <f t="shared" si="15"/>
        <v>74.247851879656295</v>
      </c>
      <c r="J107" s="4">
        <f t="shared" si="16"/>
        <v>83.862855885519409</v>
      </c>
      <c r="L107" s="5">
        <v>6.3293900000000001E-4</v>
      </c>
      <c r="M107" s="5">
        <v>1.4594900000000001E-4</v>
      </c>
      <c r="N107" s="4">
        <f t="shared" si="17"/>
        <v>82.483205296114576</v>
      </c>
      <c r="O107" s="4">
        <f t="shared" si="18"/>
        <v>94.481883565412744</v>
      </c>
      <c r="Q107">
        <f t="shared" si="12"/>
        <v>1.2148096666666666E-3</v>
      </c>
      <c r="R107">
        <f t="shared" si="12"/>
        <v>1.5650699999999998E-4</v>
      </c>
      <c r="T107">
        <f t="shared" si="19"/>
        <v>77.892752982650578</v>
      </c>
      <c r="U107">
        <f t="shared" si="20"/>
        <v>85.424042782535665</v>
      </c>
      <c r="W107">
        <f t="shared" si="21"/>
        <v>3.4279062406672622</v>
      </c>
      <c r="X107">
        <f t="shared" si="22"/>
        <v>6.8479097457973275</v>
      </c>
    </row>
    <row r="108" spans="1:24" x14ac:dyDescent="0.2">
      <c r="A108">
        <v>685.89499999999998</v>
      </c>
      <c r="B108">
        <v>2.5666199999999999E-3</v>
      </c>
      <c r="C108">
        <v>2.1696700000000001E-4</v>
      </c>
      <c r="D108">
        <f t="shared" si="13"/>
        <v>77.250591429242178</v>
      </c>
      <c r="E108">
        <f t="shared" si="14"/>
        <v>77.967995917736644</v>
      </c>
      <c r="G108" s="5">
        <v>4.5706799999999998E-4</v>
      </c>
      <c r="H108" s="5">
        <v>1.06714E-4</v>
      </c>
      <c r="I108" s="4">
        <f t="shared" si="15"/>
        <v>74.593509534961527</v>
      </c>
      <c r="J108" s="4">
        <f t="shared" si="16"/>
        <v>83.85971254115816</v>
      </c>
      <c r="L108" s="5">
        <v>6.3879300000000002E-4</v>
      </c>
      <c r="M108" s="5">
        <v>1.4645399999999999E-4</v>
      </c>
      <c r="N108" s="4">
        <f t="shared" si="17"/>
        <v>83.246085579686067</v>
      </c>
      <c r="O108" s="4">
        <f t="shared" si="18"/>
        <v>94.808801538132869</v>
      </c>
      <c r="Q108">
        <f t="shared" si="12"/>
        <v>1.2208270000000001E-3</v>
      </c>
      <c r="R108">
        <f t="shared" si="12"/>
        <v>1.5671166666666667E-4</v>
      </c>
      <c r="T108">
        <f t="shared" si="19"/>
        <v>78.363395514629929</v>
      </c>
      <c r="U108">
        <f t="shared" si="20"/>
        <v>85.545503332342548</v>
      </c>
      <c r="W108">
        <f t="shared" si="21"/>
        <v>3.6189793912811927</v>
      </c>
      <c r="X108">
        <f t="shared" si="22"/>
        <v>6.9778029698811768</v>
      </c>
    </row>
    <row r="109" spans="1:24" x14ac:dyDescent="0.2">
      <c r="A109">
        <v>692.197</v>
      </c>
      <c r="B109">
        <v>2.5726999999999998E-3</v>
      </c>
      <c r="C109">
        <v>2.1692599999999999E-4</v>
      </c>
      <c r="D109">
        <f t="shared" si="13"/>
        <v>77.433588365247431</v>
      </c>
      <c r="E109">
        <f t="shared" si="14"/>
        <v>77.953262396820435</v>
      </c>
      <c r="G109" s="5">
        <v>4.5816599999999998E-4</v>
      </c>
      <c r="H109" s="5">
        <v>1.0683699999999999E-4</v>
      </c>
      <c r="I109" s="4">
        <f t="shared" si="15"/>
        <v>74.772703163632485</v>
      </c>
      <c r="J109" s="4">
        <f t="shared" si="16"/>
        <v>83.95637038026608</v>
      </c>
      <c r="L109" s="5">
        <v>6.4590899999999996E-4</v>
      </c>
      <c r="M109" s="5">
        <v>1.4680300000000001E-4</v>
      </c>
      <c r="N109" s="4">
        <f t="shared" si="17"/>
        <v>84.173426901499298</v>
      </c>
      <c r="O109" s="4">
        <f t="shared" si="18"/>
        <v>95.034730988587015</v>
      </c>
      <c r="Q109">
        <f t="shared" si="12"/>
        <v>1.2255916666666666E-3</v>
      </c>
      <c r="R109">
        <f t="shared" si="12"/>
        <v>1.5685533333333331E-4</v>
      </c>
      <c r="T109">
        <f t="shared" si="19"/>
        <v>78.793239476793076</v>
      </c>
      <c r="U109">
        <f t="shared" si="20"/>
        <v>85.64812125522451</v>
      </c>
      <c r="W109">
        <f t="shared" si="21"/>
        <v>3.9564201038959967</v>
      </c>
      <c r="X109">
        <f t="shared" si="22"/>
        <v>7.0753401840509405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1CE7-0522-434E-820F-9B0D3C4D1890}">
  <dimension ref="A1:X109"/>
  <sheetViews>
    <sheetView topLeftCell="U1" workbookViewId="0">
      <selection activeCell="V8" sqref="V8"/>
    </sheetView>
  </sheetViews>
  <sheetFormatPr baseColWidth="10" defaultColWidth="8.83203125" defaultRowHeight="15" x14ac:dyDescent="0.2"/>
  <cols>
    <col min="1" max="1" width="9.5" bestFit="1" customWidth="1"/>
    <col min="2" max="2" width="12.33203125" bestFit="1" customWidth="1"/>
    <col min="3" max="3" width="9.5" bestFit="1" customWidth="1"/>
    <col min="4" max="5" width="12.5" customWidth="1"/>
    <col min="7" max="7" width="12.33203125" bestFit="1" customWidth="1"/>
    <col min="8" max="8" width="11.83203125" bestFit="1" customWidth="1"/>
    <col min="9" max="10" width="12.1640625" customWidth="1"/>
    <col min="12" max="13" width="11.83203125" bestFit="1" customWidth="1"/>
    <col min="14" max="15" width="11.83203125" customWidth="1"/>
    <col min="16" max="16" width="8.83203125" style="1"/>
    <col min="17" max="18" width="8.83203125" bestFit="1" customWidth="1"/>
    <col min="20" max="21" width="11.83203125" bestFit="1" customWidth="1"/>
    <col min="23" max="24" width="9.5" bestFit="1" customWidth="1"/>
  </cols>
  <sheetData>
    <row r="1" spans="1:24" ht="32" x14ac:dyDescent="0.2">
      <c r="A1" t="s">
        <v>5</v>
      </c>
      <c r="B1" t="s">
        <v>0</v>
      </c>
      <c r="C1" t="s">
        <v>1</v>
      </c>
      <c r="D1" t="s">
        <v>11</v>
      </c>
      <c r="E1" t="s">
        <v>12</v>
      </c>
      <c r="G1" t="s">
        <v>0</v>
      </c>
      <c r="H1" t="s">
        <v>1</v>
      </c>
      <c r="I1" t="s">
        <v>11</v>
      </c>
      <c r="J1" t="s">
        <v>12</v>
      </c>
      <c r="L1" s="2" t="s">
        <v>0</v>
      </c>
      <c r="M1" s="2" t="s">
        <v>1</v>
      </c>
      <c r="N1" t="s">
        <v>11</v>
      </c>
      <c r="O1" t="s">
        <v>12</v>
      </c>
      <c r="Q1" t="s">
        <v>3</v>
      </c>
      <c r="R1" t="s">
        <v>4</v>
      </c>
      <c r="T1" t="s">
        <v>9</v>
      </c>
      <c r="U1" t="s">
        <v>10</v>
      </c>
      <c r="W1" t="s">
        <v>7</v>
      </c>
      <c r="X1" t="s">
        <v>8</v>
      </c>
    </row>
    <row r="2" spans="1:24" ht="16" x14ac:dyDescent="0.2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2">
      <c r="A3">
        <v>6.2718699999999998</v>
      </c>
      <c r="B3">
        <v>1.20768E-3</v>
      </c>
      <c r="C3">
        <v>1.4498000000000001E-4</v>
      </c>
      <c r="D3">
        <f>B3/$B$3*100</f>
        <v>100</v>
      </c>
      <c r="E3">
        <f>C3/$C$3*100</f>
        <v>100</v>
      </c>
      <c r="G3">
        <v>8.2021500000000001E-4</v>
      </c>
      <c r="H3">
        <v>1.21001E-4</v>
      </c>
      <c r="I3">
        <f>G3/$G$3*100</f>
        <v>100</v>
      </c>
      <c r="J3">
        <f>H3/$H$3*100</f>
        <v>100</v>
      </c>
      <c r="L3" s="5">
        <v>9.1907000000000002E-4</v>
      </c>
      <c r="M3" s="5">
        <v>1.27374E-4</v>
      </c>
      <c r="N3" s="4">
        <f>L3/$L$3*100</f>
        <v>100</v>
      </c>
      <c r="O3" s="4">
        <f>M3/$M$3*100</f>
        <v>100</v>
      </c>
      <c r="Q3">
        <f>AVERAGE(B3,G3,L3)</f>
        <v>9.8232166666666672E-4</v>
      </c>
      <c r="R3">
        <f>AVERAGE(C3,H3,M3)</f>
        <v>1.3111833333333332E-4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2">
      <c r="A4">
        <v>12.437099999999999</v>
      </c>
      <c r="B4">
        <v>1.2099000000000001E-3</v>
      </c>
      <c r="C4">
        <v>1.4216700000000001E-4</v>
      </c>
      <c r="D4">
        <f>B4/$B$3*100</f>
        <v>100.18382352941177</v>
      </c>
      <c r="E4">
        <f>C4/$C$3*100</f>
        <v>98.059732376879566</v>
      </c>
      <c r="G4">
        <v>8.2295899999999995E-4</v>
      </c>
      <c r="H4">
        <v>1.21766E-4</v>
      </c>
      <c r="I4">
        <f>G4/$G$3*100</f>
        <v>100.33454642989948</v>
      </c>
      <c r="J4">
        <f>H4/$H$3*100</f>
        <v>100.63222617994892</v>
      </c>
      <c r="L4" s="5">
        <v>9.2576400000000004E-4</v>
      </c>
      <c r="M4" s="5">
        <v>1.2429300000000001E-4</v>
      </c>
      <c r="N4" s="4">
        <f>L4/$L$3*100</f>
        <v>100.7283449574026</v>
      </c>
      <c r="O4" s="4">
        <f>M4/$M$3*100</f>
        <v>97.581139007960815</v>
      </c>
      <c r="Q4">
        <f>AVERAGE(B4,G4,L4)</f>
        <v>9.8620766666666676E-4</v>
      </c>
      <c r="R4">
        <f>AVERAGE(C4,H4,M4)</f>
        <v>1.2940866666666666E-4</v>
      </c>
      <c r="T4">
        <f>AVERAGE(D4,I4,N4)</f>
        <v>100.41557163890462</v>
      </c>
      <c r="U4">
        <f>AVERAGE(E4,J4,O4)</f>
        <v>98.757699188263089</v>
      </c>
      <c r="W4">
        <f>_xlfn.STDEV.P(D4,I4,N4)</f>
        <v>0.22956438422374073</v>
      </c>
      <c r="X4">
        <f>_xlfn.STDEV.P(E4,J4,O4)</f>
        <v>1.3398137893285167</v>
      </c>
    </row>
    <row r="5" spans="1:24" x14ac:dyDescent="0.2">
      <c r="A5">
        <v>18.545500000000001</v>
      </c>
      <c r="B5">
        <v>1.2103299999999999E-3</v>
      </c>
      <c r="C5">
        <v>1.4084199999999999E-4</v>
      </c>
      <c r="D5">
        <f>B5/$B$3*100</f>
        <v>100.21942898781133</v>
      </c>
      <c r="E5">
        <f>C5/$C$3*100</f>
        <v>97.145813215615931</v>
      </c>
      <c r="G5">
        <v>8.2565999999999998E-4</v>
      </c>
      <c r="H5">
        <v>1.18887E-4</v>
      </c>
      <c r="I5">
        <f>G5/$G$3*100</f>
        <v>100.66385033192515</v>
      </c>
      <c r="J5">
        <f>H5/$H$3*100</f>
        <v>98.252907000768587</v>
      </c>
      <c r="L5" s="5">
        <v>9.2727300000000005E-4</v>
      </c>
      <c r="M5" s="5">
        <v>1.26542E-4</v>
      </c>
      <c r="N5" s="4">
        <f>L5/$L$3*100</f>
        <v>100.89253266889355</v>
      </c>
      <c r="O5" s="4">
        <f>M5/$M$3*100</f>
        <v>99.346805470504179</v>
      </c>
      <c r="Q5">
        <f>AVERAGE(B5,G5,L5)</f>
        <v>9.8775433333333335E-4</v>
      </c>
      <c r="R5">
        <f>AVERAGE(C5,H5,M5)</f>
        <v>1.2875699999999999E-4</v>
      </c>
      <c r="T5">
        <f>AVERAGE(D5,I5,N5)</f>
        <v>100.59193732954334</v>
      </c>
      <c r="U5">
        <f>AVERAGE(E5,J5,O5)</f>
        <v>98.248508562296237</v>
      </c>
      <c r="W5">
        <f>_xlfn.STDEV.P(D5,I5,N5)</f>
        <v>0.2794587045286947</v>
      </c>
      <c r="X5">
        <f>_xlfn.STDEV.P(E5,J5,O5)</f>
        <v>0.89855670799167731</v>
      </c>
    </row>
    <row r="6" spans="1:24" x14ac:dyDescent="0.2">
      <c r="A6">
        <v>24.791399999999999</v>
      </c>
      <c r="B6">
        <v>1.2124799999999999E-3</v>
      </c>
      <c r="C6">
        <v>1.4106599999999999E-4</v>
      </c>
      <c r="D6">
        <f>B6/$B$3*100</f>
        <v>100.39745627980921</v>
      </c>
      <c r="E6">
        <f>C6/$C$3*100</f>
        <v>97.300317285142768</v>
      </c>
      <c r="G6">
        <v>8.2679200000000002E-4</v>
      </c>
      <c r="H6">
        <v>1.23709E-4</v>
      </c>
      <c r="I6">
        <f>G6/$G$3*100</f>
        <v>100.80186292618399</v>
      </c>
      <c r="J6">
        <f>H6/$H$3*100</f>
        <v>102.23799803307412</v>
      </c>
      <c r="L6" s="5">
        <v>9.3419300000000005E-4</v>
      </c>
      <c r="M6" s="5">
        <v>1.2902899999999999E-4</v>
      </c>
      <c r="N6" s="4">
        <f>L6/$L$3*100</f>
        <v>101.64546770104563</v>
      </c>
      <c r="O6" s="4">
        <f>M6/$M$3*100</f>
        <v>101.29932325278313</v>
      </c>
      <c r="Q6">
        <f>AVERAGE(B6,G6,L6)</f>
        <v>9.9115499999999986E-4</v>
      </c>
      <c r="R6">
        <f>AVERAGE(C6,H6,M6)</f>
        <v>1.31268E-4</v>
      </c>
      <c r="T6">
        <f>AVERAGE(D6,I6,N6)</f>
        <v>100.94826230234628</v>
      </c>
      <c r="U6">
        <f>AVERAGE(E6,J6,O6)</f>
        <v>100.279212857</v>
      </c>
      <c r="W6">
        <f>_xlfn.STDEV.P(D6,I6,N6)</f>
        <v>0.51990878038983723</v>
      </c>
      <c r="X6">
        <f>_xlfn.STDEV.P(E6,J6,O6)</f>
        <v>2.1409720077278882</v>
      </c>
    </row>
    <row r="7" spans="1:24" x14ac:dyDescent="0.2">
      <c r="A7">
        <v>31.106999999999999</v>
      </c>
      <c r="B7">
        <v>1.21284E-3</v>
      </c>
      <c r="C7">
        <v>1.3862600000000001E-4</v>
      </c>
      <c r="D7">
        <f>B7/$B$3*100</f>
        <v>100.4272655007949</v>
      </c>
      <c r="E7">
        <f>C7/$C$3*100</f>
        <v>95.617326527796948</v>
      </c>
      <c r="G7">
        <v>8.2843200000000004E-4</v>
      </c>
      <c r="H7">
        <v>1.2198599999999999E-4</v>
      </c>
      <c r="I7">
        <f>G7/$G$3*100</f>
        <v>101.00181050090526</v>
      </c>
      <c r="J7">
        <f>H7/$H$3*100</f>
        <v>100.81404285914992</v>
      </c>
      <c r="L7" s="5">
        <v>9.3879399999999996E-4</v>
      </c>
      <c r="M7" s="5">
        <v>1.2898799999999999E-4</v>
      </c>
      <c r="N7" s="4">
        <f>L7/$L$3*100</f>
        <v>102.14608245291434</v>
      </c>
      <c r="O7" s="4">
        <f>M7/$M$3*100</f>
        <v>101.26713458005558</v>
      </c>
      <c r="Q7">
        <f>AVERAGE(B7,G7,L7)</f>
        <v>9.9335533333333339E-4</v>
      </c>
      <c r="R7">
        <f>AVERAGE(C7,H7,M7)</f>
        <v>1.2986666666666669E-4</v>
      </c>
      <c r="T7">
        <f>AVERAGE(D7,I7,N7)</f>
        <v>101.1917194848715</v>
      </c>
      <c r="U7">
        <f>AVERAGE(E7,J7,O7)</f>
        <v>99.232834655667489</v>
      </c>
      <c r="W7">
        <f>_xlfn.STDEV.P(D7,I7,N7)</f>
        <v>0.71443777212882897</v>
      </c>
      <c r="X7">
        <f>_xlfn.STDEV.P(E7,J7,O7)</f>
        <v>2.563233282908099</v>
      </c>
    </row>
    <row r="8" spans="1:24" x14ac:dyDescent="0.2">
      <c r="A8">
        <v>37.192399999999999</v>
      </c>
      <c r="B8">
        <v>1.2139200000000001E-3</v>
      </c>
      <c r="C8">
        <v>1.3807700000000001E-4</v>
      </c>
      <c r="D8">
        <f>B8/$B$3*100</f>
        <v>100.51669316375198</v>
      </c>
      <c r="E8">
        <f>C8/$C$3*100</f>
        <v>95.238653607394127</v>
      </c>
      <c r="G8">
        <v>8.3020499999999998E-4</v>
      </c>
      <c r="H8">
        <v>1.23373E-4</v>
      </c>
      <c r="I8">
        <f>G8/$G$3*100</f>
        <v>101.21797333625939</v>
      </c>
      <c r="J8">
        <f>H8/$H$3*100</f>
        <v>101.96031437756712</v>
      </c>
      <c r="L8" s="5">
        <v>9.4230900000000001E-4</v>
      </c>
      <c r="M8" s="5">
        <v>1.2997700000000001E-4</v>
      </c>
      <c r="N8" s="4">
        <f>L8/$L$3*100</f>
        <v>102.52853427921704</v>
      </c>
      <c r="O8" s="4">
        <f>M8/$M$3*100</f>
        <v>102.0435881734106</v>
      </c>
      <c r="Q8">
        <f>AVERAGE(B8,G8,L8)</f>
        <v>9.9547799999999994E-4</v>
      </c>
      <c r="R8">
        <f>AVERAGE(C8,H8,M8)</f>
        <v>1.3047566666666665E-4</v>
      </c>
      <c r="T8">
        <f>AVERAGE(D8,I8,N8)</f>
        <v>101.42106692640948</v>
      </c>
      <c r="U8">
        <f>AVERAGE(E8,J8,O8)</f>
        <v>99.747518719457275</v>
      </c>
      <c r="W8">
        <f>_xlfn.STDEV.P(D8,I8,N8)</f>
        <v>0.8337911102264407</v>
      </c>
      <c r="X8">
        <f>_xlfn.STDEV.P(E8,J8,O8)</f>
        <v>3.188430343220495</v>
      </c>
    </row>
    <row r="9" spans="1:24" x14ac:dyDescent="0.2">
      <c r="A9">
        <v>43.526200000000003</v>
      </c>
      <c r="B9">
        <v>1.21313E-3</v>
      </c>
      <c r="C9">
        <v>1.3789600000000001E-4</v>
      </c>
      <c r="D9">
        <f>B9/$B$3*100</f>
        <v>100.45127848436672</v>
      </c>
      <c r="E9">
        <f>C9/$C$3*100</f>
        <v>95.113808801213963</v>
      </c>
      <c r="G9">
        <v>8.3104000000000001E-4</v>
      </c>
      <c r="H9">
        <v>1.20872E-4</v>
      </c>
      <c r="I9">
        <f>G9/$G$3*100</f>
        <v>101.31977591241321</v>
      </c>
      <c r="J9">
        <f>H9/$H$3*100</f>
        <v>99.893389310832148</v>
      </c>
      <c r="L9" s="5">
        <v>9.4902300000000001E-4</v>
      </c>
      <c r="M9" s="5">
        <v>1.2745700000000001E-4</v>
      </c>
      <c r="N9" s="4">
        <f>L9/$L$3*100</f>
        <v>103.25905534942932</v>
      </c>
      <c r="O9" s="4">
        <f>M9/$M$3*100</f>
        <v>100.06516243503386</v>
      </c>
      <c r="Q9">
        <f>AVERAGE(B9,G9,L9)</f>
        <v>9.9773099999999997E-4</v>
      </c>
      <c r="R9">
        <f>AVERAGE(C9,H9,M9)</f>
        <v>1.2874166666666667E-4</v>
      </c>
      <c r="T9">
        <f>AVERAGE(D9,I9,N9)</f>
        <v>101.67670324873642</v>
      </c>
      <c r="U9">
        <f>AVERAGE(E9,J9,O9)</f>
        <v>98.357453515693336</v>
      </c>
      <c r="W9">
        <f>_xlfn.STDEV.P(D9,I9,N9)</f>
        <v>1.1737264228533741</v>
      </c>
      <c r="X9">
        <f>_xlfn.STDEV.P(E9,J9,O9)</f>
        <v>2.2946749627310203</v>
      </c>
    </row>
    <row r="10" spans="1:24" x14ac:dyDescent="0.2">
      <c r="A10">
        <v>49.688299999999998</v>
      </c>
      <c r="B10">
        <v>1.2153800000000001E-3</v>
      </c>
      <c r="C10">
        <v>1.3899800000000001E-4</v>
      </c>
      <c r="D10">
        <f>B10/$B$3*100</f>
        <v>100.63758611552728</v>
      </c>
      <c r="E10">
        <f>C10/$C$3*100</f>
        <v>95.873913643261147</v>
      </c>
      <c r="G10">
        <v>8.3293400000000002E-4</v>
      </c>
      <c r="H10">
        <v>1.22731E-4</v>
      </c>
      <c r="I10">
        <f>G10/$G$3*100</f>
        <v>101.55069097736569</v>
      </c>
      <c r="J10">
        <f>H10/$H$3*100</f>
        <v>101.42974025008058</v>
      </c>
      <c r="L10" s="5">
        <v>9.5267799999999999E-4</v>
      </c>
      <c r="M10" s="5">
        <v>1.29937E-4</v>
      </c>
      <c r="N10" s="4">
        <f>L10/$L$3*100</f>
        <v>103.65673996539981</v>
      </c>
      <c r="O10" s="4">
        <f>M10/$M$3*100</f>
        <v>102.01218459026175</v>
      </c>
      <c r="Q10">
        <f>AVERAGE(B10,G10,L10)</f>
        <v>1.0003306666666668E-3</v>
      </c>
      <c r="R10">
        <f>AVERAGE(C10,H10,M10)</f>
        <v>1.3055533333333335E-4</v>
      </c>
      <c r="T10">
        <f>AVERAGE(D10,I10,N10)</f>
        <v>101.94833901943093</v>
      </c>
      <c r="U10">
        <f>AVERAGE(E10,J10,O10)</f>
        <v>99.771946161201171</v>
      </c>
      <c r="W10">
        <f>_xlfn.STDEV.P(D10,I10,N10)</f>
        <v>1.2642297961786213</v>
      </c>
      <c r="X10">
        <f>_xlfn.STDEV.P(E10,J10,O10)</f>
        <v>2.7665626669859473</v>
      </c>
    </row>
    <row r="11" spans="1:24" x14ac:dyDescent="0.2">
      <c r="A11">
        <v>55.8005</v>
      </c>
      <c r="B11">
        <v>1.21503E-3</v>
      </c>
      <c r="C11">
        <v>1.3835E-4</v>
      </c>
      <c r="D11">
        <f>B11/$B$3*100</f>
        <v>100.60860492845786</v>
      </c>
      <c r="E11">
        <f>C11/$C$3*100</f>
        <v>95.426955442129952</v>
      </c>
      <c r="G11">
        <v>8.33456E-4</v>
      </c>
      <c r="H11">
        <v>1.2290200000000001E-4</v>
      </c>
      <c r="I11">
        <f>G11/$G$3*100</f>
        <v>101.61433282736843</v>
      </c>
      <c r="J11">
        <f>H11/$H$3*100</f>
        <v>101.57106139618681</v>
      </c>
      <c r="L11" s="5">
        <v>9.5522499999999998E-4</v>
      </c>
      <c r="M11" s="5">
        <v>1.3121899999999999E-4</v>
      </c>
      <c r="N11" s="4">
        <f>L11/$L$3*100</f>
        <v>103.93386793171358</v>
      </c>
      <c r="O11" s="4">
        <f>M11/$M$3*100</f>
        <v>103.01866943018196</v>
      </c>
      <c r="Q11">
        <f>AVERAGE(B11,G11,L11)</f>
        <v>1.0012370000000001E-3</v>
      </c>
      <c r="R11">
        <f>AVERAGE(C11,H11,M11)</f>
        <v>1.3082366666666669E-4</v>
      </c>
      <c r="T11">
        <f>AVERAGE(D11,I11,N11)</f>
        <v>102.05226856251329</v>
      </c>
      <c r="U11">
        <f>AVERAGE(E11,J11,O11)</f>
        <v>100.00556208949956</v>
      </c>
      <c r="W11">
        <f>_xlfn.STDEV.P(D11,I11,N11)</f>
        <v>1.3924042256215099</v>
      </c>
      <c r="X11">
        <f>_xlfn.STDEV.P(E11,J11,O11)</f>
        <v>3.2910607589372343</v>
      </c>
    </row>
    <row r="12" spans="1:24" x14ac:dyDescent="0.2">
      <c r="A12">
        <v>62.111400000000003</v>
      </c>
      <c r="B12">
        <v>1.2153400000000001E-3</v>
      </c>
      <c r="C12">
        <v>1.3673799999999999E-4</v>
      </c>
      <c r="D12">
        <f>B12/$B$3*100</f>
        <v>100.63427397986221</v>
      </c>
      <c r="E12">
        <f>C12/$C$3*100</f>
        <v>94.315077941785063</v>
      </c>
      <c r="G12">
        <v>8.3553999999999996E-4</v>
      </c>
      <c r="H12">
        <v>1.2360800000000001E-4</v>
      </c>
      <c r="I12">
        <f>G12/$G$3*100</f>
        <v>101.86841255036789</v>
      </c>
      <c r="J12">
        <f>H12/$H$3*100</f>
        <v>102.15452764853184</v>
      </c>
      <c r="L12" s="5">
        <v>9.6062700000000003E-4</v>
      </c>
      <c r="M12" s="5">
        <v>1.31328E-4</v>
      </c>
      <c r="N12" s="4">
        <f>L12/$L$3*100</f>
        <v>104.52163600161033</v>
      </c>
      <c r="O12" s="4">
        <f>M12/$M$3*100</f>
        <v>103.10424419426256</v>
      </c>
      <c r="Q12">
        <f>AVERAGE(B12,G12,L12)</f>
        <v>1.0038356666666668E-3</v>
      </c>
      <c r="R12">
        <f>AVERAGE(C12,H12,M12)</f>
        <v>1.3055799999999999E-4</v>
      </c>
      <c r="T12">
        <f>AVERAGE(D12,I12,N12)</f>
        <v>102.34144084394681</v>
      </c>
      <c r="U12">
        <f>AVERAGE(E12,J12,O12)</f>
        <v>99.85794992819315</v>
      </c>
      <c r="W12">
        <f>_xlfn.STDEV.P(D12,I12,N12)</f>
        <v>1.6218739566577589</v>
      </c>
      <c r="X12">
        <f>_xlfn.STDEV.P(E12,J12,O12)</f>
        <v>3.9385329563674989</v>
      </c>
    </row>
    <row r="13" spans="1:24" x14ac:dyDescent="0.2">
      <c r="A13">
        <v>68.338800000000006</v>
      </c>
      <c r="B13">
        <v>1.2151799999999999E-3</v>
      </c>
      <c r="C13">
        <v>1.36379E-4</v>
      </c>
      <c r="D13">
        <f>B13/$B$3*100</f>
        <v>100.62102543720191</v>
      </c>
      <c r="E13">
        <f>C13/$C$3*100</f>
        <v>94.067457580355907</v>
      </c>
      <c r="G13">
        <v>8.3627500000000004E-4</v>
      </c>
      <c r="H13">
        <v>1.22552E-4</v>
      </c>
      <c r="I13">
        <f>G13/$G$3*100</f>
        <v>101.95802320123381</v>
      </c>
      <c r="J13">
        <f>H13/$H$3*100</f>
        <v>101.28180758836704</v>
      </c>
      <c r="L13" s="5">
        <v>9.6595600000000002E-4</v>
      </c>
      <c r="M13" s="5">
        <v>1.35038E-4</v>
      </c>
      <c r="N13" s="4">
        <f>L13/$L$3*100</f>
        <v>105.1014612597517</v>
      </c>
      <c r="O13" s="4">
        <f>M13/$M$3*100</f>
        <v>106.01692653131722</v>
      </c>
      <c r="Q13">
        <f>AVERAGE(B13,G13,L13)</f>
        <v>1.0058036666666665E-3</v>
      </c>
      <c r="R13">
        <f>AVERAGE(C13,H13,M13)</f>
        <v>1.31323E-4</v>
      </c>
      <c r="T13">
        <f>AVERAGE(D13,I13,N13)</f>
        <v>102.56016996606247</v>
      </c>
      <c r="U13">
        <f>AVERAGE(E13,J13,O13)</f>
        <v>100.45539723334673</v>
      </c>
      <c r="W13">
        <f>_xlfn.STDEV.P(D13,I13,N13)</f>
        <v>1.8780329842314765</v>
      </c>
      <c r="X13">
        <f>_xlfn.STDEV.P(E13,J13,O13)</f>
        <v>4.9132248478747478</v>
      </c>
    </row>
    <row r="14" spans="1:24" x14ac:dyDescent="0.2">
      <c r="A14">
        <v>74.508499999999998</v>
      </c>
      <c r="B14">
        <v>1.21565E-3</v>
      </c>
      <c r="C14">
        <v>1.35871E-4</v>
      </c>
      <c r="D14">
        <f>B14/$B$3*100</f>
        <v>100.65994303126655</v>
      </c>
      <c r="E14">
        <f>C14/$C$3*100</f>
        <v>93.717064422678988</v>
      </c>
      <c r="G14">
        <v>8.3895400000000005E-4</v>
      </c>
      <c r="H14">
        <v>1.2374700000000001E-4</v>
      </c>
      <c r="I14">
        <f>G14/$G$3*100</f>
        <v>102.28464487969617</v>
      </c>
      <c r="J14">
        <f>H14/$H$3*100</f>
        <v>102.26940273220883</v>
      </c>
      <c r="L14" s="5">
        <v>9.6962800000000005E-4</v>
      </c>
      <c r="M14" s="5">
        <v>1.32986E-4</v>
      </c>
      <c r="N14" s="4">
        <f>L14/$L$3*100</f>
        <v>105.50099557161043</v>
      </c>
      <c r="O14" s="4">
        <f>M14/$M$3*100</f>
        <v>104.40592271578186</v>
      </c>
      <c r="Q14">
        <f>AVERAGE(B14,G14,L14)</f>
        <v>1.0080773333333334E-3</v>
      </c>
      <c r="R14">
        <f>AVERAGE(C14,H14,M14)</f>
        <v>1.3086799999999999E-4</v>
      </c>
      <c r="T14">
        <f>AVERAGE(D14,I14,N14)</f>
        <v>102.81519449419106</v>
      </c>
      <c r="U14">
        <f>AVERAGE(E14,J14,O14)</f>
        <v>100.13079662355655</v>
      </c>
      <c r="W14">
        <f>_xlfn.STDEV.P(D14,I14,N14)</f>
        <v>2.0116427109326982</v>
      </c>
      <c r="X14">
        <f>_xlfn.STDEV.P(E14,J14,O14)</f>
        <v>4.6183077686155496</v>
      </c>
    </row>
    <row r="15" spans="1:24" x14ac:dyDescent="0.2">
      <c r="A15">
        <v>80.784599999999998</v>
      </c>
      <c r="B15">
        <v>1.2166E-3</v>
      </c>
      <c r="C15">
        <v>1.3655000000000001E-4</v>
      </c>
      <c r="D15">
        <f>B15/$B$3*100</f>
        <v>100.73860625331213</v>
      </c>
      <c r="E15">
        <f>C15/$C$3*100</f>
        <v>94.185404883432199</v>
      </c>
      <c r="G15">
        <v>8.3907399999999998E-4</v>
      </c>
      <c r="H15">
        <v>1.23168E-4</v>
      </c>
      <c r="I15">
        <f>G15/$G$3*100</f>
        <v>102.29927519004163</v>
      </c>
      <c r="J15">
        <f>H15/$H$3*100</f>
        <v>101.79089429012981</v>
      </c>
      <c r="L15" s="5">
        <v>9.7251599999999998E-4</v>
      </c>
      <c r="M15" s="5">
        <v>1.3483200000000001E-4</v>
      </c>
      <c r="N15" s="4">
        <f>L15/$L$3*100</f>
        <v>105.81522626132937</v>
      </c>
      <c r="O15" s="4">
        <f>M15/$M$3*100</f>
        <v>105.85519807810071</v>
      </c>
      <c r="Q15">
        <f>AVERAGE(B15,G15,L15)</f>
        <v>1.0093966666666666E-3</v>
      </c>
      <c r="R15">
        <f>AVERAGE(C15,H15,M15)</f>
        <v>1.3151666666666667E-4</v>
      </c>
      <c r="T15">
        <f>AVERAGE(D15,I15,N15)</f>
        <v>102.95103590156104</v>
      </c>
      <c r="U15">
        <f>AVERAGE(E15,J15,O15)</f>
        <v>100.61049908388758</v>
      </c>
      <c r="W15">
        <f>_xlfn.STDEV.P(D15,I15,N15)</f>
        <v>2.1231441614204267</v>
      </c>
      <c r="X15">
        <f>_xlfn.STDEV.P(E15,J15,O15)</f>
        <v>4.836735671488408</v>
      </c>
    </row>
    <row r="16" spans="1:24" x14ac:dyDescent="0.2">
      <c r="A16">
        <v>86.936599999999999</v>
      </c>
      <c r="B16">
        <v>1.21787E-3</v>
      </c>
      <c r="C16">
        <v>1.3495599999999999E-4</v>
      </c>
      <c r="D16">
        <f>B16/$B$3*100</f>
        <v>100.84376656067833</v>
      </c>
      <c r="E16">
        <f>C16/$C$3*100</f>
        <v>93.085942888674282</v>
      </c>
      <c r="G16">
        <v>8.4214800000000003E-4</v>
      </c>
      <c r="H16">
        <v>1.2396900000000001E-4</v>
      </c>
      <c r="I16">
        <f>G16/$G$3*100</f>
        <v>102.67405497339112</v>
      </c>
      <c r="J16">
        <f>H16/$H$3*100</f>
        <v>102.45287229031166</v>
      </c>
      <c r="L16" s="5">
        <v>9.7564099999999996E-4</v>
      </c>
      <c r="M16" s="5">
        <v>1.29901E-4</v>
      </c>
      <c r="N16" s="4">
        <f>L16/$L$3*100</f>
        <v>106.15524388784314</v>
      </c>
      <c r="O16" s="4">
        <f>M16/$M$3*100</f>
        <v>101.9839213654278</v>
      </c>
      <c r="Q16">
        <f>AVERAGE(B16,G16,L16)</f>
        <v>1.0118863333333334E-3</v>
      </c>
      <c r="R16">
        <f>AVERAGE(C16,H16,M16)</f>
        <v>1.2960866666666666E-4</v>
      </c>
      <c r="T16">
        <f>AVERAGE(D16,I16,N16)</f>
        <v>103.22435514063754</v>
      </c>
      <c r="U16">
        <f>AVERAGE(E16,J16,O16)</f>
        <v>99.174245514804582</v>
      </c>
      <c r="W16">
        <f>_xlfn.STDEV.P(D16,I16,N16)</f>
        <v>2.2030388943154597</v>
      </c>
      <c r="X16">
        <f>_xlfn.STDEV.P(E16,J16,O16)</f>
        <v>4.3093348591939478</v>
      </c>
    </row>
    <row r="17" spans="1:24" x14ac:dyDescent="0.2">
      <c r="A17">
        <v>93.113100000000003</v>
      </c>
      <c r="B17">
        <v>1.21831E-3</v>
      </c>
      <c r="C17">
        <v>1.34745E-4</v>
      </c>
      <c r="D17">
        <f>B17/$B$3*100</f>
        <v>100.88020005299416</v>
      </c>
      <c r="E17">
        <f>C17/$C$3*100</f>
        <v>92.940405573182488</v>
      </c>
      <c r="G17">
        <v>8.4276999999999996E-4</v>
      </c>
      <c r="H17">
        <v>1.2095999999999999E-4</v>
      </c>
      <c r="I17">
        <f>G17/$G$3*100</f>
        <v>102.74988874868174</v>
      </c>
      <c r="J17">
        <f>H17/$H$3*100</f>
        <v>99.966115982512534</v>
      </c>
      <c r="L17" s="5">
        <v>9.7988200000000006E-4</v>
      </c>
      <c r="M17" s="5">
        <v>1.31416E-4</v>
      </c>
      <c r="N17" s="4">
        <f>L17/$L$3*100</f>
        <v>106.61668860913751</v>
      </c>
      <c r="O17" s="4">
        <f>M17/$M$3*100</f>
        <v>103.17333207719001</v>
      </c>
      <c r="Q17">
        <f>AVERAGE(B17,G17,L17)</f>
        <v>1.0136539999999999E-3</v>
      </c>
      <c r="R17">
        <f>AVERAGE(C17,H17,M17)</f>
        <v>1.2904033333333335E-4</v>
      </c>
      <c r="T17">
        <f>AVERAGE(D17,I17,N17)</f>
        <v>103.41559247027114</v>
      </c>
      <c r="U17">
        <f>AVERAGE(E17,J17,O17)</f>
        <v>98.693284544295011</v>
      </c>
      <c r="W17">
        <f>_xlfn.STDEV.P(D17,I17,N17)</f>
        <v>2.3887509040492834</v>
      </c>
      <c r="X17">
        <f>_xlfn.STDEV.P(E17,J17,O17)</f>
        <v>4.2734272827705144</v>
      </c>
    </row>
    <row r="18" spans="1:24" x14ac:dyDescent="0.2">
      <c r="A18">
        <v>99.351399999999998</v>
      </c>
      <c r="B18">
        <v>1.2181900000000001E-3</v>
      </c>
      <c r="C18">
        <v>1.3468200000000001E-4</v>
      </c>
      <c r="D18">
        <f>B18/$B$3*100</f>
        <v>100.87026364599893</v>
      </c>
      <c r="E18">
        <f>C18/$C$3*100</f>
        <v>92.896951303628086</v>
      </c>
      <c r="G18">
        <v>8.4431600000000001E-4</v>
      </c>
      <c r="H18">
        <v>1.2334299999999999E-4</v>
      </c>
      <c r="I18">
        <f>G18/$G$3*100</f>
        <v>102.9383759136324</v>
      </c>
      <c r="J18">
        <f>H18/$H$3*100</f>
        <v>101.93552119403971</v>
      </c>
      <c r="L18" s="5">
        <v>9.8631200000000004E-4</v>
      </c>
      <c r="M18" s="5">
        <v>1.3322599999999999E-4</v>
      </c>
      <c r="N18" s="4">
        <f>L18/$L$3*100</f>
        <v>107.3163088774522</v>
      </c>
      <c r="O18" s="4">
        <f>M18/$M$3*100</f>
        <v>104.59434421467489</v>
      </c>
      <c r="Q18">
        <f>AVERAGE(B18,G18,L18)</f>
        <v>1.0162726666666667E-3</v>
      </c>
      <c r="R18">
        <f>AVERAGE(C18,H18,M18)</f>
        <v>1.3041699999999999E-4</v>
      </c>
      <c r="T18">
        <f>AVERAGE(D18,I18,N18)</f>
        <v>103.7083161456945</v>
      </c>
      <c r="U18">
        <f>AVERAGE(E18,J18,O18)</f>
        <v>99.808938904114214</v>
      </c>
      <c r="W18">
        <f>_xlfn.STDEV.P(D18,I18,N18)</f>
        <v>2.6873134976770947</v>
      </c>
      <c r="X18">
        <f>_xlfn.STDEV.P(E18,J18,O18)</f>
        <v>5.0065966088565288</v>
      </c>
    </row>
    <row r="19" spans="1:24" x14ac:dyDescent="0.2">
      <c r="A19">
        <v>105.571</v>
      </c>
      <c r="B19">
        <v>1.21948E-3</v>
      </c>
      <c r="C19">
        <v>1.3514899999999999E-4</v>
      </c>
      <c r="D19">
        <f>B19/$B$3*100</f>
        <v>100.97708002119768</v>
      </c>
      <c r="E19">
        <f>C19/$C$3*100</f>
        <v>93.219064698579103</v>
      </c>
      <c r="G19">
        <v>8.4572399999999995E-4</v>
      </c>
      <c r="H19">
        <v>1.2497800000000001E-4</v>
      </c>
      <c r="I19">
        <f>G19/$G$3*100</f>
        <v>103.11003822168576</v>
      </c>
      <c r="J19">
        <f>H19/$H$3*100</f>
        <v>103.28674969628351</v>
      </c>
      <c r="L19" s="5">
        <v>9.8946499999999992E-4</v>
      </c>
      <c r="M19" s="5">
        <v>1.33316E-4</v>
      </c>
      <c r="N19" s="4">
        <f>L19/$L$3*100</f>
        <v>107.65937306189952</v>
      </c>
      <c r="O19" s="4">
        <f>M19/$M$3*100</f>
        <v>104.66500227675976</v>
      </c>
      <c r="Q19">
        <f>AVERAGE(B19,G19,L19)</f>
        <v>1.0182230000000002E-3</v>
      </c>
      <c r="R19">
        <f>AVERAGE(C19,H19,M19)</f>
        <v>1.3114766666666664E-4</v>
      </c>
      <c r="T19">
        <f>AVERAGE(D19,I19,N19)</f>
        <v>103.91549710159431</v>
      </c>
      <c r="U19">
        <f>AVERAGE(E19,J19,O19)</f>
        <v>100.39027222387413</v>
      </c>
      <c r="W19">
        <f>_xlfn.STDEV.P(D19,I19,N19)</f>
        <v>2.786854029889942</v>
      </c>
      <c r="X19">
        <f>_xlfn.STDEV.P(E19,J19,O19)</f>
        <v>5.1019315343657397</v>
      </c>
    </row>
    <row r="20" spans="1:24" x14ac:dyDescent="0.2">
      <c r="A20">
        <v>111.708</v>
      </c>
      <c r="B20">
        <v>1.21991E-3</v>
      </c>
      <c r="C20">
        <v>1.3393699999999999E-4</v>
      </c>
      <c r="D20">
        <f>B20/$B$3*100</f>
        <v>101.01268547959725</v>
      </c>
      <c r="E20">
        <f>C20/$C$3*100</f>
        <v>92.383087322389272</v>
      </c>
      <c r="G20">
        <v>8.48247E-4</v>
      </c>
      <c r="H20">
        <v>1.21332E-4</v>
      </c>
      <c r="I20">
        <f>G20/$G$3*100</f>
        <v>103.41764049669904</v>
      </c>
      <c r="J20">
        <f>H20/$H$3*100</f>
        <v>100.27355145825241</v>
      </c>
      <c r="L20" s="5">
        <v>9.9473399999999994E-4</v>
      </c>
      <c r="M20" s="5">
        <v>1.3728300000000001E-4</v>
      </c>
      <c r="N20" s="4">
        <f>L20/$L$3*100</f>
        <v>108.23266998161183</v>
      </c>
      <c r="O20" s="4">
        <f>M20/$M$3*100</f>
        <v>107.77945263554571</v>
      </c>
      <c r="Q20">
        <f>AVERAGE(B20,G20,L20)</f>
        <v>1.0209636666666667E-3</v>
      </c>
      <c r="R20">
        <f>AVERAGE(C20,H20,M20)</f>
        <v>1.3085066666666668E-4</v>
      </c>
      <c r="T20">
        <f>AVERAGE(D20,I20,N20)</f>
        <v>104.22099865263603</v>
      </c>
      <c r="U20">
        <f>AVERAGE(E20,J20,O20)</f>
        <v>100.1453638053958</v>
      </c>
      <c r="W20">
        <f>_xlfn.STDEV.P(D20,I20,N20)</f>
        <v>3.0017863900645976</v>
      </c>
      <c r="X20">
        <f>_xlfn.STDEV.P(E20,J20,O20)</f>
        <v>6.2861933510299828</v>
      </c>
    </row>
    <row r="21" spans="1:24" x14ac:dyDescent="0.2">
      <c r="A21">
        <v>118.009</v>
      </c>
      <c r="B21">
        <v>1.22013E-3</v>
      </c>
      <c r="C21">
        <v>1.3397600000000001E-4</v>
      </c>
      <c r="D21">
        <f>B21/$B$3*100</f>
        <v>101.03090222575517</v>
      </c>
      <c r="E21">
        <f>C21/$C$3*100</f>
        <v>92.409987584494417</v>
      </c>
      <c r="G21">
        <v>8.5127599999999999E-4</v>
      </c>
      <c r="H21">
        <v>1.26057E-4</v>
      </c>
      <c r="I21">
        <f>G21/$G$3*100</f>
        <v>103.78693391366897</v>
      </c>
      <c r="J21">
        <f>H21/$H$3*100</f>
        <v>104.17847786381931</v>
      </c>
      <c r="L21" s="5">
        <v>9.9846399999999991E-4</v>
      </c>
      <c r="M21" s="5">
        <v>1.35446E-4</v>
      </c>
      <c r="N21" s="4">
        <f>L21/$L$3*100</f>
        <v>108.63851502061866</v>
      </c>
      <c r="O21" s="4">
        <f>M21/$M$3*100</f>
        <v>106.33724307943537</v>
      </c>
      <c r="Q21">
        <f>AVERAGE(B21,G21,L21)</f>
        <v>1.0232899999999998E-3</v>
      </c>
      <c r="R21">
        <f>AVERAGE(C21,H21,M21)</f>
        <v>1.3182633333333333E-4</v>
      </c>
      <c r="T21">
        <f>AVERAGE(D21,I21,N21)</f>
        <v>104.48545038668094</v>
      </c>
      <c r="U21">
        <f>AVERAGE(E21,J21,O21)</f>
        <v>100.97523617591638</v>
      </c>
      <c r="W21">
        <f>_xlfn.STDEV.P(D21,I21,N21)</f>
        <v>3.1448250673600748</v>
      </c>
      <c r="X21">
        <f>_xlfn.STDEV.P(E21,J21,O21)</f>
        <v>6.1203311124306676</v>
      </c>
    </row>
    <row r="22" spans="1:24" x14ac:dyDescent="0.2">
      <c r="A22">
        <v>124.221</v>
      </c>
      <c r="B22">
        <v>1.21995E-3</v>
      </c>
      <c r="C22">
        <v>1.3413699999999999E-4</v>
      </c>
      <c r="D22">
        <f>B22/$B$3*100</f>
        <v>101.01599761526232</v>
      </c>
      <c r="E22">
        <f>C22/$C$3*100</f>
        <v>92.521037384466808</v>
      </c>
      <c r="G22">
        <v>8.5312500000000004E-4</v>
      </c>
      <c r="H22">
        <v>1.26766E-4</v>
      </c>
      <c r="I22">
        <f>G22/$G$3*100</f>
        <v>104.01236261224192</v>
      </c>
      <c r="J22">
        <f>H22/$H$3*100</f>
        <v>104.76442343451706</v>
      </c>
      <c r="L22" s="5">
        <v>1.0061499999999999E-3</v>
      </c>
      <c r="M22" s="5">
        <v>1.39271E-4</v>
      </c>
      <c r="N22" s="4">
        <f>L22/$L$3*100</f>
        <v>109.47479517338176</v>
      </c>
      <c r="O22" s="4">
        <f>M22/$M$3*100</f>
        <v>109.34021071804293</v>
      </c>
      <c r="Q22">
        <f>AVERAGE(B22,G22,L22)</f>
        <v>1.0264083333333333E-3</v>
      </c>
      <c r="R22">
        <f>AVERAGE(C22,H22,M22)</f>
        <v>1.3339133333333333E-4</v>
      </c>
      <c r="T22">
        <f>AVERAGE(D22,I22,N22)</f>
        <v>104.83438513362866</v>
      </c>
      <c r="U22">
        <f>AVERAGE(E22,J22,O22)</f>
        <v>102.20855717900893</v>
      </c>
      <c r="W22">
        <f>_xlfn.STDEV.P(D22,I22,N22)</f>
        <v>3.5018666262021019</v>
      </c>
      <c r="X22">
        <f>_xlfn.STDEV.P(E22,J22,O22)</f>
        <v>7.1002576076859514</v>
      </c>
    </row>
    <row r="23" spans="1:24" x14ac:dyDescent="0.2">
      <c r="A23">
        <v>130.28700000000001</v>
      </c>
      <c r="B23">
        <v>1.22113E-3</v>
      </c>
      <c r="C23">
        <v>1.3424699999999999E-4</v>
      </c>
      <c r="D23">
        <f>B23/$B$3*100</f>
        <v>101.1137056173821</v>
      </c>
      <c r="E23">
        <f>C23/$C$3*100</f>
        <v>92.596909918609455</v>
      </c>
      <c r="G23">
        <v>8.5373999999999997E-4</v>
      </c>
      <c r="H23">
        <v>1.18677E-4</v>
      </c>
      <c r="I23">
        <f>G23/$G$3*100</f>
        <v>104.08734295276238</v>
      </c>
      <c r="J23">
        <f>H23/$H$3*100</f>
        <v>98.079354716076722</v>
      </c>
      <c r="L23" s="5">
        <v>1.0114600000000001E-3</v>
      </c>
      <c r="M23" s="5">
        <v>1.4259E-4</v>
      </c>
      <c r="N23" s="4">
        <f>L23/$L$3*100</f>
        <v>110.05255312435398</v>
      </c>
      <c r="O23" s="4">
        <f>M23/$M$3*100</f>
        <v>111.94592302981769</v>
      </c>
      <c r="Q23">
        <f>AVERAGE(B23,G23,L23)</f>
        <v>1.0287766666666667E-3</v>
      </c>
      <c r="R23">
        <f>AVERAGE(C23,H23,M23)</f>
        <v>1.3183799999999998E-4</v>
      </c>
      <c r="T23">
        <f>AVERAGE(D23,I23,N23)</f>
        <v>105.08453389816616</v>
      </c>
      <c r="U23">
        <f>AVERAGE(E23,J23,O23)</f>
        <v>100.87406255483461</v>
      </c>
      <c r="W23">
        <f>_xlfn.STDEV.P(D23,I23,N23)</f>
        <v>3.7167675045591975</v>
      </c>
      <c r="X23">
        <f>_xlfn.STDEV.P(E23,J23,O23)</f>
        <v>8.1426396630101152</v>
      </c>
    </row>
    <row r="24" spans="1:24" x14ac:dyDescent="0.2">
      <c r="A24">
        <v>136.62799999999999</v>
      </c>
      <c r="B24">
        <v>1.2215699999999999E-3</v>
      </c>
      <c r="C24">
        <v>1.3392300000000001E-4</v>
      </c>
      <c r="D24">
        <f>B24/$B$3*100</f>
        <v>101.15013910969792</v>
      </c>
      <c r="E24">
        <f>C24/$C$3*100</f>
        <v>92.373430818043872</v>
      </c>
      <c r="G24">
        <v>8.5521499999999999E-4</v>
      </c>
      <c r="H24">
        <v>1.20685E-4</v>
      </c>
      <c r="I24">
        <f>G24/$G$3*100</f>
        <v>104.26717385075864</v>
      </c>
      <c r="J24">
        <f>H24/$H$3*100</f>
        <v>99.73884513351129</v>
      </c>
      <c r="L24" s="5">
        <v>1.01545E-3</v>
      </c>
      <c r="M24" s="5">
        <v>1.42929E-4</v>
      </c>
      <c r="N24" s="4">
        <f>L24/$L$3*100</f>
        <v>110.48668762988673</v>
      </c>
      <c r="O24" s="4">
        <f>M24/$M$3*100</f>
        <v>112.2120683970041</v>
      </c>
      <c r="Q24">
        <f>AVERAGE(B24,G24,L24)</f>
        <v>1.0307449999999998E-3</v>
      </c>
      <c r="R24">
        <f>AVERAGE(C24,H24,M24)</f>
        <v>1.3251233333333334E-4</v>
      </c>
      <c r="T24">
        <f>AVERAGE(D24,I24,N24)</f>
        <v>105.30133353011443</v>
      </c>
      <c r="U24">
        <f>AVERAGE(E24,J24,O24)</f>
        <v>101.44144811618641</v>
      </c>
      <c r="W24">
        <f>_xlfn.STDEV.P(D24,I24,N24)</f>
        <v>3.8811423790136788</v>
      </c>
      <c r="X24">
        <f>_xlfn.STDEV.P(E24,J24,O24)</f>
        <v>8.1880819054197698</v>
      </c>
    </row>
    <row r="25" spans="1:24" x14ac:dyDescent="0.2">
      <c r="A25">
        <v>142.79400000000001</v>
      </c>
      <c r="B25">
        <v>1.2216799999999999E-3</v>
      </c>
      <c r="C25">
        <v>1.33845E-4</v>
      </c>
      <c r="D25">
        <f>B25/$B$3*100</f>
        <v>101.15924748277689</v>
      </c>
      <c r="E25">
        <f>C25/$C$3*100</f>
        <v>92.319630293833626</v>
      </c>
      <c r="G25">
        <v>8.5667299999999996E-4</v>
      </c>
      <c r="H25">
        <v>1.1831400000000001E-4</v>
      </c>
      <c r="I25">
        <f>G25/$G$3*100</f>
        <v>104.44493212145596</v>
      </c>
      <c r="J25">
        <f>H25/$H$3*100</f>
        <v>97.779357195395079</v>
      </c>
      <c r="L25" s="5">
        <v>1.02327E-3</v>
      </c>
      <c r="M25" s="5">
        <v>1.4513899999999999E-4</v>
      </c>
      <c r="N25" s="4">
        <f>L25/$L$3*100</f>
        <v>111.33754773847475</v>
      </c>
      <c r="O25" s="4">
        <f>M25/$M$3*100</f>
        <v>113.94711636597734</v>
      </c>
      <c r="Q25">
        <f>AVERAGE(B25,G25,L25)</f>
        <v>1.0338743333333331E-3</v>
      </c>
      <c r="R25">
        <f>AVERAGE(C25,H25,M25)</f>
        <v>1.3243266666666668E-4</v>
      </c>
      <c r="T25">
        <f>AVERAGE(D25,I25,N25)</f>
        <v>105.64724244756921</v>
      </c>
      <c r="U25">
        <f>AVERAGE(E25,J25,O25)</f>
        <v>101.34870128506869</v>
      </c>
      <c r="W25">
        <f>_xlfn.STDEV.P(D25,I25,N25)</f>
        <v>4.241352898466376</v>
      </c>
      <c r="X25">
        <f>_xlfn.STDEV.P(E25,J25,O25)</f>
        <v>9.1830351327165047</v>
      </c>
    </row>
    <row r="26" spans="1:24" x14ac:dyDescent="0.2">
      <c r="A26">
        <v>149.03399999999999</v>
      </c>
      <c r="B26">
        <v>1.22164E-3</v>
      </c>
      <c r="C26">
        <v>1.3386100000000001E-4</v>
      </c>
      <c r="D26">
        <f>B26/$B$3*100</f>
        <v>101.15593534711181</v>
      </c>
      <c r="E26">
        <f>C26/$C$3*100</f>
        <v>92.330666298799841</v>
      </c>
      <c r="G26">
        <v>8.5725000000000005E-4</v>
      </c>
      <c r="H26">
        <v>1.16562E-4</v>
      </c>
      <c r="I26">
        <f>G26/$G$3*100</f>
        <v>104.51527953036704</v>
      </c>
      <c r="J26">
        <f>H26/$H$3*100</f>
        <v>96.331435277394391</v>
      </c>
      <c r="L26" s="5">
        <v>1.0273000000000001E-3</v>
      </c>
      <c r="M26" s="5">
        <v>1.4581800000000001E-4</v>
      </c>
      <c r="N26" s="4">
        <f>L26/$L$3*100</f>
        <v>111.77603446962692</v>
      </c>
      <c r="O26" s="4">
        <f>M26/$M$3*100</f>
        <v>114.48019218992886</v>
      </c>
      <c r="Q26">
        <f>AVERAGE(B26,G26,L26)</f>
        <v>1.0353966666666666E-3</v>
      </c>
      <c r="R26">
        <f>AVERAGE(C26,H26,M26)</f>
        <v>1.3208033333333332E-4</v>
      </c>
      <c r="T26">
        <f>AVERAGE(D26,I26,N26)</f>
        <v>105.81574978236858</v>
      </c>
      <c r="U26">
        <f>AVERAGE(E26,J26,O26)</f>
        <v>101.04743125537436</v>
      </c>
      <c r="W26">
        <f>_xlfn.STDEV.P(D26,I26,N26)</f>
        <v>4.4320832949654205</v>
      </c>
      <c r="X26">
        <f>_xlfn.STDEV.P(E26,J26,O26)</f>
        <v>9.6378018880064538</v>
      </c>
    </row>
    <row r="27" spans="1:24" x14ac:dyDescent="0.2">
      <c r="A27">
        <v>155.125</v>
      </c>
      <c r="B27">
        <v>1.2228300000000001E-3</v>
      </c>
      <c r="C27">
        <v>1.3362700000000001E-4</v>
      </c>
      <c r="D27">
        <f>B27/$B$3*100</f>
        <v>101.25447138314784</v>
      </c>
      <c r="E27">
        <f>C27/$C$3*100</f>
        <v>92.169264726169132</v>
      </c>
      <c r="G27">
        <v>8.58555E-4</v>
      </c>
      <c r="H27">
        <v>1.20745E-4</v>
      </c>
      <c r="I27">
        <f>G27/$G$3*100</f>
        <v>104.67438415537389</v>
      </c>
      <c r="J27">
        <f>H27/$H$3*100</f>
        <v>99.788431500566105</v>
      </c>
      <c r="L27" s="5">
        <v>1.0320500000000001E-3</v>
      </c>
      <c r="M27" s="5">
        <v>1.4509700000000001E-4</v>
      </c>
      <c r="N27" s="4">
        <f>L27/$L$3*100</f>
        <v>112.29286126192781</v>
      </c>
      <c r="O27" s="4">
        <f>M27/$M$3*100</f>
        <v>113.91414260367108</v>
      </c>
      <c r="Q27">
        <f>AVERAGE(B27,G27,L27)</f>
        <v>1.0378116666666666E-3</v>
      </c>
      <c r="R27">
        <f>AVERAGE(C27,H27,M27)</f>
        <v>1.3315633333333334E-4</v>
      </c>
      <c r="T27">
        <f>AVERAGE(D27,I27,N27)</f>
        <v>106.07390560014984</v>
      </c>
      <c r="U27">
        <f>AVERAGE(E27,J27,O27)</f>
        <v>101.95727961013544</v>
      </c>
      <c r="W27">
        <f>_xlfn.STDEV.P(D27,I27,N27)</f>
        <v>4.6137842735856101</v>
      </c>
      <c r="X27">
        <f>_xlfn.STDEV.P(E27,J27,O27)</f>
        <v>9.0088051397380209</v>
      </c>
    </row>
    <row r="28" spans="1:24" x14ac:dyDescent="0.2">
      <c r="A28">
        <v>161.47300000000001</v>
      </c>
      <c r="B28">
        <v>1.2234800000000001E-3</v>
      </c>
      <c r="C28">
        <v>1.3263199999999999E-4</v>
      </c>
      <c r="D28">
        <f>B28/$B$3*100</f>
        <v>101.30829358770536</v>
      </c>
      <c r="E28">
        <f>C28/$C$3*100</f>
        <v>91.482963167333409</v>
      </c>
      <c r="G28">
        <v>8.6213499999999998E-4</v>
      </c>
      <c r="H28">
        <v>1.23175E-4</v>
      </c>
      <c r="I28">
        <f>G28/$G$3*100</f>
        <v>105.11085508068005</v>
      </c>
      <c r="J28">
        <f>H28/$H$3*100</f>
        <v>101.79667936628623</v>
      </c>
      <c r="L28" s="5">
        <v>1.03892E-3</v>
      </c>
      <c r="M28" s="5">
        <v>1.4941100000000001E-4</v>
      </c>
      <c r="N28" s="4">
        <f>L28/$L$3*100</f>
        <v>113.04035601205567</v>
      </c>
      <c r="O28" s="4">
        <f>M28/$M$3*100</f>
        <v>117.3010190462732</v>
      </c>
      <c r="Q28">
        <f>AVERAGE(B28,G28,L28)</f>
        <v>1.0415116666666667E-3</v>
      </c>
      <c r="R28">
        <f>AVERAGE(C28,H28,M28)</f>
        <v>1.3507266666666667E-4</v>
      </c>
      <c r="T28">
        <f>AVERAGE(D28,I28,N28)</f>
        <v>106.48650156014703</v>
      </c>
      <c r="U28">
        <f>AVERAGE(E28,J28,O28)</f>
        <v>103.52688719329761</v>
      </c>
      <c r="W28">
        <f>_xlfn.STDEV.P(D28,I28,N28)</f>
        <v>4.8873731601318307</v>
      </c>
      <c r="X28">
        <f>_xlfn.STDEV.P(E28,J28,O28)</f>
        <v>10.610944560075813</v>
      </c>
    </row>
    <row r="29" spans="1:24" x14ac:dyDescent="0.2">
      <c r="A29">
        <v>167.614</v>
      </c>
      <c r="B29">
        <v>1.2233000000000001E-3</v>
      </c>
      <c r="C29">
        <v>1.3420700000000001E-4</v>
      </c>
      <c r="D29">
        <f>B29/$B$3*100</f>
        <v>101.29338897721252</v>
      </c>
      <c r="E29">
        <f>C29/$C$3*100</f>
        <v>92.569319906193954</v>
      </c>
      <c r="G29">
        <v>8.6333299999999998E-4</v>
      </c>
      <c r="H29">
        <v>1.1961899999999999E-4</v>
      </c>
      <c r="I29">
        <f>G29/$G$3*100</f>
        <v>105.2569143456289</v>
      </c>
      <c r="J29">
        <f>H29/$H$3*100</f>
        <v>98.857860678837355</v>
      </c>
      <c r="L29" s="5">
        <v>1.04598E-3</v>
      </c>
      <c r="M29" s="5">
        <v>1.43886E-4</v>
      </c>
      <c r="N29" s="4">
        <f>L29/$L$3*100</f>
        <v>113.80852383387554</v>
      </c>
      <c r="O29" s="4">
        <f>M29/$M$3*100</f>
        <v>112.96339912384003</v>
      </c>
      <c r="Q29">
        <f>AVERAGE(B29,G29,L29)</f>
        <v>1.0442043333333333E-3</v>
      </c>
      <c r="R29">
        <f>AVERAGE(C29,H29,M29)</f>
        <v>1.3257066666666668E-4</v>
      </c>
      <c r="T29">
        <f>AVERAGE(D29,I29,N29)</f>
        <v>106.78627571890566</v>
      </c>
      <c r="U29">
        <f>AVERAGE(E29,J29,O29)</f>
        <v>101.46352656962377</v>
      </c>
      <c r="W29">
        <f>_xlfn.STDEV.P(D29,I29,N29)</f>
        <v>5.222474495081725</v>
      </c>
      <c r="X29">
        <f>_xlfn.STDEV.P(E29,J29,O29)</f>
        <v>8.52727927828143</v>
      </c>
    </row>
    <row r="30" spans="1:24" x14ac:dyDescent="0.2">
      <c r="A30">
        <v>173.85</v>
      </c>
      <c r="B30">
        <v>1.22332E-3</v>
      </c>
      <c r="C30">
        <v>1.3419300000000001E-4</v>
      </c>
      <c r="D30">
        <f>B30/$B$3*100</f>
        <v>101.29504504504503</v>
      </c>
      <c r="E30">
        <f>C30/$C$3*100</f>
        <v>92.559663401848525</v>
      </c>
      <c r="G30">
        <v>8.6417299999999998E-4</v>
      </c>
      <c r="H30">
        <v>1.2588200000000001E-4</v>
      </c>
      <c r="I30">
        <f>G30/$G$3*100</f>
        <v>105.3593265180471</v>
      </c>
      <c r="J30">
        <f>H30/$H$3*100</f>
        <v>104.03385095990943</v>
      </c>
      <c r="L30" s="5">
        <v>1.0517600000000001E-3</v>
      </c>
      <c r="M30" s="5">
        <v>1.4888499999999999E-4</v>
      </c>
      <c r="N30" s="4">
        <f>L30/$L$3*100</f>
        <v>114.43742043587541</v>
      </c>
      <c r="O30" s="4">
        <f>M30/$M$3*100</f>
        <v>116.88806192786596</v>
      </c>
      <c r="Q30">
        <f>AVERAGE(B30,G30,L30)</f>
        <v>1.0464176666666668E-3</v>
      </c>
      <c r="R30">
        <f>AVERAGE(C30,H30,M30)</f>
        <v>1.3632E-4</v>
      </c>
      <c r="T30">
        <f>AVERAGE(D30,I30,N30)</f>
        <v>107.03059733298919</v>
      </c>
      <c r="U30">
        <f>AVERAGE(E30,J30,O30)</f>
        <v>104.49385876320798</v>
      </c>
      <c r="W30">
        <f>_xlfn.STDEV.P(D30,I30,N30)</f>
        <v>5.4939583380918764</v>
      </c>
      <c r="X30">
        <f>_xlfn.STDEV.P(E30,J30,O30)</f>
        <v>9.9373520649618907</v>
      </c>
    </row>
    <row r="31" spans="1:24" x14ac:dyDescent="0.2">
      <c r="A31">
        <v>179.93600000000001</v>
      </c>
      <c r="B31">
        <v>1.22492E-3</v>
      </c>
      <c r="C31">
        <v>1.3331899999999999E-4</v>
      </c>
      <c r="D31">
        <f>B31/$B$3*100</f>
        <v>101.42753047164813</v>
      </c>
      <c r="E31">
        <f>C31/$C$3*100</f>
        <v>91.956821630569721</v>
      </c>
      <c r="G31">
        <v>8.6708E-4</v>
      </c>
      <c r="H31">
        <v>1.2499700000000001E-4</v>
      </c>
      <c r="I31">
        <f>G31/$G$3*100</f>
        <v>105.71374578616582</v>
      </c>
      <c r="J31">
        <f>H31/$H$3*100</f>
        <v>103.30245204585087</v>
      </c>
      <c r="L31" s="5">
        <v>1.0577900000000001E-3</v>
      </c>
      <c r="M31" s="5">
        <v>1.5097999999999999E-4</v>
      </c>
      <c r="N31" s="4">
        <f>L31/$L$3*100</f>
        <v>115.09351844799636</v>
      </c>
      <c r="O31" s="4">
        <f>M31/$M$3*100</f>
        <v>118.53282459528631</v>
      </c>
      <c r="Q31">
        <f>AVERAGE(B31,G31,L31)</f>
        <v>1.0499300000000001E-3</v>
      </c>
      <c r="R31">
        <f>AVERAGE(C31,H31,M31)</f>
        <v>1.36432E-4</v>
      </c>
      <c r="T31">
        <f>AVERAGE(D31,I31,N31)</f>
        <v>107.41159823527011</v>
      </c>
      <c r="U31">
        <f>AVERAGE(E31,J31,O31)</f>
        <v>104.59736609056897</v>
      </c>
      <c r="W31">
        <f>_xlfn.STDEV.P(D31,I31,N31)</f>
        <v>5.7068283104027042</v>
      </c>
      <c r="X31">
        <f>_xlfn.STDEV.P(E31,J31,O31)</f>
        <v>10.888176620615029</v>
      </c>
    </row>
    <row r="32" spans="1:24" x14ac:dyDescent="0.2">
      <c r="A32">
        <v>193.119</v>
      </c>
      <c r="B32">
        <v>1.9881399999999999E-5</v>
      </c>
      <c r="C32">
        <v>5.4785299999999999E-5</v>
      </c>
      <c r="D32">
        <f>B32/$B$3*100</f>
        <v>1.6462473502914676</v>
      </c>
      <c r="E32">
        <f>C32/$C$3*100</f>
        <v>37.788177679679954</v>
      </c>
      <c r="G32">
        <v>1.9074699999999999E-5</v>
      </c>
      <c r="H32">
        <v>4.6649200000000001E-5</v>
      </c>
      <c r="I32">
        <f>G32/$G$3*100</f>
        <v>2.3255731728875966</v>
      </c>
      <c r="J32">
        <f>H32/$H$3*100</f>
        <v>38.552739233560054</v>
      </c>
      <c r="L32" s="5">
        <v>1.72845E-5</v>
      </c>
      <c r="M32" s="5">
        <v>4.5475500000000002E-5</v>
      </c>
      <c r="N32" s="4">
        <f>L32/$L$3*100</f>
        <v>1.8806510929526585</v>
      </c>
      <c r="O32" s="4">
        <f>M32/$M$3*100</f>
        <v>35.702341137123746</v>
      </c>
      <c r="Q32">
        <f>AVERAGE(B32,G32,L32)</f>
        <v>1.8746866666666665E-5</v>
      </c>
      <c r="R32">
        <f>AVERAGE(C32,H32,M32)</f>
        <v>4.8969999999999994E-5</v>
      </c>
      <c r="T32">
        <f>AVERAGE(D32,I32,N32)</f>
        <v>1.9508238720439077</v>
      </c>
      <c r="U32">
        <f>AVERAGE(E32,J32,O32)</f>
        <v>37.347752683454587</v>
      </c>
      <c r="W32">
        <f>_xlfn.STDEV.P(D32,I32,N32)</f>
        <v>0.28173753448380334</v>
      </c>
      <c r="X32">
        <f>_xlfn.STDEV.P(E32,J32,O32)</f>
        <v>1.2046224747521579</v>
      </c>
    </row>
    <row r="33" spans="1:24" x14ac:dyDescent="0.2">
      <c r="A33">
        <v>199.374</v>
      </c>
      <c r="B33">
        <v>1.9616300000000001E-5</v>
      </c>
      <c r="C33">
        <v>5.2724099999999999E-5</v>
      </c>
      <c r="D33">
        <f>B33/$B$3*100</f>
        <v>1.624296171171171</v>
      </c>
      <c r="E33">
        <f>C33/$C$3*100</f>
        <v>36.366464339908951</v>
      </c>
      <c r="G33">
        <v>1.8789700000000001E-5</v>
      </c>
      <c r="H33">
        <v>4.4552199999999997E-5</v>
      </c>
      <c r="I33">
        <f>G33/$G$3*100</f>
        <v>2.2908261858171337</v>
      </c>
      <c r="J33">
        <f>H33/$H$3*100</f>
        <v>36.819695704994174</v>
      </c>
      <c r="L33" s="5">
        <v>1.7074600000000001E-5</v>
      </c>
      <c r="M33" s="5">
        <v>4.3971699999999998E-5</v>
      </c>
      <c r="N33" s="4">
        <f>L33/$L$3*100</f>
        <v>1.8578127890149825</v>
      </c>
      <c r="O33" s="4">
        <f>M33/$M$3*100</f>
        <v>34.521723428643206</v>
      </c>
      <c r="Q33">
        <f>AVERAGE(B33,G33,L33)</f>
        <v>1.8493533333333332E-5</v>
      </c>
      <c r="R33">
        <f>AVERAGE(C33,H33,M33)</f>
        <v>4.7082666666666669E-5</v>
      </c>
      <c r="T33">
        <f>AVERAGE(D33,I33,N33)</f>
        <v>1.9243117153344291</v>
      </c>
      <c r="U33">
        <f>AVERAGE(E33,J33,O33)</f>
        <v>35.902627824515442</v>
      </c>
      <c r="W33">
        <f>_xlfn.STDEV.P(D33,I33,N33)</f>
        <v>0.27614265094598794</v>
      </c>
      <c r="X33">
        <f>_xlfn.STDEV.P(E33,J33,O33)</f>
        <v>0.99382338487235133</v>
      </c>
    </row>
    <row r="34" spans="1:24" x14ac:dyDescent="0.2">
      <c r="A34">
        <v>205.643</v>
      </c>
      <c r="B34">
        <v>1.90058E-5</v>
      </c>
      <c r="C34">
        <v>5.0992599999999997E-5</v>
      </c>
      <c r="D34">
        <f>B34/$B$3*100</f>
        <v>1.5737447005829359</v>
      </c>
      <c r="E34">
        <f>C34/$C$3*100</f>
        <v>35.172161677472751</v>
      </c>
      <c r="G34">
        <v>1.8237399999999999E-5</v>
      </c>
      <c r="H34">
        <v>4.2930499999999998E-5</v>
      </c>
      <c r="I34">
        <f>G34/$G$3*100</f>
        <v>2.2234901824521618</v>
      </c>
      <c r="J34">
        <f>H34/$H$3*100</f>
        <v>35.479458847447539</v>
      </c>
      <c r="L34" s="5">
        <v>1.7017500000000001E-5</v>
      </c>
      <c r="M34" s="5">
        <v>4.32279E-5</v>
      </c>
      <c r="N34" s="4">
        <f>L34/$L$3*100</f>
        <v>1.8515999869433233</v>
      </c>
      <c r="O34" s="4">
        <f>M34/$M$3*100</f>
        <v>33.93777379999058</v>
      </c>
      <c r="Q34">
        <f>AVERAGE(B34,G34,L34)</f>
        <v>1.8086899999999998E-5</v>
      </c>
      <c r="R34">
        <f>AVERAGE(C34,H34,M34)</f>
        <v>4.5716999999999996E-5</v>
      </c>
      <c r="T34">
        <f>AVERAGE(D34,I34,N34)</f>
        <v>1.8829449566594736</v>
      </c>
      <c r="U34">
        <f>AVERAGE(E34,J34,O34)</f>
        <v>34.863131441636959</v>
      </c>
      <c r="W34">
        <f>_xlfn.STDEV.P(D34,I34,N34)</f>
        <v>0.26618186533176741</v>
      </c>
      <c r="X34">
        <f>_xlfn.STDEV.P(E34,J34,O34)</f>
        <v>0.66624468047088925</v>
      </c>
    </row>
    <row r="35" spans="1:24" x14ac:dyDescent="0.2">
      <c r="A35">
        <v>211.75800000000001</v>
      </c>
      <c r="B35">
        <v>1.83784E-5</v>
      </c>
      <c r="C35">
        <v>4.9544299999999999E-5</v>
      </c>
      <c r="D35">
        <f>B35/$B$3*100</f>
        <v>1.5217938526762056</v>
      </c>
      <c r="E35">
        <f>C35/$C$3*100</f>
        <v>34.173196302938337</v>
      </c>
      <c r="G35">
        <v>1.7678700000000001E-5</v>
      </c>
      <c r="H35">
        <v>4.1696100000000002E-5</v>
      </c>
      <c r="I35">
        <f>G35/$G$3*100</f>
        <v>2.1553738958687663</v>
      </c>
      <c r="J35">
        <f>H35/$H$3*100</f>
        <v>34.459301989239762</v>
      </c>
      <c r="L35" s="5">
        <v>1.6753400000000001E-5</v>
      </c>
      <c r="M35" s="5">
        <v>4.2532199999999999E-5</v>
      </c>
      <c r="N35" s="4">
        <f>L35/$L$3*100</f>
        <v>1.8228644172913926</v>
      </c>
      <c r="O35" s="4">
        <f>M35/$M$3*100</f>
        <v>33.391586980074422</v>
      </c>
      <c r="Q35">
        <f>AVERAGE(B35,G35,L35)</f>
        <v>1.7603500000000002E-5</v>
      </c>
      <c r="R35">
        <f>AVERAGE(C35,H35,M35)</f>
        <v>4.4590866666666667E-5</v>
      </c>
      <c r="T35">
        <f>AVERAGE(D35,I35,N35)</f>
        <v>1.8333440552787881</v>
      </c>
      <c r="U35">
        <f>AVERAGE(E35,J35,O35)</f>
        <v>34.008028424084173</v>
      </c>
      <c r="W35">
        <f>_xlfn.STDEV.P(D35,I35,N35)</f>
        <v>0.25876409448534693</v>
      </c>
      <c r="X35">
        <f>_xlfn.STDEV.P(E35,J35,O35)</f>
        <v>0.45126795909091771</v>
      </c>
    </row>
    <row r="36" spans="1:24" x14ac:dyDescent="0.2">
      <c r="A36">
        <v>218.077</v>
      </c>
      <c r="B36">
        <v>1.7773699999999999E-5</v>
      </c>
      <c r="C36">
        <v>4.8353699999999998E-5</v>
      </c>
      <c r="D36">
        <f>B36/$B$3*100</f>
        <v>1.4717226417594063</v>
      </c>
      <c r="E36">
        <f>C36/$C$3*100</f>
        <v>33.351979583390808</v>
      </c>
      <c r="G36">
        <v>1.7122E-5</v>
      </c>
      <c r="H36">
        <v>4.0649999999999999E-5</v>
      </c>
      <c r="I36">
        <f>G36/$G$3*100</f>
        <v>2.0875014477911278</v>
      </c>
      <c r="J36">
        <f>H36/$H$3*100</f>
        <v>33.594763679639009</v>
      </c>
      <c r="L36" s="5">
        <v>1.6617100000000001E-5</v>
      </c>
      <c r="M36" s="5">
        <v>4.1924100000000001E-5</v>
      </c>
      <c r="N36" s="4">
        <f>L36/$L$3*100</f>
        <v>1.8080342084933685</v>
      </c>
      <c r="O36" s="4">
        <f>M36/$M$3*100</f>
        <v>32.914174007254225</v>
      </c>
      <c r="Q36">
        <f>AVERAGE(B36,G36,L36)</f>
        <v>1.7170933333333332E-5</v>
      </c>
      <c r="R36">
        <f>AVERAGE(C36,H36,M36)</f>
        <v>4.3642600000000001E-5</v>
      </c>
      <c r="T36">
        <f>AVERAGE(D36,I36,N36)</f>
        <v>1.7890860993479674</v>
      </c>
      <c r="U36">
        <f>AVERAGE(E36,J36,O36)</f>
        <v>33.286972423428011</v>
      </c>
      <c r="W36">
        <f>_xlfn.STDEV.P(D36,I36,N36)</f>
        <v>0.25174743642468767</v>
      </c>
      <c r="X36">
        <f>_xlfn.STDEV.P(E36,J36,O36)</f>
        <v>0.2816262578596298</v>
      </c>
    </row>
    <row r="37" spans="1:24" x14ac:dyDescent="0.2">
      <c r="A37">
        <v>224.21</v>
      </c>
      <c r="B37">
        <v>1.7196700000000001E-5</v>
      </c>
      <c r="C37">
        <v>4.7318199999999997E-5</v>
      </c>
      <c r="D37">
        <f>B37/$B$3*100</f>
        <v>1.4239450847906729</v>
      </c>
      <c r="E37">
        <f>C37/$C$3*100</f>
        <v>32.637743136984412</v>
      </c>
      <c r="G37">
        <v>1.6641099999999999E-5</v>
      </c>
      <c r="H37">
        <v>3.9774100000000003E-5</v>
      </c>
      <c r="I37">
        <f>G37/$G$3*100</f>
        <v>2.028870479081704</v>
      </c>
      <c r="J37">
        <f>H37/$H$3*100</f>
        <v>32.870885364583764</v>
      </c>
      <c r="L37" s="5">
        <v>1.6634200000000001E-5</v>
      </c>
      <c r="M37" s="5">
        <v>4.1830399999999998E-5</v>
      </c>
      <c r="N37" s="4">
        <f>L37/$L$3*100</f>
        <v>1.8098947849456517</v>
      </c>
      <c r="O37" s="4">
        <f>M37/$M$3*100</f>
        <v>32.840611113728073</v>
      </c>
      <c r="Q37">
        <f>AVERAGE(B37,G37,L37)</f>
        <v>1.6824E-5</v>
      </c>
      <c r="R37">
        <f>AVERAGE(C37,H37,M37)</f>
        <v>4.2974233333333333E-5</v>
      </c>
      <c r="T37">
        <f>AVERAGE(D37,I37,N37)</f>
        <v>1.754236782939343</v>
      </c>
      <c r="U37">
        <f>AVERAGE(E37,J37,O37)</f>
        <v>32.783079871765416</v>
      </c>
      <c r="W37">
        <f>_xlfn.STDEV.P(D37,I37,N37)</f>
        <v>0.25007604584077991</v>
      </c>
      <c r="X37">
        <f>_xlfn.STDEV.P(E37,J37,O37)</f>
        <v>0.1035091217359492</v>
      </c>
    </row>
    <row r="38" spans="1:24" x14ac:dyDescent="0.2">
      <c r="A38">
        <v>230.48099999999999</v>
      </c>
      <c r="B38">
        <v>1.66526E-5</v>
      </c>
      <c r="C38">
        <v>4.6422299999999998E-5</v>
      </c>
      <c r="D38">
        <f>B38/$B$3*100</f>
        <v>1.3788917594064654</v>
      </c>
      <c r="E38">
        <f>C38/$C$3*100</f>
        <v>32.01979583390812</v>
      </c>
      <c r="G38">
        <v>1.61194E-5</v>
      </c>
      <c r="H38">
        <v>3.8982E-5</v>
      </c>
      <c r="I38">
        <f>G38/$G$3*100</f>
        <v>1.9652652048548245</v>
      </c>
      <c r="J38">
        <f>H38/$H$3*100</f>
        <v>32.216262675515075</v>
      </c>
      <c r="L38" s="5">
        <v>1.6574499999999999E-5</v>
      </c>
      <c r="M38" s="5">
        <v>4.1514699999999997E-5</v>
      </c>
      <c r="N38" s="4">
        <f>L38/$L$3*100</f>
        <v>1.8033990882087327</v>
      </c>
      <c r="O38" s="4">
        <f>M38/$M$3*100</f>
        <v>32.592758333725875</v>
      </c>
      <c r="Q38">
        <f>AVERAGE(B38,G38,L38)</f>
        <v>1.6448833333333334E-5</v>
      </c>
      <c r="R38">
        <f>AVERAGE(C38,H38,M38)</f>
        <v>4.2306333333333332E-5</v>
      </c>
      <c r="T38">
        <f>AVERAGE(D38,I38,N38)</f>
        <v>1.7158520174900076</v>
      </c>
      <c r="U38">
        <f>AVERAGE(E38,J38,O38)</f>
        <v>32.276272281049692</v>
      </c>
      <c r="W38">
        <f>_xlfn.STDEV.P(D38,I38,N38)</f>
        <v>0.24726075517601132</v>
      </c>
      <c r="X38">
        <f>_xlfn.STDEV.P(E38,J38,O38)</f>
        <v>0.23772865640847471</v>
      </c>
    </row>
    <row r="39" spans="1:24" x14ac:dyDescent="0.2">
      <c r="A39">
        <v>236.60900000000001</v>
      </c>
      <c r="B39">
        <v>1.6096900000000002E-5</v>
      </c>
      <c r="C39">
        <v>4.5611400000000002E-5</v>
      </c>
      <c r="D39">
        <f>B39/$B$3*100</f>
        <v>1.3328779146793854</v>
      </c>
      <c r="E39">
        <f>C39/$C$3*100</f>
        <v>31.460477307214784</v>
      </c>
      <c r="G39">
        <v>1.56265E-5</v>
      </c>
      <c r="H39">
        <v>3.83079E-5</v>
      </c>
      <c r="I39">
        <f>G39/$G$3*100</f>
        <v>1.9051712051108549</v>
      </c>
      <c r="J39">
        <f>H39/$H$3*100</f>
        <v>31.659159841654201</v>
      </c>
      <c r="L39" s="5">
        <v>1.6477000000000002E-5</v>
      </c>
      <c r="M39" s="5">
        <v>4.1171000000000003E-5</v>
      </c>
      <c r="N39" s="4">
        <f>L39/$L$3*100</f>
        <v>1.7927905382615037</v>
      </c>
      <c r="O39" s="4">
        <f>M39/$M$3*100</f>
        <v>32.322923045519495</v>
      </c>
      <c r="Q39">
        <f>AVERAGE(B39,G39,L39)</f>
        <v>1.6066800000000003E-5</v>
      </c>
      <c r="R39">
        <f>AVERAGE(C39,H39,M39)</f>
        <v>4.169676666666667E-5</v>
      </c>
      <c r="T39">
        <f>AVERAGE(D39,I39,N39)</f>
        <v>1.6769465526839147</v>
      </c>
      <c r="U39">
        <f>AVERAGE(E39,J39,O39)</f>
        <v>31.814186731462826</v>
      </c>
      <c r="W39">
        <f>_xlfn.STDEV.P(D39,I39,N39)</f>
        <v>0.24758133251397788</v>
      </c>
      <c r="X39">
        <f>_xlfn.STDEV.P(E39,J39,O39)</f>
        <v>0.36876204188499956</v>
      </c>
    </row>
    <row r="40" spans="1:24" x14ac:dyDescent="0.2">
      <c r="A40">
        <v>242.952</v>
      </c>
      <c r="B40">
        <v>1.5568699999999999E-5</v>
      </c>
      <c r="C40">
        <v>4.4882400000000002E-5</v>
      </c>
      <c r="D40">
        <f>B40/$B$3*100</f>
        <v>1.2891411632220455</v>
      </c>
      <c r="E40">
        <f>C40/$C$3*100</f>
        <v>30.9576493309422</v>
      </c>
      <c r="G40">
        <v>1.51397E-5</v>
      </c>
      <c r="H40">
        <v>3.7752200000000001E-5</v>
      </c>
      <c r="I40">
        <f>G40/$G$3*100</f>
        <v>1.8458209128094463</v>
      </c>
      <c r="J40">
        <f>H40/$H$3*100</f>
        <v>31.199907438781498</v>
      </c>
      <c r="L40" s="5">
        <v>1.6292900000000001E-5</v>
      </c>
      <c r="M40" s="5">
        <v>4.0677399999999998E-5</v>
      </c>
      <c r="N40" s="4">
        <f>L40/$L$3*100</f>
        <v>1.772759419848325</v>
      </c>
      <c r="O40" s="4">
        <f>M40/$M$3*100</f>
        <v>31.935402829462838</v>
      </c>
      <c r="Q40">
        <f>AVERAGE(B40,G40,L40)</f>
        <v>1.5667100000000001E-5</v>
      </c>
      <c r="R40">
        <f>AVERAGE(C40,H40,M40)</f>
        <v>4.1104000000000005E-5</v>
      </c>
      <c r="T40">
        <f>AVERAGE(D40,I40,N40)</f>
        <v>1.6359071652932722</v>
      </c>
      <c r="U40">
        <f>AVERAGE(E40,J40,O40)</f>
        <v>31.364319866395515</v>
      </c>
      <c r="W40">
        <f>_xlfn.STDEV.P(D40,I40,N40)</f>
        <v>0.24700808432488347</v>
      </c>
      <c r="X40">
        <f>_xlfn.STDEV.P(E40,J40,O40)</f>
        <v>0.41575157705276106</v>
      </c>
    </row>
    <row r="41" spans="1:24" x14ac:dyDescent="0.2">
      <c r="A41">
        <v>249.15899999999999</v>
      </c>
      <c r="B41">
        <v>1.50686E-5</v>
      </c>
      <c r="C41">
        <v>4.4168000000000001E-5</v>
      </c>
      <c r="D41">
        <f>B41/$B$3*100</f>
        <v>1.2477311870694223</v>
      </c>
      <c r="E41">
        <f>C41/$C$3*100</f>
        <v>30.464891709201268</v>
      </c>
      <c r="G41">
        <v>1.4659500000000001E-5</v>
      </c>
      <c r="H41">
        <v>3.7163899999999998E-5</v>
      </c>
      <c r="I41">
        <f>G41/$G$3*100</f>
        <v>1.7872752875770379</v>
      </c>
      <c r="J41">
        <f>H41/$H$3*100</f>
        <v>30.71371310980901</v>
      </c>
      <c r="L41" s="5">
        <v>1.6160000000000001E-5</v>
      </c>
      <c r="M41" s="5">
        <v>4.0305200000000002E-5</v>
      </c>
      <c r="N41" s="4">
        <f>L41/$L$3*100</f>
        <v>1.7582991502279477</v>
      </c>
      <c r="O41" s="4">
        <f>M41/$M$3*100</f>
        <v>31.643192488262912</v>
      </c>
      <c r="Q41">
        <f>AVERAGE(B41,G41,L41)</f>
        <v>1.5296033333333334E-5</v>
      </c>
      <c r="R41">
        <f>AVERAGE(C41,H41,M41)</f>
        <v>4.05457E-5</v>
      </c>
      <c r="T41">
        <f>AVERAGE(D41,I41,N41)</f>
        <v>1.5977685416248024</v>
      </c>
      <c r="U41">
        <f>AVERAGE(E41,J41,O41)</f>
        <v>30.940599102424397</v>
      </c>
      <c r="W41">
        <f>_xlfn.STDEV.P(D41,I41,N41)</f>
        <v>0.24779630925690471</v>
      </c>
      <c r="X41">
        <f>_xlfn.STDEV.P(E41,J41,O41)</f>
        <v>0.50708718626952842</v>
      </c>
    </row>
    <row r="42" spans="1:24" x14ac:dyDescent="0.2">
      <c r="A42">
        <v>262.24700000000001</v>
      </c>
      <c r="B42">
        <v>6.3402100000000002E-4</v>
      </c>
      <c r="C42">
        <v>1.33499E-4</v>
      </c>
      <c r="D42">
        <f>B42/$B$3*100</f>
        <v>52.499089162692101</v>
      </c>
      <c r="E42">
        <f>C42/$C$3*100</f>
        <v>92.080976686439513</v>
      </c>
      <c r="G42">
        <v>4.64182E-4</v>
      </c>
      <c r="H42">
        <v>1.4567700000000001E-4</v>
      </c>
      <c r="I42">
        <f>G42/$G$3*100</f>
        <v>56.592722639795667</v>
      </c>
      <c r="J42">
        <f>H42/$H$3*100</f>
        <v>120.39321989074472</v>
      </c>
      <c r="L42" s="5">
        <v>5.5546399999999998E-4</v>
      </c>
      <c r="M42" s="5">
        <v>1.1523000000000001E-4</v>
      </c>
      <c r="N42" s="4">
        <f>L42/$L$3*100</f>
        <v>60.437616286028259</v>
      </c>
      <c r="O42" s="4">
        <f>M42/$M$3*100</f>
        <v>90.465872156013006</v>
      </c>
      <c r="Q42">
        <f>AVERAGE(B42,G42,L42)</f>
        <v>5.5122233333333335E-4</v>
      </c>
      <c r="R42">
        <f>AVERAGE(C42,H42,M42)</f>
        <v>1.3146866666666668E-4</v>
      </c>
      <c r="T42">
        <f>AVERAGE(D42,I42,N42)</f>
        <v>56.509809362838674</v>
      </c>
      <c r="U42">
        <f>AVERAGE(E42,J42,O42)</f>
        <v>100.98002291106575</v>
      </c>
      <c r="W42">
        <f>_xlfn.STDEV.P(D42,I42,N42)</f>
        <v>3.2414203862512467</v>
      </c>
      <c r="X42">
        <f>_xlfn.STDEV.P(E42,J42,O42)</f>
        <v>13.743029830667281</v>
      </c>
    </row>
    <row r="43" spans="1:24" x14ac:dyDescent="0.2">
      <c r="A43">
        <v>268.46699999999998</v>
      </c>
      <c r="B43">
        <v>6.5714300000000001E-4</v>
      </c>
      <c r="C43">
        <v>1.3404000000000001E-4</v>
      </c>
      <c r="D43">
        <f>B43/$B$3*100</f>
        <v>54.413669183889766</v>
      </c>
      <c r="E43">
        <f>C43/$C$3*100</f>
        <v>92.454131604359219</v>
      </c>
      <c r="G43">
        <v>4.7868299999999998E-4</v>
      </c>
      <c r="H43">
        <v>1.46062E-4</v>
      </c>
      <c r="I43">
        <f>G43/$G$3*100</f>
        <v>58.360673725791401</v>
      </c>
      <c r="J43">
        <f>H43/$H$3*100</f>
        <v>120.71139907934645</v>
      </c>
      <c r="L43" s="5">
        <v>5.7334699999999998E-4</v>
      </c>
      <c r="M43" s="5">
        <v>1.15264E-4</v>
      </c>
      <c r="N43" s="4">
        <f>L43/$L$3*100</f>
        <v>62.383387554810845</v>
      </c>
      <c r="O43" s="4">
        <f>M43/$M$3*100</f>
        <v>90.492565201689516</v>
      </c>
      <c r="Q43">
        <f>AVERAGE(B43,G43,L43)</f>
        <v>5.6972433333333334E-4</v>
      </c>
      <c r="R43">
        <f>AVERAGE(C43,H43,M43)</f>
        <v>1.3178866666666667E-4</v>
      </c>
      <c r="T43">
        <f>AVERAGE(D43,I43,N43)</f>
        <v>58.385910154830668</v>
      </c>
      <c r="U43">
        <f>AVERAGE(E43,J43,O43)</f>
        <v>101.21936529513174</v>
      </c>
      <c r="W43">
        <f>_xlfn.STDEV.P(D43,I43,N43)</f>
        <v>3.2536728360385001</v>
      </c>
      <c r="X43">
        <f>_xlfn.STDEV.P(E43,J43,O43)</f>
        <v>13.80619357321792</v>
      </c>
    </row>
    <row r="44" spans="1:24" x14ac:dyDescent="0.2">
      <c r="A44">
        <v>274.76</v>
      </c>
      <c r="B44">
        <v>6.7057300000000005E-4</v>
      </c>
      <c r="C44">
        <v>1.3047300000000001E-4</v>
      </c>
      <c r="D44">
        <f>B44/$B$3*100</f>
        <v>55.525718733439319</v>
      </c>
      <c r="E44">
        <f>C44/$C$3*100</f>
        <v>89.9937922472065</v>
      </c>
      <c r="G44">
        <v>4.9123199999999998E-4</v>
      </c>
      <c r="H44">
        <v>1.50488E-4</v>
      </c>
      <c r="I44">
        <f>G44/$G$3*100</f>
        <v>59.890638430167698</v>
      </c>
      <c r="J44">
        <f>H44/$H$3*100</f>
        <v>124.36922008909018</v>
      </c>
      <c r="L44" s="5">
        <v>5.8418499999999998E-4</v>
      </c>
      <c r="M44" s="5">
        <v>1.17681E-4</v>
      </c>
      <c r="N44" s="4">
        <f>L44/$L$3*100</f>
        <v>63.562623086380796</v>
      </c>
      <c r="O44" s="4">
        <f>M44/$M$3*100</f>
        <v>92.390126713458002</v>
      </c>
      <c r="Q44">
        <f>AVERAGE(B44,G44,L44)</f>
        <v>5.8199666666666674E-4</v>
      </c>
      <c r="R44">
        <f>AVERAGE(C44,H44,M44)</f>
        <v>1.3288066666666668E-4</v>
      </c>
      <c r="T44">
        <f>AVERAGE(D44,I44,N44)</f>
        <v>59.659660083329271</v>
      </c>
      <c r="U44">
        <f>AVERAGE(E44,J44,O44)</f>
        <v>102.25104634991823</v>
      </c>
      <c r="W44">
        <f>_xlfn.STDEV.P(D44,I44,N44)</f>
        <v>3.285115030163944</v>
      </c>
      <c r="X44">
        <f>_xlfn.STDEV.P(E44,J44,O44)</f>
        <v>15.670477803515002</v>
      </c>
    </row>
    <row r="45" spans="1:24" x14ac:dyDescent="0.2">
      <c r="A45">
        <v>280.99099999999999</v>
      </c>
      <c r="B45">
        <v>6.8145800000000002E-4</v>
      </c>
      <c r="C45">
        <v>1.2706499999999999E-4</v>
      </c>
      <c r="D45">
        <f>B45/$B$3*100</f>
        <v>56.427033651298352</v>
      </c>
      <c r="E45">
        <f>C45/$C$3*100</f>
        <v>87.643123189405429</v>
      </c>
      <c r="G45">
        <v>4.9916100000000003E-4</v>
      </c>
      <c r="H45">
        <v>1.5088499999999999E-4</v>
      </c>
      <c r="I45">
        <f>G45/$G$3*100</f>
        <v>60.857336186243849</v>
      </c>
      <c r="J45">
        <f>H45/$H$3*100</f>
        <v>124.69731655110287</v>
      </c>
      <c r="L45" s="5">
        <v>5.9085699999999997E-4</v>
      </c>
      <c r="M45" s="5">
        <v>1.12954E-4</v>
      </c>
      <c r="N45" s="4">
        <f>L45/$L$3*100</f>
        <v>64.288574319692728</v>
      </c>
      <c r="O45" s="4">
        <f>M45/$M$3*100</f>
        <v>88.679008274844165</v>
      </c>
      <c r="Q45">
        <f>AVERAGE(B45,G45,L45)</f>
        <v>5.9049199999999997E-4</v>
      </c>
      <c r="R45">
        <f>AVERAGE(C45,H45,M45)</f>
        <v>1.3030133333333333E-4</v>
      </c>
      <c r="T45">
        <f>AVERAGE(D45,I45,N45)</f>
        <v>60.524314719078312</v>
      </c>
      <c r="U45">
        <f>AVERAGE(E45,J45,O45)</f>
        <v>100.3398160051175</v>
      </c>
      <c r="W45">
        <f>_xlfn.STDEV.P(D45,I45,N45)</f>
        <v>3.2180877234158269</v>
      </c>
      <c r="X45">
        <f>_xlfn.STDEV.P(E45,J45,O45)</f>
        <v>17.228544901090039</v>
      </c>
    </row>
    <row r="46" spans="1:24" x14ac:dyDescent="0.2">
      <c r="A46">
        <v>287.21100000000001</v>
      </c>
      <c r="B46">
        <v>6.8913399999999999E-4</v>
      </c>
      <c r="C46">
        <v>1.2554800000000001E-4</v>
      </c>
      <c r="D46">
        <f>B46/$B$3*100</f>
        <v>57.062632485426604</v>
      </c>
      <c r="E46">
        <f>C46/$C$3*100</f>
        <v>86.596771968547387</v>
      </c>
      <c r="G46">
        <v>5.0505899999999998E-4</v>
      </c>
      <c r="H46">
        <v>1.5064500000000001E-4</v>
      </c>
      <c r="I46">
        <f>G46/$G$3*100</f>
        <v>61.57641593972312</v>
      </c>
      <c r="J46">
        <f>H46/$H$3*100</f>
        <v>124.49897108288361</v>
      </c>
      <c r="L46" s="5">
        <v>5.9516400000000002E-4</v>
      </c>
      <c r="M46" s="5">
        <v>1.07544E-4</v>
      </c>
      <c r="N46" s="4">
        <f>L46/$L$3*100</f>
        <v>64.757200213259054</v>
      </c>
      <c r="O46" s="4">
        <f>M46/$M$3*100</f>
        <v>84.431673653963912</v>
      </c>
      <c r="Q46">
        <f>AVERAGE(B46,G46,L46)</f>
        <v>5.964523333333334E-4</v>
      </c>
      <c r="R46">
        <f>AVERAGE(C46,H46,M46)</f>
        <v>1.2791233333333334E-4</v>
      </c>
      <c r="T46">
        <f>AVERAGE(D46,I46,N46)</f>
        <v>61.1320828794696</v>
      </c>
      <c r="U46">
        <f>AVERAGE(E46,J46,O46)</f>
        <v>98.509138901798295</v>
      </c>
      <c r="W46">
        <f>_xlfn.STDEV.P(D46,I46,N46)</f>
        <v>3.1569676411472085</v>
      </c>
      <c r="X46">
        <f>_xlfn.STDEV.P(E46,J46,O46)</f>
        <v>18.398830493243956</v>
      </c>
    </row>
    <row r="47" spans="1:24" x14ac:dyDescent="0.2">
      <c r="A47">
        <v>293.38900000000001</v>
      </c>
      <c r="B47">
        <v>6.9611100000000002E-4</v>
      </c>
      <c r="C47">
        <v>1.2328400000000001E-4</v>
      </c>
      <c r="D47">
        <f>B47/$B$3*100</f>
        <v>57.640351748807625</v>
      </c>
      <c r="E47">
        <f>C47/$C$3*100</f>
        <v>85.035177265829759</v>
      </c>
      <c r="G47">
        <v>5.0578299999999999E-4</v>
      </c>
      <c r="H47">
        <v>1.4417600000000001E-4</v>
      </c>
      <c r="I47">
        <f>G47/$G$3*100</f>
        <v>61.664685478807378</v>
      </c>
      <c r="J47">
        <f>H47/$H$3*100</f>
        <v>119.15273427492335</v>
      </c>
      <c r="L47" s="5">
        <v>5.9856199999999997E-4</v>
      </c>
      <c r="M47" s="5">
        <v>1.07545E-4</v>
      </c>
      <c r="N47" s="4">
        <f>L47/$L$3*100</f>
        <v>65.12692177962505</v>
      </c>
      <c r="O47" s="4">
        <f>M47/$M$3*100</f>
        <v>84.432458743542639</v>
      </c>
      <c r="Q47">
        <f>AVERAGE(B47,G47,L47)</f>
        <v>6.0015199999999996E-4</v>
      </c>
      <c r="R47">
        <f>AVERAGE(C47,H47,M47)</f>
        <v>1.2500166666666669E-4</v>
      </c>
      <c r="T47">
        <f>AVERAGE(D47,I47,N47)</f>
        <v>61.477319669080011</v>
      </c>
      <c r="U47">
        <f>AVERAGE(E47,J47,O47)</f>
        <v>96.206790094765253</v>
      </c>
      <c r="W47">
        <f>_xlfn.STDEV.P(D47,I47,N47)</f>
        <v>3.0592495993379925</v>
      </c>
      <c r="X47">
        <f>_xlfn.STDEV.P(E47,J47,O47)</f>
        <v>16.227098388056039</v>
      </c>
    </row>
    <row r="48" spans="1:24" x14ac:dyDescent="0.2">
      <c r="A48">
        <v>299.65600000000001</v>
      </c>
      <c r="B48">
        <v>7.0223499999999995E-4</v>
      </c>
      <c r="C48">
        <v>1.2258599999999999E-4</v>
      </c>
      <c r="D48">
        <f>B48/$B$3*100</f>
        <v>58.147439719130887</v>
      </c>
      <c r="E48">
        <f>C48/$C$3*100</f>
        <v>84.55373154917919</v>
      </c>
      <c r="G48">
        <v>5.0830799999999996E-4</v>
      </c>
      <c r="H48">
        <v>1.38844E-4</v>
      </c>
      <c r="I48">
        <f>G48/$G$3*100</f>
        <v>61.972531592326398</v>
      </c>
      <c r="J48">
        <f>H48/$H$3*100</f>
        <v>114.74615912265187</v>
      </c>
      <c r="L48" s="5">
        <v>6.0410800000000001E-4</v>
      </c>
      <c r="M48" s="5">
        <v>1.08504E-4</v>
      </c>
      <c r="N48" s="4">
        <f>L48/$L$3*100</f>
        <v>65.730357861751557</v>
      </c>
      <c r="O48" s="4">
        <f>M48/$M$3*100</f>
        <v>85.185359649536011</v>
      </c>
      <c r="Q48">
        <f>AVERAGE(B48,G48,L48)</f>
        <v>6.0488366666666671E-4</v>
      </c>
      <c r="R48">
        <f>AVERAGE(C48,H48,M48)</f>
        <v>1.2331133333333332E-4</v>
      </c>
      <c r="T48">
        <f>AVERAGE(D48,I48,N48)</f>
        <v>61.950109724402942</v>
      </c>
      <c r="U48">
        <f>AVERAGE(E48,J48,O48)</f>
        <v>94.828416773789016</v>
      </c>
      <c r="W48">
        <f>_xlfn.STDEV.P(D48,I48,N48)</f>
        <v>3.0957539678880934</v>
      </c>
      <c r="X48">
        <f>_xlfn.STDEV.P(E48,J48,O48)</f>
        <v>14.086331051082963</v>
      </c>
    </row>
    <row r="49" spans="1:24" x14ac:dyDescent="0.2">
      <c r="A49">
        <v>305.76400000000001</v>
      </c>
      <c r="B49">
        <v>7.0689799999999997E-4</v>
      </c>
      <c r="C49">
        <v>1.21196E-4</v>
      </c>
      <c r="D49">
        <f>B49/$B$3*100</f>
        <v>58.533551934287217</v>
      </c>
      <c r="E49">
        <f>C49/$C$3*100</f>
        <v>83.594978617740367</v>
      </c>
      <c r="G49">
        <v>5.1146500000000001E-4</v>
      </c>
      <c r="H49">
        <v>1.36114E-4</v>
      </c>
      <c r="I49">
        <f>G49/$G$3*100</f>
        <v>62.357430673664837</v>
      </c>
      <c r="J49">
        <f>H49/$H$3*100</f>
        <v>112.48997942165768</v>
      </c>
      <c r="L49" s="5">
        <v>6.0627399999999996E-4</v>
      </c>
      <c r="M49" s="5">
        <v>1.1088E-4</v>
      </c>
      <c r="N49" s="4">
        <f>L49/$L$3*100</f>
        <v>65.966030879040758</v>
      </c>
      <c r="O49" s="4">
        <f>M49/$M$3*100</f>
        <v>87.050732488576941</v>
      </c>
      <c r="Q49">
        <f>AVERAGE(B49,G49,L49)</f>
        <v>6.0821233333333339E-4</v>
      </c>
      <c r="R49">
        <f>AVERAGE(C49,H49,M49)</f>
        <v>1.2273000000000001E-4</v>
      </c>
      <c r="T49">
        <f>AVERAGE(D49,I49,N49)</f>
        <v>62.285671162330935</v>
      </c>
      <c r="U49">
        <f>AVERAGE(E49,J49,O49)</f>
        <v>94.378563509324991</v>
      </c>
      <c r="W49">
        <f>_xlfn.STDEV.P(D49,I49,N49)</f>
        <v>3.0347210620474208</v>
      </c>
      <c r="X49">
        <f>_xlfn.STDEV.P(E49,J49,O49)</f>
        <v>12.884178889011507</v>
      </c>
    </row>
    <row r="50" spans="1:24" x14ac:dyDescent="0.2">
      <c r="A50">
        <v>311.92599999999999</v>
      </c>
      <c r="B50">
        <v>7.1115800000000004E-4</v>
      </c>
      <c r="C50">
        <v>1.20821E-4</v>
      </c>
      <c r="D50">
        <f>B50/$B$3*100</f>
        <v>58.886294382617912</v>
      </c>
      <c r="E50">
        <f>C50/$C$3*100</f>
        <v>83.33632225134501</v>
      </c>
      <c r="G50">
        <v>5.0989899999999996E-4</v>
      </c>
      <c r="H50">
        <v>1.2752E-4</v>
      </c>
      <c r="I50">
        <f>G50/$G$3*100</f>
        <v>62.166505123656599</v>
      </c>
      <c r="J50">
        <f>H50/$H$3*100</f>
        <v>105.38755878050594</v>
      </c>
      <c r="L50" s="5">
        <v>6.1007499999999996E-4</v>
      </c>
      <c r="M50" s="5">
        <v>1.1013700000000001E-4</v>
      </c>
      <c r="N50" s="4">
        <f>L50/$L$3*100</f>
        <v>66.379601118521975</v>
      </c>
      <c r="O50" s="4">
        <f>M50/$M$3*100</f>
        <v>86.467410931587295</v>
      </c>
      <c r="Q50">
        <f>AVERAGE(B50,G50,L50)</f>
        <v>6.1037733333333332E-4</v>
      </c>
      <c r="R50">
        <f>AVERAGE(C50,H50,M50)</f>
        <v>1.1949266666666667E-4</v>
      </c>
      <c r="T50">
        <f>AVERAGE(D50,I50,N50)</f>
        <v>62.477466874932162</v>
      </c>
      <c r="U50">
        <f>AVERAGE(E50,J50,O50)</f>
        <v>91.730430654479434</v>
      </c>
      <c r="W50">
        <f>_xlfn.STDEV.P(D50,I50,N50)</f>
        <v>3.0670218309899671</v>
      </c>
      <c r="X50">
        <f>_xlfn.STDEV.P(E50,J50,O50)</f>
        <v>9.7412795384354283</v>
      </c>
    </row>
    <row r="51" spans="1:24" x14ac:dyDescent="0.2">
      <c r="A51">
        <v>318.20600000000002</v>
      </c>
      <c r="B51">
        <v>7.1413100000000001E-4</v>
      </c>
      <c r="C51">
        <v>1.20569E-4</v>
      </c>
      <c r="D51">
        <f>B51/$B$3*100</f>
        <v>59.13246886592475</v>
      </c>
      <c r="E51">
        <f>C51/$C$3*100</f>
        <v>83.162505173127315</v>
      </c>
      <c r="G51">
        <v>5.1692299999999997E-4</v>
      </c>
      <c r="H51">
        <v>1.3886399999999999E-4</v>
      </c>
      <c r="I51">
        <f>G51/$G$3*100</f>
        <v>63.022865955877414</v>
      </c>
      <c r="J51">
        <f>H51/$H$3*100</f>
        <v>114.76268791167014</v>
      </c>
      <c r="L51" s="5">
        <v>6.1091800000000001E-4</v>
      </c>
      <c r="M51" s="5">
        <v>1.08504E-4</v>
      </c>
      <c r="N51" s="4">
        <f>L51/$L$3*100</f>
        <v>66.471324273450335</v>
      </c>
      <c r="O51" s="4">
        <f>M51/$M$3*100</f>
        <v>85.185359649536011</v>
      </c>
      <c r="Q51">
        <f>AVERAGE(B51,G51,L51)</f>
        <v>6.1399066666666666E-4</v>
      </c>
      <c r="R51">
        <f>AVERAGE(C51,H51,M51)</f>
        <v>1.2264566666666667E-4</v>
      </c>
      <c r="T51">
        <f>AVERAGE(D51,I51,N51)</f>
        <v>62.875553031750833</v>
      </c>
      <c r="U51">
        <f>AVERAGE(E51,J51,O51)</f>
        <v>94.370184244777818</v>
      </c>
      <c r="W51">
        <f>_xlfn.STDEV.P(D51,I51,N51)</f>
        <v>2.997885421020726</v>
      </c>
      <c r="X51">
        <f>_xlfn.STDEV.P(E51,J51,O51)</f>
        <v>14.443306163787367</v>
      </c>
    </row>
    <row r="52" spans="1:24" x14ac:dyDescent="0.2">
      <c r="A52">
        <v>324.48599999999999</v>
      </c>
      <c r="B52">
        <v>7.1818700000000001E-4</v>
      </c>
      <c r="C52">
        <v>1.1960600000000001E-4</v>
      </c>
      <c r="D52">
        <f>B52/$B$3*100</f>
        <v>59.468319422363535</v>
      </c>
      <c r="E52">
        <f>C52/$C$3*100</f>
        <v>82.498275624224021</v>
      </c>
      <c r="G52">
        <v>5.2491599999999995E-4</v>
      </c>
      <c r="H52">
        <v>1.47434E-4</v>
      </c>
      <c r="I52">
        <f>G52/$G$3*100</f>
        <v>63.997366544137812</v>
      </c>
      <c r="J52">
        <f>H52/$H$3*100</f>
        <v>121.84527400599994</v>
      </c>
      <c r="L52" s="5">
        <v>6.13479E-4</v>
      </c>
      <c r="M52" s="5">
        <v>1.07396E-4</v>
      </c>
      <c r="N52" s="4">
        <f>L52/$L$3*100</f>
        <v>66.749975518730892</v>
      </c>
      <c r="O52" s="4">
        <f>M52/$M$3*100</f>
        <v>84.31548039631322</v>
      </c>
      <c r="Q52">
        <f>AVERAGE(B52,G52,L52)</f>
        <v>6.1886066666666658E-4</v>
      </c>
      <c r="R52">
        <f>AVERAGE(C52,H52,M52)</f>
        <v>1.24812E-4</v>
      </c>
      <c r="T52">
        <f>AVERAGE(D52,I52,N52)</f>
        <v>63.405220495077423</v>
      </c>
      <c r="U52">
        <f>AVERAGE(E52,J52,O52)</f>
        <v>96.219676675512389</v>
      </c>
      <c r="W52">
        <f>_xlfn.STDEV.P(D52,I52,N52)</f>
        <v>3.0020666863572893</v>
      </c>
      <c r="X52">
        <f>_xlfn.STDEV.P(E52,J52,O52)</f>
        <v>18.135214128028142</v>
      </c>
    </row>
    <row r="53" spans="1:24" x14ac:dyDescent="0.2">
      <c r="A53">
        <v>330.68</v>
      </c>
      <c r="B53">
        <v>7.2129200000000001E-4</v>
      </c>
      <c r="C53">
        <v>1.1837600000000001E-4</v>
      </c>
      <c r="D53">
        <f>B53/$B$3*100</f>
        <v>59.72542395336513</v>
      </c>
      <c r="E53">
        <f>C53/$C$3*100</f>
        <v>81.649882742447232</v>
      </c>
      <c r="G53">
        <v>5.3014200000000005E-4</v>
      </c>
      <c r="H53">
        <v>1.49505E-4</v>
      </c>
      <c r="I53">
        <f>G53/$G$3*100</f>
        <v>64.634516559682538</v>
      </c>
      <c r="J53">
        <f>H53/$H$3*100</f>
        <v>123.55683010884206</v>
      </c>
      <c r="L53" s="5">
        <v>6.1420300000000001E-4</v>
      </c>
      <c r="M53" s="5">
        <v>1.08904E-4</v>
      </c>
      <c r="N53" s="4">
        <f>L53/$L$3*100</f>
        <v>66.82875080244159</v>
      </c>
      <c r="O53" s="4">
        <f>M53/$M$3*100</f>
        <v>85.499395481024393</v>
      </c>
      <c r="Q53">
        <f>AVERAGE(B53,G53,L53)</f>
        <v>6.2187899999999999E-4</v>
      </c>
      <c r="R53">
        <f>AVERAGE(C53,H53,M53)</f>
        <v>1.2559499999999999E-4</v>
      </c>
      <c r="T53">
        <f>AVERAGE(D53,I53,N53)</f>
        <v>63.729563771829753</v>
      </c>
      <c r="U53">
        <f>AVERAGE(E53,J53,O53)</f>
        <v>96.902036110771235</v>
      </c>
      <c r="W53">
        <f>_xlfn.STDEV.P(D53,I53,N53)</f>
        <v>2.969682108956504</v>
      </c>
      <c r="X53">
        <f>_xlfn.STDEV.P(E53,J53,O53)</f>
        <v>18.91319150559228</v>
      </c>
    </row>
    <row r="54" spans="1:24" x14ac:dyDescent="0.2">
      <c r="A54">
        <v>336.81799999999998</v>
      </c>
      <c r="B54">
        <v>7.24363E-4</v>
      </c>
      <c r="C54">
        <v>1.17904E-4</v>
      </c>
      <c r="D54">
        <f>B54/$B$3*100</f>
        <v>59.979713169051408</v>
      </c>
      <c r="E54">
        <f>C54/$C$3*100</f>
        <v>81.324320595944272</v>
      </c>
      <c r="G54">
        <v>5.2803599999999996E-4</v>
      </c>
      <c r="H54">
        <v>1.4356699999999999E-4</v>
      </c>
      <c r="I54">
        <f>G54/$G$3*100</f>
        <v>64.37775461311972</v>
      </c>
      <c r="J54">
        <f>H54/$H$3*100</f>
        <v>118.64943264931694</v>
      </c>
      <c r="L54" s="5">
        <v>6.1442099999999998E-4</v>
      </c>
      <c r="M54" s="5">
        <v>1.0965E-4</v>
      </c>
      <c r="N54" s="4">
        <f>L54/$L$3*100</f>
        <v>66.852470432067193</v>
      </c>
      <c r="O54" s="4">
        <f>M54/$M$3*100</f>
        <v>86.085072306750192</v>
      </c>
      <c r="Q54">
        <f>AVERAGE(B54,G54,L54)</f>
        <v>6.2227333333333328E-4</v>
      </c>
      <c r="R54">
        <f>AVERAGE(C54,H54,M54)</f>
        <v>1.23707E-4</v>
      </c>
      <c r="T54">
        <f>AVERAGE(D54,I54,N54)</f>
        <v>63.736646071412771</v>
      </c>
      <c r="U54">
        <f>AVERAGE(E54,J54,O54)</f>
        <v>95.352941850670462</v>
      </c>
      <c r="W54">
        <f>_xlfn.STDEV.P(D54,I54,N54)</f>
        <v>2.8421779466659323</v>
      </c>
      <c r="X54">
        <f>_xlfn.STDEV.P(E54,J54,O54)</f>
        <v>16.58736571131875</v>
      </c>
    </row>
    <row r="55" spans="1:24" x14ac:dyDescent="0.2">
      <c r="A55">
        <v>343.04300000000001</v>
      </c>
      <c r="B55">
        <v>7.2636200000000004E-4</v>
      </c>
      <c r="C55">
        <v>1.17862E-4</v>
      </c>
      <c r="D55">
        <f>B55/$B$3*100</f>
        <v>60.145237148913623</v>
      </c>
      <c r="E55">
        <f>C55/$C$3*100</f>
        <v>81.295351082907985</v>
      </c>
      <c r="G55">
        <v>5.2763599999999995E-4</v>
      </c>
      <c r="H55">
        <v>1.3875000000000001E-4</v>
      </c>
      <c r="I55">
        <f>G55/$G$3*100</f>
        <v>64.328986911968201</v>
      </c>
      <c r="J55">
        <f>H55/$H$3*100</f>
        <v>114.66847381426601</v>
      </c>
      <c r="L55" s="5">
        <v>6.1783699999999999E-4</v>
      </c>
      <c r="M55" s="5">
        <v>1.0784499999999999E-4</v>
      </c>
      <c r="N55" s="4">
        <f>L55/$L$3*100</f>
        <v>67.224150499961908</v>
      </c>
      <c r="O55" s="4">
        <f>M55/$M$3*100</f>
        <v>84.667985617158919</v>
      </c>
      <c r="Q55">
        <f>AVERAGE(B55,G55,L55)</f>
        <v>6.2394499999999999E-4</v>
      </c>
      <c r="R55">
        <f>AVERAGE(C55,H55,M55)</f>
        <v>1.2148566666666666E-4</v>
      </c>
      <c r="T55">
        <f>AVERAGE(D55,I55,N55)</f>
        <v>63.899458186947903</v>
      </c>
      <c r="U55">
        <f>AVERAGE(E55,J55,O55)</f>
        <v>93.54393683811098</v>
      </c>
      <c r="W55">
        <f>_xlfn.STDEV.P(D55,I55,N55)</f>
        <v>2.905870466501169</v>
      </c>
      <c r="X55">
        <f>_xlfn.STDEV.P(E55,J55,O55)</f>
        <v>15.000626937300725</v>
      </c>
    </row>
    <row r="56" spans="1:24" x14ac:dyDescent="0.2">
      <c r="A56">
        <v>349.23899999999998</v>
      </c>
      <c r="B56">
        <v>7.2862700000000003E-4</v>
      </c>
      <c r="C56">
        <v>1.1797499999999999E-4</v>
      </c>
      <c r="D56">
        <f>B56/$B$3*100</f>
        <v>60.332786830948592</v>
      </c>
      <c r="E56">
        <f>C56/$C$3*100</f>
        <v>81.373292867981789</v>
      </c>
      <c r="G56">
        <v>5.3505399999999998E-4</v>
      </c>
      <c r="H56">
        <v>1.47882E-4</v>
      </c>
      <c r="I56">
        <f>G56/$G$3*100</f>
        <v>65.233383929823276</v>
      </c>
      <c r="J56">
        <f>H56/$H$3*100</f>
        <v>122.21551888000926</v>
      </c>
      <c r="L56" s="5">
        <v>6.1996399999999998E-4</v>
      </c>
      <c r="M56" s="5">
        <v>1.0748599999999999E-4</v>
      </c>
      <c r="N56" s="4">
        <f>L56/$L$3*100</f>
        <v>67.455580097272232</v>
      </c>
      <c r="O56" s="4">
        <f>M56/$M$3*100</f>
        <v>84.386138458398094</v>
      </c>
      <c r="Q56">
        <f>AVERAGE(B56,G56,L56)</f>
        <v>6.278816666666667E-4</v>
      </c>
      <c r="R56">
        <f>AVERAGE(C56,H56,M56)</f>
        <v>1.2444766666666666E-4</v>
      </c>
      <c r="T56">
        <f>AVERAGE(D56,I56,N56)</f>
        <v>64.340583619348038</v>
      </c>
      <c r="U56">
        <f>AVERAGE(E56,J56,O56)</f>
        <v>95.991650068796375</v>
      </c>
      <c r="W56">
        <f>_xlfn.STDEV.P(D56,I56,N56)</f>
        <v>2.9756080918567287</v>
      </c>
      <c r="X56">
        <f>_xlfn.STDEV.P(E56,J56,O56)</f>
        <v>18.583824170654484</v>
      </c>
    </row>
    <row r="57" spans="1:24" x14ac:dyDescent="0.2">
      <c r="A57">
        <v>355.53699999999998</v>
      </c>
      <c r="B57">
        <v>7.3136900000000005E-4</v>
      </c>
      <c r="C57">
        <v>1.17231E-4</v>
      </c>
      <c r="D57">
        <f>B57/$B$3*100</f>
        <v>60.559833730789613</v>
      </c>
      <c r="E57">
        <f>C57/$C$3*100</f>
        <v>80.860118637053375</v>
      </c>
      <c r="G57">
        <v>5.3893400000000003E-4</v>
      </c>
      <c r="H57">
        <v>1.4966900000000001E-4</v>
      </c>
      <c r="I57">
        <f>G57/$G$3*100</f>
        <v>65.706430630993097</v>
      </c>
      <c r="J57">
        <f>H57/$H$3*100</f>
        <v>123.69236617879191</v>
      </c>
      <c r="L57" s="5">
        <v>6.2100299999999996E-4</v>
      </c>
      <c r="M57" s="5">
        <v>1.07098E-4</v>
      </c>
      <c r="N57" s="4">
        <f>L57/$L$3*100</f>
        <v>67.568629157735529</v>
      </c>
      <c r="O57" s="4">
        <f>M57/$M$3*100</f>
        <v>84.08152370185438</v>
      </c>
      <c r="Q57">
        <f>AVERAGE(B57,G57,L57)</f>
        <v>6.3043533333333331E-4</v>
      </c>
      <c r="R57">
        <f>AVERAGE(C57,H57,M57)</f>
        <v>1.2466600000000003E-4</v>
      </c>
      <c r="T57">
        <f>AVERAGE(D57,I57,N57)</f>
        <v>64.611631173172739</v>
      </c>
      <c r="U57">
        <f>AVERAGE(E57,J57,O57)</f>
        <v>96.211336172566561</v>
      </c>
      <c r="W57">
        <f>_xlfn.STDEV.P(D57,I57,N57)</f>
        <v>2.9642022787283255</v>
      </c>
      <c r="X57">
        <f>_xlfn.STDEV.P(E57,J57,O57)</f>
        <v>19.476475045554732</v>
      </c>
    </row>
    <row r="58" spans="1:24" x14ac:dyDescent="0.2">
      <c r="A58">
        <v>361.666</v>
      </c>
      <c r="B58">
        <v>7.3374200000000001E-4</v>
      </c>
      <c r="C58">
        <v>1.17464E-4</v>
      </c>
      <c r="D58">
        <f>B58/$B$3*100</f>
        <v>60.756326179120293</v>
      </c>
      <c r="E58">
        <f>C58/$C$3*100</f>
        <v>81.020830459373698</v>
      </c>
      <c r="G58">
        <v>5.4023400000000001E-4</v>
      </c>
      <c r="H58">
        <v>1.4919299999999999E-4</v>
      </c>
      <c r="I58">
        <f>G58/$G$3*100</f>
        <v>65.864925659735562</v>
      </c>
      <c r="J58">
        <f>H58/$H$3*100</f>
        <v>123.29898100015701</v>
      </c>
      <c r="L58" s="5">
        <v>6.2154899999999999E-4</v>
      </c>
      <c r="M58" s="5">
        <v>1.0614E-4</v>
      </c>
      <c r="N58" s="4">
        <f>L58/$L$3*100</f>
        <v>67.628037037440009</v>
      </c>
      <c r="O58" s="4">
        <f>M58/$M$3*100</f>
        <v>83.329407885439721</v>
      </c>
      <c r="Q58">
        <f>AVERAGE(B58,G58,L58)</f>
        <v>6.318416666666666E-4</v>
      </c>
      <c r="R58">
        <f>AVERAGE(C58,H58,M58)</f>
        <v>1.2426566666666667E-4</v>
      </c>
      <c r="T58">
        <f>AVERAGE(D58,I58,N58)</f>
        <v>64.749762958765288</v>
      </c>
      <c r="U58">
        <f>AVERAGE(E58,J58,O58)</f>
        <v>95.883073114990154</v>
      </c>
      <c r="W58">
        <f>_xlfn.STDEV.P(D58,I58,N58)</f>
        <v>2.9140800054578415</v>
      </c>
      <c r="X58">
        <f>_xlfn.STDEV.P(E58,J58,O58)</f>
        <v>19.408870588968707</v>
      </c>
    </row>
    <row r="59" spans="1:24" x14ac:dyDescent="0.2">
      <c r="A59">
        <v>367.87200000000001</v>
      </c>
      <c r="B59">
        <v>7.3609000000000001E-4</v>
      </c>
      <c r="C59">
        <v>1.16981E-4</v>
      </c>
      <c r="D59">
        <f>B59/$B$3*100</f>
        <v>60.950748542660307</v>
      </c>
      <c r="E59">
        <f>C59/$C$3*100</f>
        <v>80.68768105945648</v>
      </c>
      <c r="G59">
        <v>5.4289500000000005E-4</v>
      </c>
      <c r="H59">
        <v>1.4673299999999999E-4</v>
      </c>
      <c r="I59">
        <f>G59/$G$3*100</f>
        <v>66.189352791646101</v>
      </c>
      <c r="J59">
        <f>H59/$H$3*100</f>
        <v>121.26593995090948</v>
      </c>
      <c r="L59" s="5">
        <v>6.22768E-4</v>
      </c>
      <c r="M59" s="5">
        <v>1.0647899999999999E-4</v>
      </c>
      <c r="N59" s="4">
        <f>L59/$L$3*100</f>
        <v>67.760671113190512</v>
      </c>
      <c r="O59" s="4">
        <f>M59/$M$3*100</f>
        <v>83.595553252626118</v>
      </c>
      <c r="Q59">
        <f>AVERAGE(B59,G59,L59)</f>
        <v>6.3391766666666665E-4</v>
      </c>
      <c r="R59">
        <f>AVERAGE(C59,H59,M59)</f>
        <v>1.2339766666666664E-4</v>
      </c>
      <c r="T59">
        <f>AVERAGE(D59,I59,N59)</f>
        <v>64.966924149165649</v>
      </c>
      <c r="U59">
        <f>AVERAGE(E59,J59,O59)</f>
        <v>95.183058087664037</v>
      </c>
      <c r="W59">
        <f>_xlfn.STDEV.P(D59,I59,N59)</f>
        <v>2.9114154854779994</v>
      </c>
      <c r="X59">
        <f>_xlfn.STDEV.P(E59,J59,O59)</f>
        <v>18.481548905001933</v>
      </c>
    </row>
    <row r="60" spans="1:24" x14ac:dyDescent="0.2">
      <c r="A60">
        <v>374.14400000000001</v>
      </c>
      <c r="B60">
        <v>7.3757E-4</v>
      </c>
      <c r="C60">
        <v>1.16439E-4</v>
      </c>
      <c r="D60">
        <f>B60/$B$3*100</f>
        <v>61.073297562268145</v>
      </c>
      <c r="E60">
        <f>C60/$C$3*100</f>
        <v>80.313836391226374</v>
      </c>
      <c r="G60">
        <v>5.4548300000000004E-4</v>
      </c>
      <c r="H60">
        <v>1.51099E-4</v>
      </c>
      <c r="I60">
        <f>G60/$G$3*100</f>
        <v>66.50487981809647</v>
      </c>
      <c r="J60">
        <f>H60/$H$3*100</f>
        <v>124.8741745935984</v>
      </c>
      <c r="L60" s="5">
        <v>6.2365000000000001E-4</v>
      </c>
      <c r="M60" s="5">
        <v>1.04727E-4</v>
      </c>
      <c r="N60" s="4">
        <f>L60/$L$3*100</f>
        <v>67.856637688097749</v>
      </c>
      <c r="O60" s="4">
        <f>M60/$M$3*100</f>
        <v>82.220076310707043</v>
      </c>
      <c r="Q60">
        <f>AVERAGE(B60,G60,L60)</f>
        <v>6.3556766666666672E-4</v>
      </c>
      <c r="R60">
        <f>AVERAGE(C60,H60,M60)</f>
        <v>1.2408833333333333E-4</v>
      </c>
      <c r="T60">
        <f>AVERAGE(D60,I60,N60)</f>
        <v>65.144938356154128</v>
      </c>
      <c r="U60">
        <f>AVERAGE(E60,J60,O60)</f>
        <v>95.802695765177262</v>
      </c>
      <c r="W60">
        <f>_xlfn.STDEV.P(D60,I60,N60)</f>
        <v>2.9314963642714296</v>
      </c>
      <c r="X60">
        <f>_xlfn.STDEV.P(E60,J60,O60)</f>
        <v>20.571365189038222</v>
      </c>
    </row>
    <row r="61" spans="1:24" x14ac:dyDescent="0.2">
      <c r="A61">
        <v>380.34899999999999</v>
      </c>
      <c r="B61">
        <v>7.3980200000000002E-4</v>
      </c>
      <c r="C61">
        <v>1.16933E-4</v>
      </c>
      <c r="D61">
        <f>B61/$B$3*100</f>
        <v>61.25811473237944</v>
      </c>
      <c r="E61">
        <f>C61/$C$3*100</f>
        <v>80.654573044557864</v>
      </c>
      <c r="G61">
        <v>5.4788700000000005E-4</v>
      </c>
      <c r="H61">
        <v>1.5051600000000001E-4</v>
      </c>
      <c r="I61">
        <f>G61/$G$3*100</f>
        <v>66.79797370201716</v>
      </c>
      <c r="J61">
        <f>H61/$H$3*100</f>
        <v>124.39236039371575</v>
      </c>
      <c r="L61" s="5">
        <v>6.2381999999999997E-4</v>
      </c>
      <c r="M61" s="5">
        <v>1.05406E-4</v>
      </c>
      <c r="N61" s="4">
        <f>L61/$L$3*100</f>
        <v>67.875134646980101</v>
      </c>
      <c r="O61" s="4">
        <f>M61/$M$3*100</f>
        <v>82.753152134658563</v>
      </c>
      <c r="Q61">
        <f>AVERAGE(B61,G61,L61)</f>
        <v>6.3716966666666668E-4</v>
      </c>
      <c r="R61">
        <f>AVERAGE(C61,H61,M61)</f>
        <v>1.2428499999999999E-4</v>
      </c>
      <c r="T61">
        <f>AVERAGE(D61,I61,N61)</f>
        <v>65.310407693792229</v>
      </c>
      <c r="U61">
        <f>AVERAGE(E61,J61,O61)</f>
        <v>95.933361857644059</v>
      </c>
      <c r="W61">
        <f>_xlfn.STDEV.P(D61,I61,N61)</f>
        <v>2.8989512597000906</v>
      </c>
      <c r="X61">
        <f>_xlfn.STDEV.P(E61,J61,O61)</f>
        <v>20.141780073708336</v>
      </c>
    </row>
    <row r="62" spans="1:24" x14ac:dyDescent="0.2">
      <c r="A62">
        <v>386.57</v>
      </c>
      <c r="B62">
        <v>7.4180600000000002E-4</v>
      </c>
      <c r="C62">
        <v>1.1676300000000001E-4</v>
      </c>
      <c r="D62">
        <f>B62/$B$3*100</f>
        <v>61.424052729199786</v>
      </c>
      <c r="E62">
        <f>C62/$C$3*100</f>
        <v>80.537315491791972</v>
      </c>
      <c r="G62">
        <v>5.4887999999999996E-4</v>
      </c>
      <c r="H62">
        <v>1.5053500000000001E-4</v>
      </c>
      <c r="I62">
        <f>G62/$G$3*100</f>
        <v>66.919039520125807</v>
      </c>
      <c r="J62">
        <f>H62/$H$3*100</f>
        <v>124.40806274328311</v>
      </c>
      <c r="L62" s="5">
        <v>6.2678500000000004E-4</v>
      </c>
      <c r="M62" s="5">
        <v>1.03706E-4</v>
      </c>
      <c r="N62" s="4">
        <f>L62/$L$3*100</f>
        <v>68.197743371016344</v>
      </c>
      <c r="O62" s="4">
        <f>M62/$M$3*100</f>
        <v>81.418499850832987</v>
      </c>
      <c r="Q62">
        <f>AVERAGE(B62,G62,L62)</f>
        <v>6.3915700000000001E-4</v>
      </c>
      <c r="R62">
        <f>AVERAGE(C62,H62,M62)</f>
        <v>1.2366800000000001E-4</v>
      </c>
      <c r="T62">
        <f>AVERAGE(D62,I62,N62)</f>
        <v>65.513611873447317</v>
      </c>
      <c r="U62">
        <f>AVERAGE(E62,J62,O62)</f>
        <v>95.454626028636028</v>
      </c>
      <c r="W62">
        <f>_xlfn.STDEV.P(D62,I62,N62)</f>
        <v>2.9384963706284082</v>
      </c>
      <c r="X62">
        <f>_xlfn.STDEV.P(E62,J62,O62)</f>
        <v>20.476331778591902</v>
      </c>
    </row>
    <row r="63" spans="1:24" x14ac:dyDescent="0.2">
      <c r="A63">
        <v>392.74099999999999</v>
      </c>
      <c r="B63">
        <v>7.4370299999999996E-4</v>
      </c>
      <c r="C63">
        <v>1.15655E-4</v>
      </c>
      <c r="D63">
        <f>B63/$B$3*100</f>
        <v>61.581130763116057</v>
      </c>
      <c r="E63">
        <f>C63/$C$3*100</f>
        <v>79.773072147882459</v>
      </c>
      <c r="G63">
        <v>5.5019900000000002E-4</v>
      </c>
      <c r="H63">
        <v>1.53187E-4</v>
      </c>
      <c r="I63">
        <f>G63/$G$3*100</f>
        <v>67.079851014672983</v>
      </c>
      <c r="J63">
        <f>H63/$H$3*100</f>
        <v>126.59978016710605</v>
      </c>
      <c r="L63" s="5">
        <v>6.2621900000000002E-4</v>
      </c>
      <c r="M63" s="5">
        <v>1.043E-4</v>
      </c>
      <c r="N63" s="4">
        <f>L63/$L$3*100</f>
        <v>68.136159378502185</v>
      </c>
      <c r="O63" s="4">
        <f>M63/$M$3*100</f>
        <v>81.884843060593212</v>
      </c>
      <c r="Q63">
        <f>AVERAGE(B63,G63,L63)</f>
        <v>6.400403333333333E-4</v>
      </c>
      <c r="R63">
        <f>AVERAGE(C63,H63,M63)</f>
        <v>1.2438066666666667E-4</v>
      </c>
      <c r="T63">
        <f>AVERAGE(D63,I63,N63)</f>
        <v>65.599047052097077</v>
      </c>
      <c r="U63">
        <f>AVERAGE(E63,J63,O63)</f>
        <v>96.08589845852724</v>
      </c>
      <c r="W63">
        <f>_xlfn.STDEV.P(D63,I63,N63)</f>
        <v>2.8736371052283931</v>
      </c>
      <c r="X63">
        <f>_xlfn.STDEV.P(E63,J63,O63)</f>
        <v>21.593789644105254</v>
      </c>
    </row>
    <row r="64" spans="1:24" x14ac:dyDescent="0.2">
      <c r="A64">
        <v>399.01299999999998</v>
      </c>
      <c r="B64">
        <v>7.4511800000000002E-4</v>
      </c>
      <c r="C64">
        <v>1.15979E-4</v>
      </c>
      <c r="D64">
        <f>B64/$B$3*100</f>
        <v>61.698297562268145</v>
      </c>
      <c r="E64">
        <f>C64/$C$3*100</f>
        <v>79.996551248448057</v>
      </c>
      <c r="G64">
        <v>5.5526200000000005E-4</v>
      </c>
      <c r="H64">
        <v>1.5563799999999999E-4</v>
      </c>
      <c r="I64">
        <f>G64/$G$3*100</f>
        <v>67.697128191998445</v>
      </c>
      <c r="J64">
        <f>H64/$H$3*100</f>
        <v>128.62538326129535</v>
      </c>
      <c r="L64" s="5">
        <v>6.2851300000000003E-4</v>
      </c>
      <c r="M64" s="5">
        <v>1.102E-4</v>
      </c>
      <c r="N64" s="4">
        <f>L64/$L$3*100</f>
        <v>68.385759517773408</v>
      </c>
      <c r="O64" s="4">
        <f>M64/$M$3*100</f>
        <v>86.516871575046707</v>
      </c>
      <c r="Q64">
        <f>AVERAGE(B64,G64,L64)</f>
        <v>6.4296433333333337E-4</v>
      </c>
      <c r="R64">
        <f>AVERAGE(C64,H64,M64)</f>
        <v>1.2727233333333334E-4</v>
      </c>
      <c r="T64">
        <f>AVERAGE(D64,I64,N64)</f>
        <v>65.927061757346664</v>
      </c>
      <c r="U64">
        <f>AVERAGE(E64,J64,O64)</f>
        <v>98.379602028263378</v>
      </c>
      <c r="W64">
        <f>_xlfn.STDEV.P(D64,I64,N64)</f>
        <v>3.0033745730309449</v>
      </c>
      <c r="X64">
        <f>_xlfn.STDEV.P(E64,J64,O64)</f>
        <v>21.552016241142205</v>
      </c>
    </row>
    <row r="65" spans="1:24" x14ac:dyDescent="0.2">
      <c r="A65">
        <v>405.089</v>
      </c>
      <c r="B65">
        <v>7.4640000000000004E-4</v>
      </c>
      <c r="C65">
        <v>1.16049E-4</v>
      </c>
      <c r="D65">
        <f>B65/$B$3*100</f>
        <v>61.80445151033387</v>
      </c>
      <c r="E65">
        <f>C65/$C$3*100</f>
        <v>80.044833770175188</v>
      </c>
      <c r="G65">
        <v>5.5742200000000002E-4</v>
      </c>
      <c r="H65">
        <v>1.55926E-4</v>
      </c>
      <c r="I65">
        <f>G65/$G$3*100</f>
        <v>67.960473778216695</v>
      </c>
      <c r="J65">
        <f>H65/$H$3*100</f>
        <v>128.86339782315846</v>
      </c>
      <c r="L65" s="5">
        <v>6.2926799999999999E-4</v>
      </c>
      <c r="M65" s="5">
        <v>1.09806E-4</v>
      </c>
      <c r="N65" s="4">
        <f>L65/$L$3*100</f>
        <v>68.467907776339118</v>
      </c>
      <c r="O65" s="4">
        <f>M65/$M$3*100</f>
        <v>86.207546281030673</v>
      </c>
      <c r="Q65">
        <f>AVERAGE(B65,G65,L65)</f>
        <v>6.4436333333333339E-4</v>
      </c>
      <c r="R65">
        <f>AVERAGE(C65,H65,M65)</f>
        <v>1.2726033333333332E-4</v>
      </c>
      <c r="T65">
        <f>AVERAGE(D65,I65,N65)</f>
        <v>66.077611021629892</v>
      </c>
      <c r="U65">
        <f>AVERAGE(E65,J65,O65)</f>
        <v>98.371925958121437</v>
      </c>
      <c r="W65">
        <f>_xlfn.STDEV.P(D65,I65,N65)</f>
        <v>3.0286731387795753</v>
      </c>
      <c r="X65">
        <f>_xlfn.STDEV.P(E65,J65,O65)</f>
        <v>21.707021118294481</v>
      </c>
    </row>
    <row r="66" spans="1:24" x14ac:dyDescent="0.2">
      <c r="A66">
        <v>411.38600000000002</v>
      </c>
      <c r="B66">
        <v>7.4767699999999998E-4</v>
      </c>
      <c r="C66">
        <v>1.1668E-4</v>
      </c>
      <c r="D66">
        <f>B66/$B$3*100</f>
        <v>61.910191441441441</v>
      </c>
      <c r="E66">
        <f>C66/$C$3*100</f>
        <v>80.480066216029783</v>
      </c>
      <c r="G66">
        <v>5.5904499999999998E-4</v>
      </c>
      <c r="H66">
        <v>1.5610999999999999E-4</v>
      </c>
      <c r="I66">
        <f>G66/$G$3*100</f>
        <v>68.158348725639001</v>
      </c>
      <c r="J66">
        <f>H66/$H$3*100</f>
        <v>129.01546268212658</v>
      </c>
      <c r="L66" s="5">
        <v>6.3262099999999999E-4</v>
      </c>
      <c r="M66" s="5">
        <v>1.0961199999999999E-4</v>
      </c>
      <c r="N66" s="4">
        <f>L66/$L$3*100</f>
        <v>68.83273308888333</v>
      </c>
      <c r="O66" s="4">
        <f>M66/$M$3*100</f>
        <v>86.055238902758802</v>
      </c>
      <c r="Q66">
        <f>AVERAGE(B66,G66,L66)</f>
        <v>6.4644766666666672E-4</v>
      </c>
      <c r="R66">
        <f>AVERAGE(C66,H66,M66)</f>
        <v>1.2746733333333333E-4</v>
      </c>
      <c r="T66">
        <f>AVERAGE(D66,I66,N66)</f>
        <v>66.300424418654586</v>
      </c>
      <c r="U66">
        <f>AVERAGE(E66,J66,O66)</f>
        <v>98.516922600305051</v>
      </c>
      <c r="W66">
        <f>_xlfn.STDEV.P(D66,I66,N66)</f>
        <v>3.1165480650878776</v>
      </c>
      <c r="X66">
        <f>_xlfn.STDEV.P(E66,J66,O66)</f>
        <v>21.685499732364505</v>
      </c>
    </row>
    <row r="67" spans="1:24" x14ac:dyDescent="0.2">
      <c r="A67">
        <v>417.61700000000002</v>
      </c>
      <c r="B67">
        <v>7.4956199999999995E-4</v>
      </c>
      <c r="C67">
        <v>1.1626299999999999E-4</v>
      </c>
      <c r="D67">
        <f>B67/$B$3*100</f>
        <v>62.066275834658178</v>
      </c>
      <c r="E67">
        <f>C67/$C$3*100</f>
        <v>80.192440336598139</v>
      </c>
      <c r="G67">
        <v>5.5873700000000001E-4</v>
      </c>
      <c r="H67">
        <v>1.5272800000000001E-4</v>
      </c>
      <c r="I67">
        <f>G67/$G$3*100</f>
        <v>68.120797595752336</v>
      </c>
      <c r="J67">
        <f>H67/$H$3*100</f>
        <v>126.2204444591367</v>
      </c>
      <c r="L67" s="5">
        <v>6.3290299999999998E-4</v>
      </c>
      <c r="M67" s="5">
        <v>1.0686799999999999E-4</v>
      </c>
      <c r="N67" s="4">
        <f>L67/$L$3*100</f>
        <v>68.863416279499916</v>
      </c>
      <c r="O67" s="4">
        <f>M67/$M$3*100</f>
        <v>83.900953098748559</v>
      </c>
      <c r="Q67">
        <f>AVERAGE(B67,G67,L67)</f>
        <v>6.4706733333333335E-4</v>
      </c>
      <c r="R67">
        <f>AVERAGE(C67,H67,M67)</f>
        <v>1.2528633333333333E-4</v>
      </c>
      <c r="T67">
        <f>AVERAGE(D67,I67,N67)</f>
        <v>66.350163236636817</v>
      </c>
      <c r="U67">
        <f>AVERAGE(E67,J67,O67)</f>
        <v>96.771279298161133</v>
      </c>
      <c r="W67">
        <f>_xlfn.STDEV.P(D67,I67,N67)</f>
        <v>3.0442994905217162</v>
      </c>
      <c r="X67">
        <f>_xlfn.STDEV.P(E67,J67,O67)</f>
        <v>20.878669549495843</v>
      </c>
    </row>
    <row r="68" spans="1:24" x14ac:dyDescent="0.2">
      <c r="A68">
        <v>423.72800000000001</v>
      </c>
      <c r="B68">
        <v>7.5090200000000001E-4</v>
      </c>
      <c r="C68">
        <v>1.16444E-4</v>
      </c>
      <c r="D68">
        <f>B68/$B$3*100</f>
        <v>62.177232379438266</v>
      </c>
      <c r="E68">
        <f>C68/$C$3*100</f>
        <v>80.317285142778303</v>
      </c>
      <c r="G68">
        <v>5.6009899999999999E-4</v>
      </c>
      <c r="H68">
        <v>1.54831E-4</v>
      </c>
      <c r="I68">
        <f>G68/$G$3*100</f>
        <v>68.286851618173287</v>
      </c>
      <c r="J68">
        <f>H68/$H$3*100</f>
        <v>127.95844662440805</v>
      </c>
      <c r="L68" s="5">
        <v>6.3221100000000004E-4</v>
      </c>
      <c r="M68" s="5">
        <v>1.0445799999999999E-4</v>
      </c>
      <c r="N68" s="4">
        <f>L68/$L$3*100</f>
        <v>68.788122776284723</v>
      </c>
      <c r="O68" s="4">
        <f>M68/$M$3*100</f>
        <v>82.008887214031105</v>
      </c>
      <c r="Q68">
        <f>AVERAGE(B68,G68,L68)</f>
        <v>6.4773733333333338E-4</v>
      </c>
      <c r="R68">
        <f>AVERAGE(C68,H68,M68)</f>
        <v>1.2524433333333332E-4</v>
      </c>
      <c r="T68">
        <f>AVERAGE(D68,I68,N68)</f>
        <v>66.417402257965435</v>
      </c>
      <c r="U68">
        <f>AVERAGE(E68,J68,O68)</f>
        <v>96.76153966040583</v>
      </c>
      <c r="W68">
        <f>_xlfn.STDEV.P(D68,I68,N68)</f>
        <v>3.0052286260854726</v>
      </c>
      <c r="X68">
        <f>_xlfn.STDEV.P(E68,J68,O68)</f>
        <v>22.070351643208667</v>
      </c>
    </row>
    <row r="69" spans="1:24" x14ac:dyDescent="0.2">
      <c r="A69">
        <v>429.99799999999999</v>
      </c>
      <c r="B69">
        <v>7.5187099999999998E-4</v>
      </c>
      <c r="C69">
        <v>1.1625000000000001E-4</v>
      </c>
      <c r="D69">
        <f>B69/$B$3*100</f>
        <v>62.25746886592475</v>
      </c>
      <c r="E69">
        <f>C69/$C$3*100</f>
        <v>80.18347358256311</v>
      </c>
      <c r="G69">
        <v>5.6267100000000005E-4</v>
      </c>
      <c r="H69">
        <v>1.56198E-4</v>
      </c>
      <c r="I69">
        <f>G69/$G$3*100</f>
        <v>68.600427936577617</v>
      </c>
      <c r="J69">
        <f>H69/$H$3*100</f>
        <v>129.088189353807</v>
      </c>
      <c r="L69" s="5">
        <v>6.3248299999999998E-4</v>
      </c>
      <c r="M69" s="5">
        <v>1.0597199999999999E-4</v>
      </c>
      <c r="N69" s="4">
        <f>L69/$L$3*100</f>
        <v>68.817717910496484</v>
      </c>
      <c r="O69" s="4">
        <f>M69/$M$3*100</f>
        <v>83.197512836214599</v>
      </c>
      <c r="Q69">
        <f>AVERAGE(B69,G69,L69)</f>
        <v>6.4900833333333345E-4</v>
      </c>
      <c r="R69">
        <f>AVERAGE(C69,H69,M69)</f>
        <v>1.2613999999999998E-4</v>
      </c>
      <c r="T69">
        <f>AVERAGE(D69,I69,N69)</f>
        <v>66.558538237666269</v>
      </c>
      <c r="U69">
        <f>AVERAGE(E69,J69,O69)</f>
        <v>97.489725257528221</v>
      </c>
      <c r="W69">
        <f>_xlfn.STDEV.P(D69,I69,N69)</f>
        <v>3.0426087533114572</v>
      </c>
      <c r="X69">
        <f>_xlfn.STDEV.P(E69,J69,O69)</f>
        <v>22.377344317985315</v>
      </c>
    </row>
    <row r="70" spans="1:24" x14ac:dyDescent="0.2">
      <c r="A70">
        <v>436.13900000000001</v>
      </c>
      <c r="B70">
        <v>7.5328999999999999E-4</v>
      </c>
      <c r="C70">
        <v>1.16255E-4</v>
      </c>
      <c r="D70">
        <f>B70/$B$3*100</f>
        <v>62.374966878643349</v>
      </c>
      <c r="E70">
        <f>C70/$C$3*100</f>
        <v>80.186922334115053</v>
      </c>
      <c r="G70">
        <v>5.6266200000000001E-4</v>
      </c>
      <c r="H70">
        <v>1.5351000000000001E-4</v>
      </c>
      <c r="I70">
        <f>G70/$G$3*100</f>
        <v>68.5993306633017</v>
      </c>
      <c r="J70">
        <f>H70/$H$3*100</f>
        <v>126.86672010975117</v>
      </c>
      <c r="L70" s="5">
        <v>6.34233E-4</v>
      </c>
      <c r="M70" s="5">
        <v>1.0712700000000001E-4</v>
      </c>
      <c r="N70" s="4">
        <f>L70/$L$3*100</f>
        <v>69.008127781344186</v>
      </c>
      <c r="O70" s="4">
        <f>M70/$M$3*100</f>
        <v>84.104291299637296</v>
      </c>
      <c r="Q70">
        <f>AVERAGE(B70,G70,L70)</f>
        <v>6.500616666666667E-4</v>
      </c>
      <c r="R70">
        <f>AVERAGE(C70,H70,M70)</f>
        <v>1.2563066666666667E-4</v>
      </c>
      <c r="T70">
        <f>AVERAGE(D70,I70,N70)</f>
        <v>66.660808441096421</v>
      </c>
      <c r="U70">
        <f>AVERAGE(E70,J70,O70)</f>
        <v>97.05264458116784</v>
      </c>
      <c r="W70">
        <f>_xlfn.STDEV.P(D70,I70,N70)</f>
        <v>3.0351394470729613</v>
      </c>
      <c r="X70">
        <f>_xlfn.STDEV.P(E70,J70,O70)</f>
        <v>21.142307815074844</v>
      </c>
    </row>
    <row r="71" spans="1:24" x14ac:dyDescent="0.2">
      <c r="A71">
        <v>449.34300000000002</v>
      </c>
      <c r="B71">
        <v>1.41895E-5</v>
      </c>
      <c r="C71">
        <v>4.3060799999999999E-5</v>
      </c>
      <c r="D71">
        <f>B71/$B$3*100</f>
        <v>1.174938725490196</v>
      </c>
      <c r="E71">
        <f>C71/$C$3*100</f>
        <v>29.701200165540069</v>
      </c>
      <c r="G71">
        <v>1.38843E-5</v>
      </c>
      <c r="H71">
        <v>3.6272700000000003E-5</v>
      </c>
      <c r="I71">
        <f>G71/$G$3*100</f>
        <v>1.6927634827453777</v>
      </c>
      <c r="J71">
        <f>H71/$H$3*100</f>
        <v>29.977190271154786</v>
      </c>
      <c r="L71" s="5">
        <v>1.5778200000000001E-5</v>
      </c>
      <c r="M71" s="5">
        <v>3.9149600000000002E-5</v>
      </c>
      <c r="N71" s="4">
        <f>L71/$L$3*100</f>
        <v>1.7167571566910029</v>
      </c>
      <c r="O71" s="4">
        <f>M71/$M$3*100</f>
        <v>30.735942971092999</v>
      </c>
      <c r="Q71">
        <f>AVERAGE(B71,G71,L71)</f>
        <v>1.4617333333333333E-5</v>
      </c>
      <c r="R71">
        <f>AVERAGE(C71,H71,M71)</f>
        <v>3.9494366666666666E-5</v>
      </c>
      <c r="T71">
        <f>AVERAGE(D71,I71,N71)</f>
        <v>1.5281531216421922</v>
      </c>
      <c r="U71">
        <f>AVERAGE(E71,J71,O71)</f>
        <v>30.138111135929282</v>
      </c>
      <c r="W71">
        <f>_xlfn.STDEV.P(D71,I71,N71)</f>
        <v>0.24995230389565207</v>
      </c>
      <c r="X71">
        <f>_xlfn.STDEV.P(E71,J71,O71)</f>
        <v>0.43748890420269854</v>
      </c>
    </row>
    <row r="72" spans="1:24" x14ac:dyDescent="0.2">
      <c r="A72">
        <v>455.57600000000002</v>
      </c>
      <c r="B72">
        <v>1.38402E-5</v>
      </c>
      <c r="C72">
        <v>4.2592400000000002E-5</v>
      </c>
      <c r="D72">
        <f>B72/$B$3*100</f>
        <v>1.1460155007949124</v>
      </c>
      <c r="E72">
        <f>C72/$C$3*100</f>
        <v>29.378121120154503</v>
      </c>
      <c r="G72">
        <v>1.35058E-5</v>
      </c>
      <c r="H72">
        <v>3.5799700000000002E-5</v>
      </c>
      <c r="I72">
        <f>G72/$G$3*100</f>
        <v>1.6466170455307449</v>
      </c>
      <c r="J72">
        <f>H72/$H$3*100</f>
        <v>29.586284410872636</v>
      </c>
      <c r="L72" s="5">
        <v>1.5747799999999999E-5</v>
      </c>
      <c r="M72" s="5">
        <v>3.8996899999999999E-5</v>
      </c>
      <c r="N72" s="4">
        <f>L72/$L$3*100</f>
        <v>1.7134494652202767</v>
      </c>
      <c r="O72" s="4">
        <f>M72/$M$3*100</f>
        <v>30.616059792422313</v>
      </c>
      <c r="Q72">
        <f>AVERAGE(B72,G72,L72)</f>
        <v>1.43646E-5</v>
      </c>
      <c r="R72">
        <f>AVERAGE(C72,H72,M72)</f>
        <v>3.9129666666666666E-5</v>
      </c>
      <c r="T72">
        <f>AVERAGE(D72,I72,N72)</f>
        <v>1.5020273371819781</v>
      </c>
      <c r="U72">
        <f>AVERAGE(E72,J72,O72)</f>
        <v>29.860155107816485</v>
      </c>
      <c r="W72">
        <f>_xlfn.STDEV.P(D72,I72,N72)</f>
        <v>0.25321264293890366</v>
      </c>
      <c r="X72">
        <f>_xlfn.STDEV.P(E72,J72,O72)</f>
        <v>0.5412189378661395</v>
      </c>
    </row>
    <row r="73" spans="1:24" x14ac:dyDescent="0.2">
      <c r="A73">
        <v>461.834</v>
      </c>
      <c r="B73">
        <v>1.34386E-5</v>
      </c>
      <c r="C73">
        <v>4.2050099999999999E-5</v>
      </c>
      <c r="D73">
        <f>B73/$B$3*100</f>
        <v>1.1127616587175411</v>
      </c>
      <c r="E73">
        <f>C73/$C$3*100</f>
        <v>29.004069526831284</v>
      </c>
      <c r="G73">
        <v>1.30592E-5</v>
      </c>
      <c r="H73">
        <v>3.5283700000000002E-5</v>
      </c>
      <c r="I73">
        <f>G73/$G$3*100</f>
        <v>1.5921679071950647</v>
      </c>
      <c r="J73">
        <f>H73/$H$3*100</f>
        <v>29.159841654201209</v>
      </c>
      <c r="L73" s="5">
        <v>1.56065E-5</v>
      </c>
      <c r="M73" s="5">
        <v>3.86388E-5</v>
      </c>
      <c r="N73" s="4">
        <f>L73/$L$3*100</f>
        <v>1.6980752282198308</v>
      </c>
      <c r="O73" s="4">
        <f>M73/$M$3*100</f>
        <v>30.334919214282348</v>
      </c>
      <c r="Q73">
        <f>AVERAGE(B73,G73,L73)</f>
        <v>1.4034766666666668E-5</v>
      </c>
      <c r="R73">
        <f>AVERAGE(C73,H73,M73)</f>
        <v>3.8657533333333334E-5</v>
      </c>
      <c r="T73">
        <f>AVERAGE(D73,I73,N73)</f>
        <v>1.4676682647108121</v>
      </c>
      <c r="U73">
        <f>AVERAGE(E73,J73,O73)</f>
        <v>29.499610131771615</v>
      </c>
      <c r="W73">
        <f>_xlfn.STDEV.P(D73,I73,N73)</f>
        <v>0.25465416338622654</v>
      </c>
      <c r="X73">
        <f>_xlfn.STDEV.P(E73,J73,O73)</f>
        <v>0.59406631863792869</v>
      </c>
    </row>
    <row r="74" spans="1:24" x14ac:dyDescent="0.2">
      <c r="A74">
        <v>468.06400000000002</v>
      </c>
      <c r="B74">
        <v>1.30288E-5</v>
      </c>
      <c r="C74">
        <v>4.14942E-5</v>
      </c>
      <c r="D74">
        <f>B74/$B$3*100</f>
        <v>1.0788288288288288</v>
      </c>
      <c r="E74">
        <f>C74/$C$3*100</f>
        <v>28.620637329286797</v>
      </c>
      <c r="G74">
        <v>1.2683200000000001E-5</v>
      </c>
      <c r="H74">
        <v>3.4906400000000002E-5</v>
      </c>
      <c r="I74">
        <f>G74/$G$3*100</f>
        <v>1.5463262681126291</v>
      </c>
      <c r="J74">
        <f>H74/$H$3*100</f>
        <v>28.848026049371494</v>
      </c>
      <c r="L74" s="5">
        <v>1.54749E-5</v>
      </c>
      <c r="M74" s="5">
        <v>3.8316299999999998E-5</v>
      </c>
      <c r="N74" s="4">
        <f>L74/$L$3*100</f>
        <v>1.6837564059320835</v>
      </c>
      <c r="O74" s="4">
        <f>M74/$M$3*100</f>
        <v>30.081727825144846</v>
      </c>
      <c r="Q74">
        <f>AVERAGE(B74,G74,L74)</f>
        <v>1.3728966666666668E-5</v>
      </c>
      <c r="R74">
        <f>AVERAGE(C74,H74,M74)</f>
        <v>3.8238966666666664E-5</v>
      </c>
      <c r="T74">
        <f>AVERAGE(D74,I74,N74)</f>
        <v>1.4363038342911805</v>
      </c>
      <c r="U74">
        <f>AVERAGE(E74,J74,O74)</f>
        <v>29.183463734601048</v>
      </c>
      <c r="W74">
        <f>_xlfn.STDEV.P(D74,I74,N74)</f>
        <v>0.25892475785190355</v>
      </c>
      <c r="X74">
        <f>_xlfn.STDEV.P(E74,J74,O74)</f>
        <v>0.64191650016483148</v>
      </c>
    </row>
    <row r="75" spans="1:24" x14ac:dyDescent="0.2">
      <c r="A75">
        <v>474.19400000000002</v>
      </c>
      <c r="B75">
        <v>1.2719500000000001E-5</v>
      </c>
      <c r="C75">
        <v>4.1105400000000001E-5</v>
      </c>
      <c r="D75">
        <f>B75/$B$3*100</f>
        <v>1.0532177397986222</v>
      </c>
      <c r="E75">
        <f>C75/$C$3*100</f>
        <v>28.35246240860808</v>
      </c>
      <c r="G75">
        <v>1.23165E-5</v>
      </c>
      <c r="H75">
        <v>3.45132E-5</v>
      </c>
      <c r="I75">
        <f>G75/$G$3*100</f>
        <v>1.5016184780819664</v>
      </c>
      <c r="J75">
        <f>H75/$H$3*100</f>
        <v>28.523070057272253</v>
      </c>
      <c r="L75" s="5">
        <v>1.5344699999999999E-5</v>
      </c>
      <c r="M75" s="5">
        <v>3.7966899999999997E-5</v>
      </c>
      <c r="N75" s="4">
        <f>L75/$L$3*100</f>
        <v>1.669589911541014</v>
      </c>
      <c r="O75" s="4">
        <f>M75/$M$3*100</f>
        <v>29.807417526339751</v>
      </c>
      <c r="Q75">
        <f>AVERAGE(B75,G75,L75)</f>
        <v>1.3460233333333332E-5</v>
      </c>
      <c r="R75">
        <f>AVERAGE(C75,H75,M75)</f>
        <v>3.7861833333333331E-5</v>
      </c>
      <c r="T75">
        <f>AVERAGE(D75,I75,N75)</f>
        <v>1.4081420431405343</v>
      </c>
      <c r="U75">
        <f>AVERAGE(E75,J75,O75)</f>
        <v>28.894316664073362</v>
      </c>
      <c r="W75">
        <f>_xlfn.STDEV.P(D75,I75,N75)</f>
        <v>0.26016923523177327</v>
      </c>
      <c r="X75">
        <f>_xlfn.STDEV.P(E75,J75,O75)</f>
        <v>0.64940569289640915</v>
      </c>
    </row>
    <row r="76" spans="1:24" x14ac:dyDescent="0.2">
      <c r="A76">
        <v>480.49299999999999</v>
      </c>
      <c r="B76">
        <v>1.24285E-5</v>
      </c>
      <c r="C76">
        <v>4.0725800000000002E-5</v>
      </c>
      <c r="D76">
        <f>B76/$B$3*100</f>
        <v>1.029121952835188</v>
      </c>
      <c r="E76">
        <f>C76/$C$3*100</f>
        <v>28.090633190784935</v>
      </c>
      <c r="G76">
        <v>1.20083E-5</v>
      </c>
      <c r="H76">
        <v>3.41825E-5</v>
      </c>
      <c r="I76">
        <f>G76/$G$3*100</f>
        <v>1.4640429643447144</v>
      </c>
      <c r="J76">
        <f>H76/$H$3*100</f>
        <v>28.249766530855112</v>
      </c>
      <c r="L76" s="5">
        <v>1.5248E-5</v>
      </c>
      <c r="M76" s="5">
        <v>3.7691999999999998E-5</v>
      </c>
      <c r="N76" s="4">
        <f>L76/$L$3*100</f>
        <v>1.6590684061061727</v>
      </c>
      <c r="O76" s="4">
        <f>M76/$M$3*100</f>
        <v>29.591596401149367</v>
      </c>
      <c r="Q76">
        <f>AVERAGE(B76,G76,L76)</f>
        <v>1.3228266666666665E-5</v>
      </c>
      <c r="R76">
        <f>AVERAGE(C76,H76,M76)</f>
        <v>3.7533433333333329E-5</v>
      </c>
      <c r="T76">
        <f>AVERAGE(D76,I76,N76)</f>
        <v>1.3840777744286916</v>
      </c>
      <c r="U76">
        <f>AVERAGE(E76,J76,O76)</f>
        <v>28.64399870759647</v>
      </c>
      <c r="W76">
        <f>_xlfn.STDEV.P(D76,I76,N76)</f>
        <v>0.26331724490419323</v>
      </c>
      <c r="X76">
        <f>_xlfn.STDEV.P(E76,J76,O76)</f>
        <v>0.67319481905341905</v>
      </c>
    </row>
    <row r="77" spans="1:24" x14ac:dyDescent="0.2">
      <c r="A77">
        <v>486.74799999999999</v>
      </c>
      <c r="B77">
        <v>1.21111E-5</v>
      </c>
      <c r="C77">
        <v>4.0290899999999997E-5</v>
      </c>
      <c r="D77">
        <f>B77/$B$3*100</f>
        <v>1.0028401563328033</v>
      </c>
      <c r="E77">
        <f>C77/$C$3*100</f>
        <v>27.790660780797349</v>
      </c>
      <c r="G77">
        <v>1.1727400000000001E-5</v>
      </c>
      <c r="H77">
        <v>3.3915199999999997E-5</v>
      </c>
      <c r="I77">
        <f>G77/$G$3*100</f>
        <v>1.4297958462110545</v>
      </c>
      <c r="J77">
        <f>H77/$H$3*100</f>
        <v>28.028859265625901</v>
      </c>
      <c r="L77" s="5">
        <v>1.5117500000000001E-5</v>
      </c>
      <c r="M77" s="5">
        <v>3.7403400000000002E-5</v>
      </c>
      <c r="N77" s="4">
        <f>L77/$L$3*100</f>
        <v>1.6448692700229579</v>
      </c>
      <c r="O77" s="4">
        <f>M77/$M$3*100</f>
        <v>29.365019548730508</v>
      </c>
      <c r="Q77">
        <f>AVERAGE(B77,G77,L77)</f>
        <v>1.2985333333333333E-5</v>
      </c>
      <c r="R77">
        <f>AVERAGE(C77,H77,M77)</f>
        <v>3.7203166666666663E-5</v>
      </c>
      <c r="T77">
        <f>AVERAGE(D77,I77,N77)</f>
        <v>1.3591684241889386</v>
      </c>
      <c r="U77">
        <f>AVERAGE(E77,J77,O77)</f>
        <v>28.394846531717917</v>
      </c>
      <c r="W77">
        <f>_xlfn.STDEV.P(D77,I77,N77)</f>
        <v>0.26682268801904002</v>
      </c>
      <c r="X77">
        <f>_xlfn.STDEV.P(E77,J77,O77)</f>
        <v>0.69287391433465306</v>
      </c>
    </row>
    <row r="78" spans="1:24" x14ac:dyDescent="0.2">
      <c r="A78">
        <v>492.90800000000002</v>
      </c>
      <c r="B78">
        <v>1.17549E-5</v>
      </c>
      <c r="C78">
        <v>3.9881600000000001E-5</v>
      </c>
      <c r="D78">
        <f>B78/$B$3*100</f>
        <v>0.97334558823529405</v>
      </c>
      <c r="E78">
        <f>C78/$C$3*100</f>
        <v>27.508345978755688</v>
      </c>
      <c r="G78">
        <v>1.14637E-5</v>
      </c>
      <c r="H78">
        <v>3.3674899999999998E-5</v>
      </c>
      <c r="I78">
        <f>G78/$G$3*100</f>
        <v>1.3976457392269099</v>
      </c>
      <c r="J78">
        <f>H78/$H$3*100</f>
        <v>27.830265865571356</v>
      </c>
      <c r="L78" s="5">
        <v>1.5014100000000001E-5</v>
      </c>
      <c r="M78" s="5">
        <v>3.71769E-5</v>
      </c>
      <c r="N78" s="4">
        <f>L78/$L$3*100</f>
        <v>1.6336187667968707</v>
      </c>
      <c r="O78" s="4">
        <f>M78/$M$3*100</f>
        <v>29.187196759150218</v>
      </c>
      <c r="Q78">
        <f>AVERAGE(B78,G78,L78)</f>
        <v>1.2744233333333334E-5</v>
      </c>
      <c r="R78">
        <f>AVERAGE(C78,H78,M78)</f>
        <v>3.6911133333333326E-5</v>
      </c>
      <c r="T78">
        <f>AVERAGE(D78,I78,N78)</f>
        <v>1.3348700314196915</v>
      </c>
      <c r="U78">
        <f>AVERAGE(E78,J78,O78)</f>
        <v>28.175269534492418</v>
      </c>
      <c r="W78">
        <f>_xlfn.STDEV.P(D78,I78,N78)</f>
        <v>0.27318584602180623</v>
      </c>
      <c r="X78">
        <f>_xlfn.STDEV.P(E78,J78,O78)</f>
        <v>0.72750974077537389</v>
      </c>
    </row>
    <row r="79" spans="1:24" x14ac:dyDescent="0.2">
      <c r="A79">
        <v>499.07900000000001</v>
      </c>
      <c r="B79">
        <v>1.14353E-5</v>
      </c>
      <c r="C79">
        <v>3.9577299999999998E-5</v>
      </c>
      <c r="D79">
        <f>B79/$B$3*100</f>
        <v>0.94688162427133027</v>
      </c>
      <c r="E79">
        <f>C79/$C$3*100</f>
        <v>27.298454959304731</v>
      </c>
      <c r="G79">
        <v>1.1146599999999999E-5</v>
      </c>
      <c r="H79">
        <v>3.33698E-5</v>
      </c>
      <c r="I79">
        <f>G79/$G$3*100</f>
        <v>1.3589851441390366</v>
      </c>
      <c r="J79">
        <f>H79/$H$3*100</f>
        <v>27.57811918909761</v>
      </c>
      <c r="L79" s="5">
        <v>1.49041E-5</v>
      </c>
      <c r="M79" s="5">
        <v>3.6939E-5</v>
      </c>
      <c r="N79" s="4">
        <f>L79/$L$3*100</f>
        <v>1.6216501463435864</v>
      </c>
      <c r="O79" s="4">
        <f>M79/$M$3*100</f>
        <v>29.000423948372507</v>
      </c>
      <c r="Q79">
        <f>AVERAGE(B79,G79,L79)</f>
        <v>1.2495333333333334E-5</v>
      </c>
      <c r="R79">
        <f>AVERAGE(C79,H79,M79)</f>
        <v>3.6628699999999997E-5</v>
      </c>
      <c r="T79">
        <f>AVERAGE(D79,I79,N79)</f>
        <v>1.3091723049179844</v>
      </c>
      <c r="U79">
        <f>AVERAGE(E79,J79,O79)</f>
        <v>27.95899936559162</v>
      </c>
      <c r="W79">
        <f>_xlfn.STDEV.P(D79,I79,N79)</f>
        <v>0.27771583655281068</v>
      </c>
      <c r="X79">
        <f>_xlfn.STDEV.P(E79,J79,O79)</f>
        <v>0.74519656984882232</v>
      </c>
    </row>
    <row r="80" spans="1:24" x14ac:dyDescent="0.2">
      <c r="A80">
        <v>505.34300000000002</v>
      </c>
      <c r="B80">
        <v>1.1182099999999999E-5</v>
      </c>
      <c r="C80">
        <v>3.92877E-5</v>
      </c>
      <c r="D80">
        <f>B80/$B$3*100</f>
        <v>0.92591580551139363</v>
      </c>
      <c r="E80">
        <f>C80/$C$3*100</f>
        <v>27.098703269416468</v>
      </c>
      <c r="G80">
        <v>1.08711E-5</v>
      </c>
      <c r="H80">
        <v>3.3109599999999999E-5</v>
      </c>
      <c r="I80">
        <f>G80/$G$3*100</f>
        <v>1.3253963899709222</v>
      </c>
      <c r="J80">
        <f>H80/$H$3*100</f>
        <v>27.363079643969883</v>
      </c>
      <c r="L80" s="5">
        <v>1.4778400000000001E-5</v>
      </c>
      <c r="M80" s="5">
        <v>3.6715799999999998E-5</v>
      </c>
      <c r="N80" s="4">
        <f>L80/$L$3*100</f>
        <v>1.6079732773346969</v>
      </c>
      <c r="O80" s="4">
        <f>M80/$M$3*100</f>
        <v>28.825191954401998</v>
      </c>
      <c r="Q80">
        <f>AVERAGE(B80,G80,L80)</f>
        <v>1.22772E-5</v>
      </c>
      <c r="R80">
        <f>AVERAGE(C80,H80,M80)</f>
        <v>3.6371033333333328E-5</v>
      </c>
      <c r="T80">
        <f>AVERAGE(D80,I80,N80)</f>
        <v>1.2864284909390042</v>
      </c>
      <c r="U80">
        <f>AVERAGE(E80,J80,O80)</f>
        <v>27.762324955929447</v>
      </c>
      <c r="W80">
        <f>_xlfn.STDEV.P(D80,I80,N80)</f>
        <v>0.27980882948151109</v>
      </c>
      <c r="X80">
        <f>_xlfn.STDEV.P(E80,J80,O80)</f>
        <v>0.75927088235448381</v>
      </c>
    </row>
    <row r="81" spans="1:24" x14ac:dyDescent="0.2">
      <c r="A81">
        <v>518.67100000000005</v>
      </c>
      <c r="B81">
        <v>6.0886700000000002E-4</v>
      </c>
      <c r="C81">
        <v>1.28911E-4</v>
      </c>
      <c r="D81">
        <f>B81/$B$3*100</f>
        <v>50.416252649708539</v>
      </c>
      <c r="E81">
        <f>C81/$C$3*100</f>
        <v>88.916402262381013</v>
      </c>
      <c r="G81">
        <v>4.5786399999999999E-4</v>
      </c>
      <c r="H81">
        <v>1.3544499999999999E-4</v>
      </c>
      <c r="I81">
        <f>G81/$G$3*100</f>
        <v>55.82243680010729</v>
      </c>
      <c r="J81">
        <f>H81/$H$3*100</f>
        <v>111.93709142899644</v>
      </c>
      <c r="L81" s="5">
        <v>5.1631099999999998E-4</v>
      </c>
      <c r="M81" s="5">
        <v>1.09295E-4</v>
      </c>
      <c r="N81" s="4">
        <f>L81/$L$3*100</f>
        <v>56.177549044142452</v>
      </c>
      <c r="O81" s="4">
        <f>M81/$M$3*100</f>
        <v>85.806365506304275</v>
      </c>
      <c r="Q81">
        <f>AVERAGE(B81,G81,L81)</f>
        <v>5.2768066666666663E-4</v>
      </c>
      <c r="R81">
        <f>AVERAGE(C81,H81,M81)</f>
        <v>1.2455033333333334E-4</v>
      </c>
      <c r="T81">
        <f>AVERAGE(D81,I81,N81)</f>
        <v>54.138746164652765</v>
      </c>
      <c r="U81">
        <f>AVERAGE(E81,J81,O81)</f>
        <v>95.553286399227247</v>
      </c>
      <c r="W81">
        <f>_xlfn.STDEV.P(D81,I81,N81)</f>
        <v>2.6361897570884714</v>
      </c>
      <c r="X81">
        <f>_xlfn.STDEV.P(E81,J81,O81)</f>
        <v>11.654466457004153</v>
      </c>
    </row>
    <row r="82" spans="1:24" x14ac:dyDescent="0.2">
      <c r="A82">
        <v>524.91800000000001</v>
      </c>
      <c r="B82">
        <v>6.2917099999999998E-4</v>
      </c>
      <c r="C82">
        <v>1.23621E-4</v>
      </c>
      <c r="D82">
        <f>B82/$B$3*100</f>
        <v>52.097492713301527</v>
      </c>
      <c r="E82">
        <f>C82/$C$3*100</f>
        <v>85.2676231204304</v>
      </c>
      <c r="G82">
        <v>4.7567900000000001E-4</v>
      </c>
      <c r="H82">
        <v>1.44093E-4</v>
      </c>
      <c r="I82">
        <f>G82/$G$3*100</f>
        <v>57.994428290143439</v>
      </c>
      <c r="J82">
        <f>H82/$H$3*100</f>
        <v>119.08413980049752</v>
      </c>
      <c r="L82" s="5">
        <v>5.3175200000000003E-4</v>
      </c>
      <c r="M82" s="5">
        <v>1.1069300000000001E-4</v>
      </c>
      <c r="N82" s="4">
        <f>L82/$L$3*100</f>
        <v>57.857616938862108</v>
      </c>
      <c r="O82" s="4">
        <f>M82/$M$3*100</f>
        <v>86.903920737356131</v>
      </c>
      <c r="Q82">
        <f>AVERAGE(B82,G82,L82)</f>
        <v>5.4553399999999997E-4</v>
      </c>
      <c r="R82">
        <f>AVERAGE(C82,H82,M82)</f>
        <v>1.2613566666666665E-4</v>
      </c>
      <c r="T82">
        <f>AVERAGE(D82,I82,N82)</f>
        <v>55.983179314102358</v>
      </c>
      <c r="U82">
        <f>AVERAGE(E82,J82,O82)</f>
        <v>97.085227886094685</v>
      </c>
      <c r="W82">
        <f>_xlfn.STDEV.P(D82,I82,N82)</f>
        <v>2.7481629750546932</v>
      </c>
      <c r="X82">
        <f>_xlfn.STDEV.P(E82,J82,O82)</f>
        <v>15.569916752850286</v>
      </c>
    </row>
    <row r="83" spans="1:24" x14ac:dyDescent="0.2">
      <c r="A83">
        <v>531.04899999999998</v>
      </c>
      <c r="B83">
        <v>6.4153300000000001E-4</v>
      </c>
      <c r="C83">
        <v>1.21591E-4</v>
      </c>
      <c r="D83">
        <f>B83/$B$3*100</f>
        <v>53.121108240593529</v>
      </c>
      <c r="E83">
        <f>C83/$C$3*100</f>
        <v>83.867429990343496</v>
      </c>
      <c r="G83">
        <v>4.8572600000000002E-4</v>
      </c>
      <c r="H83">
        <v>1.4430399999999999E-4</v>
      </c>
      <c r="I83">
        <f>G83/$G$3*100</f>
        <v>59.219351023816927</v>
      </c>
      <c r="J83">
        <f>H83/$H$3*100</f>
        <v>119.25851852464029</v>
      </c>
      <c r="L83" s="5">
        <v>5.3985100000000005E-4</v>
      </c>
      <c r="M83" s="5">
        <v>1.08436E-4</v>
      </c>
      <c r="N83" s="4">
        <f>L83/$L$3*100</f>
        <v>58.738833821145285</v>
      </c>
      <c r="O83" s="4">
        <f>M83/$M$3*100</f>
        <v>85.131973558182992</v>
      </c>
      <c r="Q83">
        <f>AVERAGE(B83,G83,L83)</f>
        <v>5.5570333333333332E-4</v>
      </c>
      <c r="R83">
        <f>AVERAGE(C83,H83,M83)</f>
        <v>1.2477699999999999E-4</v>
      </c>
      <c r="T83">
        <f>AVERAGE(D83,I83,N83)</f>
        <v>57.02643102851858</v>
      </c>
      <c r="U83">
        <f>AVERAGE(E83,J83,O83)</f>
        <v>96.085974024388932</v>
      </c>
      <c r="W83">
        <f>_xlfn.STDEV.P(D83,I83,N83)</f>
        <v>2.7684392418750878</v>
      </c>
      <c r="X83">
        <f>_xlfn.STDEV.P(E83,J83,O83)</f>
        <v>16.393593902717686</v>
      </c>
    </row>
    <row r="84" spans="1:24" x14ac:dyDescent="0.2">
      <c r="A84">
        <v>537.19200000000001</v>
      </c>
      <c r="B84">
        <v>6.5111599999999998E-4</v>
      </c>
      <c r="C84">
        <v>1.20845E-4</v>
      </c>
      <c r="D84">
        <f>B84/$B$3*100</f>
        <v>53.914613142554316</v>
      </c>
      <c r="E84">
        <f>C84/$C$3*100</f>
        <v>83.352876258794311</v>
      </c>
      <c r="G84">
        <v>4.9429499999999996E-4</v>
      </c>
      <c r="H84">
        <v>1.45017E-4</v>
      </c>
      <c r="I84">
        <f>G84/$G$3*100</f>
        <v>60.264077101735516</v>
      </c>
      <c r="J84">
        <f>H84/$H$3*100</f>
        <v>119.8477698531417</v>
      </c>
      <c r="L84" s="5">
        <v>5.4483699999999995E-4</v>
      </c>
      <c r="M84" s="5">
        <v>1.0561299999999999E-4</v>
      </c>
      <c r="N84" s="4">
        <f>L84/$L$3*100</f>
        <v>59.281338744600511</v>
      </c>
      <c r="O84" s="4">
        <f>M84/$M$3*100</f>
        <v>82.915665677453788</v>
      </c>
      <c r="Q84">
        <f>AVERAGE(B84,G84,L84)</f>
        <v>5.6341599999999985E-4</v>
      </c>
      <c r="R84">
        <f>AVERAGE(C84,H84,M84)</f>
        <v>1.2382500000000001E-4</v>
      </c>
      <c r="T84">
        <f>AVERAGE(D84,I84,N84)</f>
        <v>57.82000966296345</v>
      </c>
      <c r="U84">
        <f>AVERAGE(E84,J84,O84)</f>
        <v>95.372103929796594</v>
      </c>
      <c r="W84">
        <f>_xlfn.STDEV.P(D84,I84,N84)</f>
        <v>2.7905238643026533</v>
      </c>
      <c r="X84">
        <f>_xlfn.STDEV.P(E84,J84,O84)</f>
        <v>17.307829732359256</v>
      </c>
    </row>
    <row r="85" spans="1:24" x14ac:dyDescent="0.2">
      <c r="A85">
        <v>543.55200000000002</v>
      </c>
      <c r="B85">
        <v>6.5817100000000004E-4</v>
      </c>
      <c r="C85">
        <v>1.18854E-4</v>
      </c>
      <c r="D85">
        <f>B85/$B$3*100</f>
        <v>54.498791070482241</v>
      </c>
      <c r="E85">
        <f>C85/$C$3*100</f>
        <v>81.979583390812522</v>
      </c>
      <c r="G85">
        <v>4.9919799999999996E-4</v>
      </c>
      <c r="H85">
        <v>1.43299E-4</v>
      </c>
      <c r="I85">
        <f>G85/$G$3*100</f>
        <v>60.861847198600358</v>
      </c>
      <c r="J85">
        <f>H85/$H$3*100</f>
        <v>118.42794687647209</v>
      </c>
      <c r="L85" s="5">
        <v>5.4908799999999998E-4</v>
      </c>
      <c r="M85" s="5">
        <v>1.01479E-4</v>
      </c>
      <c r="N85" s="4">
        <f>L85/$L$3*100</f>
        <v>59.74387152229972</v>
      </c>
      <c r="O85" s="4">
        <f>M85/$M$3*100</f>
        <v>79.670105359021463</v>
      </c>
      <c r="Q85">
        <f>AVERAGE(B85,G85,L85)</f>
        <v>5.6881900000000003E-4</v>
      </c>
      <c r="R85">
        <f>AVERAGE(C85,H85,M85)</f>
        <v>1.2121066666666667E-4</v>
      </c>
      <c r="T85">
        <f>AVERAGE(D85,I85,N85)</f>
        <v>58.368169930460773</v>
      </c>
      <c r="U85">
        <f>AVERAGE(E85,J85,O85)</f>
        <v>93.359211875435349</v>
      </c>
      <c r="W85">
        <f>_xlfn.STDEV.P(D85,I85,N85)</f>
        <v>2.7738705779393698</v>
      </c>
      <c r="X85">
        <f>_xlfn.STDEV.P(E85,J85,O85)</f>
        <v>17.751329116603969</v>
      </c>
    </row>
    <row r="86" spans="1:24" x14ac:dyDescent="0.2">
      <c r="A86">
        <v>549.649</v>
      </c>
      <c r="B86">
        <v>6.63526E-4</v>
      </c>
      <c r="C86">
        <v>1.17825E-4</v>
      </c>
      <c r="D86">
        <f>B86/$B$3*100</f>
        <v>54.942203232644403</v>
      </c>
      <c r="E86">
        <f>C86/$C$3*100</f>
        <v>81.26983032142364</v>
      </c>
      <c r="G86">
        <v>4.9946799999999998E-4</v>
      </c>
      <c r="H86">
        <v>1.3736900000000001E-4</v>
      </c>
      <c r="I86">
        <f>G86/$G$3*100</f>
        <v>60.894765396877645</v>
      </c>
      <c r="J86">
        <f>H86/$H$3*100</f>
        <v>113.52716093255428</v>
      </c>
      <c r="L86" s="5">
        <v>5.5249400000000005E-4</v>
      </c>
      <c r="M86" s="5">
        <v>9.9022200000000002E-5</v>
      </c>
      <c r="N86" s="4">
        <f>L86/$L$3*100</f>
        <v>60.114463533789596</v>
      </c>
      <c r="O86" s="4">
        <f>M86/$M$3*100</f>
        <v>77.741297282019872</v>
      </c>
      <c r="Q86">
        <f>AVERAGE(B86,G86,L86)</f>
        <v>5.7182933333333342E-4</v>
      </c>
      <c r="R86">
        <f>AVERAGE(C86,H86,M86)</f>
        <v>1.1807206666666668E-4</v>
      </c>
      <c r="T86">
        <f>AVERAGE(D86,I86,N86)</f>
        <v>58.650477387770543</v>
      </c>
      <c r="U86">
        <f>AVERAGE(E86,J86,O86)</f>
        <v>90.846096178665945</v>
      </c>
      <c r="W86">
        <f>_xlfn.STDEV.P(D86,I86,N86)</f>
        <v>2.6414252032526009</v>
      </c>
      <c r="X86">
        <f>_xlfn.STDEV.P(E86,J86,O86)</f>
        <v>16.102497945558984</v>
      </c>
    </row>
    <row r="87" spans="1:24" x14ac:dyDescent="0.2">
      <c r="A87">
        <v>555.86300000000006</v>
      </c>
      <c r="B87">
        <v>6.6839000000000004E-4</v>
      </c>
      <c r="C87">
        <v>1.16607E-4</v>
      </c>
      <c r="D87">
        <f>B87/$B$3*100</f>
        <v>55.344958929517752</v>
      </c>
      <c r="E87">
        <f>C87/$C$3*100</f>
        <v>80.429714443371495</v>
      </c>
      <c r="G87">
        <v>5.0353599999999996E-4</v>
      </c>
      <c r="H87">
        <v>1.34759E-4</v>
      </c>
      <c r="I87">
        <f>G87/$G$3*100</f>
        <v>61.390732917588679</v>
      </c>
      <c r="J87">
        <f>H87/$H$3*100</f>
        <v>111.37015396566969</v>
      </c>
      <c r="L87" s="5">
        <v>5.55479E-4</v>
      </c>
      <c r="M87" s="5">
        <v>9.4104400000000007E-5</v>
      </c>
      <c r="N87" s="4">
        <f>L87/$L$3*100</f>
        <v>60.439248370635532</v>
      </c>
      <c r="O87" s="4">
        <f>M87/$M$3*100</f>
        <v>73.880383751786084</v>
      </c>
      <c r="Q87">
        <f>AVERAGE(B87,G87,L87)</f>
        <v>5.7580166666666667E-4</v>
      </c>
      <c r="R87">
        <f>AVERAGE(C87,H87,M87)</f>
        <v>1.1515679999999999E-4</v>
      </c>
      <c r="T87">
        <f>AVERAGE(D87,I87,N87)</f>
        <v>59.058313405913992</v>
      </c>
      <c r="U87">
        <f>AVERAGE(E87,J87,O87)</f>
        <v>88.560084053609089</v>
      </c>
      <c r="W87">
        <f>_xlfn.STDEV.P(D87,I87,N87)</f>
        <v>2.6543149538442279</v>
      </c>
      <c r="X87">
        <f>_xlfn.STDEV.P(E87,J87,O87)</f>
        <v>16.349269100314658</v>
      </c>
    </row>
    <row r="88" spans="1:24" x14ac:dyDescent="0.2">
      <c r="A88">
        <v>562.19600000000003</v>
      </c>
      <c r="B88">
        <v>6.73586E-4</v>
      </c>
      <c r="C88">
        <v>1.16061E-4</v>
      </c>
      <c r="D88">
        <f>B88/$B$3*100</f>
        <v>55.775205352411227</v>
      </c>
      <c r="E88">
        <f>C88/$C$3*100</f>
        <v>80.053110773899832</v>
      </c>
      <c r="G88">
        <v>5.0750999999999997E-4</v>
      </c>
      <c r="H88">
        <v>1.2883099999999999E-4</v>
      </c>
      <c r="I88">
        <f>G88/$G$3*100</f>
        <v>61.875240028529099</v>
      </c>
      <c r="J88">
        <f>H88/$H$3*100</f>
        <v>106.4710209006537</v>
      </c>
      <c r="L88" s="5">
        <v>5.59087E-4</v>
      </c>
      <c r="M88" s="5">
        <v>9.8960000000000001E-5</v>
      </c>
      <c r="N88" s="4">
        <f>L88/$L$3*100</f>
        <v>60.831819121503258</v>
      </c>
      <c r="O88" s="4">
        <f>M88/$M$3*100</f>
        <v>77.692464710223433</v>
      </c>
      <c r="Q88">
        <f>AVERAGE(B88,G88,L88)</f>
        <v>5.8006099999999999E-4</v>
      </c>
      <c r="R88">
        <f>AVERAGE(C88,H88,M88)</f>
        <v>1.1461733333333332E-4</v>
      </c>
      <c r="T88">
        <f>AVERAGE(D88,I88,N88)</f>
        <v>59.494088167481188</v>
      </c>
      <c r="U88">
        <f>AVERAGE(E88,J88,O88)</f>
        <v>88.072198794925654</v>
      </c>
      <c r="W88">
        <f>_xlfn.STDEV.P(D88,I88,N88)</f>
        <v>2.6639255296737936</v>
      </c>
      <c r="X88">
        <f>_xlfn.STDEV.P(E88,J88,O88)</f>
        <v>13.045577887242283</v>
      </c>
    </row>
    <row r="89" spans="1:24" x14ac:dyDescent="0.2">
      <c r="A89">
        <v>568.34699999999998</v>
      </c>
      <c r="B89">
        <v>6.7780200000000003E-4</v>
      </c>
      <c r="C89">
        <v>1.15544E-4</v>
      </c>
      <c r="D89">
        <f>B89/$B$3*100</f>
        <v>56.124304451510334</v>
      </c>
      <c r="E89">
        <f>C89/$C$3*100</f>
        <v>79.696509863429426</v>
      </c>
      <c r="G89">
        <v>5.1052300000000003E-4</v>
      </c>
      <c r="H89">
        <v>1.3008799999999999E-4</v>
      </c>
      <c r="I89">
        <f>G89/$G$3*100</f>
        <v>62.242582737452992</v>
      </c>
      <c r="J89">
        <f>H89/$H$3*100</f>
        <v>107.50985529045214</v>
      </c>
      <c r="L89" s="5">
        <v>5.6115500000000003E-4</v>
      </c>
      <c r="M89" s="5">
        <v>9.6148400000000003E-5</v>
      </c>
      <c r="N89" s="4">
        <f>L89/$L$3*100</f>
        <v>61.056829186025006</v>
      </c>
      <c r="O89" s="4">
        <f>M89/$M$3*100</f>
        <v>75.485106850691665</v>
      </c>
      <c r="Q89">
        <f>AVERAGE(B89,G89,L89)</f>
        <v>5.8315999999999999E-4</v>
      </c>
      <c r="R89">
        <f>AVERAGE(C89,H89,M89)</f>
        <v>1.1392679999999999E-4</v>
      </c>
      <c r="T89">
        <f>AVERAGE(D89,I89,N89)</f>
        <v>59.807905458329436</v>
      </c>
      <c r="U89">
        <f>AVERAGE(E89,J89,O89)</f>
        <v>87.563824001524424</v>
      </c>
      <c r="W89">
        <f>_xlfn.STDEV.P(D89,I89,N89)</f>
        <v>2.6493005560285896</v>
      </c>
      <c r="X89">
        <f>_xlfn.STDEV.P(E89,J89,O89)</f>
        <v>14.208380202497485</v>
      </c>
    </row>
    <row r="90" spans="1:24" x14ac:dyDescent="0.2">
      <c r="A90">
        <v>574.55200000000002</v>
      </c>
      <c r="B90">
        <v>6.81333E-4</v>
      </c>
      <c r="C90">
        <v>1.15058E-4</v>
      </c>
      <c r="D90">
        <f>B90/$B$3*100</f>
        <v>56.41668322734499</v>
      </c>
      <c r="E90">
        <f>C90/$C$3*100</f>
        <v>79.361291212581037</v>
      </c>
      <c r="G90">
        <v>5.1404100000000002E-4</v>
      </c>
      <c r="H90">
        <v>1.3408699999999999E-4</v>
      </c>
      <c r="I90">
        <f>G90/$G$3*100</f>
        <v>62.671494669080673</v>
      </c>
      <c r="J90">
        <f>H90/$H$3*100</f>
        <v>110.81478665465573</v>
      </c>
      <c r="L90" s="5">
        <v>5.6449899999999999E-4</v>
      </c>
      <c r="M90" s="5">
        <v>1.01174E-4</v>
      </c>
      <c r="N90" s="4">
        <f>L90/$L$3*100</f>
        <v>61.420675247804844</v>
      </c>
      <c r="O90" s="4">
        <f>M90/$M$3*100</f>
        <v>79.430653037511576</v>
      </c>
      <c r="Q90">
        <f>AVERAGE(B90,G90,L90)</f>
        <v>5.8662433333333327E-4</v>
      </c>
      <c r="R90">
        <f>AVERAGE(C90,H90,M90)</f>
        <v>1.1677299999999999E-4</v>
      </c>
      <c r="T90">
        <f>AVERAGE(D90,I90,N90)</f>
        <v>60.169617714743502</v>
      </c>
      <c r="U90">
        <f>AVERAGE(E90,J90,O90)</f>
        <v>89.868910301582787</v>
      </c>
      <c r="W90">
        <f>_xlfn.STDEV.P(D90,I90,N90)</f>
        <v>2.7024094503719023</v>
      </c>
      <c r="X90">
        <f>_xlfn.STDEV.P(E90,J90,O90)</f>
        <v>14.810998276378967</v>
      </c>
    </row>
    <row r="91" spans="1:24" x14ac:dyDescent="0.2">
      <c r="A91">
        <v>580.73699999999997</v>
      </c>
      <c r="B91">
        <v>6.8418799999999996E-4</v>
      </c>
      <c r="C91">
        <v>1.15287E-4</v>
      </c>
      <c r="D91">
        <f>B91/$B$3*100</f>
        <v>56.653086910439839</v>
      </c>
      <c r="E91">
        <f>C91/$C$3*100</f>
        <v>79.519244033659803</v>
      </c>
      <c r="G91">
        <v>5.1749100000000002E-4</v>
      </c>
      <c r="H91">
        <v>1.3516400000000001E-4</v>
      </c>
      <c r="I91">
        <f>G91/$G$3*100</f>
        <v>63.092116091512594</v>
      </c>
      <c r="J91">
        <f>H91/$H$3*100</f>
        <v>111.70486194328973</v>
      </c>
      <c r="L91" s="5">
        <v>5.6526000000000005E-4</v>
      </c>
      <c r="M91" s="5">
        <v>9.8292800000000002E-5</v>
      </c>
      <c r="N91" s="4">
        <f>L91/$L$3*100</f>
        <v>61.503476340213481</v>
      </c>
      <c r="O91" s="4">
        <f>M91/$M$3*100</f>
        <v>77.168652943300827</v>
      </c>
      <c r="Q91">
        <f>AVERAGE(B91,G91,L91)</f>
        <v>5.8897966666666664E-4</v>
      </c>
      <c r="R91">
        <f>AVERAGE(C91,H91,M91)</f>
        <v>1.1624793333333334E-4</v>
      </c>
      <c r="T91">
        <f>AVERAGE(D91,I91,N91)</f>
        <v>60.416226447388645</v>
      </c>
      <c r="U91">
        <f>AVERAGE(E91,J91,O91)</f>
        <v>89.464252973416777</v>
      </c>
      <c r="W91">
        <f>_xlfn.STDEV.P(D91,I91,N91)</f>
        <v>2.7388389809993505</v>
      </c>
      <c r="X91">
        <f>_xlfn.STDEV.P(E91,J91,O91)</f>
        <v>15.75573620688912</v>
      </c>
    </row>
    <row r="92" spans="1:24" x14ac:dyDescent="0.2">
      <c r="A92">
        <v>587.00400000000002</v>
      </c>
      <c r="B92">
        <v>6.87475E-4</v>
      </c>
      <c r="C92">
        <v>1.1434699999999999E-4</v>
      </c>
      <c r="D92">
        <f>B92/$B$3*100</f>
        <v>56.925261658717538</v>
      </c>
      <c r="E92">
        <f>C92/$C$3*100</f>
        <v>78.870878741895424</v>
      </c>
      <c r="G92">
        <v>5.2178100000000002E-4</v>
      </c>
      <c r="H92">
        <v>1.3813000000000001E-4</v>
      </c>
      <c r="I92">
        <f>G92/$G$3*100</f>
        <v>63.615149686362727</v>
      </c>
      <c r="J92">
        <f>H92/$H$3*100</f>
        <v>114.15608135469955</v>
      </c>
      <c r="L92" s="5">
        <v>5.6427799999999998E-4</v>
      </c>
      <c r="M92" s="5">
        <v>9.8704399999999996E-5</v>
      </c>
      <c r="N92" s="4">
        <f>L92/$L$3*100</f>
        <v>61.396629201257788</v>
      </c>
      <c r="O92" s="4">
        <f>M92/$M$3*100</f>
        <v>77.491795813902371</v>
      </c>
      <c r="Q92">
        <f>AVERAGE(B92,G92,L92)</f>
        <v>5.9117800000000004E-4</v>
      </c>
      <c r="R92">
        <f>AVERAGE(C92,H92,M92)</f>
        <v>1.1706046666666666E-4</v>
      </c>
      <c r="T92">
        <f>AVERAGE(D92,I92,N92)</f>
        <v>60.645680182112677</v>
      </c>
      <c r="U92">
        <f>AVERAGE(E92,J92,O92)</f>
        <v>90.172918636832449</v>
      </c>
      <c r="W92">
        <f>_xlfn.STDEV.P(D92,I92,N92)</f>
        <v>2.7822764992746327</v>
      </c>
      <c r="X92">
        <f>_xlfn.STDEV.P(E92,J92,O92)</f>
        <v>16.968000037213923</v>
      </c>
    </row>
    <row r="93" spans="1:24" x14ac:dyDescent="0.2">
      <c r="A93">
        <v>593.21</v>
      </c>
      <c r="B93">
        <v>6.9047300000000004E-4</v>
      </c>
      <c r="C93">
        <v>1.1458E-4</v>
      </c>
      <c r="D93">
        <f>B93/$B$3*100</f>
        <v>57.17350622681505</v>
      </c>
      <c r="E93">
        <f>C93/$C$3*100</f>
        <v>79.031590564215747</v>
      </c>
      <c r="G93">
        <v>5.2248400000000003E-4</v>
      </c>
      <c r="H93">
        <v>1.35012E-4</v>
      </c>
      <c r="I93">
        <f>G93/$G$3*100</f>
        <v>63.700858921136536</v>
      </c>
      <c r="J93">
        <f>H93/$H$3*100</f>
        <v>111.57924314675085</v>
      </c>
      <c r="L93" s="5">
        <v>5.6704399999999995E-4</v>
      </c>
      <c r="M93" s="5">
        <v>9.8125699999999995E-5</v>
      </c>
      <c r="N93" s="4">
        <f>L93/$L$3*100</f>
        <v>61.697585602837648</v>
      </c>
      <c r="O93" s="4">
        <f>M93/$M$3*100</f>
        <v>77.037464474696563</v>
      </c>
      <c r="Q93">
        <f>AVERAGE(B93,G93,L93)</f>
        <v>5.9333366666666678E-4</v>
      </c>
      <c r="R93">
        <f>AVERAGE(C93,H93,M93)</f>
        <v>1.1590589999999999E-4</v>
      </c>
      <c r="T93">
        <f>AVERAGE(D93,I93,N93)</f>
        <v>60.85731691692974</v>
      </c>
      <c r="U93">
        <f>AVERAGE(E93,J93,O93)</f>
        <v>89.216099395221065</v>
      </c>
      <c r="W93">
        <f>_xlfn.STDEV.P(D93,I93,N93)</f>
        <v>2.7302163403174409</v>
      </c>
      <c r="X93">
        <f>_xlfn.STDEV.P(E93,J93,O93)</f>
        <v>15.834072618963521</v>
      </c>
    </row>
    <row r="94" spans="1:24" x14ac:dyDescent="0.2">
      <c r="A94">
        <v>599.31799999999998</v>
      </c>
      <c r="B94">
        <v>6.9213100000000002E-4</v>
      </c>
      <c r="C94">
        <v>1.1420499999999999E-4</v>
      </c>
      <c r="D94">
        <f>B94/$B$3*100</f>
        <v>57.310794250132481</v>
      </c>
      <c r="E94">
        <f>C94/$C$3*100</f>
        <v>78.772934197820376</v>
      </c>
      <c r="G94">
        <v>5.2831199999999997E-4</v>
      </c>
      <c r="H94">
        <v>1.45091E-4</v>
      </c>
      <c r="I94">
        <f>G94/$G$3*100</f>
        <v>64.41140432691428</v>
      </c>
      <c r="J94">
        <f>H94/$H$3*100</f>
        <v>119.90892637250931</v>
      </c>
      <c r="L94" s="5">
        <v>5.6848700000000001E-4</v>
      </c>
      <c r="M94" s="5">
        <v>1.00745E-4</v>
      </c>
      <c r="N94" s="4">
        <f>L94/$L$3*100</f>
        <v>61.854592142056639</v>
      </c>
      <c r="O94" s="4">
        <f>M94/$M$3*100</f>
        <v>79.093849608240291</v>
      </c>
      <c r="Q94">
        <f>AVERAGE(B94,G94,L94)</f>
        <v>5.9630999999999996E-4</v>
      </c>
      <c r="R94">
        <f>AVERAGE(C94,H94,M94)</f>
        <v>1.2001366666666667E-4</v>
      </c>
      <c r="T94">
        <f>AVERAGE(D94,I94,N94)</f>
        <v>61.192263573034467</v>
      </c>
      <c r="U94">
        <f>AVERAGE(E94,J94,O94)</f>
        <v>92.591903392856651</v>
      </c>
      <c r="W94">
        <f>_xlfn.STDEV.P(D94,I94,N94)</f>
        <v>2.9364008826715087</v>
      </c>
      <c r="X94">
        <f>_xlfn.STDEV.P(E94,J94,O94)</f>
        <v>19.316496490967062</v>
      </c>
    </row>
    <row r="95" spans="1:24" x14ac:dyDescent="0.2">
      <c r="A95">
        <v>605.59400000000005</v>
      </c>
      <c r="B95">
        <v>6.9428199999999995E-4</v>
      </c>
      <c r="C95">
        <v>1.1428400000000001E-4</v>
      </c>
      <c r="D95">
        <f>B95/$B$3*100</f>
        <v>57.488904345521988</v>
      </c>
      <c r="E95">
        <f>C95/$C$3*100</f>
        <v>78.827424472341008</v>
      </c>
      <c r="G95">
        <v>5.2972200000000005E-4</v>
      </c>
      <c r="H95">
        <v>1.4484900000000001E-4</v>
      </c>
      <c r="I95">
        <f>G95/$G$3*100</f>
        <v>64.583310473473418</v>
      </c>
      <c r="J95">
        <f>H95/$H$3*100</f>
        <v>119.70892802538822</v>
      </c>
      <c r="L95" s="5">
        <v>5.7042300000000002E-4</v>
      </c>
      <c r="M95" s="5">
        <v>1.07067E-4</v>
      </c>
      <c r="N95" s="4">
        <f>L95/$L$3*100</f>
        <v>62.065239862034446</v>
      </c>
      <c r="O95" s="4">
        <f>M95/$M$3*100</f>
        <v>84.057185924914023</v>
      </c>
      <c r="Q95">
        <f>AVERAGE(B95,G95,L95)</f>
        <v>5.9814233333333334E-4</v>
      </c>
      <c r="R95">
        <f>AVERAGE(C95,H95,M95)</f>
        <v>1.2206666666666667E-4</v>
      </c>
      <c r="T95">
        <f>AVERAGE(D95,I95,N95)</f>
        <v>61.379151560343281</v>
      </c>
      <c r="U95">
        <f>AVERAGE(E95,J95,O95)</f>
        <v>94.197846140881097</v>
      </c>
      <c r="W95">
        <f>_xlfn.STDEV.P(D95,I95,N95)</f>
        <v>2.9366292973823804</v>
      </c>
      <c r="X95">
        <f>_xlfn.STDEV.P(E95,J95,O95)</f>
        <v>18.164967664917036</v>
      </c>
    </row>
    <row r="96" spans="1:24" x14ac:dyDescent="0.2">
      <c r="A96">
        <v>611.76900000000001</v>
      </c>
      <c r="B96">
        <v>6.9723799999999998E-4</v>
      </c>
      <c r="C96">
        <v>1.13723E-4</v>
      </c>
      <c r="D96">
        <f>B96/$B$3*100</f>
        <v>57.733671171171167</v>
      </c>
      <c r="E96">
        <f>C96/$C$3*100</f>
        <v>78.44047454821353</v>
      </c>
      <c r="G96">
        <v>5.3057400000000002E-4</v>
      </c>
      <c r="H96">
        <v>1.38854E-4</v>
      </c>
      <c r="I96">
        <f>G96/$G$3*100</f>
        <v>64.687185676926177</v>
      </c>
      <c r="J96">
        <f>H96/$H$3*100</f>
        <v>114.754423517161</v>
      </c>
      <c r="L96" s="5">
        <v>5.7393799999999997E-4</v>
      </c>
      <c r="M96" s="5">
        <v>1.08309E-4</v>
      </c>
      <c r="N96" s="4">
        <f>L96/$L$3*100</f>
        <v>62.447691688337116</v>
      </c>
      <c r="O96" s="4">
        <f>M96/$M$3*100</f>
        <v>85.032267181685427</v>
      </c>
      <c r="Q96">
        <f>AVERAGE(B96,G96,L96)</f>
        <v>6.0058333333333329E-4</v>
      </c>
      <c r="R96">
        <f>AVERAGE(C96,H96,M96)</f>
        <v>1.2029533333333333E-4</v>
      </c>
      <c r="T96">
        <f>AVERAGE(D96,I96,N96)</f>
        <v>61.622849512144818</v>
      </c>
      <c r="U96">
        <f>AVERAGE(E96,J96,O96)</f>
        <v>92.742388415686648</v>
      </c>
      <c r="W96">
        <f>_xlfn.STDEV.P(D96,I96,N96)</f>
        <v>2.8980584830946809</v>
      </c>
      <c r="X96">
        <f>_xlfn.STDEV.P(E96,J96,O96)</f>
        <v>15.795784237407114</v>
      </c>
    </row>
    <row r="97" spans="1:24" x14ac:dyDescent="0.2">
      <c r="A97">
        <v>617.947</v>
      </c>
      <c r="B97">
        <v>7.0022900000000002E-4</v>
      </c>
      <c r="C97">
        <v>1.13403E-4</v>
      </c>
      <c r="D97">
        <f>B97/$B$3*100</f>
        <v>57.981336115527291</v>
      </c>
      <c r="E97">
        <f>C97/$C$3*100</f>
        <v>78.219754448889503</v>
      </c>
      <c r="G97">
        <v>5.3222100000000004E-4</v>
      </c>
      <c r="H97">
        <v>1.3890500000000001E-4</v>
      </c>
      <c r="I97">
        <f>G97/$G$3*100</f>
        <v>64.887986686417591</v>
      </c>
      <c r="J97">
        <f>H97/$H$3*100</f>
        <v>114.79657192915762</v>
      </c>
      <c r="L97" s="5">
        <v>5.7470299999999998E-4</v>
      </c>
      <c r="M97" s="5">
        <v>1.00729E-4</v>
      </c>
      <c r="N97" s="4">
        <f>L97/$L$3*100</f>
        <v>62.530928003307686</v>
      </c>
      <c r="O97" s="4">
        <f>M97/$M$3*100</f>
        <v>79.08128817498077</v>
      </c>
      <c r="Q97">
        <f>AVERAGE(B97,G97,L97)</f>
        <v>6.0238433333333335E-4</v>
      </c>
      <c r="R97">
        <f>AVERAGE(C97,H97,M97)</f>
        <v>1.1767900000000002E-4</v>
      </c>
      <c r="T97">
        <f>AVERAGE(D97,I97,N97)</f>
        <v>61.800083601750856</v>
      </c>
      <c r="U97">
        <f>AVERAGE(E97,J97,O97)</f>
        <v>90.699204851009299</v>
      </c>
      <c r="W97">
        <f>_xlfn.STDEV.P(D97,I97,N97)</f>
        <v>2.8665956210064518</v>
      </c>
      <c r="X97">
        <f>_xlfn.STDEV.P(E97,J97,O97)</f>
        <v>17.043041300671103</v>
      </c>
    </row>
    <row r="98" spans="1:24" x14ac:dyDescent="0.2">
      <c r="A98">
        <v>624.12199999999996</v>
      </c>
      <c r="B98">
        <v>7.0210499999999996E-4</v>
      </c>
      <c r="C98">
        <v>1.13278E-4</v>
      </c>
      <c r="D98">
        <f>B98/$B$3*100</f>
        <v>58.136675278219386</v>
      </c>
      <c r="E98">
        <f>C98/$C$3*100</f>
        <v>78.133535660091042</v>
      </c>
      <c r="G98">
        <v>5.3816400000000005E-4</v>
      </c>
      <c r="H98">
        <v>1.43339E-4</v>
      </c>
      <c r="I98">
        <f>G98/$G$3*100</f>
        <v>65.612552806276398</v>
      </c>
      <c r="J98">
        <f>H98/$H$3*100</f>
        <v>118.46100445450864</v>
      </c>
      <c r="L98" s="5">
        <v>5.7576999999999997E-4</v>
      </c>
      <c r="M98" s="5">
        <v>1.02396E-4</v>
      </c>
      <c r="N98" s="4">
        <f>L98/$L$3*100</f>
        <v>62.647023621704548</v>
      </c>
      <c r="O98" s="4">
        <f>M98/$M$3*100</f>
        <v>80.39003250270855</v>
      </c>
      <c r="Q98">
        <f>AVERAGE(B98,G98,L98)</f>
        <v>6.0534633333333336E-4</v>
      </c>
      <c r="R98">
        <f>AVERAGE(C98,H98,M98)</f>
        <v>1.19671E-4</v>
      </c>
      <c r="T98">
        <f>AVERAGE(D98,I98,N98)</f>
        <v>62.132083902066775</v>
      </c>
      <c r="U98">
        <f>AVERAGE(E98,J98,O98)</f>
        <v>92.328190872436082</v>
      </c>
      <c r="W98">
        <f>_xlfn.STDEV.P(D98,I98,N98)</f>
        <v>3.0736577981044477</v>
      </c>
      <c r="X98">
        <f>_xlfn.STDEV.P(E98,J98,O98)</f>
        <v>18.501637833566782</v>
      </c>
    </row>
    <row r="99" spans="1:24" x14ac:dyDescent="0.2">
      <c r="A99">
        <v>630.39800000000002</v>
      </c>
      <c r="B99">
        <v>7.0460599999999998E-4</v>
      </c>
      <c r="C99">
        <v>1.13497E-4</v>
      </c>
      <c r="D99">
        <f>B99/$B$3*100</f>
        <v>58.343766560678326</v>
      </c>
      <c r="E99">
        <f>C99/$C$3*100</f>
        <v>78.284590978065935</v>
      </c>
      <c r="G99">
        <v>5.41831E-4</v>
      </c>
      <c r="H99">
        <v>1.51476E-4</v>
      </c>
      <c r="I99">
        <f>G99/$G$3*100</f>
        <v>66.059630706583022</v>
      </c>
      <c r="J99">
        <f>H99/$H$3*100</f>
        <v>125.18574226659283</v>
      </c>
      <c r="L99" s="5">
        <v>5.7604499999999996E-4</v>
      </c>
      <c r="M99" s="5">
        <v>1.01939E-4</v>
      </c>
      <c r="N99" s="4">
        <f>L99/$L$3*100</f>
        <v>62.676945172837748</v>
      </c>
      <c r="O99" s="4">
        <f>M99/$M$3*100</f>
        <v>80.03124656523309</v>
      </c>
      <c r="Q99">
        <f>AVERAGE(B99,G99,L99)</f>
        <v>6.0749399999999998E-4</v>
      </c>
      <c r="R99">
        <f>AVERAGE(C99,H99,M99)</f>
        <v>1.22304E-4</v>
      </c>
      <c r="T99">
        <f>AVERAGE(D99,I99,N99)</f>
        <v>62.360114146699694</v>
      </c>
      <c r="U99">
        <f>AVERAGE(E99,J99,O99)</f>
        <v>94.500526603297274</v>
      </c>
      <c r="W99">
        <f>_xlfn.STDEV.P(D99,I99,N99)</f>
        <v>3.1579451445369946</v>
      </c>
      <c r="X99">
        <f>_xlfn.STDEV.P(E99,J99,O99)</f>
        <v>21.709437988461239</v>
      </c>
    </row>
    <row r="100" spans="1:24" x14ac:dyDescent="0.2">
      <c r="A100">
        <v>636.58100000000002</v>
      </c>
      <c r="B100">
        <v>7.0616400000000001E-4</v>
      </c>
      <c r="C100">
        <v>1.13742E-4</v>
      </c>
      <c r="D100">
        <f>B100/$B$3*100</f>
        <v>58.472774244833069</v>
      </c>
      <c r="E100">
        <f>C100/$C$3*100</f>
        <v>78.453579804110902</v>
      </c>
      <c r="G100">
        <v>5.3938E-4</v>
      </c>
      <c r="H100">
        <v>1.4758999999999999E-4</v>
      </c>
      <c r="I100">
        <f>G100/$G$3*100</f>
        <v>65.76080661777705</v>
      </c>
      <c r="J100">
        <f>H100/$H$3*100</f>
        <v>121.97419856034246</v>
      </c>
      <c r="L100" s="5">
        <v>5.7670099999999999E-4</v>
      </c>
      <c r="M100" s="5">
        <v>1.0336E-4</v>
      </c>
      <c r="N100" s="4">
        <f>L100/$L$3*100</f>
        <v>62.748321672995523</v>
      </c>
      <c r="O100" s="4">
        <f>M100/$M$3*100</f>
        <v>81.146858856595543</v>
      </c>
      <c r="Q100">
        <f>AVERAGE(B100,G100,L100)</f>
        <v>6.0741499999999993E-4</v>
      </c>
      <c r="R100">
        <f>AVERAGE(C100,H100,M100)</f>
        <v>1.2156399999999999E-4</v>
      </c>
      <c r="T100">
        <f>AVERAGE(D100,I100,N100)</f>
        <v>62.327300845201883</v>
      </c>
      <c r="U100">
        <f>AVERAGE(E100,J100,O100)</f>
        <v>93.858212407016296</v>
      </c>
      <c r="W100">
        <f>_xlfn.STDEV.P(D100,I100,N100)</f>
        <v>2.9901837034254712</v>
      </c>
      <c r="X100">
        <f>_xlfn.STDEV.P(E100,J100,O100)</f>
        <v>19.911386123592049</v>
      </c>
    </row>
    <row r="101" spans="1:24" x14ac:dyDescent="0.2">
      <c r="A101">
        <v>642.83500000000004</v>
      </c>
      <c r="B101">
        <v>7.0820699999999998E-4</v>
      </c>
      <c r="C101">
        <v>1.1321E-4</v>
      </c>
      <c r="D101">
        <f>B101/$B$3*100</f>
        <v>58.641941573926857</v>
      </c>
      <c r="E101">
        <f>C101/$C$3*100</f>
        <v>78.086632638984682</v>
      </c>
      <c r="G101">
        <v>5.4622899999999996E-4</v>
      </c>
      <c r="H101">
        <v>1.51588E-4</v>
      </c>
      <c r="I101">
        <f>G101/$G$3*100</f>
        <v>66.595831580744075</v>
      </c>
      <c r="J101">
        <f>H101/$H$3*100</f>
        <v>125.27830348509517</v>
      </c>
      <c r="L101" s="5">
        <v>5.7791699999999995E-4</v>
      </c>
      <c r="M101" s="5">
        <v>1.06667E-4</v>
      </c>
      <c r="N101" s="4">
        <f>L101/$L$3*100</f>
        <v>62.880629331824558</v>
      </c>
      <c r="O101" s="4">
        <f>M101/$M$3*100</f>
        <v>83.743150093425655</v>
      </c>
      <c r="Q101">
        <f>AVERAGE(B101,G101,L101)</f>
        <v>6.1078433333333322E-4</v>
      </c>
      <c r="R101">
        <f>AVERAGE(C101,H101,M101)</f>
        <v>1.2382166666666667E-4</v>
      </c>
      <c r="T101">
        <f>AVERAGE(D101,I101,N101)</f>
        <v>62.706134162165164</v>
      </c>
      <c r="U101">
        <f>AVERAGE(E101,J101,O101)</f>
        <v>95.702695405835172</v>
      </c>
      <c r="W101">
        <f>_xlfn.STDEV.P(D101,I101,N101)</f>
        <v>3.2495053965501222</v>
      </c>
      <c r="X101">
        <f>_xlfn.STDEV.P(E101,J101,O101)</f>
        <v>21.040223261990189</v>
      </c>
    </row>
    <row r="102" spans="1:24" x14ac:dyDescent="0.2">
      <c r="A102">
        <v>649.06100000000004</v>
      </c>
      <c r="B102">
        <v>7.1013800000000002E-4</v>
      </c>
      <c r="C102">
        <v>1.13262E-4</v>
      </c>
      <c r="D102">
        <f>B102/$B$3*100</f>
        <v>58.801834923158459</v>
      </c>
      <c r="E102">
        <f>C102/$C$3*100</f>
        <v>78.122499655124841</v>
      </c>
      <c r="G102">
        <v>5.4500200000000005E-4</v>
      </c>
      <c r="H102">
        <v>1.4930400000000001E-4</v>
      </c>
      <c r="I102">
        <f>G102/$G$3*100</f>
        <v>66.446236657461768</v>
      </c>
      <c r="J102">
        <f>H102/$H$3*100</f>
        <v>123.39071577920843</v>
      </c>
      <c r="L102" s="5">
        <v>5.7904600000000005E-4</v>
      </c>
      <c r="M102" s="5">
        <v>1.0634200000000001E-4</v>
      </c>
      <c r="N102" s="4">
        <f>L102/$L$3*100</f>
        <v>63.003470899931457</v>
      </c>
      <c r="O102" s="4">
        <f>M102/$M$3*100</f>
        <v>83.487995980341353</v>
      </c>
      <c r="Q102">
        <f>AVERAGE(B102,G102,L102)</f>
        <v>6.1139533333333341E-4</v>
      </c>
      <c r="R102">
        <f>AVERAGE(C102,H102,M102)</f>
        <v>1.2296933333333333E-4</v>
      </c>
      <c r="T102">
        <f>AVERAGE(D102,I102,N102)</f>
        <v>62.75051416018389</v>
      </c>
      <c r="U102">
        <f>AVERAGE(E102,J102,O102)</f>
        <v>95.000403804891548</v>
      </c>
      <c r="W102">
        <f>_xlfn.STDEV.P(D102,I102,N102)</f>
        <v>3.1259355722719389</v>
      </c>
      <c r="X102">
        <f>_xlfn.STDEV.P(E102,J102,O102)</f>
        <v>20.194132781631698</v>
      </c>
    </row>
    <row r="103" spans="1:24" x14ac:dyDescent="0.2">
      <c r="A103">
        <v>655.28099999999995</v>
      </c>
      <c r="B103">
        <v>7.1043899999999999E-4</v>
      </c>
      <c r="C103">
        <v>1.1356100000000001E-4</v>
      </c>
      <c r="D103">
        <f>B103/$B$3*100</f>
        <v>58.826758744038152</v>
      </c>
      <c r="E103">
        <f>C103/$C$3*100</f>
        <v>78.328734997930752</v>
      </c>
      <c r="G103">
        <v>5.4874500000000001E-4</v>
      </c>
      <c r="H103">
        <v>1.52115E-4</v>
      </c>
      <c r="I103">
        <f>G103/$G$3*100</f>
        <v>66.902580420987178</v>
      </c>
      <c r="J103">
        <f>H103/$H$3*100</f>
        <v>125.71383707572666</v>
      </c>
      <c r="L103" s="5">
        <v>5.7800500000000003E-4</v>
      </c>
      <c r="M103" s="5">
        <v>1.05006E-4</v>
      </c>
      <c r="N103" s="4">
        <f>L103/$L$3*100</f>
        <v>62.890204228187194</v>
      </c>
      <c r="O103" s="4">
        <f>M103/$M$3*100</f>
        <v>82.439116303170195</v>
      </c>
      <c r="Q103">
        <f>AVERAGE(B103,G103,L103)</f>
        <v>6.1239633333333334E-4</v>
      </c>
      <c r="R103">
        <f>AVERAGE(C103,H103,M103)</f>
        <v>1.2356066666666666E-4</v>
      </c>
      <c r="T103">
        <f>AVERAGE(D103,I103,N103)</f>
        <v>62.873181131070844</v>
      </c>
      <c r="U103">
        <f>AVERAGE(E103,J103,O103)</f>
        <v>95.493896125609197</v>
      </c>
      <c r="W103">
        <f>_xlfn.STDEV.P(D103,I103,N103)</f>
        <v>3.2969623674777284</v>
      </c>
      <c r="X103">
        <f>_xlfn.STDEV.P(E103,J103,O103)</f>
        <v>21.434511609241422</v>
      </c>
    </row>
    <row r="104" spans="1:24" x14ac:dyDescent="0.2">
      <c r="A104">
        <v>661.45299999999997</v>
      </c>
      <c r="B104">
        <v>7.1255099999999996E-4</v>
      </c>
      <c r="C104">
        <v>1.1325E-4</v>
      </c>
      <c r="D104">
        <f>B104/$B$3*100</f>
        <v>59.001639507154216</v>
      </c>
      <c r="E104">
        <f>C104/$C$3*100</f>
        <v>78.114222651400183</v>
      </c>
      <c r="G104">
        <v>5.5158699999999998E-4</v>
      </c>
      <c r="H104">
        <v>1.5323100000000001E-4</v>
      </c>
      <c r="I104">
        <f>G104/$G$3*100</f>
        <v>67.24907493766878</v>
      </c>
      <c r="J104">
        <f>H104/$H$3*100</f>
        <v>126.63614350294625</v>
      </c>
      <c r="L104" s="5">
        <v>5.8210599999999999E-4</v>
      </c>
      <c r="M104" s="5">
        <v>1.06395E-4</v>
      </c>
      <c r="N104" s="4">
        <f>L104/$L$3*100</f>
        <v>63.336416159813723</v>
      </c>
      <c r="O104" s="4">
        <f>M104/$M$3*100</f>
        <v>83.529605728013564</v>
      </c>
      <c r="Q104">
        <f>AVERAGE(B104,G104,L104)</f>
        <v>6.1541466666666664E-4</v>
      </c>
      <c r="R104">
        <f>AVERAGE(C104,H104,M104)</f>
        <v>1.24292E-4</v>
      </c>
      <c r="T104">
        <f>AVERAGE(D104,I104,N104)</f>
        <v>63.195710201545573</v>
      </c>
      <c r="U104">
        <f>AVERAGE(E104,J104,O104)</f>
        <v>96.093323960786662</v>
      </c>
      <c r="W104">
        <f>_xlfn.STDEV.P(D104,I104,N104)</f>
        <v>3.368471109187456</v>
      </c>
      <c r="X104">
        <f>_xlfn.STDEV.P(E104,J104,O104)</f>
        <v>21.709897322885009</v>
      </c>
    </row>
    <row r="105" spans="1:24" x14ac:dyDescent="0.2">
      <c r="A105">
        <v>667.70500000000004</v>
      </c>
      <c r="B105">
        <v>7.1469600000000002E-4</v>
      </c>
      <c r="C105">
        <v>1.12786E-4</v>
      </c>
      <c r="D105">
        <f>B105/$B$3*100</f>
        <v>59.179252782193956</v>
      </c>
      <c r="E105">
        <f>C105/$C$3*100</f>
        <v>77.794178507380323</v>
      </c>
      <c r="G105">
        <v>5.5392500000000003E-4</v>
      </c>
      <c r="H105">
        <v>1.5369400000000001E-4</v>
      </c>
      <c r="I105">
        <f>G105/$G$3*100</f>
        <v>67.534122150899464</v>
      </c>
      <c r="J105">
        <f>H105/$H$3*100</f>
        <v>127.01878496871927</v>
      </c>
      <c r="L105" s="5">
        <v>5.8421000000000005E-4</v>
      </c>
      <c r="M105" s="5">
        <v>1.03399E-4</v>
      </c>
      <c r="N105" s="4">
        <f>L105/$L$3*100</f>
        <v>63.565343227392916</v>
      </c>
      <c r="O105" s="4">
        <f>M105/$M$3*100</f>
        <v>81.177477350165645</v>
      </c>
      <c r="Q105">
        <f>AVERAGE(B105,G105,L105)</f>
        <v>6.1761033333333337E-4</v>
      </c>
      <c r="R105">
        <f>AVERAGE(C105,H105,M105)</f>
        <v>1.2329300000000001E-4</v>
      </c>
      <c r="T105">
        <f>AVERAGE(D105,I105,N105)</f>
        <v>63.426239386828776</v>
      </c>
      <c r="U105">
        <f>AVERAGE(E105,J105,O105)</f>
        <v>95.330146942088405</v>
      </c>
      <c r="W105">
        <f>_xlfn.STDEV.P(D105,I105,N105)</f>
        <v>3.4122790967209546</v>
      </c>
      <c r="X105">
        <f>_xlfn.STDEV.P(E105,J105,O105)</f>
        <v>22.44978118307651</v>
      </c>
    </row>
    <row r="106" spans="1:24" x14ac:dyDescent="0.2">
      <c r="A106">
        <v>673.85199999999998</v>
      </c>
      <c r="B106">
        <v>7.16072E-4</v>
      </c>
      <c r="C106">
        <v>1.13275E-4</v>
      </c>
      <c r="D106">
        <f>B106/$B$3*100</f>
        <v>59.293190249072602</v>
      </c>
      <c r="E106">
        <f>C106/$C$3*100</f>
        <v>78.131466409159884</v>
      </c>
      <c r="G106">
        <v>5.5560799999999997E-4</v>
      </c>
      <c r="H106">
        <v>1.56525E-4</v>
      </c>
      <c r="I106">
        <f>G106/$G$3*100</f>
        <v>67.739312253494504</v>
      </c>
      <c r="J106">
        <f>H106/$H$3*100</f>
        <v>129.35843505425575</v>
      </c>
      <c r="L106" s="5">
        <v>5.8394000000000002E-4</v>
      </c>
      <c r="M106" s="5">
        <v>1.02389E-4</v>
      </c>
      <c r="N106" s="4">
        <f>L106/$L$3*100</f>
        <v>63.535965704462114</v>
      </c>
      <c r="O106" s="4">
        <f>M106/$M$3*100</f>
        <v>80.384536875657503</v>
      </c>
      <c r="Q106">
        <f>AVERAGE(B106,G106,L106)</f>
        <v>6.1854E-4</v>
      </c>
      <c r="R106">
        <f>AVERAGE(C106,H106,M106)</f>
        <v>1.2406299999999999E-4</v>
      </c>
      <c r="T106">
        <f>AVERAGE(D106,I106,N106)</f>
        <v>63.522822735676407</v>
      </c>
      <c r="U106">
        <f>AVERAGE(E106,J106,O106)</f>
        <v>95.958146113024384</v>
      </c>
      <c r="W106">
        <f>_xlfn.STDEV.P(D106,I106,N106)</f>
        <v>3.4481273933945014</v>
      </c>
      <c r="X106">
        <f>_xlfn.STDEV.P(E106,J106,O106)</f>
        <v>23.635475563229868</v>
      </c>
    </row>
    <row r="107" spans="1:24" x14ac:dyDescent="0.2">
      <c r="A107">
        <v>680.23400000000004</v>
      </c>
      <c r="B107">
        <v>7.1832500000000002E-4</v>
      </c>
      <c r="C107">
        <v>1.1298000000000001E-4</v>
      </c>
      <c r="D107">
        <f>B107/$B$3*100</f>
        <v>59.479746290408052</v>
      </c>
      <c r="E107">
        <f>C107/$C$3*100</f>
        <v>77.92799006759553</v>
      </c>
      <c r="G107">
        <v>5.5703000000000003E-4</v>
      </c>
      <c r="H107">
        <v>1.57524E-4</v>
      </c>
      <c r="I107">
        <f>G107/$G$3*100</f>
        <v>67.912681431088203</v>
      </c>
      <c r="J107">
        <f>H107/$H$3*100</f>
        <v>130.18404806571846</v>
      </c>
      <c r="L107" s="5">
        <v>5.8453699999999999E-4</v>
      </c>
      <c r="M107" s="5">
        <v>1.02565E-4</v>
      </c>
      <c r="N107" s="4">
        <f>L107/$L$3*100</f>
        <v>63.600922671831306</v>
      </c>
      <c r="O107" s="4">
        <f>M107/$M$3*100</f>
        <v>80.522712641512399</v>
      </c>
      <c r="Q107">
        <f>AVERAGE(B107,G107,L107)</f>
        <v>6.1996400000000008E-4</v>
      </c>
      <c r="R107">
        <f>AVERAGE(C107,H107,M107)</f>
        <v>1.2435633333333335E-4</v>
      </c>
      <c r="T107">
        <f>AVERAGE(D107,I107,N107)</f>
        <v>63.664450131109191</v>
      </c>
      <c r="U107">
        <f>AVERAGE(E107,J107,O107)</f>
        <v>96.2115835916088</v>
      </c>
      <c r="W107">
        <f>_xlfn.STDEV.P(D107,I107,N107)</f>
        <v>3.4430244045307279</v>
      </c>
      <c r="X107">
        <f>_xlfn.STDEV.P(E107,J107,O107)</f>
        <v>24.045504127832036</v>
      </c>
    </row>
    <row r="108" spans="1:24" x14ac:dyDescent="0.2">
      <c r="A108">
        <v>686.39200000000005</v>
      </c>
      <c r="B108">
        <v>7.1971100000000005E-4</v>
      </c>
      <c r="C108">
        <v>1.12654E-4</v>
      </c>
      <c r="D108">
        <f>B108/$B$3*100</f>
        <v>59.594511791202962</v>
      </c>
      <c r="E108">
        <f>C108/$C$3*100</f>
        <v>77.703131466409147</v>
      </c>
      <c r="G108">
        <v>5.5676E-4</v>
      </c>
      <c r="H108">
        <v>1.5469E-4</v>
      </c>
      <c r="I108">
        <f>G108/$G$3*100</f>
        <v>67.879763232810902</v>
      </c>
      <c r="J108">
        <f>H108/$H$3*100</f>
        <v>127.84191866182924</v>
      </c>
      <c r="L108" s="5">
        <v>5.8464599999999997E-4</v>
      </c>
      <c r="M108" s="5">
        <v>1.0710200000000001E-4</v>
      </c>
      <c r="N108" s="4">
        <f>L108/$L$3*100</f>
        <v>63.612782486644107</v>
      </c>
      <c r="O108" s="4">
        <f>M108/$M$3*100</f>
        <v>84.084664060169274</v>
      </c>
      <c r="Q108">
        <f>AVERAGE(B108,G108,L108)</f>
        <v>6.2037233333333327E-4</v>
      </c>
      <c r="R108">
        <f>AVERAGE(C108,H108,M108)</f>
        <v>1.2481533333333331E-4</v>
      </c>
      <c r="T108">
        <f>AVERAGE(D108,I108,N108)</f>
        <v>63.695685836885993</v>
      </c>
      <c r="U108">
        <f>AVERAGE(E108,J108,O108)</f>
        <v>96.543238062802558</v>
      </c>
      <c r="W108">
        <f>_xlfn.STDEV.P(D108,I108,N108)</f>
        <v>3.3829476877202431</v>
      </c>
      <c r="X108">
        <f>_xlfn.STDEV.P(E108,J108,O108)</f>
        <v>22.284322515933692</v>
      </c>
    </row>
    <row r="109" spans="1:24" x14ac:dyDescent="0.2">
      <c r="A109">
        <v>692.49400000000003</v>
      </c>
      <c r="B109">
        <v>7.2086899999999996E-4</v>
      </c>
      <c r="C109">
        <v>1.13392E-4</v>
      </c>
      <c r="D109">
        <f>B109/$B$3*100</f>
        <v>59.690398118706931</v>
      </c>
      <c r="E109">
        <f>C109/$C$3*100</f>
        <v>78.212167195475232</v>
      </c>
      <c r="G109">
        <v>5.5954099999999999E-4</v>
      </c>
      <c r="H109">
        <v>1.5623199999999999E-4</v>
      </c>
      <c r="I109">
        <f>G109/$G$3*100</f>
        <v>68.218820675066908</v>
      </c>
      <c r="J109">
        <f>H109/$H$3*100</f>
        <v>129.11628829513805</v>
      </c>
      <c r="L109" s="5">
        <v>5.8670700000000001E-4</v>
      </c>
      <c r="M109" s="5">
        <v>1.08164E-4</v>
      </c>
      <c r="N109" s="4">
        <f>L109/$L$3*100</f>
        <v>63.837030911682454</v>
      </c>
      <c r="O109" s="4">
        <f>M109/$M$3*100</f>
        <v>84.918429192770901</v>
      </c>
      <c r="Q109">
        <f>AVERAGE(B109,G109,L109)</f>
        <v>6.2237233333333343E-4</v>
      </c>
      <c r="R109">
        <f>AVERAGE(C109,H109,M109)</f>
        <v>1.2592933333333334E-4</v>
      </c>
      <c r="T109">
        <f>AVERAGE(D109,I109,N109)</f>
        <v>63.915416568485433</v>
      </c>
      <c r="U109">
        <f>AVERAGE(E109,J109,O109)</f>
        <v>97.415628227794741</v>
      </c>
      <c r="W109">
        <f>_xlfn.STDEV.P(D109,I109,N109)</f>
        <v>3.482155085417816</v>
      </c>
      <c r="X109">
        <f>_xlfn.STDEV.P(E109,J109,O109)</f>
        <v>22.582328991537153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DEA0-942B-446A-ACB7-3CAB855C562C}">
  <dimension ref="A1:AI109"/>
  <sheetViews>
    <sheetView topLeftCell="AJ36" workbookViewId="0">
      <selection activeCell="BC52" sqref="BC52"/>
    </sheetView>
  </sheetViews>
  <sheetFormatPr baseColWidth="10" defaultColWidth="8.83203125" defaultRowHeight="15" x14ac:dyDescent="0.2"/>
  <cols>
    <col min="1" max="1" width="9.5" bestFit="1" customWidth="1"/>
    <col min="2" max="3" width="12.1640625" bestFit="1" customWidth="1"/>
    <col min="4" max="5" width="12.5" customWidth="1"/>
    <col min="7" max="8" width="12.1640625" bestFit="1" customWidth="1"/>
    <col min="9" max="10" width="12.5" customWidth="1"/>
    <col min="14" max="15" width="12.5" customWidth="1"/>
    <col min="19" max="20" width="12.5" customWidth="1"/>
    <col min="22" max="23" width="11.83203125" bestFit="1" customWidth="1"/>
    <col min="24" max="25" width="12.5" customWidth="1"/>
    <col min="26" max="26" width="8.6640625" style="1"/>
    <col min="27" max="28" width="11.83203125" bestFit="1" customWidth="1"/>
    <col min="30" max="31" width="11.83203125" bestFit="1" customWidth="1"/>
    <col min="33" max="34" width="9.5" bestFit="1" customWidth="1"/>
    <col min="35" max="35" width="8.83203125" style="1"/>
  </cols>
  <sheetData>
    <row r="1" spans="1:34" ht="32" x14ac:dyDescent="0.2">
      <c r="A1" t="s">
        <v>5</v>
      </c>
      <c r="B1" t="s">
        <v>0</v>
      </c>
      <c r="C1" t="s">
        <v>1</v>
      </c>
      <c r="D1" t="s">
        <v>11</v>
      </c>
      <c r="E1" t="s">
        <v>12</v>
      </c>
      <c r="G1" s="2" t="s">
        <v>0</v>
      </c>
      <c r="H1" s="2" t="s">
        <v>1</v>
      </c>
      <c r="I1" t="s">
        <v>11</v>
      </c>
      <c r="J1" t="s">
        <v>12</v>
      </c>
      <c r="L1" s="2" t="s">
        <v>0</v>
      </c>
      <c r="M1" s="2" t="s">
        <v>1</v>
      </c>
      <c r="N1" t="s">
        <v>11</v>
      </c>
      <c r="O1" t="s">
        <v>12</v>
      </c>
      <c r="Q1" s="2" t="s">
        <v>0</v>
      </c>
      <c r="R1" s="2" t="s">
        <v>1</v>
      </c>
      <c r="S1" t="s">
        <v>11</v>
      </c>
      <c r="T1" t="s">
        <v>12</v>
      </c>
      <c r="V1" s="2" t="s">
        <v>0</v>
      </c>
      <c r="W1" s="2" t="s">
        <v>1</v>
      </c>
      <c r="X1" t="s">
        <v>11</v>
      </c>
      <c r="Y1" t="s">
        <v>12</v>
      </c>
      <c r="AA1" t="s">
        <v>3</v>
      </c>
      <c r="AB1" t="s">
        <v>4</v>
      </c>
      <c r="AD1" t="s">
        <v>9</v>
      </c>
      <c r="AE1" t="s">
        <v>10</v>
      </c>
      <c r="AG1" t="s">
        <v>7</v>
      </c>
      <c r="AH1" t="s">
        <v>8</v>
      </c>
    </row>
    <row r="2" spans="1:34" ht="16" x14ac:dyDescent="0.2">
      <c r="A2" t="s">
        <v>6</v>
      </c>
      <c r="B2" t="s">
        <v>2</v>
      </c>
      <c r="C2" t="s">
        <v>2</v>
      </c>
      <c r="D2" t="s">
        <v>2</v>
      </c>
      <c r="E2" t="s">
        <v>2</v>
      </c>
      <c r="G2" s="2" t="s">
        <v>2</v>
      </c>
      <c r="H2" s="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s="2" t="s">
        <v>2</v>
      </c>
      <c r="R2" s="2" t="s">
        <v>2</v>
      </c>
      <c r="S2" t="s">
        <v>2</v>
      </c>
      <c r="T2" t="s">
        <v>2</v>
      </c>
      <c r="V2" s="2" t="s">
        <v>2</v>
      </c>
      <c r="W2" s="2" t="s">
        <v>2</v>
      </c>
      <c r="X2" t="s">
        <v>2</v>
      </c>
      <c r="Y2" t="s">
        <v>2</v>
      </c>
      <c r="AA2" t="s">
        <v>2</v>
      </c>
      <c r="AB2" t="s">
        <v>2</v>
      </c>
      <c r="AD2" t="s">
        <v>2</v>
      </c>
      <c r="AE2" t="s">
        <v>2</v>
      </c>
      <c r="AG2" t="s">
        <v>2</v>
      </c>
      <c r="AH2" t="s">
        <v>2</v>
      </c>
    </row>
    <row r="3" spans="1:34" x14ac:dyDescent="0.2">
      <c r="A3">
        <v>6.2696399999999999</v>
      </c>
      <c r="B3">
        <v>1.74361E-3</v>
      </c>
      <c r="C3">
        <v>2.66529E-4</v>
      </c>
      <c r="D3">
        <f>B3/$B$3*100</f>
        <v>100</v>
      </c>
      <c r="E3">
        <f>C3/$C$3*100</f>
        <v>100</v>
      </c>
      <c r="G3" s="5">
        <v>1.8047E-3</v>
      </c>
      <c r="H3" s="5">
        <v>2.7780699999999998E-4</v>
      </c>
      <c r="I3" s="4">
        <f>G3/$G$3*100</f>
        <v>100</v>
      </c>
      <c r="J3" s="4">
        <f>H3/$H$3*100</f>
        <v>100</v>
      </c>
      <c r="L3" s="5">
        <v>1.6979300000000001E-3</v>
      </c>
      <c r="M3" s="5">
        <v>2.3485499999999999E-4</v>
      </c>
      <c r="N3" s="4">
        <f>L3/$L$3*100</f>
        <v>100</v>
      </c>
      <c r="O3" s="4">
        <f>M3/$M$3*100</f>
        <v>100</v>
      </c>
      <c r="Q3" s="5">
        <v>1.7693100000000001E-3</v>
      </c>
      <c r="R3" s="5">
        <v>2.7343799999999998E-4</v>
      </c>
      <c r="S3" s="4">
        <f>Q3/$Q$3*100</f>
        <v>100</v>
      </c>
      <c r="T3" s="4">
        <f>R3/$R$3*100</f>
        <v>100</v>
      </c>
      <c r="V3" s="5">
        <v>1.4904300000000001E-3</v>
      </c>
      <c r="W3" s="5">
        <v>2.2957899999999999E-4</v>
      </c>
      <c r="X3" s="4">
        <f>V3/$V$3*100</f>
        <v>100</v>
      </c>
      <c r="Y3" s="4">
        <f>W3/$W$3*100</f>
        <v>100</v>
      </c>
      <c r="AA3" s="4">
        <f>AVERAGE(B3,G3,L3,Q3,V3)</f>
        <v>1.7011959999999999E-3</v>
      </c>
      <c r="AB3" s="4">
        <f>AVERAGE(C3,H3,M3,R3,W3)</f>
        <v>2.5644159999999993E-4</v>
      </c>
      <c r="AD3" s="4">
        <f>AVERAGE(D3,I3,N3,S3,X3)</f>
        <v>100</v>
      </c>
      <c r="AE3" s="4">
        <f>AVERAGE(E3,J3,O3,T3,Y3)</f>
        <v>100</v>
      </c>
      <c r="AG3">
        <f>_xlfn.STDEV.P(D3,I3,N3,S3,X3)</f>
        <v>0</v>
      </c>
      <c r="AH3">
        <f>_xlfn.STDEV.P(E3,J3,O3,T3,Y3)</f>
        <v>0</v>
      </c>
    </row>
    <row r="4" spans="1:34" x14ac:dyDescent="0.2">
      <c r="A4">
        <v>12.3698</v>
      </c>
      <c r="B4">
        <v>1.74599E-3</v>
      </c>
      <c r="C4">
        <v>2.6546099999999998E-4</v>
      </c>
      <c r="D4">
        <f t="shared" ref="D4:D67" si="0">B4/$B$3*100</f>
        <v>100.1364984142096</v>
      </c>
      <c r="E4">
        <f t="shared" ref="E4:E67" si="1">C4/$C$3*100</f>
        <v>99.599293135080984</v>
      </c>
      <c r="G4" s="5">
        <v>1.84078E-3</v>
      </c>
      <c r="H4" s="5">
        <v>2.8409000000000003E-4</v>
      </c>
      <c r="I4" s="4">
        <f t="shared" ref="I4:I67" si="2">G4/$G$3*100</f>
        <v>101.99922424779741</v>
      </c>
      <c r="J4" s="4">
        <f t="shared" ref="J4:J67" si="3">H4/$H$3*100</f>
        <v>102.2616420752537</v>
      </c>
      <c r="L4" s="5">
        <v>1.7416300000000001E-3</v>
      </c>
      <c r="M4" s="5">
        <v>2.38581E-4</v>
      </c>
      <c r="N4" s="4">
        <f t="shared" ref="N4:N67" si="4">L4/$L$3*100</f>
        <v>102.57372212046434</v>
      </c>
      <c r="O4" s="4">
        <f t="shared" ref="O4:O67" si="5">M4/$M$3*100</f>
        <v>101.5865108258287</v>
      </c>
      <c r="Q4" s="5">
        <v>1.80583E-3</v>
      </c>
      <c r="R4" s="5">
        <v>2.8088000000000001E-4</v>
      </c>
      <c r="S4" s="4">
        <f t="shared" ref="S4:S67" si="6">Q4/$Q$3*100</f>
        <v>102.06408147809032</v>
      </c>
      <c r="T4" s="4">
        <f t="shared" ref="T4:T67" si="7">R4/$R$3*100</f>
        <v>102.72164073757124</v>
      </c>
      <c r="V4" s="5">
        <v>1.5048500000000001E-3</v>
      </c>
      <c r="W4" s="5">
        <v>2.3059400000000001E-4</v>
      </c>
      <c r="X4" s="4">
        <f t="shared" ref="X4:X67" si="8">V4/$V$3*100</f>
        <v>100.9675060217521</v>
      </c>
      <c r="Y4" s="4">
        <f t="shared" ref="Y4:Y67" si="9">W4/$W$3*100</f>
        <v>100.44211360795194</v>
      </c>
      <c r="AA4" s="4">
        <f t="shared" ref="AA4:AA67" si="10">AVERAGE(B4,G4,L4,Q4,V4)</f>
        <v>1.7278160000000001E-3</v>
      </c>
      <c r="AB4" s="4">
        <f t="shared" ref="AB4:AB67" si="11">AVERAGE(C4,H4,M4,R4,W4)</f>
        <v>2.5992119999999999E-4</v>
      </c>
      <c r="AD4" s="4">
        <f t="shared" ref="AD4:AD67" si="12">AVERAGE(D4,I4,N4,S4,X4)</f>
        <v>101.54820645646275</v>
      </c>
      <c r="AE4" s="4">
        <f t="shared" ref="AE4:AE67" si="13">AVERAGE(E4,J4,O4,T4,Y4)</f>
        <v>101.32224007633731</v>
      </c>
      <c r="AG4">
        <f t="shared" ref="AG4:AG67" si="14">_xlfn.STDEV.P(D4,I4,N4,S4,X4)</f>
        <v>0.87765130371778355</v>
      </c>
      <c r="AH4">
        <f t="shared" ref="AH4:AH67" si="15">_xlfn.STDEV.P(E4,J4,O4,T4,Y4)</f>
        <v>1.1535862445438432</v>
      </c>
    </row>
    <row r="5" spans="1:34" x14ac:dyDescent="0.2">
      <c r="A5">
        <v>18.654</v>
      </c>
      <c r="B5">
        <v>1.75022E-3</v>
      </c>
      <c r="C5">
        <v>2.6397200000000001E-4</v>
      </c>
      <c r="D5">
        <f t="shared" si="0"/>
        <v>100.37909853694347</v>
      </c>
      <c r="E5">
        <f t="shared" si="1"/>
        <v>99.040629725095584</v>
      </c>
      <c r="G5" s="5">
        <v>1.87484E-3</v>
      </c>
      <c r="H5" s="5">
        <v>2.8951699999999999E-4</v>
      </c>
      <c r="I5" s="4">
        <f t="shared" si="2"/>
        <v>103.88651853493656</v>
      </c>
      <c r="J5" s="4">
        <f t="shared" si="3"/>
        <v>104.21515656552931</v>
      </c>
      <c r="L5" s="5">
        <v>1.7817499999999999E-3</v>
      </c>
      <c r="M5" s="5">
        <v>2.4228800000000001E-4</v>
      </c>
      <c r="N5" s="4">
        <f t="shared" si="4"/>
        <v>104.93659927087688</v>
      </c>
      <c r="O5" s="4">
        <f t="shared" si="5"/>
        <v>103.16493155351174</v>
      </c>
      <c r="Q5" s="5">
        <v>1.8488599999999999E-3</v>
      </c>
      <c r="R5" s="5">
        <v>2.83823E-4</v>
      </c>
      <c r="S5" s="4">
        <f t="shared" si="6"/>
        <v>104.49610300060475</v>
      </c>
      <c r="T5" s="4">
        <f t="shared" si="7"/>
        <v>103.79793591234576</v>
      </c>
      <c r="V5" s="5">
        <v>1.51885E-3</v>
      </c>
      <c r="W5" s="5">
        <v>2.3004699999999999E-4</v>
      </c>
      <c r="X5" s="4">
        <f t="shared" si="8"/>
        <v>101.90683225646289</v>
      </c>
      <c r="Y5" s="4">
        <f t="shared" si="9"/>
        <v>100.20385139755814</v>
      </c>
      <c r="AA5" s="4">
        <f t="shared" si="10"/>
        <v>1.7549039999999998E-3</v>
      </c>
      <c r="AB5" s="4">
        <f t="shared" si="11"/>
        <v>2.6192939999999997E-4</v>
      </c>
      <c r="AD5" s="4">
        <f t="shared" si="12"/>
        <v>103.12103031996492</v>
      </c>
      <c r="AE5" s="4">
        <f t="shared" si="13"/>
        <v>102.0845010308081</v>
      </c>
      <c r="AG5">
        <f t="shared" si="14"/>
        <v>1.7184617854333144</v>
      </c>
      <c r="AH5">
        <f t="shared" si="15"/>
        <v>2.0709842000402126</v>
      </c>
    </row>
    <row r="6" spans="1:34" x14ac:dyDescent="0.2">
      <c r="A6">
        <v>24.779599999999999</v>
      </c>
      <c r="B6">
        <v>1.7535000000000001E-3</v>
      </c>
      <c r="C6">
        <v>2.6169099999999999E-4</v>
      </c>
      <c r="D6">
        <f t="shared" si="0"/>
        <v>100.56721399854325</v>
      </c>
      <c r="E6">
        <f t="shared" si="1"/>
        <v>98.184812909664615</v>
      </c>
      <c r="G6" s="5">
        <v>1.92738E-3</v>
      </c>
      <c r="H6" s="5">
        <v>2.9811799999999999E-4</v>
      </c>
      <c r="I6" s="4">
        <f t="shared" si="2"/>
        <v>106.79780572948412</v>
      </c>
      <c r="J6" s="4">
        <f t="shared" si="3"/>
        <v>107.31119086272125</v>
      </c>
      <c r="L6" s="5">
        <v>1.8232999999999999E-3</v>
      </c>
      <c r="M6" s="5">
        <v>2.43417E-4</v>
      </c>
      <c r="N6" s="4">
        <f t="shared" si="4"/>
        <v>107.3836966188241</v>
      </c>
      <c r="O6" s="4">
        <f t="shared" si="5"/>
        <v>103.64565370121991</v>
      </c>
      <c r="Q6" s="5">
        <v>1.8854E-3</v>
      </c>
      <c r="R6" s="5">
        <v>2.8946499999999998E-4</v>
      </c>
      <c r="S6" s="4">
        <f t="shared" si="6"/>
        <v>106.56131486285614</v>
      </c>
      <c r="T6" s="4">
        <f t="shared" si="7"/>
        <v>105.86129213935152</v>
      </c>
      <c r="V6" s="5">
        <v>1.53061E-3</v>
      </c>
      <c r="W6" s="5">
        <v>2.2992499999999999E-4</v>
      </c>
      <c r="X6" s="4">
        <f t="shared" si="8"/>
        <v>102.69586629361996</v>
      </c>
      <c r="Y6" s="4">
        <f t="shared" si="9"/>
        <v>100.15071064862204</v>
      </c>
      <c r="AA6" s="4">
        <f t="shared" si="10"/>
        <v>1.7840379999999999E-3</v>
      </c>
      <c r="AB6" s="4">
        <f t="shared" si="11"/>
        <v>2.6452319999999997E-4</v>
      </c>
      <c r="AD6" s="4">
        <f t="shared" si="12"/>
        <v>104.80117950066551</v>
      </c>
      <c r="AE6" s="4">
        <f t="shared" si="13"/>
        <v>103.03073205231586</v>
      </c>
      <c r="AG6">
        <f t="shared" si="14"/>
        <v>2.6874819080077299</v>
      </c>
      <c r="AH6">
        <f t="shared" si="15"/>
        <v>3.4202333923589374</v>
      </c>
    </row>
    <row r="7" spans="1:34" x14ac:dyDescent="0.2">
      <c r="A7">
        <v>31.0945</v>
      </c>
      <c r="B7">
        <v>1.7583200000000001E-3</v>
      </c>
      <c r="C7">
        <v>2.6179399999999998E-4</v>
      </c>
      <c r="D7">
        <f t="shared" si="0"/>
        <v>100.84365196345513</v>
      </c>
      <c r="E7">
        <f t="shared" si="1"/>
        <v>98.223457860120277</v>
      </c>
      <c r="G7" s="5">
        <v>1.9805600000000001E-3</v>
      </c>
      <c r="H7" s="5">
        <v>3.0705800000000003E-4</v>
      </c>
      <c r="I7" s="4">
        <f t="shared" si="2"/>
        <v>109.74455588186403</v>
      </c>
      <c r="J7" s="4">
        <f t="shared" si="3"/>
        <v>110.52925232265567</v>
      </c>
      <c r="L7" s="5">
        <v>1.86494E-3</v>
      </c>
      <c r="M7" s="5">
        <v>2.4745399999999998E-4</v>
      </c>
      <c r="N7" s="4">
        <f t="shared" si="4"/>
        <v>109.83609453864412</v>
      </c>
      <c r="O7" s="4">
        <f t="shared" si="5"/>
        <v>105.36458665985396</v>
      </c>
      <c r="Q7" s="5">
        <v>1.92301E-3</v>
      </c>
      <c r="R7" s="5">
        <v>2.9347299999999999E-4</v>
      </c>
      <c r="S7" s="4">
        <f t="shared" si="6"/>
        <v>108.68700227772408</v>
      </c>
      <c r="T7" s="4">
        <f t="shared" si="7"/>
        <v>107.32707231621062</v>
      </c>
      <c r="V7" s="5">
        <v>1.54893E-3</v>
      </c>
      <c r="W7" s="5">
        <v>2.31864E-4</v>
      </c>
      <c r="X7" s="4">
        <f t="shared" si="8"/>
        <v>103.92504176647009</v>
      </c>
      <c r="Y7" s="4">
        <f t="shared" si="9"/>
        <v>100.99530009277854</v>
      </c>
      <c r="AA7" s="4">
        <f t="shared" si="10"/>
        <v>1.815152E-3</v>
      </c>
      <c r="AB7" s="4">
        <f t="shared" si="11"/>
        <v>2.6832860000000001E-4</v>
      </c>
      <c r="AD7" s="4">
        <f t="shared" si="12"/>
        <v>106.60726928563149</v>
      </c>
      <c r="AE7" s="4">
        <f t="shared" si="13"/>
        <v>104.48793385032381</v>
      </c>
      <c r="AG7">
        <f t="shared" si="14"/>
        <v>3.6057398164822971</v>
      </c>
      <c r="AH7">
        <f t="shared" si="15"/>
        <v>4.3992932672704299</v>
      </c>
    </row>
    <row r="8" spans="1:34" x14ac:dyDescent="0.2">
      <c r="A8">
        <v>37.161900000000003</v>
      </c>
      <c r="B8">
        <v>1.76199E-3</v>
      </c>
      <c r="C8">
        <v>2.6123800000000001E-4</v>
      </c>
      <c r="D8">
        <f t="shared" si="0"/>
        <v>101.05413481225732</v>
      </c>
      <c r="E8">
        <f t="shared" si="1"/>
        <v>98.014850166398404</v>
      </c>
      <c r="G8" s="5">
        <v>2.01922E-3</v>
      </c>
      <c r="H8" s="5">
        <v>3.13553E-4</v>
      </c>
      <c r="I8" s="4">
        <f t="shared" si="2"/>
        <v>111.886740178423</v>
      </c>
      <c r="J8" s="4">
        <f t="shared" si="3"/>
        <v>112.8672063698899</v>
      </c>
      <c r="L8" s="5">
        <v>1.9032999999999999E-3</v>
      </c>
      <c r="M8" s="5">
        <v>2.5273899999999998E-4</v>
      </c>
      <c r="N8" s="4">
        <f t="shared" si="4"/>
        <v>112.09531606132172</v>
      </c>
      <c r="O8" s="4">
        <f t="shared" si="5"/>
        <v>107.61491132826637</v>
      </c>
      <c r="Q8" s="5">
        <v>1.9640600000000001E-3</v>
      </c>
      <c r="R8" s="5">
        <v>2.9392600000000002E-4</v>
      </c>
      <c r="S8" s="4">
        <f t="shared" si="6"/>
        <v>111.00711576829386</v>
      </c>
      <c r="T8" s="4">
        <f t="shared" si="7"/>
        <v>107.49274058470294</v>
      </c>
      <c r="V8" s="5">
        <v>1.5619500000000001E-3</v>
      </c>
      <c r="W8" s="5">
        <v>2.32613E-4</v>
      </c>
      <c r="X8" s="4">
        <f t="shared" si="8"/>
        <v>104.79861516475111</v>
      </c>
      <c r="Y8" s="4">
        <f t="shared" si="9"/>
        <v>101.3215494448534</v>
      </c>
      <c r="AA8" s="4">
        <f t="shared" si="10"/>
        <v>1.842104E-3</v>
      </c>
      <c r="AB8" s="4">
        <f t="shared" si="11"/>
        <v>2.7081380000000001E-4</v>
      </c>
      <c r="AD8" s="4">
        <f t="shared" si="12"/>
        <v>108.16838439700942</v>
      </c>
      <c r="AE8" s="4">
        <f t="shared" si="13"/>
        <v>105.4622515788222</v>
      </c>
      <c r="AG8">
        <f t="shared" si="14"/>
        <v>4.4558556898644071</v>
      </c>
      <c r="AH8">
        <f t="shared" si="15"/>
        <v>5.2191835954996222</v>
      </c>
    </row>
    <row r="9" spans="1:34" x14ac:dyDescent="0.2">
      <c r="A9">
        <v>43.441699999999997</v>
      </c>
      <c r="B9">
        <v>1.7604700000000001E-3</v>
      </c>
      <c r="C9">
        <v>2.6051699999999999E-4</v>
      </c>
      <c r="D9">
        <f t="shared" si="0"/>
        <v>100.96695935444279</v>
      </c>
      <c r="E9">
        <f t="shared" si="1"/>
        <v>97.744335513208696</v>
      </c>
      <c r="G9" s="5">
        <v>2.06383E-3</v>
      </c>
      <c r="H9" s="5">
        <v>3.1783799999999997E-4</v>
      </c>
      <c r="I9" s="4">
        <f t="shared" si="2"/>
        <v>114.35861916107942</v>
      </c>
      <c r="J9" s="4">
        <f t="shared" si="3"/>
        <v>114.40964410544009</v>
      </c>
      <c r="L9" s="5">
        <v>1.9473299999999999E-3</v>
      </c>
      <c r="M9" s="5">
        <v>2.54245E-4</v>
      </c>
      <c r="N9" s="4">
        <f t="shared" si="4"/>
        <v>114.68847361198635</v>
      </c>
      <c r="O9" s="4">
        <f t="shared" si="5"/>
        <v>108.25615805497009</v>
      </c>
      <c r="Q9" s="5">
        <v>2.00308E-3</v>
      </c>
      <c r="R9" s="5">
        <v>2.9817100000000002E-4</v>
      </c>
      <c r="S9" s="4">
        <f t="shared" si="6"/>
        <v>113.21249526651631</v>
      </c>
      <c r="T9" s="4">
        <f t="shared" si="7"/>
        <v>109.0451948887865</v>
      </c>
      <c r="V9" s="5">
        <v>1.57417E-3</v>
      </c>
      <c r="W9" s="5">
        <v>2.3392899999999999E-4</v>
      </c>
      <c r="X9" s="4">
        <f t="shared" si="8"/>
        <v>105.61851277819152</v>
      </c>
      <c r="Y9" s="4">
        <f t="shared" si="9"/>
        <v>101.89477260550834</v>
      </c>
      <c r="AA9" s="4">
        <f t="shared" si="10"/>
        <v>1.8697760000000001E-3</v>
      </c>
      <c r="AB9" s="4">
        <f t="shared" si="11"/>
        <v>2.7294E-4</v>
      </c>
      <c r="AD9" s="4">
        <f t="shared" si="12"/>
        <v>109.76901203444326</v>
      </c>
      <c r="AE9" s="4">
        <f t="shared" si="13"/>
        <v>106.27002103358275</v>
      </c>
      <c r="AG9">
        <f t="shared" si="14"/>
        <v>5.5104618321336769</v>
      </c>
      <c r="AH9">
        <f t="shared" si="15"/>
        <v>5.8263179855879415</v>
      </c>
    </row>
    <row r="10" spans="1:34" x14ac:dyDescent="0.2">
      <c r="A10">
        <v>49.671799999999998</v>
      </c>
      <c r="B10">
        <v>1.7627400000000001E-3</v>
      </c>
      <c r="C10">
        <v>2.6015000000000001E-4</v>
      </c>
      <c r="D10">
        <f t="shared" si="0"/>
        <v>101.09714901841582</v>
      </c>
      <c r="E10">
        <f t="shared" si="1"/>
        <v>97.606639427604506</v>
      </c>
      <c r="G10" s="5">
        <v>2.1300899999999998E-3</v>
      </c>
      <c r="H10" s="5">
        <v>3.2922600000000001E-4</v>
      </c>
      <c r="I10" s="4">
        <f t="shared" si="2"/>
        <v>118.03014351415746</v>
      </c>
      <c r="J10" s="4">
        <f t="shared" si="3"/>
        <v>118.50889286447067</v>
      </c>
      <c r="L10" s="5">
        <v>1.9872599999999998E-3</v>
      </c>
      <c r="M10" s="5">
        <v>2.5841500000000001E-4</v>
      </c>
      <c r="N10" s="4">
        <f t="shared" si="4"/>
        <v>117.04016066622299</v>
      </c>
      <c r="O10" s="4">
        <f t="shared" si="5"/>
        <v>110.03172170062381</v>
      </c>
      <c r="Q10" s="5">
        <v>2.0389900000000001E-3</v>
      </c>
      <c r="R10" s="5">
        <v>3.0092600000000003E-4</v>
      </c>
      <c r="S10" s="4">
        <f t="shared" si="6"/>
        <v>115.24210002769442</v>
      </c>
      <c r="T10" s="4">
        <f t="shared" si="7"/>
        <v>110.05273590356866</v>
      </c>
      <c r="V10" s="5">
        <v>1.5868600000000001E-3</v>
      </c>
      <c r="W10" s="5">
        <v>2.3730499999999999E-4</v>
      </c>
      <c r="X10" s="4">
        <f t="shared" si="8"/>
        <v>106.46994491522581</v>
      </c>
      <c r="Y10" s="4">
        <f t="shared" si="9"/>
        <v>103.36529037934655</v>
      </c>
      <c r="AA10" s="4">
        <f t="shared" si="10"/>
        <v>1.9011879999999998E-3</v>
      </c>
      <c r="AB10" s="4">
        <f t="shared" si="11"/>
        <v>2.772044E-4</v>
      </c>
      <c r="AD10" s="4">
        <f t="shared" si="12"/>
        <v>111.57589962834329</v>
      </c>
      <c r="AE10" s="4">
        <f t="shared" si="13"/>
        <v>107.91305605512282</v>
      </c>
      <c r="AG10">
        <f t="shared" si="14"/>
        <v>6.6457719803394397</v>
      </c>
      <c r="AH10">
        <f t="shared" si="15"/>
        <v>7.0461780846549269</v>
      </c>
    </row>
    <row r="11" spans="1:34" x14ac:dyDescent="0.2">
      <c r="A11">
        <v>55.927799999999998</v>
      </c>
      <c r="B11">
        <v>1.7650299999999999E-3</v>
      </c>
      <c r="C11">
        <v>2.5931400000000002E-4</v>
      </c>
      <c r="D11">
        <f t="shared" si="0"/>
        <v>101.22848572788638</v>
      </c>
      <c r="E11">
        <f t="shared" si="1"/>
        <v>97.292977499634191</v>
      </c>
      <c r="G11" s="5">
        <v>2.1865700000000001E-3</v>
      </c>
      <c r="H11" s="5">
        <v>3.3976999999999998E-4</v>
      </c>
      <c r="I11" s="4">
        <f t="shared" si="2"/>
        <v>121.15974954286031</v>
      </c>
      <c r="J11" s="4">
        <f t="shared" si="3"/>
        <v>122.30433358410696</v>
      </c>
      <c r="L11" s="5">
        <v>2.0276299999999999E-3</v>
      </c>
      <c r="M11" s="5">
        <v>2.6268899999999998E-4</v>
      </c>
      <c r="N11" s="4">
        <f t="shared" si="4"/>
        <v>119.41776162739335</v>
      </c>
      <c r="O11" s="4">
        <f t="shared" si="5"/>
        <v>111.85156798875902</v>
      </c>
      <c r="Q11" s="5">
        <v>2.0747700000000001E-3</v>
      </c>
      <c r="R11" s="5">
        <v>3.0540899999999998E-4</v>
      </c>
      <c r="S11" s="4">
        <f t="shared" si="6"/>
        <v>117.26435729182563</v>
      </c>
      <c r="T11" s="4">
        <f t="shared" si="7"/>
        <v>111.69223004849363</v>
      </c>
      <c r="V11" s="5">
        <v>1.60111E-3</v>
      </c>
      <c r="W11" s="5">
        <v>2.3630799999999999E-4</v>
      </c>
      <c r="X11" s="4">
        <f t="shared" si="8"/>
        <v>107.42604483269929</v>
      </c>
      <c r="Y11" s="4">
        <f t="shared" si="9"/>
        <v>102.93101720976222</v>
      </c>
      <c r="AA11" s="4">
        <f t="shared" si="10"/>
        <v>1.9310219999999997E-3</v>
      </c>
      <c r="AB11" s="4">
        <f t="shared" si="11"/>
        <v>2.8069799999999996E-4</v>
      </c>
      <c r="AD11" s="4">
        <f t="shared" si="12"/>
        <v>113.29927980453299</v>
      </c>
      <c r="AE11" s="4">
        <f t="shared" si="13"/>
        <v>109.2144252661512</v>
      </c>
      <c r="AG11">
        <f t="shared" si="14"/>
        <v>7.6830150654446134</v>
      </c>
      <c r="AH11">
        <f t="shared" si="15"/>
        <v>8.5561892417615102</v>
      </c>
    </row>
    <row r="12" spans="1:34" x14ac:dyDescent="0.2">
      <c r="A12">
        <v>62.031100000000002</v>
      </c>
      <c r="B12">
        <v>1.76604E-3</v>
      </c>
      <c r="C12">
        <v>2.5842299999999998E-4</v>
      </c>
      <c r="D12">
        <f t="shared" si="0"/>
        <v>101.28641152551316</v>
      </c>
      <c r="E12">
        <f t="shared" si="1"/>
        <v>96.958679918507912</v>
      </c>
      <c r="G12" s="5">
        <v>2.2375099999999998E-3</v>
      </c>
      <c r="H12" s="5">
        <v>3.4611599999999999E-4</v>
      </c>
      <c r="I12" s="4">
        <f t="shared" si="2"/>
        <v>123.98237934282706</v>
      </c>
      <c r="J12" s="4">
        <f t="shared" si="3"/>
        <v>124.5886532736756</v>
      </c>
      <c r="L12" s="5">
        <v>2.0718099999999999E-3</v>
      </c>
      <c r="M12" s="5">
        <v>2.63355E-4</v>
      </c>
      <c r="N12" s="4">
        <f t="shared" si="4"/>
        <v>122.01975346451266</v>
      </c>
      <c r="O12" s="4">
        <f t="shared" si="5"/>
        <v>112.13514721849653</v>
      </c>
      <c r="Q12" s="5">
        <v>2.1207800000000001E-3</v>
      </c>
      <c r="R12" s="5">
        <v>3.0886999999999999E-4</v>
      </c>
      <c r="S12" s="4">
        <f t="shared" si="6"/>
        <v>119.86480605433756</v>
      </c>
      <c r="T12" s="4">
        <f t="shared" si="7"/>
        <v>112.95796487686422</v>
      </c>
      <c r="V12" s="5">
        <v>1.6084199999999999E-3</v>
      </c>
      <c r="W12" s="5">
        <v>2.4181800000000001E-4</v>
      </c>
      <c r="X12" s="4">
        <f t="shared" si="8"/>
        <v>107.91650731668041</v>
      </c>
      <c r="Y12" s="4">
        <f t="shared" si="9"/>
        <v>105.33106251007278</v>
      </c>
      <c r="AA12" s="4">
        <f t="shared" si="10"/>
        <v>1.960912E-3</v>
      </c>
      <c r="AB12" s="4">
        <f t="shared" si="11"/>
        <v>2.8371639999999997E-4</v>
      </c>
      <c r="AD12" s="4">
        <f t="shared" si="12"/>
        <v>115.01397154077418</v>
      </c>
      <c r="AE12" s="4">
        <f t="shared" si="13"/>
        <v>110.39430155952341</v>
      </c>
      <c r="AG12">
        <f t="shared" si="14"/>
        <v>8.8528392816063892</v>
      </c>
      <c r="AH12">
        <f t="shared" si="15"/>
        <v>9.1349313336281348</v>
      </c>
    </row>
    <row r="13" spans="1:34" x14ac:dyDescent="0.2">
      <c r="A13">
        <v>68.213200000000001</v>
      </c>
      <c r="B13">
        <v>1.76439E-3</v>
      </c>
      <c r="C13">
        <v>2.5951499999999998E-4</v>
      </c>
      <c r="D13">
        <f t="shared" si="0"/>
        <v>101.19178027196449</v>
      </c>
      <c r="E13">
        <f t="shared" si="1"/>
        <v>97.368391432076805</v>
      </c>
      <c r="G13" s="5">
        <v>2.2903300000000001E-3</v>
      </c>
      <c r="H13" s="5">
        <v>3.5420200000000002E-4</v>
      </c>
      <c r="I13" s="4">
        <f t="shared" si="2"/>
        <v>126.90918158142628</v>
      </c>
      <c r="J13" s="4">
        <f t="shared" si="3"/>
        <v>127.49930707289595</v>
      </c>
      <c r="L13" s="5">
        <v>2.1114599999999999E-3</v>
      </c>
      <c r="M13" s="5">
        <v>2.6966499999999999E-4</v>
      </c>
      <c r="N13" s="4">
        <f t="shared" si="4"/>
        <v>124.35494985070055</v>
      </c>
      <c r="O13" s="4">
        <f t="shared" si="5"/>
        <v>114.82191139213558</v>
      </c>
      <c r="Q13" s="5">
        <v>2.1594600000000002E-3</v>
      </c>
      <c r="R13" s="5">
        <v>3.1287699999999998E-4</v>
      </c>
      <c r="S13" s="4">
        <f t="shared" si="6"/>
        <v>122.05096902182207</v>
      </c>
      <c r="T13" s="4">
        <f t="shared" si="7"/>
        <v>114.42337934010635</v>
      </c>
      <c r="V13" s="5">
        <v>1.62488E-3</v>
      </c>
      <c r="W13" s="5">
        <v>2.4187500000000001E-4</v>
      </c>
      <c r="X13" s="4">
        <f t="shared" si="8"/>
        <v>109.02088658977608</v>
      </c>
      <c r="Y13" s="4">
        <f t="shared" si="9"/>
        <v>105.3558905649036</v>
      </c>
      <c r="AA13" s="4">
        <f t="shared" si="10"/>
        <v>1.9901040000000004E-3</v>
      </c>
      <c r="AB13" s="4">
        <f t="shared" si="11"/>
        <v>2.8762679999999998E-4</v>
      </c>
      <c r="AD13" s="4">
        <f t="shared" si="12"/>
        <v>116.7055534631379</v>
      </c>
      <c r="AE13" s="4">
        <f t="shared" si="13"/>
        <v>111.89377596042365</v>
      </c>
      <c r="AG13">
        <f t="shared" si="14"/>
        <v>9.9089053174114028</v>
      </c>
      <c r="AH13">
        <f t="shared" si="15"/>
        <v>10.121622526142554</v>
      </c>
    </row>
    <row r="14" spans="1:34" x14ac:dyDescent="0.2">
      <c r="A14">
        <v>74.461600000000004</v>
      </c>
      <c r="B14">
        <v>1.7638199999999999E-3</v>
      </c>
      <c r="C14">
        <v>2.5869499999999998E-4</v>
      </c>
      <c r="D14">
        <f t="shared" si="0"/>
        <v>101.15908947528402</v>
      </c>
      <c r="E14">
        <f t="shared" si="1"/>
        <v>97.060732603206404</v>
      </c>
      <c r="G14" s="5">
        <v>2.3636500000000001E-3</v>
      </c>
      <c r="H14" s="5">
        <v>3.6650099999999998E-4</v>
      </c>
      <c r="I14" s="4">
        <f t="shared" si="2"/>
        <v>130.97190668809219</v>
      </c>
      <c r="J14" s="4">
        <f t="shared" si="3"/>
        <v>131.92648133416364</v>
      </c>
      <c r="L14" s="5">
        <v>2.1565600000000001E-3</v>
      </c>
      <c r="M14" s="5">
        <v>2.69456E-4</v>
      </c>
      <c r="N14" s="4">
        <f t="shared" si="4"/>
        <v>127.01112531140859</v>
      </c>
      <c r="O14" s="4">
        <f t="shared" si="5"/>
        <v>114.73292031253328</v>
      </c>
      <c r="Q14" s="5">
        <v>2.1948900000000001E-3</v>
      </c>
      <c r="R14" s="5">
        <v>3.16865E-4</v>
      </c>
      <c r="S14" s="4">
        <f t="shared" si="6"/>
        <v>124.05344456313479</v>
      </c>
      <c r="T14" s="4">
        <f t="shared" si="7"/>
        <v>115.88184524462584</v>
      </c>
      <c r="V14" s="5">
        <v>1.6413899999999999E-3</v>
      </c>
      <c r="W14" s="5">
        <v>2.4548799999999998E-4</v>
      </c>
      <c r="X14" s="4">
        <f t="shared" si="8"/>
        <v>110.12862059942432</v>
      </c>
      <c r="Y14" s="4">
        <f t="shared" si="9"/>
        <v>106.92964077724878</v>
      </c>
      <c r="AA14" s="4">
        <f t="shared" si="10"/>
        <v>2.0240620000000001E-3</v>
      </c>
      <c r="AB14" s="4">
        <f t="shared" si="11"/>
        <v>2.91401E-4</v>
      </c>
      <c r="AD14" s="4">
        <f t="shared" si="12"/>
        <v>118.66483732746879</v>
      </c>
      <c r="AE14" s="4">
        <f t="shared" si="13"/>
        <v>113.30632405435558</v>
      </c>
      <c r="AG14">
        <f t="shared" si="14"/>
        <v>11.220336636578628</v>
      </c>
      <c r="AH14">
        <f t="shared" si="15"/>
        <v>11.48877778203016</v>
      </c>
    </row>
    <row r="15" spans="1:34" x14ac:dyDescent="0.2">
      <c r="A15">
        <v>80.745000000000005</v>
      </c>
      <c r="B15">
        <v>1.7621500000000001E-3</v>
      </c>
      <c r="C15">
        <v>2.5768399999999999E-4</v>
      </c>
      <c r="D15">
        <f t="shared" si="0"/>
        <v>101.06331117623782</v>
      </c>
      <c r="E15">
        <f t="shared" si="1"/>
        <v>96.681411778830821</v>
      </c>
      <c r="G15" s="5">
        <v>2.4222900000000001E-3</v>
      </c>
      <c r="H15" s="5">
        <v>3.75103E-4</v>
      </c>
      <c r="I15" s="4">
        <f t="shared" si="2"/>
        <v>134.22120019947914</v>
      </c>
      <c r="J15" s="4">
        <f t="shared" si="3"/>
        <v>135.02287559348758</v>
      </c>
      <c r="L15" s="5">
        <v>2.2052299999999999E-3</v>
      </c>
      <c r="M15" s="5">
        <v>2.7556400000000001E-4</v>
      </c>
      <c r="N15" s="4">
        <f t="shared" si="4"/>
        <v>129.87755678973809</v>
      </c>
      <c r="O15" s="4">
        <f t="shared" si="5"/>
        <v>117.33367396904475</v>
      </c>
      <c r="Q15" s="5">
        <v>2.2355999999999999E-3</v>
      </c>
      <c r="R15" s="5">
        <v>3.1749700000000003E-4</v>
      </c>
      <c r="S15" s="4">
        <f t="shared" si="6"/>
        <v>126.35434152296656</v>
      </c>
      <c r="T15" s="4">
        <f t="shared" si="7"/>
        <v>116.11297625055774</v>
      </c>
      <c r="V15" s="5">
        <v>1.65745E-3</v>
      </c>
      <c r="W15" s="5">
        <v>2.4643700000000001E-4</v>
      </c>
      <c r="X15" s="4">
        <f t="shared" si="8"/>
        <v>111.20616198009969</v>
      </c>
      <c r="Y15" s="4">
        <f t="shared" si="9"/>
        <v>107.34300611118614</v>
      </c>
      <c r="AA15" s="4">
        <f t="shared" si="10"/>
        <v>2.056544E-3</v>
      </c>
      <c r="AB15" s="4">
        <f t="shared" si="11"/>
        <v>2.9445699999999998E-4</v>
      </c>
      <c r="AD15" s="4">
        <f t="shared" si="12"/>
        <v>120.54451433370427</v>
      </c>
      <c r="AE15" s="4">
        <f t="shared" si="13"/>
        <v>114.49878874062139</v>
      </c>
      <c r="AG15">
        <f t="shared" si="14"/>
        <v>12.446956341763727</v>
      </c>
      <c r="AH15">
        <f t="shared" si="15"/>
        <v>12.653414270921845</v>
      </c>
    </row>
    <row r="16" spans="1:34" x14ac:dyDescent="0.2">
      <c r="A16">
        <v>86.833600000000004</v>
      </c>
      <c r="B16">
        <v>1.7633600000000001E-3</v>
      </c>
      <c r="C16">
        <v>2.5938600000000001E-4</v>
      </c>
      <c r="D16">
        <f t="shared" si="0"/>
        <v>101.13270742884018</v>
      </c>
      <c r="E16">
        <f t="shared" si="1"/>
        <v>97.319991445583781</v>
      </c>
      <c r="G16" s="5">
        <v>2.4785800000000002E-3</v>
      </c>
      <c r="H16" s="5">
        <v>3.8333399999999999E-4</v>
      </c>
      <c r="I16" s="4">
        <f t="shared" si="2"/>
        <v>137.34027816257552</v>
      </c>
      <c r="J16" s="4">
        <f t="shared" si="3"/>
        <v>137.98572390184555</v>
      </c>
      <c r="L16" s="5">
        <v>2.2515500000000002E-3</v>
      </c>
      <c r="M16" s="5">
        <v>2.8241300000000002E-4</v>
      </c>
      <c r="N16" s="4">
        <f t="shared" si="4"/>
        <v>132.60558444694425</v>
      </c>
      <c r="O16" s="4">
        <f t="shared" si="5"/>
        <v>120.24994145323713</v>
      </c>
      <c r="Q16" s="5">
        <v>2.2875199999999999E-3</v>
      </c>
      <c r="R16" s="5">
        <v>3.2411799999999998E-4</v>
      </c>
      <c r="S16" s="4">
        <f t="shared" si="6"/>
        <v>129.28881880507092</v>
      </c>
      <c r="T16" s="4">
        <f t="shared" si="7"/>
        <v>118.53436610858769</v>
      </c>
      <c r="V16" s="5">
        <v>1.6691200000000001E-3</v>
      </c>
      <c r="W16" s="5">
        <v>2.4881700000000003E-4</v>
      </c>
      <c r="X16" s="4">
        <f t="shared" si="8"/>
        <v>111.98915749146219</v>
      </c>
      <c r="Y16" s="4">
        <f t="shared" si="9"/>
        <v>108.37968629534933</v>
      </c>
      <c r="AA16" s="4">
        <f t="shared" si="10"/>
        <v>2.090026E-3</v>
      </c>
      <c r="AB16" s="4">
        <f t="shared" si="11"/>
        <v>2.9961359999999999E-4</v>
      </c>
      <c r="AD16" s="4">
        <f t="shared" si="12"/>
        <v>122.47130926697859</v>
      </c>
      <c r="AE16" s="4">
        <f t="shared" si="13"/>
        <v>116.49394184092068</v>
      </c>
      <c r="AG16">
        <f t="shared" si="14"/>
        <v>13.678301356492064</v>
      </c>
      <c r="AH16">
        <f t="shared" si="15"/>
        <v>13.517759261473708</v>
      </c>
    </row>
    <row r="17" spans="1:34" x14ac:dyDescent="0.2">
      <c r="A17">
        <v>93.167199999999994</v>
      </c>
      <c r="B17">
        <v>1.7645499999999999E-3</v>
      </c>
      <c r="C17">
        <v>2.5757200000000002E-4</v>
      </c>
      <c r="D17">
        <f t="shared" si="0"/>
        <v>101.20095663594495</v>
      </c>
      <c r="E17">
        <f t="shared" si="1"/>
        <v>96.639390085131467</v>
      </c>
      <c r="G17" s="5">
        <v>2.5403399999999999E-3</v>
      </c>
      <c r="H17" s="5">
        <v>3.95082E-4</v>
      </c>
      <c r="I17" s="4">
        <f t="shared" si="2"/>
        <v>140.76245359339501</v>
      </c>
      <c r="J17" s="4">
        <f t="shared" si="3"/>
        <v>142.21455902839023</v>
      </c>
      <c r="L17" s="5">
        <v>2.2966499999999999E-3</v>
      </c>
      <c r="M17" s="5">
        <v>2.8583599999999998E-4</v>
      </c>
      <c r="N17" s="4">
        <f t="shared" si="4"/>
        <v>135.26175990765225</v>
      </c>
      <c r="O17" s="4">
        <f t="shared" si="5"/>
        <v>121.70743650337441</v>
      </c>
      <c r="Q17" s="5">
        <v>2.34008E-3</v>
      </c>
      <c r="R17" s="5">
        <v>3.3104E-4</v>
      </c>
      <c r="S17" s="4">
        <f t="shared" si="6"/>
        <v>132.25946838032905</v>
      </c>
      <c r="T17" s="4">
        <f t="shared" si="7"/>
        <v>121.0658357653289</v>
      </c>
      <c r="V17" s="5">
        <v>1.6760799999999999E-3</v>
      </c>
      <c r="W17" s="5">
        <v>2.50974E-4</v>
      </c>
      <c r="X17" s="4">
        <f t="shared" si="8"/>
        <v>112.45613681957556</v>
      </c>
      <c r="Y17" s="4">
        <f t="shared" si="9"/>
        <v>109.31923215973586</v>
      </c>
      <c r="AA17" s="4">
        <f t="shared" si="10"/>
        <v>2.1235399999999997E-3</v>
      </c>
      <c r="AB17" s="4">
        <f t="shared" si="11"/>
        <v>3.0410080000000002E-4</v>
      </c>
      <c r="AD17" s="4">
        <f t="shared" si="12"/>
        <v>124.38815506737937</v>
      </c>
      <c r="AE17" s="4">
        <f t="shared" si="13"/>
        <v>118.18929070839218</v>
      </c>
      <c r="AG17">
        <f t="shared" si="14"/>
        <v>15.022181854023279</v>
      </c>
      <c r="AH17">
        <f t="shared" si="15"/>
        <v>15.105903049313214</v>
      </c>
    </row>
    <row r="18" spans="1:34" x14ac:dyDescent="0.2">
      <c r="A18">
        <v>99.287099999999995</v>
      </c>
      <c r="B18">
        <v>1.76494E-3</v>
      </c>
      <c r="C18">
        <v>2.5781699999999997E-4</v>
      </c>
      <c r="D18">
        <f t="shared" si="0"/>
        <v>101.22332402314737</v>
      </c>
      <c r="E18">
        <f t="shared" si="1"/>
        <v>96.731312540098813</v>
      </c>
      <c r="G18" s="5">
        <v>2.6329299999999999E-3</v>
      </c>
      <c r="H18" s="5">
        <v>4.0932700000000002E-4</v>
      </c>
      <c r="I18" s="4">
        <f t="shared" si="2"/>
        <v>145.89294619604365</v>
      </c>
      <c r="J18" s="4">
        <f t="shared" si="3"/>
        <v>147.34221959849825</v>
      </c>
      <c r="L18" s="5">
        <v>2.3449999999999999E-3</v>
      </c>
      <c r="M18" s="5">
        <v>2.8720200000000002E-4</v>
      </c>
      <c r="N18" s="4">
        <f t="shared" si="4"/>
        <v>138.10934490821177</v>
      </c>
      <c r="O18" s="4">
        <f t="shared" si="5"/>
        <v>122.28907198058378</v>
      </c>
      <c r="Q18" s="5">
        <v>2.3856300000000001E-3</v>
      </c>
      <c r="R18" s="5">
        <v>3.3382600000000001E-4</v>
      </c>
      <c r="S18" s="4">
        <f t="shared" si="6"/>
        <v>134.83391830713668</v>
      </c>
      <c r="T18" s="4">
        <f t="shared" si="7"/>
        <v>122.08471390223745</v>
      </c>
      <c r="V18" s="5">
        <v>1.6978500000000001E-3</v>
      </c>
      <c r="W18" s="5">
        <v>2.55247E-4</v>
      </c>
      <c r="X18" s="4">
        <f t="shared" si="8"/>
        <v>113.91678911455084</v>
      </c>
      <c r="Y18" s="4">
        <f t="shared" si="9"/>
        <v>111.18046511222717</v>
      </c>
      <c r="AA18" s="4">
        <f t="shared" si="10"/>
        <v>2.16527E-3</v>
      </c>
      <c r="AB18" s="4">
        <f t="shared" si="11"/>
        <v>3.0868379999999997E-4</v>
      </c>
      <c r="AD18" s="4">
        <f t="shared" si="12"/>
        <v>126.79526450981805</v>
      </c>
      <c r="AE18" s="4">
        <f t="shared" si="13"/>
        <v>119.9255566267291</v>
      </c>
      <c r="AG18">
        <f t="shared" si="14"/>
        <v>16.595957849327036</v>
      </c>
      <c r="AH18">
        <f t="shared" si="15"/>
        <v>16.591390284259248</v>
      </c>
    </row>
    <row r="19" spans="1:34" x14ac:dyDescent="0.2">
      <c r="A19">
        <v>105.572</v>
      </c>
      <c r="B19">
        <v>1.76403E-3</v>
      </c>
      <c r="C19">
        <v>2.5616400000000002E-4</v>
      </c>
      <c r="D19">
        <f t="shared" si="0"/>
        <v>101.17113345300841</v>
      </c>
      <c r="E19">
        <f t="shared" si="1"/>
        <v>96.11111736433935</v>
      </c>
      <c r="G19" s="5">
        <v>2.70499E-3</v>
      </c>
      <c r="H19" s="5">
        <v>4.2443500000000002E-4</v>
      </c>
      <c r="I19" s="4">
        <f t="shared" si="2"/>
        <v>149.88585360447721</v>
      </c>
      <c r="J19" s="4">
        <f t="shared" si="3"/>
        <v>152.78052748850823</v>
      </c>
      <c r="L19" s="5">
        <v>2.3971499999999998E-3</v>
      </c>
      <c r="M19" s="5">
        <v>2.97695E-4</v>
      </c>
      <c r="N19" s="4">
        <f t="shared" si="4"/>
        <v>141.18073183228989</v>
      </c>
      <c r="O19" s="4">
        <f t="shared" si="5"/>
        <v>126.7569351301867</v>
      </c>
      <c r="Q19" s="5">
        <v>2.4291099999999999E-3</v>
      </c>
      <c r="R19" s="5">
        <v>3.3880599999999998E-4</v>
      </c>
      <c r="S19" s="4">
        <f t="shared" si="6"/>
        <v>137.29137347327489</v>
      </c>
      <c r="T19" s="4">
        <f t="shared" si="7"/>
        <v>123.90596771480189</v>
      </c>
      <c r="V19" s="5">
        <v>1.7129599999999999E-3</v>
      </c>
      <c r="W19" s="5">
        <v>2.5786400000000001E-4</v>
      </c>
      <c r="X19" s="4">
        <f t="shared" si="8"/>
        <v>114.93059050072796</v>
      </c>
      <c r="Y19" s="4">
        <f t="shared" si="9"/>
        <v>112.32037773489736</v>
      </c>
      <c r="AA19" s="4">
        <f t="shared" si="10"/>
        <v>2.2016479999999996E-3</v>
      </c>
      <c r="AB19" s="4">
        <f t="shared" si="11"/>
        <v>3.149928E-4</v>
      </c>
      <c r="AD19" s="4">
        <f t="shared" si="12"/>
        <v>128.89193657275567</v>
      </c>
      <c r="AE19" s="4">
        <f t="shared" si="13"/>
        <v>122.37498508654672</v>
      </c>
      <c r="AG19">
        <f t="shared" si="14"/>
        <v>18.031481865105203</v>
      </c>
      <c r="AH19">
        <f t="shared" si="15"/>
        <v>18.638284682212056</v>
      </c>
    </row>
    <row r="20" spans="1:34" x14ac:dyDescent="0.2">
      <c r="A20">
        <v>111.81699999999999</v>
      </c>
      <c r="B20">
        <v>1.76603E-3</v>
      </c>
      <c r="C20">
        <v>2.5700000000000001E-4</v>
      </c>
      <c r="D20">
        <f t="shared" si="0"/>
        <v>101.28583800276438</v>
      </c>
      <c r="E20">
        <f t="shared" si="1"/>
        <v>96.424779292309665</v>
      </c>
      <c r="G20" s="5">
        <v>2.7609800000000001E-3</v>
      </c>
      <c r="H20" s="5">
        <v>4.37231E-4</v>
      </c>
      <c r="I20" s="4">
        <f t="shared" si="2"/>
        <v>152.98830830608966</v>
      </c>
      <c r="J20" s="4">
        <f t="shared" si="3"/>
        <v>157.38660292937183</v>
      </c>
      <c r="L20" s="5">
        <v>2.4509699999999998E-3</v>
      </c>
      <c r="M20" s="5">
        <v>3.0102999999999998E-4</v>
      </c>
      <c r="N20" s="4">
        <f t="shared" si="4"/>
        <v>144.35047381223015</v>
      </c>
      <c r="O20" s="4">
        <f t="shared" si="5"/>
        <v>128.17696025207042</v>
      </c>
      <c r="Q20" s="5">
        <v>2.4805700000000001E-3</v>
      </c>
      <c r="R20" s="5">
        <v>3.4657399999999999E-4</v>
      </c>
      <c r="S20" s="4">
        <f t="shared" si="6"/>
        <v>140.1998519196749</v>
      </c>
      <c r="T20" s="4">
        <f t="shared" si="7"/>
        <v>126.74683109150887</v>
      </c>
      <c r="V20" s="5">
        <v>1.72748E-3</v>
      </c>
      <c r="W20" s="5">
        <v>2.63665E-4</v>
      </c>
      <c r="X20" s="4">
        <f t="shared" si="8"/>
        <v>115.90480599558516</v>
      </c>
      <c r="Y20" s="4">
        <f t="shared" si="9"/>
        <v>114.84717678881779</v>
      </c>
      <c r="AA20" s="4">
        <f t="shared" si="10"/>
        <v>2.2372059999999998E-3</v>
      </c>
      <c r="AB20" s="4">
        <f t="shared" si="11"/>
        <v>3.211E-4</v>
      </c>
      <c r="AD20" s="4">
        <f t="shared" si="12"/>
        <v>130.94585560726884</v>
      </c>
      <c r="AE20" s="4">
        <f t="shared" si="13"/>
        <v>124.71647007081572</v>
      </c>
      <c r="AG20">
        <f t="shared" si="14"/>
        <v>19.272466244210761</v>
      </c>
      <c r="AH20">
        <f t="shared" si="15"/>
        <v>19.906067698856528</v>
      </c>
    </row>
    <row r="21" spans="1:34" x14ac:dyDescent="0.2">
      <c r="A21">
        <v>117.977</v>
      </c>
      <c r="B21">
        <v>1.76618E-3</v>
      </c>
      <c r="C21">
        <v>2.5772499999999999E-4</v>
      </c>
      <c r="D21">
        <f t="shared" si="0"/>
        <v>101.29444084399609</v>
      </c>
      <c r="E21">
        <f t="shared" si="1"/>
        <v>96.69679472027434</v>
      </c>
      <c r="G21" s="5">
        <v>2.8314500000000001E-3</v>
      </c>
      <c r="H21" s="5">
        <v>4.3068099999999998E-4</v>
      </c>
      <c r="I21" s="4">
        <f t="shared" si="2"/>
        <v>156.8931124286585</v>
      </c>
      <c r="J21" s="4">
        <f t="shared" si="3"/>
        <v>155.0288509648785</v>
      </c>
      <c r="L21" s="5">
        <v>2.50278E-3</v>
      </c>
      <c r="M21" s="5">
        <v>3.0190700000000002E-4</v>
      </c>
      <c r="N21" s="4">
        <f t="shared" si="4"/>
        <v>147.40183635367771</v>
      </c>
      <c r="O21" s="4">
        <f t="shared" si="5"/>
        <v>128.55038215068873</v>
      </c>
      <c r="Q21" s="5">
        <v>2.5333199999999999E-3</v>
      </c>
      <c r="R21" s="5">
        <v>3.4790199999999998E-4</v>
      </c>
      <c r="S21" s="4">
        <f t="shared" si="6"/>
        <v>143.18124014446309</v>
      </c>
      <c r="T21" s="4">
        <f t="shared" si="7"/>
        <v>127.23249877485938</v>
      </c>
      <c r="V21" s="5">
        <v>1.74815E-3</v>
      </c>
      <c r="W21" s="5">
        <v>2.6296499999999999E-4</v>
      </c>
      <c r="X21" s="4">
        <f t="shared" si="8"/>
        <v>117.29165408640458</v>
      </c>
      <c r="Y21" s="4">
        <f t="shared" si="9"/>
        <v>114.5422708522992</v>
      </c>
      <c r="AA21" s="4">
        <f t="shared" si="10"/>
        <v>2.2763760000000001E-3</v>
      </c>
      <c r="AB21" s="4">
        <f t="shared" si="11"/>
        <v>3.20236E-4</v>
      </c>
      <c r="AD21" s="4">
        <f t="shared" si="12"/>
        <v>133.21245677144</v>
      </c>
      <c r="AE21" s="4">
        <f t="shared" si="13"/>
        <v>124.41015949260002</v>
      </c>
      <c r="AG21">
        <f t="shared" si="14"/>
        <v>20.657784421874698</v>
      </c>
      <c r="AH21">
        <f t="shared" si="15"/>
        <v>19.120758998421969</v>
      </c>
    </row>
    <row r="22" spans="1:34" x14ac:dyDescent="0.2">
      <c r="A22">
        <v>124.10599999999999</v>
      </c>
      <c r="B22">
        <v>1.76743E-3</v>
      </c>
      <c r="C22">
        <v>2.5745299999999999E-4</v>
      </c>
      <c r="D22">
        <f t="shared" si="0"/>
        <v>101.36613118759354</v>
      </c>
      <c r="E22">
        <f t="shared" si="1"/>
        <v>96.594742035575862</v>
      </c>
      <c r="G22" s="5">
        <v>2.8892700000000002E-3</v>
      </c>
      <c r="H22" s="5">
        <v>4.42378E-4</v>
      </c>
      <c r="I22" s="4">
        <f t="shared" si="2"/>
        <v>160.09696902532278</v>
      </c>
      <c r="J22" s="4">
        <f t="shared" si="3"/>
        <v>159.23932802269204</v>
      </c>
      <c r="L22" s="5">
        <v>2.55047E-3</v>
      </c>
      <c r="M22" s="5">
        <v>3.1316699999999999E-4</v>
      </c>
      <c r="N22" s="4">
        <f t="shared" si="4"/>
        <v>150.21055049383659</v>
      </c>
      <c r="O22" s="4">
        <f t="shared" si="5"/>
        <v>133.34482978859296</v>
      </c>
      <c r="Q22" s="5">
        <v>2.5754100000000002E-3</v>
      </c>
      <c r="R22" s="5">
        <v>3.53901E-4</v>
      </c>
      <c r="S22" s="4">
        <f t="shared" si="6"/>
        <v>145.56013361140785</v>
      </c>
      <c r="T22" s="4">
        <f t="shared" si="7"/>
        <v>129.4264147631273</v>
      </c>
      <c r="V22" s="5">
        <v>1.77085E-3</v>
      </c>
      <c r="W22" s="5">
        <v>2.6534200000000001E-4</v>
      </c>
      <c r="X22" s="4">
        <f t="shared" si="8"/>
        <v>118.81470448125708</v>
      </c>
      <c r="Y22" s="4">
        <f t="shared" si="9"/>
        <v>115.57764429673448</v>
      </c>
      <c r="AA22" s="4">
        <f t="shared" si="10"/>
        <v>2.3106860000000002E-3</v>
      </c>
      <c r="AB22" s="4">
        <f t="shared" si="11"/>
        <v>3.2644819999999998E-4</v>
      </c>
      <c r="AD22" s="4">
        <f t="shared" si="12"/>
        <v>135.20969775988357</v>
      </c>
      <c r="AE22" s="4">
        <f t="shared" si="13"/>
        <v>126.83659178134454</v>
      </c>
      <c r="AG22">
        <f t="shared" si="14"/>
        <v>21.751855916408896</v>
      </c>
      <c r="AH22">
        <f t="shared" si="15"/>
        <v>20.689780257263063</v>
      </c>
    </row>
    <row r="23" spans="1:34" x14ac:dyDescent="0.2">
      <c r="A23">
        <v>130.37799999999999</v>
      </c>
      <c r="B23">
        <v>1.7722700000000001E-3</v>
      </c>
      <c r="C23">
        <v>2.5828E-4</v>
      </c>
      <c r="D23">
        <f t="shared" si="0"/>
        <v>101.64371619800299</v>
      </c>
      <c r="E23">
        <f t="shared" si="1"/>
        <v>96.905027220302486</v>
      </c>
      <c r="G23" s="5">
        <v>2.9433100000000002E-3</v>
      </c>
      <c r="H23" s="5">
        <v>4.4881700000000001E-4</v>
      </c>
      <c r="I23" s="4">
        <f t="shared" si="2"/>
        <v>163.09137252728988</v>
      </c>
      <c r="J23" s="4">
        <f t="shared" si="3"/>
        <v>161.55712419053515</v>
      </c>
      <c r="L23" s="5">
        <v>2.6086400000000002E-3</v>
      </c>
      <c r="M23" s="5">
        <v>3.1761300000000001E-4</v>
      </c>
      <c r="N23" s="4">
        <f t="shared" si="4"/>
        <v>153.63648678096271</v>
      </c>
      <c r="O23" s="4">
        <f t="shared" si="5"/>
        <v>135.23791275467843</v>
      </c>
      <c r="Q23" s="5">
        <v>2.6198599999999999E-3</v>
      </c>
      <c r="R23" s="5">
        <v>3.57654E-4</v>
      </c>
      <c r="S23" s="4">
        <f t="shared" si="6"/>
        <v>148.0724124093573</v>
      </c>
      <c r="T23" s="4">
        <f t="shared" si="7"/>
        <v>130.79893796765629</v>
      </c>
      <c r="V23" s="5">
        <v>1.7909200000000001E-3</v>
      </c>
      <c r="W23" s="5">
        <v>2.7001E-4</v>
      </c>
      <c r="X23" s="4">
        <f t="shared" si="8"/>
        <v>120.16129573344605</v>
      </c>
      <c r="Y23" s="4">
        <f t="shared" si="9"/>
        <v>117.61093131340409</v>
      </c>
      <c r="AA23" s="4">
        <f t="shared" si="10"/>
        <v>2.3470000000000001E-3</v>
      </c>
      <c r="AB23" s="4">
        <f t="shared" si="11"/>
        <v>3.3047480000000004E-4</v>
      </c>
      <c r="AD23" s="4">
        <f t="shared" si="12"/>
        <v>137.3210567298118</v>
      </c>
      <c r="AE23" s="4">
        <f t="shared" si="13"/>
        <v>128.42198668931528</v>
      </c>
      <c r="AG23">
        <f t="shared" si="14"/>
        <v>22.861426499144258</v>
      </c>
      <c r="AH23">
        <f t="shared" si="15"/>
        <v>21.261428622015387</v>
      </c>
    </row>
    <row r="24" spans="1:34" x14ac:dyDescent="0.2">
      <c r="A24">
        <v>136.60400000000001</v>
      </c>
      <c r="B24">
        <v>1.7750000000000001E-3</v>
      </c>
      <c r="C24">
        <v>2.57199E-4</v>
      </c>
      <c r="D24">
        <f t="shared" si="0"/>
        <v>101.80028790841989</v>
      </c>
      <c r="E24">
        <f t="shared" si="1"/>
        <v>96.499442837364796</v>
      </c>
      <c r="G24" s="5">
        <v>3.0041500000000001E-3</v>
      </c>
      <c r="H24" s="5">
        <v>4.5023699999999998E-4</v>
      </c>
      <c r="I24" s="4">
        <f t="shared" si="2"/>
        <v>166.46256995622542</v>
      </c>
      <c r="J24" s="4">
        <f t="shared" si="3"/>
        <v>162.06827041795205</v>
      </c>
      <c r="L24" s="5">
        <v>2.66366E-3</v>
      </c>
      <c r="M24" s="5">
        <v>3.2117199999999999E-4</v>
      </c>
      <c r="N24" s="4">
        <f t="shared" si="4"/>
        <v>156.87690305254046</v>
      </c>
      <c r="O24" s="4">
        <f t="shared" si="5"/>
        <v>136.75331587575312</v>
      </c>
      <c r="Q24" s="5">
        <v>2.6708600000000002E-3</v>
      </c>
      <c r="R24" s="5">
        <v>3.6204500000000002E-4</v>
      </c>
      <c r="S24" s="4">
        <f t="shared" si="6"/>
        <v>150.95489202005302</v>
      </c>
      <c r="T24" s="4">
        <f t="shared" si="7"/>
        <v>132.40478645981906</v>
      </c>
      <c r="V24" s="5">
        <v>1.8191399999999999E-3</v>
      </c>
      <c r="W24" s="5">
        <v>2.7136800000000002E-4</v>
      </c>
      <c r="X24" s="4">
        <f t="shared" si="8"/>
        <v>122.05470904369879</v>
      </c>
      <c r="Y24" s="4">
        <f t="shared" si="9"/>
        <v>118.20244883025018</v>
      </c>
      <c r="AA24" s="4">
        <f t="shared" si="10"/>
        <v>2.3865620000000001E-3</v>
      </c>
      <c r="AB24" s="4">
        <f t="shared" si="11"/>
        <v>3.3240420000000003E-4</v>
      </c>
      <c r="AD24" s="4">
        <f t="shared" si="12"/>
        <v>139.62987239618752</v>
      </c>
      <c r="AE24" s="4">
        <f t="shared" si="13"/>
        <v>129.18565288422786</v>
      </c>
      <c r="AG24">
        <f t="shared" si="14"/>
        <v>24.023628467300068</v>
      </c>
      <c r="AH24">
        <f t="shared" si="15"/>
        <v>21.623681363352233</v>
      </c>
    </row>
    <row r="25" spans="1:34" x14ac:dyDescent="0.2">
      <c r="A25">
        <v>142.80099999999999</v>
      </c>
      <c r="B25">
        <v>1.77754E-3</v>
      </c>
      <c r="C25">
        <v>2.5875699999999998E-4</v>
      </c>
      <c r="D25">
        <f t="shared" si="0"/>
        <v>101.94596268660996</v>
      </c>
      <c r="E25">
        <f t="shared" si="1"/>
        <v>97.083994612218547</v>
      </c>
      <c r="G25" s="5">
        <v>3.0667200000000002E-3</v>
      </c>
      <c r="H25" s="5">
        <v>4.6609599999999999E-4</v>
      </c>
      <c r="I25" s="4">
        <f t="shared" si="2"/>
        <v>169.92962819305149</v>
      </c>
      <c r="J25" s="4">
        <f t="shared" si="3"/>
        <v>167.77690986908178</v>
      </c>
      <c r="L25" s="5">
        <v>2.7180300000000002E-3</v>
      </c>
      <c r="M25" s="5">
        <v>3.2218900000000001E-4</v>
      </c>
      <c r="N25" s="4">
        <f t="shared" si="4"/>
        <v>160.07903741614791</v>
      </c>
      <c r="O25" s="4">
        <f t="shared" si="5"/>
        <v>137.1863490238658</v>
      </c>
      <c r="Q25" s="5">
        <v>2.7158500000000001E-3</v>
      </c>
      <c r="R25" s="5">
        <v>3.65421E-4</v>
      </c>
      <c r="S25" s="4">
        <f t="shared" si="6"/>
        <v>153.49769119035105</v>
      </c>
      <c r="T25" s="4">
        <f t="shared" si="7"/>
        <v>133.63943563074631</v>
      </c>
      <c r="V25" s="5">
        <v>1.84235E-3</v>
      </c>
      <c r="W25" s="5">
        <v>2.7339600000000002E-4</v>
      </c>
      <c r="X25" s="4">
        <f t="shared" si="8"/>
        <v>123.61197775138717</v>
      </c>
      <c r="Y25" s="4">
        <f t="shared" si="9"/>
        <v>119.08580488633544</v>
      </c>
      <c r="AA25" s="4">
        <f t="shared" si="10"/>
        <v>2.4240980000000004E-3</v>
      </c>
      <c r="AB25" s="4">
        <f t="shared" si="11"/>
        <v>3.3717179999999999E-4</v>
      </c>
      <c r="AD25" s="4">
        <f t="shared" si="12"/>
        <v>141.81285944750951</v>
      </c>
      <c r="AE25" s="4">
        <f t="shared" si="13"/>
        <v>130.95449880444957</v>
      </c>
      <c r="AG25">
        <f t="shared" si="14"/>
        <v>25.224522936980438</v>
      </c>
      <c r="AH25">
        <f t="shared" si="15"/>
        <v>23.194877663350624</v>
      </c>
    </row>
    <row r="26" spans="1:34" x14ac:dyDescent="0.2">
      <c r="A26">
        <v>148.94900000000001</v>
      </c>
      <c r="B26">
        <v>1.78028E-3</v>
      </c>
      <c r="C26">
        <v>2.5884500000000001E-4</v>
      </c>
      <c r="D26">
        <f t="shared" si="0"/>
        <v>102.10310791977564</v>
      </c>
      <c r="E26">
        <f t="shared" si="1"/>
        <v>97.117011657268066</v>
      </c>
      <c r="G26" s="5">
        <v>3.14636E-3</v>
      </c>
      <c r="H26" s="5">
        <v>4.7460100000000001E-4</v>
      </c>
      <c r="I26" s="4">
        <f t="shared" si="2"/>
        <v>174.34255000831163</v>
      </c>
      <c r="J26" s="4">
        <f t="shared" si="3"/>
        <v>170.83838780160329</v>
      </c>
      <c r="L26" s="5">
        <v>2.7700200000000002E-3</v>
      </c>
      <c r="M26" s="5">
        <v>3.2600000000000001E-4</v>
      </c>
      <c r="N26" s="4">
        <f t="shared" si="4"/>
        <v>163.14100110134103</v>
      </c>
      <c r="O26" s="4">
        <f t="shared" si="5"/>
        <v>138.80905239403037</v>
      </c>
      <c r="Q26" s="5">
        <v>2.75816E-3</v>
      </c>
      <c r="R26" s="5">
        <v>3.6665899999999997E-4</v>
      </c>
      <c r="S26" s="4">
        <f t="shared" si="6"/>
        <v>155.88901888306742</v>
      </c>
      <c r="T26" s="4">
        <f t="shared" si="7"/>
        <v>134.09218908856852</v>
      </c>
      <c r="V26" s="5">
        <v>1.8697E-3</v>
      </c>
      <c r="W26" s="5">
        <v>2.7854799999999999E-4</v>
      </c>
      <c r="X26" s="4">
        <f t="shared" si="8"/>
        <v>125.44701864562575</v>
      </c>
      <c r="Y26" s="4">
        <f t="shared" si="9"/>
        <v>121.3299125791122</v>
      </c>
      <c r="AA26" s="4">
        <f t="shared" si="10"/>
        <v>2.464904E-3</v>
      </c>
      <c r="AB26" s="4">
        <f t="shared" si="11"/>
        <v>3.4093060000000002E-4</v>
      </c>
      <c r="AD26" s="4">
        <f t="shared" si="12"/>
        <v>144.18453931162429</v>
      </c>
      <c r="AE26" s="4">
        <f t="shared" si="13"/>
        <v>132.4373107041165</v>
      </c>
      <c r="AG26">
        <f t="shared" si="14"/>
        <v>26.562339669164679</v>
      </c>
      <c r="AH26">
        <f t="shared" si="15"/>
        <v>24.036964262333942</v>
      </c>
    </row>
    <row r="27" spans="1:34" x14ac:dyDescent="0.2">
      <c r="A27">
        <v>155.233</v>
      </c>
      <c r="B27">
        <v>1.7878E-3</v>
      </c>
      <c r="C27">
        <v>2.5901500000000003E-4</v>
      </c>
      <c r="D27">
        <f t="shared" si="0"/>
        <v>102.53439702685807</v>
      </c>
      <c r="E27">
        <f t="shared" si="1"/>
        <v>97.180794585204623</v>
      </c>
      <c r="G27" s="5">
        <v>3.2111399999999999E-3</v>
      </c>
      <c r="H27" s="5">
        <v>4.8288299999999998E-4</v>
      </c>
      <c r="I27" s="4">
        <f t="shared" si="2"/>
        <v>177.93206627140245</v>
      </c>
      <c r="J27" s="4">
        <f t="shared" si="3"/>
        <v>173.81959417869243</v>
      </c>
      <c r="L27" s="5">
        <v>2.8218900000000001E-3</v>
      </c>
      <c r="M27" s="5">
        <v>3.3585199999999998E-4</v>
      </c>
      <c r="N27" s="4">
        <f t="shared" si="4"/>
        <v>166.19589735737043</v>
      </c>
      <c r="O27" s="4">
        <f t="shared" si="5"/>
        <v>143.00398117987694</v>
      </c>
      <c r="Q27" s="5">
        <v>2.7991800000000001E-3</v>
      </c>
      <c r="R27" s="5">
        <v>3.7172399999999998E-4</v>
      </c>
      <c r="S27" s="4">
        <f t="shared" si="6"/>
        <v>158.20743679739559</v>
      </c>
      <c r="T27" s="4">
        <f t="shared" si="7"/>
        <v>135.94452855857634</v>
      </c>
      <c r="V27" s="5">
        <v>1.89945E-3</v>
      </c>
      <c r="W27" s="5">
        <v>2.8107700000000002E-4</v>
      </c>
      <c r="X27" s="4">
        <f t="shared" si="8"/>
        <v>127.44308689438617</v>
      </c>
      <c r="Y27" s="4">
        <f t="shared" si="9"/>
        <v>122.43149416976293</v>
      </c>
      <c r="AA27" s="4">
        <f t="shared" si="10"/>
        <v>2.5038920000000002E-3</v>
      </c>
      <c r="AB27" s="4">
        <f t="shared" si="11"/>
        <v>3.4611019999999996E-4</v>
      </c>
      <c r="AD27" s="4">
        <f t="shared" si="12"/>
        <v>146.46257686948255</v>
      </c>
      <c r="AE27" s="4">
        <f t="shared" si="13"/>
        <v>134.47607853442267</v>
      </c>
      <c r="AG27">
        <f t="shared" si="14"/>
        <v>27.601088451799505</v>
      </c>
      <c r="AH27">
        <f t="shared" si="15"/>
        <v>25.134851937598043</v>
      </c>
    </row>
    <row r="28" spans="1:34" x14ac:dyDescent="0.2">
      <c r="A28">
        <v>161.44499999999999</v>
      </c>
      <c r="B28">
        <v>1.79499E-3</v>
      </c>
      <c r="C28">
        <v>2.6067400000000002E-4</v>
      </c>
      <c r="D28">
        <f t="shared" si="0"/>
        <v>102.94675988323077</v>
      </c>
      <c r="E28">
        <f t="shared" si="1"/>
        <v>97.80324092312658</v>
      </c>
      <c r="G28" s="5">
        <v>3.2724799999999999E-3</v>
      </c>
      <c r="H28" s="5">
        <v>4.8967300000000004E-4</v>
      </c>
      <c r="I28" s="4">
        <f t="shared" si="2"/>
        <v>181.33096913614452</v>
      </c>
      <c r="J28" s="4">
        <f t="shared" si="3"/>
        <v>176.26373705486185</v>
      </c>
      <c r="L28" s="5">
        <v>2.8801199999999999E-3</v>
      </c>
      <c r="M28" s="5">
        <v>3.3570900000000001E-4</v>
      </c>
      <c r="N28" s="4">
        <f t="shared" si="4"/>
        <v>169.62536735907841</v>
      </c>
      <c r="O28" s="4">
        <f t="shared" si="5"/>
        <v>142.94309254646484</v>
      </c>
      <c r="Q28" s="5">
        <v>2.84016E-3</v>
      </c>
      <c r="R28" s="5">
        <v>3.7424499999999999E-4</v>
      </c>
      <c r="S28" s="4">
        <f t="shared" si="6"/>
        <v>160.52359394340166</v>
      </c>
      <c r="T28" s="4">
        <f t="shared" si="7"/>
        <v>136.866492586985</v>
      </c>
      <c r="V28" s="5">
        <v>1.9232299999999999E-3</v>
      </c>
      <c r="W28" s="5">
        <v>2.8791999999999999E-4</v>
      </c>
      <c r="X28" s="4">
        <f t="shared" si="8"/>
        <v>129.03859959877352</v>
      </c>
      <c r="Y28" s="4">
        <f t="shared" si="9"/>
        <v>125.41216748918673</v>
      </c>
      <c r="AA28" s="4">
        <f t="shared" si="10"/>
        <v>2.542196E-3</v>
      </c>
      <c r="AB28" s="4">
        <f t="shared" si="11"/>
        <v>3.4964420000000004E-4</v>
      </c>
      <c r="AD28" s="4">
        <f t="shared" si="12"/>
        <v>148.6930579841258</v>
      </c>
      <c r="AE28" s="4">
        <f t="shared" si="13"/>
        <v>135.857746120125</v>
      </c>
      <c r="AG28">
        <f t="shared" si="14"/>
        <v>28.713682890137907</v>
      </c>
      <c r="AH28">
        <f t="shared" si="15"/>
        <v>25.460240711969657</v>
      </c>
    </row>
    <row r="29" spans="1:34" x14ac:dyDescent="0.2">
      <c r="A29">
        <v>167.59</v>
      </c>
      <c r="B29">
        <v>1.79944E-3</v>
      </c>
      <c r="C29">
        <v>2.6077499999999998E-4</v>
      </c>
      <c r="D29">
        <f t="shared" si="0"/>
        <v>103.20197750643779</v>
      </c>
      <c r="E29">
        <f t="shared" si="1"/>
        <v>97.841135486194744</v>
      </c>
      <c r="G29" s="5">
        <v>3.3364200000000001E-3</v>
      </c>
      <c r="H29" s="5">
        <v>4.9625799999999996E-4</v>
      </c>
      <c r="I29" s="4">
        <f t="shared" si="2"/>
        <v>184.8739402670804</v>
      </c>
      <c r="J29" s="4">
        <f t="shared" si="3"/>
        <v>178.63408769397461</v>
      </c>
      <c r="L29" s="5">
        <v>2.9284699999999999E-3</v>
      </c>
      <c r="M29" s="5">
        <v>3.46354E-4</v>
      </c>
      <c r="N29" s="4">
        <f t="shared" si="4"/>
        <v>172.4729523596379</v>
      </c>
      <c r="O29" s="4">
        <f t="shared" si="5"/>
        <v>147.47567648123311</v>
      </c>
      <c r="Q29" s="5">
        <v>2.8786200000000001E-3</v>
      </c>
      <c r="R29" s="5">
        <v>3.7920500000000003E-4</v>
      </c>
      <c r="S29" s="4">
        <f t="shared" si="6"/>
        <v>162.69732268511456</v>
      </c>
      <c r="T29" s="4">
        <f t="shared" si="7"/>
        <v>138.68043212720983</v>
      </c>
      <c r="V29" s="5">
        <v>1.94702E-3</v>
      </c>
      <c r="W29" s="5">
        <v>2.9190599999999998E-4</v>
      </c>
      <c r="X29" s="4">
        <f t="shared" si="8"/>
        <v>130.63478325047134</v>
      </c>
      <c r="Y29" s="4">
        <f t="shared" si="9"/>
        <v>127.1483890077054</v>
      </c>
      <c r="AA29" s="4">
        <f t="shared" si="10"/>
        <v>2.5779940000000001E-3</v>
      </c>
      <c r="AB29" s="4">
        <f t="shared" si="11"/>
        <v>3.5489959999999998E-4</v>
      </c>
      <c r="AD29" s="4">
        <f t="shared" si="12"/>
        <v>150.77619521374839</v>
      </c>
      <c r="AE29" s="4">
        <f t="shared" si="13"/>
        <v>137.95594415926354</v>
      </c>
      <c r="AG29">
        <f t="shared" si="14"/>
        <v>29.814430851167703</v>
      </c>
      <c r="AH29">
        <f t="shared" si="15"/>
        <v>26.350949398301097</v>
      </c>
    </row>
    <row r="30" spans="1:34" x14ac:dyDescent="0.2">
      <c r="A30">
        <v>173.74799999999999</v>
      </c>
      <c r="B30">
        <v>1.80697E-3</v>
      </c>
      <c r="C30">
        <v>2.61096E-4</v>
      </c>
      <c r="D30">
        <f t="shared" si="0"/>
        <v>103.633840136269</v>
      </c>
      <c r="E30">
        <f t="shared" si="1"/>
        <v>97.961572661886692</v>
      </c>
      <c r="G30" s="5">
        <v>3.4042299999999998E-3</v>
      </c>
      <c r="H30" s="5">
        <v>4.9898800000000001E-4</v>
      </c>
      <c r="I30" s="4">
        <f t="shared" si="2"/>
        <v>188.63135147115864</v>
      </c>
      <c r="J30" s="4">
        <f t="shared" si="3"/>
        <v>179.61678431429016</v>
      </c>
      <c r="L30" s="5">
        <v>2.9837900000000001E-3</v>
      </c>
      <c r="M30" s="5">
        <v>3.5125500000000002E-4</v>
      </c>
      <c r="N30" s="4">
        <f t="shared" si="4"/>
        <v>175.73103720412502</v>
      </c>
      <c r="O30" s="4">
        <f t="shared" si="5"/>
        <v>149.56249600817529</v>
      </c>
      <c r="Q30" s="5">
        <v>2.9183299999999998E-3</v>
      </c>
      <c r="R30" s="5">
        <v>3.7784599999999999E-4</v>
      </c>
      <c r="S30" s="4">
        <f t="shared" si="6"/>
        <v>164.94170043689346</v>
      </c>
      <c r="T30" s="4">
        <f t="shared" si="7"/>
        <v>138.18342732173289</v>
      </c>
      <c r="V30" s="5">
        <v>1.9821299999999999E-3</v>
      </c>
      <c r="W30" s="5">
        <v>2.9523E-4</v>
      </c>
      <c r="X30" s="4">
        <f t="shared" si="8"/>
        <v>132.99047925766391</v>
      </c>
      <c r="Y30" s="4">
        <f t="shared" si="9"/>
        <v>128.59625662625939</v>
      </c>
      <c r="AA30" s="4">
        <f t="shared" si="10"/>
        <v>2.6190900000000001E-3</v>
      </c>
      <c r="AB30" s="4">
        <f t="shared" si="11"/>
        <v>3.56883E-4</v>
      </c>
      <c r="AD30" s="4">
        <f t="shared" si="12"/>
        <v>153.18568170122199</v>
      </c>
      <c r="AE30" s="4">
        <f t="shared" si="13"/>
        <v>138.78410738646889</v>
      </c>
      <c r="AG30">
        <f t="shared" si="14"/>
        <v>30.874338020173429</v>
      </c>
      <c r="AH30">
        <f t="shared" si="15"/>
        <v>26.661258887623983</v>
      </c>
    </row>
    <row r="31" spans="1:34" x14ac:dyDescent="0.2">
      <c r="A31">
        <v>179.999</v>
      </c>
      <c r="B31">
        <v>1.81145E-3</v>
      </c>
      <c r="C31">
        <v>2.6157600000000002E-4</v>
      </c>
      <c r="D31">
        <f t="shared" si="0"/>
        <v>103.89077832772237</v>
      </c>
      <c r="E31">
        <f t="shared" si="1"/>
        <v>98.141665634884006</v>
      </c>
      <c r="G31" s="5">
        <v>3.4561100000000001E-3</v>
      </c>
      <c r="H31" s="5">
        <v>5.0814399999999998E-4</v>
      </c>
      <c r="I31" s="4">
        <f t="shared" si="2"/>
        <v>191.50606749044164</v>
      </c>
      <c r="J31" s="4">
        <f t="shared" si="3"/>
        <v>182.91259759473303</v>
      </c>
      <c r="L31" s="5">
        <v>3.0438900000000001E-3</v>
      </c>
      <c r="M31" s="5">
        <v>3.5108200000000001E-4</v>
      </c>
      <c r="N31" s="4">
        <f t="shared" si="4"/>
        <v>179.27064131030136</v>
      </c>
      <c r="O31" s="4">
        <f t="shared" si="5"/>
        <v>149.4888335355858</v>
      </c>
      <c r="Q31" s="5">
        <v>2.9529199999999999E-3</v>
      </c>
      <c r="R31" s="5">
        <v>3.81314E-4</v>
      </c>
      <c r="S31" s="4">
        <f t="shared" si="6"/>
        <v>166.89669984344178</v>
      </c>
      <c r="T31" s="4">
        <f t="shared" si="7"/>
        <v>139.45172214542237</v>
      </c>
      <c r="V31" s="5">
        <v>2.0112799999999998E-3</v>
      </c>
      <c r="W31" s="5">
        <v>3.0491200000000001E-4</v>
      </c>
      <c r="X31" s="4">
        <f t="shared" si="8"/>
        <v>134.94629066779385</v>
      </c>
      <c r="Y31" s="4">
        <f t="shared" si="9"/>
        <v>132.81354130822072</v>
      </c>
      <c r="AA31" s="4">
        <f t="shared" si="10"/>
        <v>2.6551299999999999E-3</v>
      </c>
      <c r="AB31" s="4">
        <f t="shared" si="11"/>
        <v>3.6140560000000001E-4</v>
      </c>
      <c r="AD31" s="4">
        <f t="shared" si="12"/>
        <v>155.3020955279402</v>
      </c>
      <c r="AE31" s="4">
        <f t="shared" si="13"/>
        <v>140.56167204376919</v>
      </c>
      <c r="AG31">
        <f t="shared" si="14"/>
        <v>31.865768309524679</v>
      </c>
      <c r="AH31">
        <f t="shared" si="15"/>
        <v>27.327705976631524</v>
      </c>
    </row>
    <row r="32" spans="1:34" x14ac:dyDescent="0.2">
      <c r="A32">
        <v>193.20699999999999</v>
      </c>
      <c r="B32">
        <v>4.0172899999999998E-6</v>
      </c>
      <c r="C32">
        <v>3.6486699999999997E-5</v>
      </c>
      <c r="D32">
        <f t="shared" si="0"/>
        <v>0.23040072034457246</v>
      </c>
      <c r="E32">
        <f t="shared" si="1"/>
        <v>13.689579745543638</v>
      </c>
      <c r="G32" s="5">
        <v>1.72918E-6</v>
      </c>
      <c r="H32" s="5">
        <v>2.3373199999999998E-5</v>
      </c>
      <c r="I32" s="4">
        <f t="shared" si="2"/>
        <v>9.5815370975785449E-2</v>
      </c>
      <c r="J32" s="4">
        <f t="shared" si="3"/>
        <v>8.4134669032817744</v>
      </c>
      <c r="L32" s="5">
        <v>2.1525300000000001E-6</v>
      </c>
      <c r="M32" s="5">
        <v>2.8556700000000001E-5</v>
      </c>
      <c r="N32" s="4">
        <f t="shared" si="4"/>
        <v>0.12677377748199278</v>
      </c>
      <c r="O32" s="4">
        <f t="shared" si="5"/>
        <v>12.15928977454174</v>
      </c>
      <c r="Q32" s="5">
        <v>1.60443E-6</v>
      </c>
      <c r="R32" s="5">
        <v>2.6998199999999998E-5</v>
      </c>
      <c r="S32" s="4">
        <f t="shared" si="6"/>
        <v>9.0681112976244982E-2</v>
      </c>
      <c r="T32" s="4">
        <f t="shared" si="7"/>
        <v>9.8736093739714299</v>
      </c>
      <c r="V32" s="5">
        <v>2.0015299999999998E-6</v>
      </c>
      <c r="W32" s="5">
        <v>2.3090200000000001E-5</v>
      </c>
      <c r="X32" s="4">
        <f t="shared" si="8"/>
        <v>0.13429211704004881</v>
      </c>
      <c r="Y32" s="4">
        <f t="shared" si="9"/>
        <v>10.057627222002013</v>
      </c>
      <c r="AA32" s="4">
        <f t="shared" si="10"/>
        <v>2.3009919999999999E-6</v>
      </c>
      <c r="AB32" s="4">
        <f t="shared" si="11"/>
        <v>2.7701000000000001E-5</v>
      </c>
      <c r="AD32" s="4">
        <f t="shared" si="12"/>
        <v>0.13559261976372888</v>
      </c>
      <c r="AE32" s="4">
        <f t="shared" si="13"/>
        <v>10.838714603868118</v>
      </c>
      <c r="AG32">
        <f t="shared" si="14"/>
        <v>5.0333512067671095E-2</v>
      </c>
      <c r="AH32">
        <f t="shared" si="15"/>
        <v>1.8598227253963717</v>
      </c>
    </row>
    <row r="33" spans="1:34" x14ac:dyDescent="0.2">
      <c r="A33">
        <v>199.40899999999999</v>
      </c>
      <c r="B33">
        <v>3.9768699999999996E-6</v>
      </c>
      <c r="C33">
        <v>3.6071600000000002E-5</v>
      </c>
      <c r="D33">
        <f t="shared" si="0"/>
        <v>0.22808254139400436</v>
      </c>
      <c r="E33">
        <f t="shared" si="1"/>
        <v>13.533836843270338</v>
      </c>
      <c r="G33" s="5">
        <v>1.84514E-6</v>
      </c>
      <c r="H33" s="5">
        <v>2.30185E-5</v>
      </c>
      <c r="I33" s="4">
        <f t="shared" si="2"/>
        <v>0.10224081564803014</v>
      </c>
      <c r="J33" s="4">
        <f t="shared" si="3"/>
        <v>8.2857883350671511</v>
      </c>
      <c r="L33" s="5">
        <v>2.1766200000000002E-6</v>
      </c>
      <c r="M33" s="5">
        <v>2.81145E-5</v>
      </c>
      <c r="N33" s="4">
        <f t="shared" si="4"/>
        <v>0.1281925638866149</v>
      </c>
      <c r="O33" s="4">
        <f t="shared" si="5"/>
        <v>11.971003385067384</v>
      </c>
      <c r="Q33" s="5">
        <v>1.62594E-6</v>
      </c>
      <c r="R33" s="5">
        <v>2.6224299999999999E-5</v>
      </c>
      <c r="S33" s="4">
        <f t="shared" si="6"/>
        <v>9.1896841141461919E-2</v>
      </c>
      <c r="T33" s="4">
        <f t="shared" si="7"/>
        <v>9.5905836057899769</v>
      </c>
      <c r="V33" s="5">
        <v>2.0545099999999998E-6</v>
      </c>
      <c r="W33" s="5">
        <v>2.2925399999999999E-5</v>
      </c>
      <c r="X33" s="4">
        <f t="shared" si="8"/>
        <v>0.13784679589111865</v>
      </c>
      <c r="Y33" s="4">
        <f t="shared" si="9"/>
        <v>9.9858436529473522</v>
      </c>
      <c r="AA33" s="4">
        <f t="shared" si="10"/>
        <v>2.3358160000000002E-6</v>
      </c>
      <c r="AB33" s="4">
        <f t="shared" si="11"/>
        <v>2.7270860000000001E-5</v>
      </c>
      <c r="AD33" s="4">
        <f t="shared" si="12"/>
        <v>0.13765191159224602</v>
      </c>
      <c r="AE33" s="4">
        <f t="shared" si="13"/>
        <v>10.67341116442844</v>
      </c>
      <c r="AG33">
        <f t="shared" si="14"/>
        <v>4.819686345225236E-2</v>
      </c>
      <c r="AH33">
        <f t="shared" si="15"/>
        <v>1.8553591574204298</v>
      </c>
    </row>
    <row r="34" spans="1:34" x14ac:dyDescent="0.2">
      <c r="A34">
        <v>205.65700000000001</v>
      </c>
      <c r="B34">
        <v>3.8693499999999996E-6</v>
      </c>
      <c r="C34">
        <v>3.53815E-5</v>
      </c>
      <c r="D34">
        <f t="shared" si="0"/>
        <v>0.22191602479912365</v>
      </c>
      <c r="E34">
        <f t="shared" si="1"/>
        <v>13.274915675217331</v>
      </c>
      <c r="G34" s="5">
        <v>1.8663499999999999E-6</v>
      </c>
      <c r="H34" s="5">
        <v>2.2903200000000001E-5</v>
      </c>
      <c r="I34" s="4">
        <f t="shared" si="2"/>
        <v>0.1034160802349421</v>
      </c>
      <c r="J34" s="4">
        <f t="shared" si="3"/>
        <v>8.2442847012494305</v>
      </c>
      <c r="L34" s="5">
        <v>2.1545100000000001E-6</v>
      </c>
      <c r="M34" s="5">
        <v>2.6956100000000001E-5</v>
      </c>
      <c r="N34" s="4">
        <f t="shared" si="4"/>
        <v>0.12689039006319461</v>
      </c>
      <c r="O34" s="4">
        <f t="shared" si="5"/>
        <v>11.477762874965405</v>
      </c>
      <c r="Q34" s="5">
        <v>1.61526E-6</v>
      </c>
      <c r="R34" s="5">
        <v>2.5286499999999999E-5</v>
      </c>
      <c r="S34" s="4">
        <f t="shared" si="6"/>
        <v>9.1293215999457417E-2</v>
      </c>
      <c r="T34" s="4">
        <f t="shared" si="7"/>
        <v>9.2476173757853708</v>
      </c>
      <c r="V34" s="5">
        <v>2.0626299999999999E-6</v>
      </c>
      <c r="W34" s="5">
        <v>2.2810300000000001E-5</v>
      </c>
      <c r="X34" s="4">
        <f t="shared" si="8"/>
        <v>0.1383916051072509</v>
      </c>
      <c r="Y34" s="4">
        <f t="shared" si="9"/>
        <v>9.9357084053855118</v>
      </c>
      <c r="AA34" s="4">
        <f t="shared" si="10"/>
        <v>2.3136199999999999E-6</v>
      </c>
      <c r="AB34" s="4">
        <f t="shared" si="11"/>
        <v>2.6667520000000003E-5</v>
      </c>
      <c r="AD34" s="4">
        <f t="shared" si="12"/>
        <v>0.13638146324079373</v>
      </c>
      <c r="AE34" s="4">
        <f t="shared" si="13"/>
        <v>10.436057806520612</v>
      </c>
      <c r="AG34">
        <f t="shared" si="14"/>
        <v>4.5891064222525819E-2</v>
      </c>
      <c r="AH34">
        <f t="shared" si="15"/>
        <v>1.7669676269755041</v>
      </c>
    </row>
    <row r="35" spans="1:34" x14ac:dyDescent="0.2">
      <c r="A35">
        <v>211.864</v>
      </c>
      <c r="B35">
        <v>3.7873999999999999E-6</v>
      </c>
      <c r="C35">
        <v>3.4763700000000001E-5</v>
      </c>
      <c r="D35">
        <f t="shared" si="0"/>
        <v>0.21721600587287296</v>
      </c>
      <c r="E35">
        <f t="shared" si="1"/>
        <v>13.043121011222045</v>
      </c>
      <c r="G35" s="5">
        <v>1.8787900000000001E-6</v>
      </c>
      <c r="H35" s="5">
        <v>2.2771900000000001E-5</v>
      </c>
      <c r="I35" s="4">
        <f t="shared" si="2"/>
        <v>0.10410539147780795</v>
      </c>
      <c r="J35" s="4">
        <f t="shared" si="3"/>
        <v>8.1970216733199681</v>
      </c>
      <c r="L35" s="5">
        <v>2.1389399999999998E-6</v>
      </c>
      <c r="M35" s="5">
        <v>2.6528799999999999E-5</v>
      </c>
      <c r="N35" s="4">
        <f t="shared" si="4"/>
        <v>0.12597339112919848</v>
      </c>
      <c r="O35" s="4">
        <f t="shared" si="5"/>
        <v>11.295820825615806</v>
      </c>
      <c r="Q35" s="5">
        <v>1.5762099999999999E-6</v>
      </c>
      <c r="R35" s="5">
        <v>2.4823700000000001E-5</v>
      </c>
      <c r="S35" s="4">
        <f t="shared" si="6"/>
        <v>8.9086140924993354E-2</v>
      </c>
      <c r="T35" s="4">
        <f t="shared" si="7"/>
        <v>9.0783651138466492</v>
      </c>
      <c r="V35" s="5">
        <v>2.06794E-6</v>
      </c>
      <c r="W35" s="5">
        <v>2.2812000000000001E-5</v>
      </c>
      <c r="X35" s="4">
        <f t="shared" si="8"/>
        <v>0.1387478781291305</v>
      </c>
      <c r="Y35" s="4">
        <f t="shared" si="9"/>
        <v>9.9364488912313416</v>
      </c>
      <c r="AA35" s="4">
        <f t="shared" si="10"/>
        <v>2.2898559999999999E-6</v>
      </c>
      <c r="AB35" s="4">
        <f t="shared" si="11"/>
        <v>2.6340020000000003E-5</v>
      </c>
      <c r="AD35" s="4">
        <f t="shared" si="12"/>
        <v>0.13502576150680062</v>
      </c>
      <c r="AE35" s="4">
        <f t="shared" si="13"/>
        <v>10.310155503047163</v>
      </c>
      <c r="AG35">
        <f t="shared" si="14"/>
        <v>4.4536622800765771E-2</v>
      </c>
      <c r="AH35">
        <f t="shared" si="15"/>
        <v>1.7066303275148398</v>
      </c>
    </row>
    <row r="36" spans="1:34" x14ac:dyDescent="0.2">
      <c r="A36">
        <v>217.958</v>
      </c>
      <c r="B36">
        <v>3.7452199999999999E-6</v>
      </c>
      <c r="C36">
        <v>3.4301999999999998E-5</v>
      </c>
      <c r="D36">
        <f t="shared" si="0"/>
        <v>0.21479688691851961</v>
      </c>
      <c r="E36">
        <f t="shared" si="1"/>
        <v>12.869894082820254</v>
      </c>
      <c r="G36" s="5">
        <v>1.8891400000000001E-6</v>
      </c>
      <c r="H36" s="5">
        <v>2.27495E-5</v>
      </c>
      <c r="I36" s="4">
        <f t="shared" si="2"/>
        <v>0.1046788939990026</v>
      </c>
      <c r="J36" s="4">
        <f t="shared" si="3"/>
        <v>8.1889585215635314</v>
      </c>
      <c r="L36" s="5">
        <v>2.15837E-6</v>
      </c>
      <c r="M36" s="5">
        <v>2.64397E-5</v>
      </c>
      <c r="N36" s="4">
        <f t="shared" si="4"/>
        <v>0.12711772570129509</v>
      </c>
      <c r="O36" s="4">
        <f t="shared" si="5"/>
        <v>11.257882523259033</v>
      </c>
      <c r="Q36" s="5">
        <v>1.5709799999999999E-6</v>
      </c>
      <c r="R36" s="5">
        <v>2.4638400000000001E-5</v>
      </c>
      <c r="S36" s="4">
        <f t="shared" si="6"/>
        <v>8.8790545466876911E-2</v>
      </c>
      <c r="T36" s="4">
        <f t="shared" si="7"/>
        <v>9.010598380620106</v>
      </c>
      <c r="V36" s="5">
        <v>2.0676400000000002E-6</v>
      </c>
      <c r="W36" s="5">
        <v>2.2785700000000001E-5</v>
      </c>
      <c r="X36" s="4">
        <f t="shared" si="8"/>
        <v>0.1387277497098153</v>
      </c>
      <c r="Y36" s="4">
        <f t="shared" si="9"/>
        <v>9.9249931396164293</v>
      </c>
      <c r="AA36" s="4">
        <f t="shared" si="10"/>
        <v>2.2862699999999996E-6</v>
      </c>
      <c r="AB36" s="4">
        <f t="shared" si="11"/>
        <v>2.6183060000000001E-5</v>
      </c>
      <c r="AD36" s="4">
        <f t="shared" si="12"/>
        <v>0.13482236035910189</v>
      </c>
      <c r="AE36" s="4">
        <f t="shared" si="13"/>
        <v>10.250465329575871</v>
      </c>
      <c r="AG36">
        <f t="shared" si="14"/>
        <v>4.3584618631045666E-2</v>
      </c>
      <c r="AH36">
        <f t="shared" si="15"/>
        <v>1.659476357920344</v>
      </c>
    </row>
    <row r="37" spans="1:34" x14ac:dyDescent="0.2">
      <c r="A37">
        <v>224.30799999999999</v>
      </c>
      <c r="B37">
        <v>3.70363E-6</v>
      </c>
      <c r="C37">
        <v>3.3957900000000002E-5</v>
      </c>
      <c r="D37">
        <f t="shared" si="0"/>
        <v>0.2124116058063443</v>
      </c>
      <c r="E37">
        <f t="shared" si="1"/>
        <v>12.740789932802809</v>
      </c>
      <c r="G37" s="5">
        <v>1.8901600000000001E-6</v>
      </c>
      <c r="H37" s="5">
        <v>2.2466599999999999E-5</v>
      </c>
      <c r="I37" s="4">
        <f t="shared" si="2"/>
        <v>0.10473541308804789</v>
      </c>
      <c r="J37" s="4">
        <f t="shared" si="3"/>
        <v>8.0871252344253399</v>
      </c>
      <c r="L37" s="5">
        <v>2.1120599999999998E-6</v>
      </c>
      <c r="M37" s="5">
        <v>2.63191E-5</v>
      </c>
      <c r="N37" s="4">
        <f t="shared" si="4"/>
        <v>0.12439028699651929</v>
      </c>
      <c r="O37" s="4">
        <f t="shared" si="5"/>
        <v>11.206531689766026</v>
      </c>
      <c r="Q37" s="5">
        <v>1.56687E-6</v>
      </c>
      <c r="R37" s="5">
        <v>2.4592699999999999E-5</v>
      </c>
      <c r="S37" s="4">
        <f t="shared" si="6"/>
        <v>8.8558251521779666E-2</v>
      </c>
      <c r="T37" s="4">
        <f t="shared" si="7"/>
        <v>8.9938852683240817</v>
      </c>
      <c r="V37" s="5">
        <v>2.0777800000000001E-6</v>
      </c>
      <c r="W37" s="5">
        <v>2.2782800000000001E-5</v>
      </c>
      <c r="X37" s="4">
        <f t="shared" si="8"/>
        <v>0.13940809028267009</v>
      </c>
      <c r="Y37" s="4">
        <f t="shared" si="9"/>
        <v>9.9237299578794236</v>
      </c>
      <c r="AA37" s="4">
        <f t="shared" si="10"/>
        <v>2.2700999999999997E-6</v>
      </c>
      <c r="AB37" s="4">
        <f t="shared" si="11"/>
        <v>2.6023820000000001E-5</v>
      </c>
      <c r="AD37" s="4">
        <f t="shared" si="12"/>
        <v>0.13390072953907223</v>
      </c>
      <c r="AE37" s="4">
        <f t="shared" si="13"/>
        <v>10.190412416639536</v>
      </c>
      <c r="AG37">
        <f t="shared" si="14"/>
        <v>4.2874918608452876E-2</v>
      </c>
      <c r="AH37">
        <f t="shared" si="15"/>
        <v>1.640947139520526</v>
      </c>
    </row>
    <row r="38" spans="1:34" x14ac:dyDescent="0.2">
      <c r="A38">
        <v>230.453</v>
      </c>
      <c r="B38">
        <v>3.6481899999999998E-6</v>
      </c>
      <c r="C38">
        <v>3.3483799999999999E-5</v>
      </c>
      <c r="D38">
        <f t="shared" si="0"/>
        <v>0.2092319956871089</v>
      </c>
      <c r="E38">
        <f t="shared" si="1"/>
        <v>12.562910602598592</v>
      </c>
      <c r="G38" s="5">
        <v>1.9100200000000001E-6</v>
      </c>
      <c r="H38" s="5">
        <v>2.23508E-5</v>
      </c>
      <c r="I38" s="4">
        <f t="shared" si="2"/>
        <v>0.10583587299828226</v>
      </c>
      <c r="J38" s="4">
        <f t="shared" si="3"/>
        <v>8.0454416195416254</v>
      </c>
      <c r="L38" s="5">
        <v>2.1067600000000001E-6</v>
      </c>
      <c r="M38" s="5">
        <v>2.6261000000000001E-5</v>
      </c>
      <c r="N38" s="4">
        <f t="shared" si="4"/>
        <v>0.12407814220845381</v>
      </c>
      <c r="O38" s="4">
        <f t="shared" si="5"/>
        <v>11.181793021225864</v>
      </c>
      <c r="Q38" s="5">
        <v>1.56094E-6</v>
      </c>
      <c r="R38" s="5">
        <v>2.4542999999999999E-5</v>
      </c>
      <c r="S38" s="4">
        <f t="shared" si="6"/>
        <v>8.8223092618026244E-2</v>
      </c>
      <c r="T38" s="4">
        <f t="shared" si="7"/>
        <v>8.9757093015601352</v>
      </c>
      <c r="V38" s="5">
        <v>2.0855199999999999E-6</v>
      </c>
      <c r="W38" s="5">
        <v>2.28222E-5</v>
      </c>
      <c r="X38" s="4">
        <f t="shared" si="8"/>
        <v>0.13992740350100305</v>
      </c>
      <c r="Y38" s="4">
        <f t="shared" si="9"/>
        <v>9.9408918063063254</v>
      </c>
      <c r="AA38" s="4">
        <f t="shared" si="10"/>
        <v>2.262286E-6</v>
      </c>
      <c r="AB38" s="4">
        <f t="shared" si="11"/>
        <v>2.589216E-5</v>
      </c>
      <c r="AD38" s="4">
        <f t="shared" si="12"/>
        <v>0.13345930140257486</v>
      </c>
      <c r="AE38" s="4">
        <f t="shared" si="13"/>
        <v>10.14134927024651</v>
      </c>
      <c r="AG38">
        <f t="shared" si="14"/>
        <v>4.1667042308579878E-2</v>
      </c>
      <c r="AH38">
        <f t="shared" si="15"/>
        <v>1.5961335217973769</v>
      </c>
    </row>
    <row r="39" spans="1:34" x14ac:dyDescent="0.2">
      <c r="A39">
        <v>236.73099999999999</v>
      </c>
      <c r="B39">
        <v>3.6237000000000001E-6</v>
      </c>
      <c r="C39">
        <v>3.32832E-5</v>
      </c>
      <c r="D39">
        <f t="shared" si="0"/>
        <v>0.20782743847534715</v>
      </c>
      <c r="E39">
        <f t="shared" si="1"/>
        <v>12.487646747633466</v>
      </c>
      <c r="G39" s="5">
        <v>1.9116699999999999E-6</v>
      </c>
      <c r="H39" s="5">
        <v>2.23063E-5</v>
      </c>
      <c r="I39" s="4">
        <f t="shared" si="2"/>
        <v>0.10592730093644373</v>
      </c>
      <c r="J39" s="4">
        <f t="shared" si="3"/>
        <v>8.0294233046683505</v>
      </c>
      <c r="L39" s="5">
        <v>2.0847199999999998E-6</v>
      </c>
      <c r="M39" s="5">
        <v>2.6089400000000001E-5</v>
      </c>
      <c r="N39" s="4">
        <f t="shared" si="4"/>
        <v>0.12278009105204571</v>
      </c>
      <c r="O39" s="4">
        <f t="shared" si="5"/>
        <v>11.108726661131337</v>
      </c>
      <c r="Q39" s="5">
        <v>1.56021E-6</v>
      </c>
      <c r="R39" s="5">
        <v>2.4539E-5</v>
      </c>
      <c r="S39" s="4">
        <f t="shared" si="6"/>
        <v>8.8181833596147646E-2</v>
      </c>
      <c r="T39" s="4">
        <f t="shared" si="7"/>
        <v>8.9742464470922112</v>
      </c>
      <c r="V39" s="5">
        <v>2.08379E-6</v>
      </c>
      <c r="W39" s="5">
        <v>2.28595E-5</v>
      </c>
      <c r="X39" s="4">
        <f t="shared" si="8"/>
        <v>0.13981132961628523</v>
      </c>
      <c r="Y39" s="4">
        <f t="shared" si="9"/>
        <v>9.9571389369236734</v>
      </c>
      <c r="AA39" s="4">
        <f t="shared" si="10"/>
        <v>2.2528179999999999E-6</v>
      </c>
      <c r="AB39" s="4">
        <f t="shared" si="11"/>
        <v>2.5815479999999996E-5</v>
      </c>
      <c r="AD39" s="4">
        <f t="shared" si="12"/>
        <v>0.13290559873525387</v>
      </c>
      <c r="AE39" s="4">
        <f t="shared" si="13"/>
        <v>10.111436419489809</v>
      </c>
      <c r="AG39">
        <f t="shared" si="14"/>
        <v>4.1210534612458952E-2</v>
      </c>
      <c r="AH39">
        <f t="shared" si="15"/>
        <v>1.5679764479344913</v>
      </c>
    </row>
    <row r="40" spans="1:34" x14ac:dyDescent="0.2">
      <c r="A40">
        <v>242.83</v>
      </c>
      <c r="B40">
        <v>3.59479E-6</v>
      </c>
      <c r="C40">
        <v>3.3052300000000002E-5</v>
      </c>
      <c r="D40">
        <f t="shared" si="0"/>
        <v>0.20616938420862466</v>
      </c>
      <c r="E40">
        <f t="shared" si="1"/>
        <v>12.401014523747886</v>
      </c>
      <c r="G40" s="5">
        <v>1.9166699999999998E-6</v>
      </c>
      <c r="H40" s="5">
        <v>2.21779E-5</v>
      </c>
      <c r="I40" s="4">
        <f t="shared" si="2"/>
        <v>0.10620435529450876</v>
      </c>
      <c r="J40" s="4">
        <f t="shared" si="3"/>
        <v>7.9832041669216407</v>
      </c>
      <c r="L40" s="5">
        <v>2.0686E-6</v>
      </c>
      <c r="M40" s="5">
        <v>2.60237E-5</v>
      </c>
      <c r="N40" s="4">
        <f t="shared" si="4"/>
        <v>0.12183069973438244</v>
      </c>
      <c r="O40" s="4">
        <f t="shared" si="5"/>
        <v>11.080751953332909</v>
      </c>
      <c r="Q40" s="5">
        <v>1.5601300000000001E-6</v>
      </c>
      <c r="R40" s="5">
        <v>2.4515299999999999E-5</v>
      </c>
      <c r="S40" s="4">
        <f t="shared" si="6"/>
        <v>8.8177312059503424E-2</v>
      </c>
      <c r="T40" s="4">
        <f t="shared" si="7"/>
        <v>8.9655790343697674</v>
      </c>
      <c r="V40" s="5">
        <v>2.0819700000000002E-6</v>
      </c>
      <c r="W40" s="5">
        <v>2.2879900000000001E-5</v>
      </c>
      <c r="X40" s="4">
        <f t="shared" si="8"/>
        <v>0.13968921720577285</v>
      </c>
      <c r="Y40" s="4">
        <f t="shared" si="9"/>
        <v>9.9660247670736446</v>
      </c>
      <c r="AA40" s="4">
        <f t="shared" si="10"/>
        <v>2.2444320000000001E-6</v>
      </c>
      <c r="AB40" s="4">
        <f t="shared" si="11"/>
        <v>2.572982E-5</v>
      </c>
      <c r="AD40" s="4">
        <f t="shared" si="12"/>
        <v>0.13241419370055843</v>
      </c>
      <c r="AE40" s="4">
        <f t="shared" si="13"/>
        <v>10.07931488908917</v>
      </c>
      <c r="AG40">
        <f t="shared" si="14"/>
        <v>4.0616798901465939E-2</v>
      </c>
      <c r="AH40">
        <f t="shared" si="15"/>
        <v>1.551778834282445</v>
      </c>
    </row>
    <row r="41" spans="1:34" x14ac:dyDescent="0.2">
      <c r="A41">
        <v>249.16</v>
      </c>
      <c r="B41">
        <v>3.54261E-6</v>
      </c>
      <c r="C41">
        <v>3.2707399999999998E-5</v>
      </c>
      <c r="D41">
        <f t="shared" si="0"/>
        <v>0.20317674250549148</v>
      </c>
      <c r="E41">
        <f t="shared" si="1"/>
        <v>12.271610218775441</v>
      </c>
      <c r="G41" s="5">
        <v>1.9167499999999999E-6</v>
      </c>
      <c r="H41" s="5">
        <v>2.2133E-5</v>
      </c>
      <c r="I41" s="4">
        <f t="shared" si="2"/>
        <v>0.10620878816423782</v>
      </c>
      <c r="J41" s="4">
        <f t="shared" si="3"/>
        <v>7.9670418671955723</v>
      </c>
      <c r="L41" s="5">
        <v>2.0703899999999998E-6</v>
      </c>
      <c r="M41" s="5">
        <v>2.5939400000000001E-5</v>
      </c>
      <c r="N41" s="4">
        <f t="shared" si="4"/>
        <v>0.12193612221940832</v>
      </c>
      <c r="O41" s="4">
        <f t="shared" si="5"/>
        <v>11.044857465244514</v>
      </c>
      <c r="Q41" s="5">
        <v>1.5634600000000001E-6</v>
      </c>
      <c r="R41" s="5">
        <v>2.45114E-5</v>
      </c>
      <c r="S41" s="4">
        <f t="shared" si="6"/>
        <v>8.8365521022319427E-2</v>
      </c>
      <c r="T41" s="4">
        <f t="shared" si="7"/>
        <v>8.9641527512635424</v>
      </c>
      <c r="V41" s="5">
        <v>2.0850400000000002E-6</v>
      </c>
      <c r="W41" s="5">
        <v>2.29102E-5</v>
      </c>
      <c r="X41" s="4">
        <f t="shared" si="8"/>
        <v>0.13989519803009873</v>
      </c>
      <c r="Y41" s="4">
        <f t="shared" si="9"/>
        <v>9.9792228383258053</v>
      </c>
      <c r="AA41" s="4">
        <f t="shared" si="10"/>
        <v>2.2356500000000004E-6</v>
      </c>
      <c r="AB41" s="4">
        <f t="shared" si="11"/>
        <v>2.5640279999999998E-5</v>
      </c>
      <c r="AD41" s="4">
        <f t="shared" si="12"/>
        <v>0.13191647438831117</v>
      </c>
      <c r="AE41" s="4">
        <f t="shared" si="13"/>
        <v>10.045377028160974</v>
      </c>
      <c r="AG41">
        <f t="shared" si="14"/>
        <v>3.9493958886346069E-2</v>
      </c>
      <c r="AH41">
        <f t="shared" si="15"/>
        <v>1.5131407547347653</v>
      </c>
    </row>
    <row r="42" spans="1:34" x14ac:dyDescent="0.2">
      <c r="A42">
        <v>262.286</v>
      </c>
      <c r="B42">
        <v>9.8215999999999993E-4</v>
      </c>
      <c r="C42">
        <v>2.0976400000000001E-4</v>
      </c>
      <c r="D42">
        <f t="shared" si="0"/>
        <v>56.329110294159811</v>
      </c>
      <c r="E42">
        <f t="shared" si="1"/>
        <v>78.702129974599387</v>
      </c>
      <c r="G42" s="5">
        <v>1.14606E-3</v>
      </c>
      <c r="H42" s="5">
        <v>2.24007E-4</v>
      </c>
      <c r="I42" s="4">
        <f t="shared" si="2"/>
        <v>63.504183520806777</v>
      </c>
      <c r="J42" s="4">
        <f t="shared" si="3"/>
        <v>80.634037299276116</v>
      </c>
      <c r="L42" s="5">
        <v>1.03213E-3</v>
      </c>
      <c r="M42" s="5">
        <v>1.8117400000000001E-4</v>
      </c>
      <c r="N42" s="4">
        <f t="shared" si="4"/>
        <v>60.787547189813473</v>
      </c>
      <c r="O42" s="4">
        <f t="shared" si="5"/>
        <v>77.142917970662765</v>
      </c>
      <c r="Q42" s="5">
        <v>1.1043400000000001E-3</v>
      </c>
      <c r="R42" s="5">
        <v>2.3047899999999999E-4</v>
      </c>
      <c r="S42" s="4">
        <f t="shared" si="6"/>
        <v>62.416422221091835</v>
      </c>
      <c r="T42" s="4">
        <f t="shared" si="7"/>
        <v>84.289308728121185</v>
      </c>
      <c r="V42" s="5">
        <v>1.04235E-3</v>
      </c>
      <c r="W42" s="5">
        <v>2.05417E-4</v>
      </c>
      <c r="X42" s="4">
        <f t="shared" si="8"/>
        <v>69.936192910770728</v>
      </c>
      <c r="Y42" s="4">
        <f t="shared" si="9"/>
        <v>89.4755182311971</v>
      </c>
      <c r="AA42" s="4">
        <f t="shared" si="10"/>
        <v>1.061408E-3</v>
      </c>
      <c r="AB42" s="4">
        <f t="shared" si="11"/>
        <v>2.1016820000000001E-4</v>
      </c>
      <c r="AD42" s="4">
        <f t="shared" si="12"/>
        <v>62.594691227328532</v>
      </c>
      <c r="AE42" s="4">
        <f t="shared" si="13"/>
        <v>82.048782440771305</v>
      </c>
      <c r="AG42">
        <f t="shared" si="14"/>
        <v>4.4108928130454315</v>
      </c>
      <c r="AH42">
        <f t="shared" si="15"/>
        <v>4.4146450658889771</v>
      </c>
    </row>
    <row r="43" spans="1:34" x14ac:dyDescent="0.2">
      <c r="A43">
        <v>268.49799999999999</v>
      </c>
      <c r="B43">
        <v>1.0106099999999999E-3</v>
      </c>
      <c r="C43">
        <v>1.9914100000000001E-4</v>
      </c>
      <c r="D43">
        <f t="shared" si="0"/>
        <v>57.960782514438428</v>
      </c>
      <c r="E43">
        <f t="shared" si="1"/>
        <v>74.716447365952675</v>
      </c>
      <c r="G43" s="5">
        <v>1.2540800000000001E-3</v>
      </c>
      <c r="H43" s="5">
        <v>2.3431799999999999E-4</v>
      </c>
      <c r="I43" s="4">
        <f t="shared" si="2"/>
        <v>69.489665872444178</v>
      </c>
      <c r="J43" s="4">
        <f t="shared" si="3"/>
        <v>84.345606842160208</v>
      </c>
      <c r="L43" s="5">
        <v>1.08395E-3</v>
      </c>
      <c r="M43" s="5">
        <v>1.8069700000000001E-4</v>
      </c>
      <c r="N43" s="4">
        <f t="shared" si="4"/>
        <v>63.839498683691311</v>
      </c>
      <c r="O43" s="4">
        <f t="shared" si="5"/>
        <v>76.939813927742662</v>
      </c>
      <c r="Q43" s="5">
        <v>1.16848E-3</v>
      </c>
      <c r="R43" s="5">
        <v>2.3195999999999999E-4</v>
      </c>
      <c r="S43" s="4">
        <f t="shared" si="6"/>
        <v>66.041564225602073</v>
      </c>
      <c r="T43" s="4">
        <f t="shared" si="7"/>
        <v>84.83093059486977</v>
      </c>
      <c r="V43" s="5">
        <v>1.1002E-3</v>
      </c>
      <c r="W43" s="5">
        <v>2.0657299999999999E-4</v>
      </c>
      <c r="X43" s="4">
        <f t="shared" si="8"/>
        <v>73.817623102057794</v>
      </c>
      <c r="Y43" s="4">
        <f t="shared" si="9"/>
        <v>89.979048606362085</v>
      </c>
      <c r="AA43" s="4">
        <f t="shared" si="10"/>
        <v>1.1234639999999998E-3</v>
      </c>
      <c r="AB43" s="4">
        <f t="shared" si="11"/>
        <v>2.1053780000000001E-4</v>
      </c>
      <c r="AD43" s="4">
        <f t="shared" si="12"/>
        <v>66.229826879646765</v>
      </c>
      <c r="AE43" s="4">
        <f t="shared" si="13"/>
        <v>82.162369467417477</v>
      </c>
      <c r="AG43">
        <f t="shared" si="14"/>
        <v>5.3353052058316006</v>
      </c>
      <c r="AH43">
        <f t="shared" si="15"/>
        <v>5.580413228296</v>
      </c>
    </row>
    <row r="44" spans="1:34" x14ac:dyDescent="0.2">
      <c r="A44">
        <v>274.608</v>
      </c>
      <c r="B44">
        <v>1.0290399999999999E-3</v>
      </c>
      <c r="C44">
        <v>1.9707899999999999E-4</v>
      </c>
      <c r="D44">
        <f t="shared" si="0"/>
        <v>59.017784940439654</v>
      </c>
      <c r="E44">
        <f t="shared" si="1"/>
        <v>73.942797969451718</v>
      </c>
      <c r="G44" s="5">
        <v>1.33522E-3</v>
      </c>
      <c r="H44" s="5">
        <v>2.4142400000000001E-4</v>
      </c>
      <c r="I44" s="4">
        <f t="shared" si="2"/>
        <v>73.985703995123842</v>
      </c>
      <c r="J44" s="4">
        <f t="shared" si="3"/>
        <v>86.9034977520365</v>
      </c>
      <c r="L44" s="5">
        <v>1.12367E-3</v>
      </c>
      <c r="M44" s="5">
        <v>1.80385E-4</v>
      </c>
      <c r="N44" s="4">
        <f t="shared" si="4"/>
        <v>66.178817736891389</v>
      </c>
      <c r="O44" s="4">
        <f t="shared" si="5"/>
        <v>76.806966000298061</v>
      </c>
      <c r="Q44" s="5">
        <v>1.2167199999999999E-3</v>
      </c>
      <c r="R44" s="5">
        <v>2.33336E-4</v>
      </c>
      <c r="S44" s="4">
        <f t="shared" si="6"/>
        <v>68.768050822071871</v>
      </c>
      <c r="T44" s="4">
        <f t="shared" si="7"/>
        <v>85.334152531835386</v>
      </c>
      <c r="V44" s="5">
        <v>1.14186E-3</v>
      </c>
      <c r="W44" s="5">
        <v>2.09624E-4</v>
      </c>
      <c r="X44" s="4">
        <f t="shared" si="8"/>
        <v>76.612789597632897</v>
      </c>
      <c r="Y44" s="4">
        <f t="shared" si="9"/>
        <v>91.308002909673789</v>
      </c>
      <c r="AA44" s="4">
        <f t="shared" si="10"/>
        <v>1.1693020000000001E-3</v>
      </c>
      <c r="AB44" s="4">
        <f t="shared" si="11"/>
        <v>2.123696E-4</v>
      </c>
      <c r="AD44" s="4">
        <f t="shared" si="12"/>
        <v>68.912629418431933</v>
      </c>
      <c r="AE44" s="4">
        <f t="shared" si="13"/>
        <v>82.859083432659105</v>
      </c>
      <c r="AG44">
        <f t="shared" si="14"/>
        <v>6.1714038754620058</v>
      </c>
      <c r="AH44">
        <f t="shared" si="15"/>
        <v>6.4806753727995368</v>
      </c>
    </row>
    <row r="45" spans="1:34" x14ac:dyDescent="0.2">
      <c r="A45">
        <v>280.779</v>
      </c>
      <c r="B45">
        <v>1.0398899999999999E-3</v>
      </c>
      <c r="C45">
        <v>1.95262E-4</v>
      </c>
      <c r="D45">
        <f t="shared" si="0"/>
        <v>59.640057122865777</v>
      </c>
      <c r="E45">
        <f t="shared" si="1"/>
        <v>73.261071027918163</v>
      </c>
      <c r="G45" s="5">
        <v>1.4042799999999999E-3</v>
      </c>
      <c r="H45" s="5">
        <v>2.4515399999999998E-4</v>
      </c>
      <c r="I45" s="4">
        <f t="shared" si="2"/>
        <v>77.812378788718334</v>
      </c>
      <c r="J45" s="4">
        <f t="shared" si="3"/>
        <v>88.246156504335744</v>
      </c>
      <c r="L45" s="5">
        <v>1.1576900000000001E-3</v>
      </c>
      <c r="M45" s="5">
        <v>1.7992600000000001E-4</v>
      </c>
      <c r="N45" s="4">
        <f t="shared" si="4"/>
        <v>68.182433904813507</v>
      </c>
      <c r="O45" s="4">
        <f t="shared" si="5"/>
        <v>76.611526260884389</v>
      </c>
      <c r="Q45" s="5">
        <v>1.25724E-3</v>
      </c>
      <c r="R45" s="5">
        <v>2.3586200000000001E-4</v>
      </c>
      <c r="S45" s="4">
        <f t="shared" si="6"/>
        <v>71.058209132373634</v>
      </c>
      <c r="T45" s="4">
        <f t="shared" si="7"/>
        <v>86.257945128328913</v>
      </c>
      <c r="V45" s="5">
        <v>1.1812299999999999E-3</v>
      </c>
      <c r="W45" s="5">
        <v>2.1072899999999999E-4</v>
      </c>
      <c r="X45" s="4">
        <f t="shared" si="8"/>
        <v>79.254309159101737</v>
      </c>
      <c r="Y45" s="4">
        <f t="shared" si="9"/>
        <v>91.789318709463842</v>
      </c>
      <c r="AA45" s="4">
        <f t="shared" si="10"/>
        <v>1.208066E-3</v>
      </c>
      <c r="AB45" s="4">
        <f t="shared" si="11"/>
        <v>2.1338659999999999E-4</v>
      </c>
      <c r="AD45" s="4">
        <f t="shared" si="12"/>
        <v>71.189477621574596</v>
      </c>
      <c r="AE45" s="4">
        <f t="shared" si="13"/>
        <v>83.233203526186202</v>
      </c>
      <c r="AG45">
        <f t="shared" si="14"/>
        <v>7.0901760878727282</v>
      </c>
      <c r="AH45">
        <f t="shared" si="15"/>
        <v>7.0820322326181744</v>
      </c>
    </row>
    <row r="46" spans="1:34" x14ac:dyDescent="0.2">
      <c r="A46">
        <v>287.00099999999998</v>
      </c>
      <c r="B46">
        <v>1.0486E-3</v>
      </c>
      <c r="C46">
        <v>1.9416E-4</v>
      </c>
      <c r="D46">
        <f t="shared" si="0"/>
        <v>60.139595437053003</v>
      </c>
      <c r="E46">
        <f t="shared" si="1"/>
        <v>72.84760757741185</v>
      </c>
      <c r="G46" s="5">
        <v>1.4646800000000001E-3</v>
      </c>
      <c r="H46" s="5">
        <v>2.5119500000000001E-4</v>
      </c>
      <c r="I46" s="4">
        <f t="shared" si="2"/>
        <v>81.159195434144181</v>
      </c>
      <c r="J46" s="4">
        <f t="shared" si="3"/>
        <v>90.420687743649381</v>
      </c>
      <c r="L46" s="5">
        <v>1.19118E-3</v>
      </c>
      <c r="M46" s="5">
        <v>1.8207E-4</v>
      </c>
      <c r="N46" s="4">
        <f t="shared" si="4"/>
        <v>70.154835593929079</v>
      </c>
      <c r="O46" s="4">
        <f t="shared" si="5"/>
        <v>77.524429967426713</v>
      </c>
      <c r="Q46" s="5">
        <v>1.2950500000000001E-3</v>
      </c>
      <c r="R46" s="5">
        <v>2.3777800000000001E-4</v>
      </c>
      <c r="S46" s="4">
        <f t="shared" si="6"/>
        <v>73.195200388852157</v>
      </c>
      <c r="T46" s="4">
        <f t="shared" si="7"/>
        <v>86.958652418464155</v>
      </c>
      <c r="V46" s="5">
        <v>1.2134400000000001E-3</v>
      </c>
      <c r="W46" s="5">
        <v>2.1384600000000001E-4</v>
      </c>
      <c r="X46" s="4">
        <f t="shared" si="8"/>
        <v>81.415430446247058</v>
      </c>
      <c r="Y46" s="4">
        <f t="shared" si="9"/>
        <v>93.147021286790178</v>
      </c>
      <c r="AA46" s="4">
        <f t="shared" si="10"/>
        <v>1.24259E-3</v>
      </c>
      <c r="AB46" s="4">
        <f t="shared" si="11"/>
        <v>2.1580980000000002E-4</v>
      </c>
      <c r="AD46" s="4">
        <f t="shared" si="12"/>
        <v>73.212851460045101</v>
      </c>
      <c r="AE46" s="4">
        <f t="shared" si="13"/>
        <v>84.179679798748452</v>
      </c>
      <c r="AG46">
        <f t="shared" si="14"/>
        <v>7.8827467321994744</v>
      </c>
      <c r="AH46">
        <f t="shared" si="15"/>
        <v>7.7433105775178257</v>
      </c>
    </row>
    <row r="47" spans="1:34" x14ac:dyDescent="0.2">
      <c r="A47">
        <v>293.27300000000002</v>
      </c>
      <c r="B47">
        <v>1.0554E-3</v>
      </c>
      <c r="C47">
        <v>1.92924E-4</v>
      </c>
      <c r="D47">
        <f t="shared" si="0"/>
        <v>60.529590906223298</v>
      </c>
      <c r="E47">
        <f t="shared" si="1"/>
        <v>72.38386817194376</v>
      </c>
      <c r="G47" s="5">
        <v>1.52629E-3</v>
      </c>
      <c r="H47" s="5">
        <v>2.5685999999999998E-4</v>
      </c>
      <c r="I47" s="4">
        <f t="shared" si="2"/>
        <v>84.573059234221759</v>
      </c>
      <c r="J47" s="4">
        <f t="shared" si="3"/>
        <v>92.459873221337119</v>
      </c>
      <c r="L47" s="5">
        <v>1.22576E-3</v>
      </c>
      <c r="M47" s="5">
        <v>1.8690100000000001E-4</v>
      </c>
      <c r="N47" s="4">
        <f t="shared" si="4"/>
        <v>72.191433097948675</v>
      </c>
      <c r="O47" s="4">
        <f t="shared" si="5"/>
        <v>79.581443869621694</v>
      </c>
      <c r="Q47" s="5">
        <v>1.33175E-3</v>
      </c>
      <c r="R47" s="5">
        <v>2.3831500000000001E-4</v>
      </c>
      <c r="S47" s="4">
        <f t="shared" si="6"/>
        <v>75.269455324391998</v>
      </c>
      <c r="T47" s="4">
        <f t="shared" si="7"/>
        <v>87.15504063078285</v>
      </c>
      <c r="V47" s="5">
        <v>1.2512300000000001E-3</v>
      </c>
      <c r="W47" s="5">
        <v>2.17968E-4</v>
      </c>
      <c r="X47" s="4">
        <f t="shared" si="8"/>
        <v>83.950940332655676</v>
      </c>
      <c r="Y47" s="4">
        <f t="shared" si="9"/>
        <v>94.942481672975319</v>
      </c>
      <c r="AA47" s="4">
        <f t="shared" si="10"/>
        <v>1.2780859999999999E-3</v>
      </c>
      <c r="AB47" s="4">
        <f t="shared" si="11"/>
        <v>2.1859359999999999E-4</v>
      </c>
      <c r="AD47" s="4">
        <f t="shared" si="12"/>
        <v>75.302895779088288</v>
      </c>
      <c r="AE47" s="4">
        <f t="shared" si="13"/>
        <v>85.304541513332154</v>
      </c>
      <c r="AG47">
        <f t="shared" si="14"/>
        <v>8.8165464920468697</v>
      </c>
      <c r="AH47">
        <f t="shared" si="15"/>
        <v>8.3331945325959893</v>
      </c>
    </row>
    <row r="48" spans="1:34" x14ac:dyDescent="0.2">
      <c r="A48">
        <v>299.46699999999998</v>
      </c>
      <c r="B48">
        <v>1.06044E-3</v>
      </c>
      <c r="C48">
        <v>1.9180099999999999E-4</v>
      </c>
      <c r="D48">
        <f t="shared" si="0"/>
        <v>60.818646371608324</v>
      </c>
      <c r="E48">
        <f t="shared" si="1"/>
        <v>71.962525653868809</v>
      </c>
      <c r="G48" s="5">
        <v>1.57639E-3</v>
      </c>
      <c r="H48" s="5">
        <v>2.6457999999999999E-4</v>
      </c>
      <c r="I48" s="4">
        <f t="shared" si="2"/>
        <v>87.349143902033575</v>
      </c>
      <c r="J48" s="4">
        <f t="shared" si="3"/>
        <v>95.238780880251412</v>
      </c>
      <c r="L48" s="5">
        <v>1.2626600000000001E-3</v>
      </c>
      <c r="M48" s="5">
        <v>1.9054200000000001E-4</v>
      </c>
      <c r="N48" s="4">
        <f t="shared" si="4"/>
        <v>74.364667565800715</v>
      </c>
      <c r="O48" s="4">
        <f t="shared" si="5"/>
        <v>81.131762151114529</v>
      </c>
      <c r="Q48" s="5">
        <v>1.3655E-3</v>
      </c>
      <c r="R48" s="5">
        <v>2.41995E-4</v>
      </c>
      <c r="S48" s="4">
        <f t="shared" si="6"/>
        <v>77.1769785961759</v>
      </c>
      <c r="T48" s="4">
        <f t="shared" si="7"/>
        <v>88.500866741272262</v>
      </c>
      <c r="V48" s="5">
        <v>1.2894200000000001E-3</v>
      </c>
      <c r="W48" s="5">
        <v>2.2176499999999999E-4</v>
      </c>
      <c r="X48" s="4">
        <f t="shared" si="8"/>
        <v>86.513288111484613</v>
      </c>
      <c r="Y48" s="4">
        <f t="shared" si="9"/>
        <v>96.596378588633982</v>
      </c>
      <c r="AA48" s="4">
        <f t="shared" si="10"/>
        <v>1.310882E-3</v>
      </c>
      <c r="AB48" s="4">
        <f t="shared" si="11"/>
        <v>2.2213660000000002E-4</v>
      </c>
      <c r="AD48" s="4">
        <f t="shared" si="12"/>
        <v>77.244544909420625</v>
      </c>
      <c r="AE48" s="4">
        <f t="shared" si="13"/>
        <v>86.686062803028193</v>
      </c>
      <c r="AG48">
        <f t="shared" si="14"/>
        <v>9.6552671930176412</v>
      </c>
      <c r="AH48">
        <f t="shared" si="15"/>
        <v>9.1900996809357309</v>
      </c>
    </row>
    <row r="49" spans="1:34" x14ac:dyDescent="0.2">
      <c r="A49">
        <v>305.70800000000003</v>
      </c>
      <c r="B49">
        <v>1.0665099999999999E-3</v>
      </c>
      <c r="C49">
        <v>1.91125E-4</v>
      </c>
      <c r="D49">
        <f t="shared" si="0"/>
        <v>61.166774680117676</v>
      </c>
      <c r="E49">
        <f t="shared" si="1"/>
        <v>71.708894716897603</v>
      </c>
      <c r="G49" s="5">
        <v>1.6328600000000001E-3</v>
      </c>
      <c r="H49" s="5">
        <v>2.7272800000000002E-4</v>
      </c>
      <c r="I49" s="4">
        <f t="shared" si="2"/>
        <v>90.478195822020282</v>
      </c>
      <c r="J49" s="4">
        <f t="shared" si="3"/>
        <v>98.17175233165473</v>
      </c>
      <c r="L49" s="5">
        <v>1.2953800000000001E-3</v>
      </c>
      <c r="M49" s="5">
        <v>1.929E-4</v>
      </c>
      <c r="N49" s="4">
        <f t="shared" si="4"/>
        <v>76.291719917782245</v>
      </c>
      <c r="O49" s="4">
        <f t="shared" si="5"/>
        <v>82.135785910455397</v>
      </c>
      <c r="Q49" s="5">
        <v>1.4060100000000001E-3</v>
      </c>
      <c r="R49" s="5">
        <v>2.4474099999999998E-4</v>
      </c>
      <c r="S49" s="4">
        <f t="shared" si="6"/>
        <v>79.466571714397134</v>
      </c>
      <c r="T49" s="4">
        <f t="shared" si="7"/>
        <v>89.505116333501562</v>
      </c>
      <c r="V49" s="5">
        <v>1.32587E-3</v>
      </c>
      <c r="W49" s="5">
        <v>2.2716699999999999E-4</v>
      </c>
      <c r="X49" s="4">
        <f t="shared" si="8"/>
        <v>88.95889105828519</v>
      </c>
      <c r="Y49" s="4">
        <f t="shared" si="9"/>
        <v>98.949381258738825</v>
      </c>
      <c r="AA49" s="4">
        <f t="shared" si="10"/>
        <v>1.345326E-3</v>
      </c>
      <c r="AB49" s="4">
        <f t="shared" si="11"/>
        <v>2.2573219999999999E-4</v>
      </c>
      <c r="AD49" s="4">
        <f t="shared" si="12"/>
        <v>79.272430638520504</v>
      </c>
      <c r="AE49" s="4">
        <f t="shared" si="13"/>
        <v>88.094186110249623</v>
      </c>
      <c r="AG49">
        <f t="shared" si="14"/>
        <v>10.546409755490432</v>
      </c>
      <c r="AH49">
        <f t="shared" si="15"/>
        <v>10.250498853611388</v>
      </c>
    </row>
    <row r="50" spans="1:34" x14ac:dyDescent="0.2">
      <c r="A50">
        <v>311.89499999999998</v>
      </c>
      <c r="B50">
        <v>1.0706400000000001E-3</v>
      </c>
      <c r="C50">
        <v>1.9032399999999999E-4</v>
      </c>
      <c r="D50">
        <f t="shared" si="0"/>
        <v>61.403639575363755</v>
      </c>
      <c r="E50">
        <f t="shared" si="1"/>
        <v>71.408364568208341</v>
      </c>
      <c r="G50" s="5">
        <v>1.6869000000000001E-3</v>
      </c>
      <c r="H50" s="5">
        <v>2.82694E-4</v>
      </c>
      <c r="I50" s="4">
        <f t="shared" si="2"/>
        <v>93.472599323987367</v>
      </c>
      <c r="J50" s="4">
        <f t="shared" si="3"/>
        <v>101.75913493900441</v>
      </c>
      <c r="L50" s="5">
        <v>1.3268100000000001E-3</v>
      </c>
      <c r="M50" s="5">
        <v>1.94947E-4</v>
      </c>
      <c r="N50" s="4">
        <f t="shared" si="4"/>
        <v>78.142797406253493</v>
      </c>
      <c r="O50" s="4">
        <f t="shared" si="5"/>
        <v>83.007387536990919</v>
      </c>
      <c r="Q50" s="5">
        <v>1.4425799999999999E-3</v>
      </c>
      <c r="R50" s="5">
        <v>2.4769000000000001E-4</v>
      </c>
      <c r="S50" s="4">
        <f t="shared" si="6"/>
        <v>81.533479152890095</v>
      </c>
      <c r="T50" s="4">
        <f t="shared" si="7"/>
        <v>90.583605789977995</v>
      </c>
      <c r="V50" s="5">
        <v>1.3613500000000001E-3</v>
      </c>
      <c r="W50" s="5">
        <v>2.3260199999999999E-4</v>
      </c>
      <c r="X50" s="4">
        <f t="shared" si="8"/>
        <v>91.339412115966539</v>
      </c>
      <c r="Y50" s="4">
        <f t="shared" si="9"/>
        <v>101.31675806585096</v>
      </c>
      <c r="AA50" s="4">
        <f t="shared" si="10"/>
        <v>1.3776560000000001E-3</v>
      </c>
      <c r="AB50" s="4">
        <f t="shared" si="11"/>
        <v>2.2965139999999999E-4</v>
      </c>
      <c r="AD50" s="4">
        <f t="shared" si="12"/>
        <v>81.178385514892241</v>
      </c>
      <c r="AE50" s="4">
        <f t="shared" si="13"/>
        <v>89.615050180006534</v>
      </c>
      <c r="AG50">
        <f t="shared" si="14"/>
        <v>11.44356254320693</v>
      </c>
      <c r="AH50">
        <f t="shared" si="15"/>
        <v>11.493402182293369</v>
      </c>
    </row>
    <row r="51" spans="1:34" x14ac:dyDescent="0.2">
      <c r="A51">
        <v>318.09899999999999</v>
      </c>
      <c r="B51">
        <v>1.07446E-3</v>
      </c>
      <c r="C51">
        <v>1.9163599999999999E-4</v>
      </c>
      <c r="D51">
        <f t="shared" si="0"/>
        <v>61.622725265397648</v>
      </c>
      <c r="E51">
        <f t="shared" si="1"/>
        <v>71.90061869440099</v>
      </c>
      <c r="G51" s="5">
        <v>1.74653E-3</v>
      </c>
      <c r="H51" s="5">
        <v>2.8623199999999998E-4</v>
      </c>
      <c r="I51" s="4">
        <f t="shared" si="2"/>
        <v>96.776749598271181</v>
      </c>
      <c r="J51" s="4">
        <f t="shared" si="3"/>
        <v>103.03268096196281</v>
      </c>
      <c r="L51" s="5">
        <v>1.36012E-3</v>
      </c>
      <c r="M51" s="5">
        <v>2.0171499999999999E-4</v>
      </c>
      <c r="N51" s="4">
        <f t="shared" si="4"/>
        <v>80.104597951623447</v>
      </c>
      <c r="O51" s="4">
        <f t="shared" si="5"/>
        <v>85.889165655404398</v>
      </c>
      <c r="Q51" s="5">
        <v>1.4769200000000001E-3</v>
      </c>
      <c r="R51" s="5">
        <v>2.4997799999999998E-4</v>
      </c>
      <c r="S51" s="4">
        <f t="shared" si="6"/>
        <v>83.474348757425204</v>
      </c>
      <c r="T51" s="4">
        <f t="shared" si="7"/>
        <v>91.42035854563008</v>
      </c>
      <c r="V51" s="5">
        <v>1.3965099999999999E-3</v>
      </c>
      <c r="W51" s="5">
        <v>2.3949600000000001E-4</v>
      </c>
      <c r="X51" s="4">
        <f t="shared" si="8"/>
        <v>93.698462859711611</v>
      </c>
      <c r="Y51" s="4">
        <f t="shared" si="9"/>
        <v>104.31964596064971</v>
      </c>
      <c r="AA51" s="4">
        <f t="shared" si="10"/>
        <v>1.410908E-3</v>
      </c>
      <c r="AB51" s="4">
        <f t="shared" si="11"/>
        <v>2.338114E-4</v>
      </c>
      <c r="AD51" s="4">
        <f t="shared" si="12"/>
        <v>83.13537688648583</v>
      </c>
      <c r="AE51" s="4">
        <f t="shared" si="13"/>
        <v>91.312493963609612</v>
      </c>
      <c r="AG51">
        <f t="shared" si="14"/>
        <v>12.407743851250334</v>
      </c>
      <c r="AH51">
        <f t="shared" si="15"/>
        <v>11.939797423109077</v>
      </c>
    </row>
    <row r="52" spans="1:34" x14ac:dyDescent="0.2">
      <c r="A52">
        <v>324.33999999999997</v>
      </c>
      <c r="B52">
        <v>1.07756E-3</v>
      </c>
      <c r="C52">
        <v>1.9015699999999999E-4</v>
      </c>
      <c r="D52">
        <f t="shared" si="0"/>
        <v>61.8005173175194</v>
      </c>
      <c r="E52">
        <f t="shared" si="1"/>
        <v>71.34570722135301</v>
      </c>
      <c r="G52" s="5">
        <v>1.7966900000000001E-3</v>
      </c>
      <c r="H52" s="5">
        <v>2.8987400000000002E-4</v>
      </c>
      <c r="I52" s="4">
        <f t="shared" si="2"/>
        <v>99.556158918379793</v>
      </c>
      <c r="J52" s="4">
        <f t="shared" si="3"/>
        <v>104.34366304664751</v>
      </c>
      <c r="L52" s="5">
        <v>1.3961399999999999E-3</v>
      </c>
      <c r="M52" s="5">
        <v>2.0376300000000001E-4</v>
      </c>
      <c r="N52" s="4">
        <f t="shared" si="4"/>
        <v>82.226004605607997</v>
      </c>
      <c r="O52" s="4">
        <f t="shared" si="5"/>
        <v>86.761193076579161</v>
      </c>
      <c r="Q52" s="5">
        <v>1.5137499999999999E-3</v>
      </c>
      <c r="R52" s="5">
        <v>2.57295E-4</v>
      </c>
      <c r="S52" s="4">
        <f t="shared" si="6"/>
        <v>85.555951190011911</v>
      </c>
      <c r="T52" s="4">
        <f t="shared" si="7"/>
        <v>94.096285081078719</v>
      </c>
      <c r="V52" s="5">
        <v>1.4372E-3</v>
      </c>
      <c r="W52" s="5">
        <v>2.4045199999999999E-4</v>
      </c>
      <c r="X52" s="4">
        <f t="shared" si="8"/>
        <v>96.428547466167487</v>
      </c>
      <c r="Y52" s="4">
        <f t="shared" si="9"/>
        <v>104.73606035395224</v>
      </c>
      <c r="AA52" s="4">
        <f t="shared" si="10"/>
        <v>1.4442679999999999E-3</v>
      </c>
      <c r="AB52" s="4">
        <f t="shared" si="11"/>
        <v>2.3630819999999997E-4</v>
      </c>
      <c r="AD52" s="4">
        <f t="shared" si="12"/>
        <v>85.113435899537308</v>
      </c>
      <c r="AE52" s="4">
        <f t="shared" si="13"/>
        <v>92.256581755922113</v>
      </c>
      <c r="AG52">
        <f t="shared" si="14"/>
        <v>13.331535920782365</v>
      </c>
      <c r="AH52">
        <f t="shared" si="15"/>
        <v>12.431278285594264</v>
      </c>
    </row>
    <row r="53" spans="1:34" x14ac:dyDescent="0.2">
      <c r="A53">
        <v>330.45299999999997</v>
      </c>
      <c r="B53">
        <v>1.08099E-3</v>
      </c>
      <c r="C53">
        <v>1.8944200000000001E-4</v>
      </c>
      <c r="D53">
        <f t="shared" si="0"/>
        <v>61.997235620350878</v>
      </c>
      <c r="E53">
        <f t="shared" si="1"/>
        <v>71.077443730325783</v>
      </c>
      <c r="G53" s="5">
        <v>1.8458400000000001E-3</v>
      </c>
      <c r="H53" s="5">
        <v>2.9192500000000001E-4</v>
      </c>
      <c r="I53" s="4">
        <f t="shared" si="2"/>
        <v>102.27960325815926</v>
      </c>
      <c r="J53" s="4">
        <f t="shared" si="3"/>
        <v>105.0819453793461</v>
      </c>
      <c r="L53" s="5">
        <v>1.4320299999999999E-3</v>
      </c>
      <c r="M53" s="5">
        <v>2.05069E-4</v>
      </c>
      <c r="N53" s="4">
        <f t="shared" si="4"/>
        <v>84.339754877998502</v>
      </c>
      <c r="O53" s="4">
        <f t="shared" si="5"/>
        <v>87.317280875433781</v>
      </c>
      <c r="Q53" s="5">
        <v>1.5591699999999999E-3</v>
      </c>
      <c r="R53" s="5">
        <v>2.6271200000000001E-4</v>
      </c>
      <c r="S53" s="4">
        <f t="shared" si="6"/>
        <v>88.123053619772676</v>
      </c>
      <c r="T53" s="4">
        <f t="shared" si="7"/>
        <v>96.077355744263798</v>
      </c>
      <c r="V53" s="5">
        <v>1.4756599999999999E-3</v>
      </c>
      <c r="W53" s="5">
        <v>2.4355000000000001E-4</v>
      </c>
      <c r="X53" s="4">
        <f t="shared" si="8"/>
        <v>99.00901082238012</v>
      </c>
      <c r="Y53" s="4">
        <f t="shared" si="9"/>
        <v>106.08548691300163</v>
      </c>
      <c r="AA53" s="4">
        <f t="shared" si="10"/>
        <v>1.4787379999999998E-3</v>
      </c>
      <c r="AB53" s="4">
        <f t="shared" si="11"/>
        <v>2.385396E-4</v>
      </c>
      <c r="AD53" s="4">
        <f t="shared" si="12"/>
        <v>87.149731639732281</v>
      </c>
      <c r="AE53" s="4">
        <f t="shared" si="13"/>
        <v>93.127902528474209</v>
      </c>
      <c r="AG53">
        <f t="shared" si="14"/>
        <v>14.220034451472898</v>
      </c>
      <c r="AH53">
        <f t="shared" si="15"/>
        <v>12.957495630239643</v>
      </c>
    </row>
    <row r="54" spans="1:34" x14ac:dyDescent="0.2">
      <c r="A54">
        <v>336.67899999999997</v>
      </c>
      <c r="B54">
        <v>1.08412E-3</v>
      </c>
      <c r="C54">
        <v>1.9060600000000001E-4</v>
      </c>
      <c r="D54">
        <f t="shared" si="0"/>
        <v>62.176748240718972</v>
      </c>
      <c r="E54">
        <f t="shared" si="1"/>
        <v>71.514169189844267</v>
      </c>
      <c r="G54" s="5">
        <v>1.8958200000000001E-3</v>
      </c>
      <c r="H54" s="5">
        <v>3.0304300000000002E-4</v>
      </c>
      <c r="I54" s="4">
        <f t="shared" si="2"/>
        <v>105.04903862137751</v>
      </c>
      <c r="J54" s="4">
        <f t="shared" si="3"/>
        <v>109.08400436274106</v>
      </c>
      <c r="L54" s="5">
        <v>1.4652999999999999E-3</v>
      </c>
      <c r="M54" s="5">
        <v>2.1078500000000001E-4</v>
      </c>
      <c r="N54" s="4">
        <f t="shared" si="4"/>
        <v>86.29919961364719</v>
      </c>
      <c r="O54" s="4">
        <f t="shared" si="5"/>
        <v>89.751123033361011</v>
      </c>
      <c r="Q54" s="5">
        <v>1.60013E-3</v>
      </c>
      <c r="R54" s="5">
        <v>2.6509400000000001E-4</v>
      </c>
      <c r="S54" s="4">
        <f t="shared" si="6"/>
        <v>90.438080381617695</v>
      </c>
      <c r="T54" s="4">
        <f t="shared" si="7"/>
        <v>96.948485579912088</v>
      </c>
      <c r="V54" s="5">
        <v>1.51264E-3</v>
      </c>
      <c r="W54" s="5">
        <v>2.51652E-4</v>
      </c>
      <c r="X54" s="4">
        <f t="shared" si="8"/>
        <v>101.49017397663762</v>
      </c>
      <c r="Y54" s="4">
        <f t="shared" si="9"/>
        <v>109.61455533824957</v>
      </c>
      <c r="AA54" s="4">
        <f t="shared" si="10"/>
        <v>1.5116020000000001E-3</v>
      </c>
      <c r="AB54" s="4">
        <f t="shared" si="11"/>
        <v>2.44236E-4</v>
      </c>
      <c r="AD54" s="4">
        <f t="shared" si="12"/>
        <v>89.090648166799795</v>
      </c>
      <c r="AE54" s="4">
        <f t="shared" si="13"/>
        <v>95.382467500821605</v>
      </c>
      <c r="AG54">
        <f t="shared" si="14"/>
        <v>15.115450598901237</v>
      </c>
      <c r="AH54">
        <f t="shared" si="15"/>
        <v>14.100670579712434</v>
      </c>
    </row>
    <row r="55" spans="1:34" x14ac:dyDescent="0.2">
      <c r="A55">
        <v>342.94200000000001</v>
      </c>
      <c r="B55">
        <v>1.0867800000000001E-3</v>
      </c>
      <c r="C55">
        <v>1.90266E-4</v>
      </c>
      <c r="D55">
        <f t="shared" si="0"/>
        <v>62.329305291894407</v>
      </c>
      <c r="E55">
        <f t="shared" si="1"/>
        <v>71.386603333971166</v>
      </c>
      <c r="G55" s="5">
        <v>1.9508800000000001E-3</v>
      </c>
      <c r="H55" s="5">
        <v>3.07056E-4</v>
      </c>
      <c r="I55" s="4">
        <f t="shared" si="2"/>
        <v>108.09996121238987</v>
      </c>
      <c r="J55" s="4">
        <f t="shared" si="3"/>
        <v>110.52853239839169</v>
      </c>
      <c r="L55" s="5">
        <v>1.5037099999999999E-3</v>
      </c>
      <c r="M55" s="5">
        <v>2.16453E-4</v>
      </c>
      <c r="N55" s="4">
        <f t="shared" si="4"/>
        <v>88.561365898476367</v>
      </c>
      <c r="O55" s="4">
        <f t="shared" si="5"/>
        <v>92.164527048604455</v>
      </c>
      <c r="Q55" s="5">
        <v>1.63649E-3</v>
      </c>
      <c r="R55" s="5">
        <v>2.6895899999999998E-4</v>
      </c>
      <c r="S55" s="4">
        <f t="shared" si="6"/>
        <v>92.493118786419558</v>
      </c>
      <c r="T55" s="4">
        <f t="shared" si="7"/>
        <v>98.361968709542936</v>
      </c>
      <c r="V55" s="5">
        <v>1.55758E-3</v>
      </c>
      <c r="W55" s="5">
        <v>2.5463500000000002E-4</v>
      </c>
      <c r="X55" s="4">
        <f t="shared" si="8"/>
        <v>104.50541119005925</v>
      </c>
      <c r="Y55" s="4">
        <f t="shared" si="9"/>
        <v>110.91389020772806</v>
      </c>
      <c r="AA55" s="4">
        <f t="shared" si="10"/>
        <v>1.5470880000000001E-3</v>
      </c>
      <c r="AB55" s="4">
        <f t="shared" si="11"/>
        <v>2.4747380000000001E-4</v>
      </c>
      <c r="AD55" s="4">
        <f t="shared" si="12"/>
        <v>91.197832475847889</v>
      </c>
      <c r="AE55" s="4">
        <f t="shared" si="13"/>
        <v>96.671104339647655</v>
      </c>
      <c r="AG55">
        <f t="shared" si="14"/>
        <v>16.154220448366921</v>
      </c>
      <c r="AH55">
        <f t="shared" si="15"/>
        <v>14.542073538466575</v>
      </c>
    </row>
    <row r="56" spans="1:34" x14ac:dyDescent="0.2">
      <c r="A56">
        <v>349.24099999999999</v>
      </c>
      <c r="B56">
        <v>1.0881300000000001E-3</v>
      </c>
      <c r="C56">
        <v>1.9122900000000001E-4</v>
      </c>
      <c r="D56">
        <f t="shared" si="0"/>
        <v>62.406730862979686</v>
      </c>
      <c r="E56">
        <f t="shared" si="1"/>
        <v>71.747914861047022</v>
      </c>
      <c r="G56" s="5">
        <v>1.99628E-3</v>
      </c>
      <c r="H56" s="5">
        <v>3.1581799999999999E-4</v>
      </c>
      <c r="I56" s="4">
        <f t="shared" si="2"/>
        <v>110.61561478362054</v>
      </c>
      <c r="J56" s="4">
        <f t="shared" si="3"/>
        <v>113.68252059883301</v>
      </c>
      <c r="L56" s="5">
        <v>1.54068E-3</v>
      </c>
      <c r="M56" s="5">
        <v>2.1956499999999999E-4</v>
      </c>
      <c r="N56" s="4">
        <f t="shared" si="4"/>
        <v>90.738723033340591</v>
      </c>
      <c r="O56" s="4">
        <f t="shared" si="5"/>
        <v>93.489599965936435</v>
      </c>
      <c r="Q56" s="5">
        <v>1.67493E-3</v>
      </c>
      <c r="R56" s="5">
        <v>2.7187400000000002E-4</v>
      </c>
      <c r="S56" s="4">
        <f t="shared" si="6"/>
        <v>94.665717143971378</v>
      </c>
      <c r="T56" s="4">
        <f t="shared" si="7"/>
        <v>99.428023903042018</v>
      </c>
      <c r="V56" s="5">
        <v>1.59815E-3</v>
      </c>
      <c r="W56" s="5">
        <v>2.6247999999999999E-4</v>
      </c>
      <c r="X56" s="4">
        <f t="shared" si="8"/>
        <v>107.227444428789</v>
      </c>
      <c r="Y56" s="4">
        <f t="shared" si="9"/>
        <v>114.33101459628277</v>
      </c>
      <c r="AA56" s="4">
        <f t="shared" si="10"/>
        <v>1.5796339999999999E-3</v>
      </c>
      <c r="AB56" s="4">
        <f t="shared" si="11"/>
        <v>2.5219320000000002E-4</v>
      </c>
      <c r="AD56" s="4">
        <f t="shared" si="12"/>
        <v>93.130846050540242</v>
      </c>
      <c r="AE56" s="4">
        <f t="shared" si="13"/>
        <v>98.535814785028236</v>
      </c>
      <c r="AG56">
        <f t="shared" si="14"/>
        <v>17.067399095048451</v>
      </c>
      <c r="AH56">
        <f t="shared" si="15"/>
        <v>15.638177243754043</v>
      </c>
    </row>
    <row r="57" spans="1:34" x14ac:dyDescent="0.2">
      <c r="A57">
        <v>355.43299999999999</v>
      </c>
      <c r="B57">
        <v>1.0914500000000001E-3</v>
      </c>
      <c r="C57">
        <v>1.9101599999999999E-4</v>
      </c>
      <c r="D57">
        <f t="shared" si="0"/>
        <v>62.597140415574593</v>
      </c>
      <c r="E57">
        <f t="shared" si="1"/>
        <v>71.667998604279461</v>
      </c>
      <c r="G57" s="5">
        <v>2.0453099999999998E-3</v>
      </c>
      <c r="H57" s="5">
        <v>3.20508E-4</v>
      </c>
      <c r="I57" s="4">
        <f t="shared" si="2"/>
        <v>113.33240981880644</v>
      </c>
      <c r="J57" s="4">
        <f t="shared" si="3"/>
        <v>115.37074299783663</v>
      </c>
      <c r="L57" s="5">
        <v>1.57566E-3</v>
      </c>
      <c r="M57" s="5">
        <v>2.2567900000000001E-4</v>
      </c>
      <c r="N57" s="4">
        <f t="shared" si="4"/>
        <v>92.798878634572674</v>
      </c>
      <c r="O57" s="4">
        <f t="shared" si="5"/>
        <v>96.09290839028337</v>
      </c>
      <c r="Q57" s="5">
        <v>1.7146399999999999E-3</v>
      </c>
      <c r="R57" s="5">
        <v>2.7553899999999999E-4</v>
      </c>
      <c r="S57" s="4">
        <f t="shared" si="6"/>
        <v>96.910094895750305</v>
      </c>
      <c r="T57" s="4">
        <f t="shared" si="7"/>
        <v>100.76836430927669</v>
      </c>
      <c r="V57" s="5">
        <v>1.6377799999999999E-3</v>
      </c>
      <c r="W57" s="5">
        <v>2.6478500000000002E-4</v>
      </c>
      <c r="X57" s="4">
        <f t="shared" si="8"/>
        <v>109.88640862033104</v>
      </c>
      <c r="Y57" s="4">
        <f t="shared" si="9"/>
        <v>115.33502628724754</v>
      </c>
      <c r="AA57" s="4">
        <f t="shared" si="10"/>
        <v>1.612968E-3</v>
      </c>
      <c r="AB57" s="4">
        <f t="shared" si="11"/>
        <v>2.5550540000000003E-4</v>
      </c>
      <c r="AD57" s="4">
        <f t="shared" si="12"/>
        <v>95.104986477007017</v>
      </c>
      <c r="AE57" s="4">
        <f t="shared" si="13"/>
        <v>99.847008117784739</v>
      </c>
      <c r="AG57">
        <f t="shared" si="14"/>
        <v>17.97813120209365</v>
      </c>
      <c r="AH57">
        <f t="shared" si="15"/>
        <v>16.061530379148824</v>
      </c>
    </row>
    <row r="58" spans="1:34" x14ac:dyDescent="0.2">
      <c r="A58">
        <v>361.57799999999997</v>
      </c>
      <c r="B58">
        <v>1.0942899999999999E-3</v>
      </c>
      <c r="C58">
        <v>1.90538E-4</v>
      </c>
      <c r="D58">
        <f t="shared" si="0"/>
        <v>62.760020876228054</v>
      </c>
      <c r="E58">
        <f t="shared" si="1"/>
        <v>71.488656018669644</v>
      </c>
      <c r="G58" s="5">
        <v>2.09034E-3</v>
      </c>
      <c r="H58" s="5">
        <v>3.3225699999999997E-4</v>
      </c>
      <c r="I58" s="4">
        <f t="shared" si="2"/>
        <v>115.82756136754031</v>
      </c>
      <c r="J58" s="4">
        <f t="shared" si="3"/>
        <v>119.5999380865133</v>
      </c>
      <c r="L58" s="5">
        <v>1.61589E-3</v>
      </c>
      <c r="M58" s="5">
        <v>2.3349199999999999E-4</v>
      </c>
      <c r="N58" s="4">
        <f t="shared" si="4"/>
        <v>95.168234261718681</v>
      </c>
      <c r="O58" s="4">
        <f t="shared" si="5"/>
        <v>99.419641906708407</v>
      </c>
      <c r="Q58" s="5">
        <v>1.7539400000000001E-3</v>
      </c>
      <c r="R58" s="5">
        <v>2.77605E-4</v>
      </c>
      <c r="S58" s="4">
        <f t="shared" si="6"/>
        <v>99.131299772227592</v>
      </c>
      <c r="T58" s="4">
        <f t="shared" si="7"/>
        <v>101.52392864195907</v>
      </c>
      <c r="V58" s="5">
        <v>1.67611E-3</v>
      </c>
      <c r="W58" s="5">
        <v>2.7417300000000001E-4</v>
      </c>
      <c r="X58" s="4">
        <f t="shared" si="8"/>
        <v>112.45814966150706</v>
      </c>
      <c r="Y58" s="4">
        <f t="shared" si="9"/>
        <v>119.42425047587106</v>
      </c>
      <c r="AA58" s="4">
        <f t="shared" si="10"/>
        <v>1.646114E-3</v>
      </c>
      <c r="AB58" s="4">
        <f t="shared" si="11"/>
        <v>2.6161299999999995E-4</v>
      </c>
      <c r="AD58" s="4">
        <f t="shared" si="12"/>
        <v>97.069053187844332</v>
      </c>
      <c r="AE58" s="4">
        <f t="shared" si="13"/>
        <v>102.2912830259443</v>
      </c>
      <c r="AG58">
        <f t="shared" si="14"/>
        <v>18.834444993828022</v>
      </c>
      <c r="AH58">
        <f t="shared" si="15"/>
        <v>17.611161799629244</v>
      </c>
    </row>
    <row r="59" spans="1:34" x14ac:dyDescent="0.2">
      <c r="A59">
        <v>367.786</v>
      </c>
      <c r="B59">
        <v>1.0966800000000001E-3</v>
      </c>
      <c r="C59">
        <v>1.9017599999999999E-4</v>
      </c>
      <c r="D59">
        <f t="shared" si="0"/>
        <v>62.89709281318644</v>
      </c>
      <c r="E59">
        <f t="shared" si="1"/>
        <v>71.352835901534164</v>
      </c>
      <c r="G59" s="5">
        <v>2.1431000000000002E-3</v>
      </c>
      <c r="H59" s="5">
        <v>3.4261600000000001E-4</v>
      </c>
      <c r="I59" s="4">
        <f t="shared" si="2"/>
        <v>118.75103895384275</v>
      </c>
      <c r="J59" s="4">
        <f t="shared" si="3"/>
        <v>123.32878581173262</v>
      </c>
      <c r="L59" s="5">
        <v>1.66015E-3</v>
      </c>
      <c r="M59" s="5">
        <v>2.3442600000000001E-4</v>
      </c>
      <c r="N59" s="4">
        <f t="shared" si="4"/>
        <v>97.774937718280484</v>
      </c>
      <c r="O59" s="4">
        <f t="shared" si="5"/>
        <v>99.817334099763684</v>
      </c>
      <c r="Q59" s="5">
        <v>1.7902899999999999E-3</v>
      </c>
      <c r="R59" s="5">
        <v>2.8214000000000001E-4</v>
      </c>
      <c r="S59" s="4">
        <f t="shared" si="6"/>
        <v>101.18577298494893</v>
      </c>
      <c r="T59" s="4">
        <f t="shared" si="7"/>
        <v>103.18243989496705</v>
      </c>
      <c r="V59" s="5">
        <v>1.72215E-3</v>
      </c>
      <c r="W59" s="5">
        <v>2.7563899999999999E-4</v>
      </c>
      <c r="X59" s="4">
        <f t="shared" si="8"/>
        <v>115.54719107908456</v>
      </c>
      <c r="Y59" s="4">
        <f t="shared" si="9"/>
        <v>120.06281062292284</v>
      </c>
      <c r="AA59" s="4">
        <f t="shared" si="10"/>
        <v>1.6824740000000002E-3</v>
      </c>
      <c r="AB59" s="4">
        <f t="shared" si="11"/>
        <v>2.649994E-4</v>
      </c>
      <c r="AD59" s="4">
        <f t="shared" si="12"/>
        <v>99.23120670986863</v>
      </c>
      <c r="AE59" s="4">
        <f t="shared" si="13"/>
        <v>103.54884126618408</v>
      </c>
      <c r="AG59">
        <f t="shared" si="14"/>
        <v>19.866273320006488</v>
      </c>
      <c r="AH59">
        <f t="shared" si="15"/>
        <v>18.518091409638938</v>
      </c>
    </row>
    <row r="60" spans="1:34" x14ac:dyDescent="0.2">
      <c r="A60">
        <v>374.03899999999999</v>
      </c>
      <c r="B60">
        <v>1.09903E-3</v>
      </c>
      <c r="C60">
        <v>1.9044999999999999E-4</v>
      </c>
      <c r="D60">
        <f t="shared" si="0"/>
        <v>63.031870659149689</v>
      </c>
      <c r="E60">
        <f t="shared" si="1"/>
        <v>71.455638973620125</v>
      </c>
      <c r="G60" s="5">
        <v>2.2002200000000001E-3</v>
      </c>
      <c r="H60" s="5">
        <v>3.4457800000000001E-4</v>
      </c>
      <c r="I60" s="4">
        <f t="shared" si="2"/>
        <v>121.9161079403779</v>
      </c>
      <c r="J60" s="4">
        <f t="shared" si="3"/>
        <v>124.03503151468468</v>
      </c>
      <c r="L60" s="5">
        <v>1.69977E-3</v>
      </c>
      <c r="M60" s="5">
        <v>2.3687400000000001E-4</v>
      </c>
      <c r="N60" s="4">
        <f t="shared" si="4"/>
        <v>100.10836724717744</v>
      </c>
      <c r="O60" s="4">
        <f t="shared" si="5"/>
        <v>100.85967937663666</v>
      </c>
      <c r="Q60" s="5">
        <v>1.82909E-3</v>
      </c>
      <c r="R60" s="5">
        <v>2.9004600000000002E-4</v>
      </c>
      <c r="S60" s="4">
        <f t="shared" si="6"/>
        <v>103.37871825739977</v>
      </c>
      <c r="T60" s="4">
        <f t="shared" si="7"/>
        <v>106.07377175081739</v>
      </c>
      <c r="V60" s="5">
        <v>1.7595099999999999E-3</v>
      </c>
      <c r="W60" s="5">
        <v>2.8383199999999998E-4</v>
      </c>
      <c r="X60" s="4">
        <f t="shared" si="8"/>
        <v>118.05385023114134</v>
      </c>
      <c r="Y60" s="4">
        <f t="shared" si="9"/>
        <v>123.6315168199182</v>
      </c>
      <c r="AA60" s="4">
        <f t="shared" si="10"/>
        <v>1.7175240000000002E-3</v>
      </c>
      <c r="AB60" s="4">
        <f t="shared" si="11"/>
        <v>2.69156E-4</v>
      </c>
      <c r="AD60" s="4">
        <f t="shared" si="12"/>
        <v>101.29778286704922</v>
      </c>
      <c r="AE60" s="4">
        <f t="shared" si="13"/>
        <v>105.21112768713542</v>
      </c>
      <c r="AG60">
        <f t="shared" si="14"/>
        <v>20.860997871903098</v>
      </c>
      <c r="AH60">
        <f t="shared" si="15"/>
        <v>19.249739564886397</v>
      </c>
    </row>
    <row r="61" spans="1:34" x14ac:dyDescent="0.2">
      <c r="A61">
        <v>380.137</v>
      </c>
      <c r="B61">
        <v>1.10264E-3</v>
      </c>
      <c r="C61">
        <v>1.9117099999999999E-4</v>
      </c>
      <c r="D61">
        <f t="shared" si="0"/>
        <v>63.238912371459207</v>
      </c>
      <c r="E61">
        <f t="shared" si="1"/>
        <v>71.726153626809847</v>
      </c>
      <c r="G61" s="5">
        <v>2.2451699999999999E-3</v>
      </c>
      <c r="H61" s="5">
        <v>3.6195599999999997E-4</v>
      </c>
      <c r="I61" s="4">
        <f t="shared" si="2"/>
        <v>124.40682661938271</v>
      </c>
      <c r="J61" s="4">
        <f t="shared" si="3"/>
        <v>130.29045344429767</v>
      </c>
      <c r="L61" s="5">
        <v>1.7401999999999999E-3</v>
      </c>
      <c r="M61" s="5">
        <v>2.38373E-4</v>
      </c>
      <c r="N61" s="4">
        <f t="shared" si="4"/>
        <v>102.48950192292968</v>
      </c>
      <c r="O61" s="4">
        <f t="shared" si="5"/>
        <v>101.49794554086564</v>
      </c>
      <c r="Q61" s="5">
        <v>1.8727699999999999E-3</v>
      </c>
      <c r="R61" s="5">
        <v>2.9441599999999998E-4</v>
      </c>
      <c r="S61" s="4">
        <f t="shared" si="6"/>
        <v>105.84747726514856</v>
      </c>
      <c r="T61" s="4">
        <f t="shared" si="7"/>
        <v>107.67194025702354</v>
      </c>
      <c r="V61" s="5">
        <v>1.80529E-3</v>
      </c>
      <c r="W61" s="5">
        <v>2.8581800000000002E-4</v>
      </c>
      <c r="X61" s="4">
        <f t="shared" si="8"/>
        <v>121.12544701864563</v>
      </c>
      <c r="Y61" s="4">
        <f t="shared" si="9"/>
        <v>124.49657851981237</v>
      </c>
      <c r="AA61" s="4">
        <f t="shared" si="10"/>
        <v>1.7532139999999999E-3</v>
      </c>
      <c r="AB61" s="4">
        <f t="shared" si="11"/>
        <v>2.7434679999999997E-4</v>
      </c>
      <c r="AD61" s="4">
        <f t="shared" si="12"/>
        <v>103.42163303951315</v>
      </c>
      <c r="AE61" s="4">
        <f t="shared" si="13"/>
        <v>107.13661427776182</v>
      </c>
      <c r="AG61">
        <f t="shared" si="14"/>
        <v>21.795449102529343</v>
      </c>
      <c r="AH61">
        <f t="shared" si="15"/>
        <v>20.608010622940863</v>
      </c>
    </row>
    <row r="62" spans="1:34" x14ac:dyDescent="0.2">
      <c r="A62">
        <v>386.49799999999999</v>
      </c>
      <c r="B62">
        <v>1.10366E-3</v>
      </c>
      <c r="C62">
        <v>1.9190599999999999E-4</v>
      </c>
      <c r="D62">
        <f t="shared" si="0"/>
        <v>63.29741169183476</v>
      </c>
      <c r="E62">
        <f t="shared" si="1"/>
        <v>72.00192099171197</v>
      </c>
      <c r="G62" s="5">
        <v>2.3013500000000002E-3</v>
      </c>
      <c r="H62" s="5">
        <v>3.7415499999999998E-4</v>
      </c>
      <c r="I62" s="4">
        <f t="shared" si="2"/>
        <v>127.51980938660165</v>
      </c>
      <c r="J62" s="4">
        <f t="shared" si="3"/>
        <v>134.68163149236702</v>
      </c>
      <c r="L62" s="5">
        <v>1.77484E-3</v>
      </c>
      <c r="M62" s="5">
        <v>2.4709299999999999E-4</v>
      </c>
      <c r="N62" s="4">
        <f t="shared" si="4"/>
        <v>104.52963314153116</v>
      </c>
      <c r="O62" s="4">
        <f t="shared" si="5"/>
        <v>105.21087479508633</v>
      </c>
      <c r="Q62" s="5">
        <v>1.91822E-3</v>
      </c>
      <c r="R62" s="5">
        <v>2.94231E-4</v>
      </c>
      <c r="S62" s="4">
        <f t="shared" si="6"/>
        <v>108.41627527115089</v>
      </c>
      <c r="T62" s="4">
        <f t="shared" si="7"/>
        <v>107.60428323788209</v>
      </c>
      <c r="V62" s="5">
        <v>1.8450700000000001E-3</v>
      </c>
      <c r="W62" s="5">
        <v>2.9479000000000002E-4</v>
      </c>
      <c r="X62" s="4">
        <f t="shared" si="8"/>
        <v>123.79447541984527</v>
      </c>
      <c r="Y62" s="4">
        <f t="shared" si="9"/>
        <v>128.40460146616201</v>
      </c>
      <c r="AA62" s="4">
        <f t="shared" si="10"/>
        <v>1.788628E-3</v>
      </c>
      <c r="AB62" s="4">
        <f t="shared" si="11"/>
        <v>2.8043499999999999E-4</v>
      </c>
      <c r="AD62" s="4">
        <f t="shared" si="12"/>
        <v>105.51152098219275</v>
      </c>
      <c r="AE62" s="4">
        <f t="shared" si="13"/>
        <v>109.58066239664188</v>
      </c>
      <c r="AG62">
        <f t="shared" si="14"/>
        <v>22.847599024186611</v>
      </c>
      <c r="AH62">
        <f t="shared" si="15"/>
        <v>21.998010162185331</v>
      </c>
    </row>
    <row r="63" spans="1:34" x14ac:dyDescent="0.2">
      <c r="A63">
        <v>392.601</v>
      </c>
      <c r="B63">
        <v>1.10501E-3</v>
      </c>
      <c r="C63">
        <v>1.92692E-4</v>
      </c>
      <c r="D63">
        <f t="shared" si="0"/>
        <v>63.374837262920039</v>
      </c>
      <c r="E63">
        <f t="shared" si="1"/>
        <v>72.29682323499506</v>
      </c>
      <c r="G63" s="5">
        <v>2.36565E-3</v>
      </c>
      <c r="H63" s="5">
        <v>3.74951E-4</v>
      </c>
      <c r="I63" s="4">
        <f t="shared" si="2"/>
        <v>131.08272843131823</v>
      </c>
      <c r="J63" s="4">
        <f t="shared" si="3"/>
        <v>134.96816134942605</v>
      </c>
      <c r="L63" s="5">
        <v>1.8178599999999999E-3</v>
      </c>
      <c r="M63" s="5">
        <v>2.5006300000000002E-4</v>
      </c>
      <c r="N63" s="4">
        <f t="shared" si="4"/>
        <v>107.06330649673426</v>
      </c>
      <c r="O63" s="4">
        <f t="shared" si="5"/>
        <v>106.47548487364547</v>
      </c>
      <c r="Q63" s="5">
        <v>1.95327E-3</v>
      </c>
      <c r="R63" s="5">
        <v>3.0152100000000002E-4</v>
      </c>
      <c r="S63" s="4">
        <f t="shared" si="6"/>
        <v>110.39727351340352</v>
      </c>
      <c r="T63" s="4">
        <f t="shared" si="7"/>
        <v>110.27033550567222</v>
      </c>
      <c r="V63" s="5">
        <v>1.8871999999999999E-3</v>
      </c>
      <c r="W63" s="5">
        <v>3.0120199999999998E-4</v>
      </c>
      <c r="X63" s="4">
        <f t="shared" si="8"/>
        <v>126.62117643901422</v>
      </c>
      <c r="Y63" s="4">
        <f t="shared" si="9"/>
        <v>131.19753984467221</v>
      </c>
      <c r="AA63" s="4">
        <f t="shared" si="10"/>
        <v>1.825798E-3</v>
      </c>
      <c r="AB63" s="4">
        <f t="shared" si="11"/>
        <v>2.840858E-4</v>
      </c>
      <c r="AD63" s="4">
        <f t="shared" si="12"/>
        <v>107.70786442867805</v>
      </c>
      <c r="AE63" s="4">
        <f t="shared" si="13"/>
        <v>111.04166896168219</v>
      </c>
      <c r="AG63">
        <f t="shared" si="14"/>
        <v>23.988177555515669</v>
      </c>
      <c r="AH63">
        <f t="shared" si="15"/>
        <v>22.366690554677586</v>
      </c>
    </row>
    <row r="64" spans="1:34" x14ac:dyDescent="0.2">
      <c r="A64">
        <v>398.83199999999999</v>
      </c>
      <c r="B64">
        <v>1.10794E-3</v>
      </c>
      <c r="C64">
        <v>1.9236399999999999E-4</v>
      </c>
      <c r="D64">
        <f t="shared" si="0"/>
        <v>63.542879428312517</v>
      </c>
      <c r="E64">
        <f t="shared" si="1"/>
        <v>72.173759703446905</v>
      </c>
      <c r="G64" s="5">
        <v>2.41953E-3</v>
      </c>
      <c r="H64" s="5">
        <v>3.8588700000000001E-4</v>
      </c>
      <c r="I64" s="4">
        <f t="shared" si="2"/>
        <v>134.06826619382724</v>
      </c>
      <c r="J64" s="4">
        <f t="shared" si="3"/>
        <v>138.90470722479998</v>
      </c>
      <c r="L64" s="5">
        <v>1.86042E-3</v>
      </c>
      <c r="M64" s="5">
        <v>2.5228199999999999E-4</v>
      </c>
      <c r="N64" s="4">
        <f t="shared" si="4"/>
        <v>109.569888040143</v>
      </c>
      <c r="O64" s="4">
        <f t="shared" si="5"/>
        <v>107.4203231781312</v>
      </c>
      <c r="Q64" s="5">
        <v>1.9915900000000001E-3</v>
      </c>
      <c r="R64" s="5">
        <v>3.06316E-4</v>
      </c>
      <c r="S64" s="4">
        <f t="shared" si="6"/>
        <v>112.56308956598899</v>
      </c>
      <c r="T64" s="4">
        <f t="shared" si="7"/>
        <v>112.02393229909524</v>
      </c>
      <c r="V64" s="5">
        <v>1.9281299999999999E-3</v>
      </c>
      <c r="W64" s="5">
        <v>3.0778499999999998E-4</v>
      </c>
      <c r="X64" s="4">
        <f t="shared" si="8"/>
        <v>129.36736378092226</v>
      </c>
      <c r="Y64" s="4">
        <f t="shared" si="9"/>
        <v>134.06496238767483</v>
      </c>
      <c r="AA64" s="4">
        <f t="shared" si="10"/>
        <v>1.8615220000000002E-3</v>
      </c>
      <c r="AB64" s="4">
        <f t="shared" si="11"/>
        <v>2.8892680000000006E-4</v>
      </c>
      <c r="AD64" s="4">
        <f t="shared" si="12"/>
        <v>109.8222974018388</v>
      </c>
      <c r="AE64" s="4">
        <f t="shared" si="13"/>
        <v>112.91753695862963</v>
      </c>
      <c r="AG64">
        <f t="shared" si="14"/>
        <v>24.976936571830247</v>
      </c>
      <c r="AH64">
        <f t="shared" si="15"/>
        <v>23.721803870599533</v>
      </c>
    </row>
    <row r="65" spans="1:34" x14ac:dyDescent="0.2">
      <c r="A65">
        <v>405.02199999999999</v>
      </c>
      <c r="B65">
        <v>1.1102099999999999E-3</v>
      </c>
      <c r="C65">
        <v>1.9241000000000001E-4</v>
      </c>
      <c r="D65">
        <f t="shared" si="0"/>
        <v>63.673069092285537</v>
      </c>
      <c r="E65">
        <f t="shared" si="1"/>
        <v>72.191018613359148</v>
      </c>
      <c r="G65" s="5">
        <v>2.46933E-3</v>
      </c>
      <c r="H65" s="5">
        <v>3.9650299999999998E-4</v>
      </c>
      <c r="I65" s="4">
        <f t="shared" si="2"/>
        <v>136.82772760015516</v>
      </c>
      <c r="J65" s="4">
        <f t="shared" si="3"/>
        <v>142.72606521793907</v>
      </c>
      <c r="L65" s="5">
        <v>1.8978599999999999E-3</v>
      </c>
      <c r="M65" s="5">
        <v>2.5801399999999999E-4</v>
      </c>
      <c r="N65" s="4">
        <f t="shared" si="4"/>
        <v>111.77492593923188</v>
      </c>
      <c r="O65" s="4">
        <f t="shared" si="5"/>
        <v>109.86097805028633</v>
      </c>
      <c r="Q65" s="5">
        <v>2.0308399999999999E-3</v>
      </c>
      <c r="R65" s="5">
        <v>3.1117900000000002E-4</v>
      </c>
      <c r="S65" s="4">
        <f t="shared" si="6"/>
        <v>114.78146848206362</v>
      </c>
      <c r="T65" s="4">
        <f t="shared" si="7"/>
        <v>113.80239761847295</v>
      </c>
      <c r="V65" s="5">
        <v>1.9745299999999999E-3</v>
      </c>
      <c r="W65" s="5">
        <v>3.0775600000000001E-4</v>
      </c>
      <c r="X65" s="4">
        <f t="shared" si="8"/>
        <v>132.48055930167803</v>
      </c>
      <c r="Y65" s="4">
        <f t="shared" si="9"/>
        <v>134.05233057030478</v>
      </c>
      <c r="AA65" s="4">
        <f t="shared" si="10"/>
        <v>1.8965539999999999E-3</v>
      </c>
      <c r="AB65" s="4">
        <f t="shared" si="11"/>
        <v>2.9317239999999999E-4</v>
      </c>
      <c r="AD65" s="4">
        <f t="shared" si="12"/>
        <v>111.90755008308284</v>
      </c>
      <c r="AE65" s="4">
        <f t="shared" si="13"/>
        <v>114.52655801407245</v>
      </c>
      <c r="AG65">
        <f t="shared" si="14"/>
        <v>25.996561727928309</v>
      </c>
      <c r="AH65">
        <f t="shared" si="15"/>
        <v>24.458364383110421</v>
      </c>
    </row>
    <row r="66" spans="1:34" x14ac:dyDescent="0.2">
      <c r="A66">
        <v>411.33699999999999</v>
      </c>
      <c r="B66">
        <v>1.1111599999999999E-3</v>
      </c>
      <c r="C66">
        <v>1.9159900000000001E-4</v>
      </c>
      <c r="D66">
        <f t="shared" si="0"/>
        <v>63.72755375341962</v>
      </c>
      <c r="E66">
        <f t="shared" si="1"/>
        <v>71.886736527732438</v>
      </c>
      <c r="G66" s="5">
        <v>2.53082E-3</v>
      </c>
      <c r="H66" s="5">
        <v>4.02595E-4</v>
      </c>
      <c r="I66" s="4">
        <f t="shared" si="2"/>
        <v>140.23494209563916</v>
      </c>
      <c r="J66" s="4">
        <f t="shared" si="3"/>
        <v>144.91895452598388</v>
      </c>
      <c r="L66" s="5">
        <v>1.9379E-3</v>
      </c>
      <c r="M66" s="5">
        <v>2.60807E-4</v>
      </c>
      <c r="N66" s="4">
        <f t="shared" si="4"/>
        <v>114.13309147020195</v>
      </c>
      <c r="O66" s="4">
        <f t="shared" si="5"/>
        <v>111.05022247769899</v>
      </c>
      <c r="Q66" s="5">
        <v>2.06676E-3</v>
      </c>
      <c r="R66" s="5">
        <v>3.1533899999999998E-4</v>
      </c>
      <c r="S66" s="4">
        <f t="shared" si="6"/>
        <v>116.81163843532222</v>
      </c>
      <c r="T66" s="4">
        <f t="shared" si="7"/>
        <v>115.32376626511311</v>
      </c>
      <c r="V66" s="5">
        <v>2.0172200000000001E-3</v>
      </c>
      <c r="W66" s="5">
        <v>3.2297199999999998E-4</v>
      </c>
      <c r="X66" s="4">
        <f t="shared" si="8"/>
        <v>135.34483337023545</v>
      </c>
      <c r="Y66" s="4">
        <f t="shared" si="9"/>
        <v>140.68011447040016</v>
      </c>
      <c r="AA66" s="4">
        <f t="shared" si="10"/>
        <v>1.9327719999999999E-3</v>
      </c>
      <c r="AB66" s="4">
        <f t="shared" si="11"/>
        <v>2.9866239999999997E-4</v>
      </c>
      <c r="AD66" s="4">
        <f t="shared" si="12"/>
        <v>114.05041182496367</v>
      </c>
      <c r="AE66" s="4">
        <f t="shared" si="13"/>
        <v>116.7719588533857</v>
      </c>
      <c r="AG66">
        <f t="shared" si="14"/>
        <v>27.126014330343097</v>
      </c>
      <c r="AH66">
        <f t="shared" si="15"/>
        <v>26.128038512485293</v>
      </c>
    </row>
    <row r="67" spans="1:34" x14ac:dyDescent="0.2">
      <c r="A67">
        <v>417.42200000000003</v>
      </c>
      <c r="B67">
        <v>1.1135800000000001E-3</v>
      </c>
      <c r="C67">
        <v>1.9260699999999999E-4</v>
      </c>
      <c r="D67">
        <f t="shared" si="0"/>
        <v>63.866346258624354</v>
      </c>
      <c r="E67">
        <f t="shared" si="1"/>
        <v>72.264931771026795</v>
      </c>
      <c r="G67" s="5">
        <v>2.5829300000000002E-3</v>
      </c>
      <c r="H67" s="5">
        <v>4.1256799999999998E-4</v>
      </c>
      <c r="I67" s="4">
        <f t="shared" si="2"/>
        <v>143.12240261539316</v>
      </c>
      <c r="J67" s="4">
        <f t="shared" si="3"/>
        <v>148.50885686825745</v>
      </c>
      <c r="L67" s="5">
        <v>1.9790599999999999E-3</v>
      </c>
      <c r="M67" s="5">
        <v>2.6677299999999999E-4</v>
      </c>
      <c r="N67" s="4">
        <f t="shared" si="4"/>
        <v>116.55721967336699</v>
      </c>
      <c r="O67" s="4">
        <f t="shared" si="5"/>
        <v>113.59051329543762</v>
      </c>
      <c r="Q67" s="5">
        <v>2.1036200000000001E-3</v>
      </c>
      <c r="R67" s="5">
        <v>3.2136300000000002E-4</v>
      </c>
      <c r="S67" s="4">
        <f t="shared" si="6"/>
        <v>118.89493644415055</v>
      </c>
      <c r="T67" s="4">
        <f t="shared" si="7"/>
        <v>117.52682509380557</v>
      </c>
      <c r="V67" s="5">
        <v>2.0750199999999999E-3</v>
      </c>
      <c r="W67" s="5">
        <v>3.3316299999999998E-4</v>
      </c>
      <c r="X67" s="4">
        <f t="shared" si="8"/>
        <v>139.22290882496998</v>
      </c>
      <c r="Y67" s="4">
        <f t="shared" si="9"/>
        <v>145.11910932620145</v>
      </c>
      <c r="AA67" s="4">
        <f t="shared" si="10"/>
        <v>1.970842E-3</v>
      </c>
      <c r="AB67" s="4">
        <f t="shared" si="11"/>
        <v>3.0529480000000001E-4</v>
      </c>
      <c r="AD67" s="4">
        <f t="shared" si="12"/>
        <v>116.33276276330101</v>
      </c>
      <c r="AE67" s="4">
        <f t="shared" si="13"/>
        <v>119.40204727094579</v>
      </c>
      <c r="AG67">
        <f t="shared" si="14"/>
        <v>28.287748464120877</v>
      </c>
      <c r="AH67">
        <f t="shared" si="15"/>
        <v>27.45094420490069</v>
      </c>
    </row>
    <row r="68" spans="1:34" x14ac:dyDescent="0.2">
      <c r="A68">
        <v>423.74099999999999</v>
      </c>
      <c r="B68">
        <v>1.1167099999999999E-3</v>
      </c>
      <c r="C68">
        <v>1.92898E-4</v>
      </c>
      <c r="D68">
        <f t="shared" ref="D68:D109" si="16">B68/$B$3*100</f>
        <v>64.045858878992433</v>
      </c>
      <c r="E68">
        <f t="shared" ref="E68:E109" si="17">C68/$C$3*100</f>
        <v>72.374113135906413</v>
      </c>
      <c r="G68" s="5">
        <v>2.6380700000000002E-3</v>
      </c>
      <c r="H68" s="5">
        <v>4.1830300000000002E-4</v>
      </c>
      <c r="I68" s="4">
        <f t="shared" ref="I68:I109" si="18">G68/$G$3*100</f>
        <v>146.17775807613455</v>
      </c>
      <c r="J68" s="4">
        <f t="shared" ref="J68:J109" si="19">H68/$H$3*100</f>
        <v>150.57323969518407</v>
      </c>
      <c r="L68" s="5">
        <v>2.0204699999999999E-3</v>
      </c>
      <c r="M68" s="5">
        <v>2.6788400000000003E-4</v>
      </c>
      <c r="N68" s="4">
        <f t="shared" ref="N68:N109" si="20">L68/$L$3*100</f>
        <v>118.9960716872898</v>
      </c>
      <c r="O68" s="4">
        <f t="shared" ref="O68:O109" si="21">M68/$M$3*100</f>
        <v>114.06357113963936</v>
      </c>
      <c r="Q68" s="5">
        <v>2.1415399999999999E-3</v>
      </c>
      <c r="R68" s="5">
        <v>3.27466E-4</v>
      </c>
      <c r="S68" s="4">
        <f t="shared" ref="S68:S109" si="22">Q68/$Q$3*100</f>
        <v>121.03814481351488</v>
      </c>
      <c r="T68" s="4">
        <f t="shared" ref="T68:T109" si="23">R68/$R$3*100</f>
        <v>119.75877529823946</v>
      </c>
      <c r="V68" s="5">
        <v>2.134E-3</v>
      </c>
      <c r="W68" s="5">
        <v>3.3875799999999998E-4</v>
      </c>
      <c r="X68" s="4">
        <f t="shared" ref="X68:X109" si="24">V68/$V$3*100</f>
        <v>143.18015606234442</v>
      </c>
      <c r="Y68" s="4">
        <f t="shared" ref="Y68:Y109" si="25">W68/$W$3*100</f>
        <v>147.55617891880354</v>
      </c>
      <c r="AA68" s="4">
        <f t="shared" ref="AA68:AA109" si="26">AVERAGE(B68,G68,L68,Q68,V68)</f>
        <v>2.0101580000000002E-3</v>
      </c>
      <c r="AB68" s="4">
        <f t="shared" ref="AB68:AB109" si="27">AVERAGE(C68,H68,M68,R68,W68)</f>
        <v>3.0906180000000002E-4</v>
      </c>
      <c r="AD68" s="4">
        <f t="shared" ref="AD68:AD109" si="28">AVERAGE(D68,I68,N68,S68,X68)</f>
        <v>118.68759790365523</v>
      </c>
      <c r="AE68" s="4">
        <f t="shared" ref="AE68:AE109" si="29">AVERAGE(E68,J68,O68,T68,Y68)</f>
        <v>120.86517563755456</v>
      </c>
      <c r="AG68">
        <f t="shared" ref="AG68:AG109" si="30">_xlfn.STDEV.P(D68,I68,N68,S68,X68)</f>
        <v>29.48536647883261</v>
      </c>
      <c r="AH68">
        <f t="shared" ref="AH68:AH109" si="31">_xlfn.STDEV.P(E68,J68,O68,T68,Y68)</f>
        <v>28.262511615946352</v>
      </c>
    </row>
    <row r="69" spans="1:34" x14ac:dyDescent="0.2">
      <c r="A69">
        <v>429.80099999999999</v>
      </c>
      <c r="B69">
        <v>1.11944E-3</v>
      </c>
      <c r="C69">
        <v>1.9340500000000001E-4</v>
      </c>
      <c r="D69">
        <f t="shared" si="16"/>
        <v>64.202430589409317</v>
      </c>
      <c r="E69">
        <f t="shared" si="17"/>
        <v>72.564336338634831</v>
      </c>
      <c r="G69" s="5">
        <v>2.6919999999999999E-3</v>
      </c>
      <c r="H69" s="5">
        <v>4.2479099999999999E-4</v>
      </c>
      <c r="I69" s="4">
        <f t="shared" si="18"/>
        <v>149.16606638222419</v>
      </c>
      <c r="J69" s="4">
        <f t="shared" si="19"/>
        <v>152.90867400749443</v>
      </c>
      <c r="L69" s="5">
        <v>2.0592900000000001E-3</v>
      </c>
      <c r="M69" s="5">
        <v>2.7170200000000002E-4</v>
      </c>
      <c r="N69" s="4">
        <f t="shared" si="20"/>
        <v>121.28238502176178</v>
      </c>
      <c r="O69" s="4">
        <f t="shared" si="21"/>
        <v>115.68925507227866</v>
      </c>
      <c r="Q69" s="5">
        <v>2.1825899999999999E-3</v>
      </c>
      <c r="R69" s="5">
        <v>3.2910600000000002E-4</v>
      </c>
      <c r="S69" s="4">
        <f t="shared" si="22"/>
        <v>123.35825830408463</v>
      </c>
      <c r="T69" s="4">
        <f t="shared" si="23"/>
        <v>120.358545630088</v>
      </c>
      <c r="V69" s="5">
        <v>2.1876299999999999E-3</v>
      </c>
      <c r="W69" s="5">
        <v>3.4539599999999998E-4</v>
      </c>
      <c r="X69" s="4">
        <f t="shared" si="24"/>
        <v>146.77844648859724</v>
      </c>
      <c r="Y69" s="4">
        <f t="shared" si="25"/>
        <v>150.44755835681835</v>
      </c>
      <c r="AA69" s="4">
        <f t="shared" si="26"/>
        <v>2.0481899999999996E-3</v>
      </c>
      <c r="AB69" s="4">
        <f t="shared" si="27"/>
        <v>3.1288000000000003E-4</v>
      </c>
      <c r="AD69" s="4">
        <f t="shared" si="28"/>
        <v>120.95751735721542</v>
      </c>
      <c r="AE69" s="4">
        <f t="shared" si="29"/>
        <v>122.39367388106287</v>
      </c>
      <c r="AG69">
        <f t="shared" si="30"/>
        <v>30.624994985856961</v>
      </c>
      <c r="AH69">
        <f t="shared" si="31"/>
        <v>29.155581027905658</v>
      </c>
    </row>
    <row r="70" spans="1:34" x14ac:dyDescent="0.2">
      <c r="A70">
        <v>436.18</v>
      </c>
      <c r="B70">
        <v>1.12104E-3</v>
      </c>
      <c r="C70">
        <v>1.9313300000000001E-4</v>
      </c>
      <c r="D70">
        <f t="shared" si="16"/>
        <v>64.294194229214099</v>
      </c>
      <c r="E70">
        <f t="shared" si="17"/>
        <v>72.462283653936353</v>
      </c>
      <c r="G70" s="5">
        <v>2.74683E-3</v>
      </c>
      <c r="H70" s="5">
        <v>4.3324299999999999E-4</v>
      </c>
      <c r="I70" s="4">
        <f t="shared" si="18"/>
        <v>152.20424447276554</v>
      </c>
      <c r="J70" s="4">
        <f t="shared" si="19"/>
        <v>155.9510739470208</v>
      </c>
      <c r="L70" s="5">
        <v>2.0939000000000001E-3</v>
      </c>
      <c r="M70" s="5">
        <v>2.8159799999999998E-4</v>
      </c>
      <c r="N70" s="4">
        <f t="shared" si="20"/>
        <v>123.32074938307234</v>
      </c>
      <c r="O70" s="4">
        <f t="shared" si="21"/>
        <v>119.90291882225203</v>
      </c>
      <c r="Q70" s="5">
        <v>2.21616E-3</v>
      </c>
      <c r="R70" s="5">
        <v>3.3322199999999999E-4</v>
      </c>
      <c r="S70" s="4">
        <f t="shared" si="22"/>
        <v>125.25560811841905</v>
      </c>
      <c r="T70" s="4">
        <f t="shared" si="23"/>
        <v>121.86382287758101</v>
      </c>
      <c r="V70" s="5">
        <v>2.2413799999999998E-3</v>
      </c>
      <c r="W70" s="5">
        <v>3.51529E-4</v>
      </c>
      <c r="X70" s="4">
        <f t="shared" si="24"/>
        <v>150.38478828257615</v>
      </c>
      <c r="Y70" s="4">
        <f t="shared" si="25"/>
        <v>153.11896994063045</v>
      </c>
      <c r="AA70" s="4">
        <f t="shared" si="26"/>
        <v>2.0838619999999997E-3</v>
      </c>
      <c r="AB70" s="4">
        <f t="shared" si="27"/>
        <v>3.1854499999999999E-4</v>
      </c>
      <c r="AD70" s="4">
        <f t="shared" si="28"/>
        <v>123.09191689720942</v>
      </c>
      <c r="AE70" s="4">
        <f t="shared" si="29"/>
        <v>124.65981384828414</v>
      </c>
      <c r="AG70">
        <f t="shared" si="30"/>
        <v>31.794133296174262</v>
      </c>
      <c r="AH70">
        <f t="shared" si="31"/>
        <v>30.146622690583737</v>
      </c>
    </row>
    <row r="71" spans="1:34" x14ac:dyDescent="0.2">
      <c r="A71">
        <v>449.34699999999998</v>
      </c>
      <c r="B71">
        <v>3.4176499999999998E-6</v>
      </c>
      <c r="C71">
        <v>3.1720800000000003E-5</v>
      </c>
      <c r="D71">
        <f t="shared" si="16"/>
        <v>0.19601000223673873</v>
      </c>
      <c r="E71">
        <f t="shared" si="17"/>
        <v>11.901444120527223</v>
      </c>
      <c r="G71" s="5">
        <v>1.8049099999999999E-6</v>
      </c>
      <c r="H71" s="5">
        <v>2.1969600000000001E-5</v>
      </c>
      <c r="I71" s="4">
        <f t="shared" si="18"/>
        <v>0.10001163628303873</v>
      </c>
      <c r="J71" s="4">
        <f t="shared" si="19"/>
        <v>7.9082240548294322</v>
      </c>
      <c r="L71" s="5">
        <v>2.07377E-6</v>
      </c>
      <c r="M71" s="5">
        <v>2.7559299999999999E-5</v>
      </c>
      <c r="N71" s="4">
        <f t="shared" si="20"/>
        <v>0.12213518814085386</v>
      </c>
      <c r="O71" s="4">
        <f t="shared" si="21"/>
        <v>11.734602201358285</v>
      </c>
      <c r="Q71" s="5">
        <v>1.52005E-6</v>
      </c>
      <c r="R71" s="5">
        <v>2.6105499999999999E-5</v>
      </c>
      <c r="S71" s="4">
        <f t="shared" si="22"/>
        <v>8.5912022200744925E-2</v>
      </c>
      <c r="T71" s="4">
        <f t="shared" si="23"/>
        <v>9.5471368280926576</v>
      </c>
      <c r="V71" s="5">
        <v>1.9849299999999998E-6</v>
      </c>
      <c r="W71" s="5">
        <v>2.35841E-5</v>
      </c>
      <c r="X71" s="4">
        <f t="shared" si="24"/>
        <v>0.13317834450460603</v>
      </c>
      <c r="Y71" s="4">
        <f t="shared" si="25"/>
        <v>10.272760139211339</v>
      </c>
      <c r="AA71" s="4">
        <f t="shared" si="26"/>
        <v>2.1602619999999997E-6</v>
      </c>
      <c r="AB71" s="4">
        <f t="shared" si="27"/>
        <v>2.6187859999999998E-5</v>
      </c>
      <c r="AD71" s="4">
        <f t="shared" si="28"/>
        <v>0.12744943867319644</v>
      </c>
      <c r="AE71" s="4">
        <f t="shared" si="29"/>
        <v>10.272833468803787</v>
      </c>
      <c r="AG71">
        <f t="shared" si="30"/>
        <v>3.8052076064528768E-2</v>
      </c>
      <c r="AH71">
        <f t="shared" si="31"/>
        <v>1.4769667418566825</v>
      </c>
    </row>
    <row r="72" spans="1:34" x14ac:dyDescent="0.2">
      <c r="A72">
        <v>455.601</v>
      </c>
      <c r="B72">
        <v>3.4440800000000001E-6</v>
      </c>
      <c r="C72">
        <v>3.1800100000000001E-5</v>
      </c>
      <c r="D72">
        <f t="shared" si="16"/>
        <v>0.19752582286176379</v>
      </c>
      <c r="E72">
        <f t="shared" si="17"/>
        <v>11.931196980441152</v>
      </c>
      <c r="G72" s="5">
        <v>1.85147E-6</v>
      </c>
      <c r="H72" s="5">
        <v>2.1781400000000001E-5</v>
      </c>
      <c r="I72" s="4">
        <f t="shared" si="18"/>
        <v>0.10259156646534051</v>
      </c>
      <c r="J72" s="4">
        <f t="shared" si="19"/>
        <v>7.8404791815900969</v>
      </c>
      <c r="L72" s="5">
        <v>2.08439E-6</v>
      </c>
      <c r="M72" s="5">
        <v>2.74873E-5</v>
      </c>
      <c r="N72" s="4">
        <f t="shared" si="20"/>
        <v>0.1227606556218454</v>
      </c>
      <c r="O72" s="4">
        <f t="shared" si="21"/>
        <v>11.70394498733261</v>
      </c>
      <c r="Q72" s="5">
        <v>1.55791E-6</v>
      </c>
      <c r="R72" s="5">
        <v>2.5871999999999999E-5</v>
      </c>
      <c r="S72" s="4">
        <f t="shared" si="22"/>
        <v>8.8051839417626079E-2</v>
      </c>
      <c r="T72" s="4">
        <f t="shared" si="23"/>
        <v>9.4617426985276385</v>
      </c>
      <c r="V72" s="5">
        <v>2.0368000000000001E-6</v>
      </c>
      <c r="W72" s="5">
        <v>2.3403800000000001E-5</v>
      </c>
      <c r="X72" s="4">
        <f t="shared" si="24"/>
        <v>0.13665854820420953</v>
      </c>
      <c r="Y72" s="4">
        <f t="shared" si="25"/>
        <v>10.194225081562339</v>
      </c>
      <c r="AA72" s="4">
        <f t="shared" si="26"/>
        <v>2.1949300000000003E-6</v>
      </c>
      <c r="AB72" s="4">
        <f t="shared" si="27"/>
        <v>2.6068919999999998E-5</v>
      </c>
      <c r="AD72" s="4">
        <f t="shared" si="28"/>
        <v>0.12951768651415707</v>
      </c>
      <c r="AE72" s="4">
        <f t="shared" si="29"/>
        <v>10.226317785890767</v>
      </c>
      <c r="AG72">
        <f t="shared" si="30"/>
        <v>3.7858125674541623E-2</v>
      </c>
      <c r="AH72">
        <f t="shared" si="31"/>
        <v>1.5078346106990981</v>
      </c>
    </row>
    <row r="73" spans="1:34" x14ac:dyDescent="0.2">
      <c r="A73">
        <v>461.72699999999998</v>
      </c>
      <c r="B73">
        <v>3.4247800000000001E-6</v>
      </c>
      <c r="C73">
        <v>3.1681299999999998E-5</v>
      </c>
      <c r="D73">
        <f t="shared" si="16"/>
        <v>0.19641892395661875</v>
      </c>
      <c r="E73">
        <f t="shared" si="17"/>
        <v>11.886623969624317</v>
      </c>
      <c r="G73" s="5">
        <v>1.8601500000000001E-6</v>
      </c>
      <c r="H73" s="5">
        <v>2.1620999999999998E-5</v>
      </c>
      <c r="I73" s="4">
        <f t="shared" si="18"/>
        <v>0.10307253283094144</v>
      </c>
      <c r="J73" s="4">
        <f t="shared" si="19"/>
        <v>7.7827412556199089</v>
      </c>
      <c r="L73" s="5">
        <v>2.0416999999999999E-6</v>
      </c>
      <c r="M73" s="5">
        <v>2.68212E-5</v>
      </c>
      <c r="N73" s="4">
        <f t="shared" si="20"/>
        <v>0.12024641769684261</v>
      </c>
      <c r="O73" s="4">
        <f t="shared" si="21"/>
        <v>11.420323178131188</v>
      </c>
      <c r="Q73" s="5">
        <v>1.5552900000000001E-6</v>
      </c>
      <c r="R73" s="5">
        <v>2.5803E-5</v>
      </c>
      <c r="S73" s="4">
        <f t="shared" si="22"/>
        <v>8.7903759092527595E-2</v>
      </c>
      <c r="T73" s="4">
        <f t="shared" si="23"/>
        <v>9.4365084589559611</v>
      </c>
      <c r="V73" s="5">
        <v>2.0443500000000002E-6</v>
      </c>
      <c r="W73" s="5">
        <v>2.3266300000000001E-5</v>
      </c>
      <c r="X73" s="4">
        <f t="shared" si="24"/>
        <v>0.13716511342364285</v>
      </c>
      <c r="Y73" s="4">
        <f t="shared" si="25"/>
        <v>10.134332844031903</v>
      </c>
      <c r="AA73" s="4">
        <f t="shared" si="26"/>
        <v>2.1852540000000001E-6</v>
      </c>
      <c r="AB73" s="4">
        <f t="shared" si="27"/>
        <v>2.5838559999999997E-5</v>
      </c>
      <c r="AD73" s="4">
        <f t="shared" si="28"/>
        <v>0.12896134940011464</v>
      </c>
      <c r="AE73" s="4">
        <f t="shared" si="29"/>
        <v>10.132105941272656</v>
      </c>
      <c r="AG73">
        <f t="shared" si="30"/>
        <v>3.7549254823526723E-2</v>
      </c>
      <c r="AH73">
        <f t="shared" si="31"/>
        <v>1.4656883982514168</v>
      </c>
    </row>
    <row r="74" spans="1:34" x14ac:dyDescent="0.2">
      <c r="A74">
        <v>467.90100000000001</v>
      </c>
      <c r="B74">
        <v>3.4081999999999998E-6</v>
      </c>
      <c r="C74">
        <v>3.1585000000000003E-5</v>
      </c>
      <c r="D74">
        <f t="shared" si="16"/>
        <v>0.19546802323914175</v>
      </c>
      <c r="E74">
        <f t="shared" si="17"/>
        <v>11.850492816916734</v>
      </c>
      <c r="G74" s="5">
        <v>1.8628199999999999E-6</v>
      </c>
      <c r="H74" s="5">
        <v>2.1565299999999998E-5</v>
      </c>
      <c r="I74" s="4">
        <f t="shared" si="18"/>
        <v>0.10322047985814817</v>
      </c>
      <c r="J74" s="4">
        <f t="shared" si="19"/>
        <v>7.7626913648684157</v>
      </c>
      <c r="L74" s="5">
        <v>2.0436199999999999E-6</v>
      </c>
      <c r="M74" s="5">
        <v>2.67687E-5</v>
      </c>
      <c r="N74" s="4">
        <f t="shared" si="20"/>
        <v>0.12035949656346255</v>
      </c>
      <c r="O74" s="4">
        <f t="shared" si="21"/>
        <v>11.397968959570798</v>
      </c>
      <c r="Q74" s="5">
        <v>1.55511E-6</v>
      </c>
      <c r="R74" s="5">
        <v>2.5768499999999999E-5</v>
      </c>
      <c r="S74" s="4">
        <f t="shared" si="22"/>
        <v>8.7893585635078084E-2</v>
      </c>
      <c r="T74" s="4">
        <f t="shared" si="23"/>
        <v>9.4238913391701242</v>
      </c>
      <c r="V74" s="5">
        <v>2.05194E-6</v>
      </c>
      <c r="W74" s="5">
        <v>2.3212599999999999E-5</v>
      </c>
      <c r="X74" s="4">
        <f t="shared" si="24"/>
        <v>0.13767436243231818</v>
      </c>
      <c r="Y74" s="4">
        <f t="shared" si="25"/>
        <v>10.110942202901834</v>
      </c>
      <c r="AA74" s="4">
        <f t="shared" si="26"/>
        <v>2.1843380000000002E-6</v>
      </c>
      <c r="AB74" s="4">
        <f t="shared" si="27"/>
        <v>2.5780019999999999E-5</v>
      </c>
      <c r="AD74" s="4">
        <f t="shared" si="28"/>
        <v>0.12892318954562976</v>
      </c>
      <c r="AE74" s="4">
        <f t="shared" si="29"/>
        <v>10.109197336685581</v>
      </c>
      <c r="AG74">
        <f t="shared" si="30"/>
        <v>3.7208043318665368E-2</v>
      </c>
      <c r="AH74">
        <f t="shared" si="31"/>
        <v>1.4607381610672054</v>
      </c>
    </row>
    <row r="75" spans="1:34" x14ac:dyDescent="0.2">
      <c r="A75">
        <v>474.11200000000002</v>
      </c>
      <c r="B75">
        <v>3.39027E-6</v>
      </c>
      <c r="C75">
        <v>3.1514399999999998E-5</v>
      </c>
      <c r="D75">
        <f t="shared" si="16"/>
        <v>0.19443969695057955</v>
      </c>
      <c r="E75">
        <f t="shared" si="17"/>
        <v>11.824004142138378</v>
      </c>
      <c r="G75" s="5">
        <v>1.8717E-6</v>
      </c>
      <c r="H75" s="5">
        <v>2.1738200000000001E-5</v>
      </c>
      <c r="I75" s="4">
        <f t="shared" si="18"/>
        <v>0.1037125283980717</v>
      </c>
      <c r="J75" s="4">
        <f t="shared" si="19"/>
        <v>7.8249288174884013</v>
      </c>
      <c r="L75" s="5">
        <v>2.04066E-6</v>
      </c>
      <c r="M75" s="5">
        <v>2.6851000000000001E-5</v>
      </c>
      <c r="N75" s="4">
        <f t="shared" si="20"/>
        <v>0.12018516664409015</v>
      </c>
      <c r="O75" s="4">
        <f t="shared" si="21"/>
        <v>11.433011858380704</v>
      </c>
      <c r="Q75" s="5">
        <v>1.5535799999999999E-6</v>
      </c>
      <c r="R75" s="5">
        <v>2.5658400000000002E-5</v>
      </c>
      <c r="S75" s="4">
        <f t="shared" si="22"/>
        <v>8.7807111246757205E-2</v>
      </c>
      <c r="T75" s="4">
        <f t="shared" si="23"/>
        <v>9.3836262699405353</v>
      </c>
      <c r="V75" s="5">
        <v>2.0570700000000002E-6</v>
      </c>
      <c r="W75" s="5">
        <v>2.32115E-5</v>
      </c>
      <c r="X75" s="4">
        <f t="shared" si="24"/>
        <v>0.13801855840260865</v>
      </c>
      <c r="Y75" s="4">
        <f t="shared" si="25"/>
        <v>10.110463065001591</v>
      </c>
      <c r="AA75" s="4">
        <f t="shared" si="26"/>
        <v>2.1826560000000004E-6</v>
      </c>
      <c r="AB75" s="4">
        <f t="shared" si="27"/>
        <v>2.5794700000000002E-5</v>
      </c>
      <c r="AD75" s="4">
        <f t="shared" si="28"/>
        <v>0.12883261232842147</v>
      </c>
      <c r="AE75" s="4">
        <f t="shared" si="29"/>
        <v>10.115206830589923</v>
      </c>
      <c r="AG75">
        <f t="shared" si="30"/>
        <v>3.6817278091759525E-2</v>
      </c>
      <c r="AH75">
        <f t="shared" si="31"/>
        <v>1.4447978641010111</v>
      </c>
    </row>
    <row r="76" spans="1:34" x14ac:dyDescent="0.2">
      <c r="A76">
        <v>480.45699999999999</v>
      </c>
      <c r="B76">
        <v>3.3808400000000001E-6</v>
      </c>
      <c r="C76">
        <v>3.1458399999999997E-5</v>
      </c>
      <c r="D76">
        <f t="shared" si="16"/>
        <v>0.19389886499848016</v>
      </c>
      <c r="E76">
        <f t="shared" si="17"/>
        <v>11.802993295288692</v>
      </c>
      <c r="G76" s="5">
        <v>1.87565E-6</v>
      </c>
      <c r="H76" s="5">
        <v>2.18443E-5</v>
      </c>
      <c r="I76" s="4">
        <f t="shared" si="18"/>
        <v>0.10393140134094309</v>
      </c>
      <c r="J76" s="4">
        <f t="shared" si="19"/>
        <v>7.8631207996918739</v>
      </c>
      <c r="L76" s="5">
        <v>2.0443200000000002E-6</v>
      </c>
      <c r="M76" s="5">
        <v>2.68274E-5</v>
      </c>
      <c r="N76" s="4">
        <f t="shared" si="20"/>
        <v>0.12040072323358443</v>
      </c>
      <c r="O76" s="4">
        <f t="shared" si="21"/>
        <v>11.42296310489451</v>
      </c>
      <c r="Q76" s="5">
        <v>1.57576E-6</v>
      </c>
      <c r="R76" s="5">
        <v>2.56207E-5</v>
      </c>
      <c r="S76" s="4">
        <f t="shared" si="22"/>
        <v>8.9060707281369569E-2</v>
      </c>
      <c r="T76" s="4">
        <f t="shared" si="23"/>
        <v>9.3698388665803591</v>
      </c>
      <c r="V76" s="5">
        <v>2.0606400000000001E-6</v>
      </c>
      <c r="W76" s="5">
        <v>2.3183499999999999E-5</v>
      </c>
      <c r="X76" s="4">
        <f t="shared" si="24"/>
        <v>0.13825808659245989</v>
      </c>
      <c r="Y76" s="4">
        <f t="shared" si="25"/>
        <v>10.098266827540847</v>
      </c>
      <c r="AA76" s="4">
        <f t="shared" si="26"/>
        <v>2.1874419999999999E-6</v>
      </c>
      <c r="AB76" s="4">
        <f t="shared" si="27"/>
        <v>2.5786859999999996E-5</v>
      </c>
      <c r="AD76" s="4">
        <f t="shared" si="28"/>
        <v>0.12910995668936742</v>
      </c>
      <c r="AE76" s="4">
        <f t="shared" si="29"/>
        <v>10.111436578799255</v>
      </c>
      <c r="AG76">
        <f t="shared" si="30"/>
        <v>3.631815990816574E-2</v>
      </c>
      <c r="AH76">
        <f t="shared" si="31"/>
        <v>1.4273423139143508</v>
      </c>
    </row>
    <row r="77" spans="1:34" x14ac:dyDescent="0.2">
      <c r="A77">
        <v>486.59</v>
      </c>
      <c r="B77">
        <v>3.3745699999999999E-6</v>
      </c>
      <c r="C77">
        <v>3.14504E-5</v>
      </c>
      <c r="D77">
        <f t="shared" si="16"/>
        <v>0.19353926623499521</v>
      </c>
      <c r="E77">
        <f t="shared" si="17"/>
        <v>11.799991745738737</v>
      </c>
      <c r="G77" s="5">
        <v>1.8976700000000001E-6</v>
      </c>
      <c r="H77" s="5">
        <v>2.1841999999999999E-5</v>
      </c>
      <c r="I77" s="4">
        <f t="shared" si="18"/>
        <v>0.10515154873386159</v>
      </c>
      <c r="J77" s="4">
        <f t="shared" si="19"/>
        <v>7.8622928867883095</v>
      </c>
      <c r="L77" s="5">
        <v>2.0555000000000001E-6</v>
      </c>
      <c r="M77" s="5">
        <v>2.6902000000000001E-5</v>
      </c>
      <c r="N77" s="4">
        <f t="shared" si="20"/>
        <v>0.12105917205067346</v>
      </c>
      <c r="O77" s="4">
        <f t="shared" si="21"/>
        <v>11.454727384982224</v>
      </c>
      <c r="Q77" s="5">
        <v>1.5652700000000001E-6</v>
      </c>
      <c r="R77" s="5">
        <v>2.5614099999999999E-5</v>
      </c>
      <c r="S77" s="4">
        <f t="shared" si="22"/>
        <v>8.8467820788895118E-2</v>
      </c>
      <c r="T77" s="4">
        <f t="shared" si="23"/>
        <v>9.3674251567082845</v>
      </c>
      <c r="V77" s="5">
        <v>2.0687100000000001E-6</v>
      </c>
      <c r="W77" s="5">
        <v>2.3189399999999999E-5</v>
      </c>
      <c r="X77" s="4">
        <f t="shared" si="24"/>
        <v>0.13879954107203962</v>
      </c>
      <c r="Y77" s="4">
        <f t="shared" si="25"/>
        <v>10.100836749005788</v>
      </c>
      <c r="AA77" s="4">
        <f t="shared" si="26"/>
        <v>2.1923440000000001E-6</v>
      </c>
      <c r="AB77" s="4">
        <f t="shared" si="27"/>
        <v>2.5799579999999995E-5</v>
      </c>
      <c r="AD77" s="4">
        <f t="shared" si="28"/>
        <v>0.12940346977609302</v>
      </c>
      <c r="AE77" s="4">
        <f t="shared" si="29"/>
        <v>10.117054784644669</v>
      </c>
      <c r="AG77">
        <f t="shared" si="30"/>
        <v>3.615299954357426E-2</v>
      </c>
      <c r="AH77">
        <f t="shared" si="31"/>
        <v>1.4330250256359947</v>
      </c>
    </row>
    <row r="78" spans="1:34" x14ac:dyDescent="0.2">
      <c r="A78">
        <v>492.80599999999998</v>
      </c>
      <c r="B78">
        <v>3.3708899999999999E-6</v>
      </c>
      <c r="C78">
        <v>3.1428099999999998E-5</v>
      </c>
      <c r="D78">
        <f t="shared" si="16"/>
        <v>0.19332820986344423</v>
      </c>
      <c r="E78">
        <f t="shared" si="17"/>
        <v>11.791624926368236</v>
      </c>
      <c r="G78" s="5">
        <v>1.9141E-6</v>
      </c>
      <c r="H78" s="5">
        <v>2.19864E-5</v>
      </c>
      <c r="I78" s="4">
        <f t="shared" si="18"/>
        <v>0.10606194935446334</v>
      </c>
      <c r="J78" s="4">
        <f t="shared" si="19"/>
        <v>7.9142714186467593</v>
      </c>
      <c r="L78" s="5">
        <v>2.0544900000000001E-6</v>
      </c>
      <c r="M78" s="5">
        <v>2.6928300000000001E-5</v>
      </c>
      <c r="N78" s="4">
        <f t="shared" si="20"/>
        <v>0.12099968785521194</v>
      </c>
      <c r="O78" s="4">
        <f t="shared" si="21"/>
        <v>11.465925783994381</v>
      </c>
      <c r="Q78" s="5">
        <v>1.5655000000000001E-6</v>
      </c>
      <c r="R78" s="5">
        <v>2.55837E-5</v>
      </c>
      <c r="S78" s="4">
        <f t="shared" si="22"/>
        <v>8.848082020674726E-2</v>
      </c>
      <c r="T78" s="4">
        <f t="shared" si="23"/>
        <v>9.3563074627520688</v>
      </c>
      <c r="V78" s="5">
        <v>2.07253E-6</v>
      </c>
      <c r="W78" s="5">
        <v>2.3237299999999999E-5</v>
      </c>
      <c r="X78" s="4">
        <f t="shared" si="24"/>
        <v>0.13905584294465353</v>
      </c>
      <c r="Y78" s="4">
        <f t="shared" si="25"/>
        <v>10.121701026661846</v>
      </c>
      <c r="AA78" s="4">
        <f t="shared" si="26"/>
        <v>2.195502E-6</v>
      </c>
      <c r="AB78" s="4">
        <f t="shared" si="27"/>
        <v>2.5832759999999998E-5</v>
      </c>
      <c r="AD78" s="4">
        <f t="shared" si="28"/>
        <v>0.12958530204490407</v>
      </c>
      <c r="AE78" s="4">
        <f t="shared" si="29"/>
        <v>10.129966123684659</v>
      </c>
      <c r="AG78">
        <f t="shared" si="30"/>
        <v>3.597079026680735E-2</v>
      </c>
      <c r="AH78">
        <f t="shared" si="31"/>
        <v>1.4180139105035865</v>
      </c>
    </row>
    <row r="79" spans="1:34" x14ac:dyDescent="0.2">
      <c r="A79">
        <v>499.017</v>
      </c>
      <c r="B79">
        <v>3.3634299999999998E-6</v>
      </c>
      <c r="C79">
        <v>3.1418899999999998E-5</v>
      </c>
      <c r="D79">
        <f t="shared" si="16"/>
        <v>0.19290036189285445</v>
      </c>
      <c r="E79">
        <f t="shared" si="17"/>
        <v>11.788173144385789</v>
      </c>
      <c r="G79" s="5">
        <v>1.9218399999999998E-6</v>
      </c>
      <c r="H79" s="5">
        <v>2.2078200000000001E-5</v>
      </c>
      <c r="I79" s="4">
        <f t="shared" si="18"/>
        <v>0.10649082950074804</v>
      </c>
      <c r="J79" s="4">
        <f t="shared" si="19"/>
        <v>7.9473159423628648</v>
      </c>
      <c r="L79" s="5">
        <v>2.0598799999999998E-6</v>
      </c>
      <c r="M79" s="5">
        <v>2.7018399999999999E-5</v>
      </c>
      <c r="N79" s="4">
        <f t="shared" si="20"/>
        <v>0.1213171332151502</v>
      </c>
      <c r="O79" s="4">
        <f t="shared" si="21"/>
        <v>11.504289880990399</v>
      </c>
      <c r="Q79" s="5">
        <v>1.56312E-6</v>
      </c>
      <c r="R79" s="5">
        <v>2.5579899999999999E-5</v>
      </c>
      <c r="S79" s="4">
        <f t="shared" si="22"/>
        <v>8.8346304491581457E-2</v>
      </c>
      <c r="T79" s="4">
        <f t="shared" si="23"/>
        <v>9.354917751007541</v>
      </c>
      <c r="V79" s="5">
        <v>2.0779099999999999E-6</v>
      </c>
      <c r="W79" s="5">
        <v>2.3244999999999999E-5</v>
      </c>
      <c r="X79" s="4">
        <f t="shared" si="24"/>
        <v>0.13941681259770669</v>
      </c>
      <c r="Y79" s="4">
        <f t="shared" si="25"/>
        <v>10.12505499196355</v>
      </c>
      <c r="AA79" s="4">
        <f t="shared" si="26"/>
        <v>2.1972359999999996E-6</v>
      </c>
      <c r="AB79" s="4">
        <f t="shared" si="27"/>
        <v>2.5868080000000003E-5</v>
      </c>
      <c r="AD79" s="4">
        <f t="shared" si="28"/>
        <v>0.12969428833960817</v>
      </c>
      <c r="AE79" s="4">
        <f t="shared" si="29"/>
        <v>10.143950342142029</v>
      </c>
      <c r="AG79">
        <f t="shared" si="30"/>
        <v>3.5798793863286174E-2</v>
      </c>
      <c r="AH79">
        <f t="shared" si="31"/>
        <v>1.4143637746206947</v>
      </c>
    </row>
    <row r="80" spans="1:34" x14ac:dyDescent="0.2">
      <c r="A80">
        <v>505.20699999999999</v>
      </c>
      <c r="B80">
        <v>3.3503100000000002E-6</v>
      </c>
      <c r="C80">
        <v>3.1390599999999997E-5</v>
      </c>
      <c r="D80">
        <f t="shared" si="16"/>
        <v>0.19214790004645535</v>
      </c>
      <c r="E80">
        <f t="shared" si="17"/>
        <v>11.777555162852822</v>
      </c>
      <c r="G80" s="5">
        <v>1.9389000000000002E-6</v>
      </c>
      <c r="H80" s="5">
        <v>2.20745E-5</v>
      </c>
      <c r="I80" s="4">
        <f t="shared" si="18"/>
        <v>0.107436138970466</v>
      </c>
      <c r="J80" s="4">
        <f t="shared" si="19"/>
        <v>7.9459840824745251</v>
      </c>
      <c r="L80" s="5">
        <v>2.04574E-6</v>
      </c>
      <c r="M80" s="5">
        <v>2.7089599999999999E-5</v>
      </c>
      <c r="N80" s="4">
        <f t="shared" si="20"/>
        <v>0.12048435447868876</v>
      </c>
      <c r="O80" s="4">
        <f t="shared" si="21"/>
        <v>11.534606459304678</v>
      </c>
      <c r="Q80" s="5">
        <v>1.5763000000000001E-6</v>
      </c>
      <c r="R80" s="5">
        <v>2.56934E-5</v>
      </c>
      <c r="S80" s="4">
        <f t="shared" si="22"/>
        <v>8.9091227653718116E-2</v>
      </c>
      <c r="T80" s="4">
        <f t="shared" si="23"/>
        <v>9.3964262465348636</v>
      </c>
      <c r="V80" s="5">
        <v>2.0815899999999998E-6</v>
      </c>
      <c r="W80" s="5">
        <v>2.3268299999999999E-5</v>
      </c>
      <c r="X80" s="4">
        <f t="shared" si="24"/>
        <v>0.13966372120797352</v>
      </c>
      <c r="Y80" s="4">
        <f t="shared" si="25"/>
        <v>10.135204003850525</v>
      </c>
      <c r="AA80" s="4">
        <f t="shared" si="26"/>
        <v>2.198568E-6</v>
      </c>
      <c r="AB80" s="4">
        <f t="shared" si="27"/>
        <v>2.5903279999999998E-5</v>
      </c>
      <c r="AD80" s="4">
        <f t="shared" si="28"/>
        <v>0.12976466847146034</v>
      </c>
      <c r="AE80" s="4">
        <f t="shared" si="29"/>
        <v>10.157955191003484</v>
      </c>
      <c r="AG80">
        <f t="shared" si="30"/>
        <v>3.5294971517923927E-2</v>
      </c>
      <c r="AH80">
        <f t="shared" si="31"/>
        <v>1.4136147224811144</v>
      </c>
    </row>
    <row r="81" spans="1:34" x14ac:dyDescent="0.2">
      <c r="A81">
        <v>518.327</v>
      </c>
      <c r="B81">
        <v>9.4989399999999996E-4</v>
      </c>
      <c r="C81">
        <v>1.95918E-4</v>
      </c>
      <c r="D81">
        <f t="shared" si="16"/>
        <v>54.478581792946812</v>
      </c>
      <c r="E81">
        <f t="shared" si="17"/>
        <v>73.507198091014487</v>
      </c>
      <c r="G81" s="5">
        <v>1.11955E-3</v>
      </c>
      <c r="H81" s="5">
        <v>2.3162399999999999E-4</v>
      </c>
      <c r="I81" s="4">
        <f t="shared" si="18"/>
        <v>62.035241314345868</v>
      </c>
      <c r="J81" s="4">
        <f t="shared" si="19"/>
        <v>83.375868858596078</v>
      </c>
      <c r="L81" s="5">
        <v>1.0782000000000001E-3</v>
      </c>
      <c r="M81" s="5">
        <v>1.9274799999999999E-4</v>
      </c>
      <c r="N81" s="4">
        <f t="shared" si="20"/>
        <v>63.500851036261807</v>
      </c>
      <c r="O81" s="4">
        <f t="shared" si="21"/>
        <v>82.071065125290076</v>
      </c>
      <c r="Q81" s="5">
        <v>1.2172000000000001E-3</v>
      </c>
      <c r="R81" s="5">
        <v>2.53928E-4</v>
      </c>
      <c r="S81" s="4">
        <f t="shared" si="22"/>
        <v>68.795180041937257</v>
      </c>
      <c r="T81" s="4">
        <f t="shared" si="23"/>
        <v>92.864927332704312</v>
      </c>
      <c r="V81" s="5">
        <v>9.5597900000000003E-4</v>
      </c>
      <c r="W81" s="5">
        <v>1.9816899999999999E-4</v>
      </c>
      <c r="X81" s="4">
        <f t="shared" si="24"/>
        <v>64.141153895184615</v>
      </c>
      <c r="Y81" s="4">
        <f t="shared" si="25"/>
        <v>86.318435048501811</v>
      </c>
      <c r="AA81" s="4">
        <f t="shared" si="26"/>
        <v>1.0641646E-3</v>
      </c>
      <c r="AB81" s="4">
        <f t="shared" si="27"/>
        <v>2.144774E-4</v>
      </c>
      <c r="AD81" s="4">
        <f t="shared" si="28"/>
        <v>62.590201616135275</v>
      </c>
      <c r="AE81" s="4">
        <f t="shared" si="29"/>
        <v>83.62749889122135</v>
      </c>
      <c r="AG81">
        <f t="shared" si="30"/>
        <v>4.6441974483313988</v>
      </c>
      <c r="AH81">
        <f t="shared" si="31"/>
        <v>6.284544751082537</v>
      </c>
    </row>
    <row r="82" spans="1:34" x14ac:dyDescent="0.2">
      <c r="A82">
        <v>524.44100000000003</v>
      </c>
      <c r="B82">
        <v>9.7780200000000005E-4</v>
      </c>
      <c r="C82">
        <v>1.9673100000000001E-4</v>
      </c>
      <c r="D82">
        <f t="shared" si="16"/>
        <v>56.079169080241563</v>
      </c>
      <c r="E82">
        <f t="shared" si="17"/>
        <v>73.812230564028681</v>
      </c>
      <c r="G82" s="5">
        <v>1.1920100000000001E-3</v>
      </c>
      <c r="H82" s="5">
        <v>2.40268E-4</v>
      </c>
      <c r="I82" s="4">
        <f t="shared" si="18"/>
        <v>66.050313071424611</v>
      </c>
      <c r="J82" s="4">
        <f t="shared" si="19"/>
        <v>86.487381527463313</v>
      </c>
      <c r="L82" s="5">
        <v>1.1200299999999999E-3</v>
      </c>
      <c r="M82" s="5">
        <v>1.9167000000000001E-4</v>
      </c>
      <c r="N82" s="4">
        <f t="shared" si="20"/>
        <v>65.964439052257745</v>
      </c>
      <c r="O82" s="4">
        <f t="shared" si="21"/>
        <v>81.612058504183437</v>
      </c>
      <c r="Q82" s="5">
        <v>1.2829E-3</v>
      </c>
      <c r="R82" s="5">
        <v>2.51962E-4</v>
      </c>
      <c r="S82" s="4">
        <f t="shared" si="22"/>
        <v>72.508492011009935</v>
      </c>
      <c r="T82" s="4">
        <f t="shared" si="23"/>
        <v>92.145934361720023</v>
      </c>
      <c r="V82" s="5">
        <v>1.0288599999999999E-3</v>
      </c>
      <c r="W82" s="5">
        <v>2.04167E-4</v>
      </c>
      <c r="X82" s="4">
        <f t="shared" si="24"/>
        <v>69.031084988895813</v>
      </c>
      <c r="Y82" s="4">
        <f t="shared" si="25"/>
        <v>88.931043344556784</v>
      </c>
      <c r="AA82" s="4">
        <f t="shared" si="26"/>
        <v>1.1203204000000001E-3</v>
      </c>
      <c r="AB82" s="4">
        <f t="shared" si="27"/>
        <v>2.1695960000000001E-4</v>
      </c>
      <c r="AD82" s="4">
        <f t="shared" si="28"/>
        <v>65.926699640765932</v>
      </c>
      <c r="AE82" s="4">
        <f t="shared" si="29"/>
        <v>84.597729660390456</v>
      </c>
      <c r="AG82">
        <f t="shared" si="30"/>
        <v>5.4762717587527732</v>
      </c>
      <c r="AH82">
        <f t="shared" si="31"/>
        <v>6.3963272100153867</v>
      </c>
    </row>
    <row r="83" spans="1:34" x14ac:dyDescent="0.2">
      <c r="A83">
        <v>530.67700000000002</v>
      </c>
      <c r="B83">
        <v>9.94497E-4</v>
      </c>
      <c r="C83">
        <v>1.94181E-4</v>
      </c>
      <c r="D83">
        <f t="shared" si="16"/>
        <v>57.036665309329493</v>
      </c>
      <c r="E83">
        <f t="shared" si="17"/>
        <v>72.855486644980473</v>
      </c>
      <c r="G83" s="5">
        <v>1.2493999999999999E-3</v>
      </c>
      <c r="H83" s="5">
        <v>2.42024E-4</v>
      </c>
      <c r="I83" s="4">
        <f t="shared" si="18"/>
        <v>69.230342993295281</v>
      </c>
      <c r="J83" s="4">
        <f t="shared" si="19"/>
        <v>87.119475031226727</v>
      </c>
      <c r="L83" s="5">
        <v>1.15256E-3</v>
      </c>
      <c r="M83" s="5">
        <v>1.8933200000000001E-4</v>
      </c>
      <c r="N83" s="4">
        <f t="shared" si="20"/>
        <v>67.880301308063338</v>
      </c>
      <c r="O83" s="4">
        <f t="shared" si="21"/>
        <v>80.616550637627483</v>
      </c>
      <c r="Q83" s="5">
        <v>1.3290000000000001E-3</v>
      </c>
      <c r="R83" s="5">
        <v>2.5059600000000001E-4</v>
      </c>
      <c r="S83" s="4">
        <f t="shared" si="22"/>
        <v>75.114027502246643</v>
      </c>
      <c r="T83" s="4">
        <f t="shared" si="23"/>
        <v>91.646369560924242</v>
      </c>
      <c r="V83" s="5">
        <v>1.09037E-3</v>
      </c>
      <c r="W83" s="5">
        <v>2.1187300000000001E-4</v>
      </c>
      <c r="X83" s="4">
        <f t="shared" si="24"/>
        <v>73.158081895828715</v>
      </c>
      <c r="Y83" s="4">
        <f t="shared" si="25"/>
        <v>92.287622125717078</v>
      </c>
      <c r="AA83" s="4">
        <f t="shared" si="26"/>
        <v>1.1631654E-3</v>
      </c>
      <c r="AB83" s="4">
        <f t="shared" si="27"/>
        <v>2.1760120000000001E-4</v>
      </c>
      <c r="AD83" s="4">
        <f t="shared" si="28"/>
        <v>68.483883801752697</v>
      </c>
      <c r="AE83" s="4">
        <f t="shared" si="29"/>
        <v>84.905100800095198</v>
      </c>
      <c r="AG83">
        <f t="shared" si="30"/>
        <v>6.2891534832036955</v>
      </c>
      <c r="AH83">
        <f t="shared" si="31"/>
        <v>7.3271364481307941</v>
      </c>
    </row>
    <row r="84" spans="1:34" x14ac:dyDescent="0.2">
      <c r="A84">
        <v>536.91800000000001</v>
      </c>
      <c r="B84">
        <v>1.0073E-3</v>
      </c>
      <c r="C84">
        <v>1.9318300000000001E-4</v>
      </c>
      <c r="D84">
        <f t="shared" si="16"/>
        <v>57.770946484592315</v>
      </c>
      <c r="E84">
        <f t="shared" si="17"/>
        <v>72.481043338623579</v>
      </c>
      <c r="G84" s="5">
        <v>1.2971300000000001E-3</v>
      </c>
      <c r="H84" s="5">
        <v>2.4505300000000001E-4</v>
      </c>
      <c r="I84" s="4">
        <f t="shared" si="18"/>
        <v>71.875103895384271</v>
      </c>
      <c r="J84" s="4">
        <f t="shared" si="19"/>
        <v>88.209800329005404</v>
      </c>
      <c r="L84" s="5">
        <v>1.1822200000000001E-3</v>
      </c>
      <c r="M84" s="5">
        <v>1.8893100000000001E-4</v>
      </c>
      <c r="N84" s="4">
        <f t="shared" si="20"/>
        <v>69.627134216369342</v>
      </c>
      <c r="O84" s="4">
        <f t="shared" si="21"/>
        <v>80.445806987290041</v>
      </c>
      <c r="Q84" s="5">
        <v>1.3687700000000001E-3</v>
      </c>
      <c r="R84" s="5">
        <v>2.50323E-4</v>
      </c>
      <c r="S84" s="4">
        <f t="shared" si="22"/>
        <v>77.361796406508759</v>
      </c>
      <c r="T84" s="4">
        <f t="shared" si="23"/>
        <v>91.546529743488463</v>
      </c>
      <c r="V84" s="5">
        <v>1.14941E-3</v>
      </c>
      <c r="W84" s="5">
        <v>2.1884000000000001E-4</v>
      </c>
      <c r="X84" s="4">
        <f t="shared" si="24"/>
        <v>77.11935481706621</v>
      </c>
      <c r="Y84" s="4">
        <f t="shared" si="25"/>
        <v>95.322307353895624</v>
      </c>
      <c r="AA84" s="4">
        <f t="shared" si="26"/>
        <v>1.2009659999999999E-3</v>
      </c>
      <c r="AB84" s="4">
        <f t="shared" si="27"/>
        <v>2.1926600000000002E-4</v>
      </c>
      <c r="AD84" s="4">
        <f t="shared" si="28"/>
        <v>70.750867163984182</v>
      </c>
      <c r="AE84" s="4">
        <f t="shared" si="29"/>
        <v>85.601097550460622</v>
      </c>
      <c r="AG84">
        <f t="shared" si="30"/>
        <v>7.1451668314492167</v>
      </c>
      <c r="AH84">
        <f t="shared" si="31"/>
        <v>8.1898505176021192</v>
      </c>
    </row>
    <row r="85" spans="1:34" x14ac:dyDescent="0.2">
      <c r="A85">
        <v>543.17700000000002</v>
      </c>
      <c r="B85">
        <v>1.0187E-3</v>
      </c>
      <c r="C85">
        <v>1.91652E-4</v>
      </c>
      <c r="D85">
        <f t="shared" si="16"/>
        <v>58.424762418201311</v>
      </c>
      <c r="E85">
        <f t="shared" si="17"/>
        <v>71.906621793500889</v>
      </c>
      <c r="G85" s="5">
        <v>1.34413E-3</v>
      </c>
      <c r="H85" s="5">
        <v>2.5103300000000001E-4</v>
      </c>
      <c r="I85" s="4">
        <f t="shared" si="18"/>
        <v>74.479414861195764</v>
      </c>
      <c r="J85" s="4">
        <f t="shared" si="19"/>
        <v>90.362373878268016</v>
      </c>
      <c r="L85" s="5">
        <v>1.2099599999999999E-3</v>
      </c>
      <c r="M85" s="5">
        <v>1.9033599999999999E-4</v>
      </c>
      <c r="N85" s="4">
        <f t="shared" si="20"/>
        <v>71.260888258055388</v>
      </c>
      <c r="O85" s="4">
        <f t="shared" si="21"/>
        <v>81.044048455429945</v>
      </c>
      <c r="Q85" s="5">
        <v>1.4070899999999999E-3</v>
      </c>
      <c r="R85" s="5">
        <v>2.5413999999999998E-4</v>
      </c>
      <c r="S85" s="4">
        <f t="shared" si="22"/>
        <v>79.527612459094215</v>
      </c>
      <c r="T85" s="4">
        <f t="shared" si="23"/>
        <v>92.942458619504237</v>
      </c>
      <c r="V85" s="5">
        <v>1.20082E-3</v>
      </c>
      <c r="W85" s="5">
        <v>2.25508E-4</v>
      </c>
      <c r="X85" s="4">
        <f t="shared" si="24"/>
        <v>80.568694940386337</v>
      </c>
      <c r="Y85" s="4">
        <f t="shared" si="25"/>
        <v>98.226754189189776</v>
      </c>
      <c r="AA85" s="4">
        <f t="shared" si="26"/>
        <v>1.2361399999999999E-3</v>
      </c>
      <c r="AB85" s="4">
        <f t="shared" si="27"/>
        <v>2.2253379999999999E-4</v>
      </c>
      <c r="AD85" s="4">
        <f t="shared" si="28"/>
        <v>72.852274587386589</v>
      </c>
      <c r="AE85" s="4">
        <f t="shared" si="29"/>
        <v>86.896451387178573</v>
      </c>
      <c r="AG85">
        <f t="shared" si="30"/>
        <v>7.9678915916002557</v>
      </c>
      <c r="AH85">
        <f t="shared" si="31"/>
        <v>9.3368966479860838</v>
      </c>
    </row>
    <row r="86" spans="1:34" x14ac:dyDescent="0.2">
      <c r="A86">
        <v>549.27800000000002</v>
      </c>
      <c r="B86">
        <v>1.02688E-3</v>
      </c>
      <c r="C86">
        <v>1.9238E-4</v>
      </c>
      <c r="D86">
        <f t="shared" si="16"/>
        <v>58.893904026703211</v>
      </c>
      <c r="E86">
        <f t="shared" si="17"/>
        <v>72.179762802546804</v>
      </c>
      <c r="G86" s="5">
        <v>1.3913E-3</v>
      </c>
      <c r="H86" s="5">
        <v>2.55147E-4</v>
      </c>
      <c r="I86" s="4">
        <f t="shared" si="18"/>
        <v>77.093145675181475</v>
      </c>
      <c r="J86" s="4">
        <f t="shared" si="19"/>
        <v>91.843258089249019</v>
      </c>
      <c r="L86" s="5">
        <v>1.23824E-3</v>
      </c>
      <c r="M86" s="5">
        <v>1.9148799999999999E-4</v>
      </c>
      <c r="N86" s="4">
        <f t="shared" si="20"/>
        <v>72.926445730978301</v>
      </c>
      <c r="O86" s="4">
        <f t="shared" si="21"/>
        <v>81.534563879840761</v>
      </c>
      <c r="Q86" s="5">
        <v>1.4460600000000001E-3</v>
      </c>
      <c r="R86" s="5">
        <v>2.55997E-4</v>
      </c>
      <c r="S86" s="4">
        <f t="shared" si="22"/>
        <v>81.730165996914053</v>
      </c>
      <c r="T86" s="4">
        <f t="shared" si="23"/>
        <v>93.621588806237625</v>
      </c>
      <c r="V86" s="5">
        <v>1.2503200000000001E-3</v>
      </c>
      <c r="W86" s="5">
        <v>2.3130700000000001E-4</v>
      </c>
      <c r="X86" s="4">
        <f t="shared" si="24"/>
        <v>83.889884127399469</v>
      </c>
      <c r="Y86" s="4">
        <f t="shared" si="25"/>
        <v>100.7526820832916</v>
      </c>
      <c r="AA86" s="4">
        <f t="shared" si="26"/>
        <v>1.27056E-3</v>
      </c>
      <c r="AB86" s="4">
        <f t="shared" si="27"/>
        <v>2.2526379999999999E-4</v>
      </c>
      <c r="AD86" s="4">
        <f t="shared" si="28"/>
        <v>74.906709111435291</v>
      </c>
      <c r="AE86" s="4">
        <f t="shared" si="29"/>
        <v>87.986371132233174</v>
      </c>
      <c r="AG86">
        <f t="shared" si="30"/>
        <v>8.8585424514456363</v>
      </c>
      <c r="AH86">
        <f t="shared" si="31"/>
        <v>10.010840466632677</v>
      </c>
    </row>
    <row r="87" spans="1:34" x14ac:dyDescent="0.2">
      <c r="A87">
        <v>555.61199999999997</v>
      </c>
      <c r="B87">
        <v>1.0348E-3</v>
      </c>
      <c r="C87">
        <v>1.92478E-4</v>
      </c>
      <c r="D87">
        <f t="shared" si="16"/>
        <v>59.348134043736842</v>
      </c>
      <c r="E87">
        <f t="shared" si="17"/>
        <v>72.216531784533771</v>
      </c>
      <c r="G87" s="5">
        <v>1.4352E-3</v>
      </c>
      <c r="H87" s="5">
        <v>2.6189300000000002E-4</v>
      </c>
      <c r="I87" s="4">
        <f t="shared" si="18"/>
        <v>79.525682938992631</v>
      </c>
      <c r="J87" s="4">
        <f t="shared" si="19"/>
        <v>94.271562631611175</v>
      </c>
      <c r="L87" s="5">
        <v>1.2641E-3</v>
      </c>
      <c r="M87" s="5">
        <v>1.9542499999999999E-4</v>
      </c>
      <c r="N87" s="4">
        <f t="shared" si="20"/>
        <v>74.449476715765655</v>
      </c>
      <c r="O87" s="4">
        <f t="shared" si="21"/>
        <v>83.210917374550249</v>
      </c>
      <c r="Q87" s="5">
        <v>1.48207E-3</v>
      </c>
      <c r="R87" s="5">
        <v>2.58793E-4</v>
      </c>
      <c r="S87" s="4">
        <f t="shared" si="22"/>
        <v>83.765422678897423</v>
      </c>
      <c r="T87" s="4">
        <f t="shared" si="23"/>
        <v>94.644124079315972</v>
      </c>
      <c r="V87" s="5">
        <v>1.29725E-3</v>
      </c>
      <c r="W87" s="5">
        <v>2.41019E-4</v>
      </c>
      <c r="X87" s="4">
        <f t="shared" si="24"/>
        <v>87.038639855612132</v>
      </c>
      <c r="Y87" s="4">
        <f t="shared" si="25"/>
        <v>104.98303416253229</v>
      </c>
      <c r="AA87" s="4">
        <f t="shared" si="26"/>
        <v>1.3026839999999999E-3</v>
      </c>
      <c r="AB87" s="4">
        <f t="shared" si="27"/>
        <v>2.2992160000000002E-4</v>
      </c>
      <c r="AD87" s="4">
        <f t="shared" si="28"/>
        <v>76.825471246600927</v>
      </c>
      <c r="AE87" s="4">
        <f t="shared" si="29"/>
        <v>89.8652340065087</v>
      </c>
      <c r="AG87">
        <f t="shared" si="30"/>
        <v>9.7042830525045449</v>
      </c>
      <c r="AH87">
        <f t="shared" si="31"/>
        <v>11.194266602115059</v>
      </c>
    </row>
    <row r="88" spans="1:34" x14ac:dyDescent="0.2">
      <c r="A88">
        <v>561.73</v>
      </c>
      <c r="B88">
        <v>1.0398300000000001E-3</v>
      </c>
      <c r="C88">
        <v>1.9393899999999999E-4</v>
      </c>
      <c r="D88">
        <f t="shared" si="16"/>
        <v>59.636615986373101</v>
      </c>
      <c r="E88">
        <f t="shared" si="17"/>
        <v>72.764689771094325</v>
      </c>
      <c r="G88" s="5">
        <v>1.4696799999999999E-3</v>
      </c>
      <c r="H88" s="5">
        <v>2.6772100000000001E-4</v>
      </c>
      <c r="I88" s="4">
        <f t="shared" si="18"/>
        <v>81.436249792209225</v>
      </c>
      <c r="J88" s="4">
        <f t="shared" si="19"/>
        <v>96.369421936812259</v>
      </c>
      <c r="L88" s="5">
        <v>1.2899599999999999E-3</v>
      </c>
      <c r="M88" s="5">
        <v>1.98183E-4</v>
      </c>
      <c r="N88" s="4">
        <f t="shared" si="20"/>
        <v>75.97250770055301</v>
      </c>
      <c r="O88" s="4">
        <f t="shared" si="21"/>
        <v>84.385258989589332</v>
      </c>
      <c r="Q88" s="5">
        <v>1.51418E-3</v>
      </c>
      <c r="R88" s="5">
        <v>2.6269999999999999E-4</v>
      </c>
      <c r="S88" s="4">
        <f t="shared" si="22"/>
        <v>85.580254449474651</v>
      </c>
      <c r="T88" s="4">
        <f t="shared" si="23"/>
        <v>96.072967180860019</v>
      </c>
      <c r="V88" s="5">
        <v>1.3429799999999999E-3</v>
      </c>
      <c r="W88" s="5">
        <v>2.48354E-4</v>
      </c>
      <c r="X88" s="4">
        <f t="shared" si="24"/>
        <v>90.106881906563871</v>
      </c>
      <c r="Y88" s="4">
        <f t="shared" si="25"/>
        <v>108.17801279733774</v>
      </c>
      <c r="AA88" s="4">
        <f t="shared" si="26"/>
        <v>1.3313259999999999E-3</v>
      </c>
      <c r="AB88" s="4">
        <f t="shared" si="27"/>
        <v>2.3417940000000002E-4</v>
      </c>
      <c r="AD88" s="4">
        <f t="shared" si="28"/>
        <v>78.546501967034757</v>
      </c>
      <c r="AE88" s="4">
        <f t="shared" si="29"/>
        <v>91.55407013513873</v>
      </c>
      <c r="AG88">
        <f t="shared" si="30"/>
        <v>10.542067492755972</v>
      </c>
      <c r="AH88">
        <f t="shared" si="31"/>
        <v>12.03657908896948</v>
      </c>
    </row>
    <row r="89" spans="1:34" x14ac:dyDescent="0.2">
      <c r="A89">
        <v>567.92600000000004</v>
      </c>
      <c r="B89">
        <v>1.04528E-3</v>
      </c>
      <c r="C89">
        <v>1.93501E-4</v>
      </c>
      <c r="D89">
        <f t="shared" si="16"/>
        <v>59.949185884458103</v>
      </c>
      <c r="E89">
        <f t="shared" si="17"/>
        <v>72.600354933234286</v>
      </c>
      <c r="G89" s="5">
        <v>1.5073E-3</v>
      </c>
      <c r="H89" s="5">
        <v>2.7368100000000001E-4</v>
      </c>
      <c r="I89" s="4">
        <f t="shared" si="18"/>
        <v>83.520806782290691</v>
      </c>
      <c r="J89" s="4">
        <f t="shared" si="19"/>
        <v>98.5147962434352</v>
      </c>
      <c r="L89" s="5">
        <v>1.3142900000000001E-3</v>
      </c>
      <c r="M89" s="5">
        <v>1.99815E-4</v>
      </c>
      <c r="N89" s="4">
        <f t="shared" si="20"/>
        <v>77.405428963502615</v>
      </c>
      <c r="O89" s="4">
        <f t="shared" si="21"/>
        <v>85.080155840837961</v>
      </c>
      <c r="Q89" s="5">
        <v>1.5466099999999999E-3</v>
      </c>
      <c r="R89" s="5">
        <v>2.64226E-4</v>
      </c>
      <c r="S89" s="4">
        <f t="shared" si="22"/>
        <v>87.413172366628785</v>
      </c>
      <c r="T89" s="4">
        <f t="shared" si="23"/>
        <v>96.631046160372748</v>
      </c>
      <c r="V89" s="5">
        <v>1.3929700000000001E-3</v>
      </c>
      <c r="W89" s="5">
        <v>2.55725E-4</v>
      </c>
      <c r="X89" s="4">
        <f t="shared" si="24"/>
        <v>93.4609475117919</v>
      </c>
      <c r="Y89" s="4">
        <f t="shared" si="25"/>
        <v>111.38867230887843</v>
      </c>
      <c r="AA89" s="4">
        <f t="shared" si="26"/>
        <v>1.36129E-3</v>
      </c>
      <c r="AB89" s="4">
        <f t="shared" si="27"/>
        <v>2.373896E-4</v>
      </c>
      <c r="AD89" s="4">
        <f t="shared" si="28"/>
        <v>80.349908301734416</v>
      </c>
      <c r="AE89" s="4">
        <f t="shared" si="29"/>
        <v>92.843005097351721</v>
      </c>
      <c r="AG89">
        <f t="shared" si="30"/>
        <v>11.460393355484046</v>
      </c>
      <c r="AH89">
        <f t="shared" si="31"/>
        <v>13.118589531400255</v>
      </c>
    </row>
    <row r="90" spans="1:34" x14ac:dyDescent="0.2">
      <c r="A90">
        <v>574.19000000000005</v>
      </c>
      <c r="B90">
        <v>1.04874E-3</v>
      </c>
      <c r="C90">
        <v>1.9348E-4</v>
      </c>
      <c r="D90">
        <f t="shared" si="16"/>
        <v>60.147624755535936</v>
      </c>
      <c r="E90">
        <f t="shared" si="17"/>
        <v>72.592475865665648</v>
      </c>
      <c r="G90" s="5">
        <v>1.5397399999999999E-3</v>
      </c>
      <c r="H90" s="5">
        <v>2.7966999999999998E-4</v>
      </c>
      <c r="I90" s="4">
        <f t="shared" si="18"/>
        <v>85.318335457416737</v>
      </c>
      <c r="J90" s="4">
        <f t="shared" si="19"/>
        <v>100.67060945188567</v>
      </c>
      <c r="L90" s="5">
        <v>1.3406799999999999E-3</v>
      </c>
      <c r="M90" s="5">
        <v>2.0252200000000001E-4</v>
      </c>
      <c r="N90" s="4">
        <f t="shared" si="20"/>
        <v>78.959674427096516</v>
      </c>
      <c r="O90" s="4">
        <f t="shared" si="21"/>
        <v>86.232781929275518</v>
      </c>
      <c r="Q90" s="5">
        <v>1.5775699999999999E-3</v>
      </c>
      <c r="R90" s="5">
        <v>2.6681200000000001E-4</v>
      </c>
      <c r="S90" s="4">
        <f t="shared" si="22"/>
        <v>89.163007047945243</v>
      </c>
      <c r="T90" s="4">
        <f t="shared" si="23"/>
        <v>97.576781573885128</v>
      </c>
      <c r="V90" s="5">
        <v>1.4316800000000001E-3</v>
      </c>
      <c r="W90" s="5">
        <v>2.69208E-4</v>
      </c>
      <c r="X90" s="4">
        <f t="shared" si="24"/>
        <v>96.058184550767237</v>
      </c>
      <c r="Y90" s="4">
        <f t="shared" si="25"/>
        <v>117.26159622613568</v>
      </c>
      <c r="AA90" s="4">
        <f t="shared" si="26"/>
        <v>1.3876819999999999E-3</v>
      </c>
      <c r="AB90" s="4">
        <f t="shared" si="27"/>
        <v>2.4233839999999998E-4</v>
      </c>
      <c r="AD90" s="4">
        <f t="shared" si="28"/>
        <v>81.92936524775233</v>
      </c>
      <c r="AE90" s="4">
        <f t="shared" si="29"/>
        <v>94.866849009369531</v>
      </c>
      <c r="AG90">
        <f t="shared" si="30"/>
        <v>12.220454247803456</v>
      </c>
      <c r="AH90">
        <f t="shared" si="31"/>
        <v>14.921440184980247</v>
      </c>
    </row>
    <row r="91" spans="1:34" x14ac:dyDescent="0.2">
      <c r="A91">
        <v>580.33500000000004</v>
      </c>
      <c r="B91">
        <v>1.0539900000000001E-3</v>
      </c>
      <c r="C91">
        <v>1.9173399999999999E-4</v>
      </c>
      <c r="D91">
        <f t="shared" si="16"/>
        <v>60.448724198645344</v>
      </c>
      <c r="E91">
        <f t="shared" si="17"/>
        <v>71.937387676387928</v>
      </c>
      <c r="G91" s="5">
        <v>1.5732599999999999E-3</v>
      </c>
      <c r="H91" s="5">
        <v>2.8668200000000002E-4</v>
      </c>
      <c r="I91" s="4">
        <f t="shared" si="18"/>
        <v>87.175707873884861</v>
      </c>
      <c r="J91" s="4">
        <f t="shared" si="19"/>
        <v>103.19466392135548</v>
      </c>
      <c r="L91" s="5">
        <v>1.36462E-3</v>
      </c>
      <c r="M91" s="5">
        <v>2.05634E-4</v>
      </c>
      <c r="N91" s="4">
        <f t="shared" si="20"/>
        <v>80.369626545263941</v>
      </c>
      <c r="O91" s="4">
        <f t="shared" si="21"/>
        <v>87.557854846607484</v>
      </c>
      <c r="Q91" s="5">
        <v>1.6067200000000001E-3</v>
      </c>
      <c r="R91" s="5">
        <v>2.6860300000000002E-4</v>
      </c>
      <c r="S91" s="4">
        <f t="shared" si="22"/>
        <v>90.810541962686017</v>
      </c>
      <c r="T91" s="4">
        <f t="shared" si="23"/>
        <v>98.231774661897774</v>
      </c>
      <c r="V91" s="5">
        <v>1.4778899999999999E-3</v>
      </c>
      <c r="W91" s="5">
        <v>2.7837599999999999E-4</v>
      </c>
      <c r="X91" s="4">
        <f t="shared" si="24"/>
        <v>99.158632072623334</v>
      </c>
      <c r="Y91" s="4">
        <f t="shared" si="25"/>
        <v>121.25499283471048</v>
      </c>
      <c r="AA91" s="4">
        <f t="shared" si="26"/>
        <v>1.4152959999999999E-3</v>
      </c>
      <c r="AB91" s="4">
        <f t="shared" si="27"/>
        <v>2.4620580000000005E-4</v>
      </c>
      <c r="AD91" s="4">
        <f t="shared" si="28"/>
        <v>83.592646530620698</v>
      </c>
      <c r="AE91" s="4">
        <f t="shared" si="29"/>
        <v>96.435334788191824</v>
      </c>
      <c r="AG91">
        <f t="shared" si="30"/>
        <v>13.063424112277593</v>
      </c>
      <c r="AH91">
        <f t="shared" si="31"/>
        <v>16.394451591330355</v>
      </c>
    </row>
    <row r="92" spans="1:34" x14ac:dyDescent="0.2">
      <c r="A92">
        <v>586.61800000000005</v>
      </c>
      <c r="B92">
        <v>1.0579700000000001E-3</v>
      </c>
      <c r="C92">
        <v>1.9174200000000001E-4</v>
      </c>
      <c r="D92">
        <f t="shared" si="16"/>
        <v>60.676986252659717</v>
      </c>
      <c r="E92">
        <f t="shared" si="17"/>
        <v>71.940389225937892</v>
      </c>
      <c r="G92" s="5">
        <v>1.61429E-3</v>
      </c>
      <c r="H92" s="5">
        <v>2.8726400000000002E-4</v>
      </c>
      <c r="I92" s="4">
        <f t="shared" si="18"/>
        <v>89.449215936166667</v>
      </c>
      <c r="J92" s="4">
        <f t="shared" si="19"/>
        <v>103.40416188217002</v>
      </c>
      <c r="L92" s="5">
        <v>1.3897099999999999E-3</v>
      </c>
      <c r="M92" s="5">
        <v>2.0913E-4</v>
      </c>
      <c r="N92" s="4">
        <f t="shared" si="20"/>
        <v>81.847308192917254</v>
      </c>
      <c r="O92" s="4">
        <f t="shared" si="21"/>
        <v>89.046432905409716</v>
      </c>
      <c r="Q92" s="5">
        <v>1.63765E-3</v>
      </c>
      <c r="R92" s="5">
        <v>2.7085599999999998E-4</v>
      </c>
      <c r="S92" s="4">
        <f t="shared" si="22"/>
        <v>92.558681067760872</v>
      </c>
      <c r="T92" s="4">
        <f t="shared" si="23"/>
        <v>99.055727440955536</v>
      </c>
      <c r="V92" s="5">
        <v>1.5259799999999999E-3</v>
      </c>
      <c r="W92" s="5">
        <v>2.8465800000000002E-4</v>
      </c>
      <c r="X92" s="4">
        <f t="shared" si="24"/>
        <v>102.38521768885489</v>
      </c>
      <c r="Y92" s="4">
        <f t="shared" si="25"/>
        <v>123.99130582501014</v>
      </c>
      <c r="AA92" s="4">
        <f t="shared" si="26"/>
        <v>1.4451199999999998E-3</v>
      </c>
      <c r="AB92" s="4">
        <f t="shared" si="27"/>
        <v>2.4873000000000001E-4</v>
      </c>
      <c r="AD92" s="4">
        <f t="shared" si="28"/>
        <v>85.383481827671872</v>
      </c>
      <c r="AE92" s="4">
        <f t="shared" si="29"/>
        <v>97.487603455896661</v>
      </c>
      <c r="AG92">
        <f t="shared" si="30"/>
        <v>13.999915341477049</v>
      </c>
      <c r="AH92">
        <f t="shared" si="31"/>
        <v>17.110373642258057</v>
      </c>
    </row>
    <row r="93" spans="1:34" x14ac:dyDescent="0.2">
      <c r="A93">
        <v>592.80999999999995</v>
      </c>
      <c r="B93">
        <v>1.0627099999999999E-3</v>
      </c>
      <c r="C93">
        <v>1.9144999999999999E-4</v>
      </c>
      <c r="D93">
        <f t="shared" si="16"/>
        <v>60.948836035581344</v>
      </c>
      <c r="E93">
        <f t="shared" si="17"/>
        <v>71.830832667364533</v>
      </c>
      <c r="G93" s="5">
        <v>1.6515799999999999E-3</v>
      </c>
      <c r="H93" s="5">
        <v>2.8878900000000002E-4</v>
      </c>
      <c r="I93" s="4">
        <f t="shared" si="18"/>
        <v>91.515487338615827</v>
      </c>
      <c r="J93" s="4">
        <f t="shared" si="19"/>
        <v>103.95310413344518</v>
      </c>
      <c r="L93" s="5">
        <v>1.4154599999999999E-3</v>
      </c>
      <c r="M93" s="5">
        <v>2.12418E-4</v>
      </c>
      <c r="N93" s="4">
        <f t="shared" si="20"/>
        <v>83.363860700971173</v>
      </c>
      <c r="O93" s="4">
        <f t="shared" si="21"/>
        <v>90.446445679248896</v>
      </c>
      <c r="Q93" s="5">
        <v>1.6672799999999999E-3</v>
      </c>
      <c r="R93" s="5">
        <v>2.72386E-4</v>
      </c>
      <c r="S93" s="4">
        <f t="shared" si="22"/>
        <v>94.233345202367019</v>
      </c>
      <c r="T93" s="4">
        <f t="shared" si="23"/>
        <v>99.615269274936196</v>
      </c>
      <c r="V93" s="5">
        <v>1.56525E-3</v>
      </c>
      <c r="W93" s="5">
        <v>2.9794499999999998E-4</v>
      </c>
      <c r="X93" s="4">
        <f t="shared" si="24"/>
        <v>105.02002777721866</v>
      </c>
      <c r="Y93" s="4">
        <f t="shared" si="25"/>
        <v>129.77885608004215</v>
      </c>
      <c r="AA93" s="4">
        <f t="shared" si="26"/>
        <v>1.472456E-3</v>
      </c>
      <c r="AB93" s="4">
        <f t="shared" si="27"/>
        <v>2.5259760000000001E-4</v>
      </c>
      <c r="AD93" s="4">
        <f t="shared" si="28"/>
        <v>87.016311410950806</v>
      </c>
      <c r="AE93" s="4">
        <f t="shared" si="29"/>
        <v>99.124901567007399</v>
      </c>
      <c r="AG93">
        <f t="shared" si="30"/>
        <v>14.76018721023468</v>
      </c>
      <c r="AH93">
        <f t="shared" si="31"/>
        <v>18.88649634788278</v>
      </c>
    </row>
    <row r="94" spans="1:34" x14ac:dyDescent="0.2">
      <c r="A94">
        <v>598.93799999999999</v>
      </c>
      <c r="B94">
        <v>1.06656E-3</v>
      </c>
      <c r="C94">
        <v>1.91182E-4</v>
      </c>
      <c r="D94">
        <f t="shared" si="16"/>
        <v>61.169642293861578</v>
      </c>
      <c r="E94">
        <f t="shared" si="17"/>
        <v>71.730280757441037</v>
      </c>
      <c r="G94" s="5">
        <v>1.68677E-3</v>
      </c>
      <c r="H94" s="5">
        <v>2.9767299999999998E-4</v>
      </c>
      <c r="I94" s="4">
        <f t="shared" si="18"/>
        <v>93.465395910677671</v>
      </c>
      <c r="J94" s="4">
        <f t="shared" si="19"/>
        <v>107.15100771398849</v>
      </c>
      <c r="L94" s="5">
        <v>1.4411999999999999E-3</v>
      </c>
      <c r="M94" s="5">
        <v>2.1602599999999999E-4</v>
      </c>
      <c r="N94" s="4">
        <f t="shared" si="20"/>
        <v>84.879824256594787</v>
      </c>
      <c r="O94" s="4">
        <f t="shared" si="21"/>
        <v>91.982712737646636</v>
      </c>
      <c r="Q94" s="5">
        <v>1.69644E-3</v>
      </c>
      <c r="R94" s="5">
        <v>2.7555199999999998E-4</v>
      </c>
      <c r="S94" s="4">
        <f t="shared" si="22"/>
        <v>95.881445309188322</v>
      </c>
      <c r="T94" s="4">
        <f t="shared" si="23"/>
        <v>100.77311858629744</v>
      </c>
      <c r="V94" s="5">
        <v>1.60618E-3</v>
      </c>
      <c r="W94" s="5">
        <v>3.0760999999999999E-4</v>
      </c>
      <c r="X94" s="4">
        <f t="shared" si="24"/>
        <v>107.7662151191267</v>
      </c>
      <c r="Y94" s="4">
        <f t="shared" si="25"/>
        <v>133.98873590354518</v>
      </c>
      <c r="AA94" s="4">
        <f t="shared" si="26"/>
        <v>1.4994300000000002E-3</v>
      </c>
      <c r="AB94" s="4">
        <f t="shared" si="27"/>
        <v>2.5760859999999998E-4</v>
      </c>
      <c r="AD94" s="4">
        <f t="shared" si="28"/>
        <v>88.632504577889819</v>
      </c>
      <c r="AE94" s="4">
        <f t="shared" si="29"/>
        <v>101.12517113978375</v>
      </c>
      <c r="AG94">
        <f t="shared" si="30"/>
        <v>15.558240735131918</v>
      </c>
      <c r="AH94">
        <f t="shared" si="31"/>
        <v>20.317936227019437</v>
      </c>
    </row>
    <row r="95" spans="1:34" x14ac:dyDescent="0.2">
      <c r="A95">
        <v>605.25900000000001</v>
      </c>
      <c r="B95">
        <v>1.0693600000000001E-3</v>
      </c>
      <c r="C95">
        <v>1.9301100000000001E-4</v>
      </c>
      <c r="D95">
        <f t="shared" si="16"/>
        <v>61.330228663519947</v>
      </c>
      <c r="E95">
        <f t="shared" si="17"/>
        <v>72.416510023299523</v>
      </c>
      <c r="G95" s="5">
        <v>1.7261100000000001E-3</v>
      </c>
      <c r="H95" s="5">
        <v>3.0371700000000001E-4</v>
      </c>
      <c r="I95" s="4">
        <f t="shared" si="18"/>
        <v>95.64525959993351</v>
      </c>
      <c r="J95" s="4">
        <f t="shared" si="19"/>
        <v>109.32661883969807</v>
      </c>
      <c r="L95" s="5">
        <v>1.4692100000000001E-3</v>
      </c>
      <c r="M95" s="5">
        <v>2.18032E-4</v>
      </c>
      <c r="N95" s="4">
        <f t="shared" si="20"/>
        <v>86.529480013899288</v>
      </c>
      <c r="O95" s="4">
        <f t="shared" si="21"/>
        <v>92.836856783973104</v>
      </c>
      <c r="Q95" s="5">
        <v>1.72336E-3</v>
      </c>
      <c r="R95" s="5">
        <v>2.7949600000000001E-4</v>
      </c>
      <c r="S95" s="4">
        <f t="shared" si="22"/>
        <v>97.40294238997123</v>
      </c>
      <c r="T95" s="4">
        <f t="shared" si="23"/>
        <v>102.2154930916698</v>
      </c>
      <c r="V95" s="5">
        <v>1.6416E-3</v>
      </c>
      <c r="W95" s="5">
        <v>3.2037599999999998E-4</v>
      </c>
      <c r="X95" s="4">
        <f t="shared" si="24"/>
        <v>110.142710492945</v>
      </c>
      <c r="Y95" s="4">
        <f t="shared" si="25"/>
        <v>139.54934902582551</v>
      </c>
      <c r="AA95" s="4">
        <f t="shared" si="26"/>
        <v>1.5259280000000002E-3</v>
      </c>
      <c r="AB95" s="4">
        <f t="shared" si="27"/>
        <v>2.629264E-4</v>
      </c>
      <c r="AD95" s="4">
        <f t="shared" si="28"/>
        <v>90.210124232053801</v>
      </c>
      <c r="AE95" s="4">
        <f t="shared" si="29"/>
        <v>103.26896555289322</v>
      </c>
      <c r="AG95">
        <f t="shared" si="30"/>
        <v>16.28607278921443</v>
      </c>
      <c r="AH95">
        <f t="shared" si="31"/>
        <v>21.976233062491996</v>
      </c>
    </row>
    <row r="96" spans="1:34" x14ac:dyDescent="0.2">
      <c r="A96">
        <v>611.42399999999998</v>
      </c>
      <c r="B96">
        <v>1.0729100000000001E-3</v>
      </c>
      <c r="C96">
        <v>1.93649E-4</v>
      </c>
      <c r="D96">
        <f t="shared" si="16"/>
        <v>61.533829239336782</v>
      </c>
      <c r="E96">
        <f t="shared" si="17"/>
        <v>72.655883599908449</v>
      </c>
      <c r="G96" s="5">
        <v>1.76425E-3</v>
      </c>
      <c r="H96" s="5">
        <v>3.0397099999999999E-4</v>
      </c>
      <c r="I96" s="4">
        <f t="shared" si="18"/>
        <v>97.75863024325372</v>
      </c>
      <c r="J96" s="4">
        <f t="shared" si="19"/>
        <v>109.41804922122193</v>
      </c>
      <c r="L96" s="5">
        <v>1.4950899999999999E-3</v>
      </c>
      <c r="M96" s="5">
        <v>2.2377000000000001E-4</v>
      </c>
      <c r="N96" s="4">
        <f t="shared" si="20"/>
        <v>88.053688903547254</v>
      </c>
      <c r="O96" s="4">
        <f t="shared" si="21"/>
        <v>95.280066423963731</v>
      </c>
      <c r="Q96" s="5">
        <v>1.74552E-3</v>
      </c>
      <c r="R96" s="5">
        <v>2.8633400000000001E-4</v>
      </c>
      <c r="S96" s="4">
        <f t="shared" si="22"/>
        <v>98.655408040422529</v>
      </c>
      <c r="T96" s="4">
        <f t="shared" si="23"/>
        <v>104.7162428045846</v>
      </c>
      <c r="V96" s="5">
        <v>1.69535E-3</v>
      </c>
      <c r="W96" s="5">
        <v>3.1985800000000001E-4</v>
      </c>
      <c r="X96" s="4">
        <f t="shared" si="24"/>
        <v>113.74905228692391</v>
      </c>
      <c r="Y96" s="4">
        <f t="shared" si="25"/>
        <v>139.32371863280179</v>
      </c>
      <c r="AA96" s="4">
        <f t="shared" si="26"/>
        <v>1.5546239999999999E-3</v>
      </c>
      <c r="AB96" s="4">
        <f t="shared" si="27"/>
        <v>2.6551639999999996E-4</v>
      </c>
      <c r="AD96" s="4">
        <f t="shared" si="28"/>
        <v>91.950121742696837</v>
      </c>
      <c r="AE96" s="4">
        <f t="shared" si="29"/>
        <v>104.27879213649608</v>
      </c>
      <c r="AG96">
        <f t="shared" si="30"/>
        <v>17.287139999013743</v>
      </c>
      <c r="AH96">
        <f t="shared" si="31"/>
        <v>21.613586506474061</v>
      </c>
    </row>
    <row r="97" spans="1:34" x14ac:dyDescent="0.2">
      <c r="A97">
        <v>617.57000000000005</v>
      </c>
      <c r="B97">
        <v>1.0756100000000001E-3</v>
      </c>
      <c r="C97">
        <v>1.9502000000000001E-4</v>
      </c>
      <c r="D97">
        <f t="shared" si="16"/>
        <v>61.688680381507332</v>
      </c>
      <c r="E97">
        <f t="shared" si="17"/>
        <v>73.170274154032029</v>
      </c>
      <c r="G97" s="5">
        <v>1.80203E-3</v>
      </c>
      <c r="H97" s="5">
        <v>3.0694400000000002E-4</v>
      </c>
      <c r="I97" s="4">
        <f t="shared" si="18"/>
        <v>99.85205297279326</v>
      </c>
      <c r="J97" s="4">
        <f t="shared" si="19"/>
        <v>110.48821663960953</v>
      </c>
      <c r="L97" s="5">
        <v>1.5235800000000001E-3</v>
      </c>
      <c r="M97" s="5">
        <v>2.2342E-4</v>
      </c>
      <c r="N97" s="4">
        <f t="shared" si="20"/>
        <v>89.73161437750673</v>
      </c>
      <c r="O97" s="4">
        <f t="shared" si="21"/>
        <v>95.131038300227814</v>
      </c>
      <c r="Q97" s="5">
        <v>1.7734199999999999E-3</v>
      </c>
      <c r="R97" s="5">
        <v>2.8967899999999999E-4</v>
      </c>
      <c r="S97" s="4">
        <f t="shared" si="22"/>
        <v>100.23229394509723</v>
      </c>
      <c r="T97" s="4">
        <f t="shared" si="23"/>
        <v>105.93955485338542</v>
      </c>
      <c r="V97" s="5">
        <v>1.7365200000000001E-3</v>
      </c>
      <c r="W97" s="5">
        <v>3.25889E-4</v>
      </c>
      <c r="X97" s="4">
        <f t="shared" si="24"/>
        <v>116.51134236428413</v>
      </c>
      <c r="Y97" s="4">
        <f t="shared" si="25"/>
        <v>141.95070106586405</v>
      </c>
      <c r="AA97" s="4">
        <f t="shared" si="26"/>
        <v>1.582232E-3</v>
      </c>
      <c r="AB97" s="4">
        <f t="shared" si="27"/>
        <v>2.6819039999999999E-4</v>
      </c>
      <c r="AD97" s="4">
        <f t="shared" si="28"/>
        <v>93.60319680823774</v>
      </c>
      <c r="AE97" s="4">
        <f t="shared" si="29"/>
        <v>105.33595700262376</v>
      </c>
      <c r="AG97">
        <f t="shared" si="30"/>
        <v>18.117956696615785</v>
      </c>
      <c r="AH97">
        <f t="shared" si="31"/>
        <v>22.388930797997723</v>
      </c>
    </row>
    <row r="98" spans="1:34" x14ac:dyDescent="0.2">
      <c r="A98">
        <v>623.89099999999996</v>
      </c>
      <c r="B98">
        <v>1.07818E-3</v>
      </c>
      <c r="C98">
        <v>1.9387199999999999E-4</v>
      </c>
      <c r="D98">
        <f t="shared" si="16"/>
        <v>61.836075727943751</v>
      </c>
      <c r="E98">
        <f t="shared" si="17"/>
        <v>72.739551793613458</v>
      </c>
      <c r="G98" s="5">
        <v>1.8370000000000001E-3</v>
      </c>
      <c r="H98" s="5">
        <v>3.1253200000000002E-4</v>
      </c>
      <c r="I98" s="4">
        <f t="shared" si="18"/>
        <v>101.78977115310023</v>
      </c>
      <c r="J98" s="4">
        <f t="shared" si="19"/>
        <v>112.49968503313453</v>
      </c>
      <c r="L98" s="5">
        <v>1.53999E-3</v>
      </c>
      <c r="M98" s="5">
        <v>2.3783300000000001E-4</v>
      </c>
      <c r="N98" s="4">
        <f t="shared" si="20"/>
        <v>90.698085315649053</v>
      </c>
      <c r="O98" s="4">
        <f t="shared" si="21"/>
        <v>101.26801643567309</v>
      </c>
      <c r="Q98" s="5">
        <v>1.7978099999999999E-3</v>
      </c>
      <c r="R98" s="5">
        <v>2.9358100000000001E-4</v>
      </c>
      <c r="S98" s="4">
        <f t="shared" si="22"/>
        <v>101.61079742950641</v>
      </c>
      <c r="T98" s="4">
        <f t="shared" si="23"/>
        <v>107.36656938684457</v>
      </c>
      <c r="V98" s="5">
        <v>1.77944E-3</v>
      </c>
      <c r="W98" s="5">
        <v>3.3226000000000002E-4</v>
      </c>
      <c r="X98" s="4">
        <f t="shared" si="24"/>
        <v>119.39104822098321</v>
      </c>
      <c r="Y98" s="4">
        <f t="shared" si="25"/>
        <v>144.72578066809248</v>
      </c>
      <c r="AA98" s="4">
        <f t="shared" si="26"/>
        <v>1.606484E-3</v>
      </c>
      <c r="AB98" s="4">
        <f t="shared" si="27"/>
        <v>2.740156E-4</v>
      </c>
      <c r="AD98" s="4">
        <f t="shared" si="28"/>
        <v>95.065155569436527</v>
      </c>
      <c r="AE98" s="4">
        <f t="shared" si="29"/>
        <v>107.71992066347161</v>
      </c>
      <c r="AG98">
        <f t="shared" si="30"/>
        <v>18.989776118305056</v>
      </c>
      <c r="AH98">
        <f t="shared" si="31"/>
        <v>23.054968894673578</v>
      </c>
    </row>
    <row r="99" spans="1:34" x14ac:dyDescent="0.2">
      <c r="A99">
        <v>630.03800000000001</v>
      </c>
      <c r="B99">
        <v>1.07941E-3</v>
      </c>
      <c r="C99">
        <v>1.9379799999999999E-4</v>
      </c>
      <c r="D99">
        <f t="shared" si="16"/>
        <v>61.906619026043671</v>
      </c>
      <c r="E99">
        <f t="shared" si="17"/>
        <v>72.711787460276369</v>
      </c>
      <c r="G99" s="5">
        <v>1.8742100000000001E-3</v>
      </c>
      <c r="H99" s="5">
        <v>3.1650800000000001E-4</v>
      </c>
      <c r="I99" s="4">
        <f t="shared" si="18"/>
        <v>103.85160968582036</v>
      </c>
      <c r="J99" s="4">
        <f t="shared" si="19"/>
        <v>113.93089446990179</v>
      </c>
      <c r="L99" s="5">
        <v>1.5776799999999999E-3</v>
      </c>
      <c r="M99" s="5">
        <v>2.2796599999999999E-4</v>
      </c>
      <c r="N99" s="4">
        <f t="shared" si="20"/>
        <v>92.917847025495746</v>
      </c>
      <c r="O99" s="4">
        <f t="shared" si="21"/>
        <v>97.066700730237812</v>
      </c>
      <c r="Q99" s="5">
        <v>1.82544E-3</v>
      </c>
      <c r="R99" s="5">
        <v>2.9362700000000003E-4</v>
      </c>
      <c r="S99" s="4">
        <f t="shared" si="22"/>
        <v>103.17242314800686</v>
      </c>
      <c r="T99" s="4">
        <f t="shared" si="23"/>
        <v>107.38339221322568</v>
      </c>
      <c r="V99" s="5">
        <v>1.82401E-3</v>
      </c>
      <c r="W99" s="5">
        <v>3.3680800000000002E-4</v>
      </c>
      <c r="X99" s="4">
        <f t="shared" si="24"/>
        <v>122.38146038391604</v>
      </c>
      <c r="Y99" s="4">
        <f t="shared" si="25"/>
        <v>146.70679809564464</v>
      </c>
      <c r="AA99" s="4">
        <f t="shared" si="26"/>
        <v>1.6361500000000001E-3</v>
      </c>
      <c r="AB99" s="4">
        <f t="shared" si="27"/>
        <v>2.7374140000000001E-4</v>
      </c>
      <c r="AD99" s="4">
        <f t="shared" si="28"/>
        <v>96.845991853856532</v>
      </c>
      <c r="AE99" s="4">
        <f t="shared" si="29"/>
        <v>107.55991459385726</v>
      </c>
      <c r="AG99">
        <f t="shared" si="30"/>
        <v>19.88644092124219</v>
      </c>
      <c r="AH99">
        <f t="shared" si="31"/>
        <v>24.073215549818912</v>
      </c>
    </row>
    <row r="100" spans="1:34" x14ac:dyDescent="0.2">
      <c r="A100">
        <v>636.29200000000003</v>
      </c>
      <c r="B100">
        <v>1.0827E-3</v>
      </c>
      <c r="C100">
        <v>1.93062E-4</v>
      </c>
      <c r="D100">
        <f t="shared" si="16"/>
        <v>62.095308010392237</v>
      </c>
      <c r="E100">
        <f t="shared" si="17"/>
        <v>72.43564490168049</v>
      </c>
      <c r="G100" s="5">
        <v>1.9098800000000001E-3</v>
      </c>
      <c r="H100" s="5">
        <v>3.1848599999999999E-4</v>
      </c>
      <c r="I100" s="4">
        <f t="shared" si="18"/>
        <v>105.82811547625643</v>
      </c>
      <c r="J100" s="4">
        <f t="shared" si="19"/>
        <v>114.64289956696557</v>
      </c>
      <c r="L100" s="5">
        <v>1.61068E-3</v>
      </c>
      <c r="M100" s="5">
        <v>2.3167199999999999E-4</v>
      </c>
      <c r="N100" s="4">
        <f t="shared" si="20"/>
        <v>94.861390045526022</v>
      </c>
      <c r="O100" s="4">
        <f t="shared" si="21"/>
        <v>98.644695663281595</v>
      </c>
      <c r="Q100" s="5">
        <v>1.8494E-3</v>
      </c>
      <c r="R100" s="5">
        <v>2.9932E-4</v>
      </c>
      <c r="S100" s="4">
        <f t="shared" si="22"/>
        <v>104.52662337295328</v>
      </c>
      <c r="T100" s="4">
        <f t="shared" si="23"/>
        <v>109.46539983469745</v>
      </c>
      <c r="V100" s="5">
        <v>1.86699E-3</v>
      </c>
      <c r="W100" s="5">
        <v>3.4424899999999998E-4</v>
      </c>
      <c r="X100" s="4">
        <f t="shared" si="24"/>
        <v>125.26519192447816</v>
      </c>
      <c r="Y100" s="4">
        <f t="shared" si="25"/>
        <v>149.94794820083717</v>
      </c>
      <c r="AA100" s="4">
        <f t="shared" si="26"/>
        <v>1.6639299999999999E-3</v>
      </c>
      <c r="AB100" s="4">
        <f t="shared" si="27"/>
        <v>2.773578E-4</v>
      </c>
      <c r="AD100" s="4">
        <f t="shared" si="28"/>
        <v>98.515325765921219</v>
      </c>
      <c r="AE100" s="4">
        <f t="shared" si="29"/>
        <v>109.02731763349246</v>
      </c>
      <c r="AG100">
        <f t="shared" si="30"/>
        <v>20.712010386876692</v>
      </c>
      <c r="AH100">
        <f t="shared" si="31"/>
        <v>25.11164683880375</v>
      </c>
    </row>
    <row r="101" spans="1:34" x14ac:dyDescent="0.2">
      <c r="A101">
        <v>642.43200000000002</v>
      </c>
      <c r="B101">
        <v>1.08624E-3</v>
      </c>
      <c r="C101">
        <v>1.9241000000000001E-4</v>
      </c>
      <c r="D101">
        <f t="shared" si="16"/>
        <v>62.2983350634603</v>
      </c>
      <c r="E101">
        <f t="shared" si="17"/>
        <v>72.191018613359148</v>
      </c>
      <c r="G101" s="5">
        <v>1.94433E-3</v>
      </c>
      <c r="H101" s="5">
        <v>3.2442199999999999E-4</v>
      </c>
      <c r="I101" s="4">
        <f t="shared" si="18"/>
        <v>107.73702000332466</v>
      </c>
      <c r="J101" s="4">
        <f t="shared" si="19"/>
        <v>116.7796347824209</v>
      </c>
      <c r="L101" s="5">
        <v>1.6376299999999999E-3</v>
      </c>
      <c r="M101" s="5">
        <v>2.3684300000000001E-4</v>
      </c>
      <c r="N101" s="4">
        <f t="shared" si="20"/>
        <v>96.448616845217401</v>
      </c>
      <c r="O101" s="4">
        <f t="shared" si="21"/>
        <v>100.84647974282004</v>
      </c>
      <c r="Q101" s="5">
        <v>1.8734400000000001E-3</v>
      </c>
      <c r="R101" s="5">
        <v>3.0321299999999999E-4</v>
      </c>
      <c r="S101" s="4">
        <f t="shared" si="22"/>
        <v>105.88534513454397</v>
      </c>
      <c r="T101" s="4">
        <f t="shared" si="23"/>
        <v>110.88912294560376</v>
      </c>
      <c r="V101" s="5">
        <v>1.9035600000000001E-3</v>
      </c>
      <c r="W101" s="5">
        <v>3.4943399999999998E-4</v>
      </c>
      <c r="X101" s="4">
        <f t="shared" si="24"/>
        <v>127.71884623900485</v>
      </c>
      <c r="Y101" s="4">
        <f t="shared" si="25"/>
        <v>152.20643003062128</v>
      </c>
      <c r="AA101" s="4">
        <f t="shared" si="26"/>
        <v>1.6890399999999999E-3</v>
      </c>
      <c r="AB101" s="4">
        <f t="shared" si="27"/>
        <v>2.8126440000000006E-4</v>
      </c>
      <c r="AD101" s="4">
        <f t="shared" si="28"/>
        <v>100.01763265711024</v>
      </c>
      <c r="AE101" s="4">
        <f t="shared" si="29"/>
        <v>110.58253722296502</v>
      </c>
      <c r="AG101">
        <f t="shared" si="30"/>
        <v>21.432962975064029</v>
      </c>
      <c r="AH101">
        <f t="shared" si="31"/>
        <v>25.844713122178018</v>
      </c>
    </row>
    <row r="102" spans="1:34" x14ac:dyDescent="0.2">
      <c r="A102">
        <v>648.59</v>
      </c>
      <c r="B102">
        <v>1.08964E-3</v>
      </c>
      <c r="C102">
        <v>1.9413699999999999E-4</v>
      </c>
      <c r="D102">
        <f t="shared" si="16"/>
        <v>62.493332798045429</v>
      </c>
      <c r="E102">
        <f t="shared" si="17"/>
        <v>72.838978122455714</v>
      </c>
      <c r="G102" s="5">
        <v>1.9822099999999999E-3</v>
      </c>
      <c r="H102" s="5">
        <v>3.2689600000000002E-4</v>
      </c>
      <c r="I102" s="4">
        <f t="shared" si="18"/>
        <v>109.83598382002549</v>
      </c>
      <c r="J102" s="4">
        <f t="shared" si="19"/>
        <v>117.67018109694862</v>
      </c>
      <c r="L102" s="5">
        <v>1.6682699999999999E-3</v>
      </c>
      <c r="M102" s="5">
        <v>2.39022E-4</v>
      </c>
      <c r="N102" s="4">
        <f t="shared" si="20"/>
        <v>98.253167091693996</v>
      </c>
      <c r="O102" s="4">
        <f t="shared" si="21"/>
        <v>101.77428626173597</v>
      </c>
      <c r="Q102" s="5">
        <v>1.90165E-3</v>
      </c>
      <c r="R102" s="5">
        <v>3.0694400000000002E-4</v>
      </c>
      <c r="S102" s="4">
        <f t="shared" si="22"/>
        <v>107.47975199371507</v>
      </c>
      <c r="T102" s="4">
        <f t="shared" si="23"/>
        <v>112.25360045055919</v>
      </c>
      <c r="V102" s="5">
        <v>1.9406499999999999E-3</v>
      </c>
      <c r="W102" s="5">
        <v>3.5794899999999998E-4</v>
      </c>
      <c r="X102" s="4">
        <f t="shared" si="24"/>
        <v>130.20738981367793</v>
      </c>
      <c r="Y102" s="4">
        <f t="shared" si="25"/>
        <v>155.9153929584152</v>
      </c>
      <c r="AA102" s="4">
        <f t="shared" si="26"/>
        <v>1.7164840000000001E-3</v>
      </c>
      <c r="AB102" s="4">
        <f t="shared" si="27"/>
        <v>2.8498959999999997E-4</v>
      </c>
      <c r="AD102" s="4">
        <f t="shared" si="28"/>
        <v>101.65392510343159</v>
      </c>
      <c r="AE102" s="4">
        <f t="shared" si="29"/>
        <v>112.09048777802295</v>
      </c>
      <c r="AG102">
        <f t="shared" si="30"/>
        <v>22.18695037863333</v>
      </c>
      <c r="AH102">
        <f t="shared" si="31"/>
        <v>26.828667209957711</v>
      </c>
    </row>
    <row r="103" spans="1:34" x14ac:dyDescent="0.2">
      <c r="A103">
        <v>654.86</v>
      </c>
      <c r="B103">
        <v>1.0922200000000001E-3</v>
      </c>
      <c r="C103">
        <v>1.9413399999999999E-4</v>
      </c>
      <c r="D103">
        <f t="shared" si="16"/>
        <v>62.641301667230628</v>
      </c>
      <c r="E103">
        <f t="shared" si="17"/>
        <v>72.837852541374488</v>
      </c>
      <c r="G103" s="5">
        <v>2.0194800000000001E-3</v>
      </c>
      <c r="H103" s="5">
        <v>3.2868699999999998E-4</v>
      </c>
      <c r="I103" s="4">
        <f t="shared" si="18"/>
        <v>111.90114700504239</v>
      </c>
      <c r="J103" s="4">
        <f t="shared" si="19"/>
        <v>118.31487327533144</v>
      </c>
      <c r="L103" s="5">
        <v>1.69776E-3</v>
      </c>
      <c r="M103" s="5">
        <v>2.43768E-4</v>
      </c>
      <c r="N103" s="4">
        <f t="shared" si="20"/>
        <v>99.989987808684688</v>
      </c>
      <c r="O103" s="4">
        <f t="shared" si="21"/>
        <v>103.79510761959507</v>
      </c>
      <c r="Q103" s="5">
        <v>1.9277999999999999E-3</v>
      </c>
      <c r="R103" s="5">
        <v>3.1117200000000002E-4</v>
      </c>
      <c r="S103" s="4">
        <f t="shared" si="22"/>
        <v>108.95772928429726</v>
      </c>
      <c r="T103" s="4">
        <f t="shared" si="23"/>
        <v>113.79983762315409</v>
      </c>
      <c r="V103" s="5">
        <v>1.9904499999999999E-3</v>
      </c>
      <c r="W103" s="5">
        <v>3.5587200000000002E-4</v>
      </c>
      <c r="X103" s="4">
        <f t="shared" si="24"/>
        <v>133.54870742000631</v>
      </c>
      <c r="Y103" s="4">
        <f t="shared" si="25"/>
        <v>155.01069348677362</v>
      </c>
      <c r="AA103" s="4">
        <f t="shared" si="26"/>
        <v>1.7455419999999999E-3</v>
      </c>
      <c r="AB103" s="4">
        <f t="shared" si="27"/>
        <v>2.8672660000000005E-4</v>
      </c>
      <c r="AD103" s="4">
        <f t="shared" si="28"/>
        <v>103.40777463705226</v>
      </c>
      <c r="AE103" s="4">
        <f t="shared" si="29"/>
        <v>112.75167290924574</v>
      </c>
      <c r="AG103">
        <f t="shared" si="30"/>
        <v>23.173268155345394</v>
      </c>
      <c r="AH103">
        <f t="shared" si="31"/>
        <v>26.42425320003991</v>
      </c>
    </row>
    <row r="104" spans="1:34" x14ac:dyDescent="0.2">
      <c r="A104">
        <v>661.11800000000005</v>
      </c>
      <c r="B104">
        <v>1.09341E-3</v>
      </c>
      <c r="C104">
        <v>1.9532499999999999E-4</v>
      </c>
      <c r="D104">
        <f t="shared" si="16"/>
        <v>62.709550874335427</v>
      </c>
      <c r="E104">
        <f t="shared" si="17"/>
        <v>73.284708230624062</v>
      </c>
      <c r="G104" s="5">
        <v>2.0533299999999999E-3</v>
      </c>
      <c r="H104" s="5">
        <v>3.3621299999999997E-4</v>
      </c>
      <c r="I104" s="4">
        <f t="shared" si="18"/>
        <v>113.77680500914278</v>
      </c>
      <c r="J104" s="4">
        <f t="shared" si="19"/>
        <v>121.02394828064087</v>
      </c>
      <c r="L104" s="5">
        <v>1.7292799999999999E-3</v>
      </c>
      <c r="M104" s="5">
        <v>2.47438E-4</v>
      </c>
      <c r="N104" s="4">
        <f t="shared" si="20"/>
        <v>101.84636586902876</v>
      </c>
      <c r="O104" s="4">
        <f t="shared" si="21"/>
        <v>105.35777394562602</v>
      </c>
      <c r="Q104" s="5">
        <v>1.95236E-3</v>
      </c>
      <c r="R104" s="5">
        <v>3.1435799999999999E-4</v>
      </c>
      <c r="S104" s="4">
        <f t="shared" si="22"/>
        <v>110.34584103407543</v>
      </c>
      <c r="T104" s="4">
        <f t="shared" si="23"/>
        <v>114.96500120685494</v>
      </c>
      <c r="V104" s="5">
        <v>2.0316499999999999E-3</v>
      </c>
      <c r="W104" s="5">
        <v>3.6014199999999998E-4</v>
      </c>
      <c r="X104" s="4">
        <f t="shared" si="24"/>
        <v>136.31301033929805</v>
      </c>
      <c r="Y104" s="4">
        <f t="shared" si="25"/>
        <v>156.87061969953697</v>
      </c>
      <c r="AA104" s="4">
        <f t="shared" si="26"/>
        <v>1.772006E-3</v>
      </c>
      <c r="AB104" s="4">
        <f t="shared" si="27"/>
        <v>2.9069520000000001E-4</v>
      </c>
      <c r="AD104" s="4">
        <f t="shared" si="28"/>
        <v>104.99831462517609</v>
      </c>
      <c r="AE104" s="4">
        <f t="shared" si="29"/>
        <v>114.30041027265656</v>
      </c>
      <c r="AG104">
        <f t="shared" si="30"/>
        <v>24.018919294252683</v>
      </c>
      <c r="AH104">
        <f t="shared" si="31"/>
        <v>26.907727267762393</v>
      </c>
    </row>
    <row r="105" spans="1:34" x14ac:dyDescent="0.2">
      <c r="A105">
        <v>667.221</v>
      </c>
      <c r="B105">
        <v>1.09662E-3</v>
      </c>
      <c r="C105">
        <v>1.96486E-4</v>
      </c>
      <c r="D105">
        <f t="shared" si="16"/>
        <v>62.89365167669375</v>
      </c>
      <c r="E105">
        <f t="shared" si="17"/>
        <v>73.720308109061307</v>
      </c>
      <c r="G105" s="5">
        <v>2.0868499999999999E-3</v>
      </c>
      <c r="H105" s="5">
        <v>3.4044099999999997E-4</v>
      </c>
      <c r="I105" s="4">
        <f t="shared" si="18"/>
        <v>115.6341774256109</v>
      </c>
      <c r="J105" s="4">
        <f t="shared" si="19"/>
        <v>122.54586817466802</v>
      </c>
      <c r="L105" s="5">
        <v>1.7597800000000001E-3</v>
      </c>
      <c r="M105" s="5">
        <v>2.5169199999999997E-4</v>
      </c>
      <c r="N105" s="4">
        <f t="shared" si="20"/>
        <v>103.64267078148097</v>
      </c>
      <c r="O105" s="4">
        <f t="shared" si="21"/>
        <v>107.16910434097635</v>
      </c>
      <c r="Q105" s="5">
        <v>1.9833099999999998E-3</v>
      </c>
      <c r="R105" s="5">
        <v>3.1214300000000002E-4</v>
      </c>
      <c r="S105" s="4">
        <f t="shared" si="22"/>
        <v>112.09511052331133</v>
      </c>
      <c r="T105" s="4">
        <f t="shared" si="23"/>
        <v>114.15494554524246</v>
      </c>
      <c r="V105" s="5">
        <v>2.0741000000000002E-3</v>
      </c>
      <c r="W105" s="5">
        <v>3.6036599999999998E-4</v>
      </c>
      <c r="X105" s="4">
        <f t="shared" si="24"/>
        <v>139.16118167240327</v>
      </c>
      <c r="Y105" s="4">
        <f t="shared" si="25"/>
        <v>156.96818959922291</v>
      </c>
      <c r="AA105" s="4">
        <f t="shared" si="26"/>
        <v>1.8001320000000001E-3</v>
      </c>
      <c r="AB105" s="4">
        <f t="shared" si="27"/>
        <v>2.922256E-4</v>
      </c>
      <c r="AD105" s="4">
        <f t="shared" si="28"/>
        <v>106.68535841590005</v>
      </c>
      <c r="AE105" s="4">
        <f t="shared" si="29"/>
        <v>114.9116831538342</v>
      </c>
      <c r="AG105">
        <f t="shared" si="30"/>
        <v>24.863617608437927</v>
      </c>
      <c r="AH105">
        <f t="shared" si="31"/>
        <v>26.774166922181042</v>
      </c>
    </row>
    <row r="106" spans="1:34" x14ac:dyDescent="0.2">
      <c r="A106">
        <v>673.51599999999996</v>
      </c>
      <c r="B106">
        <v>1.0985000000000001E-3</v>
      </c>
      <c r="C106">
        <v>1.9633500000000001E-4</v>
      </c>
      <c r="D106">
        <f t="shared" si="16"/>
        <v>63.00147395346437</v>
      </c>
      <c r="E106">
        <f t="shared" si="17"/>
        <v>73.663653861305903</v>
      </c>
      <c r="G106" s="5">
        <v>2.1231900000000001E-3</v>
      </c>
      <c r="H106" s="5">
        <v>3.5241999999999999E-4</v>
      </c>
      <c r="I106" s="4">
        <f t="shared" si="18"/>
        <v>117.64780850002772</v>
      </c>
      <c r="J106" s="4">
        <f t="shared" si="19"/>
        <v>126.85785455370096</v>
      </c>
      <c r="L106" s="5">
        <v>1.7916500000000001E-3</v>
      </c>
      <c r="M106" s="5">
        <v>2.5176099999999998E-4</v>
      </c>
      <c r="N106" s="4">
        <f t="shared" si="20"/>
        <v>105.51966217688597</v>
      </c>
      <c r="O106" s="4">
        <f t="shared" si="21"/>
        <v>107.19848417108429</v>
      </c>
      <c r="Q106" s="5">
        <v>2.0087500000000001E-3</v>
      </c>
      <c r="R106" s="5">
        <v>3.1607800000000002E-4</v>
      </c>
      <c r="S106" s="4">
        <f t="shared" si="22"/>
        <v>113.53295917617604</v>
      </c>
      <c r="T106" s="4">
        <f t="shared" si="23"/>
        <v>115.59402862806196</v>
      </c>
      <c r="V106" s="5">
        <v>2.1056E-3</v>
      </c>
      <c r="W106" s="5">
        <v>3.7425300000000001E-4</v>
      </c>
      <c r="X106" s="4">
        <f t="shared" si="24"/>
        <v>141.27466570050254</v>
      </c>
      <c r="Y106" s="4">
        <f t="shared" si="25"/>
        <v>163.01708779984233</v>
      </c>
      <c r="AA106" s="4">
        <f t="shared" si="26"/>
        <v>1.8255380000000002E-3</v>
      </c>
      <c r="AB106" s="4">
        <f t="shared" si="27"/>
        <v>2.9816939999999996E-4</v>
      </c>
      <c r="AD106" s="4">
        <f t="shared" si="28"/>
        <v>108.19531390141132</v>
      </c>
      <c r="AE106" s="4">
        <f t="shared" si="29"/>
        <v>117.26622180279909</v>
      </c>
      <c r="AG106">
        <f t="shared" si="30"/>
        <v>25.541048952835617</v>
      </c>
      <c r="AH106">
        <f t="shared" si="31"/>
        <v>28.949890018564069</v>
      </c>
    </row>
    <row r="107" spans="1:34" x14ac:dyDescent="0.2">
      <c r="A107">
        <v>679.74</v>
      </c>
      <c r="B107">
        <v>1.0993800000000001E-3</v>
      </c>
      <c r="C107">
        <v>1.9652499999999999E-4</v>
      </c>
      <c r="D107">
        <f t="shared" si="16"/>
        <v>63.05194395535699</v>
      </c>
      <c r="E107">
        <f t="shared" si="17"/>
        <v>73.734940663117328</v>
      </c>
      <c r="G107" s="5">
        <v>2.1652899999999998E-3</v>
      </c>
      <c r="H107" s="5">
        <v>3.5669400000000001E-4</v>
      </c>
      <c r="I107" s="4">
        <f t="shared" si="18"/>
        <v>119.98060619493545</v>
      </c>
      <c r="J107" s="4">
        <f t="shared" si="19"/>
        <v>128.39633270579935</v>
      </c>
      <c r="L107" s="5">
        <v>1.8225699999999999E-3</v>
      </c>
      <c r="M107" s="5">
        <v>2.54913E-4</v>
      </c>
      <c r="N107" s="4">
        <f t="shared" si="20"/>
        <v>107.3407030914113</v>
      </c>
      <c r="O107" s="4">
        <f t="shared" si="21"/>
        <v>108.54058887398608</v>
      </c>
      <c r="Q107" s="5">
        <v>2.0340699999999998E-3</v>
      </c>
      <c r="R107" s="5">
        <v>3.2001000000000002E-4</v>
      </c>
      <c r="S107" s="4">
        <f t="shared" si="22"/>
        <v>114.96402552407434</v>
      </c>
      <c r="T107" s="4">
        <f t="shared" si="23"/>
        <v>117.03201457003051</v>
      </c>
      <c r="V107" s="5">
        <v>2.15877E-3</v>
      </c>
      <c r="W107" s="5">
        <v>3.6653500000000003E-4</v>
      </c>
      <c r="X107" s="4">
        <f t="shared" si="24"/>
        <v>144.84209255047199</v>
      </c>
      <c r="Y107" s="4">
        <f t="shared" si="25"/>
        <v>159.65528205977029</v>
      </c>
      <c r="AA107" s="4">
        <f t="shared" si="26"/>
        <v>1.8560159999999998E-3</v>
      </c>
      <c r="AB107" s="4">
        <f t="shared" si="27"/>
        <v>2.9893539999999998E-4</v>
      </c>
      <c r="AD107" s="4">
        <f t="shared" si="28"/>
        <v>110.03587426325001</v>
      </c>
      <c r="AE107" s="4">
        <f t="shared" si="29"/>
        <v>117.47183177454072</v>
      </c>
      <c r="AG107">
        <f t="shared" si="30"/>
        <v>26.643614072880048</v>
      </c>
      <c r="AH107">
        <f t="shared" si="31"/>
        <v>27.898617820881732</v>
      </c>
    </row>
    <row r="108" spans="1:34" x14ac:dyDescent="0.2">
      <c r="A108">
        <v>685.89499999999998</v>
      </c>
      <c r="B108">
        <v>1.10279E-3</v>
      </c>
      <c r="C108">
        <v>1.96472E-4</v>
      </c>
      <c r="D108">
        <f t="shared" si="16"/>
        <v>63.247515212690907</v>
      </c>
      <c r="E108">
        <f t="shared" si="17"/>
        <v>73.715055397348877</v>
      </c>
      <c r="G108" s="5">
        <v>2.2067900000000001E-3</v>
      </c>
      <c r="H108" s="5">
        <v>3.5837599999999999E-4</v>
      </c>
      <c r="I108" s="4">
        <f t="shared" si="18"/>
        <v>122.28015736687539</v>
      </c>
      <c r="J108" s="4">
        <f t="shared" si="19"/>
        <v>129.00178901179595</v>
      </c>
      <c r="L108" s="5">
        <v>1.85494E-3</v>
      </c>
      <c r="M108" s="5">
        <v>2.5530600000000001E-4</v>
      </c>
      <c r="N108" s="4">
        <f t="shared" si="20"/>
        <v>109.2471421083319</v>
      </c>
      <c r="O108" s="4">
        <f t="shared" si="21"/>
        <v>108.70792616720956</v>
      </c>
      <c r="Q108" s="5">
        <v>2.06244E-3</v>
      </c>
      <c r="R108" s="5">
        <v>3.2301299999999998E-4</v>
      </c>
      <c r="S108" s="4">
        <f t="shared" si="22"/>
        <v>116.5674754565339</v>
      </c>
      <c r="T108" s="4">
        <f t="shared" si="23"/>
        <v>118.13025256182388</v>
      </c>
      <c r="V108" s="5">
        <v>2.1964900000000002E-3</v>
      </c>
      <c r="W108" s="5">
        <v>3.7923600000000003E-4</v>
      </c>
      <c r="X108" s="4">
        <f t="shared" si="24"/>
        <v>147.37290580570709</v>
      </c>
      <c r="Y108" s="4">
        <f t="shared" si="25"/>
        <v>165.18758248794535</v>
      </c>
      <c r="AA108" s="4">
        <f t="shared" si="26"/>
        <v>1.8846900000000003E-3</v>
      </c>
      <c r="AB108" s="4">
        <f t="shared" si="27"/>
        <v>3.0248060000000003E-4</v>
      </c>
      <c r="AD108" s="4">
        <f t="shared" si="28"/>
        <v>111.74303919002782</v>
      </c>
      <c r="AE108" s="4">
        <f t="shared" si="29"/>
        <v>118.94852112522472</v>
      </c>
      <c r="AG108">
        <f t="shared" si="30"/>
        <v>27.429322951514592</v>
      </c>
      <c r="AH108">
        <f t="shared" si="31"/>
        <v>29.633510629675708</v>
      </c>
    </row>
    <row r="109" spans="1:34" x14ac:dyDescent="0.2">
      <c r="A109">
        <v>692.197</v>
      </c>
      <c r="B109">
        <v>1.10615E-3</v>
      </c>
      <c r="C109">
        <v>1.95E-4</v>
      </c>
      <c r="D109">
        <f t="shared" si="16"/>
        <v>63.440218856280929</v>
      </c>
      <c r="E109">
        <f t="shared" si="17"/>
        <v>73.162770280157133</v>
      </c>
      <c r="G109" s="5">
        <v>2.24829E-3</v>
      </c>
      <c r="H109" s="5">
        <v>3.6271099999999999E-4</v>
      </c>
      <c r="I109" s="4">
        <f t="shared" si="18"/>
        <v>124.57970853881532</v>
      </c>
      <c r="J109" s="4">
        <f t="shared" si="19"/>
        <v>130.56222485394537</v>
      </c>
      <c r="L109" s="5">
        <v>1.8837299999999999E-3</v>
      </c>
      <c r="M109" s="5">
        <v>2.5964500000000003E-4</v>
      </c>
      <c r="N109" s="4">
        <f t="shared" si="20"/>
        <v>110.94273615520073</v>
      </c>
      <c r="O109" s="4">
        <f t="shared" si="21"/>
        <v>110.55544910689576</v>
      </c>
      <c r="Q109" s="5">
        <v>2.0833100000000001E-3</v>
      </c>
      <c r="R109" s="5">
        <v>3.31212E-4</v>
      </c>
      <c r="S109" s="4">
        <f t="shared" si="22"/>
        <v>117.74703132859703</v>
      </c>
      <c r="T109" s="4">
        <f t="shared" si="23"/>
        <v>121.12873850744958</v>
      </c>
      <c r="V109" s="5">
        <v>2.2415999999999998E-3</v>
      </c>
      <c r="W109" s="5">
        <v>3.8083399999999998E-4</v>
      </c>
      <c r="X109" s="4">
        <f t="shared" si="24"/>
        <v>150.39954912340733</v>
      </c>
      <c r="Y109" s="4">
        <f t="shared" si="25"/>
        <v>165.8836391830263</v>
      </c>
      <c r="AA109" s="4">
        <f t="shared" si="26"/>
        <v>1.912616E-3</v>
      </c>
      <c r="AB109" s="4">
        <f t="shared" si="27"/>
        <v>3.0588039999999999E-4</v>
      </c>
      <c r="AD109" s="4">
        <f t="shared" si="28"/>
        <v>113.42184880046027</v>
      </c>
      <c r="AE109" s="4">
        <f t="shared" si="29"/>
        <v>120.25856438629482</v>
      </c>
      <c r="AG109">
        <f t="shared" si="30"/>
        <v>28.336777129380607</v>
      </c>
      <c r="AH109">
        <f t="shared" si="31"/>
        <v>30.002447702992932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15BC-C153-6A48-95D8-61CF7CB3D8C9}">
  <dimension ref="A1:X109"/>
  <sheetViews>
    <sheetView topLeftCell="W9" workbookViewId="0">
      <selection activeCell="V9" sqref="V9"/>
    </sheetView>
  </sheetViews>
  <sheetFormatPr baseColWidth="10" defaultColWidth="8.83203125" defaultRowHeight="15" x14ac:dyDescent="0.2"/>
  <cols>
    <col min="1" max="1" width="9.5" bestFit="1" customWidth="1"/>
    <col min="2" max="3" width="12.33203125" bestFit="1" customWidth="1"/>
    <col min="4" max="5" width="12.5" customWidth="1"/>
    <col min="7" max="8" width="12.33203125" bestFit="1" customWidth="1"/>
    <col min="9" max="10" width="12.1640625" customWidth="1"/>
    <col min="12" max="13" width="11.83203125" bestFit="1" customWidth="1"/>
    <col min="14" max="15" width="11.83203125" customWidth="1"/>
    <col min="16" max="16" width="8.83203125" style="1"/>
    <col min="17" max="18" width="8.83203125" bestFit="1" customWidth="1"/>
    <col min="20" max="21" width="11.83203125" bestFit="1" customWidth="1"/>
    <col min="23" max="24" width="9.5" bestFit="1" customWidth="1"/>
  </cols>
  <sheetData>
    <row r="1" spans="1:24" ht="32" x14ac:dyDescent="0.2">
      <c r="A1" t="s">
        <v>5</v>
      </c>
      <c r="B1" t="s">
        <v>0</v>
      </c>
      <c r="C1" t="s">
        <v>1</v>
      </c>
      <c r="D1" t="s">
        <v>11</v>
      </c>
      <c r="E1" t="s">
        <v>12</v>
      </c>
      <c r="G1" t="s">
        <v>0</v>
      </c>
      <c r="H1" t="s">
        <v>1</v>
      </c>
      <c r="I1" t="s">
        <v>11</v>
      </c>
      <c r="J1" t="s">
        <v>12</v>
      </c>
      <c r="L1" s="2" t="s">
        <v>0</v>
      </c>
      <c r="M1" s="2" t="s">
        <v>1</v>
      </c>
      <c r="N1" t="s">
        <v>11</v>
      </c>
      <c r="O1" t="s">
        <v>12</v>
      </c>
      <c r="Q1" t="s">
        <v>3</v>
      </c>
      <c r="R1" t="s">
        <v>4</v>
      </c>
      <c r="T1" t="s">
        <v>9</v>
      </c>
      <c r="U1" t="s">
        <v>10</v>
      </c>
      <c r="W1" t="s">
        <v>7</v>
      </c>
      <c r="X1" t="s">
        <v>8</v>
      </c>
    </row>
    <row r="2" spans="1:24" ht="16" x14ac:dyDescent="0.2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2">
      <c r="A3">
        <v>6.2718699999999998</v>
      </c>
      <c r="B3">
        <v>8.3850999999999999E-4</v>
      </c>
      <c r="C3">
        <v>1.8312800000000001E-4</v>
      </c>
      <c r="D3">
        <f>B3/$B$3*100</f>
        <v>100</v>
      </c>
      <c r="E3">
        <f>C3/$C$3*100</f>
        <v>100</v>
      </c>
      <c r="G3">
        <v>7.9942800000000003E-4</v>
      </c>
      <c r="H3">
        <v>1.7879199999999999E-4</v>
      </c>
      <c r="I3">
        <f>G3/$G$3*100</f>
        <v>100</v>
      </c>
      <c r="J3">
        <f>H3/$H$3*100</f>
        <v>100</v>
      </c>
      <c r="L3" s="5">
        <v>9.7524999999999999E-4</v>
      </c>
      <c r="M3" s="5">
        <v>1.8332600000000001E-4</v>
      </c>
      <c r="N3" s="4">
        <f>L3/$L$3*100</f>
        <v>100</v>
      </c>
      <c r="O3" s="4">
        <f>M3/$M$3*100</f>
        <v>100</v>
      </c>
      <c r="Q3">
        <f>AVERAGE(B3,G3,L3)</f>
        <v>8.7106266666666656E-4</v>
      </c>
      <c r="R3">
        <f>AVERAGE(C3,H3,M3)</f>
        <v>1.8174866666666666E-4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2">
      <c r="A4">
        <v>12.437099999999999</v>
      </c>
      <c r="B4">
        <v>8.4203700000000002E-4</v>
      </c>
      <c r="C4">
        <v>1.8436400000000001E-4</v>
      </c>
      <c r="D4">
        <f>B4/$B$3*100</f>
        <v>100.42062706467425</v>
      </c>
      <c r="E4">
        <f>C4/$C$3*100</f>
        <v>100.67493774846011</v>
      </c>
      <c r="G4">
        <v>8.0233099999999999E-4</v>
      </c>
      <c r="H4">
        <v>1.7965E-4</v>
      </c>
      <c r="I4">
        <f>G4/$G$3*100</f>
        <v>100.36313464126849</v>
      </c>
      <c r="J4">
        <f>H4/$H$3*100</f>
        <v>100.4798872432771</v>
      </c>
      <c r="L4" s="5">
        <v>9.7885399999999992E-4</v>
      </c>
      <c r="M4" s="5">
        <v>1.8578900000000001E-4</v>
      </c>
      <c r="N4" s="4">
        <f>L4/$L$3*100</f>
        <v>100.36954627018713</v>
      </c>
      <c r="O4" s="4">
        <f>M4/$M$3*100</f>
        <v>101.34350828578597</v>
      </c>
      <c r="Q4">
        <f>AVERAGE(B4,G4,L4)</f>
        <v>8.7440733333333327E-4</v>
      </c>
      <c r="R4">
        <f>AVERAGE(C4,H4,M4)</f>
        <v>1.8326766666666665E-4</v>
      </c>
      <c r="T4">
        <f>AVERAGE(D4,I4,N4)</f>
        <v>100.38443599204329</v>
      </c>
      <c r="U4">
        <f>AVERAGE(E4,J4,O4)</f>
        <v>100.83277775917439</v>
      </c>
      <c r="W4">
        <f>_xlfn.STDEV.P(D4,I4,N4)</f>
        <v>2.5724470191916447E-2</v>
      </c>
      <c r="X4">
        <f>_xlfn.STDEV.P(E4,J4,O4)</f>
        <v>0.36981565498028007</v>
      </c>
    </row>
    <row r="5" spans="1:24" x14ac:dyDescent="0.2">
      <c r="A5">
        <v>18.545500000000001</v>
      </c>
      <c r="B5">
        <v>8.4586100000000005E-4</v>
      </c>
      <c r="C5">
        <v>1.8362399999999999E-4</v>
      </c>
      <c r="D5">
        <f>B5/$B$3*100</f>
        <v>100.87667410048778</v>
      </c>
      <c r="E5">
        <f>C5/$C$3*100</f>
        <v>100.27084880520727</v>
      </c>
      <c r="G5">
        <v>8.0607900000000002E-4</v>
      </c>
      <c r="H5">
        <v>1.80075E-4</v>
      </c>
      <c r="I5">
        <f>G5/$G$3*100</f>
        <v>100.8319698584488</v>
      </c>
      <c r="J5">
        <f>H5/$H$3*100</f>
        <v>100.71759362835027</v>
      </c>
      <c r="L5" s="5">
        <v>9.8202599999999999E-4</v>
      </c>
      <c r="M5" s="5">
        <v>1.91075E-4</v>
      </c>
      <c r="N5" s="4">
        <f>L5/$L$3*100</f>
        <v>100.694796206101</v>
      </c>
      <c r="O5" s="4">
        <f>M5/$M$3*100</f>
        <v>104.22689634858119</v>
      </c>
      <c r="Q5">
        <f>AVERAGE(B5,G5,L5)</f>
        <v>8.7798866666666676E-4</v>
      </c>
      <c r="R5">
        <f>AVERAGE(C5,H5,M5)</f>
        <v>1.8492466666666666E-4</v>
      </c>
      <c r="T5">
        <f>AVERAGE(D5,I5,N5)</f>
        <v>100.80114672167919</v>
      </c>
      <c r="U5">
        <f>AVERAGE(E5,J5,O5)</f>
        <v>101.73844626071291</v>
      </c>
      <c r="W5">
        <f>_xlfn.STDEV.P(D5,I5,N5)</f>
        <v>7.7384070009617029E-2</v>
      </c>
      <c r="X5">
        <f>_xlfn.STDEV.P(E5,J5,O5)</f>
        <v>1.7690266841985955</v>
      </c>
    </row>
    <row r="6" spans="1:24" x14ac:dyDescent="0.2">
      <c r="A6">
        <v>24.791399999999999</v>
      </c>
      <c r="B6">
        <v>8.49108E-4</v>
      </c>
      <c r="C6">
        <v>1.87725E-4</v>
      </c>
      <c r="D6">
        <f>B6/$B$3*100</f>
        <v>101.26390859977819</v>
      </c>
      <c r="E6">
        <f>C6/$C$3*100</f>
        <v>102.51026604342317</v>
      </c>
      <c r="G6">
        <v>8.1080900000000001E-4</v>
      </c>
      <c r="H6">
        <v>1.8336900000000001E-4</v>
      </c>
      <c r="I6">
        <f>G6/$G$3*100</f>
        <v>101.42364290467685</v>
      </c>
      <c r="J6">
        <f>H6/$H$3*100</f>
        <v>102.55995793995258</v>
      </c>
      <c r="L6" s="5">
        <v>9.8442199999999999E-4</v>
      </c>
      <c r="M6" s="5">
        <v>1.8656599999999999E-4</v>
      </c>
      <c r="N6" s="4">
        <f>L6/$L$3*100</f>
        <v>100.94047680082031</v>
      </c>
      <c r="O6" s="4">
        <f>M6/$M$3*100</f>
        <v>101.76734342100954</v>
      </c>
      <c r="Q6">
        <f>AVERAGE(B6,G6,L6)</f>
        <v>8.814463333333333E-4</v>
      </c>
      <c r="R6">
        <f>AVERAGE(C6,H6,M6)</f>
        <v>1.8588666666666666E-4</v>
      </c>
      <c r="T6">
        <f>AVERAGE(D6,I6,N6)</f>
        <v>101.20934276842512</v>
      </c>
      <c r="U6">
        <f>AVERAGE(E6,J6,O6)</f>
        <v>102.27918913479509</v>
      </c>
      <c r="W6">
        <f>_xlfn.STDEV.P(D6,I6,N6)</f>
        <v>0.20098995570661068</v>
      </c>
      <c r="X6">
        <f>_xlfn.STDEV.P(E6,J6,O6)</f>
        <v>0.36249767556556545</v>
      </c>
    </row>
    <row r="7" spans="1:24" x14ac:dyDescent="0.2">
      <c r="A7">
        <v>31.106999999999999</v>
      </c>
      <c r="B7">
        <v>8.4877399999999995E-4</v>
      </c>
      <c r="C7">
        <v>1.83926E-4</v>
      </c>
      <c r="D7">
        <f>B7/$B$3*100</f>
        <v>101.22407603964174</v>
      </c>
      <c r="E7">
        <f>C7/$C$3*100</f>
        <v>100.4357607793456</v>
      </c>
      <c r="G7">
        <v>8.1378899999999998E-4</v>
      </c>
      <c r="H7">
        <v>1.8576399999999999E-4</v>
      </c>
      <c r="I7">
        <f>G7/$G$3*100</f>
        <v>101.79640943274441</v>
      </c>
      <c r="J7">
        <f>H7/$H$3*100</f>
        <v>103.89950333348249</v>
      </c>
      <c r="L7" s="5">
        <v>9.8635499999999996E-4</v>
      </c>
      <c r="M7" s="5">
        <v>1.8129600000000001E-4</v>
      </c>
      <c r="N7" s="4">
        <f>L7/$L$3*100</f>
        <v>101.13868238913099</v>
      </c>
      <c r="O7" s="4">
        <f>M7/$M$3*100</f>
        <v>98.892682980046473</v>
      </c>
      <c r="Q7">
        <f>AVERAGE(B7,G7,L7)</f>
        <v>8.8297266666666674E-4</v>
      </c>
      <c r="R7">
        <f>AVERAGE(C7,H7,M7)</f>
        <v>1.8366200000000002E-4</v>
      </c>
      <c r="T7">
        <f>AVERAGE(D7,I7,N7)</f>
        <v>101.38638928717239</v>
      </c>
      <c r="U7">
        <f>AVERAGE(E7,J7,O7)</f>
        <v>101.07598236429152</v>
      </c>
      <c r="W7">
        <f>_xlfn.STDEV.P(D7,I7,N7)</f>
        <v>0.29201644784505898</v>
      </c>
      <c r="X7">
        <f>_xlfn.STDEV.P(E7,J7,O7)</f>
        <v>2.0935576214135718</v>
      </c>
    </row>
    <row r="8" spans="1:24" x14ac:dyDescent="0.2">
      <c r="A8">
        <v>37.192399999999999</v>
      </c>
      <c r="B8">
        <v>8.5119500000000001E-4</v>
      </c>
      <c r="C8">
        <v>1.80113E-4</v>
      </c>
      <c r="D8">
        <f>B8/$B$3*100</f>
        <v>101.51280247104984</v>
      </c>
      <c r="E8">
        <f>C8/$C$3*100</f>
        <v>98.35361058931457</v>
      </c>
      <c r="G8">
        <v>8.1518699999999999E-4</v>
      </c>
      <c r="H8">
        <v>1.8480800000000001E-4</v>
      </c>
      <c r="I8">
        <f>G8/$G$3*100</f>
        <v>101.9712844683949</v>
      </c>
      <c r="J8">
        <f>H8/$H$3*100</f>
        <v>103.36480379435322</v>
      </c>
      <c r="L8" s="5">
        <v>9.9111300000000006E-4</v>
      </c>
      <c r="M8" s="5">
        <v>1.86384E-4</v>
      </c>
      <c r="N8" s="4">
        <f>L8/$L$3*100</f>
        <v>101.62655729300181</v>
      </c>
      <c r="O8" s="4">
        <f>M8/$M$3*100</f>
        <v>101.6680667226689</v>
      </c>
      <c r="Q8">
        <f>AVERAGE(B8,G8,L8)</f>
        <v>8.8583166666666676E-4</v>
      </c>
      <c r="R8">
        <f>AVERAGE(C8,H8,M8)</f>
        <v>1.8376833333333333E-4</v>
      </c>
      <c r="T8">
        <f>AVERAGE(D8,I8,N8)</f>
        <v>101.7035480774822</v>
      </c>
      <c r="U8">
        <f>AVERAGE(E8,J8,O8)</f>
        <v>101.12882703544555</v>
      </c>
      <c r="W8">
        <f>_xlfn.STDEV.P(D8,I8,N8)</f>
        <v>0.19493096409337063</v>
      </c>
      <c r="X8">
        <f>_xlfn.STDEV.P(E8,J8,O8)</f>
        <v>2.0810412321341971</v>
      </c>
    </row>
    <row r="9" spans="1:24" x14ac:dyDescent="0.2">
      <c r="A9">
        <v>43.526200000000003</v>
      </c>
      <c r="B9">
        <v>8.5488100000000004E-4</v>
      </c>
      <c r="C9">
        <v>1.8845400000000001E-4</v>
      </c>
      <c r="D9">
        <f>B9/$B$3*100</f>
        <v>101.95239174249562</v>
      </c>
      <c r="E9">
        <f>C9/$C$3*100</f>
        <v>102.90834825914115</v>
      </c>
      <c r="G9">
        <v>8.1685299999999998E-4</v>
      </c>
      <c r="H9">
        <v>1.8318100000000001E-4</v>
      </c>
      <c r="I9">
        <f>G9/$G$3*100</f>
        <v>102.17968347368367</v>
      </c>
      <c r="J9">
        <f>H9/$H$3*100</f>
        <v>102.45480782137903</v>
      </c>
      <c r="L9" s="5">
        <v>9.9415099999999998E-4</v>
      </c>
      <c r="M9" s="5">
        <v>1.86756E-4</v>
      </c>
      <c r="N9" s="4">
        <f>L9/$L$3*100</f>
        <v>101.93806716226608</v>
      </c>
      <c r="O9" s="4">
        <f>M9/$M$3*100</f>
        <v>101.87098393026631</v>
      </c>
      <c r="Q9">
        <f>AVERAGE(B9,G9,L9)</f>
        <v>8.886283333333333E-4</v>
      </c>
      <c r="R9">
        <f>AVERAGE(C9,H9,M9)</f>
        <v>1.8613033333333336E-4</v>
      </c>
      <c r="T9">
        <f>AVERAGE(D9,I9,N9)</f>
        <v>102.02338079281513</v>
      </c>
      <c r="U9">
        <f>AVERAGE(E9,J9,O9)</f>
        <v>102.41138000359551</v>
      </c>
      <c r="W9">
        <f>_xlfn.STDEV.P(D9,I9,N9)</f>
        <v>0.11067729196394563</v>
      </c>
      <c r="X9">
        <f>_xlfn.STDEV.P(E9,J9,O9)</f>
        <v>0.42461407515026239</v>
      </c>
    </row>
    <row r="10" spans="1:24" x14ac:dyDescent="0.2">
      <c r="A10">
        <v>49.688299999999998</v>
      </c>
      <c r="B10">
        <v>8.6230200000000001E-4</v>
      </c>
      <c r="C10">
        <v>1.96145E-4</v>
      </c>
      <c r="D10">
        <f>B10/$B$3*100</f>
        <v>102.83741398432934</v>
      </c>
      <c r="E10">
        <f>C10/$C$3*100</f>
        <v>107.10814293827266</v>
      </c>
      <c r="G10">
        <v>8.1839800000000002E-4</v>
      </c>
      <c r="H10">
        <v>1.83389E-4</v>
      </c>
      <c r="I10">
        <f>G10/$G$3*100</f>
        <v>102.37294665685965</v>
      </c>
      <c r="J10">
        <f>H10/$H$3*100</f>
        <v>102.57114412277954</v>
      </c>
      <c r="L10" s="5">
        <v>9.9643900000000001E-4</v>
      </c>
      <c r="M10" s="5">
        <v>1.87035E-4</v>
      </c>
      <c r="N10" s="4">
        <f>L10/$L$3*100</f>
        <v>102.17267367341707</v>
      </c>
      <c r="O10" s="4">
        <f>M10/$M$3*100</f>
        <v>102.02317183596435</v>
      </c>
      <c r="Q10">
        <f>AVERAGE(B10,G10,L10)</f>
        <v>8.9237966666666675E-4</v>
      </c>
      <c r="R10">
        <f>AVERAGE(C10,H10,M10)</f>
        <v>1.8885633333333334E-4</v>
      </c>
      <c r="T10">
        <f>AVERAGE(D10,I10,N10)</f>
        <v>102.46101143820202</v>
      </c>
      <c r="U10">
        <f>AVERAGE(E10,J10,O10)</f>
        <v>103.90081963233884</v>
      </c>
      <c r="W10">
        <f>_xlfn.STDEV.P(D10,I10,N10)</f>
        <v>0.27843188816728309</v>
      </c>
      <c r="X10">
        <f>_xlfn.STDEV.P(E10,J10,O10)</f>
        <v>2.2789267208299346</v>
      </c>
    </row>
    <row r="11" spans="1:24" x14ac:dyDescent="0.2">
      <c r="A11">
        <v>55.8005</v>
      </c>
      <c r="B11">
        <v>8.6244399999999997E-4</v>
      </c>
      <c r="C11">
        <v>1.9120199999999999E-4</v>
      </c>
      <c r="D11">
        <f>B11/$B$3*100</f>
        <v>102.85434878534542</v>
      </c>
      <c r="E11">
        <f>C11/$C$3*100</f>
        <v>104.40893801057183</v>
      </c>
      <c r="G11">
        <v>8.2155699999999999E-4</v>
      </c>
      <c r="H11">
        <v>1.83463E-4</v>
      </c>
      <c r="I11">
        <f>G11/$G$3*100</f>
        <v>102.76810419449906</v>
      </c>
      <c r="J11">
        <f>H11/$H$3*100</f>
        <v>102.61253299923933</v>
      </c>
      <c r="L11" s="5">
        <v>9.9775800000000006E-4</v>
      </c>
      <c r="M11" s="5">
        <v>1.8959200000000001E-4</v>
      </c>
      <c r="N11" s="4">
        <f>L11/$L$3*100</f>
        <v>102.30792104588569</v>
      </c>
      <c r="O11" s="4">
        <f>M11/$M$3*100</f>
        <v>103.41795490001418</v>
      </c>
      <c r="Q11">
        <f>AVERAGE(B11,G11,L11)</f>
        <v>8.9391966666666671E-4</v>
      </c>
      <c r="R11">
        <f>AVERAGE(C11,H11,M11)</f>
        <v>1.8808566666666667E-4</v>
      </c>
      <c r="T11">
        <f>AVERAGE(D11,I11,N11)</f>
        <v>102.64345800857672</v>
      </c>
      <c r="U11">
        <f>AVERAGE(E11,J11,O11)</f>
        <v>103.47980863660844</v>
      </c>
      <c r="W11">
        <f>_xlfn.STDEV.P(D11,I11,N11)</f>
        <v>0.23985873948570466</v>
      </c>
      <c r="X11">
        <f>_xlfn.STDEV.P(E11,J11,O11)</f>
        <v>0.73468231444306642</v>
      </c>
    </row>
    <row r="12" spans="1:24" x14ac:dyDescent="0.2">
      <c r="A12">
        <v>62.111400000000003</v>
      </c>
      <c r="B12">
        <v>8.6777600000000001E-4</v>
      </c>
      <c r="C12">
        <v>2.0113800000000001E-4</v>
      </c>
      <c r="D12">
        <f>B12/$B$3*100</f>
        <v>103.49023863758333</v>
      </c>
      <c r="E12">
        <f>C12/$C$3*100</f>
        <v>109.83465117295006</v>
      </c>
      <c r="G12">
        <v>8.2592899999999999E-4</v>
      </c>
      <c r="H12">
        <v>1.8907900000000001E-4</v>
      </c>
      <c r="I12">
        <f>G12/$G$3*100</f>
        <v>103.31499522158343</v>
      </c>
      <c r="J12">
        <f>H12/$H$3*100</f>
        <v>105.75361313705312</v>
      </c>
      <c r="L12" s="5">
        <v>1.0023199999999999E-3</v>
      </c>
      <c r="M12" s="5">
        <v>1.8905500000000001E-4</v>
      </c>
      <c r="N12" s="4">
        <f>L12/$L$3*100</f>
        <v>102.7756985388362</v>
      </c>
      <c r="O12" s="4">
        <f>M12/$M$3*100</f>
        <v>103.12503409227278</v>
      </c>
      <c r="Q12">
        <f>AVERAGE(B12,G12,L12)</f>
        <v>8.9867499999999993E-4</v>
      </c>
      <c r="R12">
        <f>AVERAGE(C12,H12,M12)</f>
        <v>1.9309066666666668E-4</v>
      </c>
      <c r="T12">
        <f>AVERAGE(D12,I12,N12)</f>
        <v>103.19364413266766</v>
      </c>
      <c r="U12">
        <f>AVERAGE(E12,J12,O12)</f>
        <v>106.237766134092</v>
      </c>
      <c r="W12">
        <f>_xlfn.STDEV.P(D12,I12,N12)</f>
        <v>0.30406847174627799</v>
      </c>
      <c r="X12">
        <f>_xlfn.STDEV.P(E12,J12,O12)</f>
        <v>2.7605003695870489</v>
      </c>
    </row>
    <row r="13" spans="1:24" x14ac:dyDescent="0.2">
      <c r="A13">
        <v>68.338800000000006</v>
      </c>
      <c r="B13">
        <v>8.7080499999999999E-4</v>
      </c>
      <c r="C13">
        <v>2.02079E-4</v>
      </c>
      <c r="D13">
        <f>B13/$B$3*100</f>
        <v>103.85147463953919</v>
      </c>
      <c r="E13">
        <f>C13/$C$3*100</f>
        <v>110.34849941024856</v>
      </c>
      <c r="G13">
        <v>8.2886500000000003E-4</v>
      </c>
      <c r="H13">
        <v>1.88648E-4</v>
      </c>
      <c r="I13">
        <f>G13/$G$3*100</f>
        <v>103.68225781433725</v>
      </c>
      <c r="J13">
        <f>H13/$H$3*100</f>
        <v>105.51255089713187</v>
      </c>
      <c r="L13" s="5">
        <v>1.00494E-3</v>
      </c>
      <c r="M13" s="5">
        <v>1.92704E-4</v>
      </c>
      <c r="N13" s="4">
        <f>L13/$L$3*100</f>
        <v>103.04434760317866</v>
      </c>
      <c r="O13" s="4">
        <f>M13/$M$3*100</f>
        <v>105.11547734636657</v>
      </c>
      <c r="Q13">
        <f>AVERAGE(B13,G13,L13)</f>
        <v>9.0153666666666651E-4</v>
      </c>
      <c r="R13">
        <f>AVERAGE(C13,H13,M13)</f>
        <v>1.94477E-4</v>
      </c>
      <c r="T13">
        <f>AVERAGE(D13,I13,N13)</f>
        <v>103.52602668568504</v>
      </c>
      <c r="U13">
        <f>AVERAGE(E13,J13,O13)</f>
        <v>106.99217588458232</v>
      </c>
      <c r="W13">
        <f>_xlfn.STDEV.P(D13,I13,N13)</f>
        <v>0.34753382317504011</v>
      </c>
      <c r="X13">
        <f>_xlfn.STDEV.P(E13,J13,O13)</f>
        <v>2.3788088837181758</v>
      </c>
    </row>
    <row r="14" spans="1:24" x14ac:dyDescent="0.2">
      <c r="A14">
        <v>74.508499999999998</v>
      </c>
      <c r="B14">
        <v>8.7295799999999996E-4</v>
      </c>
      <c r="C14">
        <v>2.0229199999999999E-4</v>
      </c>
      <c r="D14">
        <f>B14/$B$3*100</f>
        <v>104.10823961550845</v>
      </c>
      <c r="E14">
        <f>C14/$C$3*100</f>
        <v>110.46481149796863</v>
      </c>
      <c r="G14">
        <v>8.3101699999999998E-4</v>
      </c>
      <c r="H14">
        <v>1.88357E-4</v>
      </c>
      <c r="I14">
        <f>G14/$G$3*100</f>
        <v>103.95145028695516</v>
      </c>
      <c r="J14">
        <f>H14/$H$3*100</f>
        <v>105.34979193699942</v>
      </c>
      <c r="L14" s="5">
        <v>1.0066299999999999E-3</v>
      </c>
      <c r="M14" s="5">
        <v>1.9576899999999999E-4</v>
      </c>
      <c r="N14" s="4">
        <f>L14/$L$3*100</f>
        <v>103.21763650346065</v>
      </c>
      <c r="O14" s="4">
        <f>M14/$M$3*100</f>
        <v>106.78736240358704</v>
      </c>
      <c r="Q14">
        <f>AVERAGE(B14,G14,L14)</f>
        <v>9.0353499999999991E-4</v>
      </c>
      <c r="R14">
        <f>AVERAGE(C14,H14,M14)</f>
        <v>1.9547266666666667E-4</v>
      </c>
      <c r="T14">
        <f>AVERAGE(D14,I14,N14)</f>
        <v>103.75910880197476</v>
      </c>
      <c r="U14">
        <f>AVERAGE(E14,J14,O14)</f>
        <v>107.5339886128517</v>
      </c>
      <c r="W14">
        <f>_xlfn.STDEV.P(D14,I14,N14)</f>
        <v>0.38819231568099294</v>
      </c>
      <c r="X14">
        <f>_xlfn.STDEV.P(E14,J14,O14)</f>
        <v>2.1539025511143062</v>
      </c>
    </row>
    <row r="15" spans="1:24" x14ac:dyDescent="0.2">
      <c r="A15">
        <v>80.784599999999998</v>
      </c>
      <c r="B15">
        <v>8.7448400000000003E-4</v>
      </c>
      <c r="C15">
        <v>2.02034E-4</v>
      </c>
      <c r="D15">
        <f>B15/$B$3*100</f>
        <v>104.29022909685037</v>
      </c>
      <c r="E15">
        <f>C15/$C$3*100</f>
        <v>110.32392643396966</v>
      </c>
      <c r="G15">
        <v>8.3232399999999995E-4</v>
      </c>
      <c r="H15">
        <v>1.87782E-4</v>
      </c>
      <c r="I15">
        <f>G15/$G$3*100</f>
        <v>104.11494218366131</v>
      </c>
      <c r="J15">
        <f>H15/$H$3*100</f>
        <v>105.02818918072396</v>
      </c>
      <c r="L15" s="5">
        <v>1.0104599999999999E-3</v>
      </c>
      <c r="M15" s="5">
        <v>1.9122900000000001E-4</v>
      </c>
      <c r="N15" s="4">
        <f>L15/$L$3*100</f>
        <v>103.6103563188926</v>
      </c>
      <c r="O15" s="4">
        <f>M15/$M$3*100</f>
        <v>104.31089970871561</v>
      </c>
      <c r="Q15">
        <f>AVERAGE(B15,G15,L15)</f>
        <v>9.0575600000000007E-4</v>
      </c>
      <c r="R15">
        <f>AVERAGE(C15,H15,M15)</f>
        <v>1.9368166666666666E-4</v>
      </c>
      <c r="T15">
        <f>AVERAGE(D15,I15,N15)</f>
        <v>104.00517586646811</v>
      </c>
      <c r="U15">
        <f>AVERAGE(E15,J15,O15)</f>
        <v>106.55433844113641</v>
      </c>
      <c r="W15">
        <f>_xlfn.STDEV.P(D15,I15,N15)</f>
        <v>0.28820505644954175</v>
      </c>
      <c r="X15">
        <f>_xlfn.STDEV.P(E15,J15,O15)</f>
        <v>2.6815382741314693</v>
      </c>
    </row>
    <row r="16" spans="1:24" x14ac:dyDescent="0.2">
      <c r="A16">
        <v>86.936599999999999</v>
      </c>
      <c r="B16">
        <v>8.73312E-4</v>
      </c>
      <c r="C16">
        <v>1.98118E-4</v>
      </c>
      <c r="D16">
        <f>B16/$B$3*100</f>
        <v>104.1504573588866</v>
      </c>
      <c r="E16">
        <f>C16/$C$3*100</f>
        <v>108.185531431567</v>
      </c>
      <c r="G16">
        <v>8.3266299999999998E-4</v>
      </c>
      <c r="H16">
        <v>1.86665E-4</v>
      </c>
      <c r="I16">
        <f>G16/$G$3*100</f>
        <v>104.15734750346498</v>
      </c>
      <c r="J16">
        <f>H16/$H$3*100</f>
        <v>104.4034408698376</v>
      </c>
      <c r="L16" s="5">
        <v>1.0108700000000001E-3</v>
      </c>
      <c r="M16" s="5">
        <v>1.9801399999999999E-4</v>
      </c>
      <c r="N16" s="4">
        <f>L16/$L$3*100</f>
        <v>103.65239682132787</v>
      </c>
      <c r="O16" s="4">
        <f>M16/$M$3*100</f>
        <v>108.01195684191003</v>
      </c>
      <c r="Q16">
        <f>AVERAGE(B16,G16,L16)</f>
        <v>9.0561499999999991E-4</v>
      </c>
      <c r="R16">
        <f>AVERAGE(C16,H16,M16)</f>
        <v>1.9426566666666664E-4</v>
      </c>
      <c r="T16">
        <f>AVERAGE(D16,I16,N16)</f>
        <v>103.9867338945598</v>
      </c>
      <c r="U16">
        <f>AVERAGE(E16,J16,O16)</f>
        <v>106.86697638110486</v>
      </c>
      <c r="W16">
        <f>_xlfn.STDEV.P(D16,I16,N16)</f>
        <v>0.23642874532799527</v>
      </c>
      <c r="X16">
        <f>_xlfn.STDEV.P(E16,J16,O16)</f>
        <v>1.7434233461784039</v>
      </c>
    </row>
    <row r="17" spans="1:24" x14ac:dyDescent="0.2">
      <c r="A17">
        <v>93.113100000000003</v>
      </c>
      <c r="B17">
        <v>8.7383800000000005E-4</v>
      </c>
      <c r="C17">
        <v>1.97309E-4</v>
      </c>
      <c r="D17">
        <f>B17/$B$3*100</f>
        <v>104.21318767814338</v>
      </c>
      <c r="E17">
        <f>C17/$C$3*100</f>
        <v>107.74376392468655</v>
      </c>
      <c r="G17">
        <v>8.3656500000000005E-4</v>
      </c>
      <c r="H17">
        <v>1.8900300000000001E-4</v>
      </c>
      <c r="I17">
        <f>G17/$G$3*100</f>
        <v>104.64544649424339</v>
      </c>
      <c r="J17">
        <f>H17/$H$3*100</f>
        <v>105.71110564231063</v>
      </c>
      <c r="L17" s="5">
        <v>1.0152200000000001E-3</v>
      </c>
      <c r="M17" s="5">
        <v>1.9390299999999999E-4</v>
      </c>
      <c r="N17" s="4">
        <f>L17/$L$3*100</f>
        <v>104.09843629838504</v>
      </c>
      <c r="O17" s="4">
        <f>M17/$M$3*100</f>
        <v>105.76950350741301</v>
      </c>
      <c r="Q17">
        <f>AVERAGE(B17,G17,L17)</f>
        <v>9.0854100000000001E-4</v>
      </c>
      <c r="R17">
        <f>AVERAGE(C17,H17,M17)</f>
        <v>1.9340500000000001E-4</v>
      </c>
      <c r="T17">
        <f>AVERAGE(D17,I17,N17)</f>
        <v>104.31902349025727</v>
      </c>
      <c r="U17">
        <f>AVERAGE(E17,J17,O17)</f>
        <v>106.40812435813672</v>
      </c>
      <c r="W17">
        <f>_xlfn.STDEV.P(D17,I17,N17)</f>
        <v>0.23552204841953608</v>
      </c>
      <c r="X17">
        <f>_xlfn.STDEV.P(E17,J17,O17)</f>
        <v>0.94474065805107688</v>
      </c>
    </row>
    <row r="18" spans="1:24" x14ac:dyDescent="0.2">
      <c r="A18">
        <v>99.351399999999998</v>
      </c>
      <c r="B18">
        <v>8.7378499999999997E-4</v>
      </c>
      <c r="C18">
        <v>1.94845E-4</v>
      </c>
      <c r="D18">
        <f>B18/$B$3*100</f>
        <v>104.20686694255285</v>
      </c>
      <c r="E18">
        <f>C18/$C$3*100</f>
        <v>106.39825695688261</v>
      </c>
      <c r="G18">
        <v>8.3716200000000002E-4</v>
      </c>
      <c r="H18">
        <v>1.8756400000000001E-4</v>
      </c>
      <c r="I18">
        <f>G18/$G$3*100</f>
        <v>104.72012488929585</v>
      </c>
      <c r="J18">
        <f>H18/$H$3*100</f>
        <v>104.90625978790997</v>
      </c>
      <c r="L18" s="5">
        <v>1.0171399999999999E-3</v>
      </c>
      <c r="M18" s="5">
        <v>1.95183E-4</v>
      </c>
      <c r="N18" s="4">
        <f>L18/$L$3*100</f>
        <v>104.29530889515507</v>
      </c>
      <c r="O18" s="4">
        <f>M18/$M$3*100</f>
        <v>106.4677132539847</v>
      </c>
      <c r="Q18">
        <f>AVERAGE(B18,G18,L18)</f>
        <v>9.093623333333332E-4</v>
      </c>
      <c r="R18">
        <f>AVERAGE(C18,H18,M18)</f>
        <v>1.9253066666666667E-4</v>
      </c>
      <c r="T18">
        <f>AVERAGE(D18,I18,N18)</f>
        <v>104.40743357566792</v>
      </c>
      <c r="U18">
        <f>AVERAGE(E18,J18,O18)</f>
        <v>105.9240766662591</v>
      </c>
      <c r="W18">
        <f>_xlfn.STDEV.P(D18,I18,N18)</f>
        <v>0.2240348008067653</v>
      </c>
      <c r="X18">
        <f>_xlfn.STDEV.P(E18,J18,O18)</f>
        <v>0.7202635826283974</v>
      </c>
    </row>
    <row r="19" spans="1:24" x14ac:dyDescent="0.2">
      <c r="A19">
        <v>105.571</v>
      </c>
      <c r="B19">
        <v>8.7668299999999995E-4</v>
      </c>
      <c r="C19">
        <v>1.9834099999999999E-4</v>
      </c>
      <c r="D19">
        <f>B19/$B$3*100</f>
        <v>104.55247999427554</v>
      </c>
      <c r="E19">
        <f>C19/$C$3*100</f>
        <v>108.30730418068235</v>
      </c>
      <c r="G19">
        <v>8.3866300000000002E-4</v>
      </c>
      <c r="H19">
        <v>1.87775E-4</v>
      </c>
      <c r="I19">
        <f>G19/$G$3*100</f>
        <v>104.90788413715806</v>
      </c>
      <c r="J19">
        <f>H19/$H$3*100</f>
        <v>105.02427401673454</v>
      </c>
      <c r="L19" s="5">
        <v>1.01856E-3</v>
      </c>
      <c r="M19" s="5">
        <v>1.9496800000000001E-4</v>
      </c>
      <c r="N19" s="4">
        <f>L19/$L$3*100</f>
        <v>104.44091258651626</v>
      </c>
      <c r="O19" s="4">
        <f>M19/$M$3*100</f>
        <v>106.35043583561523</v>
      </c>
      <c r="Q19">
        <f>AVERAGE(B19,G19,L19)</f>
        <v>9.1130200000000001E-4</v>
      </c>
      <c r="R19">
        <f>AVERAGE(C19,H19,M19)</f>
        <v>1.9369466666666665E-4</v>
      </c>
      <c r="T19">
        <f>AVERAGE(D19,I19,N19)</f>
        <v>104.6337589059833</v>
      </c>
      <c r="U19">
        <f>AVERAGE(E19,J19,O19)</f>
        <v>106.56067134434404</v>
      </c>
      <c r="W19">
        <f>_xlfn.STDEV.P(D19,I19,N19)</f>
        <v>0.19911521521219627</v>
      </c>
      <c r="X19">
        <f>_xlfn.STDEV.P(E19,J19,O19)</f>
        <v>1.34851053418099</v>
      </c>
    </row>
    <row r="20" spans="1:24" x14ac:dyDescent="0.2">
      <c r="A20">
        <v>111.708</v>
      </c>
      <c r="B20">
        <v>8.7982700000000002E-4</v>
      </c>
      <c r="C20">
        <v>1.9973699999999999E-4</v>
      </c>
      <c r="D20">
        <f>B20/$B$3*100</f>
        <v>104.92743079987122</v>
      </c>
      <c r="E20">
        <f>C20/$C$3*100</f>
        <v>109.06961251146738</v>
      </c>
      <c r="G20">
        <v>8.3927199999999996E-4</v>
      </c>
      <c r="H20">
        <v>1.86174E-4</v>
      </c>
      <c r="I20">
        <f>G20/$G$3*100</f>
        <v>104.98406360547791</v>
      </c>
      <c r="J20">
        <f>H20/$H$3*100</f>
        <v>104.12882008143542</v>
      </c>
      <c r="L20" s="5">
        <v>1.0184300000000001E-3</v>
      </c>
      <c r="M20" s="5">
        <v>1.9358799999999999E-4</v>
      </c>
      <c r="N20" s="4">
        <f>L20/$L$3*100</f>
        <v>104.42758267110999</v>
      </c>
      <c r="O20" s="4">
        <f>M20/$M$3*100</f>
        <v>105.59767845259265</v>
      </c>
      <c r="Q20">
        <f>AVERAGE(B20,G20,L20)</f>
        <v>9.1250966666666657E-4</v>
      </c>
      <c r="R20">
        <f>AVERAGE(C20,H20,M20)</f>
        <v>1.9316633333333331E-4</v>
      </c>
      <c r="T20">
        <f>AVERAGE(D20,I20,N20)</f>
        <v>104.7796923588197</v>
      </c>
      <c r="U20">
        <f>AVERAGE(E20,J20,O20)</f>
        <v>106.26537034849848</v>
      </c>
      <c r="W20">
        <f>_xlfn.STDEV.P(D20,I20,N20)</f>
        <v>0.25005031867205985</v>
      </c>
      <c r="X20">
        <f>_xlfn.STDEV.P(E20,J20,O20)</f>
        <v>2.0715882489946424</v>
      </c>
    </row>
    <row r="21" spans="1:24" x14ac:dyDescent="0.2">
      <c r="A21">
        <v>118.009</v>
      </c>
      <c r="B21">
        <v>8.8256399999999996E-4</v>
      </c>
      <c r="C21">
        <v>2.03685E-4</v>
      </c>
      <c r="D21">
        <f>B21/$B$3*100</f>
        <v>105.2538431264982</v>
      </c>
      <c r="E21">
        <f>C21/$C$3*100</f>
        <v>111.22548163033505</v>
      </c>
      <c r="G21">
        <v>8.4309499999999998E-4</v>
      </c>
      <c r="H21">
        <v>1.8820499999999999E-4</v>
      </c>
      <c r="I21">
        <f>G21/$G$3*100</f>
        <v>105.46228053057935</v>
      </c>
      <c r="J21">
        <f>H21/$H$3*100</f>
        <v>105.26477694751443</v>
      </c>
      <c r="L21" s="5">
        <v>1.0226899999999999E-3</v>
      </c>
      <c r="M21" s="5">
        <v>1.9651299999999999E-4</v>
      </c>
      <c r="N21" s="4">
        <f>L21/$L$3*100</f>
        <v>104.86439374519354</v>
      </c>
      <c r="O21" s="4">
        <f>M21/$M$3*100</f>
        <v>107.19319681878183</v>
      </c>
      <c r="Q21">
        <f>AVERAGE(B21,G21,L21)</f>
        <v>9.1611633333333329E-4</v>
      </c>
      <c r="R21">
        <f>AVERAGE(C21,H21,M21)</f>
        <v>1.9613433333333331E-4</v>
      </c>
      <c r="T21">
        <f>AVERAGE(D21,I21,N21)</f>
        <v>105.19350580075702</v>
      </c>
      <c r="U21">
        <f>AVERAGE(E21,J21,O21)</f>
        <v>107.89448513221043</v>
      </c>
      <c r="W21">
        <f>_xlfn.STDEV.P(D21,I21,N21)</f>
        <v>0.24778700086020314</v>
      </c>
      <c r="X21">
        <f>_xlfn.STDEV.P(E21,J21,O21)</f>
        <v>2.4834591537965176</v>
      </c>
    </row>
    <row r="22" spans="1:24" x14ac:dyDescent="0.2">
      <c r="A22">
        <v>124.221</v>
      </c>
      <c r="B22">
        <v>8.8325700000000003E-4</v>
      </c>
      <c r="C22">
        <v>1.9949599999999999E-4</v>
      </c>
      <c r="D22">
        <f>B22/$B$3*100</f>
        <v>105.33648972582318</v>
      </c>
      <c r="E22">
        <f>C22/$C$3*100</f>
        <v>108.93801057184045</v>
      </c>
      <c r="G22">
        <v>8.4567599999999996E-4</v>
      </c>
      <c r="H22">
        <v>1.9036899999999999E-4</v>
      </c>
      <c r="I22">
        <f>G22/$G$3*100</f>
        <v>105.78513637250633</v>
      </c>
      <c r="J22">
        <f>H22/$H$3*100</f>
        <v>106.47512192939281</v>
      </c>
      <c r="L22" s="5">
        <v>1.0227999999999999E-3</v>
      </c>
      <c r="M22" s="5">
        <v>1.92306E-4</v>
      </c>
      <c r="N22" s="4">
        <f>L22/$L$3*100</f>
        <v>104.87567290438349</v>
      </c>
      <c r="O22" s="4">
        <f>M22/$M$3*100</f>
        <v>104.89837775329194</v>
      </c>
      <c r="Q22">
        <f>AVERAGE(B22,G22,L22)</f>
        <v>9.1724433333333338E-4</v>
      </c>
      <c r="R22">
        <f>AVERAGE(C22,H22,M22)</f>
        <v>1.94057E-4</v>
      </c>
      <c r="T22">
        <f>AVERAGE(D22,I22,N22)</f>
        <v>105.33243300090435</v>
      </c>
      <c r="U22">
        <f>AVERAGE(E22,J22,O22)</f>
        <v>106.77050341817507</v>
      </c>
      <c r="W22">
        <f>_xlfn.STDEV.P(D22,I22,N22)</f>
        <v>0.37129798699993427</v>
      </c>
      <c r="X22">
        <f>_xlfn.STDEV.P(E22,J22,O22)</f>
        <v>1.6623469343290855</v>
      </c>
    </row>
    <row r="23" spans="1:24" x14ac:dyDescent="0.2">
      <c r="A23">
        <v>130.28700000000001</v>
      </c>
      <c r="B23">
        <v>8.8190199999999995E-4</v>
      </c>
      <c r="C23">
        <v>1.95961E-4</v>
      </c>
      <c r="D23">
        <f>B23/$B$3*100</f>
        <v>105.17489356119782</v>
      </c>
      <c r="E23">
        <f>C23/$C$3*100</f>
        <v>107.00766676859901</v>
      </c>
      <c r="G23">
        <v>8.4670399999999999E-4</v>
      </c>
      <c r="H23">
        <v>1.8956600000000001E-4</v>
      </c>
      <c r="I23">
        <f>G23/$G$3*100</f>
        <v>105.91372831574574</v>
      </c>
      <c r="J23">
        <f>H23/$H$3*100</f>
        <v>106.0259966888899</v>
      </c>
      <c r="L23" s="5">
        <v>1.02451E-3</v>
      </c>
      <c r="M23" s="5">
        <v>1.92859E-4</v>
      </c>
      <c r="N23" s="4">
        <f>L23/$L$3*100</f>
        <v>105.05101256088183</v>
      </c>
      <c r="O23" s="4">
        <f>M23/$M$3*100</f>
        <v>105.2000261828655</v>
      </c>
      <c r="Q23">
        <f>AVERAGE(B23,G23,L23)</f>
        <v>9.1770533333333326E-4</v>
      </c>
      <c r="R23">
        <f>AVERAGE(C23,H23,M23)</f>
        <v>1.9279533333333332E-4</v>
      </c>
      <c r="T23">
        <f>AVERAGE(D23,I23,N23)</f>
        <v>105.3798781459418</v>
      </c>
      <c r="U23">
        <f>AVERAGE(E23,J23,O23)</f>
        <v>106.0778965467848</v>
      </c>
      <c r="W23">
        <f>_xlfn.STDEV.P(D23,I23,N23)</f>
        <v>0.38086185457861987</v>
      </c>
      <c r="X23">
        <f>_xlfn.STDEV.P(E23,J23,O23)</f>
        <v>0.73887812176518841</v>
      </c>
    </row>
    <row r="24" spans="1:24" x14ac:dyDescent="0.2">
      <c r="A24">
        <v>136.62799999999999</v>
      </c>
      <c r="B24">
        <v>8.8649499999999995E-4</v>
      </c>
      <c r="C24">
        <v>1.9945299999999999E-4</v>
      </c>
      <c r="D24">
        <f>B24/$B$3*100</f>
        <v>105.72265089265483</v>
      </c>
      <c r="E24">
        <f>C24/$C$3*100</f>
        <v>108.91452972784062</v>
      </c>
      <c r="G24">
        <v>8.4653899999999999E-4</v>
      </c>
      <c r="H24">
        <v>1.8767400000000001E-4</v>
      </c>
      <c r="I24">
        <f>G24/$G$3*100</f>
        <v>105.89308855831921</v>
      </c>
      <c r="J24">
        <f>H24/$H$3*100</f>
        <v>104.96778379345832</v>
      </c>
      <c r="L24" s="5">
        <v>1.0277299999999999E-3</v>
      </c>
      <c r="M24" s="5">
        <v>1.9589299999999999E-4</v>
      </c>
      <c r="N24" s="4">
        <f>L24/$L$3*100</f>
        <v>105.38118431171495</v>
      </c>
      <c r="O24" s="4">
        <f>M24/$M$3*100</f>
        <v>106.85500147278617</v>
      </c>
      <c r="Q24">
        <f>AVERAGE(B24,G24,L24)</f>
        <v>9.2025466666666655E-4</v>
      </c>
      <c r="R24">
        <f>AVERAGE(C24,H24,M24)</f>
        <v>1.9434000000000001E-4</v>
      </c>
      <c r="T24">
        <f>AVERAGE(D24,I24,N24)</f>
        <v>105.66564125422967</v>
      </c>
      <c r="U24">
        <f>AVERAGE(E24,J24,O24)</f>
        <v>106.91243833136171</v>
      </c>
      <c r="W24">
        <f>_xlfn.STDEV.P(D24,I24,N24)</f>
        <v>0.2128364999679252</v>
      </c>
      <c r="X24">
        <f>_xlfn.STDEV.P(E24,J24,O24)</f>
        <v>1.6117640671394926</v>
      </c>
    </row>
    <row r="25" spans="1:24" x14ac:dyDescent="0.2">
      <c r="A25">
        <v>142.79400000000001</v>
      </c>
      <c r="B25">
        <v>8.8198900000000002E-4</v>
      </c>
      <c r="C25">
        <v>1.91542E-4</v>
      </c>
      <c r="D25">
        <f>B25/$B$3*100</f>
        <v>105.18526910829924</v>
      </c>
      <c r="E25">
        <f>C25/$C$3*100</f>
        <v>104.59460049801233</v>
      </c>
      <c r="G25">
        <v>8.4807199999999995E-4</v>
      </c>
      <c r="H25">
        <v>1.8919100000000001E-4</v>
      </c>
      <c r="I25">
        <f>G25/$G$3*100</f>
        <v>106.08485066822777</v>
      </c>
      <c r="J25">
        <f>H25/$H$3*100</f>
        <v>105.81625576088416</v>
      </c>
      <c r="L25" s="5">
        <v>1.03159E-3</v>
      </c>
      <c r="M25" s="5">
        <v>1.9419700000000001E-4</v>
      </c>
      <c r="N25" s="4">
        <f>L25/$L$3*100</f>
        <v>105.77698026147142</v>
      </c>
      <c r="O25" s="4">
        <f>M25/$M$3*100</f>
        <v>105.92987355857871</v>
      </c>
      <c r="Q25">
        <f>AVERAGE(B25,G25,L25)</f>
        <v>9.2055033333333328E-4</v>
      </c>
      <c r="R25">
        <f>AVERAGE(C25,H25,M25)</f>
        <v>1.9164333333333332E-4</v>
      </c>
      <c r="T25">
        <f>AVERAGE(D25,I25,N25)</f>
        <v>105.6823666793328</v>
      </c>
      <c r="U25">
        <f>AVERAGE(E25,J25,O25)</f>
        <v>105.4469099391584</v>
      </c>
      <c r="W25">
        <f>_xlfn.STDEV.P(D25,I25,N25)</f>
        <v>0.37329661413295184</v>
      </c>
      <c r="X25">
        <f>_xlfn.STDEV.P(E25,J25,O25)</f>
        <v>0.60445611287519518</v>
      </c>
    </row>
    <row r="26" spans="1:24" x14ac:dyDescent="0.2">
      <c r="A26">
        <v>149.03399999999999</v>
      </c>
      <c r="B26">
        <v>8.8628600000000002E-4</v>
      </c>
      <c r="C26">
        <v>1.9606800000000001E-4</v>
      </c>
      <c r="D26">
        <f>B26/$B$3*100</f>
        <v>105.69772572777904</v>
      </c>
      <c r="E26">
        <f>C26/$C$3*100</f>
        <v>107.06609584552879</v>
      </c>
      <c r="G26">
        <v>8.4843199999999998E-4</v>
      </c>
      <c r="H26">
        <v>1.8952800000000001E-4</v>
      </c>
      <c r="I26">
        <f>G26/$G$3*100</f>
        <v>106.12988286624936</v>
      </c>
      <c r="J26">
        <f>H26/$H$3*100</f>
        <v>106.00474294151864</v>
      </c>
      <c r="L26" s="5">
        <v>1.0314199999999999E-3</v>
      </c>
      <c r="M26" s="5">
        <v>1.93611E-4</v>
      </c>
      <c r="N26" s="4">
        <f>L26/$L$3*100</f>
        <v>105.75954883363239</v>
      </c>
      <c r="O26" s="4">
        <f>M26/$M$3*100</f>
        <v>105.61022440897636</v>
      </c>
      <c r="Q26">
        <f>AVERAGE(B26,G26,L26)</f>
        <v>9.2204600000000004E-4</v>
      </c>
      <c r="R26">
        <f>AVERAGE(C26,H26,M26)</f>
        <v>1.93069E-4</v>
      </c>
      <c r="T26">
        <f>AVERAGE(D26,I26,N26)</f>
        <v>105.86238580922026</v>
      </c>
      <c r="U26">
        <f>AVERAGE(E26,J26,O26)</f>
        <v>106.22702106534126</v>
      </c>
      <c r="W26">
        <f>_xlfn.STDEV.P(D26,I26,N26)</f>
        <v>0.19082545382933674</v>
      </c>
      <c r="X26">
        <f>_xlfn.STDEV.P(E26,J26,O26)</f>
        <v>0.61478781336321608</v>
      </c>
    </row>
    <row r="27" spans="1:24" x14ac:dyDescent="0.2">
      <c r="A27">
        <v>155.125</v>
      </c>
      <c r="B27">
        <v>8.8484000000000002E-4</v>
      </c>
      <c r="C27">
        <v>1.9201400000000001E-4</v>
      </c>
      <c r="D27">
        <f>B27/$B$3*100</f>
        <v>105.52527697940394</v>
      </c>
      <c r="E27">
        <f>C27/$C$3*100</f>
        <v>104.85234371587086</v>
      </c>
      <c r="G27">
        <v>8.5110999999999997E-4</v>
      </c>
      <c r="H27">
        <v>1.8877999999999999E-4</v>
      </c>
      <c r="I27">
        <f>G27/$G$3*100</f>
        <v>106.46487238375437</v>
      </c>
      <c r="J27">
        <f>H27/$H$3*100</f>
        <v>105.58637970378987</v>
      </c>
      <c r="L27" s="5">
        <v>1.03341E-3</v>
      </c>
      <c r="M27" s="5">
        <v>1.9427499999999999E-4</v>
      </c>
      <c r="N27" s="4">
        <f>L27/$L$3*100</f>
        <v>105.96359907715971</v>
      </c>
      <c r="O27" s="4">
        <f>M27/$M$3*100</f>
        <v>105.9724207150104</v>
      </c>
      <c r="Q27">
        <f>AVERAGE(B27,G27,L27)</f>
        <v>9.2312000000000004E-4</v>
      </c>
      <c r="R27">
        <f>AVERAGE(C27,H27,M27)</f>
        <v>1.9168966666666666E-4</v>
      </c>
      <c r="T27">
        <f>AVERAGE(D27,I27,N27)</f>
        <v>105.98458281343933</v>
      </c>
      <c r="U27">
        <f>AVERAGE(E27,J27,O27)</f>
        <v>105.47038137822371</v>
      </c>
      <c r="W27">
        <f>_xlfn.STDEV.P(D27,I27,N27)</f>
        <v>0.38387508285925559</v>
      </c>
      <c r="X27">
        <f>_xlfn.STDEV.P(E27,J27,O27)</f>
        <v>0.46456777736657207</v>
      </c>
    </row>
    <row r="28" spans="1:24" x14ac:dyDescent="0.2">
      <c r="A28">
        <v>161.47300000000001</v>
      </c>
      <c r="B28">
        <v>8.8832199999999998E-4</v>
      </c>
      <c r="C28">
        <v>1.9301400000000001E-4</v>
      </c>
      <c r="D28">
        <f>B28/$B$3*100</f>
        <v>105.94053738178435</v>
      </c>
      <c r="E28">
        <f>C28/$C$3*100</f>
        <v>105.39840985540168</v>
      </c>
      <c r="G28">
        <v>8.5188199999999999E-4</v>
      </c>
      <c r="H28">
        <v>1.8710499999999999E-4</v>
      </c>
      <c r="I28">
        <f>G28/$G$3*100</f>
        <v>106.56144143062289</v>
      </c>
      <c r="J28">
        <f>H28/$H$3*100</f>
        <v>104.64953689203097</v>
      </c>
      <c r="L28" s="5">
        <v>1.03283E-3</v>
      </c>
      <c r="M28" s="5">
        <v>1.9233600000000001E-4</v>
      </c>
      <c r="N28" s="4">
        <f>L28/$L$3*100</f>
        <v>105.90412714688541</v>
      </c>
      <c r="O28" s="4">
        <f>M28/$M$3*100</f>
        <v>104.91474204422721</v>
      </c>
      <c r="Q28">
        <f>AVERAGE(B28,G28,L28)</f>
        <v>9.2434466666666654E-4</v>
      </c>
      <c r="R28">
        <f>AVERAGE(C28,H28,M28)</f>
        <v>1.9081833333333334E-4</v>
      </c>
      <c r="T28">
        <f>AVERAGE(D28,I28,N28)</f>
        <v>106.13536865309754</v>
      </c>
      <c r="U28">
        <f>AVERAGE(E28,J28,O28)</f>
        <v>104.98756293055328</v>
      </c>
      <c r="W28">
        <f>_xlfn.STDEV.P(D28,I28,N28)</f>
        <v>0.30164541558201163</v>
      </c>
      <c r="X28">
        <f>_xlfn.STDEV.P(E28,J28,O28)</f>
        <v>0.31003208428687451</v>
      </c>
    </row>
    <row r="29" spans="1:24" x14ac:dyDescent="0.2">
      <c r="A29">
        <v>167.614</v>
      </c>
      <c r="B29">
        <v>8.8905600000000005E-4</v>
      </c>
      <c r="C29">
        <v>1.9415200000000001E-4</v>
      </c>
      <c r="D29">
        <f>B29/$B$3*100</f>
        <v>106.02807360675483</v>
      </c>
      <c r="E29">
        <f>C29/$C$3*100</f>
        <v>106.01983312218775</v>
      </c>
      <c r="G29">
        <v>8.5424700000000004E-4</v>
      </c>
      <c r="H29">
        <v>1.8835100000000001E-4</v>
      </c>
      <c r="I29">
        <f>G29/$G$3*100</f>
        <v>106.85727795373691</v>
      </c>
      <c r="J29">
        <f>H29/$H$3*100</f>
        <v>105.34643608215133</v>
      </c>
      <c r="L29" s="5">
        <v>1.03516E-3</v>
      </c>
      <c r="M29" s="5">
        <v>1.93482E-4</v>
      </c>
      <c r="N29" s="4">
        <f>L29/$L$3*100</f>
        <v>106.14304024609076</v>
      </c>
      <c r="O29" s="4">
        <f>M29/$M$3*100</f>
        <v>105.53985795795468</v>
      </c>
      <c r="Q29">
        <f>AVERAGE(B29,G29,L29)</f>
        <v>9.2615433333333337E-4</v>
      </c>
      <c r="R29">
        <f>AVERAGE(C29,H29,M29)</f>
        <v>1.9199500000000001E-4</v>
      </c>
      <c r="T29">
        <f>AVERAGE(D29,I29,N29)</f>
        <v>106.34279726886085</v>
      </c>
      <c r="U29">
        <f>AVERAGE(E29,J29,O29)</f>
        <v>105.63537572076457</v>
      </c>
      <c r="W29">
        <f>_xlfn.STDEV.P(D29,I29,N29)</f>
        <v>0.36680795463290888</v>
      </c>
      <c r="X29">
        <f>_xlfn.STDEV.P(E29,J29,O29)</f>
        <v>0.2830884733808024</v>
      </c>
    </row>
    <row r="30" spans="1:24" x14ac:dyDescent="0.2">
      <c r="A30">
        <v>173.85</v>
      </c>
      <c r="B30">
        <v>8.8986999999999996E-4</v>
      </c>
      <c r="C30">
        <v>1.9332900000000001E-4</v>
      </c>
      <c r="D30">
        <f>B30/$B$3*100</f>
        <v>106.12515056469213</v>
      </c>
      <c r="E30">
        <f>C30/$C$3*100</f>
        <v>105.5704206893539</v>
      </c>
      <c r="G30">
        <v>8.5972299999999995E-4</v>
      </c>
      <c r="H30">
        <v>1.9341399999999999E-4</v>
      </c>
      <c r="I30">
        <f>G30/$G$3*100</f>
        <v>107.54226772142081</v>
      </c>
      <c r="J30">
        <f>H30/$H$3*100</f>
        <v>108.17821826479931</v>
      </c>
      <c r="L30" s="5">
        <v>1.03859E-3</v>
      </c>
      <c r="M30" s="5">
        <v>1.9261899999999999E-4</v>
      </c>
      <c r="N30" s="4">
        <f>L30/$L$3*100</f>
        <v>106.49474493719559</v>
      </c>
      <c r="O30" s="4">
        <f>M30/$M$3*100</f>
        <v>105.0691118553833</v>
      </c>
      <c r="Q30">
        <f>AVERAGE(B30,G30,L30)</f>
        <v>9.2939433333333321E-4</v>
      </c>
      <c r="R30">
        <f>AVERAGE(C30,H30,M30)</f>
        <v>1.9312066666666664E-4</v>
      </c>
      <c r="T30">
        <f>AVERAGE(D30,I30,N30)</f>
        <v>106.72072107443618</v>
      </c>
      <c r="U30">
        <f>AVERAGE(E30,J30,O30)</f>
        <v>106.27258360317883</v>
      </c>
      <c r="W30">
        <f>_xlfn.STDEV.P(D30,I30,N30)</f>
        <v>0.60019672881776964</v>
      </c>
      <c r="X30">
        <f>_xlfn.STDEV.P(E30,J30,O30)</f>
        <v>1.362940506021517</v>
      </c>
    </row>
    <row r="31" spans="1:24" x14ac:dyDescent="0.2">
      <c r="A31">
        <v>179.93600000000001</v>
      </c>
      <c r="B31">
        <v>8.9346100000000002E-4</v>
      </c>
      <c r="C31">
        <v>1.9663800000000001E-4</v>
      </c>
      <c r="D31">
        <f>B31/$B$3*100</f>
        <v>106.55341021573983</v>
      </c>
      <c r="E31">
        <f>C31/$C$3*100</f>
        <v>107.37735354506137</v>
      </c>
      <c r="G31">
        <v>8.5992800000000004E-4</v>
      </c>
      <c r="H31">
        <v>1.9260100000000001E-4</v>
      </c>
      <c r="I31">
        <f>G31/$G$3*100</f>
        <v>107.56791105640534</v>
      </c>
      <c r="J31">
        <f>H31/$H$3*100</f>
        <v>107.7234999328829</v>
      </c>
      <c r="L31" s="5">
        <v>1.0392400000000001E-3</v>
      </c>
      <c r="M31" s="5">
        <v>1.9381199999999999E-4</v>
      </c>
      <c r="N31" s="4">
        <f>L31/$L$3*100</f>
        <v>106.56139451422713</v>
      </c>
      <c r="O31" s="4">
        <f>M31/$M$3*100</f>
        <v>105.71986515824267</v>
      </c>
      <c r="Q31">
        <f>AVERAGE(B31,G31,L31)</f>
        <v>9.3087633333333345E-4</v>
      </c>
      <c r="R31">
        <f>AVERAGE(C31,H31,M31)</f>
        <v>1.9435033333333333E-4</v>
      </c>
      <c r="T31">
        <f>AVERAGE(D31,I31,N31)</f>
        <v>106.89423859545742</v>
      </c>
      <c r="U31">
        <f>AVERAGE(E31,J31,O31)</f>
        <v>106.94023954539564</v>
      </c>
      <c r="W31">
        <f>_xlfn.STDEV.P(D31,I31,N31)</f>
        <v>0.4763695174513769</v>
      </c>
      <c r="X31">
        <f>_xlfn.STDEV.P(E31,J31,O31)</f>
        <v>0.87442917154172739</v>
      </c>
    </row>
    <row r="32" spans="1:24" x14ac:dyDescent="0.2">
      <c r="A32">
        <v>193.119</v>
      </c>
      <c r="B32">
        <v>1.3663900000000001E-6</v>
      </c>
      <c r="C32">
        <v>2.3139400000000001E-5</v>
      </c>
      <c r="D32">
        <f>B32/$B$3*100</f>
        <v>0.16295452648149694</v>
      </c>
      <c r="E32">
        <f>C32/$C$3*100</f>
        <v>12.635642829059455</v>
      </c>
      <c r="G32">
        <v>1.43776E-6</v>
      </c>
      <c r="H32">
        <v>2.3368200000000001E-5</v>
      </c>
      <c r="I32">
        <f>G32/$G$3*100</f>
        <v>0.17984859174309631</v>
      </c>
      <c r="J32">
        <f>H32/$H$3*100</f>
        <v>13.0700478768625</v>
      </c>
      <c r="L32" s="5">
        <v>1.1923800000000001E-6</v>
      </c>
      <c r="M32" s="5">
        <v>2.6785199999999999E-5</v>
      </c>
      <c r="N32" s="4">
        <f>L32/$L$3*100</f>
        <v>0.12226403486285568</v>
      </c>
      <c r="O32" s="4">
        <f>M32/$M$3*100</f>
        <v>14.610693518649837</v>
      </c>
      <c r="Q32">
        <f>AVERAGE(B32,G32,L32)</f>
        <v>1.3321766666666668E-6</v>
      </c>
      <c r="R32">
        <f>AVERAGE(C32,H32,M32)</f>
        <v>2.4430933333333334E-5</v>
      </c>
      <c r="T32">
        <f>AVERAGE(D32,I32,N32)</f>
        <v>0.15502238436248297</v>
      </c>
      <c r="U32">
        <f>AVERAGE(E32,J32,O32)</f>
        <v>13.43879474152393</v>
      </c>
      <c r="W32">
        <f>_xlfn.STDEV.P(D32,I32,N32)</f>
        <v>2.4168636104403153E-2</v>
      </c>
      <c r="X32">
        <f>_xlfn.STDEV.P(E32,J32,O32)</f>
        <v>0.84742236390168824</v>
      </c>
    </row>
    <row r="33" spans="1:24" x14ac:dyDescent="0.2">
      <c r="A33">
        <v>199.374</v>
      </c>
      <c r="B33">
        <v>1.3310099999999999E-6</v>
      </c>
      <c r="C33">
        <v>2.2898700000000002E-5</v>
      </c>
      <c r="D33">
        <f>B33/$B$3*100</f>
        <v>0.15873513732692512</v>
      </c>
      <c r="E33">
        <f>C33/$C$3*100</f>
        <v>12.504204709274388</v>
      </c>
      <c r="G33">
        <v>1.41506E-6</v>
      </c>
      <c r="H33">
        <v>2.3156E-5</v>
      </c>
      <c r="I33">
        <f>G33/$G$3*100</f>
        <v>0.17700906147895745</v>
      </c>
      <c r="J33">
        <f>H33/$H$3*100</f>
        <v>12.951362477068326</v>
      </c>
      <c r="L33" s="5">
        <v>1.1319600000000001E-6</v>
      </c>
      <c r="M33" s="5">
        <v>2.65834E-5</v>
      </c>
      <c r="N33" s="4">
        <f>L33/$L$3*100</f>
        <v>0.1160687003332479</v>
      </c>
      <c r="O33" s="4">
        <f>M33/$M$3*100</f>
        <v>14.500616388291895</v>
      </c>
      <c r="Q33">
        <f>AVERAGE(B33,G33,L33)</f>
        <v>1.2926766666666666E-6</v>
      </c>
      <c r="R33">
        <f>AVERAGE(C33,H33,M33)</f>
        <v>2.4212699999999999E-5</v>
      </c>
      <c r="T33">
        <f>AVERAGE(D33,I33,N33)</f>
        <v>0.15060429971304348</v>
      </c>
      <c r="U33">
        <f>AVERAGE(E33,J33,O33)</f>
        <v>13.318727858211536</v>
      </c>
      <c r="W33">
        <f>_xlfn.STDEV.P(D33,I33,N33)</f>
        <v>2.553448379962367E-2</v>
      </c>
      <c r="X33">
        <f>_xlfn.STDEV.P(E33,J33,O33)</f>
        <v>0.85542694621896187</v>
      </c>
    </row>
    <row r="34" spans="1:24" x14ac:dyDescent="0.2">
      <c r="A34">
        <v>205.643</v>
      </c>
      <c r="B34">
        <v>1.2971499999999999E-6</v>
      </c>
      <c r="C34">
        <v>2.2648400000000002E-5</v>
      </c>
      <c r="D34">
        <f>B34/$B$3*100</f>
        <v>0.15469702209872274</v>
      </c>
      <c r="E34">
        <f>C34/$C$3*100</f>
        <v>12.367524354549824</v>
      </c>
      <c r="G34">
        <v>1.38483E-6</v>
      </c>
      <c r="H34">
        <v>2.2930900000000001E-5</v>
      </c>
      <c r="I34">
        <f>G34/$G$3*100</f>
        <v>0.17322760773953375</v>
      </c>
      <c r="J34">
        <f>H34/$H$3*100</f>
        <v>12.825461989350757</v>
      </c>
      <c r="L34" s="5">
        <v>1.09054E-6</v>
      </c>
      <c r="M34" s="5">
        <v>2.6259500000000002E-5</v>
      </c>
      <c r="N34" s="4">
        <f>L34/$L$3*100</f>
        <v>0.11182158420917714</v>
      </c>
      <c r="O34" s="4">
        <f>M34/$M$3*100</f>
        <v>14.323936593827389</v>
      </c>
      <c r="Q34">
        <f>AVERAGE(B34,G34,L34)</f>
        <v>1.2575066666666669E-6</v>
      </c>
      <c r="R34">
        <f>AVERAGE(C34,H34,M34)</f>
        <v>2.3946266666666668E-5</v>
      </c>
      <c r="T34">
        <f>AVERAGE(D34,I34,N34)</f>
        <v>0.14658207134914455</v>
      </c>
      <c r="U34">
        <f>AVERAGE(E34,J34,O34)</f>
        <v>13.172307645909322</v>
      </c>
      <c r="W34">
        <f>_xlfn.STDEV.P(D34,I34,N34)</f>
        <v>2.5717234826781461E-2</v>
      </c>
      <c r="X34">
        <f>_xlfn.STDEV.P(E34,J34,O34)</f>
        <v>0.83550928365236066</v>
      </c>
    </row>
    <row r="35" spans="1:24" x14ac:dyDescent="0.2">
      <c r="A35">
        <v>211.75800000000001</v>
      </c>
      <c r="B35">
        <v>1.2562299999999999E-6</v>
      </c>
      <c r="C35">
        <v>2.24856E-5</v>
      </c>
      <c r="D35">
        <f>B35/$B$3*100</f>
        <v>0.14981693718619932</v>
      </c>
      <c r="E35">
        <f>C35/$C$3*100</f>
        <v>12.278624787034206</v>
      </c>
      <c r="G35">
        <v>1.3615800000000001E-6</v>
      </c>
      <c r="H35">
        <v>2.2851199999999999E-5</v>
      </c>
      <c r="I35">
        <f>G35/$G$3*100</f>
        <v>0.17031927828397303</v>
      </c>
      <c r="J35">
        <f>H35/$H$3*100</f>
        <v>12.780885050785271</v>
      </c>
      <c r="L35" s="5">
        <v>1.04076E-6</v>
      </c>
      <c r="M35" s="5">
        <v>2.6015400000000002E-5</v>
      </c>
      <c r="N35" s="4">
        <f>L35/$L$3*100</f>
        <v>0.10671725198667008</v>
      </c>
      <c r="O35" s="4">
        <f>M35/$M$3*100</f>
        <v>14.190785813250711</v>
      </c>
      <c r="Q35">
        <f>AVERAGE(B35,G35,L35)</f>
        <v>1.2195233333333333E-6</v>
      </c>
      <c r="R35">
        <f>AVERAGE(C35,H35,M35)</f>
        <v>2.3784066666666668E-5</v>
      </c>
      <c r="T35">
        <f>AVERAGE(D35,I35,N35)</f>
        <v>0.14228448915228081</v>
      </c>
      <c r="U35">
        <f>AVERAGE(E35,J35,O35)</f>
        <v>13.083431883690062</v>
      </c>
      <c r="W35">
        <f>_xlfn.STDEV.P(D35,I35,N35)</f>
        <v>2.6506071849275895E-2</v>
      </c>
      <c r="X35">
        <f>_xlfn.STDEV.P(E35,J35,O35)</f>
        <v>0.80941991043828421</v>
      </c>
    </row>
    <row r="36" spans="1:24" x14ac:dyDescent="0.2">
      <c r="A36">
        <v>218.077</v>
      </c>
      <c r="B36">
        <v>1.2242399999999999E-6</v>
      </c>
      <c r="C36">
        <v>2.2370399999999998E-5</v>
      </c>
      <c r="D36">
        <f>B36/$B$3*100</f>
        <v>0.14600183659109611</v>
      </c>
      <c r="E36">
        <f>C36/$C$3*100</f>
        <v>12.215717967760254</v>
      </c>
      <c r="G36">
        <v>1.3397000000000001E-6</v>
      </c>
      <c r="H36">
        <v>2.2720600000000001E-5</v>
      </c>
      <c r="I36">
        <f>G36/$G$3*100</f>
        <v>0.16758232135977222</v>
      </c>
      <c r="J36">
        <f>H36/$H$3*100</f>
        <v>12.707839276925142</v>
      </c>
      <c r="L36" s="5">
        <v>1.0018699999999999E-6</v>
      </c>
      <c r="M36" s="5">
        <v>2.58494E-5</v>
      </c>
      <c r="N36" s="4">
        <f>L36/$L$3*100</f>
        <v>0.1027295565239682</v>
      </c>
      <c r="O36" s="4">
        <f>M36/$M$3*100</f>
        <v>14.100236736742197</v>
      </c>
      <c r="Q36">
        <f>AVERAGE(B36,G36,L36)</f>
        <v>1.1886033333333331E-6</v>
      </c>
      <c r="R36">
        <f>AVERAGE(C36,H36,M36)</f>
        <v>2.3646799999999999E-5</v>
      </c>
      <c r="T36">
        <f>AVERAGE(D36,I36,N36)</f>
        <v>0.13877123815827885</v>
      </c>
      <c r="U36">
        <f>AVERAGE(E36,J36,O36)</f>
        <v>13.007931327142531</v>
      </c>
      <c r="W36">
        <f>_xlfn.STDEV.P(D36,I36,N36)</f>
        <v>2.69651805357022E-2</v>
      </c>
      <c r="X36">
        <f>_xlfn.STDEV.P(E36,J36,O36)</f>
        <v>0.7980785995602443</v>
      </c>
    </row>
    <row r="37" spans="1:24" x14ac:dyDescent="0.2">
      <c r="A37">
        <v>224.21</v>
      </c>
      <c r="B37">
        <v>1.1997299999999999E-6</v>
      </c>
      <c r="C37">
        <v>2.2293399999999999E-5</v>
      </c>
      <c r="D37">
        <f>B37/$B$3*100</f>
        <v>0.14307879452838962</v>
      </c>
      <c r="E37">
        <f>C37/$C$3*100</f>
        <v>12.173670875016381</v>
      </c>
      <c r="G37">
        <v>1.3193499999999999E-6</v>
      </c>
      <c r="H37">
        <v>2.26027E-5</v>
      </c>
      <c r="I37">
        <f>G37/$G$3*100</f>
        <v>0.16503675127716316</v>
      </c>
      <c r="J37">
        <f>H37/$H$3*100</f>
        <v>12.641896729160143</v>
      </c>
      <c r="L37" s="5">
        <v>9.80739E-7</v>
      </c>
      <c r="M37" s="5">
        <v>2.57211E-5</v>
      </c>
      <c r="N37" s="4">
        <f>L37/$L$3*100</f>
        <v>0.10056283004357858</v>
      </c>
      <c r="O37" s="4">
        <f>M37/$M$3*100</f>
        <v>14.030252119175676</v>
      </c>
      <c r="Q37">
        <f>AVERAGE(B37,G37,L37)</f>
        <v>1.1666063333333331E-6</v>
      </c>
      <c r="R37">
        <f>AVERAGE(C37,H37,M37)</f>
        <v>2.3539066666666663E-5</v>
      </c>
      <c r="T37">
        <f>AVERAGE(D37,I37,N37)</f>
        <v>0.13622612528304379</v>
      </c>
      <c r="U37">
        <f>AVERAGE(E37,J37,O37)</f>
        <v>12.948606574450734</v>
      </c>
      <c r="W37">
        <f>_xlfn.STDEV.P(D37,I37,N37)</f>
        <v>2.6763668615596464E-2</v>
      </c>
      <c r="X37">
        <f>_xlfn.STDEV.P(E37,J37,O37)</f>
        <v>0.78836399204921115</v>
      </c>
    </row>
    <row r="38" spans="1:24" x14ac:dyDescent="0.2">
      <c r="A38">
        <v>230.48099999999999</v>
      </c>
      <c r="B38">
        <v>1.18749E-6</v>
      </c>
      <c r="C38">
        <v>2.2264199999999999E-5</v>
      </c>
      <c r="D38">
        <f>B38/$B$3*100</f>
        <v>0.1416190623844677</v>
      </c>
      <c r="E38">
        <f>C38/$C$3*100</f>
        <v>12.15772574374208</v>
      </c>
      <c r="G38">
        <v>1.2964199999999999E-6</v>
      </c>
      <c r="H38">
        <v>2.25409E-5</v>
      </c>
      <c r="I38">
        <f>G38/$G$3*100</f>
        <v>0.16216845044206607</v>
      </c>
      <c r="J38">
        <f>H38/$H$3*100</f>
        <v>12.6073314242248</v>
      </c>
      <c r="L38" s="5">
        <v>9.6572100000000008E-7</v>
      </c>
      <c r="M38" s="5">
        <v>2.5624699999999999E-5</v>
      </c>
      <c r="N38" s="4">
        <f>L38/$L$3*100</f>
        <v>9.9022917200717778E-2</v>
      </c>
      <c r="O38" s="4">
        <f>M38/$M$3*100</f>
        <v>13.977668197636994</v>
      </c>
      <c r="Q38">
        <f>AVERAGE(B38,G38,L38)</f>
        <v>1.149877E-6</v>
      </c>
      <c r="R38">
        <f>AVERAGE(C38,H38,M38)</f>
        <v>2.3476600000000002E-5</v>
      </c>
      <c r="T38">
        <f>AVERAGE(D38,I38,N38)</f>
        <v>0.13427014334241719</v>
      </c>
      <c r="U38">
        <f>AVERAGE(E38,J38,O38)</f>
        <v>12.914241788534625</v>
      </c>
      <c r="W38">
        <f>_xlfn.STDEV.P(D38,I38,N38)</f>
        <v>2.6297586079315521E-2</v>
      </c>
      <c r="X38">
        <f>_xlfn.STDEV.P(E38,J38,O38)</f>
        <v>0.77403407016437908</v>
      </c>
    </row>
    <row r="39" spans="1:24" x14ac:dyDescent="0.2">
      <c r="A39">
        <v>236.60900000000001</v>
      </c>
      <c r="B39">
        <v>1.1760799999999999E-6</v>
      </c>
      <c r="C39">
        <v>2.2237499999999998E-5</v>
      </c>
      <c r="D39">
        <f>B39/$B$3*100</f>
        <v>0.14025831534507638</v>
      </c>
      <c r="E39">
        <f>C39/$C$3*100</f>
        <v>12.143145777816608</v>
      </c>
      <c r="G39">
        <v>1.2735200000000001E-6</v>
      </c>
      <c r="H39">
        <v>2.2529300000000001E-5</v>
      </c>
      <c r="I39">
        <f>G39/$G$3*100</f>
        <v>0.15930390229013744</v>
      </c>
      <c r="J39">
        <f>H39/$H$3*100</f>
        <v>12.600843438185155</v>
      </c>
      <c r="L39" s="5">
        <v>9.5870200000000008E-7</v>
      </c>
      <c r="M39" s="5">
        <v>2.5554999999999998E-5</v>
      </c>
      <c r="N39" s="4">
        <f>L39/$L$3*100</f>
        <v>9.8303204306588066E-2</v>
      </c>
      <c r="O39" s="4">
        <f>M39/$M$3*100</f>
        <v>13.93964849503071</v>
      </c>
      <c r="Q39">
        <f>AVERAGE(B39,G39,L39)</f>
        <v>1.1361006666666669E-6</v>
      </c>
      <c r="R39">
        <f>AVERAGE(C39,H39,M39)</f>
        <v>2.3440599999999997E-5</v>
      </c>
      <c r="T39">
        <f>AVERAGE(D39,I39,N39)</f>
        <v>0.13262180731393397</v>
      </c>
      <c r="U39">
        <f>AVERAGE(E39,J39,O39)</f>
        <v>12.894545903677491</v>
      </c>
      <c r="W39">
        <f>_xlfn.STDEV.P(D39,I39,N39)</f>
        <v>2.5482130729883715E-2</v>
      </c>
      <c r="X39">
        <f>_xlfn.STDEV.P(E39,J39,O39)</f>
        <v>0.7622560186344306</v>
      </c>
    </row>
    <row r="40" spans="1:24" x14ac:dyDescent="0.2">
      <c r="A40">
        <v>242.952</v>
      </c>
      <c r="B40">
        <v>1.1624099999999999E-6</v>
      </c>
      <c r="C40">
        <v>2.2217399999999998E-5</v>
      </c>
      <c r="D40">
        <f>B40/$B$3*100</f>
        <v>0.1386280425993727</v>
      </c>
      <c r="E40">
        <f>C40/$C$3*100</f>
        <v>12.132169848412037</v>
      </c>
      <c r="G40">
        <v>1.2462E-6</v>
      </c>
      <c r="H40">
        <v>2.2469399999999999E-5</v>
      </c>
      <c r="I40">
        <f>G40/$G$3*100</f>
        <v>0.15588645881805491</v>
      </c>
      <c r="J40">
        <f>H40/$H$3*100</f>
        <v>12.567340820618373</v>
      </c>
      <c r="L40" s="5">
        <v>9.3897399999999995E-7</v>
      </c>
      <c r="M40" s="5">
        <v>2.54798E-5</v>
      </c>
      <c r="N40" s="4">
        <f>L40/$L$3*100</f>
        <v>9.628033837477569E-2</v>
      </c>
      <c r="O40" s="4">
        <f>M40/$M$3*100</f>
        <v>13.898628672419623</v>
      </c>
      <c r="Q40">
        <f>AVERAGE(B40,G40,L40)</f>
        <v>1.1158613333333333E-6</v>
      </c>
      <c r="R40">
        <f>AVERAGE(C40,H40,M40)</f>
        <v>2.3388866666666666E-5</v>
      </c>
      <c r="T40">
        <f>AVERAGE(D40,I40,N40)</f>
        <v>0.13026494659740109</v>
      </c>
      <c r="U40">
        <f>AVERAGE(E40,J40,O40)</f>
        <v>12.866046447150012</v>
      </c>
      <c r="W40">
        <f>_xlfn.STDEV.P(D40,I40,N40)</f>
        <v>2.50423432027745E-2</v>
      </c>
      <c r="X40">
        <f>_xlfn.STDEV.P(E40,J40,O40)</f>
        <v>0.75144881516521556</v>
      </c>
    </row>
    <row r="41" spans="1:24" x14ac:dyDescent="0.2">
      <c r="A41">
        <v>249.15899999999999</v>
      </c>
      <c r="B41">
        <v>1.14308E-6</v>
      </c>
      <c r="C41">
        <v>2.2172699999999999E-5</v>
      </c>
      <c r="D41">
        <f>B41/$B$3*100</f>
        <v>0.13632276299626719</v>
      </c>
      <c r="E41">
        <f>C41/$C$3*100</f>
        <v>12.10776069197501</v>
      </c>
      <c r="G41">
        <v>1.2277600000000001E-6</v>
      </c>
      <c r="H41">
        <v>2.2401699999999999E-5</v>
      </c>
      <c r="I41">
        <f>G41/$G$3*100</f>
        <v>0.15357980956383815</v>
      </c>
      <c r="J41">
        <f>H41/$H$3*100</f>
        <v>12.529475591749073</v>
      </c>
      <c r="L41" s="5">
        <v>9.1834199999999995E-7</v>
      </c>
      <c r="M41" s="5">
        <v>2.5386500000000002E-5</v>
      </c>
      <c r="N41" s="4">
        <f>L41/$L$3*100</f>
        <v>9.4164778261984106E-2</v>
      </c>
      <c r="O41" s="4">
        <f>M41/$M$3*100</f>
        <v>13.847735727610921</v>
      </c>
      <c r="Q41">
        <f>AVERAGE(B41,G41,L41)</f>
        <v>1.096394E-6</v>
      </c>
      <c r="R41">
        <f>AVERAGE(C41,H41,M41)</f>
        <v>2.3320299999999998E-5</v>
      </c>
      <c r="T41">
        <f>AVERAGE(D41,I41,N41)</f>
        <v>0.12802245027402981</v>
      </c>
      <c r="U41">
        <f>AVERAGE(E41,J41,O41)</f>
        <v>12.828324003778334</v>
      </c>
      <c r="W41">
        <f>_xlfn.STDEV.P(D41,I41,N41)</f>
        <v>2.4956066458415551E-2</v>
      </c>
      <c r="X41">
        <f>_xlfn.STDEV.P(E41,J41,O41)</f>
        <v>0.74110775698200881</v>
      </c>
    </row>
    <row r="42" spans="1:24" x14ac:dyDescent="0.2">
      <c r="A42">
        <v>262.24700000000001</v>
      </c>
      <c r="B42">
        <v>6.68057E-4</v>
      </c>
      <c r="C42">
        <v>1.9441099999999999E-4</v>
      </c>
      <c r="D42">
        <f>B42/$B$3*100</f>
        <v>79.671918045103823</v>
      </c>
      <c r="E42">
        <f>C42/$C$3*100</f>
        <v>106.16126425232623</v>
      </c>
      <c r="G42">
        <v>6.4502099999999996E-4</v>
      </c>
      <c r="H42">
        <v>1.84382E-4</v>
      </c>
      <c r="I42">
        <f>G42/$G$3*100</f>
        <v>80.68531500022516</v>
      </c>
      <c r="J42">
        <f>H42/$H$3*100</f>
        <v>103.12653810013872</v>
      </c>
      <c r="L42" s="5">
        <v>7.6083100000000001E-4</v>
      </c>
      <c r="M42" s="5">
        <v>1.8900199999999999E-4</v>
      </c>
      <c r="N42" s="4">
        <f>L42/$L$3*100</f>
        <v>78.013945142271211</v>
      </c>
      <c r="O42" s="4">
        <f>M42/$M$3*100</f>
        <v>103.09612384495379</v>
      </c>
      <c r="Q42">
        <f>AVERAGE(B42,G42,L42)</f>
        <v>6.9130299999999999E-4</v>
      </c>
      <c r="R42">
        <f>AVERAGE(C42,H42,M42)</f>
        <v>1.8926499999999998E-4</v>
      </c>
      <c r="T42">
        <f>AVERAGE(D42,I42,N42)</f>
        <v>79.457059395866736</v>
      </c>
      <c r="U42">
        <f>AVERAGE(E42,J42,O42)</f>
        <v>104.12797539913959</v>
      </c>
      <c r="W42">
        <f>_xlfn.STDEV.P(D42,I42,N42)</f>
        <v>1.1011138024322509</v>
      </c>
      <c r="X42">
        <f>_xlfn.STDEV.P(E42,J42,O42)</f>
        <v>1.4378059505370051</v>
      </c>
    </row>
    <row r="43" spans="1:24" x14ac:dyDescent="0.2">
      <c r="A43">
        <v>268.46699999999998</v>
      </c>
      <c r="B43">
        <v>6.8596200000000003E-4</v>
      </c>
      <c r="C43">
        <v>1.94725E-4</v>
      </c>
      <c r="D43">
        <f>B43/$B$3*100</f>
        <v>81.807253342238013</v>
      </c>
      <c r="E43">
        <f>C43/$C$3*100</f>
        <v>106.3327290201389</v>
      </c>
      <c r="G43">
        <v>6.6710499999999998E-4</v>
      </c>
      <c r="H43">
        <v>1.86756E-4</v>
      </c>
      <c r="I43">
        <f>G43/$G$3*100</f>
        <v>83.447790169971526</v>
      </c>
      <c r="J43">
        <f>H43/$H$3*100</f>
        <v>104.45433800170029</v>
      </c>
      <c r="L43" s="5">
        <v>7.8450000000000004E-4</v>
      </c>
      <c r="M43" s="5">
        <v>1.9578600000000001E-4</v>
      </c>
      <c r="N43" s="4">
        <f>L43/$L$3*100</f>
        <v>80.440912586516276</v>
      </c>
      <c r="O43" s="4">
        <f>M43/$M$3*100</f>
        <v>106.79663550178371</v>
      </c>
      <c r="Q43">
        <f>AVERAGE(B43,G43,L43)</f>
        <v>7.1252233333333331E-4</v>
      </c>
      <c r="R43">
        <f>AVERAGE(C43,H43,M43)</f>
        <v>1.9242233333333333E-4</v>
      </c>
      <c r="T43">
        <f>AVERAGE(D43,I43,N43)</f>
        <v>81.898652032908601</v>
      </c>
      <c r="U43">
        <f>AVERAGE(E43,J43,O43)</f>
        <v>105.86123417454097</v>
      </c>
      <c r="W43">
        <f>_xlfn.STDEV.P(D43,I43,N43)</f>
        <v>1.2292527515971221</v>
      </c>
      <c r="X43">
        <f>_xlfn.STDEV.P(E43,J43,O43)</f>
        <v>1.012692759196431</v>
      </c>
    </row>
    <row r="44" spans="1:24" x14ac:dyDescent="0.2">
      <c r="A44">
        <v>274.76</v>
      </c>
      <c r="B44">
        <v>7.0168499999999996E-4</v>
      </c>
      <c r="C44">
        <v>1.9075900000000001E-4</v>
      </c>
      <c r="D44">
        <f>B44/$B$3*100</f>
        <v>83.68236514770247</v>
      </c>
      <c r="E44">
        <f>C44/$C$3*100</f>
        <v>104.16703071075968</v>
      </c>
      <c r="G44">
        <v>6.81312E-4</v>
      </c>
      <c r="H44">
        <v>1.8779300000000001E-4</v>
      </c>
      <c r="I44">
        <f>G44/$G$3*100</f>
        <v>85.224935829117825</v>
      </c>
      <c r="J44">
        <f>H44/$H$3*100</f>
        <v>105.03434158127882</v>
      </c>
      <c r="L44" s="5">
        <v>8.0132900000000004E-4</v>
      </c>
      <c r="M44" s="5">
        <v>1.95634E-4</v>
      </c>
      <c r="N44" s="4">
        <f>L44/$L$3*100</f>
        <v>82.166521404768005</v>
      </c>
      <c r="O44" s="4">
        <f>M44/$M$3*100</f>
        <v>106.71372309437832</v>
      </c>
      <c r="Q44">
        <f>AVERAGE(B44,G44,L44)</f>
        <v>7.2810866666666663E-4</v>
      </c>
      <c r="R44">
        <f>AVERAGE(C44,H44,M44)</f>
        <v>1.9139533333333331E-4</v>
      </c>
      <c r="T44">
        <f>AVERAGE(D44,I44,N44)</f>
        <v>83.691274127196095</v>
      </c>
      <c r="U44">
        <f>AVERAGE(E44,J44,O44)</f>
        <v>105.30503179547229</v>
      </c>
      <c r="W44">
        <f>_xlfn.STDEV.P(D44,I44,N44)</f>
        <v>1.2486083520475837</v>
      </c>
      <c r="X44">
        <f>_xlfn.STDEV.P(E44,J44,O44)</f>
        <v>1.0571551189364723</v>
      </c>
    </row>
    <row r="45" spans="1:24" x14ac:dyDescent="0.2">
      <c r="A45">
        <v>280.99099999999999</v>
      </c>
      <c r="B45">
        <v>7.1544600000000001E-4</v>
      </c>
      <c r="C45">
        <v>1.8535200000000001E-4</v>
      </c>
      <c r="D45">
        <f>B45/$B$3*100</f>
        <v>85.3234904771559</v>
      </c>
      <c r="E45">
        <f>C45/$C$3*100</f>
        <v>101.21445109431654</v>
      </c>
      <c r="G45">
        <v>6.9162499999999997E-4</v>
      </c>
      <c r="H45">
        <v>1.8642499999999999E-4</v>
      </c>
      <c r="I45">
        <f>G45/$G$3*100</f>
        <v>86.514983212997294</v>
      </c>
      <c r="J45">
        <f>H45/$H$3*100</f>
        <v>104.26920667591391</v>
      </c>
      <c r="L45" s="5">
        <v>8.14348E-4</v>
      </c>
      <c r="M45" s="5">
        <v>1.9251000000000001E-4</v>
      </c>
      <c r="N45" s="4">
        <f>L45/$L$3*100</f>
        <v>83.501461163804152</v>
      </c>
      <c r="O45" s="4">
        <f>M45/$M$3*100</f>
        <v>105.00965493165182</v>
      </c>
      <c r="Q45">
        <f>AVERAGE(B45,G45,L45)</f>
        <v>7.4047300000000006E-4</v>
      </c>
      <c r="R45">
        <f>AVERAGE(C45,H45,M45)</f>
        <v>1.8809566666666666E-4</v>
      </c>
      <c r="T45">
        <f>AVERAGE(D45,I45,N45)</f>
        <v>85.113311617985786</v>
      </c>
      <c r="U45">
        <f>AVERAGE(E45,J45,O45)</f>
        <v>103.49777090062742</v>
      </c>
      <c r="W45">
        <f>_xlfn.STDEV.P(D45,I45,N45)</f>
        <v>1.23920946571456</v>
      </c>
      <c r="X45">
        <f>_xlfn.STDEV.P(E45,J45,O45)</f>
        <v>1.6426052291558062</v>
      </c>
    </row>
    <row r="46" spans="1:24" x14ac:dyDescent="0.2">
      <c r="A46">
        <v>287.21100000000001</v>
      </c>
      <c r="B46">
        <v>7.28646E-4</v>
      </c>
      <c r="C46">
        <v>1.85365E-4</v>
      </c>
      <c r="D46">
        <f>B46/$B$3*100</f>
        <v>86.897711416679584</v>
      </c>
      <c r="E46">
        <f>C46/$C$3*100</f>
        <v>101.22154995413044</v>
      </c>
      <c r="G46">
        <v>7.0294499999999996E-4</v>
      </c>
      <c r="H46">
        <v>1.8812500000000001E-4</v>
      </c>
      <c r="I46">
        <f>G46/$G$3*100</f>
        <v>87.930995661898251</v>
      </c>
      <c r="J46">
        <f>H46/$H$3*100</f>
        <v>105.22003221620655</v>
      </c>
      <c r="L46" s="5">
        <v>8.2665799999999997E-4</v>
      </c>
      <c r="M46" s="5">
        <v>1.9090099999999999E-4</v>
      </c>
      <c r="N46" s="4">
        <f>L46/$L$3*100</f>
        <v>84.763701614970515</v>
      </c>
      <c r="O46" s="4">
        <f>M46/$M$3*100</f>
        <v>104.13198346115662</v>
      </c>
      <c r="Q46">
        <f>AVERAGE(B46,G46,L46)</f>
        <v>7.5274966666666668E-4</v>
      </c>
      <c r="R46">
        <f>AVERAGE(C46,H46,M46)</f>
        <v>1.8813033333333335E-4</v>
      </c>
      <c r="T46">
        <f>AVERAGE(D46,I46,N46)</f>
        <v>86.530802897849455</v>
      </c>
      <c r="U46">
        <f>AVERAGE(E46,J46,O46)</f>
        <v>103.52452187716453</v>
      </c>
      <c r="W46">
        <f>_xlfn.STDEV.P(D46,I46,N46)</f>
        <v>1.3188136817656899</v>
      </c>
      <c r="X46">
        <f>_xlfn.STDEV.P(E46,J46,O46)</f>
        <v>1.6879419978292995</v>
      </c>
    </row>
    <row r="47" spans="1:24" x14ac:dyDescent="0.2">
      <c r="A47">
        <v>293.38900000000001</v>
      </c>
      <c r="B47">
        <v>7.3623600000000003E-4</v>
      </c>
      <c r="C47">
        <v>1.8127599999999999E-4</v>
      </c>
      <c r="D47">
        <f>B47/$B$3*100</f>
        <v>87.802888456905706</v>
      </c>
      <c r="E47">
        <f>C47/$C$3*100</f>
        <v>98.988685509588919</v>
      </c>
      <c r="G47">
        <v>7.1093600000000001E-4</v>
      </c>
      <c r="H47">
        <v>1.8874399999999999E-4</v>
      </c>
      <c r="I47">
        <f>G47/$G$3*100</f>
        <v>88.930585368538502</v>
      </c>
      <c r="J47">
        <f>H47/$H$3*100</f>
        <v>105.56624457470134</v>
      </c>
      <c r="L47" s="5">
        <v>8.3711199999999999E-4</v>
      </c>
      <c r="M47" s="5">
        <v>1.90051E-4</v>
      </c>
      <c r="N47" s="4">
        <f>L47/$L$3*100</f>
        <v>85.835631889259162</v>
      </c>
      <c r="O47" s="4">
        <f>M47/$M$3*100</f>
        <v>103.66832855132387</v>
      </c>
      <c r="Q47">
        <f>AVERAGE(B47,G47,L47)</f>
        <v>7.6142800000000008E-4</v>
      </c>
      <c r="R47">
        <f>AVERAGE(C47,H47,M47)</f>
        <v>1.8669033333333334E-4</v>
      </c>
      <c r="T47">
        <f>AVERAGE(D47,I47,N47)</f>
        <v>87.523035238234456</v>
      </c>
      <c r="U47">
        <f>AVERAGE(E47,J47,O47)</f>
        <v>102.74108621187138</v>
      </c>
      <c r="W47">
        <f>_xlfn.STDEV.P(D47,I47,N47)</f>
        <v>1.278911679964992</v>
      </c>
      <c r="X47">
        <f>_xlfn.STDEV.P(E47,J47,O47)</f>
        <v>2.7641640786822159</v>
      </c>
    </row>
    <row r="48" spans="1:24" x14ac:dyDescent="0.2">
      <c r="A48">
        <v>299.65600000000001</v>
      </c>
      <c r="B48">
        <v>7.43285E-4</v>
      </c>
      <c r="C48">
        <v>1.8190900000000001E-4</v>
      </c>
      <c r="D48">
        <f>B48/$B$3*100</f>
        <v>88.643546290443766</v>
      </c>
      <c r="E48">
        <f>C48/$C$3*100</f>
        <v>99.334345375911923</v>
      </c>
      <c r="G48">
        <v>7.18737E-4</v>
      </c>
      <c r="H48">
        <v>1.9080099999999999E-4</v>
      </c>
      <c r="I48">
        <f>G48/$G$3*100</f>
        <v>89.906408081778466</v>
      </c>
      <c r="J48">
        <f>H48/$H$3*100</f>
        <v>106.71674347845541</v>
      </c>
      <c r="L48" s="5">
        <v>8.4509899999999998E-4</v>
      </c>
      <c r="M48" s="5">
        <v>1.84771E-4</v>
      </c>
      <c r="N48" s="4">
        <f>L48/$L$3*100</f>
        <v>86.654601384260445</v>
      </c>
      <c r="O48" s="4">
        <f>M48/$M$3*100</f>
        <v>100.78821334671568</v>
      </c>
      <c r="Q48">
        <f>AVERAGE(B48,G48,L48)</f>
        <v>7.6904033333333318E-4</v>
      </c>
      <c r="R48">
        <f>AVERAGE(C48,H48,M48)</f>
        <v>1.8582699999999998E-4</v>
      </c>
      <c r="T48">
        <f>AVERAGE(D48,I48,N48)</f>
        <v>88.40151858549423</v>
      </c>
      <c r="U48">
        <f>AVERAGE(E48,J48,O48)</f>
        <v>102.279767400361</v>
      </c>
      <c r="W48">
        <f>_xlfn.STDEV.P(D48,I48,N48)</f>
        <v>1.3385302280183091</v>
      </c>
      <c r="X48">
        <f>_xlfn.STDEV.P(E48,J48,O48)</f>
        <v>3.1930654609970843</v>
      </c>
    </row>
    <row r="49" spans="1:24" x14ac:dyDescent="0.2">
      <c r="A49">
        <v>305.76400000000001</v>
      </c>
      <c r="B49">
        <v>7.4849900000000002E-4</v>
      </c>
      <c r="C49">
        <v>1.7957800000000001E-4</v>
      </c>
      <c r="D49">
        <f>B49/$B$3*100</f>
        <v>89.265363561555617</v>
      </c>
      <c r="E49">
        <f>C49/$C$3*100</f>
        <v>98.061465204665581</v>
      </c>
      <c r="G49">
        <v>7.2252700000000004E-4</v>
      </c>
      <c r="H49">
        <v>1.8773100000000001E-4</v>
      </c>
      <c r="I49">
        <f>G49/$G$3*100</f>
        <v>90.380497055394599</v>
      </c>
      <c r="J49">
        <f>H49/$H$3*100</f>
        <v>104.99966441451521</v>
      </c>
      <c r="L49" s="5">
        <v>8.5070000000000002E-4</v>
      </c>
      <c r="M49" s="5">
        <v>1.8777600000000001E-4</v>
      </c>
      <c r="N49" s="4">
        <f>L49/$L$3*100</f>
        <v>87.228915662650607</v>
      </c>
      <c r="O49" s="4">
        <f>M49/$M$3*100</f>
        <v>102.42736982206561</v>
      </c>
      <c r="Q49">
        <f>AVERAGE(B49,G49,L49)</f>
        <v>7.7390866666666666E-4</v>
      </c>
      <c r="R49">
        <f>AVERAGE(C49,H49,M49)</f>
        <v>1.8502833333333335E-4</v>
      </c>
      <c r="T49">
        <f>AVERAGE(D49,I49,N49)</f>
        <v>88.958258759866951</v>
      </c>
      <c r="U49">
        <f>AVERAGE(E49,J49,O49)</f>
        <v>101.8294998137488</v>
      </c>
      <c r="W49">
        <f>_xlfn.STDEV.P(D49,I49,N49)</f>
        <v>1.3048247233984396</v>
      </c>
      <c r="X49">
        <f>_xlfn.STDEV.P(E49,J49,O49)</f>
        <v>2.8638829676999795</v>
      </c>
    </row>
    <row r="50" spans="1:24" x14ac:dyDescent="0.2">
      <c r="A50">
        <v>311.92599999999999</v>
      </c>
      <c r="B50">
        <v>7.52891E-4</v>
      </c>
      <c r="C50">
        <v>1.7879899999999999E-4</v>
      </c>
      <c r="D50">
        <f>B50/$B$3*100</f>
        <v>89.789149801433496</v>
      </c>
      <c r="E50">
        <f>C50/$C$3*100</f>
        <v>97.636079681971069</v>
      </c>
      <c r="G50">
        <v>7.2913299999999997E-4</v>
      </c>
      <c r="H50">
        <v>1.9155100000000001E-4</v>
      </c>
      <c r="I50">
        <f>G50/$G$3*100</f>
        <v>91.206837889090693</v>
      </c>
      <c r="J50">
        <f>H50/$H$3*100</f>
        <v>107.13622533446687</v>
      </c>
      <c r="L50" s="5">
        <v>8.5711000000000001E-4</v>
      </c>
      <c r="M50" s="5">
        <v>1.8488200000000001E-4</v>
      </c>
      <c r="N50" s="4">
        <f>L50/$L$3*100</f>
        <v>87.88618302999231</v>
      </c>
      <c r="O50" s="4">
        <f>M50/$M$3*100</f>
        <v>100.84876122317621</v>
      </c>
      <c r="Q50">
        <f>AVERAGE(B50,G50,L50)</f>
        <v>7.7971133333333336E-4</v>
      </c>
      <c r="R50">
        <f>AVERAGE(C50,H50,M50)</f>
        <v>1.8507733333333334E-4</v>
      </c>
      <c r="T50">
        <f>AVERAGE(D50,I50,N50)</f>
        <v>89.627390240172176</v>
      </c>
      <c r="U50">
        <f>AVERAGE(E50,J50,O50)</f>
        <v>101.87368874653805</v>
      </c>
      <c r="W50">
        <f>_xlfn.STDEV.P(D50,I50,N50)</f>
        <v>1.3604684953005513</v>
      </c>
      <c r="X50">
        <f>_xlfn.STDEV.P(E50,J50,O50)</f>
        <v>3.9455501666026418</v>
      </c>
    </row>
    <row r="51" spans="1:24" x14ac:dyDescent="0.2">
      <c r="A51">
        <v>318.20600000000002</v>
      </c>
      <c r="B51">
        <v>7.5794299999999996E-4</v>
      </c>
      <c r="C51">
        <v>1.80001E-4</v>
      </c>
      <c r="D51">
        <f>B51/$B$3*100</f>
        <v>90.391647088287556</v>
      </c>
      <c r="E51">
        <f>C51/$C$3*100</f>
        <v>98.292451181687127</v>
      </c>
      <c r="G51">
        <v>7.31414E-4</v>
      </c>
      <c r="H51">
        <v>1.9014499999999999E-4</v>
      </c>
      <c r="I51">
        <f>G51/$G$3*100</f>
        <v>91.492166899333014</v>
      </c>
      <c r="J51">
        <f>H51/$H$3*100</f>
        <v>106.34983668173072</v>
      </c>
      <c r="L51" s="5">
        <v>8.6185099999999996E-4</v>
      </c>
      <c r="M51" s="5">
        <v>1.8508199999999999E-4</v>
      </c>
      <c r="N51" s="4">
        <f>L51/$L$3*100</f>
        <v>88.372314791079205</v>
      </c>
      <c r="O51" s="4">
        <f>M51/$M$3*100</f>
        <v>100.95785649607801</v>
      </c>
      <c r="Q51">
        <f>AVERAGE(B51,G51,L51)</f>
        <v>7.8373600000000005E-4</v>
      </c>
      <c r="R51">
        <f>AVERAGE(C51,H51,M51)</f>
        <v>1.8507600000000003E-4</v>
      </c>
      <c r="T51">
        <f>AVERAGE(D51,I51,N51)</f>
        <v>90.085376259566587</v>
      </c>
      <c r="U51">
        <f>AVERAGE(E51,J51,O51)</f>
        <v>101.86671478649862</v>
      </c>
      <c r="W51">
        <f>_xlfn.STDEV.P(D51,I51,N51)</f>
        <v>1.2919547617823166</v>
      </c>
      <c r="X51">
        <f>_xlfn.STDEV.P(E51,J51,O51)</f>
        <v>3.3516048711155171</v>
      </c>
    </row>
    <row r="52" spans="1:24" x14ac:dyDescent="0.2">
      <c r="A52">
        <v>324.48599999999999</v>
      </c>
      <c r="B52">
        <v>7.6245800000000004E-4</v>
      </c>
      <c r="C52">
        <v>1.7996200000000001E-4</v>
      </c>
      <c r="D52">
        <f>B52/$B$3*100</f>
        <v>90.930102205101917</v>
      </c>
      <c r="E52">
        <f>C52/$C$3*100</f>
        <v>98.271154602245431</v>
      </c>
      <c r="G52">
        <v>7.3815999999999997E-4</v>
      </c>
      <c r="H52">
        <v>1.9406600000000001E-4</v>
      </c>
      <c r="I52">
        <f>G52/$G$3*100</f>
        <v>92.336020254481937</v>
      </c>
      <c r="J52">
        <f>H52/$H$3*100</f>
        <v>108.54288782495863</v>
      </c>
      <c r="L52" s="5">
        <v>8.6320600000000004E-4</v>
      </c>
      <c r="M52" s="5">
        <v>1.8402100000000001E-4</v>
      </c>
      <c r="N52" s="4">
        <f>L52/$L$3*100</f>
        <v>88.511253524737256</v>
      </c>
      <c r="O52" s="4">
        <f>M52/$M$3*100</f>
        <v>100.37910607333384</v>
      </c>
      <c r="Q52">
        <f>AVERAGE(B52,G52,L52)</f>
        <v>7.8794133333333339E-4</v>
      </c>
      <c r="R52">
        <f>AVERAGE(C52,H52,M52)</f>
        <v>1.8601633333333335E-4</v>
      </c>
      <c r="T52">
        <f>AVERAGE(D52,I52,N52)</f>
        <v>90.592458661440375</v>
      </c>
      <c r="U52">
        <f>AVERAGE(E52,J52,O52)</f>
        <v>102.39771616684597</v>
      </c>
      <c r="W52">
        <f>_xlfn.STDEV.P(D52,I52,N52)</f>
        <v>1.5796017443589383</v>
      </c>
      <c r="X52">
        <f>_xlfn.STDEV.P(E52,J52,O52)</f>
        <v>4.4296889192409639</v>
      </c>
    </row>
    <row r="53" spans="1:24" x14ac:dyDescent="0.2">
      <c r="A53">
        <v>330.68</v>
      </c>
      <c r="B53">
        <v>7.6604899999999998E-4</v>
      </c>
      <c r="C53">
        <v>1.78293E-4</v>
      </c>
      <c r="D53">
        <f>B53/$B$3*100</f>
        <v>91.3583618561496</v>
      </c>
      <c r="E53">
        <f>C53/$C$3*100</f>
        <v>97.359770215368485</v>
      </c>
      <c r="G53">
        <v>7.43609E-4</v>
      </c>
      <c r="H53">
        <v>1.94728E-4</v>
      </c>
      <c r="I53">
        <f>G53/$G$3*100</f>
        <v>93.017632607314226</v>
      </c>
      <c r="J53">
        <f>H53/$H$3*100</f>
        <v>108.91315047653138</v>
      </c>
      <c r="L53" s="5">
        <v>8.6842699999999996E-4</v>
      </c>
      <c r="M53" s="5">
        <v>1.83306E-4</v>
      </c>
      <c r="N53" s="4">
        <f>L53/$L$3*100</f>
        <v>89.046603435016664</v>
      </c>
      <c r="O53" s="4">
        <f>M53/$M$3*100</f>
        <v>99.989090472709805</v>
      </c>
      <c r="Q53">
        <f>AVERAGE(B53,G53,L53)</f>
        <v>7.9269500000000005E-4</v>
      </c>
      <c r="R53">
        <f>AVERAGE(C53,H53,M53)</f>
        <v>1.8544233333333331E-4</v>
      </c>
      <c r="T53">
        <f>AVERAGE(D53,I53,N53)</f>
        <v>91.140865966160163</v>
      </c>
      <c r="U53">
        <f>AVERAGE(E53,J53,O53)</f>
        <v>102.08733705486988</v>
      </c>
      <c r="W53">
        <f>_xlfn.STDEV.P(D53,I53,N53)</f>
        <v>1.6284443534513318</v>
      </c>
      <c r="X53">
        <f>_xlfn.STDEV.P(E53,J53,O53)</f>
        <v>4.944500507595416</v>
      </c>
    </row>
    <row r="54" spans="1:24" x14ac:dyDescent="0.2">
      <c r="A54">
        <v>336.81799999999998</v>
      </c>
      <c r="B54">
        <v>7.7001800000000003E-4</v>
      </c>
      <c r="C54">
        <v>1.7656200000000001E-4</v>
      </c>
      <c r="D54">
        <f>B54/$B$3*100</f>
        <v>91.831701470465475</v>
      </c>
      <c r="E54">
        <f>C54/$C$3*100</f>
        <v>96.41452972784063</v>
      </c>
      <c r="G54">
        <v>7.4691500000000001E-4</v>
      </c>
      <c r="H54">
        <v>1.96448E-4</v>
      </c>
      <c r="I54">
        <f>G54/$G$3*100</f>
        <v>93.431178292479117</v>
      </c>
      <c r="J54">
        <f>H54/$H$3*100</f>
        <v>109.87516219965099</v>
      </c>
      <c r="L54" s="5">
        <v>8.7369399999999995E-4</v>
      </c>
      <c r="M54" s="5">
        <v>1.7958000000000001E-4</v>
      </c>
      <c r="N54" s="4">
        <f>L54/$L$3*100</f>
        <v>89.586670084593692</v>
      </c>
      <c r="O54" s="4">
        <f>M54/$M$3*100</f>
        <v>97.956645538548813</v>
      </c>
      <c r="Q54">
        <f>AVERAGE(B54,G54,L54)</f>
        <v>7.968756666666667E-4</v>
      </c>
      <c r="R54">
        <f>AVERAGE(C54,H54,M54)</f>
        <v>1.8419666666666669E-4</v>
      </c>
      <c r="T54">
        <f>AVERAGE(D54,I54,N54)</f>
        <v>91.616516615846081</v>
      </c>
      <c r="U54">
        <f>AVERAGE(E54,J54,O54)</f>
        <v>101.41544582201347</v>
      </c>
      <c r="W54">
        <f>_xlfn.STDEV.P(D54,I54,N54)</f>
        <v>1.5768722694768855</v>
      </c>
      <c r="X54">
        <f>_xlfn.STDEV.P(E54,J54,O54)</f>
        <v>6.0149608580583065</v>
      </c>
    </row>
    <row r="55" spans="1:24" x14ac:dyDescent="0.2">
      <c r="A55">
        <v>343.04300000000001</v>
      </c>
      <c r="B55">
        <v>7.7490100000000004E-4</v>
      </c>
      <c r="C55">
        <v>1.7714200000000001E-4</v>
      </c>
      <c r="D55">
        <f>B55/$B$3*100</f>
        <v>92.414043958927152</v>
      </c>
      <c r="E55">
        <f>C55/$C$3*100</f>
        <v>96.73124808876851</v>
      </c>
      <c r="G55">
        <v>7.5043799999999997E-4</v>
      </c>
      <c r="H55">
        <v>1.9617699999999999E-4</v>
      </c>
      <c r="I55">
        <f>G55/$G$3*100</f>
        <v>93.871868385895908</v>
      </c>
      <c r="J55">
        <f>H55/$H$3*100</f>
        <v>109.72358942234553</v>
      </c>
      <c r="L55" s="5">
        <v>8.7918200000000005E-4</v>
      </c>
      <c r="M55" s="5">
        <v>1.8566200000000001E-4</v>
      </c>
      <c r="N55" s="4">
        <f>L55/$L$3*100</f>
        <v>90.14939759036146</v>
      </c>
      <c r="O55" s="4">
        <f>M55/$M$3*100</f>
        <v>101.27423278749332</v>
      </c>
      <c r="Q55">
        <f>AVERAGE(B55,G55,L55)</f>
        <v>8.0150700000000002E-4</v>
      </c>
      <c r="R55">
        <f>AVERAGE(C55,H55,M55)</f>
        <v>1.8632700000000002E-4</v>
      </c>
      <c r="T55">
        <f>AVERAGE(D55,I55,N55)</f>
        <v>92.145103311728178</v>
      </c>
      <c r="U55">
        <f>AVERAGE(E55,J55,O55)</f>
        <v>102.57635676620244</v>
      </c>
      <c r="W55">
        <f>_xlfn.STDEV.P(D55,I55,N55)</f>
        <v>1.5315447560526532</v>
      </c>
      <c r="X55">
        <f>_xlfn.STDEV.P(E55,J55,O55)</f>
        <v>5.383423846957772</v>
      </c>
    </row>
    <row r="56" spans="1:24" x14ac:dyDescent="0.2">
      <c r="A56">
        <v>349.23899999999998</v>
      </c>
      <c r="B56">
        <v>7.7925100000000001E-4</v>
      </c>
      <c r="C56">
        <v>1.7762E-4</v>
      </c>
      <c r="D56">
        <f>B56/$B$3*100</f>
        <v>92.932821313997451</v>
      </c>
      <c r="E56">
        <f>C56/$C$3*100</f>
        <v>96.992267703464236</v>
      </c>
      <c r="G56">
        <v>7.5490099999999999E-4</v>
      </c>
      <c r="H56">
        <v>1.9920699999999999E-4</v>
      </c>
      <c r="I56">
        <f>G56/$G$3*100</f>
        <v>94.430142551924618</v>
      </c>
      <c r="J56">
        <f>H56/$H$3*100</f>
        <v>111.41829612063179</v>
      </c>
      <c r="L56" s="5">
        <v>8.8318399999999997E-4</v>
      </c>
      <c r="M56" s="5">
        <v>1.8946100000000001E-4</v>
      </c>
      <c r="N56" s="4">
        <f>L56/$L$3*100</f>
        <v>90.559753909254042</v>
      </c>
      <c r="O56" s="4">
        <f>M56/$M$3*100</f>
        <v>103.34649749626348</v>
      </c>
      <c r="Q56">
        <f>AVERAGE(B56,G56,L56)</f>
        <v>8.0577866666666669E-4</v>
      </c>
      <c r="R56">
        <f>AVERAGE(C56,H56,M56)</f>
        <v>1.8876266666666665E-4</v>
      </c>
      <c r="T56">
        <f>AVERAGE(D56,I56,N56)</f>
        <v>92.640905925058703</v>
      </c>
      <c r="U56">
        <f>AVERAGE(E56,J56,O56)</f>
        <v>103.91902044011984</v>
      </c>
      <c r="W56">
        <f>_xlfn.STDEV.P(D56,I56,N56)</f>
        <v>1.5935051526018131</v>
      </c>
      <c r="X56">
        <f>_xlfn.STDEV.P(E56,J56,O56)</f>
        <v>5.9032991264299515</v>
      </c>
    </row>
    <row r="57" spans="1:24" x14ac:dyDescent="0.2">
      <c r="A57">
        <v>355.53699999999998</v>
      </c>
      <c r="B57">
        <v>7.8157400000000005E-4</v>
      </c>
      <c r="C57">
        <v>1.7847199999999999E-4</v>
      </c>
      <c r="D57">
        <f>B57/$B$3*100</f>
        <v>93.2098603475212</v>
      </c>
      <c r="E57">
        <f>C57/$C$3*100</f>
        <v>97.457516054344495</v>
      </c>
      <c r="G57">
        <v>7.5813900000000001E-4</v>
      </c>
      <c r="H57">
        <v>1.9972100000000001E-4</v>
      </c>
      <c r="I57">
        <f>G57/$G$3*100</f>
        <v>94.835182155241</v>
      </c>
      <c r="J57">
        <f>H57/$H$3*100</f>
        <v>111.70578101928498</v>
      </c>
      <c r="L57" s="5">
        <v>8.87242E-4</v>
      </c>
      <c r="M57" s="5">
        <v>1.8336000000000001E-4</v>
      </c>
      <c r="N57" s="4">
        <f>L57/$L$3*100</f>
        <v>90.975852345552426</v>
      </c>
      <c r="O57" s="4">
        <f>M57/$M$3*100</f>
        <v>100.0185461963933</v>
      </c>
      <c r="Q57">
        <f>AVERAGE(B57,G57,L57)</f>
        <v>8.0898500000000002E-4</v>
      </c>
      <c r="R57">
        <f>AVERAGE(C57,H57,M57)</f>
        <v>1.8718433333333334E-4</v>
      </c>
      <c r="T57">
        <f>AVERAGE(D57,I57,N57)</f>
        <v>93.006964949438213</v>
      </c>
      <c r="U57">
        <f>AVERAGE(E57,J57,O57)</f>
        <v>103.06061442334094</v>
      </c>
      <c r="W57">
        <f>_xlfn.STDEV.P(D57,I57,N57)</f>
        <v>1.5820833420757063</v>
      </c>
      <c r="X57">
        <f>_xlfn.STDEV.P(E57,J57,O57)</f>
        <v>6.201822202699292</v>
      </c>
    </row>
    <row r="58" spans="1:24" x14ac:dyDescent="0.2">
      <c r="A58">
        <v>361.666</v>
      </c>
      <c r="B58">
        <v>7.8461799999999995E-4</v>
      </c>
      <c r="C58">
        <v>1.7868499999999999E-4</v>
      </c>
      <c r="D58">
        <f>B58/$B$3*100</f>
        <v>93.57288523690832</v>
      </c>
      <c r="E58">
        <f>C58/$C$3*100</f>
        <v>97.573828142064556</v>
      </c>
      <c r="G58">
        <v>7.6276899999999995E-4</v>
      </c>
      <c r="H58">
        <v>2.0348100000000001E-4</v>
      </c>
      <c r="I58">
        <f>G58/$G$3*100</f>
        <v>95.414346257574152</v>
      </c>
      <c r="J58">
        <f>H58/$H$3*100</f>
        <v>113.80878339075575</v>
      </c>
      <c r="L58" s="5">
        <v>8.9142799999999999E-4</v>
      </c>
      <c r="M58" s="5">
        <v>1.8545700000000001E-4</v>
      </c>
      <c r="N58" s="4">
        <f>L58/$L$3*100</f>
        <v>91.405075621635476</v>
      </c>
      <c r="O58" s="4">
        <f>M58/$M$3*100</f>
        <v>101.16241013276894</v>
      </c>
      <c r="Q58">
        <f>AVERAGE(B58,G58,L58)</f>
        <v>8.1293833333333329E-4</v>
      </c>
      <c r="R58">
        <f>AVERAGE(C58,H58,M58)</f>
        <v>1.8920766666666666E-4</v>
      </c>
      <c r="T58">
        <f>AVERAGE(D58,I58,N58)</f>
        <v>93.464102372039306</v>
      </c>
      <c r="U58">
        <f>AVERAGE(E58,J58,O58)</f>
        <v>104.18167388852976</v>
      </c>
      <c r="W58">
        <f>_xlfn.STDEV.P(D58,I58,N58)</f>
        <v>1.6385843568594733</v>
      </c>
      <c r="X58">
        <f>_xlfn.STDEV.P(E58,J58,O58)</f>
        <v>6.9632563360298407</v>
      </c>
    </row>
    <row r="59" spans="1:24" x14ac:dyDescent="0.2">
      <c r="A59">
        <v>367.87200000000001</v>
      </c>
      <c r="B59">
        <v>7.8611399999999998E-4</v>
      </c>
      <c r="C59">
        <v>1.78338E-4</v>
      </c>
      <c r="D59">
        <f>B59/$B$3*100</f>
        <v>93.751296943387672</v>
      </c>
      <c r="E59">
        <f>C59/$C$3*100</f>
        <v>97.384343191647361</v>
      </c>
      <c r="G59">
        <v>7.6475600000000001E-4</v>
      </c>
      <c r="H59">
        <v>2.03449E-4</v>
      </c>
      <c r="I59">
        <f>G59/$G$3*100</f>
        <v>95.662898972765518</v>
      </c>
      <c r="J59">
        <f>H59/$H$3*100</f>
        <v>113.7908854982326</v>
      </c>
      <c r="L59" s="5">
        <v>8.9391600000000002E-4</v>
      </c>
      <c r="M59" s="5">
        <v>1.9034299999999999E-4</v>
      </c>
      <c r="N59" s="4">
        <f>L59/$L$3*100</f>
        <v>91.660189694950006</v>
      </c>
      <c r="O59" s="4">
        <f>M59/$M$3*100</f>
        <v>103.82760764976054</v>
      </c>
      <c r="Q59">
        <f>AVERAGE(B59,G59,L59)</f>
        <v>8.1492866666666667E-4</v>
      </c>
      <c r="R59">
        <f>AVERAGE(C59,H59,M59)</f>
        <v>1.9070999999999997E-4</v>
      </c>
      <c r="T59">
        <f>AVERAGE(D59,I59,N59)</f>
        <v>93.691461870367732</v>
      </c>
      <c r="U59">
        <f>AVERAGE(E59,J59,O59)</f>
        <v>105.00094544654684</v>
      </c>
      <c r="W59">
        <f>_xlfn.STDEV.P(D59,I59,N59)</f>
        <v>1.6346468665841503</v>
      </c>
      <c r="X59">
        <f>_xlfn.STDEV.P(E59,J59,O59)</f>
        <v>6.7491332185927551</v>
      </c>
    </row>
    <row r="60" spans="1:24" x14ac:dyDescent="0.2">
      <c r="A60">
        <v>374.14400000000001</v>
      </c>
      <c r="B60">
        <v>7.8931200000000002E-4</v>
      </c>
      <c r="C60">
        <v>1.7847699999999999E-4</v>
      </c>
      <c r="D60">
        <f>B60/$B$3*100</f>
        <v>94.132687743735914</v>
      </c>
      <c r="E60">
        <f>C60/$C$3*100</f>
        <v>97.460246385042154</v>
      </c>
      <c r="G60">
        <v>7.6529099999999997E-4</v>
      </c>
      <c r="H60">
        <v>2.0003299999999999E-4</v>
      </c>
      <c r="I60">
        <f>G60/$G$3*100</f>
        <v>95.729821822603157</v>
      </c>
      <c r="J60">
        <f>H60/$H$3*100</f>
        <v>111.88028547138573</v>
      </c>
      <c r="L60" s="5">
        <v>8.9552999999999996E-4</v>
      </c>
      <c r="M60" s="5">
        <v>1.86596E-4</v>
      </c>
      <c r="N60" s="4">
        <f>L60/$L$3*100</f>
        <v>91.825685721609844</v>
      </c>
      <c r="O60" s="4">
        <f>M60/$M$3*100</f>
        <v>101.78370771194483</v>
      </c>
      <c r="Q60">
        <f>AVERAGE(B60,G60,L60)</f>
        <v>8.1671099999999991E-4</v>
      </c>
      <c r="R60">
        <f>AVERAGE(C60,H60,M60)</f>
        <v>1.8836866666666668E-4</v>
      </c>
      <c r="T60">
        <f>AVERAGE(D60,I60,N60)</f>
        <v>93.896065095982976</v>
      </c>
      <c r="U60">
        <f>AVERAGE(E60,J60,O60)</f>
        <v>103.70807985612424</v>
      </c>
      <c r="W60">
        <f>_xlfn.STDEV.P(D60,I60,N60)</f>
        <v>1.6026150258961187</v>
      </c>
      <c r="X60">
        <f>_xlfn.STDEV.P(E60,J60,O60)</f>
        <v>6.042173335530264</v>
      </c>
    </row>
    <row r="61" spans="1:24" x14ac:dyDescent="0.2">
      <c r="A61">
        <v>380.34899999999999</v>
      </c>
      <c r="B61">
        <v>7.91342E-4</v>
      </c>
      <c r="C61">
        <v>1.7816800000000001E-4</v>
      </c>
      <c r="D61">
        <f>B61/$B$3*100</f>
        <v>94.374783842768721</v>
      </c>
      <c r="E61">
        <f>C61/$C$3*100</f>
        <v>97.291511947927134</v>
      </c>
      <c r="G61">
        <v>7.6898799999999996E-4</v>
      </c>
      <c r="H61">
        <v>2.0416400000000001E-4</v>
      </c>
      <c r="I61">
        <f>G61/$G$3*100</f>
        <v>96.192277478397045</v>
      </c>
      <c r="J61">
        <f>H61/$H$3*100</f>
        <v>114.19079153429685</v>
      </c>
      <c r="L61" s="5">
        <v>8.9739799999999999E-4</v>
      </c>
      <c r="M61" s="5">
        <v>1.8898999999999999E-4</v>
      </c>
      <c r="N61" s="4">
        <f>L61/$L$3*100</f>
        <v>92.017226352217392</v>
      </c>
      <c r="O61" s="4">
        <f>M61/$M$3*100</f>
        <v>103.08957812857969</v>
      </c>
      <c r="Q61">
        <f>AVERAGE(B61,G61,L61)</f>
        <v>8.1924266666666672E-4</v>
      </c>
      <c r="R61">
        <f>AVERAGE(C61,H61,M61)</f>
        <v>1.9044066666666667E-4</v>
      </c>
      <c r="T61">
        <f>AVERAGE(D61,I61,N61)</f>
        <v>94.194762557794391</v>
      </c>
      <c r="U61">
        <f>AVERAGE(E61,J61,O61)</f>
        <v>104.85729387026788</v>
      </c>
      <c r="W61">
        <f>_xlfn.STDEV.P(D61,I61,N61)</f>
        <v>1.7092042444436644</v>
      </c>
      <c r="X61">
        <f>_xlfn.STDEV.P(E61,J61,O61)</f>
        <v>7.0114205332981445</v>
      </c>
    </row>
    <row r="62" spans="1:24" x14ac:dyDescent="0.2">
      <c r="A62">
        <v>386.57</v>
      </c>
      <c r="B62">
        <v>7.93676E-4</v>
      </c>
      <c r="C62">
        <v>1.7807200000000001E-4</v>
      </c>
      <c r="D62">
        <f>B62/$B$3*100</f>
        <v>94.653134727075411</v>
      </c>
      <c r="E62">
        <f>C62/$C$3*100</f>
        <v>97.239089598532175</v>
      </c>
      <c r="G62">
        <v>7.6969199999999999E-4</v>
      </c>
      <c r="H62">
        <v>2.00891E-4</v>
      </c>
      <c r="I62">
        <f>G62/$G$3*100</f>
        <v>96.280340443417032</v>
      </c>
      <c r="J62">
        <f>H62/$H$3*100</f>
        <v>112.36017271466285</v>
      </c>
      <c r="L62" s="5">
        <v>9.0079799999999996E-4</v>
      </c>
      <c r="M62" s="5">
        <v>1.9155100000000001E-4</v>
      </c>
      <c r="N62" s="4">
        <f>L62/$L$3*100</f>
        <v>92.36585490899769</v>
      </c>
      <c r="O62" s="4">
        <f>M62/$M$3*100</f>
        <v>104.48654309808757</v>
      </c>
      <c r="Q62">
        <f>AVERAGE(B62,G62,L62)</f>
        <v>8.2138866666666658E-4</v>
      </c>
      <c r="R62">
        <f>AVERAGE(C62,H62,M62)</f>
        <v>1.9017133333333334E-4</v>
      </c>
      <c r="T62">
        <f>AVERAGE(D62,I62,N62)</f>
        <v>94.433110026496706</v>
      </c>
      <c r="U62">
        <f>AVERAGE(E62,J62,O62)</f>
        <v>104.69526847042754</v>
      </c>
      <c r="W62">
        <f>_xlfn.STDEV.P(D62,I62,N62)</f>
        <v>1.6056374438091827</v>
      </c>
      <c r="X62">
        <f>_xlfn.STDEV.P(E62,J62,O62)</f>
        <v>6.174920423888171</v>
      </c>
    </row>
    <row r="63" spans="1:24" x14ac:dyDescent="0.2">
      <c r="A63">
        <v>392.74099999999999</v>
      </c>
      <c r="B63">
        <v>7.9632499999999996E-4</v>
      </c>
      <c r="C63">
        <v>1.7681399999999999E-4</v>
      </c>
      <c r="D63">
        <f>B63/$B$3*100</f>
        <v>94.969052247438896</v>
      </c>
      <c r="E63">
        <f>C63/$C$3*100</f>
        <v>96.552138395002402</v>
      </c>
      <c r="G63">
        <v>7.7576700000000001E-4</v>
      </c>
      <c r="H63">
        <v>2.0567799999999999E-4</v>
      </c>
      <c r="I63">
        <f>G63/$G$3*100</f>
        <v>97.040258785031298</v>
      </c>
      <c r="J63">
        <f>H63/$H$3*100</f>
        <v>115.03758557429862</v>
      </c>
      <c r="L63" s="5">
        <v>9.0395799999999995E-4</v>
      </c>
      <c r="M63" s="5">
        <v>1.89882E-4</v>
      </c>
      <c r="N63" s="4">
        <f>L63/$L$3*100</f>
        <v>92.689874391181746</v>
      </c>
      <c r="O63" s="4">
        <f>M63/$M$3*100</f>
        <v>103.57614304572182</v>
      </c>
      <c r="Q63">
        <f>AVERAGE(B63,G63,L63)</f>
        <v>8.2534999999999998E-4</v>
      </c>
      <c r="R63">
        <f>AVERAGE(C63,H63,M63)</f>
        <v>1.9079133333333334E-4</v>
      </c>
      <c r="T63">
        <f>AVERAGE(D63,I63,N63)</f>
        <v>94.899728474550628</v>
      </c>
      <c r="U63">
        <f>AVERAGE(E63,J63,O63)</f>
        <v>105.05528900500762</v>
      </c>
      <c r="W63">
        <f>_xlfn.STDEV.P(D63,I63,N63)</f>
        <v>1.7767133388512677</v>
      </c>
      <c r="X63">
        <f>_xlfn.STDEV.P(E63,J63,O63)</f>
        <v>7.6187857270167498</v>
      </c>
    </row>
    <row r="64" spans="1:24" x14ac:dyDescent="0.2">
      <c r="A64">
        <v>399.01299999999998</v>
      </c>
      <c r="B64">
        <v>7.9923600000000004E-4</v>
      </c>
      <c r="C64">
        <v>1.7867299999999999E-4</v>
      </c>
      <c r="D64">
        <f>B64/$B$3*100</f>
        <v>95.316215668268725</v>
      </c>
      <c r="E64">
        <f>C64/$C$3*100</f>
        <v>97.567275348390183</v>
      </c>
      <c r="G64">
        <v>7.7688200000000001E-4</v>
      </c>
      <c r="H64">
        <v>2.0490499999999999E-4</v>
      </c>
      <c r="I64">
        <f>G64/$G$3*100</f>
        <v>97.179733509459268</v>
      </c>
      <c r="J64">
        <f>H64/$H$3*100</f>
        <v>114.60523960803614</v>
      </c>
      <c r="L64" s="5">
        <v>9.07776E-4</v>
      </c>
      <c r="M64" s="5">
        <v>1.8950999999999999E-4</v>
      </c>
      <c r="N64" s="4">
        <f>L64/$L$3*100</f>
        <v>93.081363752883874</v>
      </c>
      <c r="O64" s="4">
        <f>M64/$M$3*100</f>
        <v>103.37322583812443</v>
      </c>
      <c r="Q64">
        <f>AVERAGE(B64,G64,L64)</f>
        <v>8.2796466666666668E-4</v>
      </c>
      <c r="R64">
        <f>AVERAGE(C64,H64,M64)</f>
        <v>1.9102933333333335E-4</v>
      </c>
      <c r="T64">
        <f>AVERAGE(D64,I64,N64)</f>
        <v>95.192437643537289</v>
      </c>
      <c r="U64">
        <f>AVERAGE(E64,J64,O64)</f>
        <v>105.18191359818358</v>
      </c>
      <c r="W64">
        <f>_xlfn.STDEV.P(D64,I64,N64)</f>
        <v>1.6754401242574593</v>
      </c>
      <c r="X64">
        <f>_xlfn.STDEV.P(E64,J64,O64)</f>
        <v>7.0723202269261973</v>
      </c>
    </row>
    <row r="65" spans="1:24" x14ac:dyDescent="0.2">
      <c r="A65">
        <v>405.089</v>
      </c>
      <c r="B65">
        <v>8.0070200000000003E-4</v>
      </c>
      <c r="C65">
        <v>1.7835400000000001E-4</v>
      </c>
      <c r="D65">
        <f>B65/$B$3*100</f>
        <v>95.491049599885514</v>
      </c>
      <c r="E65">
        <f>C65/$C$3*100</f>
        <v>97.393080249879858</v>
      </c>
      <c r="G65">
        <v>7.8023800000000005E-4</v>
      </c>
      <c r="H65">
        <v>2.04217E-4</v>
      </c>
      <c r="I65">
        <f>G65/$G$3*100</f>
        <v>97.599533666571602</v>
      </c>
      <c r="J65">
        <f>H65/$H$3*100</f>
        <v>114.22043491878833</v>
      </c>
      <c r="L65" s="5">
        <v>9.1047299999999997E-4</v>
      </c>
      <c r="M65" s="5">
        <v>1.8917599999999999E-4</v>
      </c>
      <c r="N65" s="4">
        <f>L65/$L$3*100</f>
        <v>93.357908228659312</v>
      </c>
      <c r="O65" s="4">
        <f>M65/$M$3*100</f>
        <v>103.19103673237836</v>
      </c>
      <c r="Q65">
        <f>AVERAGE(B65,G65,L65)</f>
        <v>8.3047100000000005E-4</v>
      </c>
      <c r="R65">
        <f>AVERAGE(C65,H65,M65)</f>
        <v>1.9058233333333336E-4</v>
      </c>
      <c r="T65">
        <f>AVERAGE(D65,I65,N65)</f>
        <v>95.482830498372138</v>
      </c>
      <c r="U65">
        <f>AVERAGE(E65,J65,O65)</f>
        <v>104.93485063368219</v>
      </c>
      <c r="W65">
        <f>_xlfn.STDEV.P(D65,I65,N65)</f>
        <v>1.7316460866486592</v>
      </c>
      <c r="X65">
        <f>_xlfn.STDEV.P(E65,J65,O65)</f>
        <v>6.9795239321935725</v>
      </c>
    </row>
    <row r="66" spans="1:24" x14ac:dyDescent="0.2">
      <c r="A66">
        <v>411.38600000000002</v>
      </c>
      <c r="B66">
        <v>8.0221100000000005E-4</v>
      </c>
      <c r="C66">
        <v>1.7657600000000001E-4</v>
      </c>
      <c r="D66">
        <f>B66/$B$3*100</f>
        <v>95.671011675471973</v>
      </c>
      <c r="E66">
        <f>C66/$C$3*100</f>
        <v>96.422174653794073</v>
      </c>
      <c r="G66">
        <v>7.8458E-4</v>
      </c>
      <c r="H66">
        <v>2.0970599999999999E-4</v>
      </c>
      <c r="I66">
        <f>G66/$G$3*100</f>
        <v>98.142672010487502</v>
      </c>
      <c r="J66">
        <f>H66/$H$3*100</f>
        <v>117.29048279565082</v>
      </c>
      <c r="L66" s="5">
        <v>9.1339999999999998E-4</v>
      </c>
      <c r="M66" s="5">
        <v>1.91736E-4</v>
      </c>
      <c r="N66" s="4">
        <f>L66/$L$3*100</f>
        <v>93.658036400922839</v>
      </c>
      <c r="O66" s="4">
        <f>M66/$M$3*100</f>
        <v>104.58745622552175</v>
      </c>
      <c r="Q66">
        <f>AVERAGE(B66,G66,L66)</f>
        <v>8.3339700000000004E-4</v>
      </c>
      <c r="R66">
        <f>AVERAGE(C66,H66,M66)</f>
        <v>1.9267266666666668E-4</v>
      </c>
      <c r="T66">
        <f>AVERAGE(D66,I66,N66)</f>
        <v>95.823906695627443</v>
      </c>
      <c r="U66">
        <f>AVERAGE(E66,J66,O66)</f>
        <v>106.10003789165553</v>
      </c>
      <c r="W66">
        <f>_xlfn.STDEV.P(D66,I66,N66)</f>
        <v>1.8340341332765335</v>
      </c>
      <c r="X66">
        <f>_xlfn.STDEV.P(E66,J66,O66)</f>
        <v>8.5863262865408743</v>
      </c>
    </row>
    <row r="67" spans="1:24" x14ac:dyDescent="0.2">
      <c r="A67">
        <v>417.61700000000002</v>
      </c>
      <c r="B67">
        <v>8.0393800000000003E-4</v>
      </c>
      <c r="C67">
        <v>1.7816800000000001E-4</v>
      </c>
      <c r="D67">
        <f>B67/$B$3*100</f>
        <v>95.876972248392988</v>
      </c>
      <c r="E67">
        <f>C67/$C$3*100</f>
        <v>97.291511947927134</v>
      </c>
      <c r="G67">
        <v>7.8686000000000001E-4</v>
      </c>
      <c r="H67">
        <v>2.0983899999999999E-4</v>
      </c>
      <c r="I67">
        <f>G67/$G$3*100</f>
        <v>98.42787593129087</v>
      </c>
      <c r="J67">
        <f>H67/$H$3*100</f>
        <v>117.36487091145018</v>
      </c>
      <c r="L67" s="5">
        <v>9.1475900000000001E-4</v>
      </c>
      <c r="M67" s="5">
        <v>1.9135199999999999E-4</v>
      </c>
      <c r="N67" s="4">
        <f>L67/$L$3*100</f>
        <v>93.797385285824149</v>
      </c>
      <c r="O67" s="4">
        <f>M67/$M$3*100</f>
        <v>104.37799330155025</v>
      </c>
      <c r="Q67">
        <f>AVERAGE(B67,G67,L67)</f>
        <v>8.3518566666666676E-4</v>
      </c>
      <c r="R67">
        <f>AVERAGE(C67,H67,M67)</f>
        <v>1.9311966666666667E-4</v>
      </c>
      <c r="T67">
        <f>AVERAGE(D67,I67,N67)</f>
        <v>96.034077821835993</v>
      </c>
      <c r="U67">
        <f>AVERAGE(E67,J67,O67)</f>
        <v>106.34479205364251</v>
      </c>
      <c r="W67">
        <f>_xlfn.STDEV.P(D67,I67,N67)</f>
        <v>1.8936512395095086</v>
      </c>
      <c r="X67">
        <f>_xlfn.STDEV.P(E67,J67,O67)</f>
        <v>8.3120859001832024</v>
      </c>
    </row>
    <row r="68" spans="1:24" x14ac:dyDescent="0.2">
      <c r="A68">
        <v>423.72800000000001</v>
      </c>
      <c r="B68">
        <v>8.0642300000000001E-4</v>
      </c>
      <c r="C68">
        <v>1.78524E-4</v>
      </c>
      <c r="D68">
        <f>B68/$B$3*100</f>
        <v>96.173331266174529</v>
      </c>
      <c r="E68">
        <f>C68/$C$3*100</f>
        <v>97.485911493600099</v>
      </c>
      <c r="G68">
        <v>7.88085E-4</v>
      </c>
      <c r="H68">
        <v>2.10829E-4</v>
      </c>
      <c r="I68">
        <f>G68/$G$3*100</f>
        <v>98.581110494003212</v>
      </c>
      <c r="J68">
        <f>H68/$H$3*100</f>
        <v>117.9185869613853</v>
      </c>
      <c r="L68" s="5">
        <v>9.1595200000000004E-4</v>
      </c>
      <c r="M68" s="5">
        <v>1.8780199999999999E-4</v>
      </c>
      <c r="N68" s="4">
        <f>L68/$L$3*100</f>
        <v>93.919712894129717</v>
      </c>
      <c r="O68" s="4">
        <f>M68/$M$3*100</f>
        <v>102.44155220754283</v>
      </c>
      <c r="Q68">
        <f>AVERAGE(B68,G68,L68)</f>
        <v>8.3681999999999995E-4</v>
      </c>
      <c r="R68">
        <f>AVERAGE(C68,H68,M68)</f>
        <v>1.92385E-4</v>
      </c>
      <c r="T68">
        <f>AVERAGE(D68,I68,N68)</f>
        <v>96.224718218102495</v>
      </c>
      <c r="U68">
        <f>AVERAGE(E68,J68,O68)</f>
        <v>105.94868355417607</v>
      </c>
      <c r="W68">
        <f>_xlfn.STDEV.P(D68,I68,N68)</f>
        <v>1.9033544704280967</v>
      </c>
      <c r="X68">
        <f>_xlfn.STDEV.P(E68,J68,O68)</f>
        <v>8.7024339279254121</v>
      </c>
    </row>
    <row r="69" spans="1:24" x14ac:dyDescent="0.2">
      <c r="A69">
        <v>429.99799999999999</v>
      </c>
      <c r="B69">
        <v>8.0724599999999996E-4</v>
      </c>
      <c r="C69">
        <v>1.7763100000000001E-4</v>
      </c>
      <c r="D69">
        <f>B69/$B$3*100</f>
        <v>96.271481556570578</v>
      </c>
      <c r="E69">
        <f>C69/$C$3*100</f>
        <v>96.998274430999075</v>
      </c>
      <c r="G69">
        <v>7.9054199999999998E-4</v>
      </c>
      <c r="H69">
        <v>2.1086600000000001E-4</v>
      </c>
      <c r="I69">
        <f>G69/$G$3*100</f>
        <v>98.888455245500523</v>
      </c>
      <c r="J69">
        <f>H69/$H$3*100</f>
        <v>117.9392813996152</v>
      </c>
      <c r="L69" s="5">
        <v>9.1834999999999996E-4</v>
      </c>
      <c r="M69" s="5">
        <v>1.88591E-4</v>
      </c>
      <c r="N69" s="4">
        <f>L69/$L$3*100</f>
        <v>94.165598564470642</v>
      </c>
      <c r="O69" s="4">
        <f>M69/$M$3*100</f>
        <v>102.87193305914053</v>
      </c>
      <c r="Q69">
        <f>AVERAGE(B69,G69,L69)</f>
        <v>8.3871266666666656E-4</v>
      </c>
      <c r="R69">
        <f>AVERAGE(C69,H69,M69)</f>
        <v>1.9236266666666668E-4</v>
      </c>
      <c r="T69">
        <f>AVERAGE(D69,I69,N69)</f>
        <v>96.441845122180595</v>
      </c>
      <c r="U69">
        <f>AVERAGE(E69,J69,O69)</f>
        <v>105.93649629658493</v>
      </c>
      <c r="W69">
        <f>_xlfn.STDEV.P(D69,I69,N69)</f>
        <v>1.931857761457032</v>
      </c>
      <c r="X69">
        <f>_xlfn.STDEV.P(E69,J69,O69)</f>
        <v>8.8194899358231602</v>
      </c>
    </row>
    <row r="70" spans="1:24" x14ac:dyDescent="0.2">
      <c r="A70">
        <v>436.13900000000001</v>
      </c>
      <c r="B70">
        <v>8.0746400000000003E-4</v>
      </c>
      <c r="C70">
        <v>1.7422E-4</v>
      </c>
      <c r="D70">
        <f>B70/$B$3*100</f>
        <v>96.297480053905147</v>
      </c>
      <c r="E70">
        <f>C70/$C$3*100</f>
        <v>95.135642829059435</v>
      </c>
      <c r="G70">
        <v>7.8499699999999995E-4</v>
      </c>
      <c r="H70">
        <v>2.0473E-4</v>
      </c>
      <c r="I70">
        <f>G70/$G$3*100</f>
        <v>98.19483430652916</v>
      </c>
      <c r="J70">
        <f>H70/$H$3*100</f>
        <v>114.50736050830015</v>
      </c>
      <c r="L70" s="5">
        <v>9.2034400000000002E-4</v>
      </c>
      <c r="M70" s="5">
        <v>1.8956299999999999E-4</v>
      </c>
      <c r="N70" s="4">
        <f>L70/$L$3*100</f>
        <v>94.37005895924122</v>
      </c>
      <c r="O70" s="4">
        <f>M70/$M$3*100</f>
        <v>103.4021360854434</v>
      </c>
      <c r="Q70">
        <f>AVERAGE(B70,G70,L70)</f>
        <v>8.3760166666666663E-4</v>
      </c>
      <c r="R70">
        <f>AVERAGE(C70,H70,M70)</f>
        <v>1.8950433333333333E-4</v>
      </c>
      <c r="T70">
        <f>AVERAGE(D70,I70,N70)</f>
        <v>96.287457773225171</v>
      </c>
      <c r="U70">
        <f>AVERAGE(E70,J70,O70)</f>
        <v>104.34837980760101</v>
      </c>
      <c r="W70">
        <f>_xlfn.STDEV.P(D70,I70,N70)</f>
        <v>1.5614740789582806</v>
      </c>
      <c r="X70">
        <f>_xlfn.STDEV.P(E70,J70,O70)</f>
        <v>7.9367245278869643</v>
      </c>
    </row>
    <row r="71" spans="1:24" x14ac:dyDescent="0.2">
      <c r="A71">
        <v>449.34300000000002</v>
      </c>
      <c r="B71">
        <v>1.03608E-6</v>
      </c>
      <c r="C71">
        <v>2.2100399999999999E-5</v>
      </c>
      <c r="D71">
        <f>B71/$B$3*100</f>
        <v>0.12356203265315858</v>
      </c>
      <c r="E71">
        <f>C71/$C$3*100</f>
        <v>12.068280110086931</v>
      </c>
      <c r="G71">
        <v>1.0977699999999999E-6</v>
      </c>
      <c r="H71">
        <v>2.2268799999999999E-5</v>
      </c>
      <c r="I71">
        <f>G71/$G$3*100</f>
        <v>0.13731943339487732</v>
      </c>
      <c r="J71">
        <f>H71/$H$3*100</f>
        <v>12.455143406863842</v>
      </c>
      <c r="L71" s="5">
        <v>8.0542699999999995E-7</v>
      </c>
      <c r="M71" s="5">
        <v>2.5267799999999999E-5</v>
      </c>
      <c r="N71" s="4">
        <f>L71/$L$3*100</f>
        <v>8.2586721353499093E-2</v>
      </c>
      <c r="O71" s="4">
        <f>M71/$M$3*100</f>
        <v>13.782987683143688</v>
      </c>
      <c r="Q71">
        <f>AVERAGE(B71,G71,L71)</f>
        <v>9.7975900000000006E-7</v>
      </c>
      <c r="R71">
        <f>AVERAGE(C71,H71,M71)</f>
        <v>2.3212333333333331E-5</v>
      </c>
      <c r="T71">
        <f>AVERAGE(D71,I71,N71)</f>
        <v>0.11448939580051166</v>
      </c>
      <c r="U71">
        <f>AVERAGE(E71,J71,O71)</f>
        <v>12.76880373336482</v>
      </c>
      <c r="W71">
        <f>_xlfn.STDEV.P(D71,I71,N71)</f>
        <v>2.3247250682551849E-2</v>
      </c>
      <c r="X71">
        <f>_xlfn.STDEV.P(E71,J71,O71)</f>
        <v>0.73432173493189079</v>
      </c>
    </row>
    <row r="72" spans="1:24" x14ac:dyDescent="0.2">
      <c r="A72">
        <v>455.57600000000002</v>
      </c>
      <c r="B72">
        <v>1.0398899999999999E-6</v>
      </c>
      <c r="C72">
        <v>2.2178799999999998E-5</v>
      </c>
      <c r="D72">
        <f>B72/$B$3*100</f>
        <v>0.12401641006070289</v>
      </c>
      <c r="E72">
        <f>C72/$C$3*100</f>
        <v>12.111091695426149</v>
      </c>
      <c r="G72">
        <v>1.10272E-6</v>
      </c>
      <c r="H72">
        <v>2.23512E-5</v>
      </c>
      <c r="I72">
        <f>G72/$G$3*100</f>
        <v>0.13793862611767413</v>
      </c>
      <c r="J72">
        <f>H72/$H$3*100</f>
        <v>12.501230480110967</v>
      </c>
      <c r="L72" s="5">
        <v>8.08532E-7</v>
      </c>
      <c r="M72" s="5">
        <v>2.5360399999999999E-5</v>
      </c>
      <c r="N72" s="4">
        <f>L72/$L$3*100</f>
        <v>8.2905101256088187E-2</v>
      </c>
      <c r="O72" s="4">
        <f>M72/$M$3*100</f>
        <v>13.833498794497231</v>
      </c>
      <c r="Q72">
        <f>AVERAGE(B72,G72,L72)</f>
        <v>9.8371399999999996E-7</v>
      </c>
      <c r="R72">
        <f>AVERAGE(C72,H72,M72)</f>
        <v>2.32968E-5</v>
      </c>
      <c r="T72">
        <f>AVERAGE(D72,I72,N72)</f>
        <v>0.11495337914482173</v>
      </c>
      <c r="U72">
        <f>AVERAGE(E72,J72,O72)</f>
        <v>12.815273656678116</v>
      </c>
      <c r="W72">
        <f>_xlfn.STDEV.P(D72,I72,N72)</f>
        <v>2.3363448828021435E-2</v>
      </c>
      <c r="X72">
        <f>_xlfn.STDEV.P(E72,J72,O72)</f>
        <v>0.73740033961383744</v>
      </c>
    </row>
    <row r="73" spans="1:24" x14ac:dyDescent="0.2">
      <c r="A73">
        <v>461.834</v>
      </c>
      <c r="B73">
        <v>1.03365E-6</v>
      </c>
      <c r="C73">
        <v>2.2158699999999998E-5</v>
      </c>
      <c r="D73">
        <f>B73/$B$3*100</f>
        <v>0.12327223288929173</v>
      </c>
      <c r="E73">
        <f>C73/$C$3*100</f>
        <v>12.100115766021577</v>
      </c>
      <c r="G73">
        <v>1.10016E-6</v>
      </c>
      <c r="H73">
        <v>2.23481E-5</v>
      </c>
      <c r="I73">
        <f>G73/$G$3*100</f>
        <v>0.13761839715396509</v>
      </c>
      <c r="J73">
        <f>H73/$H$3*100</f>
        <v>12.499496621772789</v>
      </c>
      <c r="L73" s="5">
        <v>7.9204700000000002E-7</v>
      </c>
      <c r="M73" s="5">
        <v>2.52979E-5</v>
      </c>
      <c r="N73" s="4">
        <f>L73/$L$3*100</f>
        <v>8.1214765444757753E-2</v>
      </c>
      <c r="O73" s="4">
        <f>M73/$M$3*100</f>
        <v>13.799406521715413</v>
      </c>
      <c r="Q73">
        <f>AVERAGE(B73,G73,L73)</f>
        <v>9.752856666666667E-7</v>
      </c>
      <c r="R73">
        <f>AVERAGE(C73,H73,M73)</f>
        <v>2.3268233333333332E-5</v>
      </c>
      <c r="T73">
        <f>AVERAGE(D73,I73,N73)</f>
        <v>0.11403513182933821</v>
      </c>
      <c r="U73">
        <f>AVERAGE(E73,J73,O73)</f>
        <v>12.799672969836593</v>
      </c>
      <c r="W73">
        <f>_xlfn.STDEV.P(D73,I73,N73)</f>
        <v>2.3935126829144053E-2</v>
      </c>
      <c r="X73">
        <f>_xlfn.STDEV.P(E73,J73,O73)</f>
        <v>0.72547761189868287</v>
      </c>
    </row>
    <row r="74" spans="1:24" x14ac:dyDescent="0.2">
      <c r="A74">
        <v>468.06400000000002</v>
      </c>
      <c r="B74">
        <v>1.0343E-6</v>
      </c>
      <c r="C74">
        <v>2.21563E-5</v>
      </c>
      <c r="D74">
        <f>B74/$B$3*100</f>
        <v>0.12334975134464705</v>
      </c>
      <c r="E74">
        <f>C74/$C$3*100</f>
        <v>12.098805207286706</v>
      </c>
      <c r="G74">
        <v>1.08813E-6</v>
      </c>
      <c r="H74">
        <v>2.23031E-5</v>
      </c>
      <c r="I74">
        <f>G74/$G$3*100</f>
        <v>0.13611357120341042</v>
      </c>
      <c r="J74">
        <f>H74/$H$3*100</f>
        <v>12.4743277104121</v>
      </c>
      <c r="L74" s="5">
        <v>7.7755600000000003E-7</v>
      </c>
      <c r="M74" s="5">
        <v>2.52606E-5</v>
      </c>
      <c r="N74" s="4">
        <f>L74/$L$3*100</f>
        <v>7.9728890028197899E-2</v>
      </c>
      <c r="O74" s="4">
        <f>M74/$M$3*100</f>
        <v>13.779060253319223</v>
      </c>
      <c r="Q74">
        <f>AVERAGE(B74,G74,L74)</f>
        <v>9.66662E-7</v>
      </c>
      <c r="R74">
        <f>AVERAGE(C74,H74,M74)</f>
        <v>2.3240000000000001E-5</v>
      </c>
      <c r="T74">
        <f>AVERAGE(D74,I74,N74)</f>
        <v>0.11306407085875179</v>
      </c>
      <c r="U74">
        <f>AVERAGE(E74,J74,O74)</f>
        <v>12.784064390339344</v>
      </c>
      <c r="W74">
        <f>_xlfn.STDEV.P(D74,I74,N74)</f>
        <v>2.4140622542387451E-2</v>
      </c>
      <c r="X74">
        <f>_xlfn.STDEV.P(E74,J74,O74)</f>
        <v>0.7200772472907323</v>
      </c>
    </row>
    <row r="75" spans="1:24" x14ac:dyDescent="0.2">
      <c r="A75">
        <v>474.19400000000002</v>
      </c>
      <c r="B75">
        <v>1.02221E-6</v>
      </c>
      <c r="C75">
        <v>2.21395E-5</v>
      </c>
      <c r="D75">
        <f>B75/$B$3*100</f>
        <v>0.12190790807503787</v>
      </c>
      <c r="E75">
        <f>C75/$C$3*100</f>
        <v>12.089631296142587</v>
      </c>
      <c r="G75">
        <v>1.07934E-6</v>
      </c>
      <c r="H75">
        <v>2.2250900000000001E-5</v>
      </c>
      <c r="I75">
        <f>G75/$G$3*100</f>
        <v>0.13501403503505008</v>
      </c>
      <c r="J75">
        <f>H75/$H$3*100</f>
        <v>12.445131773233703</v>
      </c>
      <c r="L75" s="5">
        <v>7.6117000000000003E-7</v>
      </c>
      <c r="M75" s="5">
        <v>2.5231500000000001E-5</v>
      </c>
      <c r="N75" s="4">
        <f>L75/$L$3*100</f>
        <v>7.8048705460138437E-2</v>
      </c>
      <c r="O75" s="4">
        <f>M75/$M$3*100</f>
        <v>13.763186891112008</v>
      </c>
      <c r="Q75">
        <f>AVERAGE(B75,G75,L75)</f>
        <v>9.5424000000000016E-7</v>
      </c>
      <c r="R75">
        <f>AVERAGE(C75,H75,M75)</f>
        <v>2.3207300000000001E-5</v>
      </c>
      <c r="T75">
        <f>AVERAGE(D75,I75,N75)</f>
        <v>0.11165688285674213</v>
      </c>
      <c r="U75">
        <f>AVERAGE(E75,J75,O75)</f>
        <v>12.765983320162766</v>
      </c>
      <c r="W75">
        <f>_xlfn.STDEV.P(D75,I75,N75)</f>
        <v>2.4359458558763526E-2</v>
      </c>
      <c r="X75">
        <f>_xlfn.STDEV.P(E75,J75,O75)</f>
        <v>0.71991035031613171</v>
      </c>
    </row>
    <row r="76" spans="1:24" x14ac:dyDescent="0.2">
      <c r="A76">
        <v>480.49299999999999</v>
      </c>
      <c r="B76">
        <v>1.01042E-6</v>
      </c>
      <c r="C76">
        <v>2.2098300000000002E-5</v>
      </c>
      <c r="D76">
        <f>B76/$B$3*100</f>
        <v>0.12050184255405422</v>
      </c>
      <c r="E76">
        <f>C76/$C$3*100</f>
        <v>12.06713337119392</v>
      </c>
      <c r="G76">
        <v>1.0647900000000001E-6</v>
      </c>
      <c r="H76">
        <v>2.22026E-5</v>
      </c>
      <c r="I76">
        <f>G76/$G$3*100</f>
        <v>0.13319398369834431</v>
      </c>
      <c r="J76">
        <f>H76/$H$3*100</f>
        <v>12.418117141706563</v>
      </c>
      <c r="L76" s="5">
        <v>7.5156500000000002E-7</v>
      </c>
      <c r="M76" s="5">
        <v>2.5193000000000001E-5</v>
      </c>
      <c r="N76" s="4">
        <f>L76/$L$3*100</f>
        <v>7.7063829787234042E-2</v>
      </c>
      <c r="O76" s="4">
        <f>M76/$M$3*100</f>
        <v>13.742186051078406</v>
      </c>
      <c r="Q76">
        <f>AVERAGE(B76,G76,L76)</f>
        <v>9.422583333333332E-7</v>
      </c>
      <c r="R76">
        <f>AVERAGE(C76,H76,M76)</f>
        <v>2.3164633333333335E-5</v>
      </c>
      <c r="T76">
        <f>AVERAGE(D76,I76,N76)</f>
        <v>0.11025321867987752</v>
      </c>
      <c r="U76">
        <f>AVERAGE(E76,J76,O76)</f>
        <v>12.74247885465963</v>
      </c>
      <c r="W76">
        <f>_xlfn.STDEV.P(D76,I76,N76)</f>
        <v>2.403364673406844E-2</v>
      </c>
      <c r="X76">
        <f>_xlfn.STDEV.P(E76,J76,O76)</f>
        <v>0.72127584215723128</v>
      </c>
    </row>
    <row r="77" spans="1:24" x14ac:dyDescent="0.2">
      <c r="A77">
        <v>486.74799999999999</v>
      </c>
      <c r="B77">
        <v>1.00145E-6</v>
      </c>
      <c r="C77">
        <v>2.2061499999999999E-5</v>
      </c>
      <c r="D77">
        <f>B77/$B$3*100</f>
        <v>0.11943208787015061</v>
      </c>
      <c r="E77">
        <f>C77/$C$3*100</f>
        <v>12.047038137259184</v>
      </c>
      <c r="G77">
        <v>1.0610000000000001E-6</v>
      </c>
      <c r="H77">
        <v>2.2171199999999999E-5</v>
      </c>
      <c r="I77">
        <f>G77/$G$3*100</f>
        <v>0.13271989472472817</v>
      </c>
      <c r="J77">
        <f>H77/$H$3*100</f>
        <v>12.400554834668217</v>
      </c>
      <c r="L77" s="5">
        <v>7.3325400000000004E-7</v>
      </c>
      <c r="M77" s="5">
        <v>2.5148999999999999E-5</v>
      </c>
      <c r="N77" s="4">
        <f>L77/$L$3*100</f>
        <v>7.518625993335043E-2</v>
      </c>
      <c r="O77" s="4">
        <f>M77/$M$3*100</f>
        <v>13.718185091040002</v>
      </c>
      <c r="Q77">
        <f>AVERAGE(B77,G77,L77)</f>
        <v>9.319013333333334E-7</v>
      </c>
      <c r="R77">
        <f>AVERAGE(C77,H77,M77)</f>
        <v>2.3127233333333335E-5</v>
      </c>
      <c r="T77">
        <f>AVERAGE(D77,I77,N77)</f>
        <v>0.10911274750940975</v>
      </c>
      <c r="U77">
        <f>AVERAGE(E77,J77,O77)</f>
        <v>12.721926020989136</v>
      </c>
      <c r="W77">
        <f>_xlfn.STDEV.P(D77,I77,N77)</f>
        <v>2.4595343355840307E-2</v>
      </c>
      <c r="X77">
        <f>_xlfn.STDEV.P(E77,J77,O77)</f>
        <v>0.71909323217077237</v>
      </c>
    </row>
    <row r="78" spans="1:24" x14ac:dyDescent="0.2">
      <c r="A78">
        <v>492.90800000000002</v>
      </c>
      <c r="B78">
        <v>9.963230000000001E-7</v>
      </c>
      <c r="C78">
        <v>2.2036400000000001E-5</v>
      </c>
      <c r="D78">
        <f>B78/$B$3*100</f>
        <v>0.11882064614614019</v>
      </c>
      <c r="E78">
        <f>C78/$C$3*100</f>
        <v>12.033331877156961</v>
      </c>
      <c r="G78">
        <v>1.0572499999999999E-6</v>
      </c>
      <c r="H78">
        <v>2.2160699999999999E-5</v>
      </c>
      <c r="I78">
        <f>G78/$G$3*100</f>
        <v>0.13225080932866998</v>
      </c>
      <c r="J78">
        <f>H78/$H$3*100</f>
        <v>12.394682088684057</v>
      </c>
      <c r="L78" s="5">
        <v>7.1118799999999995E-7</v>
      </c>
      <c r="M78" s="5">
        <v>2.50908E-5</v>
      </c>
      <c r="N78" s="4">
        <f>L78/$L$3*100</f>
        <v>7.2923660599846188E-2</v>
      </c>
      <c r="O78" s="4">
        <f>M78/$M$3*100</f>
        <v>13.686438366625572</v>
      </c>
      <c r="Q78">
        <f>AVERAGE(B78,G78,L78)</f>
        <v>9.2158700000000006E-7</v>
      </c>
      <c r="R78">
        <f>AVERAGE(C78,H78,M78)</f>
        <v>2.3095966666666667E-5</v>
      </c>
      <c r="T78">
        <f>AVERAGE(D78,I78,N78)</f>
        <v>0.10799837202488544</v>
      </c>
      <c r="U78">
        <f>AVERAGE(E78,J78,O78)</f>
        <v>12.70481744415553</v>
      </c>
      <c r="W78">
        <f>_xlfn.STDEV.P(D78,I78,N78)</f>
        <v>2.5400378697172796E-2</v>
      </c>
      <c r="X78">
        <f>_xlfn.STDEV.P(E78,J78,O78)</f>
        <v>0.70961408310708862</v>
      </c>
    </row>
    <row r="79" spans="1:24" x14ac:dyDescent="0.2">
      <c r="A79">
        <v>499.07900000000001</v>
      </c>
      <c r="B79">
        <v>9.827219999999999E-7</v>
      </c>
      <c r="C79">
        <v>2.2025500000000001E-5</v>
      </c>
      <c r="D79">
        <f>B79/$B$3*100</f>
        <v>0.11719860228262034</v>
      </c>
      <c r="E79">
        <f>C79/$C$3*100</f>
        <v>12.027379756236076</v>
      </c>
      <c r="G79">
        <v>1.0412099999999999E-6</v>
      </c>
      <c r="H79">
        <v>2.2122800000000001E-5</v>
      </c>
      <c r="I79">
        <f>G79/$G$3*100</f>
        <v>0.13024437472793046</v>
      </c>
      <c r="J79">
        <f>H79/$H$3*100</f>
        <v>12.373484272226946</v>
      </c>
      <c r="L79" s="5">
        <v>6.9490400000000001E-7</v>
      </c>
      <c r="M79" s="5">
        <v>2.5052799999999998E-5</v>
      </c>
      <c r="N79" s="4">
        <f>L79/$L$3*100</f>
        <v>7.1253934888490134E-2</v>
      </c>
      <c r="O79" s="4">
        <f>M79/$M$3*100</f>
        <v>13.665710264774225</v>
      </c>
      <c r="Q79">
        <f>AVERAGE(B79,G79,L79)</f>
        <v>9.0627866666666662E-7</v>
      </c>
      <c r="R79">
        <f>AVERAGE(C79,H79,M79)</f>
        <v>2.3067033333333331E-5</v>
      </c>
      <c r="T79">
        <f>AVERAGE(D79,I79,N79)</f>
        <v>0.10623230396634697</v>
      </c>
      <c r="U79">
        <f>AVERAGE(E79,J79,O79)</f>
        <v>12.688858097745749</v>
      </c>
      <c r="W79">
        <f>_xlfn.STDEV.P(D79,I79,N79)</f>
        <v>2.5300365902278736E-2</v>
      </c>
      <c r="X79">
        <f>_xlfn.STDEV.P(E79,J79,O79)</f>
        <v>0.70504241062434925</v>
      </c>
    </row>
    <row r="80" spans="1:24" x14ac:dyDescent="0.2">
      <c r="A80">
        <v>505.34300000000002</v>
      </c>
      <c r="B80">
        <v>9.8158400000000004E-7</v>
      </c>
      <c r="C80">
        <v>2.20173E-5</v>
      </c>
      <c r="D80">
        <f>B80/$B$3*100</f>
        <v>0.11706288535616749</v>
      </c>
      <c r="E80">
        <f>C80/$C$3*100</f>
        <v>12.022902013891921</v>
      </c>
      <c r="G80">
        <v>1.0305299999999999E-6</v>
      </c>
      <c r="H80">
        <v>2.20774E-5</v>
      </c>
      <c r="I80">
        <f>G80/$G$3*100</f>
        <v>0.12890841951995674</v>
      </c>
      <c r="J80">
        <f>H80/$H$3*100</f>
        <v>12.34809163720972</v>
      </c>
      <c r="L80" s="5">
        <v>6.8168399999999995E-7</v>
      </c>
      <c r="M80" s="5">
        <v>2.5025099999999999E-5</v>
      </c>
      <c r="N80" s="4">
        <f>L80/$L$3*100</f>
        <v>6.9898385029479621E-2</v>
      </c>
      <c r="O80" s="4">
        <f>M80/$M$3*100</f>
        <v>13.650600569477323</v>
      </c>
      <c r="Q80">
        <f>AVERAGE(B80,G80,L80)</f>
        <v>8.9793266666666663E-7</v>
      </c>
      <c r="R80">
        <f>AVERAGE(C80,H80,M80)</f>
        <v>2.3039933333333333E-5</v>
      </c>
      <c r="T80">
        <f>AVERAGE(D80,I80,N80)</f>
        <v>0.10528989663520127</v>
      </c>
      <c r="U80">
        <f>AVERAGE(E80,J80,O80)</f>
        <v>12.673864740192988</v>
      </c>
      <c r="W80">
        <f>_xlfn.STDEV.P(D80,I80,N80)</f>
        <v>2.5488539780455892E-2</v>
      </c>
      <c r="X80">
        <f>_xlfn.STDEV.P(E80,J80,O80)</f>
        <v>0.70330018860332622</v>
      </c>
    </row>
    <row r="81" spans="1:24" x14ac:dyDescent="0.2">
      <c r="A81">
        <v>518.67100000000005</v>
      </c>
      <c r="B81">
        <v>6.7851900000000004E-4</v>
      </c>
      <c r="C81">
        <v>2.0209199999999999E-4</v>
      </c>
      <c r="D81">
        <f>B81/$B$3*100</f>
        <v>80.919607398838423</v>
      </c>
      <c r="E81">
        <f>C81/$C$3*100</f>
        <v>110.35559827006244</v>
      </c>
      <c r="G81">
        <v>6.5335999999999997E-4</v>
      </c>
      <c r="H81">
        <v>1.7325399999999999E-4</v>
      </c>
      <c r="I81">
        <f>G81/$G$3*100</f>
        <v>81.728435831619606</v>
      </c>
      <c r="J81">
        <f>H81/$H$3*100</f>
        <v>96.902545975211424</v>
      </c>
      <c r="L81" s="5">
        <v>7.8465900000000005E-4</v>
      </c>
      <c r="M81" s="5">
        <v>1.9307499999999999E-4</v>
      </c>
      <c r="N81" s="4">
        <f>L81/$L$3*100</f>
        <v>80.457216098436305</v>
      </c>
      <c r="O81" s="4">
        <f>M81/$M$3*100</f>
        <v>105.31784907759945</v>
      </c>
      <c r="Q81">
        <f>AVERAGE(B81,G81,L81)</f>
        <v>7.0551266666666679E-4</v>
      </c>
      <c r="R81">
        <f>AVERAGE(C81,H81,M81)</f>
        <v>1.8947366666666665E-4</v>
      </c>
      <c r="T81">
        <f>AVERAGE(D81,I81,N81)</f>
        <v>81.035086442964783</v>
      </c>
      <c r="U81">
        <f>AVERAGE(E81,J81,O81)</f>
        <v>104.1919977742911</v>
      </c>
      <c r="W81">
        <f>_xlfn.STDEV.P(D81,I81,N81)</f>
        <v>0.52535794764643295</v>
      </c>
      <c r="X81">
        <f>_xlfn.STDEV.P(E81,J81,O81)</f>
        <v>5.5495831603145289</v>
      </c>
    </row>
    <row r="82" spans="1:24" x14ac:dyDescent="0.2">
      <c r="A82">
        <v>524.91800000000001</v>
      </c>
      <c r="B82">
        <v>6.9861299999999995E-4</v>
      </c>
      <c r="C82">
        <v>2.03334E-4</v>
      </c>
      <c r="D82">
        <f>B82/$B$3*100</f>
        <v>83.316001001776954</v>
      </c>
      <c r="E82">
        <f>C82/$C$3*100</f>
        <v>111.03381241535975</v>
      </c>
      <c r="G82">
        <v>6.7592399999999995E-4</v>
      </c>
      <c r="H82">
        <v>1.7377899999999999E-4</v>
      </c>
      <c r="I82">
        <f>G82/$G$3*100</f>
        <v>84.550953932061418</v>
      </c>
      <c r="J82">
        <f>H82/$H$3*100</f>
        <v>97.19618327441944</v>
      </c>
      <c r="L82" s="5">
        <v>8.0971799999999996E-4</v>
      </c>
      <c r="M82" s="5">
        <v>2.0132400000000001E-4</v>
      </c>
      <c r="N82" s="4">
        <f>L82/$L$3*100</f>
        <v>83.026711099718014</v>
      </c>
      <c r="O82" s="4">
        <f>M82/$M$3*100</f>
        <v>109.81748360843524</v>
      </c>
      <c r="Q82">
        <f>AVERAGE(B82,G82,L82)</f>
        <v>7.2808499999999995E-4</v>
      </c>
      <c r="R82">
        <f>AVERAGE(C82,H82,M82)</f>
        <v>1.9281233333333334E-4</v>
      </c>
      <c r="T82">
        <f>AVERAGE(D82,I82,N82)</f>
        <v>83.631222011185457</v>
      </c>
      <c r="U82">
        <f>AVERAGE(E82,J82,O82)</f>
        <v>106.01582643273814</v>
      </c>
      <c r="W82">
        <f>_xlfn.STDEV.P(D82,I82,N82)</f>
        <v>0.66098525781187678</v>
      </c>
      <c r="X82">
        <f>_xlfn.STDEV.P(E82,J82,O82)</f>
        <v>6.2561672516910338</v>
      </c>
    </row>
    <row r="83" spans="1:24" x14ac:dyDescent="0.2">
      <c r="A83">
        <v>531.04899999999998</v>
      </c>
      <c r="B83">
        <v>7.1352799999999995E-4</v>
      </c>
      <c r="C83">
        <v>1.9576700000000001E-4</v>
      </c>
      <c r="D83">
        <f>B83/$B$3*100</f>
        <v>85.094751404276622</v>
      </c>
      <c r="E83">
        <f>C83/$C$3*100</f>
        <v>106.90172993753005</v>
      </c>
      <c r="G83">
        <v>6.8866100000000003E-4</v>
      </c>
      <c r="H83">
        <v>1.7198800000000001E-4</v>
      </c>
      <c r="I83">
        <f>G83/$G$3*100</f>
        <v>86.14421811595291</v>
      </c>
      <c r="J83">
        <f>H83/$H$3*100</f>
        <v>96.194460602264087</v>
      </c>
      <c r="L83" s="5">
        <v>8.27011E-4</v>
      </c>
      <c r="M83" s="5">
        <v>1.9420099999999999E-4</v>
      </c>
      <c r="N83" s="4">
        <f>L83/$L$3*100</f>
        <v>84.799897462189193</v>
      </c>
      <c r="O83" s="4">
        <f>M83/$M$3*100</f>
        <v>105.93205546403672</v>
      </c>
      <c r="Q83">
        <f>AVERAGE(B83,G83,L83)</f>
        <v>7.4306666666666655E-4</v>
      </c>
      <c r="R83">
        <f>AVERAGE(C83,H83,M83)</f>
        <v>1.8731866666666665E-4</v>
      </c>
      <c r="T83">
        <f>AVERAGE(D83,I83,N83)</f>
        <v>85.346288994139584</v>
      </c>
      <c r="U83">
        <f>AVERAGE(E83,J83,O83)</f>
        <v>103.0094153346103</v>
      </c>
      <c r="W83">
        <f>_xlfn.STDEV.P(D83,I83,N83)</f>
        <v>0.57691875474771093</v>
      </c>
      <c r="X83">
        <f>_xlfn.STDEV.P(E83,J83,O83)</f>
        <v>4.8351334451823931</v>
      </c>
    </row>
    <row r="84" spans="1:24" x14ac:dyDescent="0.2">
      <c r="A84">
        <v>537.19200000000001</v>
      </c>
      <c r="B84">
        <v>7.2915600000000001E-4</v>
      </c>
      <c r="C84">
        <v>1.9274099999999999E-4</v>
      </c>
      <c r="D84">
        <f>B84/$B$3*100</f>
        <v>86.958533589343006</v>
      </c>
      <c r="E84">
        <f>C84/$C$3*100</f>
        <v>105.24933379930977</v>
      </c>
      <c r="G84">
        <v>7.0143199999999999E-4</v>
      </c>
      <c r="H84">
        <v>1.7276300000000001E-4</v>
      </c>
      <c r="I84">
        <f>G84/$G$3*100</f>
        <v>87.741735340768642</v>
      </c>
      <c r="J84">
        <f>H84/$H$3*100</f>
        <v>96.627925186809264</v>
      </c>
      <c r="L84" s="5">
        <v>8.4286199999999999E-4</v>
      </c>
      <c r="M84" s="5">
        <v>1.89815E-4</v>
      </c>
      <c r="N84" s="4">
        <f>L84/$L$3*100</f>
        <v>86.425224301461171</v>
      </c>
      <c r="O84" s="4">
        <f>M84/$M$3*100</f>
        <v>103.53959612929971</v>
      </c>
      <c r="Q84">
        <f>AVERAGE(B84,G84,L84)</f>
        <v>7.5781666666666656E-4</v>
      </c>
      <c r="R84">
        <f>AVERAGE(C84,H84,M84)</f>
        <v>1.8510633333333333E-4</v>
      </c>
      <c r="T84">
        <f>AVERAGE(D84,I84,N84)</f>
        <v>87.041831077190935</v>
      </c>
      <c r="U84">
        <f>AVERAGE(E84,J84,O84)</f>
        <v>101.80561837180625</v>
      </c>
      <c r="W84">
        <f>_xlfn.STDEV.P(D84,I84,N84)</f>
        <v>0.54068116468392102</v>
      </c>
      <c r="X84">
        <f>_xlfn.STDEV.P(E84,J84,O84)</f>
        <v>3.7271240712320455</v>
      </c>
    </row>
    <row r="85" spans="1:24" x14ac:dyDescent="0.2">
      <c r="A85">
        <v>543.55200000000002</v>
      </c>
      <c r="B85">
        <v>7.3928000000000004E-4</v>
      </c>
      <c r="C85">
        <v>1.89335E-4</v>
      </c>
      <c r="D85">
        <f>B85/$B$3*100</f>
        <v>88.165913346292839</v>
      </c>
      <c r="E85">
        <f>C85/$C$3*100</f>
        <v>103.3894325280678</v>
      </c>
      <c r="G85">
        <v>7.1173600000000003E-4</v>
      </c>
      <c r="H85">
        <v>1.7219300000000001E-4</v>
      </c>
      <c r="I85">
        <f>G85/$G$3*100</f>
        <v>89.030656919697577</v>
      </c>
      <c r="J85">
        <f>H85/$H$3*100</f>
        <v>96.309118976240555</v>
      </c>
      <c r="L85" s="5">
        <v>8.5696000000000004E-4</v>
      </c>
      <c r="M85" s="5">
        <v>1.9046800000000001E-4</v>
      </c>
      <c r="N85" s="4">
        <f>L85/$L$3*100</f>
        <v>87.870802358369644</v>
      </c>
      <c r="O85" s="4">
        <f>M85/$M$3*100</f>
        <v>103.89579219532416</v>
      </c>
      <c r="Q85">
        <f>AVERAGE(B85,G85,L85)</f>
        <v>7.6932533333333344E-4</v>
      </c>
      <c r="R85">
        <f>AVERAGE(C85,H85,M85)</f>
        <v>1.8399866666666666E-4</v>
      </c>
      <c r="T85">
        <f>AVERAGE(D85,I85,N85)</f>
        <v>88.355790874786692</v>
      </c>
      <c r="U85">
        <f>AVERAGE(E85,J85,O85)</f>
        <v>101.19811456654418</v>
      </c>
      <c r="W85">
        <f>_xlfn.STDEV.P(D85,I85,N85)</f>
        <v>0.4921759561569431</v>
      </c>
      <c r="X85">
        <f>_xlfn.STDEV.P(E85,J85,O85)</f>
        <v>3.4632170438925867</v>
      </c>
    </row>
    <row r="86" spans="1:24" x14ac:dyDescent="0.2">
      <c r="A86">
        <v>549.649</v>
      </c>
      <c r="B86">
        <v>7.4945899999999995E-4</v>
      </c>
      <c r="C86">
        <v>1.8813599999999999E-4</v>
      </c>
      <c r="D86">
        <f>B86/$B$3*100</f>
        <v>89.379852357157333</v>
      </c>
      <c r="E86">
        <f>C86/$C$3*100</f>
        <v>102.73469922677035</v>
      </c>
      <c r="G86">
        <v>7.2095799999999995E-4</v>
      </c>
      <c r="H86">
        <v>1.7557799999999999E-4</v>
      </c>
      <c r="I86">
        <f>G86/$G$3*100</f>
        <v>90.184231725683844</v>
      </c>
      <c r="J86">
        <f>H86/$H$3*100</f>
        <v>98.202380419705577</v>
      </c>
      <c r="L86" s="5">
        <v>8.6826799999999995E-4</v>
      </c>
      <c r="M86" s="5">
        <v>1.92716E-4</v>
      </c>
      <c r="N86" s="4">
        <f>L86/$L$3*100</f>
        <v>89.030299923096635</v>
      </c>
      <c r="O86" s="4">
        <f>M86/$M$3*100</f>
        <v>105.12202306274068</v>
      </c>
      <c r="Q86">
        <f>AVERAGE(B86,G86,L86)</f>
        <v>7.7956166666666665E-4</v>
      </c>
      <c r="R86">
        <f>AVERAGE(C86,H86,M86)</f>
        <v>1.8547666666666668E-4</v>
      </c>
      <c r="T86">
        <f>AVERAGE(D86,I86,N86)</f>
        <v>89.531461335312613</v>
      </c>
      <c r="U86">
        <f>AVERAGE(E86,J86,O86)</f>
        <v>102.01970090307221</v>
      </c>
      <c r="W86">
        <f>_xlfn.STDEV.P(D86,I86,N86)</f>
        <v>0.48313463475412705</v>
      </c>
      <c r="X86">
        <f>_xlfn.STDEV.P(E86,J86,O86)</f>
        <v>2.8698177095413602</v>
      </c>
    </row>
    <row r="87" spans="1:24" x14ac:dyDescent="0.2">
      <c r="A87">
        <v>555.86300000000006</v>
      </c>
      <c r="B87">
        <v>7.5691899999999999E-4</v>
      </c>
      <c r="C87">
        <v>1.86799E-4</v>
      </c>
      <c r="D87">
        <f>B87/$B$3*100</f>
        <v>90.269525706312393</v>
      </c>
      <c r="E87">
        <f>C87/$C$3*100</f>
        <v>102.00460879821762</v>
      </c>
      <c r="G87">
        <v>7.2793300000000005E-4</v>
      </c>
      <c r="H87">
        <v>1.73721E-4</v>
      </c>
      <c r="I87">
        <f>G87/$G$3*100</f>
        <v>91.056730562352087</v>
      </c>
      <c r="J87">
        <f>H87/$H$3*100</f>
        <v>97.163743344221217</v>
      </c>
      <c r="L87" s="5">
        <v>8.7710800000000003E-4</v>
      </c>
      <c r="M87" s="5">
        <v>1.9287500000000001E-4</v>
      </c>
      <c r="N87" s="4">
        <f>L87/$L$3*100</f>
        <v>89.936734170725458</v>
      </c>
      <c r="O87" s="4">
        <f>M87/$M$3*100</f>
        <v>105.20875380469765</v>
      </c>
      <c r="Q87">
        <f>AVERAGE(B87,G87,L87)</f>
        <v>7.873200000000001E-4</v>
      </c>
      <c r="R87">
        <f>AVERAGE(C87,H87,M87)</f>
        <v>1.84465E-4</v>
      </c>
      <c r="T87">
        <f>AVERAGE(D87,I87,N87)</f>
        <v>90.420996813129975</v>
      </c>
      <c r="U87">
        <f>AVERAGE(E87,J87,O87)</f>
        <v>101.45903531571217</v>
      </c>
      <c r="W87">
        <f>_xlfn.STDEV.P(D87,I87,N87)</f>
        <v>0.46961374303042958</v>
      </c>
      <c r="X87">
        <f>_xlfn.STDEV.P(E87,J87,O87)</f>
        <v>3.3069407963558159</v>
      </c>
    </row>
    <row r="88" spans="1:24" x14ac:dyDescent="0.2">
      <c r="A88">
        <v>562.19600000000003</v>
      </c>
      <c r="B88">
        <v>7.6256399999999997E-4</v>
      </c>
      <c r="C88">
        <v>1.8717000000000001E-4</v>
      </c>
      <c r="D88">
        <f>B88/$B$3*100</f>
        <v>90.94274367628293</v>
      </c>
      <c r="E88">
        <f>C88/$C$3*100</f>
        <v>102.20719933598357</v>
      </c>
      <c r="G88">
        <v>7.33948E-4</v>
      </c>
      <c r="H88">
        <v>1.7793799999999999E-4</v>
      </c>
      <c r="I88">
        <f>G88/$G$3*100</f>
        <v>91.809143537629396</v>
      </c>
      <c r="J88">
        <f>H88/$H$3*100</f>
        <v>99.522349993288287</v>
      </c>
      <c r="L88" s="5">
        <v>8.8619000000000002E-4</v>
      </c>
      <c r="M88" s="5">
        <v>1.9403000000000001E-4</v>
      </c>
      <c r="N88" s="4">
        <f>L88/$L$3*100</f>
        <v>90.867982568572174</v>
      </c>
      <c r="O88" s="4">
        <f>M88/$M$3*100</f>
        <v>105.83877900570569</v>
      </c>
      <c r="Q88">
        <f>AVERAGE(B88,G88,L88)</f>
        <v>7.94234E-4</v>
      </c>
      <c r="R88">
        <f>AVERAGE(C88,H88,M88)</f>
        <v>1.8637933333333335E-4</v>
      </c>
      <c r="T88">
        <f>AVERAGE(D88,I88,N88)</f>
        <v>91.206623260828167</v>
      </c>
      <c r="U88">
        <f>AVERAGE(E88,J88,O88)</f>
        <v>102.52277611165918</v>
      </c>
      <c r="W88">
        <f>_xlfn.STDEV.P(D88,I88,N88)</f>
        <v>0.42713800952698117</v>
      </c>
      <c r="X88">
        <f>_xlfn.STDEV.P(E88,J88,O88)</f>
        <v>2.588308378489244</v>
      </c>
    </row>
    <row r="89" spans="1:24" x14ac:dyDescent="0.2">
      <c r="A89">
        <v>568.34699999999998</v>
      </c>
      <c r="B89">
        <v>7.6885099999999997E-4</v>
      </c>
      <c r="C89">
        <v>1.88407E-4</v>
      </c>
      <c r="D89">
        <f>B89/$B$3*100</f>
        <v>91.69252602831213</v>
      </c>
      <c r="E89">
        <f>C89/$C$3*100</f>
        <v>102.8826831505832</v>
      </c>
      <c r="G89">
        <v>7.3783200000000001E-4</v>
      </c>
      <c r="H89">
        <v>1.76412E-4</v>
      </c>
      <c r="I89">
        <f>G89/$G$3*100</f>
        <v>92.294990918506727</v>
      </c>
      <c r="J89">
        <f>H89/$H$3*100</f>
        <v>98.668844243590328</v>
      </c>
      <c r="L89" s="5">
        <v>8.8905199999999998E-4</v>
      </c>
      <c r="M89" s="5">
        <v>1.9344300000000001E-4</v>
      </c>
      <c r="N89" s="4">
        <f>L89/$L$3*100</f>
        <v>91.161445783132535</v>
      </c>
      <c r="O89" s="4">
        <f>M89/$M$3*100</f>
        <v>105.51858437973883</v>
      </c>
      <c r="Q89">
        <f>AVERAGE(B89,G89,L89)</f>
        <v>7.9857833333333336E-4</v>
      </c>
      <c r="R89">
        <f>AVERAGE(C89,H89,M89)</f>
        <v>1.8608733333333333E-4</v>
      </c>
      <c r="T89">
        <f>AVERAGE(D89,I89,N89)</f>
        <v>91.716320909983793</v>
      </c>
      <c r="U89">
        <f>AVERAGE(E89,J89,O89)</f>
        <v>102.35670392463744</v>
      </c>
      <c r="W89">
        <f>_xlfn.STDEV.P(D89,I89,N89)</f>
        <v>0.46307363761281717</v>
      </c>
      <c r="X89">
        <f>_xlfn.STDEV.P(E89,J89,O89)</f>
        <v>2.8210193893680557</v>
      </c>
    </row>
    <row r="90" spans="1:24" x14ac:dyDescent="0.2">
      <c r="A90">
        <v>574.55200000000002</v>
      </c>
      <c r="B90">
        <v>7.7159600000000004E-4</v>
      </c>
      <c r="C90">
        <v>1.8731100000000001E-4</v>
      </c>
      <c r="D90">
        <f>B90/$B$3*100</f>
        <v>92.019892428235806</v>
      </c>
      <c r="E90">
        <f>C90/$C$3*100</f>
        <v>102.28419466165741</v>
      </c>
      <c r="G90">
        <v>7.4189000000000004E-4</v>
      </c>
      <c r="H90">
        <v>1.75723E-4</v>
      </c>
      <c r="I90">
        <f>G90/$G$3*100</f>
        <v>92.802603861761156</v>
      </c>
      <c r="J90">
        <f>H90/$H$3*100</f>
        <v>98.283480245201133</v>
      </c>
      <c r="L90" s="5">
        <v>8.9404999999999997E-4</v>
      </c>
      <c r="M90" s="5">
        <v>1.9426E-4</v>
      </c>
      <c r="N90" s="4">
        <f>L90/$L$3*100</f>
        <v>91.673929761599595</v>
      </c>
      <c r="O90" s="4">
        <f>M90/$M$3*100</f>
        <v>105.96423856954277</v>
      </c>
      <c r="Q90">
        <f>AVERAGE(B90,G90,L90)</f>
        <v>8.0251200000000002E-4</v>
      </c>
      <c r="R90">
        <f>AVERAGE(C90,H90,M90)</f>
        <v>1.8576466666666669E-4</v>
      </c>
      <c r="T90">
        <f>AVERAGE(D90,I90,N90)</f>
        <v>92.165475350532191</v>
      </c>
      <c r="U90">
        <f>AVERAGE(E90,J90,O90)</f>
        <v>102.17730449213377</v>
      </c>
      <c r="W90">
        <f>_xlfn.STDEV.P(D90,I90,N90)</f>
        <v>0.47213846594838582</v>
      </c>
      <c r="X90">
        <f>_xlfn.STDEV.P(E90,J90,O90)</f>
        <v>3.1365672574213401</v>
      </c>
    </row>
    <row r="91" spans="1:24" x14ac:dyDescent="0.2">
      <c r="A91">
        <v>580.73699999999997</v>
      </c>
      <c r="B91">
        <v>7.7607800000000003E-4</v>
      </c>
      <c r="C91">
        <v>1.8690199999999999E-4</v>
      </c>
      <c r="D91">
        <f>B91/$B$3*100</f>
        <v>92.554411992701347</v>
      </c>
      <c r="E91">
        <f>C91/$C$3*100</f>
        <v>102.06085361058929</v>
      </c>
      <c r="G91">
        <v>7.4596999999999999E-4</v>
      </c>
      <c r="H91">
        <v>1.7587000000000001E-4</v>
      </c>
      <c r="I91">
        <f>G91/$G$3*100</f>
        <v>93.312968772672463</v>
      </c>
      <c r="J91">
        <f>H91/$H$3*100</f>
        <v>98.365698688979393</v>
      </c>
      <c r="L91" s="5">
        <v>8.9844600000000001E-4</v>
      </c>
      <c r="M91" s="5">
        <v>1.9523199999999999E-4</v>
      </c>
      <c r="N91" s="4">
        <f>L91/$L$3*100</f>
        <v>92.124685977954371</v>
      </c>
      <c r="O91" s="4">
        <f>M91/$M$3*100</f>
        <v>106.49444159584564</v>
      </c>
      <c r="Q91">
        <f>AVERAGE(B91,G91,L91)</f>
        <v>8.0683133333333331E-4</v>
      </c>
      <c r="R91">
        <f>AVERAGE(C91,H91,M91)</f>
        <v>1.8600133333333333E-4</v>
      </c>
      <c r="T91">
        <f>AVERAGE(D91,I91,N91)</f>
        <v>92.66402224777606</v>
      </c>
      <c r="U91">
        <f>AVERAGE(E91,J91,O91)</f>
        <v>102.30699796513811</v>
      </c>
      <c r="W91">
        <f>_xlfn.STDEV.P(D91,I91,N91)</f>
        <v>0.49126693766825463</v>
      </c>
      <c r="X91">
        <f>_xlfn.STDEV.P(E91,J91,O91)</f>
        <v>3.3231065379590512</v>
      </c>
    </row>
    <row r="92" spans="1:24" x14ac:dyDescent="0.2">
      <c r="A92">
        <v>587.00400000000002</v>
      </c>
      <c r="B92">
        <v>7.7973699999999996E-4</v>
      </c>
      <c r="C92">
        <v>1.84962E-4</v>
      </c>
      <c r="D92">
        <f>B92/$B$3*100</f>
        <v>92.99078126677081</v>
      </c>
      <c r="E92">
        <f>C92/$C$3*100</f>
        <v>101.00148529989951</v>
      </c>
      <c r="G92">
        <v>7.5151500000000002E-4</v>
      </c>
      <c r="H92">
        <v>1.7759399999999999E-4</v>
      </c>
      <c r="I92">
        <f>G92/$G$3*100</f>
        <v>94.006589711643826</v>
      </c>
      <c r="J92">
        <f>H92/$H$3*100</f>
        <v>99.329947648664373</v>
      </c>
      <c r="L92" s="5">
        <v>9.0423599999999999E-4</v>
      </c>
      <c r="M92" s="5">
        <v>1.9534700000000001E-4</v>
      </c>
      <c r="N92" s="4">
        <f>L92/$L$3*100</f>
        <v>92.718379902589078</v>
      </c>
      <c r="O92" s="4">
        <f>M92/$M$3*100</f>
        <v>106.55717137776419</v>
      </c>
      <c r="Q92">
        <f>AVERAGE(B92,G92,L92)</f>
        <v>8.1182933333333329E-4</v>
      </c>
      <c r="R92">
        <f>AVERAGE(C92,H92,M92)</f>
        <v>1.8596766666666666E-4</v>
      </c>
      <c r="T92">
        <f>AVERAGE(D92,I92,N92)</f>
        <v>93.238583627001233</v>
      </c>
      <c r="U92">
        <f>AVERAGE(E92,J92,O92)</f>
        <v>102.29620144210935</v>
      </c>
      <c r="W92">
        <f>_xlfn.STDEV.P(D92,I92,N92)</f>
        <v>0.55433181118535024</v>
      </c>
      <c r="X92">
        <f>_xlfn.STDEV.P(E92,J92,O92)</f>
        <v>3.0892726354585944</v>
      </c>
    </row>
    <row r="93" spans="1:24" x14ac:dyDescent="0.2">
      <c r="A93">
        <v>593.21</v>
      </c>
      <c r="B93">
        <v>7.8539500000000004E-4</v>
      </c>
      <c r="C93">
        <v>1.8636400000000001E-4</v>
      </c>
      <c r="D93">
        <f>B93/$B$3*100</f>
        <v>93.665549605848469</v>
      </c>
      <c r="E93">
        <f>C93/$C$3*100</f>
        <v>101.76707002752173</v>
      </c>
      <c r="G93">
        <v>7.5494400000000001E-4</v>
      </c>
      <c r="H93">
        <v>1.7861099999999999E-4</v>
      </c>
      <c r="I93">
        <f>G93/$G$3*100</f>
        <v>94.43552139779942</v>
      </c>
      <c r="J93">
        <f>H93/$H$3*100</f>
        <v>99.8987650454159</v>
      </c>
      <c r="L93" s="5">
        <v>9.0839399999999998E-4</v>
      </c>
      <c r="M93" s="5">
        <v>1.9024800000000001E-4</v>
      </c>
      <c r="N93" s="4">
        <f>L93/$L$3*100</f>
        <v>93.144732119969248</v>
      </c>
      <c r="O93" s="4">
        <f>M93/$M$3*100</f>
        <v>103.77578739513216</v>
      </c>
      <c r="Q93">
        <f>AVERAGE(B93,G93,L93)</f>
        <v>8.1624433333333331E-4</v>
      </c>
      <c r="R93">
        <f>AVERAGE(C93,H93,M93)</f>
        <v>1.8507433333333337E-4</v>
      </c>
      <c r="T93">
        <f>AVERAGE(D93,I93,N93)</f>
        <v>93.748601041205703</v>
      </c>
      <c r="U93">
        <f>AVERAGE(E93,J93,O93)</f>
        <v>101.81387415602326</v>
      </c>
      <c r="W93">
        <f>_xlfn.STDEV.P(D93,I93,N93)</f>
        <v>0.53022472947893062</v>
      </c>
      <c r="X93">
        <f>_xlfn.STDEV.P(E93,J93,O93)</f>
        <v>1.5831337161641212</v>
      </c>
    </row>
    <row r="94" spans="1:24" x14ac:dyDescent="0.2">
      <c r="A94">
        <v>599.31799999999998</v>
      </c>
      <c r="B94">
        <v>7.8814100000000002E-4</v>
      </c>
      <c r="C94">
        <v>1.8242099999999999E-4</v>
      </c>
      <c r="D94">
        <f>B94/$B$3*100</f>
        <v>93.993035264934235</v>
      </c>
      <c r="E94">
        <f>C94/$C$3*100</f>
        <v>99.6139312393517</v>
      </c>
      <c r="G94">
        <v>7.5940199999999995E-4</v>
      </c>
      <c r="H94">
        <v>1.7830299999999999E-4</v>
      </c>
      <c r="I94">
        <f>G94/$G$3*100</f>
        <v>94.99317011663338</v>
      </c>
      <c r="J94">
        <f>H94/$H$3*100</f>
        <v>99.726497829880529</v>
      </c>
      <c r="L94" s="5">
        <v>9.1236300000000002E-4</v>
      </c>
      <c r="M94" s="5">
        <v>1.9306E-4</v>
      </c>
      <c r="N94" s="4">
        <f>L94/$L$3*100</f>
        <v>93.55170469110486</v>
      </c>
      <c r="O94" s="4">
        <f>M94/$M$3*100</f>
        <v>105.30966693213182</v>
      </c>
      <c r="Q94">
        <f>AVERAGE(B94,G94,L94)</f>
        <v>8.1996866666666666E-4</v>
      </c>
      <c r="R94">
        <f>AVERAGE(C94,H94,M94)</f>
        <v>1.8459466666666667E-4</v>
      </c>
      <c r="T94">
        <f>AVERAGE(D94,I94,N94)</f>
        <v>94.179303357557501</v>
      </c>
      <c r="U94">
        <f>AVERAGE(E94,J94,O94)</f>
        <v>101.55003200045469</v>
      </c>
      <c r="W94">
        <f>_xlfn.STDEV.P(D94,I94,N94)</f>
        <v>0.60303537485825753</v>
      </c>
      <c r="X94">
        <f>_xlfn.STDEV.P(E94,J94,O94)</f>
        <v>2.6588605233496834</v>
      </c>
    </row>
    <row r="95" spans="1:24" x14ac:dyDescent="0.2">
      <c r="A95">
        <v>605.59400000000005</v>
      </c>
      <c r="B95">
        <v>7.90419E-4</v>
      </c>
      <c r="C95">
        <v>1.8210500000000001E-4</v>
      </c>
      <c r="D95">
        <f>B95/$B$3*100</f>
        <v>94.264707636164147</v>
      </c>
      <c r="E95">
        <f>C95/$C$3*100</f>
        <v>99.441374339259966</v>
      </c>
      <c r="G95">
        <v>7.6232000000000003E-4</v>
      </c>
      <c r="H95">
        <v>1.79395E-4</v>
      </c>
      <c r="I95">
        <f>G95/$G$3*100</f>
        <v>95.358181099486131</v>
      </c>
      <c r="J95">
        <f>H95/$H$3*100</f>
        <v>100.33726341223321</v>
      </c>
      <c r="L95" s="5">
        <v>9.1826699999999995E-4</v>
      </c>
      <c r="M95" s="5">
        <v>1.9135800000000001E-4</v>
      </c>
      <c r="N95" s="4">
        <f>L95/$L$3*100</f>
        <v>94.157087926172778</v>
      </c>
      <c r="O95" s="4">
        <f>M95/$M$3*100</f>
        <v>104.38126615973728</v>
      </c>
      <c r="Q95">
        <f>AVERAGE(B95,G95,L95)</f>
        <v>8.236686666666667E-4</v>
      </c>
      <c r="R95">
        <f>AVERAGE(C95,H95,M95)</f>
        <v>1.84286E-4</v>
      </c>
      <c r="T95">
        <f>AVERAGE(D95,I95,N95)</f>
        <v>94.593325553941028</v>
      </c>
      <c r="U95">
        <f>AVERAGE(E95,J95,O95)</f>
        <v>101.38663463707682</v>
      </c>
      <c r="W95">
        <f>_xlfn.STDEV.P(D95,I95,N95)</f>
        <v>0.54261619625538293</v>
      </c>
      <c r="X95">
        <f>_xlfn.STDEV.P(E95,J95,O95)</f>
        <v>2.1488784322915984</v>
      </c>
    </row>
    <row r="96" spans="1:24" x14ac:dyDescent="0.2">
      <c r="A96">
        <v>611.76900000000001</v>
      </c>
      <c r="B96">
        <v>7.9251300000000001E-4</v>
      </c>
      <c r="C96">
        <v>1.7986200000000001E-4</v>
      </c>
      <c r="D96">
        <f>B96/$B$3*100</f>
        <v>94.5144363215704</v>
      </c>
      <c r="E96">
        <f>C96/$C$3*100</f>
        <v>98.216547988292334</v>
      </c>
      <c r="G96">
        <v>7.6537399999999998E-4</v>
      </c>
      <c r="H96">
        <v>1.8032500000000001E-4</v>
      </c>
      <c r="I96">
        <f>G96/$G$3*100</f>
        <v>95.740204246035916</v>
      </c>
      <c r="J96">
        <f>H96/$H$3*100</f>
        <v>100.85742091368741</v>
      </c>
      <c r="L96" s="5">
        <v>9.2203800000000002E-4</v>
      </c>
      <c r="M96" s="5">
        <v>1.9138599999999999E-4</v>
      </c>
      <c r="N96" s="4">
        <f>L96/$L$3*100</f>
        <v>94.543758010766481</v>
      </c>
      <c r="O96" s="4">
        <f>M96/$M$3*100</f>
        <v>104.39653949794354</v>
      </c>
      <c r="Q96">
        <f>AVERAGE(B96,G96,L96)</f>
        <v>8.2664166666666667E-4</v>
      </c>
      <c r="R96">
        <f>AVERAGE(C96,H96,M96)</f>
        <v>1.8385766666666667E-4</v>
      </c>
      <c r="T96">
        <f>AVERAGE(D96,I96,N96)</f>
        <v>94.932799526124271</v>
      </c>
      <c r="U96">
        <f>AVERAGE(E96,J96,O96)</f>
        <v>101.15683613330776</v>
      </c>
      <c r="W96">
        <f>_xlfn.STDEV.P(D96,I96,N96)</f>
        <v>0.57104683209350127</v>
      </c>
      <c r="X96">
        <f>_xlfn.STDEV.P(E96,J96,O96)</f>
        <v>2.5318387086786638</v>
      </c>
    </row>
    <row r="97" spans="1:24" x14ac:dyDescent="0.2">
      <c r="A97">
        <v>617.947</v>
      </c>
      <c r="B97">
        <v>7.9538299999999998E-4</v>
      </c>
      <c r="C97">
        <v>1.8085200000000001E-4</v>
      </c>
      <c r="D97">
        <f>B97/$B$3*100</f>
        <v>94.856710116754712</v>
      </c>
      <c r="E97">
        <f>C97/$C$3*100</f>
        <v>98.757153466427852</v>
      </c>
      <c r="G97">
        <v>7.6763600000000003E-4</v>
      </c>
      <c r="H97">
        <v>1.80254E-4</v>
      </c>
      <c r="I97">
        <f>G97/$G$3*100</f>
        <v>96.023156556938218</v>
      </c>
      <c r="J97">
        <f>H97/$H$3*100</f>
        <v>100.81770996465167</v>
      </c>
      <c r="L97" s="5">
        <v>9.2495399999999997E-4</v>
      </c>
      <c r="M97" s="5">
        <v>1.9436099999999999E-4</v>
      </c>
      <c r="N97" s="4">
        <f>L97/$L$3*100</f>
        <v>94.842758267110995</v>
      </c>
      <c r="O97" s="4">
        <f>M97/$M$3*100</f>
        <v>106.0193316823582</v>
      </c>
      <c r="Q97">
        <f>AVERAGE(B97,G97,L97)</f>
        <v>8.2932433333333336E-4</v>
      </c>
      <c r="R97">
        <f>AVERAGE(C97,H97,M97)</f>
        <v>1.8515566666666667E-4</v>
      </c>
      <c r="T97">
        <f>AVERAGE(D97,I97,N97)</f>
        <v>95.240874980267975</v>
      </c>
      <c r="U97">
        <f>AVERAGE(E97,J97,O97)</f>
        <v>101.86473170447924</v>
      </c>
      <c r="W97">
        <f>_xlfn.STDEV.P(D97,I97,N97)</f>
        <v>0.55318593162720109</v>
      </c>
      <c r="X97">
        <f>_xlfn.STDEV.P(E97,J97,O97)</f>
        <v>3.0558140216901277</v>
      </c>
    </row>
    <row r="98" spans="1:24" x14ac:dyDescent="0.2">
      <c r="A98">
        <v>624.12199999999996</v>
      </c>
      <c r="B98">
        <v>7.9811900000000002E-4</v>
      </c>
      <c r="C98">
        <v>1.83616E-4</v>
      </c>
      <c r="D98">
        <f>B98/$B$3*100</f>
        <v>95.183003184219629</v>
      </c>
      <c r="E98">
        <f>C98/$C$3*100</f>
        <v>100.26648027609104</v>
      </c>
      <c r="G98">
        <v>7.7096300000000005E-4</v>
      </c>
      <c r="H98">
        <v>1.8214899999999999E-4</v>
      </c>
      <c r="I98">
        <f>G98/$G$3*100</f>
        <v>96.43932912032102</v>
      </c>
      <c r="J98">
        <f>H98/$H$3*100</f>
        <v>101.87760078750728</v>
      </c>
      <c r="L98" s="5">
        <v>9.2757500000000004E-4</v>
      </c>
      <c r="M98" s="5">
        <v>1.9592599999999999E-4</v>
      </c>
      <c r="N98" s="4">
        <f>L98/$L$3*100</f>
        <v>95.111509869264296</v>
      </c>
      <c r="O98" s="4">
        <f>M98/$M$3*100</f>
        <v>106.87300219281497</v>
      </c>
      <c r="Q98">
        <f>AVERAGE(B98,G98,L98)</f>
        <v>8.3221900000000004E-4</v>
      </c>
      <c r="R98">
        <f>AVERAGE(C98,H98,M98)</f>
        <v>1.8723033333333333E-4</v>
      </c>
      <c r="T98">
        <f>AVERAGE(D98,I98,N98)</f>
        <v>95.57794739126831</v>
      </c>
      <c r="U98">
        <f>AVERAGE(E98,J98,O98)</f>
        <v>103.00569441880442</v>
      </c>
      <c r="W98">
        <f>_xlfn.STDEV.P(D98,I98,N98)</f>
        <v>0.60978776957243963</v>
      </c>
      <c r="X98">
        <f>_xlfn.STDEV.P(E98,J98,O98)</f>
        <v>2.8125882966606013</v>
      </c>
    </row>
    <row r="99" spans="1:24" x14ac:dyDescent="0.2">
      <c r="A99">
        <v>630.39800000000002</v>
      </c>
      <c r="B99">
        <v>8.0007199999999998E-4</v>
      </c>
      <c r="C99">
        <v>1.8271100000000001E-4</v>
      </c>
      <c r="D99">
        <f>B99/$B$3*100</f>
        <v>95.415916327771882</v>
      </c>
      <c r="E99">
        <f>C99/$C$3*100</f>
        <v>99.772290419815647</v>
      </c>
      <c r="G99">
        <v>7.7353000000000003E-4</v>
      </c>
      <c r="H99">
        <v>1.79741E-4</v>
      </c>
      <c r="I99">
        <f>G99/$G$3*100</f>
        <v>96.760433710102717</v>
      </c>
      <c r="J99">
        <f>H99/$H$3*100</f>
        <v>100.53078437513983</v>
      </c>
      <c r="L99" s="5">
        <v>9.2965599999999995E-4</v>
      </c>
      <c r="M99" s="5">
        <v>1.9426600000000001E-4</v>
      </c>
      <c r="N99" s="4">
        <f>L99/$L$3*100</f>
        <v>95.324891053575996</v>
      </c>
      <c r="O99" s="4">
        <f>M99/$M$3*100</f>
        <v>105.96751142772985</v>
      </c>
      <c r="Q99">
        <f>AVERAGE(B99,G99,L99)</f>
        <v>8.3441933333333336E-4</v>
      </c>
      <c r="R99">
        <f>AVERAGE(C99,H99,M99)</f>
        <v>1.8557266666666667E-4</v>
      </c>
      <c r="T99">
        <f>AVERAGE(D99,I99,N99)</f>
        <v>95.833747030483536</v>
      </c>
      <c r="U99">
        <f>AVERAGE(E99,J99,O99)</f>
        <v>102.09019540756178</v>
      </c>
      <c r="W99">
        <f>_xlfn.STDEV.P(D99,I99,N99)</f>
        <v>0.6563193083519292</v>
      </c>
      <c r="X99">
        <f>_xlfn.STDEV.P(E99,J99,O99)</f>
        <v>2.7591076951621889</v>
      </c>
    </row>
    <row r="100" spans="1:24" x14ac:dyDescent="0.2">
      <c r="A100">
        <v>636.58100000000002</v>
      </c>
      <c r="B100">
        <v>8.0436899999999998E-4</v>
      </c>
      <c r="C100">
        <v>1.8553800000000001E-4</v>
      </c>
      <c r="D100">
        <f>B100/$B$3*100</f>
        <v>95.928372947251674</v>
      </c>
      <c r="E100">
        <f>C100/$C$3*100</f>
        <v>101.31601939626928</v>
      </c>
      <c r="G100">
        <v>7.7092299999999996E-4</v>
      </c>
      <c r="H100">
        <v>1.6912599999999999E-4</v>
      </c>
      <c r="I100">
        <f>G100/$G$3*100</f>
        <v>96.434325542763062</v>
      </c>
      <c r="J100">
        <f>H100/$H$3*100</f>
        <v>94.593717839724377</v>
      </c>
      <c r="L100" s="5">
        <v>9.3356000000000005E-4</v>
      </c>
      <c r="M100" s="5">
        <v>1.9471500000000001E-4</v>
      </c>
      <c r="N100" s="4">
        <f>L100/$L$3*100</f>
        <v>95.72519866700847</v>
      </c>
      <c r="O100" s="4">
        <f>M100/$M$3*100</f>
        <v>106.21243031539443</v>
      </c>
      <c r="Q100">
        <f>AVERAGE(B100,G100,L100)</f>
        <v>8.3628399999999996E-4</v>
      </c>
      <c r="R100">
        <f>AVERAGE(C100,H100,M100)</f>
        <v>1.8312633333333333E-4</v>
      </c>
      <c r="T100">
        <f>AVERAGE(D100,I100,N100)</f>
        <v>96.029299052341074</v>
      </c>
      <c r="U100">
        <f>AVERAGE(E100,J100,O100)</f>
        <v>100.70738918379602</v>
      </c>
      <c r="W100">
        <f>_xlfn.STDEV.P(D100,I100,N100)</f>
        <v>0.29816638587177441</v>
      </c>
      <c r="X100">
        <f>_xlfn.STDEV.P(E100,J100,O100)</f>
        <v>4.7628033026586456</v>
      </c>
    </row>
    <row r="101" spans="1:24" x14ac:dyDescent="0.2">
      <c r="A101">
        <v>642.83500000000004</v>
      </c>
      <c r="B101">
        <v>8.0671200000000001E-4</v>
      </c>
      <c r="C101">
        <v>1.8368200000000001E-4</v>
      </c>
      <c r="D101">
        <f>B101/$B$3*100</f>
        <v>96.207797164017123</v>
      </c>
      <c r="E101">
        <f>C101/$C$3*100</f>
        <v>100.30252064130008</v>
      </c>
      <c r="G101">
        <v>7.7493899999999999E-4</v>
      </c>
      <c r="H101">
        <v>1.7428300000000001E-4</v>
      </c>
      <c r="I101">
        <f>G101/$G$3*100</f>
        <v>96.936684729581643</v>
      </c>
      <c r="J101">
        <f>H101/$H$3*100</f>
        <v>97.478075081659142</v>
      </c>
      <c r="L101" s="5">
        <v>9.3572299999999996E-4</v>
      </c>
      <c r="M101" s="5">
        <v>1.9169799999999999E-4</v>
      </c>
      <c r="N101" s="4">
        <f>L101/$L$3*100</f>
        <v>95.94698795180723</v>
      </c>
      <c r="O101" s="4">
        <f>M101/$M$3*100</f>
        <v>104.56672812367039</v>
      </c>
      <c r="Q101">
        <f>AVERAGE(B101,G101,L101)</f>
        <v>8.3912466666666654E-4</v>
      </c>
      <c r="R101">
        <f>AVERAGE(C101,H101,M101)</f>
        <v>1.8322100000000001E-4</v>
      </c>
      <c r="T101">
        <f>AVERAGE(D101,I101,N101)</f>
        <v>96.363823281801999</v>
      </c>
      <c r="U101">
        <f>AVERAGE(E101,J101,O101)</f>
        <v>100.78244128220986</v>
      </c>
      <c r="W101">
        <f>_xlfn.STDEV.P(D101,I101,N101)</f>
        <v>0.41883412791344865</v>
      </c>
      <c r="X101">
        <f>_xlfn.STDEV.P(E101,J101,O101)</f>
        <v>2.913759696529814</v>
      </c>
    </row>
    <row r="102" spans="1:24" x14ac:dyDescent="0.2">
      <c r="A102">
        <v>649.06100000000004</v>
      </c>
      <c r="B102">
        <v>8.0991500000000003E-4</v>
      </c>
      <c r="C102">
        <v>1.85553E-4</v>
      </c>
      <c r="D102">
        <f>B102/$B$3*100</f>
        <v>96.58978426017579</v>
      </c>
      <c r="E102">
        <f>C102/$C$3*100</f>
        <v>101.32421038836223</v>
      </c>
      <c r="G102">
        <v>7.7840199999999998E-4</v>
      </c>
      <c r="H102">
        <v>1.74635E-4</v>
      </c>
      <c r="I102">
        <f>G102/$G$3*100</f>
        <v>97.369869456661505</v>
      </c>
      <c r="J102">
        <f>H102/$H$3*100</f>
        <v>97.674951899413841</v>
      </c>
      <c r="L102" s="5">
        <v>9.3782700000000002E-4</v>
      </c>
      <c r="M102" s="5">
        <v>1.93976E-4</v>
      </c>
      <c r="N102" s="4">
        <f>L102/$L$3*100</f>
        <v>96.162727505767748</v>
      </c>
      <c r="O102" s="4">
        <f>M102/$M$3*100</f>
        <v>105.80932328202218</v>
      </c>
      <c r="Q102">
        <f>AVERAGE(B102,G102,L102)</f>
        <v>8.4204800000000008E-4</v>
      </c>
      <c r="R102">
        <f>AVERAGE(C102,H102,M102)</f>
        <v>1.8472133333333334E-4</v>
      </c>
      <c r="T102">
        <f>AVERAGE(D102,I102,N102)</f>
        <v>96.707460407535009</v>
      </c>
      <c r="U102">
        <f>AVERAGE(E102,J102,O102)</f>
        <v>101.60282852326607</v>
      </c>
      <c r="W102">
        <f>_xlfn.STDEV.P(D102,I102,N102)</f>
        <v>0.49978907494053831</v>
      </c>
      <c r="X102">
        <f>_xlfn.STDEV.P(E102,J102,O102)</f>
        <v>3.3266820804291211</v>
      </c>
    </row>
    <row r="103" spans="1:24" x14ac:dyDescent="0.2">
      <c r="A103">
        <v>655.28099999999995</v>
      </c>
      <c r="B103">
        <v>8.1309899999999996E-4</v>
      </c>
      <c r="C103">
        <v>1.8635900000000001E-4</v>
      </c>
      <c r="D103">
        <f>B103/$B$3*100</f>
        <v>96.969505432254834</v>
      </c>
      <c r="E103">
        <f>C103/$C$3*100</f>
        <v>101.76433969682408</v>
      </c>
      <c r="G103">
        <v>7.8012700000000003E-4</v>
      </c>
      <c r="H103">
        <v>1.7012400000000001E-4</v>
      </c>
      <c r="I103">
        <f>G103/$G$3*100</f>
        <v>97.585648738848278</v>
      </c>
      <c r="J103">
        <f>H103/$H$3*100</f>
        <v>95.151908362790294</v>
      </c>
      <c r="L103" s="5">
        <v>9.4157699999999997E-4</v>
      </c>
      <c r="M103" s="5">
        <v>1.9304700000000001E-4</v>
      </c>
      <c r="N103" s="4">
        <f>L103/$L$3*100</f>
        <v>96.54724429633427</v>
      </c>
      <c r="O103" s="4">
        <f>M103/$M$3*100</f>
        <v>105.30257573939321</v>
      </c>
      <c r="Q103">
        <f>AVERAGE(B103,G103,L103)</f>
        <v>8.4493433333333336E-4</v>
      </c>
      <c r="R103">
        <f>AVERAGE(C103,H103,M103)</f>
        <v>1.8317666666666668E-4</v>
      </c>
      <c r="T103">
        <f>AVERAGE(D103,I103,N103)</f>
        <v>97.034132822479137</v>
      </c>
      <c r="U103">
        <f>AVERAGE(E103,J103,O103)</f>
        <v>100.73960793300252</v>
      </c>
      <c r="W103">
        <f>_xlfn.STDEV.P(D103,I103,N103)</f>
        <v>0.42638282582174825</v>
      </c>
      <c r="X103">
        <f>_xlfn.STDEV.P(E103,J103,O103)</f>
        <v>4.2068649006472167</v>
      </c>
    </row>
    <row r="104" spans="1:24" x14ac:dyDescent="0.2">
      <c r="A104">
        <v>661.45299999999997</v>
      </c>
      <c r="B104">
        <v>8.1494499999999997E-4</v>
      </c>
      <c r="C104">
        <v>1.83618E-4</v>
      </c>
      <c r="D104">
        <f>B104/$B$3*100</f>
        <v>97.189657845463969</v>
      </c>
      <c r="E104">
        <f>C104/$C$3*100</f>
        <v>100.2675724083701</v>
      </c>
      <c r="G104">
        <v>7.79891E-4</v>
      </c>
      <c r="H104">
        <v>1.6927899999999999E-4</v>
      </c>
      <c r="I104">
        <f>G104/$G$3*100</f>
        <v>97.556127631256345</v>
      </c>
      <c r="J104">
        <f>H104/$H$3*100</f>
        <v>94.679292138350718</v>
      </c>
      <c r="L104" s="5">
        <v>9.4399700000000002E-4</v>
      </c>
      <c r="M104" s="5">
        <v>1.95174E-4</v>
      </c>
      <c r="N104" s="4">
        <f>L104/$L$3*100</f>
        <v>96.795385798513195</v>
      </c>
      <c r="O104" s="4">
        <f>M104/$M$3*100</f>
        <v>106.46280396670412</v>
      </c>
      <c r="Q104">
        <f>AVERAGE(B104,G104,L104)</f>
        <v>8.4627766666666663E-4</v>
      </c>
      <c r="R104">
        <f>AVERAGE(C104,H104,M104)</f>
        <v>1.8269033333333335E-4</v>
      </c>
      <c r="T104">
        <f>AVERAGE(D104,I104,N104)</f>
        <v>97.180390425077846</v>
      </c>
      <c r="U104">
        <f>AVERAGE(E104,J104,O104)</f>
        <v>100.46988950447496</v>
      </c>
      <c r="W104">
        <f>_xlfn.STDEV.P(D104,I104,N104)</f>
        <v>0.31064067970546699</v>
      </c>
      <c r="X104">
        <f>_xlfn.STDEV.P(E104,J104,O104)</f>
        <v>4.812725278382187</v>
      </c>
    </row>
    <row r="105" spans="1:24" x14ac:dyDescent="0.2">
      <c r="A105">
        <v>667.70500000000004</v>
      </c>
      <c r="B105">
        <v>8.1511799999999998E-4</v>
      </c>
      <c r="C105">
        <v>1.8157199999999999E-4</v>
      </c>
      <c r="D105">
        <f>B105/$B$3*100</f>
        <v>97.210289680504701</v>
      </c>
      <c r="E105">
        <f>C105/$C$3*100</f>
        <v>99.150321086890031</v>
      </c>
      <c r="G105">
        <v>7.8235800000000003E-4</v>
      </c>
      <c r="H105">
        <v>1.6658800000000001E-4</v>
      </c>
      <c r="I105">
        <f>G105/$G$3*100</f>
        <v>97.864723277143156</v>
      </c>
      <c r="J105">
        <f>H105/$H$3*100</f>
        <v>93.174191238981621</v>
      </c>
      <c r="L105" s="5">
        <v>9.4703300000000001E-4</v>
      </c>
      <c r="M105" s="5">
        <v>1.9571200000000001E-4</v>
      </c>
      <c r="N105" s="4">
        <f>L105/$L$3*100</f>
        <v>97.106690592155871</v>
      </c>
      <c r="O105" s="4">
        <f>M105/$M$3*100</f>
        <v>106.75627025081002</v>
      </c>
      <c r="Q105">
        <f>AVERAGE(B105,G105,L105)</f>
        <v>8.481696666666666E-4</v>
      </c>
      <c r="R105">
        <f>AVERAGE(C105,H105,M105)</f>
        <v>1.8129066666666669E-4</v>
      </c>
      <c r="T105">
        <f>AVERAGE(D105,I105,N105)</f>
        <v>97.393901183267914</v>
      </c>
      <c r="U105">
        <f>AVERAGE(E105,J105,O105)</f>
        <v>99.693594192227224</v>
      </c>
      <c r="W105">
        <f>_xlfn.STDEV.P(D105,I105,N105)</f>
        <v>0.33559725449560401</v>
      </c>
      <c r="X105">
        <f>_xlfn.STDEV.P(E105,J105,O105)</f>
        <v>5.5581517804107277</v>
      </c>
    </row>
    <row r="106" spans="1:24" x14ac:dyDescent="0.2">
      <c r="A106">
        <v>673.85199999999998</v>
      </c>
      <c r="B106">
        <v>8.1712099999999997E-4</v>
      </c>
      <c r="C106">
        <v>1.8348600000000001E-4</v>
      </c>
      <c r="D106">
        <f>B106/$B$3*100</f>
        <v>97.449165782161202</v>
      </c>
      <c r="E106">
        <f>C106/$C$3*100</f>
        <v>100.19549167795203</v>
      </c>
      <c r="G106">
        <v>7.8375799999999996E-4</v>
      </c>
      <c r="H106">
        <v>1.68682E-4</v>
      </c>
      <c r="I106">
        <f>G106/$G$3*100</f>
        <v>98.039848491671535</v>
      </c>
      <c r="J106">
        <f>H106/$H$3*100</f>
        <v>94.3453845809656</v>
      </c>
      <c r="L106" s="5">
        <v>9.4898300000000003E-4</v>
      </c>
      <c r="M106" s="5">
        <v>1.9474600000000001E-4</v>
      </c>
      <c r="N106" s="4">
        <f>L106/$L$3*100</f>
        <v>97.306639323250451</v>
      </c>
      <c r="O106" s="4">
        <f>M106/$M$3*100</f>
        <v>106.22934008269422</v>
      </c>
      <c r="Q106">
        <f>AVERAGE(B106,G106,L106)</f>
        <v>8.4995399999999999E-4</v>
      </c>
      <c r="R106">
        <f>AVERAGE(C106,H106,M106)</f>
        <v>1.8230466666666666E-4</v>
      </c>
      <c r="T106">
        <f>AVERAGE(D106,I106,N106)</f>
        <v>97.598551199027725</v>
      </c>
      <c r="U106">
        <f>AVERAGE(E106,J106,O106)</f>
        <v>100.2567387805373</v>
      </c>
      <c r="W106">
        <f>_xlfn.STDEV.P(D106,I106,N106)</f>
        <v>0.31742287592786361</v>
      </c>
      <c r="X106">
        <f>_xlfn.STDEV.P(E106,J106,O106)</f>
        <v>4.8517978109458086</v>
      </c>
    </row>
    <row r="107" spans="1:24" x14ac:dyDescent="0.2">
      <c r="A107">
        <v>680.23400000000004</v>
      </c>
      <c r="B107">
        <v>8.1717200000000002E-4</v>
      </c>
      <c r="C107">
        <v>1.8184599999999999E-4</v>
      </c>
      <c r="D107">
        <f>B107/$B$3*100</f>
        <v>97.45524799942757</v>
      </c>
      <c r="E107">
        <f>C107/$C$3*100</f>
        <v>99.29994320912148</v>
      </c>
      <c r="G107">
        <v>7.8594899999999998E-4</v>
      </c>
      <c r="H107">
        <v>1.6957800000000001E-4</v>
      </c>
      <c r="I107">
        <f>G107/$G$3*100</f>
        <v>98.313919452408456</v>
      </c>
      <c r="J107">
        <f>H107/$H$3*100</f>
        <v>94.846525571613952</v>
      </c>
      <c r="L107" s="5">
        <v>9.5049100000000003E-4</v>
      </c>
      <c r="M107" s="5">
        <v>1.96009E-4</v>
      </c>
      <c r="N107" s="4">
        <f>L107/$L$3*100</f>
        <v>97.461266341963608</v>
      </c>
      <c r="O107" s="4">
        <f>M107/$M$3*100</f>
        <v>106.91827673106924</v>
      </c>
      <c r="Q107">
        <f>AVERAGE(B107,G107,L107)</f>
        <v>8.5120399999999994E-4</v>
      </c>
      <c r="R107">
        <f>AVERAGE(C107,H107,M107)</f>
        <v>1.8247766666666668E-4</v>
      </c>
      <c r="T107">
        <f>AVERAGE(D107,I107,N107)</f>
        <v>97.743477931266554</v>
      </c>
      <c r="U107">
        <f>AVERAGE(E107,J107,O107)</f>
        <v>100.35491517060156</v>
      </c>
      <c r="W107">
        <f>_xlfn.STDEV.P(D107,I107,N107)</f>
        <v>0.40337055081214801</v>
      </c>
      <c r="X107">
        <f>_xlfn.STDEV.P(E107,J107,O107)</f>
        <v>4.9844102555591183</v>
      </c>
    </row>
    <row r="108" spans="1:24" x14ac:dyDescent="0.2">
      <c r="A108">
        <v>686.39200000000005</v>
      </c>
      <c r="B108">
        <v>8.1808399999999996E-4</v>
      </c>
      <c r="C108">
        <v>1.79228E-4</v>
      </c>
      <c r="D108">
        <f>B108/$B$3*100</f>
        <v>97.56401235524919</v>
      </c>
      <c r="E108">
        <f>C108/$C$3*100</f>
        <v>97.870342055829795</v>
      </c>
      <c r="G108">
        <v>7.8796499999999995E-4</v>
      </c>
      <c r="H108">
        <v>1.7315899999999999E-4</v>
      </c>
      <c r="I108">
        <f>G108/$G$3*100</f>
        <v>98.56609976132934</v>
      </c>
      <c r="J108">
        <f>H108/$H$3*100</f>
        <v>96.849411606783292</v>
      </c>
      <c r="L108" s="5">
        <v>9.5205799999999998E-4</v>
      </c>
      <c r="M108" s="5">
        <v>1.9497899999999999E-4</v>
      </c>
      <c r="N108" s="4">
        <f>L108/$L$3*100</f>
        <v>97.621943091514993</v>
      </c>
      <c r="O108" s="4">
        <f>M108/$M$3*100</f>
        <v>106.35643607562484</v>
      </c>
      <c r="Q108">
        <f>AVERAGE(B108,G108,L108)</f>
        <v>8.5270233333333337E-4</v>
      </c>
      <c r="R108">
        <f>AVERAGE(C108,H108,M108)</f>
        <v>1.8245533333333333E-4</v>
      </c>
      <c r="T108">
        <f>AVERAGE(D108,I108,N108)</f>
        <v>97.917351736031165</v>
      </c>
      <c r="U108">
        <f>AVERAGE(E108,J108,O108)</f>
        <v>100.35872991274597</v>
      </c>
      <c r="W108">
        <f>_xlfn.STDEV.P(D108,I108,N108)</f>
        <v>0.45934336670024739</v>
      </c>
      <c r="X108">
        <f>_xlfn.STDEV.P(E108,J108,O108)</f>
        <v>4.2614500003030207</v>
      </c>
    </row>
    <row r="109" spans="1:24" x14ac:dyDescent="0.2">
      <c r="A109">
        <v>692.49400000000003</v>
      </c>
      <c r="B109">
        <v>8.2101299999999999E-4</v>
      </c>
      <c r="C109">
        <v>1.8016399999999999E-4</v>
      </c>
      <c r="D109">
        <f>B109/$B$3*100</f>
        <v>97.913322440996524</v>
      </c>
      <c r="E109">
        <f>C109/$C$3*100</f>
        <v>98.38145996243064</v>
      </c>
      <c r="G109">
        <v>7.8855799999999997E-4</v>
      </c>
      <c r="H109">
        <v>1.7040499999999999E-4</v>
      </c>
      <c r="I109">
        <f>G109/$G$3*100</f>
        <v>98.640277798626002</v>
      </c>
      <c r="J109">
        <f>H109/$H$3*100</f>
        <v>95.309074231509243</v>
      </c>
      <c r="L109" s="5">
        <v>9.5301200000000004E-4</v>
      </c>
      <c r="M109" s="5">
        <v>1.95052E-4</v>
      </c>
      <c r="N109" s="4">
        <f>L109/$L$3*100</f>
        <v>97.719764163035123</v>
      </c>
      <c r="O109" s="4">
        <f>M109/$M$3*100</f>
        <v>106.396255850234</v>
      </c>
      <c r="Q109">
        <f>AVERAGE(B109,G109,L109)</f>
        <v>8.5419433333333344E-4</v>
      </c>
      <c r="R109">
        <f>AVERAGE(C109,H109,M109)</f>
        <v>1.8187366666666668E-4</v>
      </c>
      <c r="T109">
        <f>AVERAGE(D109,I109,N109)</f>
        <v>98.091121467552554</v>
      </c>
      <c r="U109">
        <f>AVERAGE(E109,J109,O109)</f>
        <v>100.02893001472462</v>
      </c>
      <c r="W109">
        <f>_xlfn.STDEV.P(D109,I109,N109)</f>
        <v>0.39627070605028514</v>
      </c>
      <c r="X109">
        <f>_xlfn.STDEV.P(E109,J109,O109)</f>
        <v>4.6738290684442161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4241-225D-45F4-A886-D42BCDF4A09B}">
  <dimension ref="A1:X109"/>
  <sheetViews>
    <sheetView topLeftCell="U11" workbookViewId="0">
      <selection activeCell="Y4" sqref="Y4"/>
    </sheetView>
  </sheetViews>
  <sheetFormatPr baseColWidth="10" defaultColWidth="8.83203125" defaultRowHeight="15" x14ac:dyDescent="0.2"/>
  <cols>
    <col min="1" max="1" width="9.5" bestFit="1" customWidth="1"/>
    <col min="4" max="5" width="12.5" customWidth="1"/>
    <col min="9" max="10" width="12.5" customWidth="1"/>
    <col min="14" max="15" width="12.5" customWidth="1"/>
    <col min="16" max="16" width="8.83203125" style="1"/>
    <col min="17" max="18" width="11.83203125" bestFit="1" customWidth="1"/>
    <col min="20" max="21" width="11.83203125" bestFit="1" customWidth="1"/>
    <col min="23" max="24" width="9.5" bestFit="1" customWidth="1"/>
  </cols>
  <sheetData>
    <row r="1" spans="1:24" ht="32" x14ac:dyDescent="0.2">
      <c r="A1" s="2" t="s">
        <v>5</v>
      </c>
      <c r="B1" s="2" t="s">
        <v>0</v>
      </c>
      <c r="C1" s="2" t="s">
        <v>1</v>
      </c>
      <c r="D1" t="s">
        <v>11</v>
      </c>
      <c r="E1" t="s">
        <v>12</v>
      </c>
      <c r="G1" s="2" t="s">
        <v>0</v>
      </c>
      <c r="H1" s="2" t="s">
        <v>1</v>
      </c>
      <c r="I1" t="s">
        <v>11</v>
      </c>
      <c r="J1" t="s">
        <v>12</v>
      </c>
      <c r="L1" s="2" t="s">
        <v>0</v>
      </c>
      <c r="M1" s="2" t="s">
        <v>1</v>
      </c>
      <c r="N1" t="s">
        <v>11</v>
      </c>
      <c r="O1" t="s">
        <v>12</v>
      </c>
      <c r="Q1" t="s">
        <v>3</v>
      </c>
      <c r="R1" t="s">
        <v>4</v>
      </c>
      <c r="T1" t="s">
        <v>9</v>
      </c>
      <c r="U1" t="s">
        <v>10</v>
      </c>
      <c r="W1" t="s">
        <v>7</v>
      </c>
      <c r="X1" t="s">
        <v>8</v>
      </c>
    </row>
    <row r="2" spans="1:24" ht="16" x14ac:dyDescent="0.2">
      <c r="A2" s="2" t="s">
        <v>6</v>
      </c>
      <c r="B2" s="2" t="s">
        <v>2</v>
      </c>
      <c r="C2" s="2" t="s">
        <v>2</v>
      </c>
      <c r="D2" t="s">
        <v>2</v>
      </c>
      <c r="E2" t="s">
        <v>2</v>
      </c>
      <c r="G2" s="2" t="s">
        <v>2</v>
      </c>
      <c r="H2" s="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2">
      <c r="A3" s="3">
        <v>6.1608999999999998</v>
      </c>
      <c r="B3" s="5">
        <v>7.7557799999999997E-4</v>
      </c>
      <c r="C3" s="5">
        <v>1.8880599999999999E-4</v>
      </c>
      <c r="D3">
        <f>B3/$B$3*100</f>
        <v>100</v>
      </c>
      <c r="E3">
        <f>C3/$C$3*100</f>
        <v>100</v>
      </c>
      <c r="G3" s="5">
        <v>6.9233100000000002E-4</v>
      </c>
      <c r="H3" s="5">
        <v>1.6295799999999999E-4</v>
      </c>
      <c r="I3" s="4">
        <f>G3/$G$3*100</f>
        <v>100</v>
      </c>
      <c r="J3" s="4">
        <f>H3/$H$3*100</f>
        <v>100</v>
      </c>
      <c r="L3" s="5">
        <v>1.13937E-3</v>
      </c>
      <c r="M3" s="5">
        <v>1.96376E-4</v>
      </c>
      <c r="N3" s="4">
        <f>L3/$L$3*100</f>
        <v>100</v>
      </c>
      <c r="O3" s="4">
        <f>M3/$M$3*100</f>
        <v>100</v>
      </c>
      <c r="Q3">
        <f t="shared" ref="Q3:Q66" si="0">AVERAGE(B3,G3,L3)</f>
        <v>8.6909299999999993E-4</v>
      </c>
      <c r="R3">
        <f t="shared" ref="R3:R66" si="1">AVERAGE(C3,H3,M3)</f>
        <v>1.827133333333333E-4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2">
      <c r="A4" s="3">
        <v>12.3779</v>
      </c>
      <c r="B4" s="5">
        <v>7.9058000000000004E-4</v>
      </c>
      <c r="C4" s="5">
        <v>1.8767799999999999E-4</v>
      </c>
      <c r="D4">
        <f t="shared" ref="D4:D67" si="2">B4/$B$3*100</f>
        <v>101.93429932256977</v>
      </c>
      <c r="E4">
        <f t="shared" ref="E4:E67" si="3">C4/$C$3*100</f>
        <v>99.402561359278835</v>
      </c>
      <c r="G4" s="5">
        <v>7.1278400000000005E-4</v>
      </c>
      <c r="H4" s="5">
        <v>1.6596199999999999E-4</v>
      </c>
      <c r="I4" s="4">
        <f t="shared" ref="I4:I67" si="4">G4/$G$3*100</f>
        <v>102.9542227633892</v>
      </c>
      <c r="J4" s="4">
        <f t="shared" ref="J4:J67" si="5">H4/$H$3*100</f>
        <v>101.84341977687504</v>
      </c>
      <c r="L4" s="5">
        <v>1.1587699999999999E-3</v>
      </c>
      <c r="M4" s="5">
        <v>1.9643899999999999E-4</v>
      </c>
      <c r="N4" s="4">
        <f t="shared" ref="N4:N67" si="6">L4/$L$3*100</f>
        <v>101.7026953491842</v>
      </c>
      <c r="O4" s="4">
        <f t="shared" ref="O4:O67" si="7">M4/$M$3*100</f>
        <v>100.03208131339878</v>
      </c>
      <c r="Q4">
        <f t="shared" si="0"/>
        <v>8.8737799999999997E-4</v>
      </c>
      <c r="R4">
        <f t="shared" si="1"/>
        <v>1.8335966666666666E-4</v>
      </c>
      <c r="T4">
        <f t="shared" ref="T4:T67" si="8">AVERAGE(D4,I4,N4)</f>
        <v>102.19707247838106</v>
      </c>
      <c r="U4">
        <f t="shared" ref="U4:U67" si="9">AVERAGE(E4,J4,O4)</f>
        <v>100.42602081651755</v>
      </c>
      <c r="W4">
        <f t="shared" ref="W4:W67" si="10">_xlfn.STDEV.P(D4,I4,N4)</f>
        <v>0.54367117248567909</v>
      </c>
      <c r="X4">
        <f t="shared" ref="X4:X67" si="11">_xlfn.STDEV.P(E4,J4,O4)</f>
        <v>1.0346782761727304</v>
      </c>
    </row>
    <row r="5" spans="1:24" x14ac:dyDescent="0.2">
      <c r="A5" s="3">
        <v>18.584199999999999</v>
      </c>
      <c r="B5" s="5">
        <v>8.0926399999999997E-4</v>
      </c>
      <c r="C5" s="5">
        <v>1.87216E-4</v>
      </c>
      <c r="D5">
        <f t="shared" si="2"/>
        <v>104.34334135315855</v>
      </c>
      <c r="E5">
        <f t="shared" si="3"/>
        <v>99.15786574579198</v>
      </c>
      <c r="G5" s="5">
        <v>7.3182E-4</v>
      </c>
      <c r="H5" s="5">
        <v>1.69586E-4</v>
      </c>
      <c r="I5" s="4">
        <f t="shared" si="4"/>
        <v>105.70377463958714</v>
      </c>
      <c r="J5" s="4">
        <f t="shared" si="5"/>
        <v>104.06730568612772</v>
      </c>
      <c r="L5" s="5">
        <v>1.1747699999999999E-3</v>
      </c>
      <c r="M5" s="5">
        <v>1.9943200000000001E-4</v>
      </c>
      <c r="N5" s="4">
        <f t="shared" si="6"/>
        <v>103.10698017325363</v>
      </c>
      <c r="O5" s="4">
        <f t="shared" si="7"/>
        <v>101.55619831343952</v>
      </c>
      <c r="Q5">
        <f t="shared" si="0"/>
        <v>9.0528466666666655E-4</v>
      </c>
      <c r="R5">
        <f t="shared" si="1"/>
        <v>1.8541133333333337E-4</v>
      </c>
      <c r="T5">
        <f t="shared" si="8"/>
        <v>104.38469872199977</v>
      </c>
      <c r="U5">
        <f t="shared" si="9"/>
        <v>101.59378991511976</v>
      </c>
      <c r="W5">
        <f t="shared" si="10"/>
        <v>1.060540176533695</v>
      </c>
      <c r="X5">
        <f t="shared" si="11"/>
        <v>2.0044467197256908</v>
      </c>
    </row>
    <row r="6" spans="1:24" x14ac:dyDescent="0.2">
      <c r="A6" s="3">
        <v>24.814599999999999</v>
      </c>
      <c r="B6" s="5">
        <v>8.2186E-4</v>
      </c>
      <c r="C6" s="5">
        <v>1.9059799999999999E-4</v>
      </c>
      <c r="D6">
        <f t="shared" si="2"/>
        <v>105.96742042708793</v>
      </c>
      <c r="E6">
        <f t="shared" si="3"/>
        <v>100.9491223795854</v>
      </c>
      <c r="G6" s="5">
        <v>7.5295699999999995E-4</v>
      </c>
      <c r="H6" s="5">
        <v>1.6829E-4</v>
      </c>
      <c r="I6" s="4">
        <f t="shared" si="4"/>
        <v>108.75679407682162</v>
      </c>
      <c r="J6" s="4">
        <f t="shared" si="5"/>
        <v>103.27200873844795</v>
      </c>
      <c r="L6" s="5">
        <v>1.1983899999999999E-3</v>
      </c>
      <c r="M6" s="5">
        <v>2.00621E-4</v>
      </c>
      <c r="N6" s="4">
        <f t="shared" si="6"/>
        <v>105.18005564478614</v>
      </c>
      <c r="O6" s="4">
        <f t="shared" si="7"/>
        <v>102.16166945044201</v>
      </c>
      <c r="Q6">
        <f t="shared" si="0"/>
        <v>9.2440233333333322E-4</v>
      </c>
      <c r="R6">
        <f t="shared" si="1"/>
        <v>1.86503E-4</v>
      </c>
      <c r="T6">
        <f t="shared" si="8"/>
        <v>106.63475671623189</v>
      </c>
      <c r="U6">
        <f t="shared" si="9"/>
        <v>102.12760018949179</v>
      </c>
      <c r="W6">
        <f t="shared" si="10"/>
        <v>1.534550475960575</v>
      </c>
      <c r="X6">
        <f t="shared" si="11"/>
        <v>0.94862032972582377</v>
      </c>
    </row>
    <row r="7" spans="1:24" x14ac:dyDescent="0.2">
      <c r="A7" s="3">
        <v>30.955500000000001</v>
      </c>
      <c r="B7" s="5">
        <v>8.3539200000000001E-4</v>
      </c>
      <c r="C7" s="5">
        <v>1.92172E-4</v>
      </c>
      <c r="D7">
        <f t="shared" si="2"/>
        <v>107.71218368752081</v>
      </c>
      <c r="E7">
        <f t="shared" si="3"/>
        <v>101.78278232683284</v>
      </c>
      <c r="G7" s="5">
        <v>7.7565999999999996E-4</v>
      </c>
      <c r="H7" s="5">
        <v>1.74866E-4</v>
      </c>
      <c r="I7" s="4">
        <f t="shared" si="4"/>
        <v>112.03600589891249</v>
      </c>
      <c r="J7" s="4">
        <f t="shared" si="5"/>
        <v>107.30740436186012</v>
      </c>
      <c r="L7" s="5">
        <v>1.21623E-3</v>
      </c>
      <c r="M7" s="5">
        <v>2.0504900000000001E-4</v>
      </c>
      <c r="N7" s="4">
        <f t="shared" si="6"/>
        <v>106.74583322362359</v>
      </c>
      <c r="O7" s="4">
        <f t="shared" si="7"/>
        <v>104.41652747789954</v>
      </c>
      <c r="Q7">
        <f t="shared" si="0"/>
        <v>9.4242733333333329E-4</v>
      </c>
      <c r="R7">
        <f t="shared" si="1"/>
        <v>1.9069566666666667E-4</v>
      </c>
      <c r="T7">
        <f t="shared" si="8"/>
        <v>108.83134093668563</v>
      </c>
      <c r="U7">
        <f t="shared" si="9"/>
        <v>104.50223805553082</v>
      </c>
      <c r="W7">
        <f t="shared" si="10"/>
        <v>2.3001255682914303</v>
      </c>
      <c r="X7">
        <f t="shared" si="11"/>
        <v>2.2562316495749655</v>
      </c>
    </row>
    <row r="8" spans="1:24" x14ac:dyDescent="0.2">
      <c r="A8" s="3">
        <v>37.193899999999999</v>
      </c>
      <c r="B8" s="5">
        <v>8.5028999999999997E-4</v>
      </c>
      <c r="C8" s="5">
        <v>1.93931E-4</v>
      </c>
      <c r="D8">
        <f t="shared" si="2"/>
        <v>109.63307365603458</v>
      </c>
      <c r="E8">
        <f t="shared" si="3"/>
        <v>102.71442644831204</v>
      </c>
      <c r="G8" s="5">
        <v>7.9360599999999998E-4</v>
      </c>
      <c r="H8" s="5">
        <v>1.7909600000000001E-4</v>
      </c>
      <c r="I8" s="4">
        <f t="shared" si="4"/>
        <v>114.62811863111719</v>
      </c>
      <c r="J8" s="4">
        <f t="shared" si="5"/>
        <v>109.90316523275938</v>
      </c>
      <c r="L8" s="5">
        <v>1.2322100000000001E-3</v>
      </c>
      <c r="M8" s="5">
        <v>2.0470500000000001E-4</v>
      </c>
      <c r="N8" s="4">
        <f t="shared" si="6"/>
        <v>108.14836269166295</v>
      </c>
      <c r="O8" s="4">
        <f t="shared" si="7"/>
        <v>104.24135332219824</v>
      </c>
      <c r="Q8">
        <f t="shared" si="0"/>
        <v>9.5870199999999997E-4</v>
      </c>
      <c r="R8">
        <f t="shared" si="1"/>
        <v>1.9257733333333336E-4</v>
      </c>
      <c r="T8">
        <f t="shared" si="8"/>
        <v>110.80318499293826</v>
      </c>
      <c r="U8">
        <f t="shared" si="9"/>
        <v>105.61964833442322</v>
      </c>
      <c r="W8">
        <f t="shared" si="10"/>
        <v>2.7717238515992131</v>
      </c>
      <c r="X8">
        <f t="shared" si="11"/>
        <v>3.0923846443909642</v>
      </c>
    </row>
    <row r="9" spans="1:24" x14ac:dyDescent="0.2">
      <c r="A9" s="3">
        <v>43.328000000000003</v>
      </c>
      <c r="B9" s="5">
        <v>8.6897899999999998E-4</v>
      </c>
      <c r="C9" s="5">
        <v>1.9551700000000001E-4</v>
      </c>
      <c r="D9">
        <f t="shared" si="2"/>
        <v>112.04276036710685</v>
      </c>
      <c r="E9">
        <f t="shared" si="3"/>
        <v>103.55444212577991</v>
      </c>
      <c r="G9" s="5">
        <v>8.1747500000000002E-4</v>
      </c>
      <c r="H9" s="5">
        <v>1.8073699999999999E-4</v>
      </c>
      <c r="I9" s="4">
        <f t="shared" si="4"/>
        <v>118.07574700540637</v>
      </c>
      <c r="J9" s="4">
        <f t="shared" si="5"/>
        <v>110.91017317345573</v>
      </c>
      <c r="L9" s="5">
        <v>1.24592E-3</v>
      </c>
      <c r="M9" s="5">
        <v>2.0666200000000001E-4</v>
      </c>
      <c r="N9" s="4">
        <f t="shared" si="6"/>
        <v>109.35165925028743</v>
      </c>
      <c r="O9" s="4">
        <f t="shared" si="7"/>
        <v>105.23791094634782</v>
      </c>
      <c r="Q9">
        <f t="shared" si="0"/>
        <v>9.7745799999999984E-4</v>
      </c>
      <c r="R9">
        <f t="shared" si="1"/>
        <v>1.9430533333333335E-4</v>
      </c>
      <c r="T9">
        <f t="shared" si="8"/>
        <v>113.15672220760023</v>
      </c>
      <c r="U9">
        <f t="shared" si="9"/>
        <v>106.56750874852783</v>
      </c>
      <c r="W9">
        <f t="shared" si="10"/>
        <v>3.6476576983328717</v>
      </c>
      <c r="X9">
        <f t="shared" si="11"/>
        <v>3.1466985395391691</v>
      </c>
    </row>
    <row r="10" spans="1:24" x14ac:dyDescent="0.2">
      <c r="A10" s="3">
        <v>49.5092</v>
      </c>
      <c r="B10" s="5">
        <v>8.8430400000000004E-4</v>
      </c>
      <c r="C10" s="5">
        <v>1.97553E-4</v>
      </c>
      <c r="D10">
        <f t="shared" si="2"/>
        <v>114.01870604890804</v>
      </c>
      <c r="E10">
        <f t="shared" si="3"/>
        <v>104.63279768651421</v>
      </c>
      <c r="G10" s="5">
        <v>8.4311200000000003E-4</v>
      </c>
      <c r="H10" s="5">
        <v>1.85434E-4</v>
      </c>
      <c r="I10" s="4">
        <f t="shared" si="4"/>
        <v>121.77874456004425</v>
      </c>
      <c r="J10" s="4">
        <f t="shared" si="5"/>
        <v>113.79251095374268</v>
      </c>
      <c r="L10" s="5">
        <v>1.2621399999999999E-3</v>
      </c>
      <c r="M10" s="5">
        <v>2.0910300000000001E-4</v>
      </c>
      <c r="N10" s="4">
        <f t="shared" si="6"/>
        <v>110.77525299068782</v>
      </c>
      <c r="O10" s="4">
        <f t="shared" si="7"/>
        <v>106.48093453375158</v>
      </c>
      <c r="Q10">
        <f t="shared" si="0"/>
        <v>9.9651866666666659E-4</v>
      </c>
      <c r="R10">
        <f t="shared" si="1"/>
        <v>1.9736333333333333E-4</v>
      </c>
      <c r="T10">
        <f t="shared" si="8"/>
        <v>115.52423453321337</v>
      </c>
      <c r="U10">
        <f t="shared" si="9"/>
        <v>108.30208105800283</v>
      </c>
      <c r="W10">
        <f t="shared" si="10"/>
        <v>4.6165765593143089</v>
      </c>
      <c r="X10">
        <f t="shared" si="11"/>
        <v>3.9549561971071685</v>
      </c>
    </row>
    <row r="11" spans="1:24" x14ac:dyDescent="0.2">
      <c r="A11" s="3">
        <v>55.8187</v>
      </c>
      <c r="B11" s="5">
        <v>8.9763099999999997E-4</v>
      </c>
      <c r="C11" s="5">
        <v>1.9856999999999999E-4</v>
      </c>
      <c r="D11">
        <f t="shared" si="2"/>
        <v>115.7370374095191</v>
      </c>
      <c r="E11">
        <f t="shared" si="3"/>
        <v>105.17144582269631</v>
      </c>
      <c r="G11" s="5">
        <v>8.6681699999999998E-4</v>
      </c>
      <c r="H11" s="5">
        <v>1.8889800000000001E-4</v>
      </c>
      <c r="I11" s="4">
        <f t="shared" si="4"/>
        <v>125.20268484294361</v>
      </c>
      <c r="J11" s="4">
        <f t="shared" si="5"/>
        <v>115.91821205463985</v>
      </c>
      <c r="L11" s="5">
        <v>1.2787E-3</v>
      </c>
      <c r="M11" s="5">
        <v>2.14203E-4</v>
      </c>
      <c r="N11" s="4">
        <f t="shared" si="6"/>
        <v>112.22868778359971</v>
      </c>
      <c r="O11" s="4">
        <f t="shared" si="7"/>
        <v>109.07799323746281</v>
      </c>
      <c r="Q11">
        <f t="shared" si="0"/>
        <v>1.0143826666666666E-3</v>
      </c>
      <c r="R11">
        <f t="shared" si="1"/>
        <v>2.00557E-4</v>
      </c>
      <c r="T11">
        <f t="shared" si="8"/>
        <v>117.72280334535414</v>
      </c>
      <c r="U11">
        <f t="shared" si="9"/>
        <v>110.05588370493298</v>
      </c>
      <c r="W11">
        <f t="shared" si="10"/>
        <v>5.4795741737175252</v>
      </c>
      <c r="X11">
        <f t="shared" si="11"/>
        <v>4.4415048827912127</v>
      </c>
    </row>
    <row r="12" spans="1:24" x14ac:dyDescent="0.2">
      <c r="A12" s="3">
        <v>61.948399999999999</v>
      </c>
      <c r="B12" s="5">
        <v>9.17967E-4</v>
      </c>
      <c r="C12" s="5">
        <v>2.0174200000000001E-4</v>
      </c>
      <c r="D12">
        <f t="shared" si="2"/>
        <v>118.35908187184268</v>
      </c>
      <c r="E12">
        <f t="shared" si="3"/>
        <v>106.85147717763208</v>
      </c>
      <c r="G12" s="5">
        <v>8.8382599999999999E-4</v>
      </c>
      <c r="H12" s="5">
        <v>1.9267899999999999E-4</v>
      </c>
      <c r="I12" s="4">
        <f t="shared" si="4"/>
        <v>127.65945768714676</v>
      </c>
      <c r="J12" s="4">
        <f t="shared" si="5"/>
        <v>118.23844180709141</v>
      </c>
      <c r="L12" s="5">
        <v>1.2926599999999999E-3</v>
      </c>
      <c r="M12" s="5">
        <v>2.07999E-4</v>
      </c>
      <c r="N12" s="4">
        <f t="shared" si="6"/>
        <v>113.4539262926003</v>
      </c>
      <c r="O12" s="4">
        <f t="shared" si="7"/>
        <v>105.9187477084776</v>
      </c>
      <c r="Q12">
        <f t="shared" si="0"/>
        <v>1.0314843333333332E-3</v>
      </c>
      <c r="R12">
        <f t="shared" si="1"/>
        <v>2.0080666666666666E-4</v>
      </c>
      <c r="T12">
        <f t="shared" si="8"/>
        <v>119.82415528386325</v>
      </c>
      <c r="U12">
        <f t="shared" si="9"/>
        <v>110.33622223106703</v>
      </c>
      <c r="W12">
        <f t="shared" si="10"/>
        <v>5.8911861073595038</v>
      </c>
      <c r="X12">
        <f t="shared" si="11"/>
        <v>5.600672682004932</v>
      </c>
    </row>
    <row r="13" spans="1:24" x14ac:dyDescent="0.2">
      <c r="A13" s="3">
        <v>68.294600000000003</v>
      </c>
      <c r="B13" s="5">
        <v>9.3603999999999996E-4</v>
      </c>
      <c r="C13" s="5">
        <v>2.0394099999999999E-4</v>
      </c>
      <c r="D13">
        <f t="shared" si="2"/>
        <v>120.68934394735282</v>
      </c>
      <c r="E13">
        <f t="shared" si="3"/>
        <v>108.01616474052732</v>
      </c>
      <c r="G13" s="5">
        <v>9.1107500000000001E-4</v>
      </c>
      <c r="H13" s="5">
        <v>1.9401499999999999E-4</v>
      </c>
      <c r="I13" s="4">
        <f t="shared" si="4"/>
        <v>131.59529184739668</v>
      </c>
      <c r="J13" s="4">
        <f t="shared" si="5"/>
        <v>119.05828495686004</v>
      </c>
      <c r="L13" s="5">
        <v>1.30678E-3</v>
      </c>
      <c r="M13" s="5">
        <v>2.13594E-4</v>
      </c>
      <c r="N13" s="4">
        <f t="shared" si="6"/>
        <v>114.69320764984158</v>
      </c>
      <c r="O13" s="4">
        <f t="shared" si="7"/>
        <v>108.76787387460789</v>
      </c>
      <c r="Q13">
        <f t="shared" si="0"/>
        <v>1.0512983333333334E-3</v>
      </c>
      <c r="R13">
        <f t="shared" si="1"/>
        <v>2.0384999999999999E-4</v>
      </c>
      <c r="T13">
        <f t="shared" si="8"/>
        <v>122.3259478148637</v>
      </c>
      <c r="U13">
        <f t="shared" si="9"/>
        <v>111.94744119066509</v>
      </c>
      <c r="W13">
        <f t="shared" si="10"/>
        <v>6.996616645192355</v>
      </c>
      <c r="X13">
        <f t="shared" si="11"/>
        <v>5.037482238578467</v>
      </c>
    </row>
    <row r="14" spans="1:24" x14ac:dyDescent="0.2">
      <c r="A14" s="3">
        <v>74.376800000000003</v>
      </c>
      <c r="B14" s="5">
        <v>9.5344500000000003E-4</v>
      </c>
      <c r="C14" s="5">
        <v>2.05575E-4</v>
      </c>
      <c r="D14">
        <f t="shared" si="2"/>
        <v>122.93347671027286</v>
      </c>
      <c r="E14">
        <f t="shared" si="3"/>
        <v>108.88160333887696</v>
      </c>
      <c r="G14" s="5">
        <v>9.31952E-4</v>
      </c>
      <c r="H14" s="5">
        <v>1.9959599999999999E-4</v>
      </c>
      <c r="I14" s="4">
        <f t="shared" si="4"/>
        <v>134.61075699340344</v>
      </c>
      <c r="J14" s="4">
        <f t="shared" si="5"/>
        <v>122.48309380331128</v>
      </c>
      <c r="L14" s="5">
        <v>1.3231E-3</v>
      </c>
      <c r="M14" s="5">
        <v>2.17765E-4</v>
      </c>
      <c r="N14" s="4">
        <f t="shared" si="6"/>
        <v>116.12557817039242</v>
      </c>
      <c r="O14" s="4">
        <f t="shared" si="7"/>
        <v>110.89186051248625</v>
      </c>
      <c r="Q14">
        <f t="shared" si="0"/>
        <v>1.069499E-3</v>
      </c>
      <c r="R14">
        <f t="shared" si="1"/>
        <v>2.076453333333333E-4</v>
      </c>
      <c r="T14">
        <f t="shared" si="8"/>
        <v>124.5566039580229</v>
      </c>
      <c r="U14">
        <f t="shared" si="9"/>
        <v>114.08551921822482</v>
      </c>
      <c r="W14">
        <f t="shared" si="10"/>
        <v>7.6333201852782828</v>
      </c>
      <c r="X14">
        <f t="shared" si="11"/>
        <v>5.9944267260002606</v>
      </c>
    </row>
    <row r="15" spans="1:24" x14ac:dyDescent="0.2">
      <c r="A15" s="3">
        <v>80.591399999999993</v>
      </c>
      <c r="B15" s="5">
        <v>9.6948300000000004E-4</v>
      </c>
      <c r="C15" s="5">
        <v>2.0654399999999999E-4</v>
      </c>
      <c r="D15">
        <f t="shared" si="2"/>
        <v>125.00135382901527</v>
      </c>
      <c r="E15">
        <f t="shared" si="3"/>
        <v>109.39482855417731</v>
      </c>
      <c r="G15" s="5">
        <v>9.5385499999999998E-4</v>
      </c>
      <c r="H15" s="5">
        <v>2.0087499999999999E-4</v>
      </c>
      <c r="I15" s="4">
        <f t="shared" si="4"/>
        <v>137.77441715017815</v>
      </c>
      <c r="J15" s="4">
        <f t="shared" si="5"/>
        <v>123.26795861510327</v>
      </c>
      <c r="L15" s="5">
        <v>1.3327899999999999E-3</v>
      </c>
      <c r="M15" s="5">
        <v>2.1228600000000001E-4</v>
      </c>
      <c r="N15" s="4">
        <f t="shared" si="6"/>
        <v>116.97604816696945</v>
      </c>
      <c r="O15" s="4">
        <f t="shared" si="7"/>
        <v>108.10180470118549</v>
      </c>
      <c r="Q15">
        <f t="shared" si="0"/>
        <v>1.0853760000000001E-3</v>
      </c>
      <c r="R15">
        <f t="shared" si="1"/>
        <v>2.0656833333333334E-4</v>
      </c>
      <c r="T15">
        <f t="shared" si="8"/>
        <v>126.58393971538764</v>
      </c>
      <c r="U15">
        <f t="shared" si="9"/>
        <v>113.58819729015535</v>
      </c>
      <c r="W15">
        <f t="shared" si="10"/>
        <v>8.5643241280805178</v>
      </c>
      <c r="X15">
        <f t="shared" si="11"/>
        <v>6.8649502135640423</v>
      </c>
    </row>
    <row r="16" spans="1:24" x14ac:dyDescent="0.2">
      <c r="A16" s="3">
        <v>86.865200000000002</v>
      </c>
      <c r="B16" s="5">
        <v>9.9598400000000011E-4</v>
      </c>
      <c r="C16" s="5">
        <v>2.12454E-4</v>
      </c>
      <c r="D16">
        <f t="shared" si="2"/>
        <v>128.41828932744355</v>
      </c>
      <c r="E16">
        <f t="shared" si="3"/>
        <v>112.52502568774298</v>
      </c>
      <c r="G16" s="5">
        <v>9.77716E-4</v>
      </c>
      <c r="H16" s="5">
        <v>2.04546E-4</v>
      </c>
      <c r="I16" s="4">
        <f t="shared" si="4"/>
        <v>141.22089000781418</v>
      </c>
      <c r="J16" s="4">
        <f t="shared" si="5"/>
        <v>125.52068631181041</v>
      </c>
      <c r="L16" s="5">
        <v>1.34534E-3</v>
      </c>
      <c r="M16" s="5">
        <v>2.1346000000000001E-4</v>
      </c>
      <c r="N16" s="4">
        <f t="shared" si="6"/>
        <v>118.07753407584893</v>
      </c>
      <c r="O16" s="4">
        <f t="shared" si="7"/>
        <v>108.69963743023587</v>
      </c>
      <c r="Q16">
        <f t="shared" si="0"/>
        <v>1.1063466666666668E-3</v>
      </c>
      <c r="R16">
        <f t="shared" si="1"/>
        <v>2.1015333333333333E-4</v>
      </c>
      <c r="T16">
        <f t="shared" si="8"/>
        <v>129.23890447036888</v>
      </c>
      <c r="U16">
        <f t="shared" si="9"/>
        <v>115.58178314326308</v>
      </c>
      <c r="W16">
        <f t="shared" si="10"/>
        <v>9.4660371102169432</v>
      </c>
      <c r="X16">
        <f t="shared" si="11"/>
        <v>7.1992937605243998</v>
      </c>
    </row>
    <row r="17" spans="1:24" x14ac:dyDescent="0.2">
      <c r="A17" s="3">
        <v>93.009600000000006</v>
      </c>
      <c r="B17" s="5">
        <v>1.0287499999999999E-3</v>
      </c>
      <c r="C17" s="5">
        <v>2.1576599999999999E-4</v>
      </c>
      <c r="D17">
        <f t="shared" si="2"/>
        <v>132.64300947164566</v>
      </c>
      <c r="E17">
        <f t="shared" si="3"/>
        <v>114.27920722858384</v>
      </c>
      <c r="G17" s="5">
        <v>1.0039000000000001E-3</v>
      </c>
      <c r="H17" s="5">
        <v>2.0690300000000001E-4</v>
      </c>
      <c r="I17" s="4">
        <f t="shared" si="4"/>
        <v>145.00289601361197</v>
      </c>
      <c r="J17" s="4">
        <f t="shared" si="5"/>
        <v>126.96707126989777</v>
      </c>
      <c r="L17" s="5">
        <v>1.35505E-3</v>
      </c>
      <c r="M17" s="5">
        <v>2.15837E-4</v>
      </c>
      <c r="N17" s="4">
        <f t="shared" si="6"/>
        <v>118.92975942845607</v>
      </c>
      <c r="O17" s="4">
        <f t="shared" si="7"/>
        <v>109.91007047704404</v>
      </c>
      <c r="Q17">
        <f t="shared" si="0"/>
        <v>1.1292333333333333E-3</v>
      </c>
      <c r="R17">
        <f t="shared" si="1"/>
        <v>2.1283533333333332E-4</v>
      </c>
      <c r="T17">
        <f t="shared" si="8"/>
        <v>132.19188830457122</v>
      </c>
      <c r="U17">
        <f t="shared" si="9"/>
        <v>117.05211632517522</v>
      </c>
      <c r="W17">
        <f t="shared" si="10"/>
        <v>10.649092154657623</v>
      </c>
      <c r="X17">
        <f t="shared" si="11"/>
        <v>7.2342743315102718</v>
      </c>
    </row>
    <row r="18" spans="1:24" x14ac:dyDescent="0.2">
      <c r="A18" s="3">
        <v>99.231399999999994</v>
      </c>
      <c r="B18" s="5">
        <v>1.05207E-3</v>
      </c>
      <c r="C18" s="5">
        <v>2.1698799999999999E-4</v>
      </c>
      <c r="D18">
        <f t="shared" si="2"/>
        <v>135.64979924649745</v>
      </c>
      <c r="E18">
        <f t="shared" si="3"/>
        <v>114.92643242269843</v>
      </c>
      <c r="G18" s="5">
        <v>1.03067E-3</v>
      </c>
      <c r="H18" s="5">
        <v>2.0720800000000001E-4</v>
      </c>
      <c r="I18" s="4">
        <f t="shared" si="4"/>
        <v>148.86954361425387</v>
      </c>
      <c r="J18" s="4">
        <f t="shared" si="5"/>
        <v>127.1542360608255</v>
      </c>
      <c r="L18" s="5">
        <v>1.3664599999999999E-3</v>
      </c>
      <c r="M18" s="5">
        <v>2.1481699999999999E-4</v>
      </c>
      <c r="N18" s="4">
        <f t="shared" si="6"/>
        <v>119.93119004362059</v>
      </c>
      <c r="O18" s="4">
        <f t="shared" si="7"/>
        <v>109.39065873630179</v>
      </c>
      <c r="Q18">
        <f t="shared" si="0"/>
        <v>1.1497333333333334E-3</v>
      </c>
      <c r="R18">
        <f t="shared" si="1"/>
        <v>2.1300433333333333E-4</v>
      </c>
      <c r="T18">
        <f t="shared" si="8"/>
        <v>134.81684430145728</v>
      </c>
      <c r="U18">
        <f t="shared" si="9"/>
        <v>117.15710907327525</v>
      </c>
      <c r="W18">
        <f t="shared" si="10"/>
        <v>11.828706249349395</v>
      </c>
      <c r="X18">
        <f t="shared" si="11"/>
        <v>7.4215051744083409</v>
      </c>
    </row>
    <row r="19" spans="1:24" x14ac:dyDescent="0.2">
      <c r="A19" s="3">
        <v>105.389</v>
      </c>
      <c r="B19" s="5">
        <v>1.0763999999999999E-3</v>
      </c>
      <c r="C19" s="5">
        <v>2.2240399999999999E-4</v>
      </c>
      <c r="D19">
        <f t="shared" si="2"/>
        <v>138.78681447900792</v>
      </c>
      <c r="E19">
        <f t="shared" si="3"/>
        <v>117.79498532885609</v>
      </c>
      <c r="G19" s="5">
        <v>1.05536E-3</v>
      </c>
      <c r="H19" s="5">
        <v>2.1524000000000001E-4</v>
      </c>
      <c r="I19" s="4">
        <f t="shared" si="4"/>
        <v>152.43575688507377</v>
      </c>
      <c r="J19" s="4">
        <f t="shared" si="5"/>
        <v>132.08311344027297</v>
      </c>
      <c r="L19" s="5">
        <v>1.3743799999999999E-3</v>
      </c>
      <c r="M19" s="5">
        <v>2.11771E-4</v>
      </c>
      <c r="N19" s="4">
        <f t="shared" si="6"/>
        <v>120.62631103153495</v>
      </c>
      <c r="O19" s="4">
        <f t="shared" si="7"/>
        <v>107.83955269483032</v>
      </c>
      <c r="Q19">
        <f t="shared" si="0"/>
        <v>1.1687133333333332E-3</v>
      </c>
      <c r="R19">
        <f t="shared" si="1"/>
        <v>2.1647166666666665E-4</v>
      </c>
      <c r="T19">
        <f t="shared" si="8"/>
        <v>137.28296079853888</v>
      </c>
      <c r="U19">
        <f t="shared" si="9"/>
        <v>119.23921715465313</v>
      </c>
      <c r="W19">
        <f t="shared" si="10"/>
        <v>13.029617372138489</v>
      </c>
      <c r="X19">
        <f t="shared" si="11"/>
        <v>9.9499384781841993</v>
      </c>
    </row>
    <row r="20" spans="1:24" x14ac:dyDescent="0.2">
      <c r="A20" s="3">
        <v>111.69199999999999</v>
      </c>
      <c r="B20" s="5">
        <v>1.10884E-3</v>
      </c>
      <c r="C20" s="5">
        <v>2.2593400000000001E-4</v>
      </c>
      <c r="D20">
        <f t="shared" si="2"/>
        <v>142.96950145568854</v>
      </c>
      <c r="E20">
        <f t="shared" si="3"/>
        <v>119.6646293020349</v>
      </c>
      <c r="G20" s="5">
        <v>1.08351E-3</v>
      </c>
      <c r="H20" s="5">
        <v>2.17469E-4</v>
      </c>
      <c r="I20" s="4">
        <f t="shared" si="4"/>
        <v>156.50173110838602</v>
      </c>
      <c r="J20" s="4">
        <f t="shared" si="5"/>
        <v>133.4509505516759</v>
      </c>
      <c r="L20" s="5">
        <v>1.3853800000000001E-3</v>
      </c>
      <c r="M20" s="5">
        <v>2.18643E-4</v>
      </c>
      <c r="N20" s="4">
        <f t="shared" si="6"/>
        <v>121.59175684808272</v>
      </c>
      <c r="O20" s="4">
        <f t="shared" si="7"/>
        <v>111.33896199128203</v>
      </c>
      <c r="Q20">
        <f t="shared" si="0"/>
        <v>1.1925766666666668E-3</v>
      </c>
      <c r="R20">
        <f t="shared" si="1"/>
        <v>2.2068200000000001E-4</v>
      </c>
      <c r="T20">
        <f t="shared" si="8"/>
        <v>140.35432980405244</v>
      </c>
      <c r="U20">
        <f t="shared" si="9"/>
        <v>121.48484728166427</v>
      </c>
      <c r="W20">
        <f t="shared" si="10"/>
        <v>14.371404890485319</v>
      </c>
      <c r="X20">
        <f t="shared" si="11"/>
        <v>9.1184759195738359</v>
      </c>
    </row>
    <row r="21" spans="1:24" x14ac:dyDescent="0.2">
      <c r="A21" s="3">
        <v>117.926</v>
      </c>
      <c r="B21" s="5">
        <v>1.13451E-3</v>
      </c>
      <c r="C21" s="5">
        <v>2.2888100000000001E-4</v>
      </c>
      <c r="D21">
        <f t="shared" si="2"/>
        <v>146.27929105776596</v>
      </c>
      <c r="E21">
        <f t="shared" si="3"/>
        <v>121.22549071533743</v>
      </c>
      <c r="G21" s="5">
        <v>1.1095899999999999E-3</v>
      </c>
      <c r="H21" s="5">
        <v>2.2029699999999999E-4</v>
      </c>
      <c r="I21" s="4">
        <f t="shared" si="4"/>
        <v>160.26871539769269</v>
      </c>
      <c r="J21" s="4">
        <f t="shared" si="5"/>
        <v>135.18636703935985</v>
      </c>
      <c r="L21" s="5">
        <v>1.39467E-3</v>
      </c>
      <c r="M21" s="5">
        <v>2.1429899999999999E-4</v>
      </c>
      <c r="N21" s="4">
        <f t="shared" si="6"/>
        <v>122.40711972405802</v>
      </c>
      <c r="O21" s="4">
        <f t="shared" si="7"/>
        <v>109.1268790483562</v>
      </c>
      <c r="Q21">
        <f t="shared" si="0"/>
        <v>1.2129233333333332E-3</v>
      </c>
      <c r="R21">
        <f t="shared" si="1"/>
        <v>2.2115899999999999E-4</v>
      </c>
      <c r="T21">
        <f t="shared" si="8"/>
        <v>142.98504205983889</v>
      </c>
      <c r="U21">
        <f t="shared" si="9"/>
        <v>121.84624560101783</v>
      </c>
      <c r="W21">
        <f t="shared" si="10"/>
        <v>15.631467495273764</v>
      </c>
      <c r="X21">
        <f t="shared" si="11"/>
        <v>10.647792605649553</v>
      </c>
    </row>
    <row r="22" spans="1:24" x14ac:dyDescent="0.2">
      <c r="A22" s="3">
        <v>124.08</v>
      </c>
      <c r="B22" s="5">
        <v>1.1594999999999999E-3</v>
      </c>
      <c r="C22" s="5">
        <v>2.3274600000000001E-4</v>
      </c>
      <c r="D22">
        <f t="shared" si="2"/>
        <v>149.50140411409296</v>
      </c>
      <c r="E22">
        <f t="shared" si="3"/>
        <v>123.2725654905035</v>
      </c>
      <c r="G22" s="5">
        <v>1.1344E-3</v>
      </c>
      <c r="H22" s="5">
        <v>2.2442600000000001E-4</v>
      </c>
      <c r="I22" s="4">
        <f t="shared" si="4"/>
        <v>163.85226141831001</v>
      </c>
      <c r="J22" s="4">
        <f t="shared" si="5"/>
        <v>137.72014874998467</v>
      </c>
      <c r="L22" s="5">
        <v>1.40873E-3</v>
      </c>
      <c r="M22" s="5">
        <v>2.1911899999999999E-4</v>
      </c>
      <c r="N22" s="4">
        <f t="shared" si="6"/>
        <v>123.64113501320905</v>
      </c>
      <c r="O22" s="4">
        <f t="shared" si="7"/>
        <v>111.58135413696174</v>
      </c>
      <c r="Q22">
        <f t="shared" si="0"/>
        <v>1.2342099999999999E-3</v>
      </c>
      <c r="R22">
        <f t="shared" si="1"/>
        <v>2.2543033333333336E-4</v>
      </c>
      <c r="T22">
        <f t="shared" si="8"/>
        <v>145.66493351520401</v>
      </c>
      <c r="U22">
        <f t="shared" si="9"/>
        <v>124.19135612581664</v>
      </c>
      <c r="W22">
        <f t="shared" si="10"/>
        <v>16.638761005232318</v>
      </c>
      <c r="X22">
        <f t="shared" si="11"/>
        <v>10.690877049431869</v>
      </c>
    </row>
    <row r="23" spans="1:24" x14ac:dyDescent="0.2">
      <c r="A23" s="3">
        <v>130.351</v>
      </c>
      <c r="B23" s="5">
        <v>1.1792E-3</v>
      </c>
      <c r="C23" s="5">
        <v>2.3730299999999999E-4</v>
      </c>
      <c r="D23">
        <f t="shared" si="2"/>
        <v>152.04144521892061</v>
      </c>
      <c r="E23">
        <f t="shared" si="3"/>
        <v>125.68615404171477</v>
      </c>
      <c r="G23" s="5">
        <v>1.1583699999999999E-3</v>
      </c>
      <c r="H23" s="5">
        <v>2.2809699999999999E-4</v>
      </c>
      <c r="I23" s="4">
        <f t="shared" si="4"/>
        <v>167.31447819034534</v>
      </c>
      <c r="J23" s="4">
        <f t="shared" si="5"/>
        <v>139.97287644669177</v>
      </c>
      <c r="L23" s="5">
        <v>1.4183900000000001E-3</v>
      </c>
      <c r="M23" s="5">
        <v>2.1957899999999999E-4</v>
      </c>
      <c r="N23" s="4">
        <f t="shared" si="6"/>
        <v>124.48897197574098</v>
      </c>
      <c r="O23" s="4">
        <f t="shared" si="7"/>
        <v>111.81559864749255</v>
      </c>
      <c r="Q23">
        <f t="shared" si="0"/>
        <v>1.2519866666666666E-3</v>
      </c>
      <c r="R23">
        <f t="shared" si="1"/>
        <v>2.2832633333333332E-4</v>
      </c>
      <c r="T23">
        <f t="shared" si="8"/>
        <v>147.948298461669</v>
      </c>
      <c r="U23">
        <f t="shared" si="9"/>
        <v>125.82487637863302</v>
      </c>
      <c r="W23">
        <f t="shared" si="10"/>
        <v>17.721387895545412</v>
      </c>
      <c r="X23">
        <f t="shared" si="11"/>
        <v>11.495579039508749</v>
      </c>
    </row>
    <row r="24" spans="1:24" x14ac:dyDescent="0.2">
      <c r="A24" s="3">
        <v>136.554</v>
      </c>
      <c r="B24" s="5">
        <v>1.2167300000000001E-3</v>
      </c>
      <c r="C24" s="5">
        <v>2.3762699999999999E-4</v>
      </c>
      <c r="D24">
        <f t="shared" si="2"/>
        <v>156.88041692776227</v>
      </c>
      <c r="E24">
        <f t="shared" si="3"/>
        <v>125.8577587576666</v>
      </c>
      <c r="G24" s="5">
        <v>1.18384E-3</v>
      </c>
      <c r="H24" s="5">
        <v>2.3304200000000001E-4</v>
      </c>
      <c r="I24" s="4">
        <f t="shared" si="4"/>
        <v>170.9933543348485</v>
      </c>
      <c r="J24" s="4">
        <f t="shared" si="5"/>
        <v>143.00740067992982</v>
      </c>
      <c r="L24" s="5">
        <v>1.4274800000000001E-3</v>
      </c>
      <c r="M24" s="5">
        <v>2.20017E-4</v>
      </c>
      <c r="N24" s="4">
        <f t="shared" si="6"/>
        <v>125.28678129141544</v>
      </c>
      <c r="O24" s="4">
        <f t="shared" si="7"/>
        <v>112.03864015969364</v>
      </c>
      <c r="Q24">
        <f t="shared" si="0"/>
        <v>1.2760166666666668E-3</v>
      </c>
      <c r="R24">
        <f t="shared" si="1"/>
        <v>2.3022866666666669E-4</v>
      </c>
      <c r="T24">
        <f t="shared" si="8"/>
        <v>151.05351751800873</v>
      </c>
      <c r="U24">
        <f t="shared" si="9"/>
        <v>126.96793319909666</v>
      </c>
      <c r="W24">
        <f t="shared" si="10"/>
        <v>19.109112527661008</v>
      </c>
      <c r="X24">
        <f t="shared" si="11"/>
        <v>12.667291147090554</v>
      </c>
    </row>
    <row r="25" spans="1:24" x14ac:dyDescent="0.2">
      <c r="A25" s="3">
        <v>142.69399999999999</v>
      </c>
      <c r="B25" s="5">
        <v>1.2449399999999999E-3</v>
      </c>
      <c r="C25" s="5">
        <v>2.4386699999999999E-4</v>
      </c>
      <c r="D25">
        <f t="shared" si="2"/>
        <v>160.51770421543674</v>
      </c>
      <c r="E25">
        <f t="shared" si="3"/>
        <v>129.16273847229431</v>
      </c>
      <c r="G25" s="5">
        <v>1.2126000000000001E-3</v>
      </c>
      <c r="H25" s="5">
        <v>2.36231E-4</v>
      </c>
      <c r="I25" s="4">
        <f t="shared" si="4"/>
        <v>175.14743670296434</v>
      </c>
      <c r="J25" s="4">
        <f t="shared" si="5"/>
        <v>144.96434664146588</v>
      </c>
      <c r="L25" s="5">
        <v>1.4466699999999999E-3</v>
      </c>
      <c r="M25" s="5">
        <v>2.23797E-4</v>
      </c>
      <c r="N25" s="4">
        <f t="shared" si="6"/>
        <v>126.97104540228372</v>
      </c>
      <c r="O25" s="4">
        <f t="shared" si="7"/>
        <v>113.9635189636208</v>
      </c>
      <c r="Q25">
        <f t="shared" si="0"/>
        <v>1.3014033333333334E-3</v>
      </c>
      <c r="R25">
        <f t="shared" si="1"/>
        <v>2.3463166666666665E-4</v>
      </c>
      <c r="T25">
        <f t="shared" si="8"/>
        <v>154.21206210689493</v>
      </c>
      <c r="U25">
        <f t="shared" si="9"/>
        <v>129.36353469246032</v>
      </c>
      <c r="W25">
        <f t="shared" si="10"/>
        <v>20.167002941931802</v>
      </c>
      <c r="X25">
        <f t="shared" si="11"/>
        <v>12.656831318024432</v>
      </c>
    </row>
    <row r="26" spans="1:24" x14ac:dyDescent="0.2">
      <c r="A26" s="3">
        <v>148.88</v>
      </c>
      <c r="B26" s="5">
        <v>1.27002E-3</v>
      </c>
      <c r="C26" s="5">
        <v>2.4947899999999999E-4</v>
      </c>
      <c r="D26">
        <f t="shared" si="2"/>
        <v>163.75142152046601</v>
      </c>
      <c r="E26">
        <f t="shared" si="3"/>
        <v>132.13510163871911</v>
      </c>
      <c r="G26" s="5">
        <v>1.2407500000000001E-3</v>
      </c>
      <c r="H26" s="5">
        <v>2.3873300000000001E-4</v>
      </c>
      <c r="I26" s="4">
        <f t="shared" si="4"/>
        <v>179.21341092627659</v>
      </c>
      <c r="J26" s="4">
        <f t="shared" si="5"/>
        <v>146.49971158212546</v>
      </c>
      <c r="L26" s="5">
        <v>1.45729E-3</v>
      </c>
      <c r="M26" s="5">
        <v>2.2236099999999999E-4</v>
      </c>
      <c r="N26" s="4">
        <f t="shared" si="6"/>
        <v>127.90313945425982</v>
      </c>
      <c r="O26" s="4">
        <f t="shared" si="7"/>
        <v>113.2322687090072</v>
      </c>
      <c r="Q26">
        <f t="shared" si="0"/>
        <v>1.3226866666666665E-3</v>
      </c>
      <c r="R26">
        <f t="shared" si="1"/>
        <v>2.3685766666666668E-4</v>
      </c>
      <c r="T26">
        <f t="shared" si="8"/>
        <v>156.95599063366748</v>
      </c>
      <c r="U26">
        <f t="shared" si="9"/>
        <v>130.62236064328391</v>
      </c>
      <c r="W26">
        <f t="shared" si="10"/>
        <v>21.491384325444667</v>
      </c>
      <c r="X26">
        <f t="shared" si="11"/>
        <v>13.623435147287143</v>
      </c>
    </row>
    <row r="27" spans="1:24" x14ac:dyDescent="0.2">
      <c r="A27" s="3">
        <v>155.18199999999999</v>
      </c>
      <c r="B27" s="5">
        <v>1.3011399999999999E-3</v>
      </c>
      <c r="C27" s="5">
        <v>2.52895E-4</v>
      </c>
      <c r="D27">
        <f t="shared" si="2"/>
        <v>167.7639128495135</v>
      </c>
      <c r="E27">
        <f t="shared" si="3"/>
        <v>133.94436617480378</v>
      </c>
      <c r="G27" s="5">
        <v>1.26687E-3</v>
      </c>
      <c r="H27" s="5">
        <v>2.4324599999999999E-4</v>
      </c>
      <c r="I27" s="4">
        <f t="shared" si="4"/>
        <v>182.98617279884911</v>
      </c>
      <c r="J27" s="4">
        <f t="shared" si="5"/>
        <v>149.26913683280355</v>
      </c>
      <c r="L27" s="5">
        <v>1.4714999999999999E-3</v>
      </c>
      <c r="M27" s="5">
        <v>2.25431E-4</v>
      </c>
      <c r="N27" s="4">
        <f t="shared" si="6"/>
        <v>129.15031991363648</v>
      </c>
      <c r="O27" s="4">
        <f t="shared" si="7"/>
        <v>114.79559620320201</v>
      </c>
      <c r="Q27">
        <f t="shared" si="0"/>
        <v>1.3465033333333331E-3</v>
      </c>
      <c r="R27">
        <f t="shared" si="1"/>
        <v>2.4052399999999999E-4</v>
      </c>
      <c r="T27">
        <f t="shared" si="8"/>
        <v>159.96680185399973</v>
      </c>
      <c r="U27">
        <f t="shared" si="9"/>
        <v>132.66969973693645</v>
      </c>
      <c r="W27">
        <f t="shared" si="10"/>
        <v>22.659375820718257</v>
      </c>
      <c r="X27">
        <f t="shared" si="11"/>
        <v>14.102596256979769</v>
      </c>
    </row>
    <row r="28" spans="1:24" x14ac:dyDescent="0.2">
      <c r="A28" s="3">
        <v>161.405</v>
      </c>
      <c r="B28" s="5">
        <v>1.3397999999999999E-3</v>
      </c>
      <c r="C28" s="5">
        <v>2.5487600000000002E-4</v>
      </c>
      <c r="D28">
        <f t="shared" si="2"/>
        <v>172.74858234761689</v>
      </c>
      <c r="E28">
        <f t="shared" si="3"/>
        <v>134.99359130536109</v>
      </c>
      <c r="G28" s="5">
        <v>1.2882E-3</v>
      </c>
      <c r="H28" s="5">
        <v>2.42921E-4</v>
      </c>
      <c r="I28" s="4">
        <f t="shared" si="4"/>
        <v>186.06706907534112</v>
      </c>
      <c r="J28" s="4">
        <f t="shared" si="5"/>
        <v>149.06969894083139</v>
      </c>
      <c r="L28" s="5">
        <v>1.48386E-3</v>
      </c>
      <c r="M28" s="5">
        <v>2.2356000000000001E-4</v>
      </c>
      <c r="N28" s="4">
        <f t="shared" si="6"/>
        <v>130.23512994023011</v>
      </c>
      <c r="O28" s="4">
        <f t="shared" si="7"/>
        <v>113.84283211797776</v>
      </c>
      <c r="Q28">
        <f t="shared" si="0"/>
        <v>1.3706200000000001E-3</v>
      </c>
      <c r="R28">
        <f t="shared" si="1"/>
        <v>2.4045233333333334E-4</v>
      </c>
      <c r="T28">
        <f t="shared" si="8"/>
        <v>163.01692712106271</v>
      </c>
      <c r="U28">
        <f t="shared" si="9"/>
        <v>132.63537412139007</v>
      </c>
      <c r="W28">
        <f t="shared" si="10"/>
        <v>23.809384592118011</v>
      </c>
      <c r="X28">
        <f t="shared" si="11"/>
        <v>14.477659289490347</v>
      </c>
    </row>
    <row r="29" spans="1:24" x14ac:dyDescent="0.2">
      <c r="A29" s="3">
        <v>167.61699999999999</v>
      </c>
      <c r="B29" s="5">
        <v>1.37192E-3</v>
      </c>
      <c r="C29" s="5">
        <v>2.6247100000000002E-4</v>
      </c>
      <c r="D29">
        <f t="shared" si="2"/>
        <v>176.89000977335613</v>
      </c>
      <c r="E29">
        <f t="shared" si="3"/>
        <v>139.01623889071323</v>
      </c>
      <c r="G29" s="5">
        <v>1.3213299999999999E-3</v>
      </c>
      <c r="H29" s="5">
        <v>2.4449399999999999E-4</v>
      </c>
      <c r="I29" s="4">
        <f t="shared" si="4"/>
        <v>190.85235241524646</v>
      </c>
      <c r="J29" s="4">
        <f t="shared" si="5"/>
        <v>150.03497833797667</v>
      </c>
      <c r="L29" s="5">
        <v>1.5050899999999999E-3</v>
      </c>
      <c r="M29" s="5">
        <v>2.3221900000000001E-4</v>
      </c>
      <c r="N29" s="4">
        <f t="shared" si="6"/>
        <v>132.09844036616727</v>
      </c>
      <c r="O29" s="4">
        <f t="shared" si="7"/>
        <v>118.252230415122</v>
      </c>
      <c r="Q29">
        <f t="shared" si="0"/>
        <v>1.3994466666666667E-3</v>
      </c>
      <c r="R29">
        <f t="shared" si="1"/>
        <v>2.4639466666666668E-4</v>
      </c>
      <c r="T29">
        <f t="shared" si="8"/>
        <v>166.61360085158995</v>
      </c>
      <c r="U29">
        <f t="shared" si="9"/>
        <v>135.76781588127062</v>
      </c>
      <c r="W29">
        <f t="shared" si="10"/>
        <v>25.062707761576181</v>
      </c>
      <c r="X29">
        <f t="shared" si="11"/>
        <v>13.176999036658227</v>
      </c>
    </row>
    <row r="30" spans="1:24" x14ac:dyDescent="0.2">
      <c r="A30" s="3">
        <v>173.82300000000001</v>
      </c>
      <c r="B30" s="5">
        <v>1.3997899999999999E-3</v>
      </c>
      <c r="C30" s="5">
        <v>2.64608E-4</v>
      </c>
      <c r="D30">
        <f t="shared" si="2"/>
        <v>180.48345878815542</v>
      </c>
      <c r="E30">
        <f t="shared" si="3"/>
        <v>140.14808851413619</v>
      </c>
      <c r="G30" s="5">
        <v>1.3456E-3</v>
      </c>
      <c r="H30" s="5">
        <v>2.5275900000000002E-4</v>
      </c>
      <c r="I30" s="4">
        <f t="shared" si="4"/>
        <v>194.35790106177535</v>
      </c>
      <c r="J30" s="4">
        <f t="shared" si="5"/>
        <v>155.10683734459187</v>
      </c>
      <c r="L30" s="5">
        <v>1.52133E-3</v>
      </c>
      <c r="M30" s="5">
        <v>2.28559E-4</v>
      </c>
      <c r="N30" s="4">
        <f t="shared" si="6"/>
        <v>133.52378946259776</v>
      </c>
      <c r="O30" s="4">
        <f t="shared" si="7"/>
        <v>116.38845887481159</v>
      </c>
      <c r="Q30">
        <f t="shared" si="0"/>
        <v>1.42224E-3</v>
      </c>
      <c r="R30">
        <f t="shared" si="1"/>
        <v>2.4864200000000004E-4</v>
      </c>
      <c r="T30">
        <f t="shared" si="8"/>
        <v>169.45504977084283</v>
      </c>
      <c r="U30">
        <f t="shared" si="9"/>
        <v>137.21446157784655</v>
      </c>
      <c r="W30">
        <f t="shared" si="10"/>
        <v>26.030964095414816</v>
      </c>
      <c r="X30">
        <f t="shared" si="11"/>
        <v>15.942246455738967</v>
      </c>
    </row>
    <row r="31" spans="1:24" x14ac:dyDescent="0.2">
      <c r="A31" s="3">
        <v>179.99</v>
      </c>
      <c r="B31" s="5">
        <v>1.42997E-3</v>
      </c>
      <c r="C31" s="5">
        <v>2.7181699999999999E-4</v>
      </c>
      <c r="D31">
        <f t="shared" si="2"/>
        <v>184.37475018631267</v>
      </c>
      <c r="E31">
        <f t="shared" si="3"/>
        <v>143.96629344406429</v>
      </c>
      <c r="G31" s="5">
        <v>1.3725300000000001E-3</v>
      </c>
      <c r="H31" s="5">
        <v>2.5490400000000002E-4</v>
      </c>
      <c r="I31" s="4">
        <f t="shared" si="4"/>
        <v>198.24765899548049</v>
      </c>
      <c r="J31" s="4">
        <f t="shared" si="5"/>
        <v>156.42312743160815</v>
      </c>
      <c r="L31" s="5">
        <v>1.53816E-3</v>
      </c>
      <c r="M31" s="5">
        <v>2.3221400000000001E-4</v>
      </c>
      <c r="N31" s="4">
        <f t="shared" si="6"/>
        <v>135.00092156191579</v>
      </c>
      <c r="O31" s="4">
        <f t="shared" si="7"/>
        <v>118.24968427913798</v>
      </c>
      <c r="Q31">
        <f t="shared" si="0"/>
        <v>1.4468866666666668E-3</v>
      </c>
      <c r="R31">
        <f t="shared" si="1"/>
        <v>2.5297833333333332E-4</v>
      </c>
      <c r="T31">
        <f t="shared" si="8"/>
        <v>172.54111024790299</v>
      </c>
      <c r="U31">
        <f t="shared" si="9"/>
        <v>139.54636838493681</v>
      </c>
      <c r="W31">
        <f t="shared" si="10"/>
        <v>27.142386589263214</v>
      </c>
      <c r="X31">
        <f t="shared" si="11"/>
        <v>15.894542956099672</v>
      </c>
    </row>
    <row r="32" spans="1:24" x14ac:dyDescent="0.2">
      <c r="A32" s="3">
        <v>193.21799999999999</v>
      </c>
      <c r="B32" s="5">
        <v>4.60988E-6</v>
      </c>
      <c r="C32" s="5">
        <v>2.2801699999999999E-5</v>
      </c>
      <c r="D32">
        <f t="shared" si="2"/>
        <v>0.5943799334173997</v>
      </c>
      <c r="E32">
        <f t="shared" si="3"/>
        <v>12.076787813946591</v>
      </c>
      <c r="G32" s="5">
        <v>6.4389600000000003E-6</v>
      </c>
      <c r="H32" s="5">
        <v>2.0338799999999999E-5</v>
      </c>
      <c r="I32" s="4">
        <f t="shared" si="4"/>
        <v>0.93004068863014944</v>
      </c>
      <c r="J32" s="4">
        <f t="shared" si="5"/>
        <v>12.481007376133729</v>
      </c>
      <c r="L32" s="5">
        <v>6.5864500000000003E-6</v>
      </c>
      <c r="M32" s="5">
        <v>2.18441E-5</v>
      </c>
      <c r="N32" s="4">
        <f t="shared" si="6"/>
        <v>0.57807823621826104</v>
      </c>
      <c r="O32" s="4">
        <f t="shared" si="7"/>
        <v>11.123609809752718</v>
      </c>
      <c r="Q32">
        <f t="shared" si="0"/>
        <v>5.8784300000000007E-6</v>
      </c>
      <c r="R32">
        <f t="shared" si="1"/>
        <v>2.1661533333333333E-5</v>
      </c>
      <c r="T32">
        <f t="shared" si="8"/>
        <v>0.70083295275527002</v>
      </c>
      <c r="U32">
        <f t="shared" si="9"/>
        <v>11.893801666611012</v>
      </c>
      <c r="W32">
        <f t="shared" si="10"/>
        <v>0.16221092435788548</v>
      </c>
      <c r="X32">
        <f t="shared" si="11"/>
        <v>0.56906062119473755</v>
      </c>
    </row>
    <row r="33" spans="1:24" x14ac:dyDescent="0.2">
      <c r="A33" s="3">
        <v>199.43700000000001</v>
      </c>
      <c r="B33" s="5">
        <v>4.4709099999999997E-6</v>
      </c>
      <c r="C33" s="5">
        <v>2.2441699999999999E-5</v>
      </c>
      <c r="D33">
        <f t="shared" si="2"/>
        <v>0.57646168406014608</v>
      </c>
      <c r="E33">
        <f t="shared" si="3"/>
        <v>11.886115907333453</v>
      </c>
      <c r="G33" s="5">
        <v>6.1189E-6</v>
      </c>
      <c r="H33" s="5">
        <v>1.9726699999999999E-5</v>
      </c>
      <c r="I33" s="4">
        <f t="shared" si="4"/>
        <v>0.88381135612878803</v>
      </c>
      <c r="J33" s="4">
        <f t="shared" si="5"/>
        <v>12.105389118668613</v>
      </c>
      <c r="L33" s="5">
        <v>6.3969999999999999E-6</v>
      </c>
      <c r="M33" s="5">
        <v>2.1096700000000001E-5</v>
      </c>
      <c r="N33" s="4">
        <f t="shared" si="6"/>
        <v>0.5614506262232638</v>
      </c>
      <c r="O33" s="4">
        <f t="shared" si="7"/>
        <v>10.74301340285982</v>
      </c>
      <c r="Q33">
        <f t="shared" si="0"/>
        <v>5.6622699999999996E-6</v>
      </c>
      <c r="R33">
        <f t="shared" si="1"/>
        <v>2.1088366666666663E-5</v>
      </c>
      <c r="T33">
        <f t="shared" si="8"/>
        <v>0.67390788880406605</v>
      </c>
      <c r="U33">
        <f t="shared" si="9"/>
        <v>11.57817280962063</v>
      </c>
      <c r="W33">
        <f t="shared" si="10"/>
        <v>0.14855062472784814</v>
      </c>
      <c r="X33">
        <f t="shared" si="11"/>
        <v>0.59729312252757338</v>
      </c>
    </row>
    <row r="34" spans="1:24" x14ac:dyDescent="0.2">
      <c r="A34" s="3">
        <v>205.559</v>
      </c>
      <c r="B34" s="5">
        <v>4.3378299999999998E-6</v>
      </c>
      <c r="C34" s="5">
        <v>2.2101499999999998E-5</v>
      </c>
      <c r="D34">
        <f t="shared" si="2"/>
        <v>0.55930286831240705</v>
      </c>
      <c r="E34">
        <f t="shared" si="3"/>
        <v>11.705930955584039</v>
      </c>
      <c r="G34" s="5">
        <v>5.8559699999999999E-6</v>
      </c>
      <c r="H34" s="5">
        <v>1.9122599999999999E-5</v>
      </c>
      <c r="I34" s="4">
        <f t="shared" si="4"/>
        <v>0.84583385692681679</v>
      </c>
      <c r="J34" s="4">
        <f t="shared" si="5"/>
        <v>11.734680101621278</v>
      </c>
      <c r="L34" s="5">
        <v>6.27954E-6</v>
      </c>
      <c r="M34" s="5">
        <v>2.0693400000000001E-5</v>
      </c>
      <c r="N34" s="4">
        <f t="shared" si="6"/>
        <v>0.55114142025856394</v>
      </c>
      <c r="O34" s="4">
        <f t="shared" si="7"/>
        <v>10.537642074387909</v>
      </c>
      <c r="Q34">
        <f t="shared" si="0"/>
        <v>5.4911133333333335E-6</v>
      </c>
      <c r="R34">
        <f t="shared" si="1"/>
        <v>2.0639166666666664E-5</v>
      </c>
      <c r="T34">
        <f t="shared" si="8"/>
        <v>0.65209271516592926</v>
      </c>
      <c r="U34">
        <f t="shared" si="9"/>
        <v>11.326084377197743</v>
      </c>
      <c r="W34">
        <f t="shared" si="10"/>
        <v>0.13703618698891959</v>
      </c>
      <c r="X34">
        <f t="shared" si="11"/>
        <v>0.55763642695130167</v>
      </c>
    </row>
    <row r="35" spans="1:24" x14ac:dyDescent="0.2">
      <c r="A35" s="3">
        <v>211.792</v>
      </c>
      <c r="B35" s="5">
        <v>4.2270200000000001E-6</v>
      </c>
      <c r="C35" s="5">
        <v>2.1877499999999998E-5</v>
      </c>
      <c r="D35">
        <f t="shared" si="2"/>
        <v>0.54501545943799334</v>
      </c>
      <c r="E35">
        <f t="shared" si="3"/>
        <v>11.587290658135863</v>
      </c>
      <c r="G35" s="5">
        <v>5.6802100000000001E-6</v>
      </c>
      <c r="H35" s="5">
        <v>1.8882500000000001E-5</v>
      </c>
      <c r="I35" s="4">
        <f t="shared" si="4"/>
        <v>0.82044715605685725</v>
      </c>
      <c r="J35" s="4">
        <f t="shared" si="5"/>
        <v>11.587341523582765</v>
      </c>
      <c r="L35" s="5">
        <v>6.1707899999999996E-6</v>
      </c>
      <c r="M35" s="5">
        <v>2.0396700000000001E-5</v>
      </c>
      <c r="N35" s="4">
        <f t="shared" si="6"/>
        <v>0.54159667184496696</v>
      </c>
      <c r="O35" s="4">
        <f t="shared" si="7"/>
        <v>10.386554365095531</v>
      </c>
      <c r="Q35">
        <f t="shared" si="0"/>
        <v>5.3593399999999999E-6</v>
      </c>
      <c r="R35">
        <f t="shared" si="1"/>
        <v>2.0385566666666667E-5</v>
      </c>
      <c r="T35">
        <f t="shared" si="8"/>
        <v>0.63568642911327256</v>
      </c>
      <c r="U35">
        <f t="shared" si="9"/>
        <v>11.187062182271385</v>
      </c>
      <c r="W35">
        <f t="shared" si="10"/>
        <v>0.13065301806105339</v>
      </c>
      <c r="X35">
        <f t="shared" si="11"/>
        <v>0.56604450629879099</v>
      </c>
    </row>
    <row r="36" spans="1:24" x14ac:dyDescent="0.2">
      <c r="A36" s="3">
        <v>218.12700000000001</v>
      </c>
      <c r="B36" s="5">
        <v>4.14294E-6</v>
      </c>
      <c r="C36" s="5">
        <v>2.1548399999999999E-5</v>
      </c>
      <c r="D36">
        <f t="shared" si="2"/>
        <v>0.53417451242815039</v>
      </c>
      <c r="E36">
        <f t="shared" si="3"/>
        <v>11.412984756840354</v>
      </c>
      <c r="G36" s="5">
        <v>5.53405E-6</v>
      </c>
      <c r="H36" s="5">
        <v>1.86598E-5</v>
      </c>
      <c r="I36" s="4">
        <f t="shared" si="4"/>
        <v>0.79933586680359536</v>
      </c>
      <c r="J36" s="4">
        <f t="shared" si="5"/>
        <v>11.450680543452915</v>
      </c>
      <c r="L36" s="5">
        <v>6.1036700000000001E-6</v>
      </c>
      <c r="M36" s="5">
        <v>2.0218299999999999E-5</v>
      </c>
      <c r="N36" s="4">
        <f t="shared" si="6"/>
        <v>0.53570569700799564</v>
      </c>
      <c r="O36" s="4">
        <f t="shared" si="7"/>
        <v>10.295708233185318</v>
      </c>
      <c r="Q36">
        <f t="shared" si="0"/>
        <v>5.2602199999999998E-6</v>
      </c>
      <c r="R36">
        <f t="shared" si="1"/>
        <v>2.0142166666666668E-5</v>
      </c>
      <c r="T36">
        <f t="shared" si="8"/>
        <v>0.62307202541324713</v>
      </c>
      <c r="U36">
        <f t="shared" si="9"/>
        <v>11.053124511159529</v>
      </c>
      <c r="W36">
        <f t="shared" si="10"/>
        <v>0.1246389250804521</v>
      </c>
      <c r="X36">
        <f t="shared" si="11"/>
        <v>0.53579523867942658</v>
      </c>
    </row>
    <row r="37" spans="1:24" x14ac:dyDescent="0.2">
      <c r="A37" s="3">
        <v>224.291</v>
      </c>
      <c r="B37" s="5">
        <v>4.0886400000000004E-6</v>
      </c>
      <c r="C37" s="5">
        <v>2.15365E-5</v>
      </c>
      <c r="D37">
        <f t="shared" si="2"/>
        <v>0.52717328237778793</v>
      </c>
      <c r="E37">
        <f t="shared" si="3"/>
        <v>11.40668199103842</v>
      </c>
      <c r="G37" s="5">
        <v>5.3975899999999999E-6</v>
      </c>
      <c r="H37" s="5">
        <v>1.8477900000000001E-5</v>
      </c>
      <c r="I37" s="4">
        <f t="shared" si="4"/>
        <v>0.77962564149229197</v>
      </c>
      <c r="J37" s="4">
        <f t="shared" si="5"/>
        <v>11.339056689453725</v>
      </c>
      <c r="L37" s="5">
        <v>6.0401500000000001E-6</v>
      </c>
      <c r="M37" s="5">
        <v>2.0103999999999999E-5</v>
      </c>
      <c r="N37" s="4">
        <f t="shared" si="6"/>
        <v>0.53013068625644</v>
      </c>
      <c r="O37" s="4">
        <f t="shared" si="7"/>
        <v>10.237503564590376</v>
      </c>
      <c r="Q37">
        <f t="shared" si="0"/>
        <v>5.1754599999999996E-6</v>
      </c>
      <c r="R37">
        <f t="shared" si="1"/>
        <v>2.0039466666666667E-5</v>
      </c>
      <c r="T37">
        <f t="shared" si="8"/>
        <v>0.6123098700421733</v>
      </c>
      <c r="U37">
        <f t="shared" si="9"/>
        <v>10.994414081694174</v>
      </c>
      <c r="W37">
        <f t="shared" si="10"/>
        <v>0.11831627696246064</v>
      </c>
      <c r="X37">
        <f t="shared" si="11"/>
        <v>0.53592813170570974</v>
      </c>
    </row>
    <row r="38" spans="1:24" x14ac:dyDescent="0.2">
      <c r="A38" s="3">
        <v>230.49600000000001</v>
      </c>
      <c r="B38" s="5">
        <v>4.0344800000000004E-6</v>
      </c>
      <c r="C38" s="5">
        <v>2.1434399999999999E-5</v>
      </c>
      <c r="D38">
        <f t="shared" si="2"/>
        <v>0.52019010338096239</v>
      </c>
      <c r="E38">
        <f t="shared" si="3"/>
        <v>11.352605319746194</v>
      </c>
      <c r="G38" s="5">
        <v>5.2896500000000003E-6</v>
      </c>
      <c r="H38" s="5">
        <v>1.83197E-5</v>
      </c>
      <c r="I38" s="4">
        <f t="shared" si="4"/>
        <v>0.76403483304950959</v>
      </c>
      <c r="J38" s="4">
        <f t="shared" si="5"/>
        <v>11.241976460192198</v>
      </c>
      <c r="L38" s="5">
        <v>5.9611200000000001E-6</v>
      </c>
      <c r="M38" s="5">
        <v>1.9922700000000002E-5</v>
      </c>
      <c r="N38" s="4">
        <f t="shared" si="6"/>
        <v>0.52319439690355196</v>
      </c>
      <c r="O38" s="4">
        <f t="shared" si="7"/>
        <v>10.145180673809428</v>
      </c>
      <c r="Q38">
        <f t="shared" si="0"/>
        <v>5.0950833333333339E-6</v>
      </c>
      <c r="R38">
        <f t="shared" si="1"/>
        <v>1.9892266666666669E-5</v>
      </c>
      <c r="T38">
        <f t="shared" si="8"/>
        <v>0.60247311111134128</v>
      </c>
      <c r="U38">
        <f t="shared" si="9"/>
        <v>10.913254151249275</v>
      </c>
      <c r="W38">
        <f t="shared" si="10"/>
        <v>0.11424797282406367</v>
      </c>
      <c r="X38">
        <f t="shared" si="11"/>
        <v>0.54498460908020596</v>
      </c>
    </row>
    <row r="39" spans="1:24" x14ac:dyDescent="0.2">
      <c r="A39" s="3">
        <v>236.65600000000001</v>
      </c>
      <c r="B39" s="5">
        <v>3.9724299999999998E-6</v>
      </c>
      <c r="C39" s="5">
        <v>2.1208300000000002E-5</v>
      </c>
      <c r="D39">
        <f t="shared" si="2"/>
        <v>0.51218961858123879</v>
      </c>
      <c r="E39">
        <f t="shared" si="3"/>
        <v>11.232852769509446</v>
      </c>
      <c r="G39" s="5">
        <v>5.1858800000000001E-6</v>
      </c>
      <c r="H39" s="5">
        <v>1.82484E-5</v>
      </c>
      <c r="I39" s="4">
        <f t="shared" si="4"/>
        <v>0.74904633766218764</v>
      </c>
      <c r="J39" s="4">
        <f t="shared" si="5"/>
        <v>11.198222854968765</v>
      </c>
      <c r="L39" s="5">
        <v>5.9204799999999998E-6</v>
      </c>
      <c r="M39" s="5">
        <v>1.9774100000000001E-5</v>
      </c>
      <c r="N39" s="4">
        <f t="shared" si="6"/>
        <v>0.51962751345041558</v>
      </c>
      <c r="O39" s="4">
        <f t="shared" si="7"/>
        <v>10.069509512364036</v>
      </c>
      <c r="Q39">
        <f t="shared" si="0"/>
        <v>5.0262633333333341E-6</v>
      </c>
      <c r="R39">
        <f t="shared" si="1"/>
        <v>1.9743600000000002E-5</v>
      </c>
      <c r="T39">
        <f t="shared" si="8"/>
        <v>0.59362115656461401</v>
      </c>
      <c r="U39">
        <f t="shared" si="9"/>
        <v>10.833528378947415</v>
      </c>
      <c r="W39">
        <f t="shared" si="10"/>
        <v>0.10994413963291075</v>
      </c>
      <c r="X39">
        <f t="shared" si="11"/>
        <v>0.54042787315039431</v>
      </c>
    </row>
    <row r="40" spans="1:24" x14ac:dyDescent="0.2">
      <c r="A40" s="3">
        <v>242.97800000000001</v>
      </c>
      <c r="B40" s="5">
        <v>3.9073099999999997E-6</v>
      </c>
      <c r="C40" s="5">
        <v>2.1071900000000001E-5</v>
      </c>
      <c r="D40">
        <f t="shared" si="2"/>
        <v>0.50379329996467148</v>
      </c>
      <c r="E40">
        <f t="shared" si="3"/>
        <v>11.160609302670467</v>
      </c>
      <c r="G40" s="5">
        <v>5.0801900000000002E-6</v>
      </c>
      <c r="H40" s="5">
        <v>1.8071300000000001E-5</v>
      </c>
      <c r="I40" s="4">
        <f t="shared" si="4"/>
        <v>0.73378051827810686</v>
      </c>
      <c r="J40" s="4">
        <f t="shared" si="5"/>
        <v>11.089544545220242</v>
      </c>
      <c r="L40" s="5">
        <v>5.86527E-6</v>
      </c>
      <c r="M40" s="5">
        <v>1.9617900000000001E-5</v>
      </c>
      <c r="N40" s="4">
        <f t="shared" si="6"/>
        <v>0.51478185312936098</v>
      </c>
      <c r="O40" s="4">
        <f t="shared" si="7"/>
        <v>9.9899682242229204</v>
      </c>
      <c r="Q40">
        <f t="shared" si="0"/>
        <v>4.950923333333333E-6</v>
      </c>
      <c r="R40">
        <f t="shared" si="1"/>
        <v>1.9587033333333334E-5</v>
      </c>
      <c r="T40">
        <f t="shared" si="8"/>
        <v>0.58411855712404648</v>
      </c>
      <c r="U40">
        <f t="shared" si="9"/>
        <v>10.746707357371209</v>
      </c>
      <c r="W40">
        <f t="shared" si="10"/>
        <v>0.10592202804428973</v>
      </c>
      <c r="X40">
        <f t="shared" si="11"/>
        <v>0.53588129075158897</v>
      </c>
    </row>
    <row r="41" spans="1:24" x14ac:dyDescent="0.2">
      <c r="A41" s="3">
        <v>249.12200000000001</v>
      </c>
      <c r="B41" s="5">
        <v>3.85043E-6</v>
      </c>
      <c r="C41" s="5">
        <v>2.0794299999999998E-5</v>
      </c>
      <c r="D41">
        <f t="shared" si="2"/>
        <v>0.49645941478484434</v>
      </c>
      <c r="E41">
        <f t="shared" si="3"/>
        <v>11.013580076904335</v>
      </c>
      <c r="G41" s="5">
        <v>4.9848199999999998E-6</v>
      </c>
      <c r="H41" s="5">
        <v>1.7997999999999999E-5</v>
      </c>
      <c r="I41" s="4">
        <f t="shared" si="4"/>
        <v>0.7200053153766045</v>
      </c>
      <c r="J41" s="4">
        <f t="shared" si="5"/>
        <v>11.044563629892364</v>
      </c>
      <c r="L41" s="5">
        <v>5.8259200000000001E-6</v>
      </c>
      <c r="M41" s="5">
        <v>1.95108E-5</v>
      </c>
      <c r="N41" s="4">
        <f t="shared" si="6"/>
        <v>0.51132819014016517</v>
      </c>
      <c r="O41" s="4">
        <f t="shared" si="7"/>
        <v>9.9354299914449822</v>
      </c>
      <c r="Q41">
        <f t="shared" si="0"/>
        <v>4.8870566666666661E-6</v>
      </c>
      <c r="R41">
        <f t="shared" si="1"/>
        <v>1.9434366666666665E-5</v>
      </c>
      <c r="T41">
        <f t="shared" si="8"/>
        <v>0.57593097343387134</v>
      </c>
      <c r="U41">
        <f t="shared" si="9"/>
        <v>10.66452456608056</v>
      </c>
      <c r="W41">
        <f t="shared" si="10"/>
        <v>0.10205662521305005</v>
      </c>
      <c r="X41">
        <f t="shared" si="11"/>
        <v>0.51570286613592808</v>
      </c>
    </row>
    <row r="42" spans="1:24" x14ac:dyDescent="0.2">
      <c r="A42" s="3">
        <v>262.39</v>
      </c>
      <c r="B42" s="5">
        <v>6.5910399999999998E-4</v>
      </c>
      <c r="C42" s="5">
        <v>1.8090599999999999E-4</v>
      </c>
      <c r="D42">
        <f t="shared" si="2"/>
        <v>84.982297073924215</v>
      </c>
      <c r="E42">
        <f t="shared" si="3"/>
        <v>95.815810938211712</v>
      </c>
      <c r="G42" s="5">
        <v>3.7333100000000002E-4</v>
      </c>
      <c r="H42" s="5">
        <v>1.3579099999999999E-4</v>
      </c>
      <c r="I42" s="4">
        <f t="shared" si="4"/>
        <v>53.92377345518257</v>
      </c>
      <c r="J42" s="4">
        <f t="shared" si="5"/>
        <v>83.328833196283696</v>
      </c>
      <c r="L42" s="5">
        <v>6.1868100000000005E-4</v>
      </c>
      <c r="M42" s="5">
        <v>1.6611299999999999E-4</v>
      </c>
      <c r="N42" s="4">
        <f t="shared" si="6"/>
        <v>54.300271202506657</v>
      </c>
      <c r="O42" s="4">
        <f t="shared" si="7"/>
        <v>84.589257343056161</v>
      </c>
      <c r="Q42">
        <f t="shared" si="0"/>
        <v>5.5037200000000004E-4</v>
      </c>
      <c r="R42">
        <f t="shared" si="1"/>
        <v>1.6093666666666665E-4</v>
      </c>
      <c r="T42">
        <f t="shared" si="8"/>
        <v>64.402113910537807</v>
      </c>
      <c r="U42">
        <f t="shared" si="9"/>
        <v>87.911300492517185</v>
      </c>
      <c r="W42">
        <f t="shared" si="10"/>
        <v>14.553198775924034</v>
      </c>
      <c r="X42">
        <f t="shared" si="11"/>
        <v>5.6129689883941767</v>
      </c>
    </row>
    <row r="43" spans="1:24" x14ac:dyDescent="0.2">
      <c r="A43" s="3">
        <v>268.47800000000001</v>
      </c>
      <c r="B43" s="5">
        <v>7.0104499999999997E-4</v>
      </c>
      <c r="C43" s="5">
        <v>1.8097100000000001E-4</v>
      </c>
      <c r="D43">
        <f t="shared" si="2"/>
        <v>90.390005905273227</v>
      </c>
      <c r="E43">
        <f t="shared" si="3"/>
        <v>95.850237810239094</v>
      </c>
      <c r="G43" s="5">
        <v>3.9820300000000002E-4</v>
      </c>
      <c r="H43" s="5">
        <v>1.3685600000000001E-4</v>
      </c>
      <c r="I43" s="4">
        <f t="shared" si="4"/>
        <v>57.51627472986187</v>
      </c>
      <c r="J43" s="4">
        <f t="shared" si="5"/>
        <v>83.982375826900196</v>
      </c>
      <c r="L43" s="5">
        <v>6.4003900000000002E-4</v>
      </c>
      <c r="M43" s="5">
        <v>1.6558799999999999E-4</v>
      </c>
      <c r="N43" s="4">
        <f t="shared" si="6"/>
        <v>56.174815907036347</v>
      </c>
      <c r="O43" s="4">
        <f t="shared" si="7"/>
        <v>84.321913064732954</v>
      </c>
      <c r="Q43">
        <f t="shared" si="0"/>
        <v>5.7976233333333332E-4</v>
      </c>
      <c r="R43">
        <f t="shared" si="1"/>
        <v>1.6113833333333334E-4</v>
      </c>
      <c r="T43">
        <f t="shared" si="8"/>
        <v>68.027032180723822</v>
      </c>
      <c r="U43">
        <f t="shared" si="9"/>
        <v>88.051508900624071</v>
      </c>
      <c r="W43">
        <f t="shared" si="10"/>
        <v>15.822490813122048</v>
      </c>
      <c r="X43">
        <f t="shared" si="11"/>
        <v>5.516275968333316</v>
      </c>
    </row>
    <row r="44" spans="1:24" x14ac:dyDescent="0.2">
      <c r="A44" s="3">
        <v>274.68700000000001</v>
      </c>
      <c r="B44" s="5">
        <v>7.3596800000000004E-4</v>
      </c>
      <c r="C44" s="5">
        <v>1.7990500000000001E-4</v>
      </c>
      <c r="D44">
        <f t="shared" si="2"/>
        <v>94.892841210039492</v>
      </c>
      <c r="E44">
        <f t="shared" si="3"/>
        <v>95.285637108990187</v>
      </c>
      <c r="G44" s="5">
        <v>4.1875000000000001E-4</v>
      </c>
      <c r="H44" s="5">
        <v>1.4002700000000001E-4</v>
      </c>
      <c r="I44" s="4">
        <f t="shared" si="4"/>
        <v>60.484074813925716</v>
      </c>
      <c r="J44" s="4">
        <f t="shared" si="5"/>
        <v>85.9282759974963</v>
      </c>
      <c r="L44" s="5">
        <v>6.5303699999999998E-4</v>
      </c>
      <c r="M44" s="5">
        <v>1.62106E-4</v>
      </c>
      <c r="N44" s="4">
        <f t="shared" si="6"/>
        <v>57.315621790989759</v>
      </c>
      <c r="O44" s="4">
        <f t="shared" si="7"/>
        <v>82.548783965454021</v>
      </c>
      <c r="Q44">
        <f t="shared" si="0"/>
        <v>6.0258499999999999E-4</v>
      </c>
      <c r="R44">
        <f t="shared" si="1"/>
        <v>1.6067933333333332E-4</v>
      </c>
      <c r="T44">
        <f t="shared" si="8"/>
        <v>70.897512604984982</v>
      </c>
      <c r="U44">
        <f t="shared" si="9"/>
        <v>87.920899023980155</v>
      </c>
      <c r="W44">
        <f t="shared" si="10"/>
        <v>17.016494346918169</v>
      </c>
      <c r="X44">
        <f t="shared" si="11"/>
        <v>5.387316394041167</v>
      </c>
    </row>
    <row r="45" spans="1:24" x14ac:dyDescent="0.2">
      <c r="A45" s="3">
        <v>280.96300000000002</v>
      </c>
      <c r="B45" s="5">
        <v>7.7251900000000005E-4</v>
      </c>
      <c r="C45" s="5">
        <v>1.8411999999999999E-4</v>
      </c>
      <c r="D45">
        <f t="shared" si="2"/>
        <v>99.605584480219918</v>
      </c>
      <c r="E45">
        <f t="shared" si="3"/>
        <v>97.518087348918996</v>
      </c>
      <c r="G45" s="5">
        <v>4.38956E-4</v>
      </c>
      <c r="H45" s="5">
        <v>1.42452E-4</v>
      </c>
      <c r="I45" s="4">
        <f t="shared" si="4"/>
        <v>63.40262100064853</v>
      </c>
      <c r="J45" s="4">
        <f t="shared" si="5"/>
        <v>87.416389499134752</v>
      </c>
      <c r="L45" s="5">
        <v>6.68525E-4</v>
      </c>
      <c r="M45" s="5">
        <v>1.6730799999999999E-4</v>
      </c>
      <c r="N45" s="4">
        <f t="shared" si="6"/>
        <v>58.674969500688981</v>
      </c>
      <c r="O45" s="4">
        <f t="shared" si="7"/>
        <v>85.197783843239492</v>
      </c>
      <c r="Q45">
        <f t="shared" si="0"/>
        <v>6.2666666666666676E-4</v>
      </c>
      <c r="R45">
        <f t="shared" si="1"/>
        <v>1.6462666666666669E-4</v>
      </c>
      <c r="T45">
        <f t="shared" si="8"/>
        <v>73.894391660519133</v>
      </c>
      <c r="U45">
        <f t="shared" si="9"/>
        <v>90.044086897097756</v>
      </c>
      <c r="W45">
        <f t="shared" si="10"/>
        <v>18.28271951570925</v>
      </c>
      <c r="X45">
        <f t="shared" si="11"/>
        <v>5.3619688442126554</v>
      </c>
    </row>
    <row r="46" spans="1:24" x14ac:dyDescent="0.2">
      <c r="A46" s="3">
        <v>287.22800000000001</v>
      </c>
      <c r="B46" s="5">
        <v>8.0780999999999995E-4</v>
      </c>
      <c r="C46" s="5">
        <v>1.8581000000000001E-4</v>
      </c>
      <c r="D46">
        <f t="shared" si="2"/>
        <v>104.15586826856872</v>
      </c>
      <c r="E46">
        <f t="shared" si="3"/>
        <v>98.413186021630679</v>
      </c>
      <c r="G46" s="5">
        <v>4.6032799999999997E-4</v>
      </c>
      <c r="H46" s="5">
        <v>1.4731400000000001E-4</v>
      </c>
      <c r="I46" s="4">
        <f t="shared" si="4"/>
        <v>66.489583739569653</v>
      </c>
      <c r="J46" s="4">
        <f t="shared" si="5"/>
        <v>90.399980363038338</v>
      </c>
      <c r="L46" s="5">
        <v>6.7738399999999995E-4</v>
      </c>
      <c r="M46" s="5">
        <v>1.6356699999999999E-4</v>
      </c>
      <c r="N46" s="4">
        <f t="shared" si="6"/>
        <v>59.452504454215926</v>
      </c>
      <c r="O46" s="4">
        <f t="shared" si="7"/>
        <v>83.292764899987773</v>
      </c>
      <c r="Q46">
        <f t="shared" si="0"/>
        <v>6.4850733333333326E-4</v>
      </c>
      <c r="R46">
        <f t="shared" si="1"/>
        <v>1.655636666666667E-4</v>
      </c>
      <c r="T46">
        <f t="shared" si="8"/>
        <v>76.699318820784768</v>
      </c>
      <c r="U46">
        <f t="shared" si="9"/>
        <v>90.701977094885592</v>
      </c>
      <c r="W46">
        <f t="shared" si="10"/>
        <v>19.626116985640035</v>
      </c>
      <c r="X46">
        <f t="shared" si="11"/>
        <v>6.1765786237739011</v>
      </c>
    </row>
    <row r="47" spans="1:24" x14ac:dyDescent="0.2">
      <c r="A47" s="3">
        <v>293.29300000000001</v>
      </c>
      <c r="B47" s="5">
        <v>8.37464E-4</v>
      </c>
      <c r="C47" s="5">
        <v>1.87493E-4</v>
      </c>
      <c r="D47">
        <f t="shared" si="2"/>
        <v>107.97933927986611</v>
      </c>
      <c r="E47">
        <f t="shared" si="3"/>
        <v>99.304577185047094</v>
      </c>
      <c r="G47" s="5">
        <v>4.8010700000000002E-4</v>
      </c>
      <c r="H47" s="5">
        <v>1.50168E-4</v>
      </c>
      <c r="I47" s="4">
        <f t="shared" si="4"/>
        <v>69.346454224929985</v>
      </c>
      <c r="J47" s="4">
        <f t="shared" si="5"/>
        <v>92.15135188208005</v>
      </c>
      <c r="L47" s="5">
        <v>7.0124300000000005E-4</v>
      </c>
      <c r="M47" s="5">
        <v>1.7293199999999999E-4</v>
      </c>
      <c r="N47" s="4">
        <f t="shared" si="6"/>
        <v>61.546556430307987</v>
      </c>
      <c r="O47" s="4">
        <f t="shared" si="7"/>
        <v>88.061677598077154</v>
      </c>
      <c r="Q47">
        <f t="shared" si="0"/>
        <v>6.7293799999999999E-4</v>
      </c>
      <c r="R47">
        <f t="shared" si="1"/>
        <v>1.7019766666666664E-4</v>
      </c>
      <c r="T47">
        <f t="shared" si="8"/>
        <v>79.62411664503469</v>
      </c>
      <c r="U47">
        <f t="shared" si="9"/>
        <v>93.172535555068109</v>
      </c>
      <c r="W47">
        <f t="shared" si="10"/>
        <v>20.301454617913151</v>
      </c>
      <c r="X47">
        <f t="shared" si="11"/>
        <v>4.6463469414982521</v>
      </c>
    </row>
    <row r="48" spans="1:24" x14ac:dyDescent="0.2">
      <c r="A48" s="3">
        <v>299.63400000000001</v>
      </c>
      <c r="B48" s="5">
        <v>8.6320099999999996E-4</v>
      </c>
      <c r="C48" s="5">
        <v>1.92881E-4</v>
      </c>
      <c r="D48">
        <f t="shared" si="2"/>
        <v>111.29776760042188</v>
      </c>
      <c r="E48">
        <f t="shared" si="3"/>
        <v>102.15830005402371</v>
      </c>
      <c r="G48" s="5">
        <v>5.0044900000000003E-4</v>
      </c>
      <c r="H48" s="5">
        <v>1.5315000000000001E-4</v>
      </c>
      <c r="I48" s="4">
        <f t="shared" si="4"/>
        <v>72.284644194756552</v>
      </c>
      <c r="J48" s="4">
        <f t="shared" si="5"/>
        <v>93.981271247806191</v>
      </c>
      <c r="L48" s="5">
        <v>7.1158400000000002E-4</v>
      </c>
      <c r="M48" s="5">
        <v>1.6843000000000001E-4</v>
      </c>
      <c r="N48" s="4">
        <f t="shared" si="6"/>
        <v>62.454163265664363</v>
      </c>
      <c r="O48" s="4">
        <f t="shared" si="7"/>
        <v>85.769136758055978</v>
      </c>
      <c r="Q48">
        <f t="shared" si="0"/>
        <v>6.9174466666666664E-4</v>
      </c>
      <c r="R48">
        <f t="shared" si="1"/>
        <v>1.7148700000000001E-4</v>
      </c>
      <c r="T48">
        <f t="shared" si="8"/>
        <v>82.012191686947588</v>
      </c>
      <c r="U48">
        <f t="shared" si="9"/>
        <v>93.969569353295299</v>
      </c>
      <c r="W48">
        <f t="shared" si="10"/>
        <v>21.093337119608968</v>
      </c>
      <c r="X48">
        <f t="shared" si="11"/>
        <v>6.6908530141891154</v>
      </c>
    </row>
    <row r="49" spans="1:24" x14ac:dyDescent="0.2">
      <c r="A49" s="3">
        <v>305.762</v>
      </c>
      <c r="B49" s="5">
        <v>8.8706600000000005E-4</v>
      </c>
      <c r="C49" s="5">
        <v>1.9612000000000001E-4</v>
      </c>
      <c r="D49">
        <f t="shared" si="2"/>
        <v>114.37482754797068</v>
      </c>
      <c r="E49">
        <f t="shared" si="3"/>
        <v>103.87381756935692</v>
      </c>
      <c r="G49" s="5">
        <v>5.2028600000000001E-4</v>
      </c>
      <c r="H49" s="5">
        <v>1.5472199999999999E-4</v>
      </c>
      <c r="I49" s="4">
        <f t="shared" si="4"/>
        <v>75.149892175852301</v>
      </c>
      <c r="J49" s="4">
        <f t="shared" si="5"/>
        <v>94.945936989899238</v>
      </c>
      <c r="L49" s="5">
        <v>7.3024400000000001E-4</v>
      </c>
      <c r="M49" s="5">
        <v>1.7382500000000001E-4</v>
      </c>
      <c r="N49" s="4">
        <f t="shared" si="6"/>
        <v>64.091910441735351</v>
      </c>
      <c r="O49" s="4">
        <f t="shared" si="7"/>
        <v>88.516417484825027</v>
      </c>
      <c r="Q49">
        <f t="shared" si="0"/>
        <v>7.125320000000001E-4</v>
      </c>
      <c r="R49">
        <f t="shared" si="1"/>
        <v>1.7488899999999999E-4</v>
      </c>
      <c r="T49">
        <f t="shared" si="8"/>
        <v>84.538876721852773</v>
      </c>
      <c r="U49">
        <f t="shared" si="9"/>
        <v>95.778724014693736</v>
      </c>
      <c r="W49">
        <f t="shared" si="10"/>
        <v>21.574795654218232</v>
      </c>
      <c r="X49">
        <f t="shared" si="11"/>
        <v>6.2972261094651589</v>
      </c>
    </row>
    <row r="50" spans="1:24" x14ac:dyDescent="0.2">
      <c r="A50" s="3">
        <v>312.01600000000002</v>
      </c>
      <c r="B50" s="5">
        <v>9.10544E-4</v>
      </c>
      <c r="C50" s="5">
        <v>2.00779E-4</v>
      </c>
      <c r="D50">
        <f t="shared" si="2"/>
        <v>117.40198922609977</v>
      </c>
      <c r="E50">
        <f t="shared" si="3"/>
        <v>106.34142982744193</v>
      </c>
      <c r="G50" s="5">
        <v>5.4022499999999997E-4</v>
      </c>
      <c r="H50" s="5">
        <v>1.5937500000000001E-4</v>
      </c>
      <c r="I50" s="4">
        <f t="shared" si="4"/>
        <v>78.029872994275848</v>
      </c>
      <c r="J50" s="4">
        <f t="shared" si="5"/>
        <v>97.801273947888419</v>
      </c>
      <c r="L50" s="5">
        <v>7.4123500000000003E-4</v>
      </c>
      <c r="M50" s="5">
        <v>1.7566000000000001E-4</v>
      </c>
      <c r="N50" s="4">
        <f t="shared" si="6"/>
        <v>65.056566348069538</v>
      </c>
      <c r="O50" s="4">
        <f t="shared" si="7"/>
        <v>89.450849390964265</v>
      </c>
      <c r="Q50">
        <f t="shared" si="0"/>
        <v>7.3066799999999996E-4</v>
      </c>
      <c r="R50">
        <f t="shared" si="1"/>
        <v>1.7860466666666668E-4</v>
      </c>
      <c r="T50">
        <f t="shared" si="8"/>
        <v>86.829476189481724</v>
      </c>
      <c r="U50">
        <f t="shared" si="9"/>
        <v>97.864517722098199</v>
      </c>
      <c r="W50">
        <f t="shared" si="10"/>
        <v>22.257367115403376</v>
      </c>
      <c r="X50">
        <f t="shared" si="11"/>
        <v>6.8956955995032496</v>
      </c>
    </row>
    <row r="51" spans="1:24" x14ac:dyDescent="0.2">
      <c r="A51" s="3">
        <v>318.25299999999999</v>
      </c>
      <c r="B51" s="5">
        <v>9.3287999999999997E-4</v>
      </c>
      <c r="C51" s="5">
        <v>2.0163900000000001E-4</v>
      </c>
      <c r="D51">
        <f t="shared" si="2"/>
        <v>120.28190588180685</v>
      </c>
      <c r="E51">
        <f t="shared" si="3"/>
        <v>106.79692382657331</v>
      </c>
      <c r="G51" s="5">
        <v>5.6102400000000003E-4</v>
      </c>
      <c r="H51" s="5">
        <v>1.6331599999999999E-4</v>
      </c>
      <c r="I51" s="4">
        <f t="shared" si="4"/>
        <v>81.034071852914295</v>
      </c>
      <c r="J51" s="4">
        <f t="shared" si="5"/>
        <v>100.2196885086955</v>
      </c>
      <c r="L51" s="5">
        <v>7.5532699999999997E-4</v>
      </c>
      <c r="M51" s="5">
        <v>1.7902799999999999E-4</v>
      </c>
      <c r="N51" s="4">
        <f t="shared" si="6"/>
        <v>66.293390206868708</v>
      </c>
      <c r="O51" s="4">
        <f t="shared" si="7"/>
        <v>91.165926589807299</v>
      </c>
      <c r="Q51">
        <f t="shared" si="0"/>
        <v>7.4974366666666662E-4</v>
      </c>
      <c r="R51">
        <f t="shared" si="1"/>
        <v>1.8132766666666668E-4</v>
      </c>
      <c r="T51">
        <f t="shared" si="8"/>
        <v>89.203122647196622</v>
      </c>
      <c r="U51">
        <f t="shared" si="9"/>
        <v>99.39417964169202</v>
      </c>
      <c r="W51">
        <f t="shared" si="10"/>
        <v>22.785082830007159</v>
      </c>
      <c r="X51">
        <f t="shared" si="11"/>
        <v>6.4079698980292052</v>
      </c>
    </row>
    <row r="52" spans="1:24" x14ac:dyDescent="0.2">
      <c r="A52" s="3">
        <v>324.49900000000002</v>
      </c>
      <c r="B52" s="5">
        <v>9.5615000000000001E-4</v>
      </c>
      <c r="C52" s="5">
        <v>2.0311600000000001E-4</v>
      </c>
      <c r="D52">
        <f t="shared" si="2"/>
        <v>123.28224885182406</v>
      </c>
      <c r="E52">
        <f t="shared" si="3"/>
        <v>107.57920828787222</v>
      </c>
      <c r="G52" s="5">
        <v>5.7907399999999995E-4</v>
      </c>
      <c r="H52" s="5">
        <v>1.6828200000000001E-4</v>
      </c>
      <c r="I52" s="4">
        <f t="shared" si="4"/>
        <v>83.641206301610055</v>
      </c>
      <c r="J52" s="4">
        <f t="shared" si="5"/>
        <v>103.26709949803016</v>
      </c>
      <c r="L52" s="5">
        <v>7.7003800000000002E-4</v>
      </c>
      <c r="M52" s="5">
        <v>1.7351500000000001E-4</v>
      </c>
      <c r="N52" s="4">
        <f t="shared" si="6"/>
        <v>67.584542334799053</v>
      </c>
      <c r="O52" s="4">
        <f t="shared" si="7"/>
        <v>88.358557053815133</v>
      </c>
      <c r="Q52">
        <f t="shared" si="0"/>
        <v>7.6842066666666655E-4</v>
      </c>
      <c r="R52">
        <f t="shared" si="1"/>
        <v>1.8163766666666665E-4</v>
      </c>
      <c r="T52">
        <f t="shared" si="8"/>
        <v>91.502665829411058</v>
      </c>
      <c r="U52">
        <f t="shared" si="9"/>
        <v>99.7349549465725</v>
      </c>
      <c r="W52">
        <f t="shared" si="10"/>
        <v>23.408125900273738</v>
      </c>
      <c r="X52">
        <f t="shared" si="11"/>
        <v>8.2346986309805352</v>
      </c>
    </row>
    <row r="53" spans="1:24" x14ac:dyDescent="0.2">
      <c r="A53" s="3">
        <v>330.63499999999999</v>
      </c>
      <c r="B53" s="5">
        <v>9.8441499999999999E-4</v>
      </c>
      <c r="C53" s="5">
        <v>2.0783800000000001E-4</v>
      </c>
      <c r="D53">
        <f t="shared" si="2"/>
        <v>126.92662762481659</v>
      </c>
      <c r="E53">
        <f t="shared" si="3"/>
        <v>110.08018812961453</v>
      </c>
      <c r="G53" s="5">
        <v>6.0186300000000001E-4</v>
      </c>
      <c r="H53" s="5">
        <v>1.7177699999999999E-4</v>
      </c>
      <c r="I53" s="4">
        <f t="shared" si="4"/>
        <v>86.932839927722426</v>
      </c>
      <c r="J53" s="4">
        <f t="shared" si="5"/>
        <v>105.41182390554621</v>
      </c>
      <c r="L53" s="5">
        <v>7.8506599999999995E-4</v>
      </c>
      <c r="M53" s="5">
        <v>1.7743899999999999E-4</v>
      </c>
      <c r="N53" s="4">
        <f t="shared" si="6"/>
        <v>68.903516855806274</v>
      </c>
      <c r="O53" s="4">
        <f t="shared" si="7"/>
        <v>90.356764574082376</v>
      </c>
      <c r="Q53">
        <f t="shared" si="0"/>
        <v>7.9044800000000002E-4</v>
      </c>
      <c r="R53">
        <f t="shared" si="1"/>
        <v>1.8568466666666665E-4</v>
      </c>
      <c r="T53">
        <f t="shared" si="8"/>
        <v>94.254328136115092</v>
      </c>
      <c r="U53">
        <f t="shared" si="9"/>
        <v>101.94959220308105</v>
      </c>
      <c r="W53">
        <f t="shared" si="10"/>
        <v>24.246972154854486</v>
      </c>
      <c r="X53">
        <f t="shared" si="11"/>
        <v>8.416002434208151</v>
      </c>
    </row>
    <row r="54" spans="1:24" x14ac:dyDescent="0.2">
      <c r="A54" s="3">
        <v>336.85700000000003</v>
      </c>
      <c r="B54" s="5">
        <v>1.0153499999999999E-3</v>
      </c>
      <c r="C54" s="5">
        <v>2.0961999999999999E-4</v>
      </c>
      <c r="D54">
        <f t="shared" si="2"/>
        <v>130.91526577597611</v>
      </c>
      <c r="E54">
        <f t="shared" si="3"/>
        <v>111.02401406734954</v>
      </c>
      <c r="G54" s="5">
        <v>6.2156899999999998E-4</v>
      </c>
      <c r="H54" s="5">
        <v>1.7243599999999999E-4</v>
      </c>
      <c r="I54" s="4">
        <f t="shared" si="4"/>
        <v>89.779166323622647</v>
      </c>
      <c r="J54" s="4">
        <f t="shared" si="5"/>
        <v>105.81622258496053</v>
      </c>
      <c r="L54" s="5">
        <v>7.9959499999999995E-4</v>
      </c>
      <c r="M54" s="5">
        <v>1.7661700000000001E-4</v>
      </c>
      <c r="N54" s="4">
        <f t="shared" si="6"/>
        <v>70.178695243862833</v>
      </c>
      <c r="O54" s="4">
        <f t="shared" si="7"/>
        <v>89.938179818307745</v>
      </c>
      <c r="Q54">
        <f t="shared" si="0"/>
        <v>8.1217133333333325E-4</v>
      </c>
      <c r="R54">
        <f t="shared" si="1"/>
        <v>1.8622433333333332E-4</v>
      </c>
      <c r="T54">
        <f t="shared" si="8"/>
        <v>96.957709114487201</v>
      </c>
      <c r="U54">
        <f t="shared" si="9"/>
        <v>102.2594721568726</v>
      </c>
      <c r="W54">
        <f t="shared" si="10"/>
        <v>25.309831521246142</v>
      </c>
      <c r="X54">
        <f t="shared" si="11"/>
        <v>8.968127143772131</v>
      </c>
    </row>
    <row r="55" spans="1:24" x14ac:dyDescent="0.2">
      <c r="A55" s="3">
        <v>343.11</v>
      </c>
      <c r="B55" s="5">
        <v>1.04306E-3</v>
      </c>
      <c r="C55" s="5">
        <v>2.1489799999999999E-4</v>
      </c>
      <c r="D55">
        <f t="shared" si="2"/>
        <v>134.4880850153047</v>
      </c>
      <c r="E55">
        <f t="shared" si="3"/>
        <v>113.81947607597216</v>
      </c>
      <c r="G55" s="5">
        <v>6.3990599999999998E-4</v>
      </c>
      <c r="H55" s="5">
        <v>1.7663499999999999E-4</v>
      </c>
      <c r="I55" s="4">
        <f t="shared" si="4"/>
        <v>92.427754932250608</v>
      </c>
      <c r="J55" s="4">
        <f t="shared" si="5"/>
        <v>108.39296014924091</v>
      </c>
      <c r="L55" s="5">
        <v>8.1562599999999996E-4</v>
      </c>
      <c r="M55" s="5">
        <v>1.7780000000000001E-4</v>
      </c>
      <c r="N55" s="4">
        <f t="shared" si="6"/>
        <v>71.585700869778918</v>
      </c>
      <c r="O55" s="4">
        <f t="shared" si="7"/>
        <v>90.540595592129392</v>
      </c>
      <c r="Q55">
        <f t="shared" si="0"/>
        <v>8.32864E-4</v>
      </c>
      <c r="R55">
        <f t="shared" si="1"/>
        <v>1.8977766666666666E-4</v>
      </c>
      <c r="T55">
        <f t="shared" si="8"/>
        <v>99.500513605778067</v>
      </c>
      <c r="U55">
        <f t="shared" si="9"/>
        <v>104.25101060578083</v>
      </c>
      <c r="W55">
        <f t="shared" si="10"/>
        <v>26.162255499584269</v>
      </c>
      <c r="X55">
        <f t="shared" si="11"/>
        <v>9.9446259745548282</v>
      </c>
    </row>
    <row r="56" spans="1:24" x14ac:dyDescent="0.2">
      <c r="A56" s="3">
        <v>349.24900000000002</v>
      </c>
      <c r="B56" s="5">
        <v>1.0656800000000001E-3</v>
      </c>
      <c r="C56" s="5">
        <v>2.2153799999999999E-4</v>
      </c>
      <c r="D56">
        <f t="shared" si="2"/>
        <v>137.4046195224723</v>
      </c>
      <c r="E56">
        <f t="shared" si="3"/>
        <v>117.33631346461446</v>
      </c>
      <c r="G56" s="5">
        <v>6.6372600000000001E-4</v>
      </c>
      <c r="H56" s="5">
        <v>1.8153000000000001E-4</v>
      </c>
      <c r="I56" s="4">
        <f t="shared" si="4"/>
        <v>95.868305767039175</v>
      </c>
      <c r="J56" s="4">
        <f t="shared" si="5"/>
        <v>111.39680162986782</v>
      </c>
      <c r="L56" s="5">
        <v>8.3454000000000004E-4</v>
      </c>
      <c r="M56" s="5">
        <v>1.8596199999999999E-4</v>
      </c>
      <c r="N56" s="4">
        <f t="shared" si="6"/>
        <v>73.245741067432007</v>
      </c>
      <c r="O56" s="4">
        <f t="shared" si="7"/>
        <v>94.696907972460991</v>
      </c>
      <c r="Q56">
        <f t="shared" si="0"/>
        <v>8.546486666666667E-4</v>
      </c>
      <c r="R56">
        <f t="shared" si="1"/>
        <v>1.9634333333333335E-4</v>
      </c>
      <c r="T56">
        <f t="shared" si="8"/>
        <v>102.17288878564783</v>
      </c>
      <c r="U56">
        <f t="shared" si="9"/>
        <v>107.81000768898109</v>
      </c>
      <c r="W56">
        <f t="shared" si="10"/>
        <v>26.569421602424288</v>
      </c>
      <c r="X56">
        <f t="shared" si="11"/>
        <v>9.5841705723664834</v>
      </c>
    </row>
    <row r="57" spans="1:24" x14ac:dyDescent="0.2">
      <c r="A57" s="3">
        <v>355.43799999999999</v>
      </c>
      <c r="B57" s="5">
        <v>1.10114E-3</v>
      </c>
      <c r="C57" s="5">
        <v>2.2639700000000001E-4</v>
      </c>
      <c r="D57">
        <f t="shared" si="2"/>
        <v>141.97669351116201</v>
      </c>
      <c r="E57">
        <f t="shared" si="3"/>
        <v>119.9098545597068</v>
      </c>
      <c r="G57" s="5">
        <v>6.8271599999999999E-4</v>
      </c>
      <c r="H57" s="5">
        <v>1.84265E-4</v>
      </c>
      <c r="I57" s="4">
        <f t="shared" si="4"/>
        <v>98.611213422481441</v>
      </c>
      <c r="J57" s="4">
        <f t="shared" si="5"/>
        <v>113.07514819769511</v>
      </c>
      <c r="L57" s="5">
        <v>8.4556300000000002E-4</v>
      </c>
      <c r="M57" s="5">
        <v>1.8362399999999999E-4</v>
      </c>
      <c r="N57" s="4">
        <f t="shared" si="6"/>
        <v>74.213205543414347</v>
      </c>
      <c r="O57" s="4">
        <f t="shared" si="7"/>
        <v>93.506334786328267</v>
      </c>
      <c r="Q57">
        <f t="shared" si="0"/>
        <v>8.7647300000000001E-4</v>
      </c>
      <c r="R57">
        <f t="shared" si="1"/>
        <v>1.9809533333333331E-4</v>
      </c>
      <c r="T57">
        <f t="shared" si="8"/>
        <v>104.93370415901927</v>
      </c>
      <c r="U57">
        <f t="shared" si="9"/>
        <v>108.83044584791007</v>
      </c>
      <c r="W57">
        <f t="shared" si="10"/>
        <v>28.023240262610301</v>
      </c>
      <c r="X57">
        <f t="shared" si="11"/>
        <v>11.189268300012483</v>
      </c>
    </row>
    <row r="58" spans="1:24" x14ac:dyDescent="0.2">
      <c r="A58" s="3">
        <v>361.74700000000001</v>
      </c>
      <c r="B58" s="5">
        <v>1.12907E-3</v>
      </c>
      <c r="C58" s="5">
        <v>2.3242799999999999E-4</v>
      </c>
      <c r="D58">
        <f t="shared" si="2"/>
        <v>145.57787869176281</v>
      </c>
      <c r="E58">
        <f t="shared" si="3"/>
        <v>123.10413863966187</v>
      </c>
      <c r="G58" s="5">
        <v>7.0494500000000001E-4</v>
      </c>
      <c r="H58" s="5">
        <v>1.8787799999999999E-4</v>
      </c>
      <c r="I58" s="4">
        <f t="shared" si="4"/>
        <v>101.8219608828725</v>
      </c>
      <c r="J58" s="4">
        <f t="shared" si="5"/>
        <v>115.29228390137337</v>
      </c>
      <c r="L58" s="5">
        <v>8.6682999999999997E-4</v>
      </c>
      <c r="M58" s="5">
        <v>1.9118E-4</v>
      </c>
      <c r="N58" s="4">
        <f t="shared" si="6"/>
        <v>76.079763378007144</v>
      </c>
      <c r="O58" s="4">
        <f t="shared" si="7"/>
        <v>97.354055485395364</v>
      </c>
      <c r="Q58">
        <f t="shared" si="0"/>
        <v>9.002816666666666E-4</v>
      </c>
      <c r="R58">
        <f t="shared" si="1"/>
        <v>2.0382866666666664E-4</v>
      </c>
      <c r="T58">
        <f t="shared" si="8"/>
        <v>107.82653431754748</v>
      </c>
      <c r="U58">
        <f t="shared" si="9"/>
        <v>111.91682600881019</v>
      </c>
      <c r="W58">
        <f t="shared" si="10"/>
        <v>28.688420249760735</v>
      </c>
      <c r="X58">
        <f t="shared" si="11"/>
        <v>10.77998090911297</v>
      </c>
    </row>
    <row r="59" spans="1:24" x14ac:dyDescent="0.2">
      <c r="A59" s="3">
        <v>367.81400000000002</v>
      </c>
      <c r="B59" s="5">
        <v>1.1544599999999999E-3</v>
      </c>
      <c r="C59" s="5">
        <v>2.34081E-4</v>
      </c>
      <c r="D59">
        <f t="shared" si="2"/>
        <v>148.85156618676652</v>
      </c>
      <c r="E59">
        <f t="shared" si="3"/>
        <v>123.97964047752721</v>
      </c>
      <c r="G59" s="5">
        <v>7.2467400000000002E-4</v>
      </c>
      <c r="H59" s="5">
        <v>1.9123999999999999E-4</v>
      </c>
      <c r="I59" s="4">
        <f t="shared" si="4"/>
        <v>104.67160938915056</v>
      </c>
      <c r="J59" s="4">
        <f t="shared" si="5"/>
        <v>117.35539218694389</v>
      </c>
      <c r="L59" s="5">
        <v>8.8033100000000004E-4</v>
      </c>
      <c r="M59" s="5">
        <v>1.8886E-4</v>
      </c>
      <c r="N59" s="4">
        <f t="shared" si="6"/>
        <v>77.26471646611725</v>
      </c>
      <c r="O59" s="4">
        <f t="shared" si="7"/>
        <v>96.172648388805143</v>
      </c>
      <c r="Q59">
        <f t="shared" si="0"/>
        <v>9.1982166666666667E-4</v>
      </c>
      <c r="R59">
        <f t="shared" si="1"/>
        <v>2.0472700000000001E-4</v>
      </c>
      <c r="T59">
        <f t="shared" si="8"/>
        <v>110.26263068067811</v>
      </c>
      <c r="U59">
        <f t="shared" si="9"/>
        <v>112.50256035109209</v>
      </c>
      <c r="W59">
        <f t="shared" si="10"/>
        <v>29.491398774822901</v>
      </c>
      <c r="X59">
        <f t="shared" si="11"/>
        <v>11.859445880137246</v>
      </c>
    </row>
    <row r="60" spans="1:24" x14ac:dyDescent="0.2">
      <c r="A60" s="3">
        <v>374.17599999999999</v>
      </c>
      <c r="B60" s="5">
        <v>1.17836E-3</v>
      </c>
      <c r="C60" s="5">
        <v>2.3412800000000001E-4</v>
      </c>
      <c r="D60">
        <f t="shared" si="2"/>
        <v>151.93313889769954</v>
      </c>
      <c r="E60">
        <f t="shared" si="3"/>
        <v>124.00453375422391</v>
      </c>
      <c r="G60" s="5">
        <v>7.4766399999999999E-4</v>
      </c>
      <c r="H60" s="5">
        <v>1.9496300000000001E-4</v>
      </c>
      <c r="I60" s="4">
        <f t="shared" si="4"/>
        <v>107.99227537117362</v>
      </c>
      <c r="J60" s="4">
        <f t="shared" si="5"/>
        <v>119.64002994636655</v>
      </c>
      <c r="L60" s="5">
        <v>9.0020900000000001E-4</v>
      </c>
      <c r="M60" s="5">
        <v>1.9418300000000001E-4</v>
      </c>
      <c r="N60" s="4">
        <f t="shared" si="6"/>
        <v>79.009364824420516</v>
      </c>
      <c r="O60" s="4">
        <f t="shared" si="7"/>
        <v>98.883264757404163</v>
      </c>
      <c r="Q60">
        <f t="shared" si="0"/>
        <v>9.4207766666666668E-4</v>
      </c>
      <c r="R60">
        <f t="shared" si="1"/>
        <v>2.0775800000000003E-4</v>
      </c>
      <c r="T60">
        <f t="shared" si="8"/>
        <v>112.97825969776456</v>
      </c>
      <c r="U60">
        <f t="shared" si="9"/>
        <v>114.17594281933155</v>
      </c>
      <c r="W60">
        <f t="shared" si="10"/>
        <v>29.979039745033173</v>
      </c>
      <c r="X60">
        <f t="shared" si="11"/>
        <v>10.95937118334553</v>
      </c>
    </row>
    <row r="61" spans="1:24" x14ac:dyDescent="0.2">
      <c r="A61" s="3">
        <v>380.25700000000001</v>
      </c>
      <c r="B61" s="5">
        <v>1.2058399999999999E-3</v>
      </c>
      <c r="C61" s="5">
        <v>2.36748E-4</v>
      </c>
      <c r="D61">
        <f t="shared" si="2"/>
        <v>155.47630283478901</v>
      </c>
      <c r="E61">
        <f t="shared" si="3"/>
        <v>125.39220151901954</v>
      </c>
      <c r="G61" s="5">
        <v>7.6891500000000001E-4</v>
      </c>
      <c r="H61" s="5">
        <v>1.9654500000000001E-4</v>
      </c>
      <c r="I61" s="4">
        <f t="shared" si="4"/>
        <v>111.06176092071567</v>
      </c>
      <c r="J61" s="4">
        <f t="shared" si="5"/>
        <v>120.61083223898183</v>
      </c>
      <c r="L61" s="5">
        <v>9.1289099999999998E-4</v>
      </c>
      <c r="M61" s="5">
        <v>1.9184900000000001E-4</v>
      </c>
      <c r="N61" s="4">
        <f t="shared" si="6"/>
        <v>80.122436083098549</v>
      </c>
      <c r="O61" s="4">
        <f t="shared" si="7"/>
        <v>97.694728480058671</v>
      </c>
      <c r="Q61">
        <f t="shared" si="0"/>
        <v>9.6254866666666656E-4</v>
      </c>
      <c r="R61">
        <f t="shared" si="1"/>
        <v>2.0838066666666665E-4</v>
      </c>
      <c r="T61">
        <f t="shared" si="8"/>
        <v>115.55349994620109</v>
      </c>
      <c r="U61">
        <f t="shared" si="9"/>
        <v>114.56592074602001</v>
      </c>
      <c r="W61">
        <f t="shared" si="10"/>
        <v>30.926613115704328</v>
      </c>
      <c r="X61">
        <f t="shared" si="11"/>
        <v>12.088375115630758</v>
      </c>
    </row>
    <row r="62" spans="1:24" x14ac:dyDescent="0.2">
      <c r="A62" s="3">
        <v>386.47300000000001</v>
      </c>
      <c r="B62" s="5">
        <v>1.23117E-3</v>
      </c>
      <c r="C62" s="5">
        <v>2.3706899999999999E-4</v>
      </c>
      <c r="D62">
        <f t="shared" si="2"/>
        <v>158.74225416399125</v>
      </c>
      <c r="E62">
        <f t="shared" si="3"/>
        <v>125.56221730241623</v>
      </c>
      <c r="G62" s="5">
        <v>7.9109299999999998E-4</v>
      </c>
      <c r="H62" s="5">
        <v>2.0042899999999999E-4</v>
      </c>
      <c r="I62" s="4">
        <f t="shared" si="4"/>
        <v>114.26514196244281</v>
      </c>
      <c r="J62" s="4">
        <f t="shared" si="5"/>
        <v>122.99426846181225</v>
      </c>
      <c r="L62" s="5">
        <v>9.3311499999999999E-4</v>
      </c>
      <c r="M62" s="5">
        <v>1.9321E-4</v>
      </c>
      <c r="N62" s="4">
        <f t="shared" si="6"/>
        <v>81.897452100722319</v>
      </c>
      <c r="O62" s="4">
        <f t="shared" si="7"/>
        <v>98.38778669491181</v>
      </c>
      <c r="Q62">
        <f t="shared" si="0"/>
        <v>9.8512600000000001E-4</v>
      </c>
      <c r="R62">
        <f t="shared" si="1"/>
        <v>2.1023600000000001E-4</v>
      </c>
      <c r="T62">
        <f t="shared" si="8"/>
        <v>118.3016160757188</v>
      </c>
      <c r="U62">
        <f t="shared" si="9"/>
        <v>115.64809081971343</v>
      </c>
      <c r="W62">
        <f t="shared" si="10"/>
        <v>31.501330590797838</v>
      </c>
      <c r="X62">
        <f t="shared" si="11"/>
        <v>12.249820792497903</v>
      </c>
    </row>
    <row r="63" spans="1:24" x14ac:dyDescent="0.2">
      <c r="A63" s="3">
        <v>392.72</v>
      </c>
      <c r="B63" s="5">
        <v>1.2578000000000001E-3</v>
      </c>
      <c r="C63" s="5">
        <v>2.4126700000000001E-4</v>
      </c>
      <c r="D63">
        <f t="shared" si="2"/>
        <v>162.17582241889278</v>
      </c>
      <c r="E63">
        <f t="shared" si="3"/>
        <v>127.78566359119945</v>
      </c>
      <c r="G63" s="5">
        <v>8.1534800000000003E-4</v>
      </c>
      <c r="H63" s="5">
        <v>2.04988E-4</v>
      </c>
      <c r="I63" s="4">
        <f t="shared" si="4"/>
        <v>117.76852401524704</v>
      </c>
      <c r="J63" s="4">
        <f t="shared" si="5"/>
        <v>125.79192184489256</v>
      </c>
      <c r="L63" s="5">
        <v>9.5004400000000004E-4</v>
      </c>
      <c r="M63" s="5">
        <v>1.95708E-4</v>
      </c>
      <c r="N63" s="4">
        <f t="shared" si="6"/>
        <v>83.383273212389312</v>
      </c>
      <c r="O63" s="4">
        <f t="shared" si="7"/>
        <v>99.659836232533507</v>
      </c>
      <c r="Q63">
        <f t="shared" si="0"/>
        <v>1.0077306666666668E-3</v>
      </c>
      <c r="R63">
        <f t="shared" si="1"/>
        <v>2.1398766666666665E-4</v>
      </c>
      <c r="T63">
        <f t="shared" si="8"/>
        <v>121.10920654884303</v>
      </c>
      <c r="U63">
        <f t="shared" si="9"/>
        <v>117.74580722287517</v>
      </c>
      <c r="W63">
        <f t="shared" si="10"/>
        <v>32.25354318993525</v>
      </c>
      <c r="X63">
        <f t="shared" si="11"/>
        <v>12.814588341296766</v>
      </c>
    </row>
    <row r="64" spans="1:24" x14ac:dyDescent="0.2">
      <c r="A64" s="3">
        <v>398.84699999999998</v>
      </c>
      <c r="B64" s="5">
        <v>1.2803300000000001E-3</v>
      </c>
      <c r="C64" s="5">
        <v>2.4650900000000001E-4</v>
      </c>
      <c r="D64">
        <f t="shared" si="2"/>
        <v>165.08075267735808</v>
      </c>
      <c r="E64">
        <f t="shared" si="3"/>
        <v>130.56205840916073</v>
      </c>
      <c r="G64" s="5">
        <v>8.3689599999999995E-4</v>
      </c>
      <c r="H64" s="5">
        <v>2.0783999999999999E-4</v>
      </c>
      <c r="I64" s="4">
        <f t="shared" si="4"/>
        <v>120.88090812053771</v>
      </c>
      <c r="J64" s="4">
        <f t="shared" si="5"/>
        <v>127.54206605382983</v>
      </c>
      <c r="L64" s="5">
        <v>9.68096E-4</v>
      </c>
      <c r="M64" s="5">
        <v>2.00108E-4</v>
      </c>
      <c r="N64" s="4">
        <f t="shared" si="6"/>
        <v>84.967657565145643</v>
      </c>
      <c r="O64" s="4">
        <f t="shared" si="7"/>
        <v>101.90043589848045</v>
      </c>
      <c r="Q64">
        <f t="shared" si="0"/>
        <v>1.0284406666666666E-3</v>
      </c>
      <c r="R64">
        <f t="shared" si="1"/>
        <v>2.1815233333333334E-4</v>
      </c>
      <c r="T64">
        <f t="shared" si="8"/>
        <v>123.64310612101382</v>
      </c>
      <c r="U64">
        <f t="shared" si="9"/>
        <v>120.00152012049034</v>
      </c>
      <c r="W64">
        <f t="shared" si="10"/>
        <v>32.764302784788725</v>
      </c>
      <c r="X64">
        <f t="shared" si="11"/>
        <v>12.858642384683865</v>
      </c>
    </row>
    <row r="65" spans="1:24" x14ac:dyDescent="0.2">
      <c r="A65" s="3">
        <v>405.13499999999999</v>
      </c>
      <c r="B65" s="5">
        <v>1.30963E-3</v>
      </c>
      <c r="C65" s="5">
        <v>2.5000499999999998E-4</v>
      </c>
      <c r="D65">
        <f t="shared" si="2"/>
        <v>168.85858031042656</v>
      </c>
      <c r="E65">
        <f t="shared" si="3"/>
        <v>132.41369448004829</v>
      </c>
      <c r="G65" s="5">
        <v>8.6123799999999996E-4</v>
      </c>
      <c r="H65" s="5">
        <v>2.1219399999999999E-4</v>
      </c>
      <c r="I65" s="4">
        <f t="shared" si="4"/>
        <v>124.39685641694507</v>
      </c>
      <c r="J65" s="4">
        <f t="shared" si="5"/>
        <v>130.2139201512046</v>
      </c>
      <c r="L65" s="5">
        <v>9.8400399999999991E-4</v>
      </c>
      <c r="M65" s="5">
        <v>1.9916700000000001E-4</v>
      </c>
      <c r="N65" s="4">
        <f t="shared" si="6"/>
        <v>86.36386775147669</v>
      </c>
      <c r="O65" s="4">
        <f t="shared" si="7"/>
        <v>101.42125310628592</v>
      </c>
      <c r="Q65">
        <f t="shared" si="0"/>
        <v>1.0516239999999999E-3</v>
      </c>
      <c r="R65">
        <f t="shared" si="1"/>
        <v>2.2045533333333331E-4</v>
      </c>
      <c r="T65">
        <f t="shared" si="8"/>
        <v>126.53976815961609</v>
      </c>
      <c r="U65">
        <f t="shared" si="9"/>
        <v>121.3496225791796</v>
      </c>
      <c r="W65">
        <f t="shared" si="10"/>
        <v>33.712395871534746</v>
      </c>
      <c r="X65">
        <f t="shared" si="11"/>
        <v>14.120072808135763</v>
      </c>
    </row>
    <row r="66" spans="1:24" x14ac:dyDescent="0.2">
      <c r="A66" s="3">
        <v>411.31299999999999</v>
      </c>
      <c r="B66" s="5">
        <v>1.33741E-3</v>
      </c>
      <c r="C66" s="5">
        <v>2.54028E-4</v>
      </c>
      <c r="D66">
        <f t="shared" si="2"/>
        <v>172.44042507652358</v>
      </c>
      <c r="E66">
        <f t="shared" si="3"/>
        <v>134.54445303645011</v>
      </c>
      <c r="G66" s="5">
        <v>8.8365899999999996E-4</v>
      </c>
      <c r="H66" s="5">
        <v>2.1438300000000001E-4</v>
      </c>
      <c r="I66" s="4">
        <f t="shared" si="4"/>
        <v>127.635336277012</v>
      </c>
      <c r="J66" s="4">
        <f t="shared" si="5"/>
        <v>131.55721106051868</v>
      </c>
      <c r="L66" s="5">
        <v>9.9891900000000002E-4</v>
      </c>
      <c r="M66" s="5">
        <v>1.97424E-4</v>
      </c>
      <c r="N66" s="4">
        <f t="shared" si="6"/>
        <v>87.67292451091393</v>
      </c>
      <c r="O66" s="4">
        <f t="shared" si="7"/>
        <v>100.53367010225283</v>
      </c>
      <c r="Q66">
        <f t="shared" si="0"/>
        <v>1.0733293333333334E-3</v>
      </c>
      <c r="R66">
        <f t="shared" si="1"/>
        <v>2.21945E-4</v>
      </c>
      <c r="T66">
        <f t="shared" si="8"/>
        <v>129.2495619548165</v>
      </c>
      <c r="U66">
        <f t="shared" si="9"/>
        <v>122.21177806640719</v>
      </c>
      <c r="W66">
        <f t="shared" si="10"/>
        <v>34.625006199174635</v>
      </c>
      <c r="X66">
        <f t="shared" si="11"/>
        <v>15.377173067783517</v>
      </c>
    </row>
    <row r="67" spans="1:24" x14ac:dyDescent="0.2">
      <c r="A67" s="3">
        <v>417.62599999999998</v>
      </c>
      <c r="B67" s="5">
        <v>1.3635800000000001E-3</v>
      </c>
      <c r="C67" s="5">
        <v>2.5960499999999999E-4</v>
      </c>
      <c r="D67">
        <f t="shared" si="2"/>
        <v>175.8146827269469</v>
      </c>
      <c r="E67">
        <f t="shared" si="3"/>
        <v>137.49827865639864</v>
      </c>
      <c r="G67" s="5">
        <v>9.1175499999999999E-4</v>
      </c>
      <c r="H67" s="5">
        <v>2.1839599999999999E-4</v>
      </c>
      <c r="I67" s="4">
        <f t="shared" si="4"/>
        <v>131.69351076291542</v>
      </c>
      <c r="J67" s="4">
        <f t="shared" si="5"/>
        <v>134.01980878508573</v>
      </c>
      <c r="L67" s="5">
        <v>1.01906E-3</v>
      </c>
      <c r="M67" s="5">
        <v>2.0377500000000001E-4</v>
      </c>
      <c r="N67" s="4">
        <f t="shared" si="6"/>
        <v>89.440655801012838</v>
      </c>
      <c r="O67" s="4">
        <f t="shared" si="7"/>
        <v>103.76777202916854</v>
      </c>
      <c r="Q67">
        <f t="shared" ref="Q67:R109" si="12">AVERAGE(B67,G67,L67)</f>
        <v>1.0981316666666666E-3</v>
      </c>
      <c r="R67">
        <f t="shared" si="12"/>
        <v>2.2725866666666668E-4</v>
      </c>
      <c r="T67">
        <f t="shared" si="8"/>
        <v>132.31628309695839</v>
      </c>
      <c r="U67">
        <f t="shared" si="9"/>
        <v>125.09528649021763</v>
      </c>
      <c r="W67">
        <f t="shared" si="10"/>
        <v>35.264798462352701</v>
      </c>
      <c r="X67">
        <f t="shared" si="11"/>
        <v>15.147543100584702</v>
      </c>
    </row>
    <row r="68" spans="1:24" x14ac:dyDescent="0.2">
      <c r="A68" s="3">
        <v>423.83800000000002</v>
      </c>
      <c r="B68" s="5">
        <v>1.39701E-3</v>
      </c>
      <c r="C68" s="5">
        <v>2.6224899999999999E-4</v>
      </c>
      <c r="D68">
        <f t="shared" ref="D68:D109" si="13">B68/$B$3*100</f>
        <v>180.12501643935232</v>
      </c>
      <c r="E68">
        <f t="shared" ref="E68:E109" si="14">C68/$C$3*100</f>
        <v>138.8986578816351</v>
      </c>
      <c r="G68" s="5">
        <v>9.3485699999999998E-4</v>
      </c>
      <c r="H68" s="5">
        <v>2.21528E-4</v>
      </c>
      <c r="I68" s="4">
        <f t="shared" ref="I68:I109" si="15">G68/$G$3*100</f>
        <v>135.03035397808273</v>
      </c>
      <c r="J68" s="4">
        <f t="shared" ref="J68:J109" si="16">H68/$H$3*100</f>
        <v>135.94177640864518</v>
      </c>
      <c r="L68" s="5">
        <v>1.0338599999999999E-3</v>
      </c>
      <c r="M68" s="5">
        <v>2.0125899999999999E-4</v>
      </c>
      <c r="N68" s="4">
        <f t="shared" ref="N68:N109" si="17">L68/$L$3*100</f>
        <v>90.739619263277078</v>
      </c>
      <c r="O68" s="4">
        <f t="shared" ref="O68:O109" si="18">M68/$M$3*100</f>
        <v>102.4865564020043</v>
      </c>
      <c r="Q68">
        <f t="shared" si="12"/>
        <v>1.1219089999999999E-3</v>
      </c>
      <c r="R68">
        <f t="shared" si="12"/>
        <v>2.2834533333333332E-4</v>
      </c>
      <c r="T68">
        <f t="shared" ref="T68:T109" si="19">AVERAGE(D68,I68,N68)</f>
        <v>135.2983298935707</v>
      </c>
      <c r="U68">
        <f t="shared" ref="U68:U109" si="20">AVERAGE(E68,J68,O68)</f>
        <v>125.77566356409487</v>
      </c>
      <c r="W68">
        <f t="shared" ref="W68:W109" si="21">_xlfn.STDEV.P(D68,I68,N68)</f>
        <v>36.49192755847649</v>
      </c>
      <c r="X68">
        <f t="shared" ref="X68:X109" si="22">_xlfn.STDEV.P(E68,J68,O68)</f>
        <v>16.512069753503042</v>
      </c>
    </row>
    <row r="69" spans="1:24" x14ac:dyDescent="0.2">
      <c r="A69" s="3">
        <v>430.04700000000003</v>
      </c>
      <c r="B69" s="5">
        <v>1.4330600000000001E-3</v>
      </c>
      <c r="C69" s="5">
        <v>2.6832499999999998E-4</v>
      </c>
      <c r="D69">
        <f t="shared" si="13"/>
        <v>184.7731627250902</v>
      </c>
      <c r="E69">
        <f t="shared" si="14"/>
        <v>142.11677594991684</v>
      </c>
      <c r="G69" s="5">
        <v>9.5967000000000003E-4</v>
      </c>
      <c r="H69" s="5">
        <v>2.2224199999999999E-4</v>
      </c>
      <c r="I69" s="4">
        <f t="shared" si="15"/>
        <v>138.61433331744496</v>
      </c>
      <c r="J69" s="4">
        <f t="shared" si="16"/>
        <v>136.37992611593171</v>
      </c>
      <c r="L69" s="5">
        <v>1.0494300000000001E-3</v>
      </c>
      <c r="M69" s="5">
        <v>1.9914600000000001E-4</v>
      </c>
      <c r="N69" s="4">
        <f t="shared" si="17"/>
        <v>92.106163932699658</v>
      </c>
      <c r="O69" s="4">
        <f t="shared" si="18"/>
        <v>101.41055933515297</v>
      </c>
      <c r="Q69">
        <f t="shared" si="12"/>
        <v>1.1473866666666668E-3</v>
      </c>
      <c r="R69">
        <f t="shared" si="12"/>
        <v>2.2990433333333331E-4</v>
      </c>
      <c r="T69">
        <f t="shared" si="19"/>
        <v>138.4978866584116</v>
      </c>
      <c r="U69">
        <f t="shared" si="20"/>
        <v>126.63575380033386</v>
      </c>
      <c r="W69">
        <f t="shared" si="21"/>
        <v>37.831233446853851</v>
      </c>
      <c r="X69">
        <f t="shared" si="22"/>
        <v>17.990009975151217</v>
      </c>
    </row>
    <row r="70" spans="1:24" x14ac:dyDescent="0.2">
      <c r="A70" s="3">
        <v>436.12299999999999</v>
      </c>
      <c r="B70" s="5">
        <v>1.4665399999999999E-3</v>
      </c>
      <c r="C70" s="5">
        <v>2.6990599999999999E-4</v>
      </c>
      <c r="D70">
        <f t="shared" si="13"/>
        <v>189.08994324233024</v>
      </c>
      <c r="E70">
        <f t="shared" si="14"/>
        <v>142.95414340645954</v>
      </c>
      <c r="G70" s="5">
        <v>9.8948999999999999E-4</v>
      </c>
      <c r="H70" s="5">
        <v>2.31986E-4</v>
      </c>
      <c r="I70" s="4">
        <f t="shared" si="15"/>
        <v>142.92152164210469</v>
      </c>
      <c r="J70" s="4">
        <f t="shared" si="16"/>
        <v>142.35938094478334</v>
      </c>
      <c r="L70" s="5">
        <v>1.06766E-3</v>
      </c>
      <c r="M70" s="5">
        <v>2.01239E-4</v>
      </c>
      <c r="N70" s="4">
        <f t="shared" si="17"/>
        <v>93.706170954123763</v>
      </c>
      <c r="O70" s="4">
        <f t="shared" si="18"/>
        <v>102.47637185806819</v>
      </c>
      <c r="Q70">
        <f t="shared" si="12"/>
        <v>1.1745633333333332E-3</v>
      </c>
      <c r="R70">
        <f t="shared" si="12"/>
        <v>2.34377E-4</v>
      </c>
      <c r="T70">
        <f t="shared" si="19"/>
        <v>141.90587861285289</v>
      </c>
      <c r="U70">
        <f t="shared" si="20"/>
        <v>129.26329873643704</v>
      </c>
      <c r="W70">
        <f t="shared" si="21"/>
        <v>38.946883932301581</v>
      </c>
      <c r="X70">
        <f t="shared" si="22"/>
        <v>18.942773895547624</v>
      </c>
    </row>
    <row r="71" spans="1:24" x14ac:dyDescent="0.2">
      <c r="A71" s="3">
        <v>449.61900000000003</v>
      </c>
      <c r="B71" s="5">
        <v>3.4471099999999998E-6</v>
      </c>
      <c r="C71" s="5">
        <v>2.0382700000000001E-5</v>
      </c>
      <c r="D71">
        <f t="shared" si="13"/>
        <v>0.44445690826712464</v>
      </c>
      <c r="E71">
        <f t="shared" si="14"/>
        <v>10.795578530343317</v>
      </c>
      <c r="G71" s="5">
        <v>4.4719600000000003E-6</v>
      </c>
      <c r="H71" s="5">
        <v>1.7934000000000001E-5</v>
      </c>
      <c r="I71" s="4">
        <f t="shared" si="15"/>
        <v>0.64592803153404943</v>
      </c>
      <c r="J71" s="4">
        <f t="shared" si="16"/>
        <v>11.005289706550156</v>
      </c>
      <c r="L71" s="5">
        <v>5.43032E-6</v>
      </c>
      <c r="M71" s="5">
        <v>1.90244E-5</v>
      </c>
      <c r="N71" s="4">
        <f t="shared" si="17"/>
        <v>0.47660724786504827</v>
      </c>
      <c r="O71" s="4">
        <f t="shared" si="18"/>
        <v>9.6877418829184823</v>
      </c>
      <c r="Q71">
        <f t="shared" si="12"/>
        <v>4.4497966666666672E-6</v>
      </c>
      <c r="R71">
        <f t="shared" si="12"/>
        <v>1.91137E-5</v>
      </c>
      <c r="T71">
        <f t="shared" si="19"/>
        <v>0.52233072922207413</v>
      </c>
      <c r="U71">
        <f t="shared" si="20"/>
        <v>10.496203373270651</v>
      </c>
      <c r="W71">
        <f t="shared" si="21"/>
        <v>8.8376584146721643E-2</v>
      </c>
      <c r="X71">
        <f t="shared" si="22"/>
        <v>0.57804393165995749</v>
      </c>
    </row>
    <row r="72" spans="1:24" x14ac:dyDescent="0.2">
      <c r="A72" s="3">
        <v>455.80900000000003</v>
      </c>
      <c r="B72" s="5">
        <v>3.4174500000000002E-6</v>
      </c>
      <c r="C72" s="5">
        <v>2.0023499999999999E-5</v>
      </c>
      <c r="D72">
        <f t="shared" si="13"/>
        <v>0.44063266363924719</v>
      </c>
      <c r="E72">
        <f t="shared" si="14"/>
        <v>10.605330339078208</v>
      </c>
      <c r="G72" s="5">
        <v>4.3949199999999998E-6</v>
      </c>
      <c r="H72" s="5">
        <v>1.7635500000000001E-5</v>
      </c>
      <c r="I72" s="4">
        <f t="shared" si="15"/>
        <v>0.63480040616410349</v>
      </c>
      <c r="J72" s="4">
        <f t="shared" si="16"/>
        <v>10.822113673461875</v>
      </c>
      <c r="L72" s="5">
        <v>5.3944600000000004E-6</v>
      </c>
      <c r="M72" s="5">
        <v>1.8836799999999999E-5</v>
      </c>
      <c r="N72" s="4">
        <f t="shared" si="17"/>
        <v>0.47345989450310261</v>
      </c>
      <c r="O72" s="4">
        <f t="shared" si="18"/>
        <v>9.5922108607976515</v>
      </c>
      <c r="Q72">
        <f t="shared" si="12"/>
        <v>4.4022766666666666E-6</v>
      </c>
      <c r="R72">
        <f t="shared" si="12"/>
        <v>1.8831933333333332E-5</v>
      </c>
      <c r="T72">
        <f t="shared" si="19"/>
        <v>0.51629765476881773</v>
      </c>
      <c r="U72">
        <f t="shared" si="20"/>
        <v>10.339884957779246</v>
      </c>
      <c r="W72">
        <f t="shared" si="21"/>
        <v>8.4859033452493002E-2</v>
      </c>
      <c r="X72">
        <f t="shared" si="22"/>
        <v>0.53604177075395631</v>
      </c>
    </row>
    <row r="73" spans="1:24" x14ac:dyDescent="0.2">
      <c r="A73" s="3">
        <v>461.90699999999998</v>
      </c>
      <c r="B73" s="5">
        <v>3.3558999999999999E-6</v>
      </c>
      <c r="C73" s="5">
        <v>1.9904000000000001E-5</v>
      </c>
      <c r="D73">
        <f t="shared" si="13"/>
        <v>0.43269664688786946</v>
      </c>
      <c r="E73">
        <f t="shared" si="14"/>
        <v>10.542037858966347</v>
      </c>
      <c r="G73" s="5">
        <v>4.3139000000000003E-6</v>
      </c>
      <c r="H73" s="5">
        <v>1.7394700000000001E-5</v>
      </c>
      <c r="I73" s="4">
        <f t="shared" si="15"/>
        <v>0.62309791125920977</v>
      </c>
      <c r="J73" s="4">
        <f t="shared" si="16"/>
        <v>10.674345536886806</v>
      </c>
      <c r="L73" s="5">
        <v>5.3654899999999999E-6</v>
      </c>
      <c r="M73" s="5">
        <v>1.87507E-5</v>
      </c>
      <c r="N73" s="4">
        <f t="shared" si="17"/>
        <v>0.47091726129352185</v>
      </c>
      <c r="O73" s="4">
        <f t="shared" si="18"/>
        <v>9.5483663991526448</v>
      </c>
      <c r="Q73">
        <f t="shared" si="12"/>
        <v>4.3450966666666663E-6</v>
      </c>
      <c r="R73">
        <f t="shared" si="12"/>
        <v>1.8683133333333334E-5</v>
      </c>
      <c r="T73">
        <f t="shared" si="19"/>
        <v>0.50890393981353377</v>
      </c>
      <c r="U73">
        <f t="shared" si="20"/>
        <v>10.254916598335265</v>
      </c>
      <c r="W73">
        <f t="shared" si="21"/>
        <v>8.2241113713633532E-2</v>
      </c>
      <c r="X73">
        <f t="shared" si="22"/>
        <v>0.50251780624035425</v>
      </c>
    </row>
    <row r="74" spans="1:24" x14ac:dyDescent="0.2">
      <c r="A74" s="3">
        <v>468.21</v>
      </c>
      <c r="B74" s="5">
        <v>3.3070799999999999E-6</v>
      </c>
      <c r="C74" s="5">
        <v>1.94629E-5</v>
      </c>
      <c r="D74">
        <f t="shared" si="13"/>
        <v>0.42640198664737783</v>
      </c>
      <c r="E74">
        <f t="shared" si="14"/>
        <v>10.308411808946749</v>
      </c>
      <c r="G74" s="5">
        <v>4.2451399999999996E-6</v>
      </c>
      <c r="H74" s="5">
        <v>1.7249400000000001E-5</v>
      </c>
      <c r="I74" s="4">
        <f t="shared" si="15"/>
        <v>0.6131662456252861</v>
      </c>
      <c r="J74" s="4">
        <f t="shared" si="16"/>
        <v>10.585181457798944</v>
      </c>
      <c r="L74" s="5">
        <v>5.3375799999999998E-6</v>
      </c>
      <c r="M74" s="5">
        <v>1.86458E-5</v>
      </c>
      <c r="N74" s="4">
        <f t="shared" si="17"/>
        <v>0.46846766195353567</v>
      </c>
      <c r="O74" s="4">
        <f t="shared" si="18"/>
        <v>9.4949484662076831</v>
      </c>
      <c r="Q74">
        <f t="shared" si="12"/>
        <v>4.2965999999999997E-6</v>
      </c>
      <c r="R74">
        <f t="shared" si="12"/>
        <v>1.84527E-5</v>
      </c>
      <c r="T74">
        <f t="shared" si="19"/>
        <v>0.50267863140873315</v>
      </c>
      <c r="U74">
        <f t="shared" si="20"/>
        <v>10.129513910984459</v>
      </c>
      <c r="W74">
        <f t="shared" si="21"/>
        <v>7.9991728452343563E-2</v>
      </c>
      <c r="X74">
        <f t="shared" si="22"/>
        <v>0.46271325707541028</v>
      </c>
    </row>
    <row r="75" spans="1:24" x14ac:dyDescent="0.2">
      <c r="A75" s="3">
        <v>474.33100000000002</v>
      </c>
      <c r="B75" s="5">
        <v>3.28192E-6</v>
      </c>
      <c r="C75" s="5">
        <v>1.9318600000000002E-5</v>
      </c>
      <c r="D75">
        <f t="shared" si="13"/>
        <v>0.42315795445461324</v>
      </c>
      <c r="E75">
        <f t="shared" si="14"/>
        <v>10.231984153045985</v>
      </c>
      <c r="G75" s="5">
        <v>4.1830399999999998E-6</v>
      </c>
      <c r="H75" s="5">
        <v>1.71189E-5</v>
      </c>
      <c r="I75" s="4">
        <f t="shared" si="15"/>
        <v>0.60419654760511943</v>
      </c>
      <c r="J75" s="4">
        <f t="shared" si="16"/>
        <v>10.505099473483966</v>
      </c>
      <c r="L75" s="5">
        <v>5.3091499999999998E-6</v>
      </c>
      <c r="M75" s="5">
        <v>1.8562800000000001E-5</v>
      </c>
      <c r="N75" s="4">
        <f t="shared" si="17"/>
        <v>0.46597242335676736</v>
      </c>
      <c r="O75" s="4">
        <f t="shared" si="18"/>
        <v>9.4526826088727756</v>
      </c>
      <c r="Q75">
        <f t="shared" si="12"/>
        <v>4.2580366666666661E-6</v>
      </c>
      <c r="R75">
        <f t="shared" si="12"/>
        <v>1.8333433333333333E-5</v>
      </c>
      <c r="T75">
        <f t="shared" si="19"/>
        <v>0.49777564180549999</v>
      </c>
      <c r="U75">
        <f t="shared" si="20"/>
        <v>10.06325541180091</v>
      </c>
      <c r="W75">
        <f t="shared" si="21"/>
        <v>7.7254240790833067E-2</v>
      </c>
      <c r="X75">
        <f t="shared" si="22"/>
        <v>0.44590533772773133</v>
      </c>
    </row>
    <row r="76" spans="1:24" x14ac:dyDescent="0.2">
      <c r="A76" s="3">
        <v>480.59800000000001</v>
      </c>
      <c r="B76" s="5">
        <v>3.26452E-6</v>
      </c>
      <c r="C76" s="5">
        <v>1.9210799999999999E-5</v>
      </c>
      <c r="D76">
        <f t="shared" si="13"/>
        <v>0.42091446637217667</v>
      </c>
      <c r="E76">
        <f t="shared" si="14"/>
        <v>10.174888509899048</v>
      </c>
      <c r="G76" s="5">
        <v>4.1387200000000004E-6</v>
      </c>
      <c r="H76" s="5">
        <v>1.70217E-5</v>
      </c>
      <c r="I76" s="4">
        <f t="shared" si="15"/>
        <v>0.59779498534660447</v>
      </c>
      <c r="J76" s="4">
        <f t="shared" si="16"/>
        <v>10.445452202407983</v>
      </c>
      <c r="L76" s="5">
        <v>5.2803899999999996E-6</v>
      </c>
      <c r="M76" s="5">
        <v>1.84852E-5</v>
      </c>
      <c r="N76" s="4">
        <f t="shared" si="17"/>
        <v>0.46344822138550246</v>
      </c>
      <c r="O76" s="4">
        <f t="shared" si="18"/>
        <v>9.4131665784006202</v>
      </c>
      <c r="Q76">
        <f t="shared" si="12"/>
        <v>4.2278766666666671E-6</v>
      </c>
      <c r="R76">
        <f t="shared" si="12"/>
        <v>1.823923333333333E-5</v>
      </c>
      <c r="T76">
        <f t="shared" si="19"/>
        <v>0.49405255770142786</v>
      </c>
      <c r="U76">
        <f t="shared" si="20"/>
        <v>10.011169096902551</v>
      </c>
      <c r="W76">
        <f t="shared" si="21"/>
        <v>7.5384121003340659E-2</v>
      </c>
      <c r="X76">
        <f t="shared" si="22"/>
        <v>0.43704037725516548</v>
      </c>
    </row>
    <row r="77" spans="1:24" x14ac:dyDescent="0.2">
      <c r="A77" s="3">
        <v>486.89699999999999</v>
      </c>
      <c r="B77" s="5">
        <v>3.2379400000000002E-6</v>
      </c>
      <c r="C77" s="5">
        <v>1.91461E-5</v>
      </c>
      <c r="D77">
        <f t="shared" si="13"/>
        <v>0.41748734492210976</v>
      </c>
      <c r="E77">
        <f t="shared" si="14"/>
        <v>10.140620531127189</v>
      </c>
      <c r="G77" s="5">
        <v>4.0980000000000004E-6</v>
      </c>
      <c r="H77" s="5">
        <v>1.6943799999999999E-5</v>
      </c>
      <c r="I77" s="4">
        <f t="shared" si="15"/>
        <v>0.59191340558201211</v>
      </c>
      <c r="J77" s="4">
        <f t="shared" si="16"/>
        <v>10.397648473839885</v>
      </c>
      <c r="L77" s="5">
        <v>5.2595100000000001E-6</v>
      </c>
      <c r="M77" s="5">
        <v>1.84203E-5</v>
      </c>
      <c r="N77" s="4">
        <f t="shared" si="17"/>
        <v>0.46161562969009196</v>
      </c>
      <c r="O77" s="4">
        <f t="shared" si="18"/>
        <v>9.3801177333279018</v>
      </c>
      <c r="Q77">
        <f t="shared" si="12"/>
        <v>4.1984833333333338E-6</v>
      </c>
      <c r="R77">
        <f t="shared" si="12"/>
        <v>1.8170066666666664E-5</v>
      </c>
      <c r="T77">
        <f t="shared" si="19"/>
        <v>0.49033879339807124</v>
      </c>
      <c r="U77">
        <f t="shared" si="20"/>
        <v>9.9727955794316596</v>
      </c>
      <c r="W77">
        <f t="shared" si="21"/>
        <v>7.4048982704601168E-2</v>
      </c>
      <c r="X77">
        <f t="shared" si="22"/>
        <v>0.43202323454525876</v>
      </c>
    </row>
    <row r="78" spans="1:24" x14ac:dyDescent="0.2">
      <c r="A78" s="3">
        <v>493.065</v>
      </c>
      <c r="B78" s="5">
        <v>3.2066700000000002E-6</v>
      </c>
      <c r="C78" s="5">
        <v>1.90828E-5</v>
      </c>
      <c r="D78">
        <f t="shared" si="13"/>
        <v>0.4134555131785585</v>
      </c>
      <c r="E78">
        <f t="shared" si="14"/>
        <v>10.107094054214379</v>
      </c>
      <c r="G78" s="5">
        <v>4.0567599999999996E-6</v>
      </c>
      <c r="H78" s="5">
        <v>1.68998E-5</v>
      </c>
      <c r="I78" s="4">
        <f t="shared" si="15"/>
        <v>0.58595671723496412</v>
      </c>
      <c r="J78" s="4">
        <f t="shared" si="16"/>
        <v>10.370647651542116</v>
      </c>
      <c r="L78" s="5">
        <v>5.2358900000000003E-6</v>
      </c>
      <c r="M78" s="5">
        <v>1.8339199999999999E-5</v>
      </c>
      <c r="N78" s="4">
        <f t="shared" si="17"/>
        <v>0.45954255421855944</v>
      </c>
      <c r="O78" s="4">
        <f t="shared" si="18"/>
        <v>9.3388194076669233</v>
      </c>
      <c r="Q78">
        <f t="shared" si="12"/>
        <v>4.1664399999999999E-6</v>
      </c>
      <c r="R78">
        <f t="shared" si="12"/>
        <v>1.8107266666666665E-5</v>
      </c>
      <c r="T78">
        <f t="shared" si="19"/>
        <v>0.48631826154402735</v>
      </c>
      <c r="U78">
        <f t="shared" si="20"/>
        <v>9.9388537044744734</v>
      </c>
      <c r="W78">
        <f t="shared" si="21"/>
        <v>7.2924025429720346E-2</v>
      </c>
      <c r="X78">
        <f t="shared" si="22"/>
        <v>0.43771832089834178</v>
      </c>
    </row>
    <row r="79" spans="1:24" x14ac:dyDescent="0.2">
      <c r="A79" s="3">
        <v>499.24</v>
      </c>
      <c r="B79" s="5">
        <v>3.1869299999999999E-6</v>
      </c>
      <c r="C79" s="5">
        <v>1.9054899999999999E-5</v>
      </c>
      <c r="D79">
        <f t="shared" si="13"/>
        <v>0.41091031462986316</v>
      </c>
      <c r="E79">
        <f t="shared" si="14"/>
        <v>10.092316981451861</v>
      </c>
      <c r="G79" s="5">
        <v>4.02216E-6</v>
      </c>
      <c r="H79" s="5">
        <v>1.6847E-5</v>
      </c>
      <c r="I79" s="4">
        <f t="shared" si="15"/>
        <v>0.58095910771004045</v>
      </c>
      <c r="J79" s="4">
        <f t="shared" si="16"/>
        <v>10.338246664784792</v>
      </c>
      <c r="L79" s="5">
        <v>5.2122699999999996E-6</v>
      </c>
      <c r="M79" s="5">
        <v>1.8267E-5</v>
      </c>
      <c r="N79" s="4">
        <f t="shared" si="17"/>
        <v>0.45746947874702687</v>
      </c>
      <c r="O79" s="4">
        <f t="shared" si="18"/>
        <v>9.3020532040575219</v>
      </c>
      <c r="Q79">
        <f t="shared" si="12"/>
        <v>4.1404533333333333E-6</v>
      </c>
      <c r="R79">
        <f t="shared" si="12"/>
        <v>1.8056300000000002E-5</v>
      </c>
      <c r="T79">
        <f t="shared" si="19"/>
        <v>0.48311296702897683</v>
      </c>
      <c r="U79">
        <f t="shared" si="20"/>
        <v>9.9108722834313916</v>
      </c>
      <c r="W79">
        <f t="shared" si="21"/>
        <v>7.1751141108027522E-2</v>
      </c>
      <c r="X79">
        <f t="shared" si="22"/>
        <v>0.44205267849227631</v>
      </c>
    </row>
    <row r="80" spans="1:24" x14ac:dyDescent="0.2">
      <c r="A80" s="3">
        <v>505.44499999999999</v>
      </c>
      <c r="B80" s="5">
        <v>3.1662599999999998E-6</v>
      </c>
      <c r="C80" s="5">
        <v>1.9013199999999999E-5</v>
      </c>
      <c r="D80">
        <f t="shared" si="13"/>
        <v>0.40824520551124455</v>
      </c>
      <c r="E80">
        <f t="shared" si="14"/>
        <v>10.070230818935839</v>
      </c>
      <c r="G80" s="5">
        <v>3.9842099999999998E-6</v>
      </c>
      <c r="H80" s="5">
        <v>1.6815599999999999E-5</v>
      </c>
      <c r="I80" s="4">
        <f t="shared" si="15"/>
        <v>0.5754776255866052</v>
      </c>
      <c r="J80" s="4">
        <f t="shared" si="16"/>
        <v>10.318977896145018</v>
      </c>
      <c r="L80" s="5">
        <v>5.1925599999999998E-6</v>
      </c>
      <c r="M80" s="5">
        <v>1.82098E-5</v>
      </c>
      <c r="N80" s="4">
        <f t="shared" si="17"/>
        <v>0.45573957537937632</v>
      </c>
      <c r="O80" s="4">
        <f t="shared" si="18"/>
        <v>9.2729254084002104</v>
      </c>
      <c r="Q80">
        <f t="shared" si="12"/>
        <v>4.114343333333333E-6</v>
      </c>
      <c r="R80">
        <f t="shared" si="12"/>
        <v>1.8012866666666668E-5</v>
      </c>
      <c r="T80">
        <f t="shared" si="19"/>
        <v>0.47982080215907535</v>
      </c>
      <c r="U80">
        <f t="shared" si="20"/>
        <v>9.8873780411603551</v>
      </c>
      <c r="W80">
        <f t="shared" si="21"/>
        <v>7.0363815006847963E-2</v>
      </c>
      <c r="X80">
        <f t="shared" si="22"/>
        <v>0.44619338522994179</v>
      </c>
    </row>
    <row r="81" spans="1:24" x14ac:dyDescent="0.2">
      <c r="A81" s="3">
        <v>518.74199999999996</v>
      </c>
      <c r="B81" s="5">
        <v>5.3510999999999999E-4</v>
      </c>
      <c r="C81" s="5">
        <v>1.7574100000000001E-4</v>
      </c>
      <c r="D81">
        <f t="shared" si="13"/>
        <v>68.994994700726437</v>
      </c>
      <c r="E81">
        <f t="shared" si="14"/>
        <v>93.080198722498224</v>
      </c>
      <c r="G81" s="5">
        <v>4.24719E-4</v>
      </c>
      <c r="H81" s="5">
        <v>1.6445300000000001E-4</v>
      </c>
      <c r="I81" s="4">
        <f t="shared" si="15"/>
        <v>61.346234676765874</v>
      </c>
      <c r="J81" s="4">
        <f t="shared" si="16"/>
        <v>100.91741430307198</v>
      </c>
      <c r="L81" s="5">
        <v>5.7719200000000003E-4</v>
      </c>
      <c r="M81" s="5">
        <v>1.53487E-4</v>
      </c>
      <c r="N81" s="4">
        <f t="shared" si="17"/>
        <v>50.658872885893082</v>
      </c>
      <c r="O81" s="4">
        <f t="shared" si="18"/>
        <v>78.159754756182025</v>
      </c>
      <c r="Q81">
        <f t="shared" si="12"/>
        <v>5.1234033333333328E-4</v>
      </c>
      <c r="R81">
        <f t="shared" si="12"/>
        <v>1.6456033333333336E-4</v>
      </c>
      <c r="T81">
        <f t="shared" si="19"/>
        <v>60.333367421128465</v>
      </c>
      <c r="U81">
        <f t="shared" si="20"/>
        <v>90.719122593917405</v>
      </c>
      <c r="W81">
        <f t="shared" si="21"/>
        <v>7.5198743721890766</v>
      </c>
      <c r="X81">
        <f t="shared" si="22"/>
        <v>9.4395895877152523</v>
      </c>
    </row>
    <row r="82" spans="1:24" x14ac:dyDescent="0.2">
      <c r="A82" s="3">
        <v>524.84299999999996</v>
      </c>
      <c r="B82" s="5">
        <v>5.5146700000000004E-4</v>
      </c>
      <c r="C82" s="5">
        <v>1.7144099999999999E-4</v>
      </c>
      <c r="D82">
        <f t="shared" si="13"/>
        <v>71.104002434313514</v>
      </c>
      <c r="E82">
        <f t="shared" si="14"/>
        <v>90.802728726841309</v>
      </c>
      <c r="G82" s="5">
        <v>4.4125399999999997E-4</v>
      </c>
      <c r="H82" s="5">
        <v>1.6676000000000001E-4</v>
      </c>
      <c r="I82" s="4">
        <f t="shared" si="15"/>
        <v>63.734543159269187</v>
      </c>
      <c r="J82" s="4">
        <f t="shared" si="16"/>
        <v>102.33311650854822</v>
      </c>
      <c r="L82" s="5">
        <v>5.94412E-4</v>
      </c>
      <c r="M82" s="5">
        <v>1.54773E-4</v>
      </c>
      <c r="N82" s="4">
        <f t="shared" si="17"/>
        <v>52.170234427797816</v>
      </c>
      <c r="O82" s="4">
        <f t="shared" si="18"/>
        <v>78.814620931274689</v>
      </c>
      <c r="Q82">
        <f t="shared" si="12"/>
        <v>5.2904433333333337E-4</v>
      </c>
      <c r="R82">
        <f t="shared" si="12"/>
        <v>1.6432466666666665E-4</v>
      </c>
      <c r="T82">
        <f t="shared" si="19"/>
        <v>62.336260007126839</v>
      </c>
      <c r="U82">
        <f t="shared" si="20"/>
        <v>90.650155388888081</v>
      </c>
      <c r="W82">
        <f t="shared" si="21"/>
        <v>7.7926584920814115</v>
      </c>
      <c r="X82">
        <f t="shared" si="22"/>
        <v>9.6019917212402213</v>
      </c>
    </row>
    <row r="83" spans="1:24" x14ac:dyDescent="0.2">
      <c r="A83" s="3">
        <v>531.19500000000005</v>
      </c>
      <c r="B83" s="5">
        <v>5.6405099999999998E-4</v>
      </c>
      <c r="C83" s="5">
        <v>1.70085E-4</v>
      </c>
      <c r="D83">
        <f t="shared" si="13"/>
        <v>72.726534275082585</v>
      </c>
      <c r="E83">
        <f t="shared" si="14"/>
        <v>90.084531211931832</v>
      </c>
      <c r="G83" s="5">
        <v>4.6084400000000002E-4</v>
      </c>
      <c r="H83" s="5">
        <v>1.6786899999999999E-4</v>
      </c>
      <c r="I83" s="4">
        <f t="shared" si="15"/>
        <v>66.564114563698567</v>
      </c>
      <c r="J83" s="4">
        <f t="shared" si="16"/>
        <v>103.01365996146245</v>
      </c>
      <c r="L83" s="5">
        <v>6.03412E-4</v>
      </c>
      <c r="M83" s="5">
        <v>1.5419000000000001E-4</v>
      </c>
      <c r="N83" s="4">
        <f t="shared" si="17"/>
        <v>52.960144641336882</v>
      </c>
      <c r="O83" s="4">
        <f t="shared" si="18"/>
        <v>78.517741475536724</v>
      </c>
      <c r="Q83">
        <f t="shared" si="12"/>
        <v>5.4276900000000002E-4</v>
      </c>
      <c r="R83">
        <f t="shared" si="12"/>
        <v>1.64048E-4</v>
      </c>
      <c r="T83">
        <f t="shared" si="19"/>
        <v>64.083597826706011</v>
      </c>
      <c r="U83">
        <f t="shared" si="20"/>
        <v>90.538644216310331</v>
      </c>
      <c r="W83">
        <f t="shared" si="21"/>
        <v>8.2580168018775044</v>
      </c>
      <c r="X83">
        <f t="shared" si="22"/>
        <v>10.00557076775536</v>
      </c>
    </row>
    <row r="84" spans="1:24" x14ac:dyDescent="0.2">
      <c r="A84" s="3">
        <v>537.27599999999995</v>
      </c>
      <c r="B84" s="5">
        <v>5.7653200000000004E-4</v>
      </c>
      <c r="C84" s="5">
        <v>1.6901000000000001E-4</v>
      </c>
      <c r="D84">
        <f t="shared" si="13"/>
        <v>74.335785697892419</v>
      </c>
      <c r="E84">
        <f t="shared" si="14"/>
        <v>89.5151637130176</v>
      </c>
      <c r="G84" s="5">
        <v>4.7465700000000002E-4</v>
      </c>
      <c r="H84" s="5">
        <v>1.68689E-4</v>
      </c>
      <c r="I84" s="4">
        <f t="shared" si="15"/>
        <v>68.559258504963665</v>
      </c>
      <c r="J84" s="4">
        <f t="shared" si="16"/>
        <v>103.51685710428453</v>
      </c>
      <c r="L84" s="5">
        <v>6.1585999999999998E-4</v>
      </c>
      <c r="M84" s="5">
        <v>1.52349E-4</v>
      </c>
      <c r="N84" s="4">
        <f t="shared" si="17"/>
        <v>54.052678234462903</v>
      </c>
      <c r="O84" s="4">
        <f t="shared" si="18"/>
        <v>77.580254206216651</v>
      </c>
      <c r="Q84">
        <f t="shared" si="12"/>
        <v>5.5568300000000007E-4</v>
      </c>
      <c r="R84">
        <f t="shared" si="12"/>
        <v>1.6334933333333332E-4</v>
      </c>
      <c r="T84">
        <f t="shared" si="19"/>
        <v>65.649240812439658</v>
      </c>
      <c r="U84">
        <f t="shared" si="20"/>
        <v>90.204091674506245</v>
      </c>
      <c r="W84">
        <f t="shared" si="21"/>
        <v>8.5323800634742959</v>
      </c>
      <c r="X84">
        <f t="shared" si="22"/>
        <v>10.599773858440217</v>
      </c>
    </row>
    <row r="85" spans="1:24" x14ac:dyDescent="0.2">
      <c r="A85" s="3">
        <v>543.59</v>
      </c>
      <c r="B85" s="5">
        <v>5.9014500000000004E-4</v>
      </c>
      <c r="C85" s="5">
        <v>1.7017200000000001E-4</v>
      </c>
      <c r="D85">
        <f t="shared" si="13"/>
        <v>76.090992782157315</v>
      </c>
      <c r="E85">
        <f t="shared" si="14"/>
        <v>90.13061025603001</v>
      </c>
      <c r="G85" s="5">
        <v>4.9234599999999995E-4</v>
      </c>
      <c r="H85" s="5">
        <v>1.7212600000000001E-4</v>
      </c>
      <c r="I85" s="4">
        <f t="shared" si="15"/>
        <v>71.114250264685523</v>
      </c>
      <c r="J85" s="4">
        <f t="shared" si="16"/>
        <v>105.62598951877172</v>
      </c>
      <c r="L85" s="5">
        <v>6.2567299999999998E-4</v>
      </c>
      <c r="M85" s="5">
        <v>1.49183E-4</v>
      </c>
      <c r="N85" s="4">
        <f t="shared" si="17"/>
        <v>54.913943670624988</v>
      </c>
      <c r="O85" s="4">
        <f t="shared" si="18"/>
        <v>75.968040901128447</v>
      </c>
      <c r="Q85">
        <f t="shared" si="12"/>
        <v>5.6938799999999999E-4</v>
      </c>
      <c r="R85">
        <f t="shared" si="12"/>
        <v>1.6382699999999999E-4</v>
      </c>
      <c r="T85">
        <f t="shared" si="19"/>
        <v>67.373062239155942</v>
      </c>
      <c r="U85">
        <f t="shared" si="20"/>
        <v>90.574880225310054</v>
      </c>
      <c r="W85">
        <f t="shared" si="21"/>
        <v>9.0411731594905547</v>
      </c>
      <c r="X85">
        <f t="shared" si="22"/>
        <v>12.111881519287735</v>
      </c>
    </row>
    <row r="86" spans="1:24" x14ac:dyDescent="0.2">
      <c r="A86" s="3">
        <v>549.702</v>
      </c>
      <c r="B86" s="5">
        <v>5.9945400000000002E-4</v>
      </c>
      <c r="C86" s="5">
        <v>1.7067300000000001E-4</v>
      </c>
      <c r="D86">
        <f t="shared" si="13"/>
        <v>77.291258906260879</v>
      </c>
      <c r="E86">
        <f t="shared" si="14"/>
        <v>90.395961992733291</v>
      </c>
      <c r="G86" s="5">
        <v>5.06975E-4</v>
      </c>
      <c r="H86" s="5">
        <v>1.75811E-4</v>
      </c>
      <c r="I86" s="4">
        <f t="shared" si="15"/>
        <v>73.227256904573096</v>
      </c>
      <c r="J86" s="4">
        <f t="shared" si="16"/>
        <v>107.88730838620995</v>
      </c>
      <c r="L86" s="5">
        <v>6.3670299999999997E-4</v>
      </c>
      <c r="M86" s="5">
        <v>1.5291600000000001E-4</v>
      </c>
      <c r="N86" s="4">
        <f t="shared" si="17"/>
        <v>55.88202252121787</v>
      </c>
      <c r="O86" s="4">
        <f t="shared" si="18"/>
        <v>77.868986026805715</v>
      </c>
      <c r="Q86">
        <f t="shared" si="12"/>
        <v>5.8104399999999996E-4</v>
      </c>
      <c r="R86">
        <f t="shared" si="12"/>
        <v>1.6646666666666666E-4</v>
      </c>
      <c r="T86">
        <f t="shared" si="19"/>
        <v>68.800179444017274</v>
      </c>
      <c r="U86">
        <f t="shared" si="20"/>
        <v>92.050752135249652</v>
      </c>
      <c r="W86">
        <f t="shared" si="21"/>
        <v>9.2839686836677018</v>
      </c>
      <c r="X86">
        <f t="shared" si="22"/>
        <v>12.310663863228578</v>
      </c>
    </row>
    <row r="87" spans="1:24" x14ac:dyDescent="0.2">
      <c r="A87" s="3">
        <v>555.89599999999996</v>
      </c>
      <c r="B87" s="5">
        <v>6.0602900000000001E-4</v>
      </c>
      <c r="C87" s="5">
        <v>1.7287699999999999E-4</v>
      </c>
      <c r="D87">
        <f t="shared" si="13"/>
        <v>78.139013742009183</v>
      </c>
      <c r="E87">
        <f t="shared" si="14"/>
        <v>91.563297776553711</v>
      </c>
      <c r="G87" s="5">
        <v>5.2354099999999998E-4</v>
      </c>
      <c r="H87" s="5">
        <v>1.7968699999999999E-4</v>
      </c>
      <c r="I87" s="4">
        <f t="shared" si="15"/>
        <v>75.620043014107409</v>
      </c>
      <c r="J87" s="4">
        <f t="shared" si="16"/>
        <v>110.26583536862258</v>
      </c>
      <c r="L87" s="5">
        <v>6.4813200000000005E-4</v>
      </c>
      <c r="M87" s="5">
        <v>1.5410599999999999E-4</v>
      </c>
      <c r="N87" s="4">
        <f t="shared" si="17"/>
        <v>56.885120724610971</v>
      </c>
      <c r="O87" s="4">
        <f t="shared" si="18"/>
        <v>78.474966391005012</v>
      </c>
      <c r="Q87">
        <f t="shared" si="12"/>
        <v>5.9256733333333327E-4</v>
      </c>
      <c r="R87">
        <f t="shared" si="12"/>
        <v>1.6888999999999999E-4</v>
      </c>
      <c r="T87">
        <f t="shared" si="19"/>
        <v>70.214725826909188</v>
      </c>
      <c r="U87">
        <f t="shared" si="20"/>
        <v>93.434699845393766</v>
      </c>
      <c r="W87">
        <f t="shared" si="21"/>
        <v>9.4813881726049054</v>
      </c>
      <c r="X87">
        <f t="shared" si="22"/>
        <v>13.045853667365128</v>
      </c>
    </row>
    <row r="88" spans="1:24" x14ac:dyDescent="0.2">
      <c r="A88" s="3">
        <v>562.15099999999995</v>
      </c>
      <c r="B88" s="5">
        <v>6.1593699999999999E-4</v>
      </c>
      <c r="C88" s="5">
        <v>1.7605100000000001E-4</v>
      </c>
      <c r="D88">
        <f t="shared" si="13"/>
        <v>79.416512588031125</v>
      </c>
      <c r="E88">
        <f t="shared" si="14"/>
        <v>93.244388419859547</v>
      </c>
      <c r="G88" s="5">
        <v>5.3694799999999998E-4</v>
      </c>
      <c r="H88" s="5">
        <v>1.8362700000000001E-4</v>
      </c>
      <c r="I88" s="4">
        <f t="shared" si="15"/>
        <v>77.556544485224549</v>
      </c>
      <c r="J88" s="4">
        <f t="shared" si="16"/>
        <v>112.68363627437745</v>
      </c>
      <c r="L88" s="5">
        <v>6.5930199999999996E-4</v>
      </c>
      <c r="M88" s="5">
        <v>1.5386600000000001E-4</v>
      </c>
      <c r="N88" s="4">
        <f t="shared" si="17"/>
        <v>57.865487067414442</v>
      </c>
      <c r="O88" s="4">
        <f t="shared" si="18"/>
        <v>78.352751863771545</v>
      </c>
      <c r="Q88">
        <f t="shared" si="12"/>
        <v>6.0406233333333331E-4</v>
      </c>
      <c r="R88">
        <f t="shared" si="12"/>
        <v>1.7118133333333333E-4</v>
      </c>
      <c r="T88">
        <f t="shared" si="19"/>
        <v>71.612848046890051</v>
      </c>
      <c r="U88">
        <f t="shared" si="20"/>
        <v>94.760258852669509</v>
      </c>
      <c r="W88">
        <f t="shared" si="21"/>
        <v>9.750463946598229</v>
      </c>
      <c r="X88">
        <f t="shared" si="22"/>
        <v>14.056452930484639</v>
      </c>
    </row>
    <row r="89" spans="1:24" x14ac:dyDescent="0.2">
      <c r="A89" s="3">
        <v>568.41300000000001</v>
      </c>
      <c r="B89" s="5">
        <v>6.2595900000000004E-4</v>
      </c>
      <c r="C89" s="5">
        <v>1.7762999999999999E-4</v>
      </c>
      <c r="D89">
        <f t="shared" si="13"/>
        <v>80.708710149075927</v>
      </c>
      <c r="E89">
        <f t="shared" si="14"/>
        <v>94.080696588032154</v>
      </c>
      <c r="G89" s="5">
        <v>5.5085900000000001E-4</v>
      </c>
      <c r="H89" s="5">
        <v>1.84334E-4</v>
      </c>
      <c r="I89" s="4">
        <f t="shared" si="15"/>
        <v>79.565843505490875</v>
      </c>
      <c r="J89" s="4">
        <f t="shared" si="16"/>
        <v>113.11749039629844</v>
      </c>
      <c r="L89" s="5">
        <v>6.6785800000000002E-4</v>
      </c>
      <c r="M89" s="5">
        <v>1.5336599999999999E-4</v>
      </c>
      <c r="N89" s="4">
        <f t="shared" si="17"/>
        <v>58.616428377085583</v>
      </c>
      <c r="O89" s="4">
        <f t="shared" si="18"/>
        <v>78.098138265368476</v>
      </c>
      <c r="Q89">
        <f t="shared" si="12"/>
        <v>6.1489200000000002E-4</v>
      </c>
      <c r="R89">
        <f t="shared" si="12"/>
        <v>1.7177666666666667E-4</v>
      </c>
      <c r="T89">
        <f t="shared" si="19"/>
        <v>72.963660677217462</v>
      </c>
      <c r="U89">
        <f t="shared" si="20"/>
        <v>95.098775083233022</v>
      </c>
      <c r="W89">
        <f t="shared" si="21"/>
        <v>10.155748521460323</v>
      </c>
      <c r="X89">
        <f t="shared" si="22"/>
        <v>14.314703834037456</v>
      </c>
    </row>
    <row r="90" spans="1:24" x14ac:dyDescent="0.2">
      <c r="A90" s="3">
        <v>574.63900000000001</v>
      </c>
      <c r="B90" s="5">
        <v>6.3697199999999997E-4</v>
      </c>
      <c r="C90" s="5">
        <v>1.8016000000000001E-4</v>
      </c>
      <c r="D90">
        <f t="shared" si="13"/>
        <v>82.128683381942253</v>
      </c>
      <c r="E90">
        <f t="shared" si="14"/>
        <v>95.42069637617449</v>
      </c>
      <c r="G90" s="5">
        <v>5.6716799999999995E-4</v>
      </c>
      <c r="H90" s="5">
        <v>1.8315399999999999E-4</v>
      </c>
      <c r="I90" s="4">
        <f t="shared" si="15"/>
        <v>81.921508642542364</v>
      </c>
      <c r="J90" s="4">
        <f t="shared" si="16"/>
        <v>112.39337743467641</v>
      </c>
      <c r="L90" s="5">
        <v>6.7620199999999999E-4</v>
      </c>
      <c r="M90" s="5">
        <v>1.49114E-4</v>
      </c>
      <c r="N90" s="4">
        <f t="shared" si="17"/>
        <v>59.348762912837792</v>
      </c>
      <c r="O90" s="4">
        <f t="shared" si="18"/>
        <v>75.932904224548821</v>
      </c>
      <c r="Q90">
        <f t="shared" si="12"/>
        <v>6.267806666666666E-4</v>
      </c>
      <c r="R90">
        <f t="shared" si="12"/>
        <v>1.7080933333333333E-4</v>
      </c>
      <c r="T90">
        <f t="shared" si="19"/>
        <v>74.466318312440805</v>
      </c>
      <c r="U90">
        <f t="shared" si="20"/>
        <v>94.582326011799907</v>
      </c>
      <c r="W90">
        <f t="shared" si="21"/>
        <v>10.69006053266965</v>
      </c>
      <c r="X90">
        <f t="shared" si="22"/>
        <v>14.896726157727985</v>
      </c>
    </row>
    <row r="91" spans="1:24" x14ac:dyDescent="0.2">
      <c r="A91" s="3">
        <v>580.71900000000005</v>
      </c>
      <c r="B91" s="5">
        <v>6.4715699999999998E-4</v>
      </c>
      <c r="C91" s="5">
        <v>1.8093100000000001E-4</v>
      </c>
      <c r="D91">
        <f t="shared" si="13"/>
        <v>83.441897526747795</v>
      </c>
      <c r="E91">
        <f t="shared" si="14"/>
        <v>95.829052042837631</v>
      </c>
      <c r="G91" s="5">
        <v>5.8376499999999998E-4</v>
      </c>
      <c r="H91" s="5">
        <v>1.8469100000000001E-4</v>
      </c>
      <c r="I91" s="4">
        <f t="shared" si="15"/>
        <v>84.318772379107671</v>
      </c>
      <c r="J91" s="4">
        <f t="shared" si="16"/>
        <v>113.33656524994171</v>
      </c>
      <c r="L91" s="5">
        <v>6.89458E-4</v>
      </c>
      <c r="M91" s="5">
        <v>1.53344E-4</v>
      </c>
      <c r="N91" s="4">
        <f t="shared" si="17"/>
        <v>60.512212889579331</v>
      </c>
      <c r="O91" s="4">
        <f t="shared" si="18"/>
        <v>78.08693526703874</v>
      </c>
      <c r="Q91">
        <f t="shared" si="12"/>
        <v>6.4012666666666662E-4</v>
      </c>
      <c r="R91">
        <f t="shared" si="12"/>
        <v>1.7298866666666667E-4</v>
      </c>
      <c r="T91">
        <f t="shared" si="19"/>
        <v>76.090960931811608</v>
      </c>
      <c r="U91">
        <f t="shared" si="20"/>
        <v>95.750850853272709</v>
      </c>
      <c r="W91">
        <f t="shared" si="21"/>
        <v>11.021653545005293</v>
      </c>
      <c r="X91">
        <f t="shared" si="22"/>
        <v>14.390707419545096</v>
      </c>
    </row>
    <row r="92" spans="1:24" x14ac:dyDescent="0.2">
      <c r="A92" s="3">
        <v>586.93899999999996</v>
      </c>
      <c r="B92" s="5">
        <v>6.5883399999999996E-4</v>
      </c>
      <c r="C92" s="5">
        <v>1.8242099999999999E-4</v>
      </c>
      <c r="D92">
        <f t="shared" si="13"/>
        <v>84.947484327817449</v>
      </c>
      <c r="E92">
        <f t="shared" si="14"/>
        <v>96.618221878542002</v>
      </c>
      <c r="G92" s="5">
        <v>5.9843299999999999E-4</v>
      </c>
      <c r="H92" s="5">
        <v>1.81275E-4</v>
      </c>
      <c r="I92" s="4">
        <f t="shared" si="15"/>
        <v>86.437412162679408</v>
      </c>
      <c r="J92" s="4">
        <f t="shared" si="16"/>
        <v>111.24031959155121</v>
      </c>
      <c r="L92" s="5">
        <v>7.0231000000000004E-4</v>
      </c>
      <c r="M92" s="5">
        <v>1.5202999999999999E-4</v>
      </c>
      <c r="N92" s="4">
        <f t="shared" si="17"/>
        <v>61.640204674513107</v>
      </c>
      <c r="O92" s="4">
        <f t="shared" si="18"/>
        <v>77.417810730435491</v>
      </c>
      <c r="Q92">
        <f t="shared" si="12"/>
        <v>6.5319233333333319E-4</v>
      </c>
      <c r="R92">
        <f t="shared" si="12"/>
        <v>1.7190866666666666E-4</v>
      </c>
      <c r="T92">
        <f t="shared" si="19"/>
        <v>77.67503372166999</v>
      </c>
      <c r="U92">
        <f t="shared" si="20"/>
        <v>95.092117400176221</v>
      </c>
      <c r="W92">
        <f t="shared" si="21"/>
        <v>11.354640113684313</v>
      </c>
      <c r="X92">
        <f t="shared" si="22"/>
        <v>13.850084778903799</v>
      </c>
    </row>
    <row r="93" spans="1:24" x14ac:dyDescent="0.2">
      <c r="A93" s="3">
        <v>593.14800000000002</v>
      </c>
      <c r="B93" s="5">
        <v>6.7139999999999995E-4</v>
      </c>
      <c r="C93" s="5">
        <v>1.8596199999999999E-4</v>
      </c>
      <c r="D93">
        <f t="shared" si="13"/>
        <v>86.567695318846077</v>
      </c>
      <c r="E93">
        <f t="shared" si="14"/>
        <v>98.493691937756211</v>
      </c>
      <c r="G93" s="5">
        <v>6.1568699999999996E-4</v>
      </c>
      <c r="H93" s="5">
        <v>1.8707700000000001E-4</v>
      </c>
      <c r="I93" s="4">
        <f t="shared" si="15"/>
        <v>88.929572704385606</v>
      </c>
      <c r="J93" s="4">
        <f t="shared" si="16"/>
        <v>114.8007462045435</v>
      </c>
      <c r="L93" s="5">
        <v>7.1313799999999999E-4</v>
      </c>
      <c r="M93" s="5">
        <v>1.52402E-4</v>
      </c>
      <c r="N93" s="4">
        <f t="shared" si="17"/>
        <v>62.590554429202108</v>
      </c>
      <c r="O93" s="4">
        <f t="shared" si="18"/>
        <v>77.607243247647361</v>
      </c>
      <c r="Q93">
        <f t="shared" si="12"/>
        <v>6.6674166666666663E-4</v>
      </c>
      <c r="R93">
        <f t="shared" si="12"/>
        <v>1.7514699999999998E-4</v>
      </c>
      <c r="T93">
        <f t="shared" si="19"/>
        <v>79.362607484144604</v>
      </c>
      <c r="U93">
        <f t="shared" si="20"/>
        <v>96.967227129982362</v>
      </c>
      <c r="W93">
        <f t="shared" si="21"/>
        <v>11.898765733033922</v>
      </c>
      <c r="X93">
        <f t="shared" si="22"/>
        <v>15.222499502560575</v>
      </c>
    </row>
    <row r="94" spans="1:24" x14ac:dyDescent="0.2">
      <c r="A94" s="3">
        <v>599.39499999999998</v>
      </c>
      <c r="B94" s="5">
        <v>6.8727899999999995E-4</v>
      </c>
      <c r="C94" s="5">
        <v>1.86429E-4</v>
      </c>
      <c r="D94">
        <f t="shared" si="13"/>
        <v>88.615071598214485</v>
      </c>
      <c r="E94">
        <f t="shared" si="14"/>
        <v>98.74103577216826</v>
      </c>
      <c r="G94" s="5">
        <v>6.3121100000000001E-4</v>
      </c>
      <c r="H94" s="5">
        <v>1.8510799999999999E-4</v>
      </c>
      <c r="I94" s="4">
        <f t="shared" si="15"/>
        <v>91.171852769845643</v>
      </c>
      <c r="J94" s="4">
        <f t="shared" si="16"/>
        <v>113.59245940671829</v>
      </c>
      <c r="L94" s="5">
        <v>7.2648899999999998E-4</v>
      </c>
      <c r="M94" s="5">
        <v>1.5636900000000001E-4</v>
      </c>
      <c r="N94" s="4">
        <f t="shared" si="17"/>
        <v>63.762342347086545</v>
      </c>
      <c r="O94" s="4">
        <f t="shared" si="18"/>
        <v>79.627347537377275</v>
      </c>
      <c r="Q94">
        <f t="shared" si="12"/>
        <v>6.8165966666666657E-4</v>
      </c>
      <c r="R94">
        <f t="shared" si="12"/>
        <v>1.759686666666667E-4</v>
      </c>
      <c r="T94">
        <f t="shared" si="19"/>
        <v>81.183088905048876</v>
      </c>
      <c r="U94">
        <f t="shared" si="20"/>
        <v>97.320280905421271</v>
      </c>
      <c r="W94">
        <f t="shared" si="21"/>
        <v>12.362472526898319</v>
      </c>
      <c r="X94">
        <f t="shared" si="22"/>
        <v>13.902544476168215</v>
      </c>
    </row>
    <row r="95" spans="1:24" x14ac:dyDescent="0.2">
      <c r="A95" s="3">
        <v>605.68200000000002</v>
      </c>
      <c r="B95" s="5">
        <v>7.0020300000000004E-4</v>
      </c>
      <c r="C95" s="5">
        <v>1.9014300000000001E-4</v>
      </c>
      <c r="D95">
        <f t="shared" si="13"/>
        <v>90.281441711858776</v>
      </c>
      <c r="E95">
        <f t="shared" si="14"/>
        <v>100.7081342753938</v>
      </c>
      <c r="G95" s="5">
        <v>6.4899700000000001E-4</v>
      </c>
      <c r="H95" s="5">
        <v>1.86684E-4</v>
      </c>
      <c r="I95" s="4">
        <f t="shared" si="15"/>
        <v>93.740855168987096</v>
      </c>
      <c r="J95" s="4">
        <f t="shared" si="16"/>
        <v>114.55957976902025</v>
      </c>
      <c r="L95" s="5">
        <v>7.41715E-4</v>
      </c>
      <c r="M95" s="5">
        <v>1.5809999999999999E-4</v>
      </c>
      <c r="N95" s="4">
        <f t="shared" si="17"/>
        <v>65.098694892791627</v>
      </c>
      <c r="O95" s="4">
        <f t="shared" si="18"/>
        <v>80.508819815048682</v>
      </c>
      <c r="Q95">
        <f t="shared" si="12"/>
        <v>6.9697166666666665E-4</v>
      </c>
      <c r="R95">
        <f t="shared" si="12"/>
        <v>1.78309E-4</v>
      </c>
      <c r="T95">
        <f t="shared" si="19"/>
        <v>83.040330591212509</v>
      </c>
      <c r="U95">
        <f t="shared" si="20"/>
        <v>98.592177953154248</v>
      </c>
      <c r="W95">
        <f t="shared" si="21"/>
        <v>12.765020016121596</v>
      </c>
      <c r="X95">
        <f t="shared" si="22"/>
        <v>13.981452397824977</v>
      </c>
    </row>
    <row r="96" spans="1:24" x14ac:dyDescent="0.2">
      <c r="A96" s="3">
        <v>611.80899999999997</v>
      </c>
      <c r="B96" s="5">
        <v>7.1579499999999997E-4</v>
      </c>
      <c r="C96" s="5">
        <v>1.9010699999999999E-4</v>
      </c>
      <c r="D96">
        <f t="shared" si="13"/>
        <v>92.291813331476661</v>
      </c>
      <c r="E96">
        <f t="shared" si="14"/>
        <v>100.68906708473247</v>
      </c>
      <c r="G96" s="5">
        <v>6.77683E-4</v>
      </c>
      <c r="H96" s="5">
        <v>2.0331700000000001E-4</v>
      </c>
      <c r="I96" s="4">
        <f t="shared" si="15"/>
        <v>97.884249008061161</v>
      </c>
      <c r="J96" s="4">
        <f t="shared" si="16"/>
        <v>124.76650425262952</v>
      </c>
      <c r="L96" s="5">
        <v>7.5246000000000004E-4</v>
      </c>
      <c r="M96" s="5">
        <v>1.5656200000000001E-4</v>
      </c>
      <c r="N96" s="4">
        <f t="shared" si="17"/>
        <v>66.041759919955766</v>
      </c>
      <c r="O96" s="4">
        <f t="shared" si="18"/>
        <v>79.725628386360853</v>
      </c>
      <c r="Q96">
        <f t="shared" si="12"/>
        <v>7.1531266666666671E-4</v>
      </c>
      <c r="R96">
        <f t="shared" si="12"/>
        <v>1.8332866666666663E-4</v>
      </c>
      <c r="T96">
        <f t="shared" si="19"/>
        <v>85.405940753164529</v>
      </c>
      <c r="U96">
        <f t="shared" si="20"/>
        <v>101.72706657457428</v>
      </c>
      <c r="W96">
        <f t="shared" si="21"/>
        <v>13.88158153105743</v>
      </c>
      <c r="X96">
        <f t="shared" si="22"/>
        <v>18.402503577970752</v>
      </c>
    </row>
    <row r="97" spans="1:24" x14ac:dyDescent="0.2">
      <c r="A97" s="3">
        <v>618.17399999999998</v>
      </c>
      <c r="B97" s="5">
        <v>7.3016800000000001E-4</v>
      </c>
      <c r="C97" s="5">
        <v>1.93141E-4</v>
      </c>
      <c r="D97">
        <f t="shared" si="13"/>
        <v>94.145011849227288</v>
      </c>
      <c r="E97">
        <f t="shared" si="14"/>
        <v>102.2960075421332</v>
      </c>
      <c r="G97" s="5">
        <v>6.9398400000000003E-4</v>
      </c>
      <c r="H97" s="5">
        <v>2.0300900000000001E-4</v>
      </c>
      <c r="I97" s="4">
        <f t="shared" si="15"/>
        <v>100.23875862845951</v>
      </c>
      <c r="J97" s="4">
        <f t="shared" si="16"/>
        <v>124.57749849654513</v>
      </c>
      <c r="L97" s="5">
        <v>7.6702900000000002E-4</v>
      </c>
      <c r="M97" s="5">
        <v>1.6096099999999999E-4</v>
      </c>
      <c r="N97" s="4">
        <f t="shared" si="17"/>
        <v>67.320449020072488</v>
      </c>
      <c r="O97" s="4">
        <f t="shared" si="18"/>
        <v>81.965718825110997</v>
      </c>
      <c r="Q97">
        <f t="shared" si="12"/>
        <v>7.3039366666666683E-4</v>
      </c>
      <c r="R97">
        <f t="shared" si="12"/>
        <v>1.8570366666666668E-4</v>
      </c>
      <c r="T97">
        <f t="shared" si="19"/>
        <v>87.234739832586413</v>
      </c>
      <c r="U97">
        <f t="shared" si="20"/>
        <v>102.94640828792978</v>
      </c>
      <c r="W97">
        <f t="shared" si="21"/>
        <v>14.299596063674578</v>
      </c>
      <c r="X97">
        <f t="shared" si="22"/>
        <v>17.402264364909719</v>
      </c>
    </row>
    <row r="98" spans="1:24" x14ac:dyDescent="0.2">
      <c r="A98" s="3">
        <v>624.24699999999996</v>
      </c>
      <c r="B98" s="5">
        <v>7.42762E-4</v>
      </c>
      <c r="C98" s="5">
        <v>1.97126E-4</v>
      </c>
      <c r="D98">
        <f t="shared" si="13"/>
        <v>95.768833050963281</v>
      </c>
      <c r="E98">
        <f t="shared" si="14"/>
        <v>104.40663961950362</v>
      </c>
      <c r="G98" s="5">
        <v>7.1633700000000005E-4</v>
      </c>
      <c r="H98" s="5">
        <v>2.0714900000000001E-4</v>
      </c>
      <c r="I98" s="4">
        <f t="shared" si="15"/>
        <v>103.46741659697459</v>
      </c>
      <c r="J98" s="4">
        <f t="shared" si="16"/>
        <v>127.11803041274439</v>
      </c>
      <c r="L98" s="5">
        <v>7.7947100000000001E-4</v>
      </c>
      <c r="M98" s="5">
        <v>1.6190399999999999E-4</v>
      </c>
      <c r="N98" s="4">
        <f t="shared" si="17"/>
        <v>68.412456006389505</v>
      </c>
      <c r="O98" s="4">
        <f t="shared" si="18"/>
        <v>82.445920071699192</v>
      </c>
      <c r="Q98">
        <f t="shared" si="12"/>
        <v>7.4618999999999998E-4</v>
      </c>
      <c r="R98">
        <f t="shared" si="12"/>
        <v>1.8872633333333333E-4</v>
      </c>
      <c r="T98">
        <f t="shared" si="19"/>
        <v>89.216235218109134</v>
      </c>
      <c r="U98">
        <f t="shared" si="20"/>
        <v>104.6568633679824</v>
      </c>
      <c r="W98">
        <f t="shared" si="21"/>
        <v>15.042494679434245</v>
      </c>
      <c r="X98">
        <f t="shared" si="22"/>
        <v>18.238170952224657</v>
      </c>
    </row>
    <row r="99" spans="1:24" x14ac:dyDescent="0.2">
      <c r="A99" s="3">
        <v>630.44299999999998</v>
      </c>
      <c r="B99" s="5">
        <v>7.5850400000000001E-4</v>
      </c>
      <c r="C99" s="5">
        <v>1.98786E-4</v>
      </c>
      <c r="D99">
        <f t="shared" si="13"/>
        <v>97.798545085084925</v>
      </c>
      <c r="E99">
        <f t="shared" si="14"/>
        <v>105.28584896666419</v>
      </c>
      <c r="G99" s="5">
        <v>7.3109399999999995E-4</v>
      </c>
      <c r="H99" s="5">
        <v>1.98813E-4</v>
      </c>
      <c r="I99" s="4">
        <f t="shared" si="15"/>
        <v>105.59891150331271</v>
      </c>
      <c r="J99" s="4">
        <f t="shared" si="16"/>
        <v>122.00260189742143</v>
      </c>
      <c r="L99" s="5">
        <v>7.9113700000000003E-4</v>
      </c>
      <c r="M99" s="5">
        <v>1.6227599999999999E-4</v>
      </c>
      <c r="N99" s="4">
        <f t="shared" si="17"/>
        <v>69.436355178739134</v>
      </c>
      <c r="O99" s="4">
        <f t="shared" si="18"/>
        <v>82.635352588911061</v>
      </c>
      <c r="Q99">
        <f t="shared" si="12"/>
        <v>7.60245E-4</v>
      </c>
      <c r="R99">
        <f t="shared" si="12"/>
        <v>1.8662500000000002E-4</v>
      </c>
      <c r="T99">
        <f t="shared" si="19"/>
        <v>90.944603922378917</v>
      </c>
      <c r="U99">
        <f t="shared" si="20"/>
        <v>103.30793448433224</v>
      </c>
      <c r="W99">
        <f t="shared" si="21"/>
        <v>15.538446985426578</v>
      </c>
      <c r="X99">
        <f t="shared" si="22"/>
        <v>16.132352355937112</v>
      </c>
    </row>
    <row r="100" spans="1:24" x14ac:dyDescent="0.2">
      <c r="A100" s="3">
        <v>636.67100000000005</v>
      </c>
      <c r="B100" s="5">
        <v>7.7659400000000003E-4</v>
      </c>
      <c r="C100" s="5">
        <v>1.99013E-4</v>
      </c>
      <c r="D100">
        <f t="shared" si="13"/>
        <v>100.13099907423883</v>
      </c>
      <c r="E100">
        <f t="shared" si="14"/>
        <v>105.40607819666748</v>
      </c>
      <c r="G100" s="5">
        <v>7.57436E-4</v>
      </c>
      <c r="H100" s="5">
        <v>2.06892E-4</v>
      </c>
      <c r="I100" s="4">
        <f t="shared" si="15"/>
        <v>109.40373896301045</v>
      </c>
      <c r="J100" s="4">
        <f t="shared" si="16"/>
        <v>126.96032106432334</v>
      </c>
      <c r="L100" s="5">
        <v>8.0896400000000002E-4</v>
      </c>
      <c r="M100" s="5">
        <v>1.71717E-4</v>
      </c>
      <c r="N100" s="4">
        <f t="shared" si="17"/>
        <v>71.000991776156994</v>
      </c>
      <c r="O100" s="4">
        <f t="shared" si="18"/>
        <v>87.442966553957717</v>
      </c>
      <c r="Q100">
        <f t="shared" si="12"/>
        <v>7.8099800000000009E-4</v>
      </c>
      <c r="R100">
        <f t="shared" si="12"/>
        <v>1.9254066666666669E-4</v>
      </c>
      <c r="T100">
        <f t="shared" si="19"/>
        <v>93.511909937802088</v>
      </c>
      <c r="U100">
        <f t="shared" si="20"/>
        <v>106.60312193831618</v>
      </c>
      <c r="W100">
        <f t="shared" si="21"/>
        <v>16.361581089479447</v>
      </c>
      <c r="X100">
        <f t="shared" si="22"/>
        <v>16.155082010810997</v>
      </c>
    </row>
    <row r="101" spans="1:24" x14ac:dyDescent="0.2">
      <c r="A101" s="3">
        <v>642.96100000000001</v>
      </c>
      <c r="B101" s="5">
        <v>7.9179000000000001E-4</v>
      </c>
      <c r="C101" s="5">
        <v>2.0305E-4</v>
      </c>
      <c r="D101">
        <f t="shared" si="13"/>
        <v>102.09031199956678</v>
      </c>
      <c r="E101">
        <f t="shared" si="14"/>
        <v>107.5442517716598</v>
      </c>
      <c r="G101" s="5">
        <v>7.7817499999999998E-4</v>
      </c>
      <c r="H101" s="5">
        <v>2.10843E-4</v>
      </c>
      <c r="I101" s="4">
        <f t="shared" si="15"/>
        <v>112.39927144675018</v>
      </c>
      <c r="J101" s="4">
        <f t="shared" si="16"/>
        <v>129.38487217565262</v>
      </c>
      <c r="L101" s="5">
        <v>8.1488000000000003E-4</v>
      </c>
      <c r="M101" s="5">
        <v>1.6437099999999999E-4</v>
      </c>
      <c r="N101" s="4">
        <f t="shared" si="17"/>
        <v>71.520226089856678</v>
      </c>
      <c r="O101" s="4">
        <f t="shared" si="18"/>
        <v>83.702183566219901</v>
      </c>
      <c r="Q101">
        <f t="shared" si="12"/>
        <v>7.9494833333333334E-4</v>
      </c>
      <c r="R101">
        <f t="shared" si="12"/>
        <v>1.9275466666666667E-4</v>
      </c>
      <c r="T101">
        <f t="shared" si="19"/>
        <v>95.336603178724545</v>
      </c>
      <c r="U101">
        <f t="shared" si="20"/>
        <v>106.87710250451077</v>
      </c>
      <c r="W101">
        <f t="shared" si="21"/>
        <v>17.358639049001471</v>
      </c>
      <c r="X101">
        <f t="shared" si="22"/>
        <v>18.655844942092489</v>
      </c>
    </row>
    <row r="102" spans="1:24" x14ac:dyDescent="0.2">
      <c r="A102" s="3">
        <v>649.13499999999999</v>
      </c>
      <c r="B102" s="5">
        <v>8.0788099999999999E-4</v>
      </c>
      <c r="C102" s="5">
        <v>2.05856E-4</v>
      </c>
      <c r="D102">
        <f t="shared" si="13"/>
        <v>104.16502273143384</v>
      </c>
      <c r="E102">
        <f t="shared" si="14"/>
        <v>109.03043335487219</v>
      </c>
      <c r="G102" s="5">
        <v>8.0398399999999999E-4</v>
      </c>
      <c r="H102" s="5">
        <v>2.15367E-4</v>
      </c>
      <c r="I102" s="4">
        <f t="shared" si="15"/>
        <v>116.12711260943102</v>
      </c>
      <c r="J102" s="4">
        <f t="shared" si="16"/>
        <v>132.16104763190515</v>
      </c>
      <c r="L102" s="5">
        <v>8.298E-4</v>
      </c>
      <c r="M102" s="5">
        <v>1.67011E-4</v>
      </c>
      <c r="N102" s="4">
        <f t="shared" si="17"/>
        <v>72.829721688301433</v>
      </c>
      <c r="O102" s="4">
        <f t="shared" si="18"/>
        <v>85.046543365788082</v>
      </c>
      <c r="Q102">
        <f t="shared" si="12"/>
        <v>8.1388833333333329E-4</v>
      </c>
      <c r="R102">
        <f t="shared" si="12"/>
        <v>1.96078E-4</v>
      </c>
      <c r="T102">
        <f t="shared" si="19"/>
        <v>97.707285676388764</v>
      </c>
      <c r="U102">
        <f t="shared" si="20"/>
        <v>108.7460081175218</v>
      </c>
      <c r="W102">
        <f t="shared" si="21"/>
        <v>18.256374065849894</v>
      </c>
      <c r="X102">
        <f t="shared" si="22"/>
        <v>19.235467264876856</v>
      </c>
    </row>
    <row r="103" spans="1:24" x14ac:dyDescent="0.2">
      <c r="A103" s="3">
        <v>655.32600000000002</v>
      </c>
      <c r="B103" s="5">
        <v>8.2340600000000005E-4</v>
      </c>
      <c r="C103" s="5">
        <v>2.1172199999999999E-4</v>
      </c>
      <c r="D103">
        <f t="shared" si="13"/>
        <v>106.16675563257338</v>
      </c>
      <c r="E103">
        <f t="shared" si="14"/>
        <v>112.13732614429625</v>
      </c>
      <c r="G103" s="5">
        <v>8.2381000000000002E-4</v>
      </c>
      <c r="H103" s="5">
        <v>2.21015E-4</v>
      </c>
      <c r="I103" s="4">
        <f t="shared" si="15"/>
        <v>118.99077175512869</v>
      </c>
      <c r="J103" s="4">
        <f t="shared" si="16"/>
        <v>135.62697136685526</v>
      </c>
      <c r="L103" s="5">
        <v>8.45706E-4</v>
      </c>
      <c r="M103" s="5">
        <v>1.6898999999999999E-4</v>
      </c>
      <c r="N103" s="4">
        <f t="shared" si="17"/>
        <v>74.225756339029459</v>
      </c>
      <c r="O103" s="4">
        <f t="shared" si="18"/>
        <v>86.054303988267407</v>
      </c>
      <c r="Q103">
        <f t="shared" si="12"/>
        <v>8.3097399999999995E-4</v>
      </c>
      <c r="R103">
        <f t="shared" si="12"/>
        <v>2.0057566666666668E-4</v>
      </c>
      <c r="T103">
        <f t="shared" si="19"/>
        <v>99.794427908910507</v>
      </c>
      <c r="U103">
        <f t="shared" si="20"/>
        <v>111.27286716647298</v>
      </c>
      <c r="W103">
        <f t="shared" si="21"/>
        <v>18.822532096120401</v>
      </c>
      <c r="X103">
        <f t="shared" si="22"/>
        <v>20.247185890888293</v>
      </c>
    </row>
    <row r="104" spans="1:24" x14ac:dyDescent="0.2">
      <c r="A104" s="3">
        <v>661.65899999999999</v>
      </c>
      <c r="B104" s="5">
        <v>8.4359599999999995E-4</v>
      </c>
      <c r="C104" s="5">
        <v>2.11607E-4</v>
      </c>
      <c r="D104">
        <f t="shared" si="13"/>
        <v>108.76997542477997</v>
      </c>
      <c r="E104">
        <f t="shared" si="14"/>
        <v>112.07641706301708</v>
      </c>
      <c r="G104" s="5">
        <v>8.4432699999999997E-4</v>
      </c>
      <c r="H104" s="5">
        <v>2.2346000000000001E-4</v>
      </c>
      <c r="I104" s="4">
        <f t="shared" si="15"/>
        <v>121.95423865174315</v>
      </c>
      <c r="J104" s="4">
        <f t="shared" si="16"/>
        <v>137.12735796953817</v>
      </c>
      <c r="L104" s="5">
        <v>8.5835200000000005E-4</v>
      </c>
      <c r="M104" s="5">
        <v>1.71263E-4</v>
      </c>
      <c r="N104" s="4">
        <f t="shared" si="17"/>
        <v>75.335667956853342</v>
      </c>
      <c r="O104" s="4">
        <f t="shared" si="18"/>
        <v>87.211777406607723</v>
      </c>
      <c r="Q104">
        <f t="shared" si="12"/>
        <v>8.487583333333334E-4</v>
      </c>
      <c r="R104">
        <f t="shared" si="12"/>
        <v>2.0211E-4</v>
      </c>
      <c r="T104">
        <f t="shared" si="19"/>
        <v>102.01996067779216</v>
      </c>
      <c r="U104">
        <f t="shared" si="20"/>
        <v>112.13851747972099</v>
      </c>
      <c r="W104">
        <f t="shared" si="21"/>
        <v>19.621328662487372</v>
      </c>
      <c r="X104">
        <f t="shared" si="22"/>
        <v>20.377997743970784</v>
      </c>
    </row>
    <row r="105" spans="1:24" x14ac:dyDescent="0.2">
      <c r="A105" s="3">
        <v>667.80399999999997</v>
      </c>
      <c r="B105" s="5">
        <v>8.6210499999999995E-4</v>
      </c>
      <c r="C105" s="5">
        <v>2.14119E-4</v>
      </c>
      <c r="D105">
        <f t="shared" si="13"/>
        <v>111.1564536384477</v>
      </c>
      <c r="E105">
        <f t="shared" si="14"/>
        <v>113.40688325582873</v>
      </c>
      <c r="G105" s="5">
        <v>8.6702199999999995E-4</v>
      </c>
      <c r="H105" s="5">
        <v>2.20826E-4</v>
      </c>
      <c r="I105" s="4">
        <f t="shared" si="15"/>
        <v>125.23229495718087</v>
      </c>
      <c r="J105" s="4">
        <f t="shared" si="16"/>
        <v>135.5109905619853</v>
      </c>
      <c r="L105" s="5">
        <v>8.69263E-4</v>
      </c>
      <c r="M105" s="5">
        <v>1.74938E-4</v>
      </c>
      <c r="N105" s="4">
        <f t="shared" si="17"/>
        <v>76.293302439067205</v>
      </c>
      <c r="O105" s="4">
        <f t="shared" si="18"/>
        <v>89.083187354870248</v>
      </c>
      <c r="Q105">
        <f t="shared" si="12"/>
        <v>8.6613E-4</v>
      </c>
      <c r="R105">
        <f t="shared" si="12"/>
        <v>2.0329433333333332E-4</v>
      </c>
      <c r="T105">
        <f t="shared" si="19"/>
        <v>104.22735034489858</v>
      </c>
      <c r="U105">
        <f t="shared" si="20"/>
        <v>112.66702039089476</v>
      </c>
      <c r="W105">
        <f t="shared" si="21"/>
        <v>20.57126801328338</v>
      </c>
      <c r="X105">
        <f t="shared" si="22"/>
        <v>18.961289960580771</v>
      </c>
    </row>
    <row r="106" spans="1:24" x14ac:dyDescent="0.2">
      <c r="A106" s="3">
        <v>674.029</v>
      </c>
      <c r="B106" s="5">
        <v>8.8461799999999999E-4</v>
      </c>
      <c r="C106" s="5">
        <v>2.14935E-4</v>
      </c>
      <c r="D106">
        <f t="shared" si="13"/>
        <v>114.05919198326926</v>
      </c>
      <c r="E106">
        <f t="shared" si="14"/>
        <v>113.83907291081852</v>
      </c>
      <c r="G106" s="5">
        <v>8.8866900000000003E-4</v>
      </c>
      <c r="H106" s="5">
        <v>2.2035499999999999E-4</v>
      </c>
      <c r="I106" s="4">
        <f t="shared" si="15"/>
        <v>128.35897858105443</v>
      </c>
      <c r="J106" s="4">
        <f t="shared" si="16"/>
        <v>135.22195903238872</v>
      </c>
      <c r="L106" s="5">
        <v>8.8534300000000002E-4</v>
      </c>
      <c r="M106" s="5">
        <v>1.72726E-4</v>
      </c>
      <c r="N106" s="4">
        <f t="shared" si="17"/>
        <v>77.704608687256993</v>
      </c>
      <c r="O106" s="4">
        <f t="shared" si="18"/>
        <v>87.956776795535092</v>
      </c>
      <c r="Q106">
        <f t="shared" si="12"/>
        <v>8.8621000000000012E-4</v>
      </c>
      <c r="R106">
        <f t="shared" si="12"/>
        <v>2.0267199999999999E-4</v>
      </c>
      <c r="T106">
        <f t="shared" si="19"/>
        <v>106.70759308386023</v>
      </c>
      <c r="U106">
        <f t="shared" si="20"/>
        <v>112.33926957958079</v>
      </c>
      <c r="W106">
        <f t="shared" si="21"/>
        <v>21.32292666150305</v>
      </c>
      <c r="X106">
        <f t="shared" si="22"/>
        <v>19.325051453058453</v>
      </c>
    </row>
    <row r="107" spans="1:24" x14ac:dyDescent="0.2">
      <c r="A107" s="3">
        <v>680.11099999999999</v>
      </c>
      <c r="B107" s="5">
        <v>9.0536499999999999E-4</v>
      </c>
      <c r="C107" s="5">
        <v>2.18426E-4</v>
      </c>
      <c r="D107">
        <f t="shared" si="13"/>
        <v>116.73422918133316</v>
      </c>
      <c r="E107">
        <f t="shared" si="14"/>
        <v>115.68806076078091</v>
      </c>
      <c r="G107" s="5">
        <v>9.1728399999999998E-4</v>
      </c>
      <c r="H107" s="5">
        <v>2.3343100000000001E-4</v>
      </c>
      <c r="I107" s="4">
        <f t="shared" si="15"/>
        <v>132.49211720983172</v>
      </c>
      <c r="J107" s="4">
        <f t="shared" si="16"/>
        <v>143.2461124952442</v>
      </c>
      <c r="L107" s="5">
        <v>9.0114399999999999E-4</v>
      </c>
      <c r="M107" s="5">
        <v>1.7848000000000001E-4</v>
      </c>
      <c r="N107" s="4">
        <f t="shared" si="17"/>
        <v>79.091427718827063</v>
      </c>
      <c r="O107" s="4">
        <f t="shared" si="18"/>
        <v>90.886870085957554</v>
      </c>
      <c r="Q107">
        <f t="shared" si="12"/>
        <v>9.0793099999999995E-4</v>
      </c>
      <c r="R107">
        <f t="shared" si="12"/>
        <v>2.1011233333333333E-4</v>
      </c>
      <c r="T107">
        <f t="shared" si="19"/>
        <v>109.43925803666399</v>
      </c>
      <c r="U107">
        <f t="shared" si="20"/>
        <v>116.60701444732756</v>
      </c>
      <c r="W107">
        <f t="shared" si="21"/>
        <v>22.402691245024418</v>
      </c>
      <c r="X107">
        <f t="shared" si="22"/>
        <v>21.385445569781396</v>
      </c>
    </row>
    <row r="108" spans="1:24" x14ac:dyDescent="0.2">
      <c r="A108" s="3">
        <v>686.43799999999999</v>
      </c>
      <c r="B108" s="5">
        <v>9.2312199999999996E-4</v>
      </c>
      <c r="C108" s="5">
        <v>2.2276699999999999E-4</v>
      </c>
      <c r="D108">
        <f t="shared" si="13"/>
        <v>119.0237474502887</v>
      </c>
      <c r="E108">
        <f t="shared" si="14"/>
        <v>117.98724616802431</v>
      </c>
      <c r="G108" s="5">
        <v>9.3891799999999996E-4</v>
      </c>
      <c r="H108" s="5">
        <v>2.3723900000000001E-4</v>
      </c>
      <c r="I108" s="4">
        <f t="shared" si="15"/>
        <v>135.61692311914385</v>
      </c>
      <c r="J108" s="4">
        <f t="shared" si="16"/>
        <v>145.58291093410574</v>
      </c>
      <c r="L108" s="5">
        <v>9.1111399999999998E-4</v>
      </c>
      <c r="M108" s="5">
        <v>1.8188699999999999E-4</v>
      </c>
      <c r="N108" s="4">
        <f t="shared" si="17"/>
        <v>79.966472699825346</v>
      </c>
      <c r="O108" s="4">
        <f t="shared" si="18"/>
        <v>92.621807145476026</v>
      </c>
      <c r="Q108">
        <f t="shared" si="12"/>
        <v>9.2438466666666663E-4</v>
      </c>
      <c r="R108">
        <f t="shared" si="12"/>
        <v>2.1396433333333332E-4</v>
      </c>
      <c r="T108">
        <f t="shared" si="19"/>
        <v>111.53571442308596</v>
      </c>
      <c r="U108">
        <f t="shared" si="20"/>
        <v>118.73065474920202</v>
      </c>
      <c r="W108">
        <f t="shared" si="21"/>
        <v>23.328039450849936</v>
      </c>
      <c r="X108">
        <f t="shared" si="22"/>
        <v>21.627669328377067</v>
      </c>
    </row>
    <row r="109" spans="1:24" x14ac:dyDescent="0.2">
      <c r="A109" s="3">
        <v>692.55399999999997</v>
      </c>
      <c r="B109" s="5">
        <v>9.3987900000000002E-4</v>
      </c>
      <c r="C109" s="5">
        <v>2.2588799999999999E-4</v>
      </c>
      <c r="D109">
        <f t="shared" si="13"/>
        <v>121.18432962255248</v>
      </c>
      <c r="E109">
        <f t="shared" si="14"/>
        <v>119.64026566952322</v>
      </c>
      <c r="G109" s="5">
        <v>9.6263399999999997E-4</v>
      </c>
      <c r="H109" s="5">
        <v>2.4220099999999999E-4</v>
      </c>
      <c r="I109" s="4">
        <f t="shared" si="15"/>
        <v>139.04245223744135</v>
      </c>
      <c r="J109" s="4">
        <f t="shared" si="16"/>
        <v>148.62786730323151</v>
      </c>
      <c r="L109" s="5">
        <v>9.25686E-4</v>
      </c>
      <c r="M109" s="5">
        <v>1.86558E-4</v>
      </c>
      <c r="N109" s="4">
        <f t="shared" si="17"/>
        <v>81.245425103346577</v>
      </c>
      <c r="O109" s="4">
        <f t="shared" si="18"/>
        <v>95.000407381757441</v>
      </c>
      <c r="Q109">
        <f t="shared" si="12"/>
        <v>9.4273299999999996E-4</v>
      </c>
      <c r="R109">
        <f t="shared" si="12"/>
        <v>2.1821566666666665E-4</v>
      </c>
      <c r="T109">
        <f t="shared" si="19"/>
        <v>113.82406898778014</v>
      </c>
      <c r="U109">
        <f t="shared" si="20"/>
        <v>121.08951345150406</v>
      </c>
      <c r="W109">
        <f t="shared" si="21"/>
        <v>24.162700785075842</v>
      </c>
      <c r="X109">
        <f t="shared" si="22"/>
        <v>21.917289275174181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A6FF-2E32-1D48-AB74-8F3ABA7C780F}">
  <dimension ref="A1:X109"/>
  <sheetViews>
    <sheetView topLeftCell="A9" workbookViewId="0">
      <selection activeCell="AI18" sqref="AI18"/>
    </sheetView>
  </sheetViews>
  <sheetFormatPr baseColWidth="10" defaultColWidth="8.83203125" defaultRowHeight="15" x14ac:dyDescent="0.2"/>
  <cols>
    <col min="1" max="1" width="9.5" bestFit="1" customWidth="1"/>
    <col min="2" max="3" width="8.83203125" bestFit="1" customWidth="1"/>
    <col min="4" max="5" width="12.5" customWidth="1"/>
    <col min="7" max="8" width="8.83203125" bestFit="1" customWidth="1"/>
    <col min="9" max="10" width="12.1640625" customWidth="1"/>
    <col min="16" max="16" width="8.83203125" style="1"/>
    <col min="17" max="18" width="8.83203125" bestFit="1" customWidth="1"/>
    <col min="20" max="21" width="11.83203125" bestFit="1" customWidth="1"/>
    <col min="23" max="24" width="9.5" bestFit="1" customWidth="1"/>
  </cols>
  <sheetData>
    <row r="1" spans="1:24" ht="32" x14ac:dyDescent="0.2">
      <c r="A1" s="2" t="s">
        <v>5</v>
      </c>
      <c r="B1" s="2" t="s">
        <v>0</v>
      </c>
      <c r="C1" s="2" t="s">
        <v>1</v>
      </c>
      <c r="D1" t="s">
        <v>11</v>
      </c>
      <c r="E1" t="s">
        <v>12</v>
      </c>
      <c r="G1" s="2" t="s">
        <v>0</v>
      </c>
      <c r="H1" s="2" t="s">
        <v>1</v>
      </c>
      <c r="I1" t="s">
        <v>11</v>
      </c>
      <c r="J1" t="s">
        <v>12</v>
      </c>
      <c r="L1" s="2" t="s">
        <v>0</v>
      </c>
      <c r="M1" s="2" t="s">
        <v>1</v>
      </c>
      <c r="N1" t="s">
        <v>11</v>
      </c>
      <c r="O1" t="s">
        <v>12</v>
      </c>
      <c r="Q1" t="s">
        <v>3</v>
      </c>
      <c r="R1" t="s">
        <v>4</v>
      </c>
      <c r="T1" t="s">
        <v>9</v>
      </c>
      <c r="U1" t="s">
        <v>10</v>
      </c>
      <c r="W1" t="s">
        <v>7</v>
      </c>
      <c r="X1" t="s">
        <v>8</v>
      </c>
    </row>
    <row r="2" spans="1:24" ht="16" x14ac:dyDescent="0.2">
      <c r="A2" s="2" t="s">
        <v>6</v>
      </c>
      <c r="B2" s="2" t="s">
        <v>2</v>
      </c>
      <c r="C2" s="2" t="s">
        <v>2</v>
      </c>
      <c r="D2" t="s">
        <v>2</v>
      </c>
      <c r="E2" t="s">
        <v>2</v>
      </c>
      <c r="G2" s="2" t="s">
        <v>2</v>
      </c>
      <c r="H2" s="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2">
      <c r="A3" s="3">
        <v>6.0990200000000003</v>
      </c>
      <c r="B3" s="5">
        <v>7.8509000000000001E-4</v>
      </c>
      <c r="C3" s="5">
        <v>1.7369799999999999E-4</v>
      </c>
      <c r="D3">
        <f>B3/$B$3*100</f>
        <v>100</v>
      </c>
      <c r="E3">
        <f>C3/$C$3*100</f>
        <v>100</v>
      </c>
      <c r="G3" s="5">
        <v>6.92412E-4</v>
      </c>
      <c r="H3" s="5">
        <v>1.54401E-4</v>
      </c>
      <c r="I3">
        <f>G3/$G$3*100</f>
        <v>100</v>
      </c>
      <c r="J3">
        <f>H3/$H$3*100</f>
        <v>100</v>
      </c>
      <c r="L3" s="5">
        <v>7.5824300000000002E-4</v>
      </c>
      <c r="M3" s="5">
        <v>1.61991E-4</v>
      </c>
      <c r="N3" s="4">
        <f>L3/$L$3*100</f>
        <v>100</v>
      </c>
      <c r="O3" s="4">
        <f>M3/$M$3*100</f>
        <v>100</v>
      </c>
      <c r="Q3">
        <f>AVERAGE(B3,G3,L3)</f>
        <v>7.4524833333333327E-4</v>
      </c>
      <c r="R3">
        <f>AVERAGE(C3,H3,M3)</f>
        <v>1.6336333333333332E-4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2">
      <c r="A4" s="3">
        <v>12.444100000000001</v>
      </c>
      <c r="B4" s="5">
        <v>7.9104999999999996E-4</v>
      </c>
      <c r="C4" s="5">
        <v>1.7557900000000001E-4</v>
      </c>
      <c r="D4">
        <f>B4/$B$3*100</f>
        <v>100.75914863264084</v>
      </c>
      <c r="E4">
        <f>C4/$C$3*100</f>
        <v>101.08291402318967</v>
      </c>
      <c r="G4" s="5">
        <v>6.9768100000000002E-4</v>
      </c>
      <c r="H4" s="5">
        <v>1.5511100000000001E-4</v>
      </c>
      <c r="I4">
        <f>G4/$G$3*100</f>
        <v>100.76096312600014</v>
      </c>
      <c r="J4">
        <f>H4/$H$3*100</f>
        <v>100.45984158133692</v>
      </c>
      <c r="L4" s="5">
        <v>7.6362800000000003E-4</v>
      </c>
      <c r="M4" s="5">
        <v>1.6590299999999999E-4</v>
      </c>
      <c r="N4" s="4">
        <f>L4/$L$3*100</f>
        <v>100.7101944891018</v>
      </c>
      <c r="O4" s="4">
        <f>M4/$M$3*100</f>
        <v>102.41494897864696</v>
      </c>
      <c r="Q4">
        <f>AVERAGE(B4,G4,L4)</f>
        <v>7.5078633333333341E-4</v>
      </c>
      <c r="R4">
        <f>AVERAGE(C4,H4,M4)</f>
        <v>1.6553100000000001E-4</v>
      </c>
      <c r="T4">
        <f>AVERAGE(D4,I4,N4)</f>
        <v>100.74343541591425</v>
      </c>
      <c r="U4">
        <f>AVERAGE(E4,J4,O4)</f>
        <v>101.31923486105785</v>
      </c>
      <c r="W4">
        <f>_xlfn.STDEV.P(D4,I4,N4)</f>
        <v>2.3516554566962295E-2</v>
      </c>
      <c r="X4">
        <f>_xlfn.STDEV.P(E4,J4,O4)</f>
        <v>0.81547404927528788</v>
      </c>
    </row>
    <row r="5" spans="1:24" x14ac:dyDescent="0.2">
      <c r="A5" s="3">
        <v>18.657</v>
      </c>
      <c r="B5" s="5">
        <v>7.9674599999999998E-4</v>
      </c>
      <c r="C5" s="5">
        <v>1.74568E-4</v>
      </c>
      <c r="D5">
        <f>B5/$B$3*100</f>
        <v>101.48467054732578</v>
      </c>
      <c r="E5">
        <f>C5/$C$3*100</f>
        <v>100.50086932492026</v>
      </c>
      <c r="G5" s="5">
        <v>7.0299000000000002E-4</v>
      </c>
      <c r="H5" s="5">
        <v>1.54862E-4</v>
      </c>
      <c r="I5">
        <f>G5/$G$3*100</f>
        <v>101.52770315939065</v>
      </c>
      <c r="J5">
        <f>H5/$H$3*100</f>
        <v>100.29857319576945</v>
      </c>
      <c r="L5" s="5">
        <v>7.6899300000000004E-4</v>
      </c>
      <c r="M5" s="5">
        <v>1.64475E-4</v>
      </c>
      <c r="N5" s="4">
        <f>L5/$L$3*100</f>
        <v>101.41775130136381</v>
      </c>
      <c r="O5" s="4">
        <f>M5/$M$3*100</f>
        <v>101.53341852325129</v>
      </c>
      <c r="Q5">
        <f>AVERAGE(B5,G5,L5)</f>
        <v>7.5624300000000008E-4</v>
      </c>
      <c r="R5">
        <f>AVERAGE(C5,H5,M5)</f>
        <v>1.64635E-4</v>
      </c>
      <c r="T5">
        <f>AVERAGE(D5,I5,N5)</f>
        <v>101.47670833602676</v>
      </c>
      <c r="U5">
        <f>AVERAGE(E5,J5,O5)</f>
        <v>100.77762034798032</v>
      </c>
      <c r="W5">
        <f>_xlfn.STDEV.P(D5,I5,N5)</f>
        <v>4.523936617200236E-2</v>
      </c>
      <c r="X5">
        <f>_xlfn.STDEV.P(E5,J5,O5)</f>
        <v>0.5407735769398796</v>
      </c>
    </row>
    <row r="6" spans="1:24" x14ac:dyDescent="0.2">
      <c r="A6" s="3">
        <v>24.842700000000001</v>
      </c>
      <c r="B6" s="5">
        <v>8.0190199999999995E-4</v>
      </c>
      <c r="C6" s="5">
        <v>1.73537E-4</v>
      </c>
      <c r="D6">
        <f>B6/$B$3*100</f>
        <v>102.1414105389191</v>
      </c>
      <c r="E6">
        <f>C6/$C$3*100</f>
        <v>99.907310389296384</v>
      </c>
      <c r="G6" s="5">
        <v>7.0701399999999995E-4</v>
      </c>
      <c r="H6" s="5">
        <v>1.55055E-4</v>
      </c>
      <c r="I6">
        <f>G6/$G$3*100</f>
        <v>102.10886004286463</v>
      </c>
      <c r="J6">
        <f>H6/$H$3*100</f>
        <v>100.42357238618919</v>
      </c>
      <c r="L6" s="5">
        <v>7.7507699999999999E-4</v>
      </c>
      <c r="M6" s="5">
        <v>1.67078E-4</v>
      </c>
      <c r="N6" s="4">
        <f>L6/$L$3*100</f>
        <v>102.22013259601472</v>
      </c>
      <c r="O6" s="4">
        <f>M6/$M$3*100</f>
        <v>103.14029791778556</v>
      </c>
      <c r="Q6">
        <f>AVERAGE(B6,G6,L6)</f>
        <v>7.6133099999999997E-4</v>
      </c>
      <c r="R6">
        <f>AVERAGE(C6,H6,M6)</f>
        <v>1.6522333333333333E-4</v>
      </c>
      <c r="T6">
        <f>AVERAGE(D6,I6,N6)</f>
        <v>102.15680105926616</v>
      </c>
      <c r="U6">
        <f>AVERAGE(E6,J6,O6)</f>
        <v>101.15706023109038</v>
      </c>
      <c r="W6">
        <f>_xlfn.STDEV.P(D6,I6,N6)</f>
        <v>4.671221366730155E-2</v>
      </c>
      <c r="X6">
        <f>_xlfn.STDEV.P(E6,J6,O6)</f>
        <v>1.4181103398078674</v>
      </c>
    </row>
    <row r="7" spans="1:24" x14ac:dyDescent="0.2">
      <c r="A7" s="3">
        <v>31.046900000000001</v>
      </c>
      <c r="B7" s="5">
        <v>8.0577800000000005E-4</v>
      </c>
      <c r="C7" s="5">
        <v>1.7361699999999999E-4</v>
      </c>
      <c r="D7">
        <f>B7/$B$3*100</f>
        <v>102.63511189799897</v>
      </c>
      <c r="E7">
        <f>C7/$C$3*100</f>
        <v>99.953367338714315</v>
      </c>
      <c r="G7" s="5">
        <v>7.1148499999999998E-4</v>
      </c>
      <c r="H7" s="5">
        <v>1.55401E-4</v>
      </c>
      <c r="I7">
        <f>G7/$G$3*100</f>
        <v>102.75457386642634</v>
      </c>
      <c r="J7">
        <f>H7/$H$3*100</f>
        <v>100.64766419906606</v>
      </c>
      <c r="L7" s="5">
        <v>7.7641500000000003E-4</v>
      </c>
      <c r="M7" s="5">
        <v>1.6717300000000001E-4</v>
      </c>
      <c r="N7" s="4">
        <f>L7/$L$3*100</f>
        <v>102.39659317659377</v>
      </c>
      <c r="O7" s="4">
        <f>M7/$M$3*100</f>
        <v>103.19894315116271</v>
      </c>
      <c r="Q7">
        <f>AVERAGE(B7,G7,L7)</f>
        <v>7.6455933333333332E-4</v>
      </c>
      <c r="R7">
        <f>AVERAGE(C7,H7,M7)</f>
        <v>1.6539699999999999E-4</v>
      </c>
      <c r="T7">
        <f>AVERAGE(D7,I7,N7)</f>
        <v>102.59542631367303</v>
      </c>
      <c r="U7">
        <f>AVERAGE(E7,J7,O7)</f>
        <v>101.2666582296477</v>
      </c>
      <c r="W7">
        <f>_xlfn.STDEV.P(D7,I7,N7)</f>
        <v>0.14881476802996799</v>
      </c>
      <c r="X7">
        <f>_xlfn.STDEV.P(E7,J7,O7)</f>
        <v>1.3954224679308385</v>
      </c>
    </row>
    <row r="8" spans="1:24" x14ac:dyDescent="0.2">
      <c r="A8" s="3">
        <v>37.143900000000002</v>
      </c>
      <c r="B8" s="5">
        <v>8.1046600000000003E-4</v>
      </c>
      <c r="C8" s="5">
        <v>1.7516400000000001E-4</v>
      </c>
      <c r="D8">
        <f>B8/$B$3*100</f>
        <v>103.23224088957954</v>
      </c>
      <c r="E8">
        <f>C8/$C$3*100</f>
        <v>100.84399359808404</v>
      </c>
      <c r="G8" s="5">
        <v>7.1597399999999997E-4</v>
      </c>
      <c r="H8" s="5">
        <v>1.5738500000000001E-4</v>
      </c>
      <c r="I8">
        <f>G8/$G$3*100</f>
        <v>103.40288729831373</v>
      </c>
      <c r="J8">
        <f>H8/$H$3*100</f>
        <v>101.93262997001315</v>
      </c>
      <c r="L8" s="5">
        <v>7.8024099999999999E-4</v>
      </c>
      <c r="M8" s="5">
        <v>1.6903299999999999E-4</v>
      </c>
      <c r="N8" s="4">
        <f>L8/$L$3*100</f>
        <v>102.90118075603732</v>
      </c>
      <c r="O8" s="4">
        <f>M8/$M$3*100</f>
        <v>104.34715508886296</v>
      </c>
      <c r="Q8">
        <f>AVERAGE(B8,G8,L8)</f>
        <v>7.6889366666666673E-4</v>
      </c>
      <c r="R8">
        <f>AVERAGE(C8,H8,M8)</f>
        <v>1.6719399999999999E-4</v>
      </c>
      <c r="T8">
        <f>AVERAGE(D8,I8,N8)</f>
        <v>103.17876964797686</v>
      </c>
      <c r="U8">
        <f>AVERAGE(E8,J8,O8)</f>
        <v>102.37459288565339</v>
      </c>
      <c r="W8">
        <f>_xlfn.STDEV.P(D8,I8,N8)</f>
        <v>0.20828145044568364</v>
      </c>
      <c r="X8">
        <f>_xlfn.STDEV.P(E8,J8,O8)</f>
        <v>1.4639065365703305</v>
      </c>
    </row>
    <row r="9" spans="1:24" x14ac:dyDescent="0.2">
      <c r="A9" s="3">
        <v>43.364899999999999</v>
      </c>
      <c r="B9" s="5">
        <v>8.1400400000000001E-4</v>
      </c>
      <c r="C9" s="5">
        <v>1.7582000000000001E-4</v>
      </c>
      <c r="D9">
        <f>B9/$B$3*100</f>
        <v>103.6828898597613</v>
      </c>
      <c r="E9">
        <f>C9/$C$3*100</f>
        <v>101.22166058331128</v>
      </c>
      <c r="G9" s="5">
        <v>7.1863299999999999E-4</v>
      </c>
      <c r="H9" s="5">
        <v>1.57959E-4</v>
      </c>
      <c r="I9">
        <f>G9/$G$3*100</f>
        <v>103.7869072170904</v>
      </c>
      <c r="J9">
        <f>H9/$H$3*100</f>
        <v>102.30438922027707</v>
      </c>
      <c r="L9" s="5">
        <v>7.84656E-4</v>
      </c>
      <c r="M9" s="5">
        <v>1.6758699999999999E-4</v>
      </c>
      <c r="N9" s="4">
        <f>L9/$L$3*100</f>
        <v>103.48344791841137</v>
      </c>
      <c r="O9" s="4">
        <f>M9/$M$3*100</f>
        <v>103.45451290503793</v>
      </c>
      <c r="Q9">
        <f>AVERAGE(B9,G9,L9)</f>
        <v>7.7243099999999996E-4</v>
      </c>
      <c r="R9">
        <f>AVERAGE(C9,H9,M9)</f>
        <v>1.6712199999999999E-4</v>
      </c>
      <c r="T9">
        <f>AVERAGE(D9,I9,N9)</f>
        <v>103.65108166508769</v>
      </c>
      <c r="U9">
        <f>AVERAGE(E9,J9,O9)</f>
        <v>102.32685423620876</v>
      </c>
      <c r="W9">
        <f>_xlfn.STDEV.P(D9,I9,N9)</f>
        <v>0.1259118936002154</v>
      </c>
      <c r="X9">
        <f>_xlfn.STDEV.P(E9,J9,O9)</f>
        <v>0.91169654321513327</v>
      </c>
    </row>
    <row r="10" spans="1:24" x14ac:dyDescent="0.2">
      <c r="A10" s="3">
        <v>49.609099999999998</v>
      </c>
      <c r="B10" s="5">
        <v>8.19416E-4</v>
      </c>
      <c r="C10" s="5">
        <v>1.7508700000000001E-4</v>
      </c>
      <c r="D10">
        <f>B10/$B$3*100</f>
        <v>104.37223757785732</v>
      </c>
      <c r="E10">
        <f>C10/$C$3*100</f>
        <v>100.79966378426926</v>
      </c>
      <c r="G10" s="5">
        <v>7.2495299999999997E-4</v>
      </c>
      <c r="H10" s="5">
        <v>1.5740400000000001E-4</v>
      </c>
      <c r="I10">
        <f>G10/$G$3*100</f>
        <v>104.69965858477322</v>
      </c>
      <c r="J10">
        <f>H10/$H$3*100</f>
        <v>101.94493558979541</v>
      </c>
      <c r="L10" s="5">
        <v>7.8821000000000002E-4</v>
      </c>
      <c r="M10" s="5">
        <v>1.6930299999999999E-4</v>
      </c>
      <c r="N10" s="4">
        <f>L10/$L$3*100</f>
        <v>103.95216309283435</v>
      </c>
      <c r="O10" s="4">
        <f>M10/$M$3*100</f>
        <v>104.51383101530331</v>
      </c>
      <c r="Q10">
        <f>AVERAGE(B10,G10,L10)</f>
        <v>7.7752633333333333E-4</v>
      </c>
      <c r="R10">
        <f>AVERAGE(C10,H10,M10)</f>
        <v>1.672646666666667E-4</v>
      </c>
      <c r="T10">
        <f>AVERAGE(D10,I10,N10)</f>
        <v>104.34135308515495</v>
      </c>
      <c r="U10">
        <f>AVERAGE(E10,J10,O10)</f>
        <v>102.41947679645598</v>
      </c>
      <c r="W10">
        <f>_xlfn.STDEV.P(D10,I10,N10)</f>
        <v>0.30594418503417947</v>
      </c>
      <c r="X10">
        <f>_xlfn.STDEV.P(E10,J10,O10)</f>
        <v>1.5529867079568445</v>
      </c>
    </row>
    <row r="11" spans="1:24" x14ac:dyDescent="0.2">
      <c r="A11" s="3">
        <v>55.872999999999998</v>
      </c>
      <c r="B11" s="5">
        <v>8.2422400000000003E-4</v>
      </c>
      <c r="C11" s="5">
        <v>1.7557900000000001E-4</v>
      </c>
      <c r="D11">
        <f>B11/$B$3*100</f>
        <v>104.98465144123602</v>
      </c>
      <c r="E11">
        <f>C11/$C$3*100</f>
        <v>101.08291402318967</v>
      </c>
      <c r="G11" s="5">
        <v>7.2639999999999998E-4</v>
      </c>
      <c r="H11" s="5">
        <v>1.57663E-4</v>
      </c>
      <c r="I11">
        <f>G11/$G$3*100</f>
        <v>104.90863820962086</v>
      </c>
      <c r="J11">
        <f>H11/$H$3*100</f>
        <v>102.1126806173535</v>
      </c>
      <c r="L11" s="5">
        <v>7.9240799999999998E-4</v>
      </c>
      <c r="M11" s="5">
        <v>1.69612E-4</v>
      </c>
      <c r="N11" s="4">
        <f>L11/$L$3*100</f>
        <v>104.50581146149716</v>
      </c>
      <c r="O11" s="4">
        <f>M11/$M$3*100</f>
        <v>104.70458235334061</v>
      </c>
      <c r="Q11">
        <f>AVERAGE(B11,G11,L11)</f>
        <v>7.810106666666667E-4</v>
      </c>
      <c r="R11">
        <f>AVERAGE(C11,H11,M11)</f>
        <v>1.6761799999999999E-4</v>
      </c>
      <c r="T11">
        <f>AVERAGE(D11,I11,N11)</f>
        <v>104.79970037078469</v>
      </c>
      <c r="U11">
        <f>AVERAGE(E11,J11,O11)</f>
        <v>102.63339233129459</v>
      </c>
      <c r="W11">
        <f>_xlfn.STDEV.P(D11,I11,N11)</f>
        <v>0.2101150813194238</v>
      </c>
      <c r="X11">
        <f>_xlfn.STDEV.P(E11,J11,O11)</f>
        <v>1.5236963586798113</v>
      </c>
    </row>
    <row r="12" spans="1:24" x14ac:dyDescent="0.2">
      <c r="A12" s="3">
        <v>62.003399999999999</v>
      </c>
      <c r="B12" s="5">
        <v>8.2699499999999997E-4</v>
      </c>
      <c r="C12" s="5">
        <v>1.7604099999999999E-4</v>
      </c>
      <c r="D12">
        <f>B12/$B$3*100</f>
        <v>105.33760460584136</v>
      </c>
      <c r="E12">
        <f>C12/$C$3*100</f>
        <v>101.34889290607836</v>
      </c>
      <c r="G12" s="5">
        <v>7.3068000000000004E-4</v>
      </c>
      <c r="H12" s="5">
        <v>1.59328E-4</v>
      </c>
      <c r="I12">
        <f>G12/$G$3*100</f>
        <v>105.5267673003934</v>
      </c>
      <c r="J12">
        <f>H12/$H$3*100</f>
        <v>103.19104150879852</v>
      </c>
      <c r="L12" s="5">
        <v>7.9691300000000001E-4</v>
      </c>
      <c r="M12" s="5">
        <v>1.7031300000000001E-4</v>
      </c>
      <c r="N12" s="4">
        <f>L12/$L$3*100</f>
        <v>105.09994816965009</v>
      </c>
      <c r="O12" s="4">
        <f>M12/$M$3*100</f>
        <v>105.13732244383948</v>
      </c>
      <c r="Q12">
        <f>AVERAGE(B12,G12,L12)</f>
        <v>7.8486266666666674E-4</v>
      </c>
      <c r="R12">
        <f>AVERAGE(C12,H12,M12)</f>
        <v>1.6856066666666664E-4</v>
      </c>
      <c r="T12">
        <f>AVERAGE(D12,I12,N12)</f>
        <v>105.32144002529496</v>
      </c>
      <c r="U12">
        <f>AVERAGE(E12,J12,O12)</f>
        <v>103.22575228623879</v>
      </c>
      <c r="W12">
        <f>_xlfn.STDEV.P(D12,I12,N12)</f>
        <v>0.17462266527248602</v>
      </c>
      <c r="X12">
        <f>_xlfn.STDEV.P(E12,J12,O12)</f>
        <v>1.5468146234974012</v>
      </c>
    </row>
    <row r="13" spans="1:24" x14ac:dyDescent="0.2">
      <c r="A13" s="3">
        <v>68.266199999999998</v>
      </c>
      <c r="B13" s="5">
        <v>8.3052400000000002E-4</v>
      </c>
      <c r="C13" s="5">
        <v>1.7622499999999999E-4</v>
      </c>
      <c r="D13">
        <f>B13/$B$3*100</f>
        <v>105.78710721063827</v>
      </c>
      <c r="E13">
        <f>C13/$C$3*100</f>
        <v>101.45482388973966</v>
      </c>
      <c r="G13" s="5">
        <v>7.3426700000000004E-4</v>
      </c>
      <c r="H13" s="5">
        <v>1.57985E-4</v>
      </c>
      <c r="I13">
        <f>G13/$G$3*100</f>
        <v>106.04481147062732</v>
      </c>
      <c r="J13">
        <f>H13/$H$3*100</f>
        <v>102.32122848945279</v>
      </c>
      <c r="L13" s="5">
        <v>7.9789300000000004E-4</v>
      </c>
      <c r="M13" s="5">
        <v>1.72203E-4</v>
      </c>
      <c r="N13" s="4">
        <f>L13/$L$3*100</f>
        <v>105.2291943347977</v>
      </c>
      <c r="O13" s="4">
        <f>M13/$M$3*100</f>
        <v>106.30405392892197</v>
      </c>
      <c r="Q13">
        <f>AVERAGE(B13,G13,L13)</f>
        <v>7.8756133333333347E-4</v>
      </c>
      <c r="R13">
        <f>AVERAGE(C13,H13,M13)</f>
        <v>1.6880433333333334E-4</v>
      </c>
      <c r="T13">
        <f>AVERAGE(D13,I13,N13)</f>
        <v>105.68703767202111</v>
      </c>
      <c r="U13">
        <f>AVERAGE(E13,J13,O13)</f>
        <v>103.36003543603813</v>
      </c>
      <c r="W13">
        <f>_xlfn.STDEV.P(D13,I13,N13)</f>
        <v>0.34040981427687134</v>
      </c>
      <c r="X13">
        <f>_xlfn.STDEV.P(E13,J13,O13)</f>
        <v>2.1115709629613861</v>
      </c>
    </row>
    <row r="14" spans="1:24" x14ac:dyDescent="0.2">
      <c r="A14" s="3">
        <v>74.369799999999998</v>
      </c>
      <c r="B14" s="5">
        <v>8.3618099999999997E-4</v>
      </c>
      <c r="C14" s="5">
        <v>1.7667E-4</v>
      </c>
      <c r="D14">
        <f>B14/$B$3*100</f>
        <v>106.50766154198881</v>
      </c>
      <c r="E14">
        <f>C14/$C$3*100</f>
        <v>101.71101567087703</v>
      </c>
      <c r="G14" s="5">
        <v>7.3714099999999997E-4</v>
      </c>
      <c r="H14" s="5">
        <v>1.5958500000000001E-4</v>
      </c>
      <c r="I14">
        <f>G14/$G$3*100</f>
        <v>106.45988226662737</v>
      </c>
      <c r="J14">
        <f>H14/$H$3*100</f>
        <v>103.3574912079585</v>
      </c>
      <c r="L14" s="5">
        <v>8.0238399999999995E-4</v>
      </c>
      <c r="M14" s="5">
        <v>1.70335E-4</v>
      </c>
      <c r="N14" s="4">
        <f>L14/$L$3*100</f>
        <v>105.82148466916277</v>
      </c>
      <c r="O14" s="4">
        <f>M14/$M$3*100</f>
        <v>105.15090344525314</v>
      </c>
      <c r="Q14">
        <f>AVERAGE(B14,G14,L14)</f>
        <v>7.9190200000000004E-4</v>
      </c>
      <c r="R14">
        <f>AVERAGE(C14,H14,M14)</f>
        <v>1.6886333333333335E-4</v>
      </c>
      <c r="T14">
        <f>AVERAGE(D14,I14,N14)</f>
        <v>106.26300949259299</v>
      </c>
      <c r="U14">
        <f>AVERAGE(E14,J14,O14)</f>
        <v>103.40647010802957</v>
      </c>
      <c r="W14">
        <f>_xlfn.STDEV.P(D14,I14,N14)</f>
        <v>0.31281394051131761</v>
      </c>
      <c r="X14">
        <f>_xlfn.STDEV.P(E14,J14,O14)</f>
        <v>1.404755298872292</v>
      </c>
    </row>
    <row r="15" spans="1:24" x14ac:dyDescent="0.2">
      <c r="A15" s="3">
        <v>80.683999999999997</v>
      </c>
      <c r="B15" s="5">
        <v>8.3795600000000005E-4</v>
      </c>
      <c r="C15" s="5">
        <v>1.7600600000000001E-4</v>
      </c>
      <c r="D15">
        <f>B15/$B$3*100</f>
        <v>106.7337502706696</v>
      </c>
      <c r="E15">
        <f>C15/$C$3*100</f>
        <v>101.32874299070802</v>
      </c>
      <c r="G15" s="5">
        <v>7.4012600000000002E-4</v>
      </c>
      <c r="H15" s="5">
        <v>1.6019499999999999E-4</v>
      </c>
      <c r="I15">
        <f>G15/$G$3*100</f>
        <v>106.89098398063581</v>
      </c>
      <c r="J15">
        <f>H15/$H$3*100</f>
        <v>103.75256636938879</v>
      </c>
      <c r="L15" s="5">
        <v>8.0548999999999996E-4</v>
      </c>
      <c r="M15" s="5">
        <v>1.7001599999999999E-4</v>
      </c>
      <c r="N15" s="4">
        <f>L15/$L$3*100</f>
        <v>106.23111588237543</v>
      </c>
      <c r="O15" s="4">
        <f>M15/$M$3*100</f>
        <v>104.95397892475506</v>
      </c>
      <c r="Q15">
        <f>AVERAGE(B15,G15,L15)</f>
        <v>7.9452400000000001E-4</v>
      </c>
      <c r="R15">
        <f>AVERAGE(C15,H15,M15)</f>
        <v>1.68739E-4</v>
      </c>
      <c r="T15">
        <f>AVERAGE(D15,I15,N15)</f>
        <v>106.61861671122695</v>
      </c>
      <c r="U15">
        <f>AVERAGE(E15,J15,O15)</f>
        <v>103.34509609495062</v>
      </c>
      <c r="W15">
        <f>_xlfn.STDEV.P(D15,I15,N15)</f>
        <v>0.28142290733330205</v>
      </c>
      <c r="X15">
        <f>_xlfn.STDEV.P(E15,J15,O15)</f>
        <v>1.5077815740991829</v>
      </c>
    </row>
    <row r="16" spans="1:24" x14ac:dyDescent="0.2">
      <c r="A16" s="3">
        <v>86.883899999999997</v>
      </c>
      <c r="B16" s="5">
        <v>8.4285100000000004E-4</v>
      </c>
      <c r="C16" s="5">
        <v>1.76381E-4</v>
      </c>
      <c r="D16">
        <f>B16/$B$3*100</f>
        <v>107.35724566610199</v>
      </c>
      <c r="E16">
        <f>C16/$C$3*100</f>
        <v>101.54463494110469</v>
      </c>
      <c r="G16" s="5">
        <v>7.4309300000000001E-4</v>
      </c>
      <c r="H16" s="5">
        <v>1.5976599999999999E-4</v>
      </c>
      <c r="I16">
        <f>G16/$G$3*100</f>
        <v>107.31948608631856</v>
      </c>
      <c r="J16">
        <f>H16/$H$3*100</f>
        <v>103.47471842798946</v>
      </c>
      <c r="L16" s="5">
        <v>8.0660400000000004E-4</v>
      </c>
      <c r="M16" s="5">
        <v>1.7281800000000001E-4</v>
      </c>
      <c r="N16" s="4">
        <f>L16/$L$3*100</f>
        <v>106.37803448234932</v>
      </c>
      <c r="O16" s="4">
        <f>M16/$M$3*100</f>
        <v>106.68370465025836</v>
      </c>
      <c r="Q16">
        <f>AVERAGE(B16,G16,L16)</f>
        <v>7.9751600000000018E-4</v>
      </c>
      <c r="R16">
        <f>AVERAGE(C16,H16,M16)</f>
        <v>1.69655E-4</v>
      </c>
      <c r="T16">
        <f>AVERAGE(D16,I16,N16)</f>
        <v>107.01825541158996</v>
      </c>
      <c r="U16">
        <f>AVERAGE(E16,J16,O16)</f>
        <v>103.90101933978417</v>
      </c>
      <c r="W16">
        <f>_xlfn.STDEV.P(D16,I16,N16)</f>
        <v>0.45296694150505301</v>
      </c>
      <c r="X16">
        <f>_xlfn.STDEV.P(E16,J16,O16)</f>
        <v>2.119561073969948</v>
      </c>
    </row>
    <row r="17" spans="1:24" x14ac:dyDescent="0.2">
      <c r="A17" s="3">
        <v>93.152100000000004</v>
      </c>
      <c r="B17" s="5">
        <v>8.4676399999999996E-4</v>
      </c>
      <c r="C17" s="5">
        <v>1.77071E-4</v>
      </c>
      <c r="D17">
        <f>B17/$B$3*100</f>
        <v>107.85565986065291</v>
      </c>
      <c r="E17">
        <f>C17/$C$3*100</f>
        <v>101.94187612983454</v>
      </c>
      <c r="G17" s="5">
        <v>7.47052E-4</v>
      </c>
      <c r="H17" s="5">
        <v>1.6055600000000001E-4</v>
      </c>
      <c r="I17">
        <f>G17/$G$3*100</f>
        <v>107.89125549528316</v>
      </c>
      <c r="J17">
        <f>H17/$H$3*100</f>
        <v>103.98637314525165</v>
      </c>
      <c r="L17" s="5">
        <v>8.1118100000000001E-4</v>
      </c>
      <c r="M17" s="5">
        <v>1.7405099999999999E-4</v>
      </c>
      <c r="N17" s="4">
        <f>L17/$L$3*100</f>
        <v>106.98166682712534</v>
      </c>
      <c r="O17" s="4">
        <f>M17/$M$3*100</f>
        <v>107.4448580476693</v>
      </c>
      <c r="Q17">
        <f>AVERAGE(B17,G17,L17)</f>
        <v>8.0166566666666666E-4</v>
      </c>
      <c r="R17">
        <f>AVERAGE(C17,H17,M17)</f>
        <v>1.7055933333333333E-4</v>
      </c>
      <c r="T17">
        <f>AVERAGE(D17,I17,N17)</f>
        <v>107.57619406102047</v>
      </c>
      <c r="U17">
        <f>AVERAGE(E17,J17,O17)</f>
        <v>104.45770244091848</v>
      </c>
      <c r="W17">
        <f>_xlfn.STDEV.P(D17,I17,N17)</f>
        <v>0.42064532659825526</v>
      </c>
      <c r="X17">
        <f>_xlfn.STDEV.P(E17,J17,O17)</f>
        <v>2.2711694455675526</v>
      </c>
    </row>
    <row r="18" spans="1:24" x14ac:dyDescent="0.2">
      <c r="A18" s="3">
        <v>99.296199999999999</v>
      </c>
      <c r="B18" s="5">
        <v>8.4859499999999995E-4</v>
      </c>
      <c r="C18" s="5">
        <v>1.7578599999999999E-4</v>
      </c>
      <c r="D18">
        <f>B18/$B$3*100</f>
        <v>108.08888152950615</v>
      </c>
      <c r="E18">
        <f>C18/$C$3*100</f>
        <v>101.20208637980863</v>
      </c>
      <c r="G18" s="5">
        <v>7.4981899999999998E-4</v>
      </c>
      <c r="H18" s="5">
        <v>1.6034600000000001E-4</v>
      </c>
      <c r="I18">
        <f>G18/$G$3*100</f>
        <v>108.29087306401391</v>
      </c>
      <c r="J18">
        <f>H18/$H$3*100</f>
        <v>103.85036366344778</v>
      </c>
      <c r="L18" s="5">
        <v>8.1515899999999998E-4</v>
      </c>
      <c r="M18" s="5">
        <v>1.7631299999999999E-4</v>
      </c>
      <c r="N18" s="4">
        <f>L18/$L$3*100</f>
        <v>107.50630075055095</v>
      </c>
      <c r="O18" s="4">
        <f>M18/$M$3*100</f>
        <v>108.84123192029188</v>
      </c>
      <c r="Q18">
        <f>AVERAGE(B18,G18,L18)</f>
        <v>8.045243333333332E-4</v>
      </c>
      <c r="R18">
        <f>AVERAGE(C18,H18,M18)</f>
        <v>1.7081500000000002E-4</v>
      </c>
      <c r="T18">
        <f>AVERAGE(D18,I18,N18)</f>
        <v>107.96201844802367</v>
      </c>
      <c r="U18">
        <f>AVERAGE(E18,J18,O18)</f>
        <v>104.63122732118275</v>
      </c>
      <c r="W18">
        <f>_xlfn.STDEV.P(D18,I18,N18)</f>
        <v>0.33262502395899041</v>
      </c>
      <c r="X18">
        <f>_xlfn.STDEV.P(E18,J18,O18)</f>
        <v>3.1671698392676166</v>
      </c>
    </row>
    <row r="19" spans="1:24" x14ac:dyDescent="0.2">
      <c r="A19" s="3">
        <v>105.44</v>
      </c>
      <c r="B19" s="5">
        <v>8.5203399999999999E-4</v>
      </c>
      <c r="C19" s="5">
        <v>1.7628500000000001E-4</v>
      </c>
      <c r="D19">
        <f>B19/$B$3*100</f>
        <v>108.52692048045446</v>
      </c>
      <c r="E19">
        <f>C19/$C$3*100</f>
        <v>101.48936660180314</v>
      </c>
      <c r="G19" s="5">
        <v>7.5392299999999998E-4</v>
      </c>
      <c r="H19" s="5">
        <v>1.6155400000000001E-4</v>
      </c>
      <c r="I19">
        <f>G19/$G$3*100</f>
        <v>108.8835837622687</v>
      </c>
      <c r="J19">
        <f>H19/$H$3*100</f>
        <v>104.63274201591959</v>
      </c>
      <c r="L19" s="5">
        <v>8.1839499999999997E-4</v>
      </c>
      <c r="M19" s="5">
        <v>1.75215E-4</v>
      </c>
      <c r="N19" s="4">
        <f>L19/$L$3*100</f>
        <v>107.93307686322193</v>
      </c>
      <c r="O19" s="4">
        <f>M19/$M$3*100</f>
        <v>108.16341648610108</v>
      </c>
      <c r="Q19">
        <f>AVERAGE(B19,G19,L19)</f>
        <v>8.0811733333333328E-4</v>
      </c>
      <c r="R19">
        <f>AVERAGE(C19,H19,M19)</f>
        <v>1.7101799999999999E-4</v>
      </c>
      <c r="T19">
        <f>AVERAGE(D19,I19,N19)</f>
        <v>108.44786036864836</v>
      </c>
      <c r="U19">
        <f>AVERAGE(E19,J19,O19)</f>
        <v>104.76184170127461</v>
      </c>
      <c r="W19">
        <f>_xlfn.STDEV.P(D19,I19,N19)</f>
        <v>0.39204907621620749</v>
      </c>
      <c r="X19">
        <f>_xlfn.STDEV.P(E19,J19,O19)</f>
        <v>2.7261982700081839</v>
      </c>
    </row>
    <row r="20" spans="1:24" x14ac:dyDescent="0.2">
      <c r="A20" s="3">
        <v>111.748</v>
      </c>
      <c r="B20" s="5">
        <v>8.5606500000000004E-4</v>
      </c>
      <c r="C20" s="5">
        <v>1.7802000000000001E-4</v>
      </c>
      <c r="D20">
        <f>B20/$B$3*100</f>
        <v>109.04036479894026</v>
      </c>
      <c r="E20">
        <f>C20/$C$3*100</f>
        <v>102.48822669230503</v>
      </c>
      <c r="G20" s="5">
        <v>7.5509299999999998E-4</v>
      </c>
      <c r="H20" s="5">
        <v>1.6075900000000001E-4</v>
      </c>
      <c r="I20">
        <f>G20/$G$3*100</f>
        <v>109.05255830343783</v>
      </c>
      <c r="J20">
        <f>H20/$H$3*100</f>
        <v>104.11784897766208</v>
      </c>
      <c r="L20" s="5">
        <v>8.2113599999999998E-4</v>
      </c>
      <c r="M20" s="5">
        <v>1.7700800000000001E-4</v>
      </c>
      <c r="N20" s="4">
        <f>L20/$L$3*100</f>
        <v>108.29457047410922</v>
      </c>
      <c r="O20" s="4">
        <f>M20/$M$3*100</f>
        <v>109.27026810131429</v>
      </c>
      <c r="Q20">
        <f>AVERAGE(B20,G20,L20)</f>
        <v>8.107646666666667E-4</v>
      </c>
      <c r="R20">
        <f>AVERAGE(C20,H20,M20)</f>
        <v>1.71929E-4</v>
      </c>
      <c r="T20">
        <f>AVERAGE(D20,I20,N20)</f>
        <v>108.79583119216244</v>
      </c>
      <c r="U20">
        <f>AVERAGE(E20,J20,O20)</f>
        <v>105.29211459042715</v>
      </c>
      <c r="W20">
        <f>_xlfn.STDEV.P(D20,I20,N20)</f>
        <v>0.35447980759172848</v>
      </c>
      <c r="X20">
        <f>_xlfn.STDEV.P(E20,J20,O20)</f>
        <v>2.8905819731639877</v>
      </c>
    </row>
    <row r="21" spans="1:24" x14ac:dyDescent="0.2">
      <c r="A21" s="3">
        <v>117.976</v>
      </c>
      <c r="B21" s="5">
        <v>8.5954300000000005E-4</v>
      </c>
      <c r="C21" s="5">
        <v>1.8080900000000001E-4</v>
      </c>
      <c r="D21">
        <f>B21/$B$3*100</f>
        <v>109.48337133322295</v>
      </c>
      <c r="E21">
        <f>C21/$C$3*100</f>
        <v>104.09388709138851</v>
      </c>
      <c r="G21" s="5">
        <v>7.5871499999999998E-4</v>
      </c>
      <c r="H21" s="5">
        <v>1.62757E-4</v>
      </c>
      <c r="I21">
        <f>G21/$G$3*100</f>
        <v>109.57565726763833</v>
      </c>
      <c r="J21">
        <f>H21/$H$3*100</f>
        <v>105.41188204739606</v>
      </c>
      <c r="L21" s="5">
        <v>8.2243699999999997E-4</v>
      </c>
      <c r="M21" s="5">
        <v>1.7890700000000001E-4</v>
      </c>
      <c r="N21" s="4">
        <f>L21/$L$3*100</f>
        <v>108.46615135253475</v>
      </c>
      <c r="O21" s="4">
        <f>M21/$M$3*100</f>
        <v>110.44255545061145</v>
      </c>
      <c r="Q21">
        <f>AVERAGE(B21,G21,L21)</f>
        <v>8.1356500000000003E-4</v>
      </c>
      <c r="R21">
        <f>AVERAGE(C21,H21,M21)</f>
        <v>1.741576666666667E-4</v>
      </c>
      <c r="T21">
        <f>AVERAGE(D21,I21,N21)</f>
        <v>109.17505998446534</v>
      </c>
      <c r="U21">
        <f>AVERAGE(E21,J21,O21)</f>
        <v>106.64944152979866</v>
      </c>
      <c r="W21">
        <f>_xlfn.STDEV.P(D21,I21,N21)</f>
        <v>0.50268794809637052</v>
      </c>
      <c r="X21">
        <f>_xlfn.STDEV.P(E21,J21,O21)</f>
        <v>2.735575818508551</v>
      </c>
    </row>
    <row r="22" spans="1:24" x14ac:dyDescent="0.2">
      <c r="A22" s="3">
        <v>124.21299999999999</v>
      </c>
      <c r="B22" s="5">
        <v>8.6455699999999996E-4</v>
      </c>
      <c r="C22" s="5">
        <v>1.81361E-4</v>
      </c>
      <c r="D22">
        <f>B22/$B$3*100</f>
        <v>110.1220242265218</v>
      </c>
      <c r="E22">
        <f>C22/$C$3*100</f>
        <v>104.4116800423724</v>
      </c>
      <c r="G22" s="5">
        <v>7.6106000000000004E-4</v>
      </c>
      <c r="H22" s="5">
        <v>1.6120199999999999E-4</v>
      </c>
      <c r="I22">
        <f>G22/$G$3*100</f>
        <v>109.91432846340041</v>
      </c>
      <c r="J22">
        <f>H22/$H$3*100</f>
        <v>104.40476421784832</v>
      </c>
      <c r="L22" s="5">
        <v>8.2568300000000002E-4</v>
      </c>
      <c r="M22" s="5">
        <v>1.7701300000000001E-4</v>
      </c>
      <c r="N22" s="4">
        <f>L22/$L$3*100</f>
        <v>108.89424630362561</v>
      </c>
      <c r="O22" s="4">
        <f>M22/$M$3*100</f>
        <v>109.27335469254464</v>
      </c>
      <c r="Q22">
        <f>AVERAGE(B22,G22,L22)</f>
        <v>8.1709999999999997E-4</v>
      </c>
      <c r="R22">
        <f>AVERAGE(C22,H22,M22)</f>
        <v>1.7319199999999999E-4</v>
      </c>
      <c r="T22">
        <f>AVERAGE(D22,I22,N22)</f>
        <v>109.64353299784928</v>
      </c>
      <c r="U22">
        <f>AVERAGE(E22,J22,O22)</f>
        <v>106.02993298425513</v>
      </c>
      <c r="W22">
        <f>_xlfn.STDEV.P(D22,I22,N22)</f>
        <v>0.53656766899128761</v>
      </c>
      <c r="X22">
        <f>_xlfn.STDEV.P(E22,J22,O22)</f>
        <v>2.2934472220524289</v>
      </c>
    </row>
    <row r="23" spans="1:24" x14ac:dyDescent="0.2">
      <c r="A23" s="3">
        <v>130.339</v>
      </c>
      <c r="B23" s="5">
        <v>8.6654099999999997E-4</v>
      </c>
      <c r="C23" s="5">
        <v>1.8169799999999999E-4</v>
      </c>
      <c r="D23">
        <f>B23/$B$3*100</f>
        <v>110.37473410691767</v>
      </c>
      <c r="E23">
        <f>C23/$C$3*100</f>
        <v>104.60569494179552</v>
      </c>
      <c r="G23" s="5">
        <v>7.6345700000000005E-4</v>
      </c>
      <c r="H23" s="5">
        <v>1.58901E-4</v>
      </c>
      <c r="I23">
        <f>G23/$G$3*100</f>
        <v>110.26050963876999</v>
      </c>
      <c r="J23">
        <f>H23/$H$3*100</f>
        <v>102.91448889579731</v>
      </c>
      <c r="L23" s="5">
        <v>8.2902900000000001E-4</v>
      </c>
      <c r="M23" s="5">
        <v>1.7619700000000001E-4</v>
      </c>
      <c r="N23" s="4">
        <f>L23/$L$3*100</f>
        <v>109.33552963891522</v>
      </c>
      <c r="O23" s="4">
        <f>M23/$M$3*100</f>
        <v>108.76962300374713</v>
      </c>
      <c r="Q23">
        <f>AVERAGE(B23,G23,L23)</f>
        <v>8.196756666666666E-4</v>
      </c>
      <c r="R23">
        <f>AVERAGE(C23,H23,M23)</f>
        <v>1.7226533333333335E-4</v>
      </c>
      <c r="T23">
        <f>AVERAGE(D23,I23,N23)</f>
        <v>109.99025779486762</v>
      </c>
      <c r="U23">
        <f>AVERAGE(E23,J23,O23)</f>
        <v>105.42993561377999</v>
      </c>
      <c r="W23">
        <f>_xlfn.STDEV.P(D23,I23,N23)</f>
        <v>0.46530529471056975</v>
      </c>
      <c r="X23">
        <f>_xlfn.STDEV.P(E23,J23,O23)</f>
        <v>2.4603764440337708</v>
      </c>
    </row>
    <row r="24" spans="1:24" x14ac:dyDescent="0.2">
      <c r="A24" s="3">
        <v>136.51400000000001</v>
      </c>
      <c r="B24" s="5">
        <v>8.6996199999999995E-4</v>
      </c>
      <c r="C24" s="5">
        <v>1.81953E-4</v>
      </c>
      <c r="D24">
        <f>B24/$B$3*100</f>
        <v>110.81048032709624</v>
      </c>
      <c r="E24">
        <f>C24/$C$3*100</f>
        <v>104.75250146806528</v>
      </c>
      <c r="G24" s="5">
        <v>7.6699400000000001E-4</v>
      </c>
      <c r="H24" s="5">
        <v>1.5813700000000001E-4</v>
      </c>
      <c r="I24">
        <f>G24/$G$3*100</f>
        <v>110.77133267476589</v>
      </c>
      <c r="J24">
        <f>H24/$H$3*100</f>
        <v>102.41967344771084</v>
      </c>
      <c r="L24" s="5">
        <v>8.2996299999999997E-4</v>
      </c>
      <c r="M24" s="5">
        <v>1.7557799999999999E-4</v>
      </c>
      <c r="N24" s="4">
        <f>L24/$L$3*100</f>
        <v>109.45870914733138</v>
      </c>
      <c r="O24" s="4">
        <f>M24/$M$3*100</f>
        <v>108.38750300942644</v>
      </c>
      <c r="Q24">
        <f>AVERAGE(B24,G24,L24)</f>
        <v>8.2230633333333324E-4</v>
      </c>
      <c r="R24">
        <f>AVERAGE(C24,H24,M24)</f>
        <v>1.7188933333333334E-4</v>
      </c>
      <c r="T24">
        <f>AVERAGE(D24,I24,N24)</f>
        <v>110.34684071639784</v>
      </c>
      <c r="U24">
        <f>AVERAGE(E24,J24,O24)</f>
        <v>105.18655930840085</v>
      </c>
      <c r="W24">
        <f>_xlfn.STDEV.P(D24,I24,N24)</f>
        <v>0.6282071832604712</v>
      </c>
      <c r="X24">
        <f>_xlfn.STDEV.P(E24,J24,O24)</f>
        <v>2.4556129005456393</v>
      </c>
    </row>
    <row r="25" spans="1:24" x14ac:dyDescent="0.2">
      <c r="A25" s="3">
        <v>142.72999999999999</v>
      </c>
      <c r="B25" s="5">
        <v>8.7423100000000005E-4</v>
      </c>
      <c r="C25" s="5">
        <v>1.82065E-4</v>
      </c>
      <c r="D25">
        <f>B25/$B$3*100</f>
        <v>111.35423964131502</v>
      </c>
      <c r="E25">
        <f>C25/$C$3*100</f>
        <v>104.8169811972504</v>
      </c>
      <c r="G25" s="5">
        <v>7.7106199999999998E-4</v>
      </c>
      <c r="H25" s="5">
        <v>1.5450500000000001E-4</v>
      </c>
      <c r="I25">
        <f>G25/$G$3*100</f>
        <v>111.35884415636932</v>
      </c>
      <c r="J25">
        <f>H25/$H$3*100</f>
        <v>100.06735707670286</v>
      </c>
      <c r="L25" s="5">
        <v>8.3229699999999996E-4</v>
      </c>
      <c r="M25" s="5">
        <v>1.7781700000000001E-4</v>
      </c>
      <c r="N25" s="4">
        <f>L25/$L$3*100</f>
        <v>109.7665260345298</v>
      </c>
      <c r="O25" s="4">
        <f>M25/$M$3*100</f>
        <v>109.76967856238929</v>
      </c>
      <c r="Q25">
        <f>AVERAGE(B25,G25,L25)</f>
        <v>8.258633333333333E-4</v>
      </c>
      <c r="R25">
        <f>AVERAGE(C25,H25,M25)</f>
        <v>1.7146233333333334E-4</v>
      </c>
      <c r="T25">
        <f>AVERAGE(D25,I25,N25)</f>
        <v>110.82653661073805</v>
      </c>
      <c r="U25">
        <f>AVERAGE(E25,J25,O25)</f>
        <v>104.88467227878084</v>
      </c>
      <c r="W25">
        <f>_xlfn.STDEV.P(D25,I25,N25)</f>
        <v>0.7495430237350037</v>
      </c>
      <c r="X25">
        <f>_xlfn.STDEV.P(E25,J25,O25)</f>
        <v>3.9612453525620945</v>
      </c>
    </row>
    <row r="26" spans="1:24" x14ac:dyDescent="0.2">
      <c r="A26" s="3">
        <v>149.00700000000001</v>
      </c>
      <c r="B26" s="5">
        <v>8.7748999999999998E-4</v>
      </c>
      <c r="C26" s="5">
        <v>1.80194E-4</v>
      </c>
      <c r="D26">
        <f>B26/$B$3*100</f>
        <v>111.76935128456608</v>
      </c>
      <c r="E26">
        <f>C26/$C$3*100</f>
        <v>103.73982429273798</v>
      </c>
      <c r="G26" s="5">
        <v>7.71965E-4</v>
      </c>
      <c r="H26" s="5">
        <v>1.6126899999999999E-4</v>
      </c>
      <c r="I26">
        <f>G26/$G$3*100</f>
        <v>111.48925784070755</v>
      </c>
      <c r="J26">
        <f>H26/$H$3*100</f>
        <v>104.44815771918574</v>
      </c>
      <c r="L26" s="5">
        <v>8.3626499999999999E-4</v>
      </c>
      <c r="M26" s="5">
        <v>1.7629399999999999E-4</v>
      </c>
      <c r="N26" s="4">
        <f>L26/$L$3*100</f>
        <v>110.28984111953555</v>
      </c>
      <c r="O26" s="4">
        <f>M26/$M$3*100</f>
        <v>108.82950287361643</v>
      </c>
      <c r="Q26">
        <f>AVERAGE(B26,G26,L26)</f>
        <v>8.2857333333333325E-4</v>
      </c>
      <c r="R26">
        <f>AVERAGE(C26,H26,M26)</f>
        <v>1.7258566666666667E-4</v>
      </c>
      <c r="T26">
        <f>AVERAGE(D26,I26,N26)</f>
        <v>111.18281674826973</v>
      </c>
      <c r="U26">
        <f>AVERAGE(E26,J26,O26)</f>
        <v>105.67249496184672</v>
      </c>
      <c r="W26">
        <f>_xlfn.STDEV.P(D26,I26,N26)</f>
        <v>0.64169940494389999</v>
      </c>
      <c r="X26">
        <f>_xlfn.STDEV.P(E26,J26,O26)</f>
        <v>2.2509935994264461</v>
      </c>
    </row>
    <row r="27" spans="1:24" x14ac:dyDescent="0.2">
      <c r="A27" s="3">
        <v>155.268</v>
      </c>
      <c r="B27" s="5">
        <v>8.8090399999999995E-4</v>
      </c>
      <c r="C27" s="5">
        <v>1.8499200000000001E-4</v>
      </c>
      <c r="D27">
        <f>B27/$B$3*100</f>
        <v>112.20420588722311</v>
      </c>
      <c r="E27">
        <f>C27/$C$3*100</f>
        <v>106.50208983407985</v>
      </c>
      <c r="G27" s="5">
        <v>7.7509900000000001E-4</v>
      </c>
      <c r="H27" s="5">
        <v>1.6260800000000001E-4</v>
      </c>
      <c r="I27">
        <f>G27/$G$3*100</f>
        <v>111.94187853474521</v>
      </c>
      <c r="J27">
        <f>H27/$H$3*100</f>
        <v>105.31538008173523</v>
      </c>
      <c r="L27" s="5">
        <v>8.3832600000000002E-4</v>
      </c>
      <c r="M27" s="5">
        <v>1.74086E-4</v>
      </c>
      <c r="N27" s="4">
        <f>L27/$L$3*100</f>
        <v>110.56165371787145</v>
      </c>
      <c r="O27" s="4">
        <f>M27/$M$3*100</f>
        <v>107.46646418628197</v>
      </c>
      <c r="Q27">
        <f>AVERAGE(B27,G27,L27)</f>
        <v>8.3144299999999996E-4</v>
      </c>
      <c r="R27">
        <f>AVERAGE(C27,H27,M27)</f>
        <v>1.7389533333333332E-4</v>
      </c>
      <c r="T27">
        <f>AVERAGE(D27,I27,N27)</f>
        <v>111.56924604661326</v>
      </c>
      <c r="U27">
        <f>AVERAGE(E27,J27,O27)</f>
        <v>106.42797803403236</v>
      </c>
      <c r="W27">
        <f>_xlfn.STDEV.P(D27,I27,N27)</f>
        <v>0.72047930142325867</v>
      </c>
      <c r="X27">
        <f>_xlfn.STDEV.P(E27,J27,O27)</f>
        <v>0.87973864504867727</v>
      </c>
    </row>
    <row r="28" spans="1:24" x14ac:dyDescent="0.2">
      <c r="A28" s="3">
        <v>161.42699999999999</v>
      </c>
      <c r="B28" s="5">
        <v>8.8526200000000005E-4</v>
      </c>
      <c r="C28" s="5">
        <v>1.8482000000000001E-4</v>
      </c>
      <c r="D28">
        <f>B28/$B$3*100</f>
        <v>112.75930148135882</v>
      </c>
      <c r="E28">
        <f>C28/$C$3*100</f>
        <v>106.40306739283125</v>
      </c>
      <c r="G28" s="5">
        <v>7.7825599999999996E-4</v>
      </c>
      <c r="H28" s="5">
        <v>1.6435500000000001E-4</v>
      </c>
      <c r="I28">
        <f>G28/$G$3*100</f>
        <v>112.39782095053235</v>
      </c>
      <c r="J28">
        <f>H28/$H$3*100</f>
        <v>106.44684943750364</v>
      </c>
      <c r="L28" s="5">
        <v>8.4044000000000002E-4</v>
      </c>
      <c r="M28" s="5">
        <v>1.7581699999999999E-4</v>
      </c>
      <c r="N28" s="4">
        <f>L28/$L$3*100</f>
        <v>110.84045615983267</v>
      </c>
      <c r="O28" s="4">
        <f>M28/$M$3*100</f>
        <v>108.53504207023845</v>
      </c>
      <c r="Q28">
        <f>AVERAGE(B28,G28,L28)</f>
        <v>8.3465266666666671E-4</v>
      </c>
      <c r="R28">
        <f>AVERAGE(C28,H28,M28)</f>
        <v>1.7499733333333333E-4</v>
      </c>
      <c r="T28">
        <f>AVERAGE(D28,I28,N28)</f>
        <v>111.99919286390794</v>
      </c>
      <c r="U28">
        <f>AVERAGE(E28,J28,O28)</f>
        <v>107.12831963352444</v>
      </c>
      <c r="W28">
        <f>_xlfn.STDEV.P(D28,I28,N28)</f>
        <v>0.83253432584691744</v>
      </c>
      <c r="X28">
        <f>_xlfn.STDEV.P(E28,J28,O28)</f>
        <v>0.99486355088687284</v>
      </c>
    </row>
    <row r="29" spans="1:24" x14ac:dyDescent="0.2">
      <c r="A29" s="3">
        <v>167.62</v>
      </c>
      <c r="B29" s="5">
        <v>8.8921099999999999E-4</v>
      </c>
      <c r="C29" s="5">
        <v>1.83098E-4</v>
      </c>
      <c r="D29">
        <f>B29/$B$3*100</f>
        <v>113.26230113744921</v>
      </c>
      <c r="E29">
        <f>C29/$C$3*100</f>
        <v>105.41169155660977</v>
      </c>
      <c r="G29" s="5">
        <v>7.7993500000000005E-4</v>
      </c>
      <c r="H29" s="5">
        <v>1.6082999999999999E-4</v>
      </c>
      <c r="I29">
        <f>G29/$G$3*100</f>
        <v>112.6403066382443</v>
      </c>
      <c r="J29">
        <f>H29/$H$3*100</f>
        <v>104.16383313579574</v>
      </c>
      <c r="L29" s="5">
        <v>8.4317400000000003E-4</v>
      </c>
      <c r="M29" s="5">
        <v>1.7673600000000001E-4</v>
      </c>
      <c r="N29" s="4">
        <f>L29/$L$3*100</f>
        <v>111.20102658382602</v>
      </c>
      <c r="O29" s="4">
        <f>M29/$M$3*100</f>
        <v>109.10235753838178</v>
      </c>
      <c r="Q29">
        <f>AVERAGE(B29,G29,L29)</f>
        <v>8.3744000000000006E-4</v>
      </c>
      <c r="R29">
        <f>AVERAGE(C29,H29,M29)</f>
        <v>1.7355466666666667E-4</v>
      </c>
      <c r="T29">
        <f>AVERAGE(D29,I29,N29)</f>
        <v>112.36787811983986</v>
      </c>
      <c r="U29">
        <f>AVERAGE(E29,J29,O29)</f>
        <v>106.22596074359576</v>
      </c>
      <c r="W29">
        <f>_xlfn.STDEV.P(D29,I29,N29)</f>
        <v>0.86327908565100664</v>
      </c>
      <c r="X29">
        <f>_xlfn.STDEV.P(E29,J29,O29)</f>
        <v>2.0967485225765756</v>
      </c>
    </row>
    <row r="30" spans="1:24" x14ac:dyDescent="0.2">
      <c r="A30" s="3">
        <v>173.833</v>
      </c>
      <c r="B30" s="5">
        <v>8.9095600000000004E-4</v>
      </c>
      <c r="C30" s="5">
        <v>1.83993E-4</v>
      </c>
      <c r="D30">
        <f>B30/$B$3*100</f>
        <v>113.48456864818046</v>
      </c>
      <c r="E30">
        <f>C30/$C$3*100</f>
        <v>105.92695367822313</v>
      </c>
      <c r="G30" s="5">
        <v>7.8389099999999999E-4</v>
      </c>
      <c r="H30" s="5">
        <v>1.54838E-4</v>
      </c>
      <c r="I30">
        <f>G30/$G$3*100</f>
        <v>113.2116427791546</v>
      </c>
      <c r="J30">
        <f>H30/$H$3*100</f>
        <v>100.28302925499186</v>
      </c>
      <c r="L30" s="5">
        <v>8.4480000000000004E-4</v>
      </c>
      <c r="M30" s="5">
        <v>1.77238E-4</v>
      </c>
      <c r="N30" s="4">
        <f>L30/$L$3*100</f>
        <v>111.41546971089744</v>
      </c>
      <c r="O30" s="4">
        <f>M30/$M$3*100</f>
        <v>109.41225129791161</v>
      </c>
      <c r="Q30">
        <f>AVERAGE(B30,G30,L30)</f>
        <v>8.3988233333333339E-4</v>
      </c>
      <c r="R30">
        <f>AVERAGE(C30,H30,M30)</f>
        <v>1.7202299999999999E-4</v>
      </c>
      <c r="T30">
        <f>AVERAGE(D30,I30,N30)</f>
        <v>112.70389371274416</v>
      </c>
      <c r="U30">
        <f>AVERAGE(E30,J30,O30)</f>
        <v>105.20741141037553</v>
      </c>
      <c r="W30">
        <f>_xlfn.STDEV.P(D30,I30,N30)</f>
        <v>0.91784146739217376</v>
      </c>
      <c r="X30">
        <f>_xlfn.STDEV.P(E30,J30,O30)</f>
        <v>3.7615581508773208</v>
      </c>
    </row>
    <row r="31" spans="1:24" x14ac:dyDescent="0.2">
      <c r="A31" s="3">
        <v>179.90100000000001</v>
      </c>
      <c r="B31" s="5">
        <v>8.9495799999999995E-4</v>
      </c>
      <c r="C31" s="5">
        <v>1.8707000000000001E-4</v>
      </c>
      <c r="D31">
        <f>B31/$B$3*100</f>
        <v>113.99431912264835</v>
      </c>
      <c r="E31">
        <f>C31/$C$3*100</f>
        <v>107.69841909521125</v>
      </c>
      <c r="G31" s="5">
        <v>7.8529000000000001E-4</v>
      </c>
      <c r="H31" s="5">
        <v>1.6149900000000001E-4</v>
      </c>
      <c r="I31">
        <f>G31/$G$3*100</f>
        <v>113.41369011513376</v>
      </c>
      <c r="J31">
        <f>H31/$H$3*100</f>
        <v>104.59712048497096</v>
      </c>
      <c r="L31" s="5">
        <v>8.4865899999999998E-4</v>
      </c>
      <c r="M31" s="5">
        <v>1.7840799999999999E-4</v>
      </c>
      <c r="N31" s="4">
        <f>L31/$L$3*100</f>
        <v>111.92440945712654</v>
      </c>
      <c r="O31" s="4">
        <f>M31/$M$3*100</f>
        <v>110.13451364581984</v>
      </c>
      <c r="Q31">
        <f>AVERAGE(B31,G31,L31)</f>
        <v>8.4296899999999994E-4</v>
      </c>
      <c r="R31">
        <f>AVERAGE(C31,H31,M31)</f>
        <v>1.7565899999999999E-4</v>
      </c>
      <c r="T31">
        <f>AVERAGE(D31,I31,N31)</f>
        <v>113.11080623163622</v>
      </c>
      <c r="U31">
        <f>AVERAGE(E31,J31,O31)</f>
        <v>107.47668440866734</v>
      </c>
      <c r="W31">
        <f>_xlfn.STDEV.P(D31,I31,N31)</f>
        <v>0.87175512273308475</v>
      </c>
      <c r="X31">
        <f>_xlfn.STDEV.P(E31,J31,O31)</f>
        <v>2.2660619964844337</v>
      </c>
    </row>
    <row r="32" spans="1:24" x14ac:dyDescent="0.2">
      <c r="A32" s="3">
        <v>193.15199999999999</v>
      </c>
      <c r="B32" s="5">
        <v>6.4751199999999996E-7</v>
      </c>
      <c r="C32" s="5">
        <v>2.13279E-5</v>
      </c>
      <c r="D32">
        <f>B32/$B$3*100</f>
        <v>8.2476149231298312E-2</v>
      </c>
      <c r="E32">
        <f>C32/$C$3*100</f>
        <v>12.278725143640111</v>
      </c>
      <c r="G32" s="5">
        <v>6.1961899999999996E-7</v>
      </c>
      <c r="H32" s="5">
        <v>1.9281699999999999E-5</v>
      </c>
      <c r="I32">
        <f>G32/$G$3*100</f>
        <v>8.9487039508269639E-2</v>
      </c>
      <c r="J32">
        <f>H32/$H$3*100</f>
        <v>12.488066787132206</v>
      </c>
      <c r="L32" s="5">
        <v>5.4309699999999996E-7</v>
      </c>
      <c r="M32" s="5">
        <v>2.0527399999999999E-5</v>
      </c>
      <c r="N32" s="4">
        <f>L32/$L$3*100</f>
        <v>7.1625718931793619E-2</v>
      </c>
      <c r="O32" s="4">
        <f>M32/$M$3*100</f>
        <v>12.671938564488149</v>
      </c>
      <c r="Q32">
        <f>AVERAGE(B32,G32,L32)</f>
        <v>6.0340933333333329E-7</v>
      </c>
      <c r="R32">
        <f>AVERAGE(C32,H32,M32)</f>
        <v>2.0378999999999999E-5</v>
      </c>
      <c r="T32">
        <f>AVERAGE(D32,I32,N32)</f>
        <v>8.1196302557120528E-2</v>
      </c>
      <c r="U32">
        <f>AVERAGE(E32,J32,O32)</f>
        <v>12.479576831753489</v>
      </c>
      <c r="W32">
        <f>_xlfn.STDEV.P(D32,I32,N32)</f>
        <v>7.3477978023334476E-3</v>
      </c>
      <c r="X32">
        <f>_xlfn.STDEV.P(E32,J32,O32)</f>
        <v>0.16064092066988747</v>
      </c>
    </row>
    <row r="33" spans="1:24" x14ac:dyDescent="0.2">
      <c r="A33" s="3">
        <v>199.35499999999999</v>
      </c>
      <c r="B33" s="5">
        <v>6.1832699999999998E-7</v>
      </c>
      <c r="C33" s="5">
        <v>2.1250599999999999E-5</v>
      </c>
      <c r="D33">
        <f>B33/$B$3*100</f>
        <v>7.8758741036059551E-2</v>
      </c>
      <c r="E33">
        <f>C33/$C$3*100</f>
        <v>12.234222616265013</v>
      </c>
      <c r="G33" s="5">
        <v>5.9329499999999997E-7</v>
      </c>
      <c r="H33" s="5">
        <v>1.92267E-5</v>
      </c>
      <c r="I33">
        <f>G33/$G$3*100</f>
        <v>8.5685256754648956E-2</v>
      </c>
      <c r="J33">
        <f>H33/$H$3*100</f>
        <v>12.452445256183573</v>
      </c>
      <c r="L33" s="5">
        <v>5.0452199999999997E-7</v>
      </c>
      <c r="M33" s="5">
        <v>2.0385900000000001E-5</v>
      </c>
      <c r="N33" s="4">
        <f>L33/$L$3*100</f>
        <v>6.6538299727132322E-2</v>
      </c>
      <c r="O33" s="4">
        <f>M33/$M$3*100</f>
        <v>12.584588032668481</v>
      </c>
      <c r="Q33">
        <f>AVERAGE(B33,G33,L33)</f>
        <v>5.7204799999999994E-7</v>
      </c>
      <c r="R33">
        <f>AVERAGE(C33,H33,M33)</f>
        <v>2.0287733333333336E-5</v>
      </c>
      <c r="T33">
        <f>AVERAGE(D33,I33,N33)</f>
        <v>7.6994099172613614E-2</v>
      </c>
      <c r="U33">
        <f>AVERAGE(E33,J33,O33)</f>
        <v>12.423751968372358</v>
      </c>
      <c r="W33">
        <f>_xlfn.STDEV.P(D33,I33,N33)</f>
        <v>7.9156790204867721E-3</v>
      </c>
      <c r="X33">
        <f>_xlfn.STDEV.P(E33,J33,O33)</f>
        <v>0.14446789684207104</v>
      </c>
    </row>
    <row r="34" spans="1:24" x14ac:dyDescent="0.2">
      <c r="A34" s="3">
        <v>205.6</v>
      </c>
      <c r="B34" s="5">
        <v>6.0708099999999998E-7</v>
      </c>
      <c r="C34" s="5">
        <v>2.11009E-5</v>
      </c>
      <c r="D34">
        <f>B34/$B$3*100</f>
        <v>7.7326293800710752E-2</v>
      </c>
      <c r="E34">
        <f>C34/$C$3*100</f>
        <v>12.148038549666664</v>
      </c>
      <c r="G34" s="5">
        <v>5.97431E-7</v>
      </c>
      <c r="H34" s="5">
        <v>1.9159699999999999E-5</v>
      </c>
      <c r="I34">
        <f>G34/$G$3*100</f>
        <v>8.6282588978816077E-2</v>
      </c>
      <c r="J34">
        <f>H34/$H$3*100</f>
        <v>12.409051754846146</v>
      </c>
      <c r="L34" s="5">
        <v>4.8352800000000004E-7</v>
      </c>
      <c r="M34" s="5">
        <v>2.0231999999999999E-5</v>
      </c>
      <c r="N34" s="4">
        <f>L34/$L$3*100</f>
        <v>6.3769530348450301E-2</v>
      </c>
      <c r="O34" s="4">
        <f>M34/$M$3*100</f>
        <v>12.489582754597476</v>
      </c>
      <c r="Q34">
        <f>AVERAGE(B34,G34,L34)</f>
        <v>5.6268000000000001E-7</v>
      </c>
      <c r="R34">
        <f>AVERAGE(C34,H34,M34)</f>
        <v>2.0164199999999999E-5</v>
      </c>
      <c r="T34">
        <f>AVERAGE(D34,I34,N34)</f>
        <v>7.5792804375992381E-2</v>
      </c>
      <c r="U34">
        <f>AVERAGE(E34,J34,O34)</f>
        <v>12.34889101970343</v>
      </c>
      <c r="W34">
        <f>_xlfn.STDEV.P(D34,I34,N34)</f>
        <v>9.2546616932715833E-3</v>
      </c>
      <c r="X34">
        <f>_xlfn.STDEV.P(E34,J34,O34)</f>
        <v>0.14577973457729387</v>
      </c>
    </row>
    <row r="35" spans="1:24" x14ac:dyDescent="0.2">
      <c r="A35" s="3">
        <v>211.679</v>
      </c>
      <c r="B35" s="5">
        <v>5.9696599999999997E-7</v>
      </c>
      <c r="C35" s="5">
        <v>2.0936300000000001E-5</v>
      </c>
      <c r="D35">
        <f>B35/$B$3*100</f>
        <v>7.6037906482059381E-2</v>
      </c>
      <c r="E35">
        <f>C35/$C$3*100</f>
        <v>12.053276376239221</v>
      </c>
      <c r="G35" s="5">
        <v>6.05885E-7</v>
      </c>
      <c r="H35" s="5">
        <v>1.90781E-5</v>
      </c>
      <c r="I35">
        <f>G35/$G$3*100</f>
        <v>8.7503538355776622E-2</v>
      </c>
      <c r="J35">
        <f>H35/$H$3*100</f>
        <v>12.356202356202356</v>
      </c>
      <c r="L35" s="5">
        <v>4.7806600000000004E-7</v>
      </c>
      <c r="M35" s="5">
        <v>2.0167299999999999E-5</v>
      </c>
      <c r="N35" s="4">
        <f>L35/$L$3*100</f>
        <v>6.30491808035155E-2</v>
      </c>
      <c r="O35" s="4">
        <f>M35/$M$3*100</f>
        <v>12.449642264076399</v>
      </c>
      <c r="Q35">
        <f>AVERAGE(B35,G35,L35)</f>
        <v>5.6030566666666667E-7</v>
      </c>
      <c r="R35">
        <f>AVERAGE(C35,H35,M35)</f>
        <v>2.0060566666666666E-5</v>
      </c>
      <c r="T35">
        <f>AVERAGE(D35,I35,N35)</f>
        <v>7.5530208547117172E-2</v>
      </c>
      <c r="U35">
        <f>AVERAGE(E35,J35,O35)</f>
        <v>12.286373665505991</v>
      </c>
      <c r="W35">
        <f>_xlfn.STDEV.P(D35,I35,N35)</f>
        <v>9.9899021923245089E-3</v>
      </c>
      <c r="X35">
        <f>_xlfn.STDEV.P(E35,J35,O35)</f>
        <v>0.16918138942865404</v>
      </c>
    </row>
    <row r="36" spans="1:24" x14ac:dyDescent="0.2">
      <c r="A36" s="3">
        <v>217.96899999999999</v>
      </c>
      <c r="B36" s="5">
        <v>5.85011E-7</v>
      </c>
      <c r="C36" s="5">
        <v>2.0802399999999999E-5</v>
      </c>
      <c r="D36">
        <f>B36/$B$3*100</f>
        <v>7.4515151129169913E-2</v>
      </c>
      <c r="E36">
        <f>C36/$C$3*100</f>
        <v>11.976188557150918</v>
      </c>
      <c r="G36" s="5">
        <v>6.0937200000000001E-7</v>
      </c>
      <c r="H36" s="5">
        <v>1.8992400000000001E-5</v>
      </c>
      <c r="I36">
        <f>G36/$G$3*100</f>
        <v>8.8007140257534533E-2</v>
      </c>
      <c r="J36">
        <f>H36/$H$3*100</f>
        <v>12.300697534342394</v>
      </c>
      <c r="L36" s="5">
        <v>4.7779400000000005E-7</v>
      </c>
      <c r="M36" s="5">
        <v>2.0126400000000001E-5</v>
      </c>
      <c r="N36" s="4">
        <f>L36/$L$3*100</f>
        <v>6.3013308398494949E-2</v>
      </c>
      <c r="O36" s="4">
        <f>M36/$M$3*100</f>
        <v>12.424393947811915</v>
      </c>
      <c r="Q36">
        <f>AVERAGE(B36,G36,L36)</f>
        <v>5.5739233333333339E-7</v>
      </c>
      <c r="R36">
        <f>AVERAGE(C36,H36,M36)</f>
        <v>1.9973733333333332E-5</v>
      </c>
      <c r="T36">
        <f>AVERAGE(D36,I36,N36)</f>
        <v>7.5178533261733127E-2</v>
      </c>
      <c r="U36">
        <f>AVERAGE(E36,J36,O36)</f>
        <v>12.233760013101742</v>
      </c>
      <c r="W36">
        <f>_xlfn.STDEV.P(D36,I36,N36)</f>
        <v>1.0214465710936281E-2</v>
      </c>
      <c r="X36">
        <f>_xlfn.STDEV.P(E36,J36,O36)</f>
        <v>0.18900174931602473</v>
      </c>
    </row>
    <row r="37" spans="1:24" x14ac:dyDescent="0.2">
      <c r="A37" s="3">
        <v>224.15899999999999</v>
      </c>
      <c r="B37" s="5">
        <v>5.8073399999999999E-7</v>
      </c>
      <c r="C37" s="5">
        <v>2.07099E-5</v>
      </c>
      <c r="D37">
        <f>B37/$B$3*100</f>
        <v>7.3970372823497943E-2</v>
      </c>
      <c r="E37">
        <f>C37/$C$3*100</f>
        <v>11.922935209386406</v>
      </c>
      <c r="G37" s="5">
        <v>6.1272500000000003E-7</v>
      </c>
      <c r="H37" s="5">
        <v>1.8984600000000001E-5</v>
      </c>
      <c r="I37">
        <f>G37/$G$3*100</f>
        <v>8.8491389519534627E-2</v>
      </c>
      <c r="J37">
        <f>H37/$H$3*100</f>
        <v>12.295645753589678</v>
      </c>
      <c r="L37" s="5">
        <v>4.6461799999999999E-7</v>
      </c>
      <c r="M37" s="5">
        <v>2.00548E-5</v>
      </c>
      <c r="N37" s="4">
        <f>L37/$L$3*100</f>
        <v>6.1275606896469867E-2</v>
      </c>
      <c r="O37" s="4">
        <f>M37/$M$3*100</f>
        <v>12.380193961392918</v>
      </c>
      <c r="Q37">
        <f>AVERAGE(B37,G37,L37)</f>
        <v>5.5269233333333335E-7</v>
      </c>
      <c r="R37">
        <f>AVERAGE(C37,H37,M37)</f>
        <v>1.9916433333333331E-5</v>
      </c>
      <c r="T37">
        <f>AVERAGE(D37,I37,N37)</f>
        <v>7.457912307983415E-2</v>
      </c>
      <c r="U37">
        <f>AVERAGE(E37,J37,O37)</f>
        <v>12.199591641456335</v>
      </c>
      <c r="W37">
        <f>_xlfn.STDEV.P(D37,I37,N37)</f>
        <v>1.1119131818699364E-2</v>
      </c>
      <c r="X37">
        <f>_xlfn.STDEV.P(E37,J37,O37)</f>
        <v>0.19864740272642537</v>
      </c>
    </row>
    <row r="38" spans="1:24" x14ac:dyDescent="0.2">
      <c r="A38" s="3">
        <v>230.37799999999999</v>
      </c>
      <c r="B38" s="5">
        <v>5.82729E-7</v>
      </c>
      <c r="C38" s="5">
        <v>2.0629099999999999E-5</v>
      </c>
      <c r="D38">
        <f>B38/$B$3*100</f>
        <v>7.4224483817141987E-2</v>
      </c>
      <c r="E38">
        <f>C38/$C$3*100</f>
        <v>11.876417690474272</v>
      </c>
      <c r="G38" s="5">
        <v>6.0931999999999995E-7</v>
      </c>
      <c r="H38" s="5">
        <v>1.89408E-5</v>
      </c>
      <c r="I38">
        <f>G38/$G$3*100</f>
        <v>8.799963027792701E-2</v>
      </c>
      <c r="J38">
        <f>H38/$H$3*100</f>
        <v>12.267278061670584</v>
      </c>
      <c r="L38" s="5">
        <v>4.5159300000000001E-7</v>
      </c>
      <c r="M38" s="5">
        <v>1.9988199999999999E-5</v>
      </c>
      <c r="N38" s="4">
        <f>L38/$L$3*100</f>
        <v>5.9557819854584873E-2</v>
      </c>
      <c r="O38" s="4">
        <f>M38/$M$3*100</f>
        <v>12.339080566204295</v>
      </c>
      <c r="Q38">
        <f>AVERAGE(B38,G38,L38)</f>
        <v>5.4788066666666674E-7</v>
      </c>
      <c r="R38">
        <f>AVERAGE(C38,H38,M38)</f>
        <v>1.9852699999999997E-5</v>
      </c>
      <c r="T38">
        <f>AVERAGE(D38,I38,N38)</f>
        <v>7.3927311316551281E-2</v>
      </c>
      <c r="U38">
        <f>AVERAGE(E38,J38,O38)</f>
        <v>12.160925439449718</v>
      </c>
      <c r="W38">
        <f>_xlfn.STDEV.P(D38,I38,N38)</f>
        <v>1.1613221736758111E-2</v>
      </c>
      <c r="X38">
        <f>_xlfn.STDEV.P(E38,J38,O38)</f>
        <v>0.20330173689147321</v>
      </c>
    </row>
    <row r="39" spans="1:24" x14ac:dyDescent="0.2">
      <c r="A39" s="3">
        <v>236.678</v>
      </c>
      <c r="B39" s="5">
        <v>5.86833E-7</v>
      </c>
      <c r="C39" s="5">
        <v>2.0539499999999999E-5</v>
      </c>
      <c r="D39">
        <f>B39/$B$3*100</f>
        <v>7.47472264326383E-2</v>
      </c>
      <c r="E39">
        <f>C39/$C$3*100</f>
        <v>11.824833907126161</v>
      </c>
      <c r="G39" s="5">
        <v>5.9908200000000004E-7</v>
      </c>
      <c r="H39" s="5">
        <v>1.8882500000000001E-5</v>
      </c>
      <c r="I39">
        <f>G39/$G$3*100</f>
        <v>8.6521030831354748E-2</v>
      </c>
      <c r="J39">
        <f>H39/$H$3*100</f>
        <v>12.229519238865032</v>
      </c>
      <c r="L39" s="5">
        <v>4.3974699999999997E-7</v>
      </c>
      <c r="M39" s="5">
        <v>1.99034E-5</v>
      </c>
      <c r="N39" s="4">
        <f>L39/$L$3*100</f>
        <v>5.7995523862402948E-2</v>
      </c>
      <c r="O39" s="4">
        <f>M39/$M$3*100</f>
        <v>12.286731978937102</v>
      </c>
      <c r="Q39">
        <f>AVERAGE(B39,G39,L39)</f>
        <v>5.4188733333333336E-7</v>
      </c>
      <c r="R39">
        <f>AVERAGE(C39,H39,M39)</f>
        <v>1.9775133333333337E-5</v>
      </c>
      <c r="T39">
        <f>AVERAGE(D39,I39,N39)</f>
        <v>7.3087927042132003E-2</v>
      </c>
      <c r="U39">
        <f>AVERAGE(E39,J39,O39)</f>
        <v>12.113695041642766</v>
      </c>
      <c r="W39">
        <f>_xlfn.STDEV.P(D39,I39,N39)</f>
        <v>1.1704446243755155E-2</v>
      </c>
      <c r="X39">
        <f>_xlfn.STDEV.P(E39,J39,O39)</f>
        <v>0.20558678732237523</v>
      </c>
    </row>
    <row r="40" spans="1:24" x14ac:dyDescent="0.2">
      <c r="A40" s="3">
        <v>242.821</v>
      </c>
      <c r="B40" s="5">
        <v>5.6820199999999997E-7</v>
      </c>
      <c r="C40" s="5">
        <v>2.0476199999999999E-5</v>
      </c>
      <c r="D40">
        <f>B40/$B$3*100</f>
        <v>7.2374122712045755E-2</v>
      </c>
      <c r="E40">
        <f>C40/$C$3*100</f>
        <v>11.788391345899205</v>
      </c>
      <c r="G40" s="5">
        <v>5.7727500000000001E-7</v>
      </c>
      <c r="H40" s="5">
        <v>1.8845999999999999E-5</v>
      </c>
      <c r="I40">
        <f>G40/$G$3*100</f>
        <v>8.3371605344794722E-2</v>
      </c>
      <c r="J40">
        <f>H40/$H$3*100</f>
        <v>12.205879495599122</v>
      </c>
      <c r="L40" s="5">
        <v>4.1974000000000002E-7</v>
      </c>
      <c r="M40" s="5">
        <v>1.97969E-5</v>
      </c>
      <c r="N40" s="4">
        <f>L40/$L$3*100</f>
        <v>5.535692383576242E-2</v>
      </c>
      <c r="O40" s="4">
        <f>M40/$M$3*100</f>
        <v>12.220987585730072</v>
      </c>
      <c r="Q40">
        <f>AVERAGE(B40,G40,L40)</f>
        <v>5.2173899999999993E-7</v>
      </c>
      <c r="R40">
        <f>AVERAGE(C40,H40,M40)</f>
        <v>1.9706366666666668E-5</v>
      </c>
      <c r="T40">
        <f>AVERAGE(D40,I40,N40)</f>
        <v>7.0367550630867637E-2</v>
      </c>
      <c r="U40">
        <f>AVERAGE(E40,J40,O40)</f>
        <v>12.071752809076132</v>
      </c>
      <c r="W40">
        <f>_xlfn.STDEV.P(D40,I40,N40)</f>
        <v>1.1524621285197743E-2</v>
      </c>
      <c r="X40">
        <f>_xlfn.STDEV.P(E40,J40,O40)</f>
        <v>0.20046172154500103</v>
      </c>
    </row>
    <row r="41" spans="1:24" x14ac:dyDescent="0.2">
      <c r="A41" s="3">
        <v>249.15799999999999</v>
      </c>
      <c r="B41" s="5">
        <v>5.4895899999999999E-7</v>
      </c>
      <c r="C41" s="5">
        <v>2.0412400000000001E-5</v>
      </c>
      <c r="D41">
        <f>B41/$B$3*100</f>
        <v>6.9923066145282708E-2</v>
      </c>
      <c r="E41">
        <f>C41/$C$3*100</f>
        <v>11.751660928738387</v>
      </c>
      <c r="G41" s="5">
        <v>5.7077899999999995E-7</v>
      </c>
      <c r="H41" s="5">
        <v>1.8844200000000002E-5</v>
      </c>
      <c r="I41">
        <f>G41/$G$3*100</f>
        <v>8.2433435584594136E-2</v>
      </c>
      <c r="J41">
        <f>H41/$H$3*100</f>
        <v>12.204713700040804</v>
      </c>
      <c r="L41" s="5">
        <v>4.0131399999999999E-7</v>
      </c>
      <c r="M41" s="5">
        <v>1.9723200000000001E-5</v>
      </c>
      <c r="N41" s="4">
        <f>L41/$L$3*100</f>
        <v>5.2926832163303843E-2</v>
      </c>
      <c r="O41" s="4">
        <f>M41/$M$3*100</f>
        <v>12.175491230994314</v>
      </c>
      <c r="Q41">
        <f>AVERAGE(B41,G41,L41)</f>
        <v>5.0701733333333326E-7</v>
      </c>
      <c r="R41">
        <f>AVERAGE(C41,H41,M41)</f>
        <v>1.9659933333333335E-5</v>
      </c>
      <c r="T41">
        <f>AVERAGE(D41,I41,N41)</f>
        <v>6.8427777964393574E-2</v>
      </c>
      <c r="U41">
        <f>AVERAGE(E41,J41,O41)</f>
        <v>12.043955286591169</v>
      </c>
      <c r="W41">
        <f>_xlfn.STDEV.P(D41,I41,N41)</f>
        <v>1.209233438790196E-2</v>
      </c>
      <c r="X41">
        <f>_xlfn.STDEV.P(E41,J41,O41)</f>
        <v>0.20702734424663277</v>
      </c>
    </row>
    <row r="42" spans="1:24" x14ac:dyDescent="0.2">
      <c r="A42" s="3">
        <v>262.31900000000002</v>
      </c>
      <c r="B42" s="5">
        <v>6.4026800000000004E-4</v>
      </c>
      <c r="C42" s="5">
        <v>1.7609400000000001E-4</v>
      </c>
      <c r="D42">
        <f>B42/$B$3*100</f>
        <v>81.553452470417412</v>
      </c>
      <c r="E42">
        <f>C42/$C$3*100</f>
        <v>101.37940563506777</v>
      </c>
      <c r="G42" s="5">
        <v>5.8701900000000004E-4</v>
      </c>
      <c r="H42" s="5">
        <v>1.5191099999999999E-4</v>
      </c>
      <c r="I42">
        <f>G42/$G$3*100</f>
        <v>84.778859985095593</v>
      </c>
      <c r="J42">
        <f>H42/$H$3*100</f>
        <v>98.387316144325482</v>
      </c>
      <c r="L42" s="5">
        <v>6.3639600000000001E-4</v>
      </c>
      <c r="M42" s="5">
        <v>1.79564E-4</v>
      </c>
      <c r="N42" s="4">
        <f>L42/$L$3*100</f>
        <v>83.930349505369648</v>
      </c>
      <c r="O42" s="4">
        <f>M42/$M$3*100</f>
        <v>110.84813353828299</v>
      </c>
      <c r="Q42">
        <f>AVERAGE(B42,G42,L42)</f>
        <v>6.2122766666666666E-4</v>
      </c>
      <c r="R42">
        <f>AVERAGE(C42,H42,M42)</f>
        <v>1.6918966666666668E-4</v>
      </c>
      <c r="T42">
        <f>AVERAGE(D42,I42,N42)</f>
        <v>83.420887320294227</v>
      </c>
      <c r="U42">
        <f>AVERAGE(E42,J42,O42)</f>
        <v>103.53828510589209</v>
      </c>
      <c r="W42">
        <f>_xlfn.STDEV.P(D42,I42,N42)</f>
        <v>1.3651562053362234</v>
      </c>
      <c r="X42">
        <f>_xlfn.STDEV.P(E42,J42,O42)</f>
        <v>5.3112185016590763</v>
      </c>
    </row>
    <row r="43" spans="1:24" x14ac:dyDescent="0.2">
      <c r="A43" s="3">
        <v>268.40899999999999</v>
      </c>
      <c r="B43" s="5">
        <v>6.6333600000000005E-4</v>
      </c>
      <c r="C43" s="5">
        <v>1.8356399999999999E-4</v>
      </c>
      <c r="D43">
        <f>B43/$B$3*100</f>
        <v>84.491714325746102</v>
      </c>
      <c r="E43">
        <f>C43/$C$3*100</f>
        <v>105.67997328696934</v>
      </c>
      <c r="G43" s="5">
        <v>6.0839800000000001E-4</v>
      </c>
      <c r="H43" s="5">
        <v>1.5680300000000001E-4</v>
      </c>
      <c r="I43">
        <f>G43/$G$3*100</f>
        <v>87.866472562578352</v>
      </c>
      <c r="J43">
        <f>H43/$H$3*100</f>
        <v>101.55568940615669</v>
      </c>
      <c r="L43" s="5">
        <v>6.5836900000000001E-4</v>
      </c>
      <c r="M43" s="5">
        <v>1.85272E-4</v>
      </c>
      <c r="N43" s="4">
        <f>L43/$L$3*100</f>
        <v>86.82823316535729</v>
      </c>
      <c r="O43" s="4">
        <f>M43/$M$3*100</f>
        <v>114.37178608688137</v>
      </c>
      <c r="Q43">
        <f>AVERAGE(B43,G43,L43)</f>
        <v>6.4336766666666669E-4</v>
      </c>
      <c r="R43">
        <f>AVERAGE(C43,H43,M43)</f>
        <v>1.7521300000000002E-4</v>
      </c>
      <c r="T43">
        <f>AVERAGE(D43,I43,N43)</f>
        <v>86.395473351227238</v>
      </c>
      <c r="U43">
        <f>AVERAGE(E43,J43,O43)</f>
        <v>107.20248292666913</v>
      </c>
      <c r="W43">
        <f>_xlfn.STDEV.P(D43,I43,N43)</f>
        <v>1.4113135918500845</v>
      </c>
      <c r="X43">
        <f>_xlfn.STDEV.P(E43,J43,O43)</f>
        <v>5.3417606482416549</v>
      </c>
    </row>
    <row r="44" spans="1:24" x14ac:dyDescent="0.2">
      <c r="A44" s="3">
        <v>274.76100000000002</v>
      </c>
      <c r="B44" s="5">
        <v>6.77139E-4</v>
      </c>
      <c r="C44" s="5">
        <v>1.80972E-4</v>
      </c>
      <c r="D44">
        <f>B44/$B$3*100</f>
        <v>86.249856704326888</v>
      </c>
      <c r="E44">
        <f>C44/$C$3*100</f>
        <v>104.18772812582759</v>
      </c>
      <c r="G44" s="5">
        <v>6.2293400000000001E-4</v>
      </c>
      <c r="H44" s="5">
        <v>1.5583599999999999E-4</v>
      </c>
      <c r="I44">
        <f>G44/$G$3*100</f>
        <v>89.96580070824885</v>
      </c>
      <c r="J44">
        <f>H44/$H$3*100</f>
        <v>100.9293981256598</v>
      </c>
      <c r="L44" s="5">
        <v>6.73276E-4</v>
      </c>
      <c r="M44" s="5">
        <v>1.83986E-4</v>
      </c>
      <c r="N44" s="4">
        <f>L44/$L$3*100</f>
        <v>88.794225597862422</v>
      </c>
      <c r="O44" s="4">
        <f>M44/$M$3*100</f>
        <v>113.57791482242841</v>
      </c>
      <c r="Q44">
        <f>AVERAGE(B44,G44,L44)</f>
        <v>6.57783E-4</v>
      </c>
      <c r="R44">
        <f>AVERAGE(C44,H44,M44)</f>
        <v>1.7359799999999999E-4</v>
      </c>
      <c r="T44">
        <f>AVERAGE(D44,I44,N44)</f>
        <v>88.336627670146058</v>
      </c>
      <c r="U44">
        <f>AVERAGE(E44,J44,O44)</f>
        <v>106.23168035797192</v>
      </c>
      <c r="W44">
        <f>_xlfn.STDEV.P(D44,I44,N44)</f>
        <v>1.5511515846103139</v>
      </c>
      <c r="X44">
        <f>_xlfn.STDEV.P(E44,J44,O44)</f>
        <v>5.3621854501421629</v>
      </c>
    </row>
    <row r="45" spans="1:24" x14ac:dyDescent="0.2">
      <c r="A45" s="3">
        <v>280.85500000000002</v>
      </c>
      <c r="B45" s="5">
        <v>6.9209999999999996E-4</v>
      </c>
      <c r="C45" s="5">
        <v>1.7578900000000001E-4</v>
      </c>
      <c r="D45">
        <f>B45/$B$3*100</f>
        <v>88.155498095759725</v>
      </c>
      <c r="E45">
        <f>C45/$C$3*100</f>
        <v>101.20381351541181</v>
      </c>
      <c r="G45" s="5">
        <v>6.3268299999999999E-4</v>
      </c>
      <c r="H45" s="5">
        <v>1.5476699999999999E-4</v>
      </c>
      <c r="I45">
        <f>G45/$G$3*100</f>
        <v>91.373777461973503</v>
      </c>
      <c r="J45">
        <f>H45/$H$3*100</f>
        <v>100.23704509685818</v>
      </c>
      <c r="L45" s="5">
        <v>6.8446999999999996E-4</v>
      </c>
      <c r="M45" s="5">
        <v>1.8370499999999999E-4</v>
      </c>
      <c r="N45" s="4">
        <f>L45/$L$3*100</f>
        <v>90.270533325068598</v>
      </c>
      <c r="O45" s="4">
        <f>M45/$M$3*100</f>
        <v>113.40444839528121</v>
      </c>
      <c r="Q45">
        <f>AVERAGE(B45,G45,L45)</f>
        <v>6.6975100000000001E-4</v>
      </c>
      <c r="R45">
        <f>AVERAGE(C45,H45,M45)</f>
        <v>1.7142033333333333E-4</v>
      </c>
      <c r="T45">
        <f>AVERAGE(D45,I45,N45)</f>
        <v>89.933269627600609</v>
      </c>
      <c r="U45">
        <f>AVERAGE(E45,J45,O45)</f>
        <v>104.94843566918375</v>
      </c>
      <c r="W45">
        <f>_xlfn.STDEV.P(D45,I45,N45)</f>
        <v>1.3353253338847613</v>
      </c>
      <c r="X45">
        <f>_xlfn.STDEV.P(E45,J45,O45)</f>
        <v>5.9923158412375654</v>
      </c>
    </row>
    <row r="46" spans="1:24" x14ac:dyDescent="0.2">
      <c r="A46" s="3">
        <v>287.06200000000001</v>
      </c>
      <c r="B46" s="5">
        <v>7.0276500000000005E-4</v>
      </c>
      <c r="C46" s="5">
        <v>1.77128E-4</v>
      </c>
      <c r="D46">
        <f>B46/$B$3*100</f>
        <v>89.513941076819222</v>
      </c>
      <c r="E46">
        <f>C46/$C$3*100</f>
        <v>101.97469170629485</v>
      </c>
      <c r="G46" s="5">
        <v>6.4227999999999996E-4</v>
      </c>
      <c r="H46" s="5">
        <v>1.53633E-4</v>
      </c>
      <c r="I46">
        <f>G46/$G$3*100</f>
        <v>92.759801967614649</v>
      </c>
      <c r="J46">
        <f>H46/$H$3*100</f>
        <v>99.502593895117258</v>
      </c>
      <c r="L46" s="5">
        <v>6.9834499999999996E-4</v>
      </c>
      <c r="M46" s="5">
        <v>1.84721E-4</v>
      </c>
      <c r="N46" s="4">
        <f>L46/$L$3*100</f>
        <v>92.100421632642821</v>
      </c>
      <c r="O46" s="4">
        <f>M46/$M$3*100</f>
        <v>114.03164373329382</v>
      </c>
      <c r="Q46">
        <f>AVERAGE(B46,G46,L46)</f>
        <v>6.8112999999999995E-4</v>
      </c>
      <c r="R46">
        <f>AVERAGE(C46,H46,M46)</f>
        <v>1.7182733333333334E-4</v>
      </c>
      <c r="T46">
        <f>AVERAGE(D46,I46,N46)</f>
        <v>91.458054892358902</v>
      </c>
      <c r="U46">
        <f>AVERAGE(E46,J46,O46)</f>
        <v>105.16964311156865</v>
      </c>
      <c r="W46">
        <f>_xlfn.STDEV.P(D46,I46,N46)</f>
        <v>1.4008044123207841</v>
      </c>
      <c r="X46">
        <f>_xlfn.STDEV.P(E46,J46,O46)</f>
        <v>6.3471310139096353</v>
      </c>
    </row>
    <row r="47" spans="1:24" x14ac:dyDescent="0.2">
      <c r="A47" s="3">
        <v>293.27199999999999</v>
      </c>
      <c r="B47" s="5">
        <v>7.1338900000000004E-4</v>
      </c>
      <c r="C47" s="5">
        <v>1.78004E-4</v>
      </c>
      <c r="D47">
        <f>B47/$B$3*100</f>
        <v>90.867161726681019</v>
      </c>
      <c r="E47">
        <f>C47/$C$3*100</f>
        <v>102.47901530242144</v>
      </c>
      <c r="G47" s="5">
        <v>6.5081399999999999E-4</v>
      </c>
      <c r="H47" s="5">
        <v>1.5396600000000001E-4</v>
      </c>
      <c r="I47">
        <f>G47/$G$3*100</f>
        <v>93.992305159355993</v>
      </c>
      <c r="J47">
        <f>H47/$H$3*100</f>
        <v>99.718266073406269</v>
      </c>
      <c r="L47" s="5">
        <v>7.0833400000000003E-4</v>
      </c>
      <c r="M47" s="5">
        <v>1.8593099999999999E-4</v>
      </c>
      <c r="N47" s="4">
        <f>L47/$L$3*100</f>
        <v>93.417809330254286</v>
      </c>
      <c r="O47" s="4">
        <f>M47/$M$3*100</f>
        <v>114.77859881104506</v>
      </c>
      <c r="Q47">
        <f>AVERAGE(B47,G47,L47)</f>
        <v>6.9084566666666669E-4</v>
      </c>
      <c r="R47">
        <f>AVERAGE(C47,H47,M47)</f>
        <v>1.7263366666666667E-4</v>
      </c>
      <c r="T47">
        <f>AVERAGE(D47,I47,N47)</f>
        <v>92.75909207209709</v>
      </c>
      <c r="U47">
        <f>AVERAGE(E47,J47,O47)</f>
        <v>105.65862672895759</v>
      </c>
      <c r="W47">
        <f>_xlfn.STDEV.P(D47,I47,N47)</f>
        <v>1.3582002032944118</v>
      </c>
      <c r="X47">
        <f>_xlfn.STDEV.P(E47,J47,O47)</f>
        <v>6.5465437272868439</v>
      </c>
    </row>
    <row r="48" spans="1:24" x14ac:dyDescent="0.2">
      <c r="A48" s="3">
        <v>299.61900000000003</v>
      </c>
      <c r="B48" s="5">
        <v>7.21581E-4</v>
      </c>
      <c r="C48" s="5">
        <v>1.7989300000000001E-4</v>
      </c>
      <c r="D48">
        <f>B48/$B$3*100</f>
        <v>91.910608974767229</v>
      </c>
      <c r="E48">
        <f>C48/$C$3*100</f>
        <v>103.56653502055293</v>
      </c>
      <c r="G48" s="5">
        <v>6.5751600000000002E-4</v>
      </c>
      <c r="H48" s="5">
        <v>1.54809E-4</v>
      </c>
      <c r="I48">
        <f>G48/$G$3*100</f>
        <v>94.960225992617126</v>
      </c>
      <c r="J48">
        <f>H48/$H$3*100</f>
        <v>100.26424699321896</v>
      </c>
      <c r="L48" s="5">
        <v>7.1440399999999997E-4</v>
      </c>
      <c r="M48" s="5">
        <v>1.8743699999999999E-4</v>
      </c>
      <c r="N48" s="4">
        <f>L48/$L$3*100</f>
        <v>94.218344251117387</v>
      </c>
      <c r="O48" s="4">
        <f>M48/$M$3*100</f>
        <v>115.70828008963461</v>
      </c>
      <c r="Q48">
        <f>AVERAGE(B48,G48,L48)</f>
        <v>6.9783366666666677E-4</v>
      </c>
      <c r="R48">
        <f>AVERAGE(C48,H48,M48)</f>
        <v>1.7404633333333334E-4</v>
      </c>
      <c r="T48">
        <f>AVERAGE(D48,I48,N48)</f>
        <v>93.696393072833914</v>
      </c>
      <c r="U48">
        <f>AVERAGE(E48,J48,O48)</f>
        <v>106.51302070113552</v>
      </c>
      <c r="W48">
        <f>_xlfn.STDEV.P(D48,I48,N48)</f>
        <v>1.2985545202964599</v>
      </c>
      <c r="X48">
        <f>_xlfn.STDEV.P(E48,J48,O48)</f>
        <v>6.6403249403526488</v>
      </c>
    </row>
    <row r="49" spans="1:24" x14ac:dyDescent="0.2">
      <c r="A49" s="3">
        <v>305.72500000000002</v>
      </c>
      <c r="B49" s="5">
        <v>7.2799500000000005E-4</v>
      </c>
      <c r="C49" s="5">
        <v>1.8142700000000001E-4</v>
      </c>
      <c r="D49">
        <f>B49/$B$3*100</f>
        <v>92.727585372377703</v>
      </c>
      <c r="E49">
        <f>C49/$C$3*100</f>
        <v>104.44967702564223</v>
      </c>
      <c r="G49" s="5">
        <v>6.6282699999999995E-4</v>
      </c>
      <c r="H49" s="5">
        <v>1.54983E-4</v>
      </c>
      <c r="I49">
        <f>G49/$G$3*100</f>
        <v>95.727254871377156</v>
      </c>
      <c r="J49">
        <f>H49/$H$3*100</f>
        <v>100.37694056385644</v>
      </c>
      <c r="L49" s="5">
        <v>7.2020899999999998E-4</v>
      </c>
      <c r="M49" s="5">
        <v>1.8451200000000001E-4</v>
      </c>
      <c r="N49" s="4">
        <f>L49/$L$3*100</f>
        <v>94.983929953853846</v>
      </c>
      <c r="O49" s="4">
        <f>M49/$M$3*100</f>
        <v>113.90262421986408</v>
      </c>
      <c r="Q49">
        <f>AVERAGE(B49,G49,L49)</f>
        <v>7.0367699999999988E-4</v>
      </c>
      <c r="R49">
        <f>AVERAGE(C49,H49,M49)</f>
        <v>1.7364066666666669E-4</v>
      </c>
      <c r="T49">
        <f>AVERAGE(D49,I49,N49)</f>
        <v>94.479590065869573</v>
      </c>
      <c r="U49">
        <f>AVERAGE(E49,J49,O49)</f>
        <v>106.24308060312092</v>
      </c>
      <c r="W49">
        <f>_xlfn.STDEV.P(D49,I49,N49)</f>
        <v>1.2754798620560817</v>
      </c>
      <c r="X49">
        <f>_xlfn.STDEV.P(E49,J49,O49)</f>
        <v>5.6655833406268705</v>
      </c>
    </row>
    <row r="50" spans="1:24" x14ac:dyDescent="0.2">
      <c r="A50" s="3">
        <v>312.08699999999999</v>
      </c>
      <c r="B50" s="5">
        <v>7.339E-4</v>
      </c>
      <c r="C50" s="5">
        <v>1.82731E-4</v>
      </c>
      <c r="D50">
        <f>B50/$B$3*100</f>
        <v>93.479728438777727</v>
      </c>
      <c r="E50">
        <f>C50/$C$3*100</f>
        <v>105.20040530115489</v>
      </c>
      <c r="G50" s="5">
        <v>6.6783700000000001E-4</v>
      </c>
      <c r="H50" s="5">
        <v>1.5799600000000001E-4</v>
      </c>
      <c r="I50">
        <f>G50/$G$3*100</f>
        <v>96.450812522024464</v>
      </c>
      <c r="J50">
        <f>H50/$H$3*100</f>
        <v>102.32835279564252</v>
      </c>
      <c r="L50" s="5">
        <v>7.2595299999999999E-4</v>
      </c>
      <c r="M50" s="5">
        <v>1.9098100000000001E-4</v>
      </c>
      <c r="N50" s="4">
        <f>L50/$L$3*100</f>
        <v>95.741470742229069</v>
      </c>
      <c r="O50" s="4">
        <f>M50/$M$3*100</f>
        <v>117.89605595372583</v>
      </c>
      <c r="Q50">
        <f>AVERAGE(B50,G50,L50)</f>
        <v>7.0923000000000004E-4</v>
      </c>
      <c r="R50">
        <f>AVERAGE(C50,H50,M50)</f>
        <v>1.77236E-4</v>
      </c>
      <c r="T50">
        <f>AVERAGE(D50,I50,N50)</f>
        <v>95.22400390101042</v>
      </c>
      <c r="U50">
        <f>AVERAGE(E50,J50,O50)</f>
        <v>108.47493801684107</v>
      </c>
      <c r="W50">
        <f>_xlfn.STDEV.P(D50,I50,N50)</f>
        <v>1.2669291235769351</v>
      </c>
      <c r="X50">
        <f>_xlfn.STDEV.P(E50,J50,O50)</f>
        <v>6.7641342774038096</v>
      </c>
    </row>
    <row r="51" spans="1:24" x14ac:dyDescent="0.2">
      <c r="A51" s="3">
        <v>318.18900000000002</v>
      </c>
      <c r="B51" s="5">
        <v>7.3673E-4</v>
      </c>
      <c r="C51" s="5">
        <v>1.82585E-4</v>
      </c>
      <c r="D51">
        <f>B51/$B$3*100</f>
        <v>93.840196665350476</v>
      </c>
      <c r="E51">
        <f>C51/$C$3*100</f>
        <v>105.11635136846711</v>
      </c>
      <c r="G51" s="5">
        <v>6.7165400000000004E-4</v>
      </c>
      <c r="H51" s="5">
        <v>1.58424E-4</v>
      </c>
      <c r="I51">
        <f>G51/$G$3*100</f>
        <v>97.002073909753165</v>
      </c>
      <c r="J51">
        <f>H51/$H$3*100</f>
        <v>102.60555307284278</v>
      </c>
      <c r="L51" s="5">
        <v>7.2908499999999998E-4</v>
      </c>
      <c r="M51" s="5">
        <v>1.9257599999999999E-4</v>
      </c>
      <c r="N51" s="4">
        <f>L51/$L$3*100</f>
        <v>96.154530935333398</v>
      </c>
      <c r="O51" s="4">
        <f>M51/$M$3*100</f>
        <v>118.8806785562161</v>
      </c>
      <c r="Q51">
        <f>AVERAGE(B51,G51,L51)</f>
        <v>7.124896666666666E-4</v>
      </c>
      <c r="R51">
        <f>AVERAGE(C51,H51,M51)</f>
        <v>1.7786166666666664E-4</v>
      </c>
      <c r="T51">
        <f>AVERAGE(D51,I51,N51)</f>
        <v>95.665600503479013</v>
      </c>
      <c r="U51">
        <f>AVERAGE(E51,J51,O51)</f>
        <v>108.86752766584199</v>
      </c>
      <c r="W51">
        <f>_xlfn.STDEV.P(D51,I51,N51)</f>
        <v>1.3363274679915029</v>
      </c>
      <c r="X51">
        <f>_xlfn.STDEV.P(E51,J51,O51)</f>
        <v>7.1541792021809298</v>
      </c>
    </row>
    <row r="52" spans="1:24" x14ac:dyDescent="0.2">
      <c r="A52" s="3">
        <v>324.435</v>
      </c>
      <c r="B52" s="5">
        <v>7.4009200000000003E-4</v>
      </c>
      <c r="C52" s="5">
        <v>1.8183199999999999E-4</v>
      </c>
      <c r="D52">
        <f>B52/$B$3*100</f>
        <v>94.268427823561623</v>
      </c>
      <c r="E52">
        <f>C52/$C$3*100</f>
        <v>104.6828403320706</v>
      </c>
      <c r="G52" s="5">
        <v>6.7470599999999996E-4</v>
      </c>
      <c r="H52" s="5">
        <v>1.5680699999999999E-4</v>
      </c>
      <c r="I52">
        <f>G52/$G$3*100</f>
        <v>97.442851943640491</v>
      </c>
      <c r="J52">
        <f>H52/$H$3*100</f>
        <v>101.55828006295296</v>
      </c>
      <c r="L52" s="5">
        <v>7.30849E-4</v>
      </c>
      <c r="M52" s="5">
        <v>1.89851E-4</v>
      </c>
      <c r="N52" s="4">
        <f>L52/$L$3*100</f>
        <v>96.387174032599049</v>
      </c>
      <c r="O52" s="4">
        <f>M52/$M$3*100</f>
        <v>117.19848633566062</v>
      </c>
      <c r="Q52">
        <f>AVERAGE(B52,G52,L52)</f>
        <v>7.152156666666667E-4</v>
      </c>
      <c r="R52">
        <f>AVERAGE(C52,H52,M52)</f>
        <v>1.7616333333333331E-4</v>
      </c>
      <c r="T52">
        <f>AVERAGE(D52,I52,N52)</f>
        <v>96.032817933267054</v>
      </c>
      <c r="U52">
        <f>AVERAGE(E52,J52,O52)</f>
        <v>107.81320224356141</v>
      </c>
      <c r="W52">
        <f>_xlfn.STDEV.P(D52,I52,N52)</f>
        <v>1.319954117229071</v>
      </c>
      <c r="X52">
        <f>_xlfn.STDEV.P(E52,J52,O52)</f>
        <v>6.7578787271300467</v>
      </c>
    </row>
    <row r="53" spans="1:24" x14ac:dyDescent="0.2">
      <c r="A53" s="3">
        <v>330.709</v>
      </c>
      <c r="B53" s="5">
        <v>7.4390299999999997E-4</v>
      </c>
      <c r="C53" s="5">
        <v>1.81559E-4</v>
      </c>
      <c r="D53">
        <f>B53/$B$3*100</f>
        <v>94.75384987708415</v>
      </c>
      <c r="E53">
        <f>C53/$C$3*100</f>
        <v>104.52567099218184</v>
      </c>
      <c r="G53" s="5">
        <v>6.8050300000000005E-4</v>
      </c>
      <c r="H53" s="5">
        <v>1.54582E-4</v>
      </c>
      <c r="I53">
        <f>G53/$G$3*100</f>
        <v>98.280070247193876</v>
      </c>
      <c r="J53">
        <f>H53/$H$3*100</f>
        <v>100.11722722003095</v>
      </c>
      <c r="L53" s="5">
        <v>7.3728699999999999E-4</v>
      </c>
      <c r="M53" s="5">
        <v>1.9136199999999999E-4</v>
      </c>
      <c r="N53" s="4">
        <f>L53/$L$3*100</f>
        <v>97.236242207313481</v>
      </c>
      <c r="O53" s="4">
        <f>M53/$M$3*100</f>
        <v>118.13125420548054</v>
      </c>
      <c r="Q53">
        <f>AVERAGE(B53,G53,L53)</f>
        <v>7.2056433333333341E-4</v>
      </c>
      <c r="R53">
        <f>AVERAGE(C53,H53,M53)</f>
        <v>1.758343333333333E-4</v>
      </c>
      <c r="T53">
        <f>AVERAGE(D53,I53,N53)</f>
        <v>96.756720777197174</v>
      </c>
      <c r="U53">
        <f>AVERAGE(E53,J53,O53)</f>
        <v>107.59138413923112</v>
      </c>
      <c r="W53">
        <f>_xlfn.STDEV.P(D53,I53,N53)</f>
        <v>1.4789665594821695</v>
      </c>
      <c r="X53">
        <f>_xlfn.STDEV.P(E53,J53,O53)</f>
        <v>7.6670394061471372</v>
      </c>
    </row>
    <row r="54" spans="1:24" x14ac:dyDescent="0.2">
      <c r="A54" s="3">
        <v>336.78800000000001</v>
      </c>
      <c r="B54" s="5">
        <v>7.4812700000000002E-4</v>
      </c>
      <c r="C54" s="5">
        <v>1.7909800000000001E-4</v>
      </c>
      <c r="D54">
        <f>B54/$B$3*100</f>
        <v>95.291877364378607</v>
      </c>
      <c r="E54">
        <f>C54/$C$3*100</f>
        <v>103.10884408571199</v>
      </c>
      <c r="G54" s="5">
        <v>6.84204E-4</v>
      </c>
      <c r="H54" s="5">
        <v>1.5609099999999999E-4</v>
      </c>
      <c r="I54">
        <f>G54/$G$3*100</f>
        <v>98.814578603490418</v>
      </c>
      <c r="J54">
        <f>H54/$H$3*100</f>
        <v>101.09455249642166</v>
      </c>
      <c r="L54" s="5">
        <v>7.4068400000000003E-4</v>
      </c>
      <c r="M54" s="5">
        <v>1.90316E-4</v>
      </c>
      <c r="N54" s="4">
        <f>L54/$L$3*100</f>
        <v>97.684251618544451</v>
      </c>
      <c r="O54" s="4">
        <f>M54/$M$3*100</f>
        <v>117.48553932008568</v>
      </c>
      <c r="Q54">
        <f>AVERAGE(B54,G54,L54)</f>
        <v>7.2433833333333331E-4</v>
      </c>
      <c r="R54">
        <f>AVERAGE(C54,H54,M54)</f>
        <v>1.7516833333333333E-4</v>
      </c>
      <c r="T54">
        <f>AVERAGE(D54,I54,N54)</f>
        <v>97.263569195471163</v>
      </c>
      <c r="U54">
        <f>AVERAGE(E54,J54,O54)</f>
        <v>107.22964530073978</v>
      </c>
      <c r="W54">
        <f>_xlfn.STDEV.P(D54,I54,N54)</f>
        <v>1.4685789686682575</v>
      </c>
      <c r="X54">
        <f>_xlfn.STDEV.P(E54,J54,O54)</f>
        <v>7.2984867953895183</v>
      </c>
    </row>
    <row r="55" spans="1:24" x14ac:dyDescent="0.2">
      <c r="A55" s="3">
        <v>343.13499999999999</v>
      </c>
      <c r="B55" s="5">
        <v>7.5372700000000004E-4</v>
      </c>
      <c r="C55" s="5">
        <v>1.79798E-4</v>
      </c>
      <c r="D55">
        <f>B55/$B$3*100</f>
        <v>96.005171381625047</v>
      </c>
      <c r="E55">
        <f>C55/$C$3*100</f>
        <v>103.5118423931191</v>
      </c>
      <c r="G55" s="5">
        <v>6.8934300000000003E-4</v>
      </c>
      <c r="H55" s="5">
        <v>1.57415E-4</v>
      </c>
      <c r="I55">
        <f>G55/$G$3*100</f>
        <v>99.556766780471747</v>
      </c>
      <c r="J55">
        <f>H55/$H$3*100</f>
        <v>101.95205989598513</v>
      </c>
      <c r="L55" s="5">
        <v>7.4732300000000004E-4</v>
      </c>
      <c r="M55" s="5">
        <v>1.8993600000000001E-4</v>
      </c>
      <c r="N55" s="4">
        <f>L55/$L$3*100</f>
        <v>98.55982844549834</v>
      </c>
      <c r="O55" s="4">
        <f>M55/$M$3*100</f>
        <v>117.25095838657704</v>
      </c>
      <c r="Q55">
        <f>AVERAGE(B55,G55,L55)</f>
        <v>7.3013100000000007E-4</v>
      </c>
      <c r="R55">
        <f>AVERAGE(C55,H55,M55)</f>
        <v>1.7571633333333332E-4</v>
      </c>
      <c r="T55">
        <f>AVERAGE(D55,I55,N55)</f>
        <v>98.040588869198373</v>
      </c>
      <c r="U55">
        <f>AVERAGE(E55,J55,O55)</f>
        <v>107.57162022522709</v>
      </c>
      <c r="W55">
        <f>_xlfn.STDEV.P(D55,I55,N55)</f>
        <v>1.495697111154614</v>
      </c>
      <c r="X55">
        <f>_xlfn.STDEV.P(E55,J55,O55)</f>
        <v>6.8738839477603175</v>
      </c>
    </row>
    <row r="56" spans="1:24" x14ac:dyDescent="0.2">
      <c r="A56" s="3">
        <v>349.267</v>
      </c>
      <c r="B56" s="5">
        <v>7.5924E-4</v>
      </c>
      <c r="C56" s="5">
        <v>1.79956E-4</v>
      </c>
      <c r="D56">
        <f>B56/$B$3*100</f>
        <v>96.707383866817821</v>
      </c>
      <c r="E56">
        <f>C56/$C$3*100</f>
        <v>103.60280486821955</v>
      </c>
      <c r="G56" s="5">
        <v>6.9329999999999999E-4</v>
      </c>
      <c r="H56" s="5">
        <v>1.594E-4</v>
      </c>
      <c r="I56">
        <f>G56/$G$3*100</f>
        <v>100.12824734406682</v>
      </c>
      <c r="J56">
        <f>H56/$H$3*100</f>
        <v>103.23767333113128</v>
      </c>
      <c r="L56" s="5">
        <v>7.51438E-4</v>
      </c>
      <c r="M56" s="5">
        <v>1.9204500000000001E-4</v>
      </c>
      <c r="N56" s="4">
        <f>L56/$L$3*100</f>
        <v>99.102530455276209</v>
      </c>
      <c r="O56" s="4">
        <f>M56/$M$3*100</f>
        <v>118.55288256755006</v>
      </c>
      <c r="Q56">
        <f>AVERAGE(B56,G56,L56)</f>
        <v>7.346593333333334E-4</v>
      </c>
      <c r="R56">
        <f>AVERAGE(C56,H56,M56)</f>
        <v>1.7713366666666664E-4</v>
      </c>
      <c r="T56">
        <f>AVERAGE(D56,I56,N56)</f>
        <v>98.646053888720289</v>
      </c>
      <c r="U56">
        <f>AVERAGE(E56,J56,O56)</f>
        <v>108.46445358896695</v>
      </c>
      <c r="W56">
        <f>_xlfn.STDEV.P(D56,I56,N56)</f>
        <v>1.4333771018949257</v>
      </c>
      <c r="X56">
        <f>_xlfn.STDEV.P(E56,J56,O56)</f>
        <v>7.1351538036111721</v>
      </c>
    </row>
    <row r="57" spans="1:24" x14ac:dyDescent="0.2">
      <c r="A57" s="3">
        <v>355.55900000000003</v>
      </c>
      <c r="B57" s="5">
        <v>7.6230000000000004E-4</v>
      </c>
      <c r="C57" s="5">
        <v>1.7961799999999999E-4</v>
      </c>
      <c r="D57">
        <f>B57/$B$3*100</f>
        <v>97.097148097670342</v>
      </c>
      <c r="E57">
        <f>C57/$C$3*100</f>
        <v>103.4082142569287</v>
      </c>
      <c r="G57" s="5">
        <v>6.9607899999999995E-4</v>
      </c>
      <c r="H57" s="5">
        <v>1.58973E-4</v>
      </c>
      <c r="I57">
        <f>G57/$G$3*100</f>
        <v>100.52959798501469</v>
      </c>
      <c r="J57">
        <f>H57/$H$3*100</f>
        <v>102.96112071813006</v>
      </c>
      <c r="L57" s="5">
        <v>7.5442499999999997E-4</v>
      </c>
      <c r="M57" s="5">
        <v>1.91633E-4</v>
      </c>
      <c r="N57" s="4">
        <f>L57/$L$3*100</f>
        <v>99.496467491292364</v>
      </c>
      <c r="O57" s="4">
        <f>M57/$M$3*100</f>
        <v>118.29854745016699</v>
      </c>
      <c r="Q57">
        <f>AVERAGE(B57,G57,L57)</f>
        <v>7.3760133333333332E-4</v>
      </c>
      <c r="R57">
        <f>AVERAGE(C57,H57,M57)</f>
        <v>1.767413333333333E-4</v>
      </c>
      <c r="T57">
        <f>AVERAGE(D57,I57,N57)</f>
        <v>99.041071191325798</v>
      </c>
      <c r="U57">
        <f>AVERAGE(E57,J57,O57)</f>
        <v>108.22262747507524</v>
      </c>
      <c r="W57">
        <f>_xlfn.STDEV.P(D57,I57,N57)</f>
        <v>1.4378148698169235</v>
      </c>
      <c r="X57">
        <f>_xlfn.STDEV.P(E57,J57,O57)</f>
        <v>7.1270889647152318</v>
      </c>
    </row>
    <row r="58" spans="1:24" x14ac:dyDescent="0.2">
      <c r="A58" s="3">
        <v>361.702</v>
      </c>
      <c r="B58" s="5">
        <v>7.6437200000000003E-4</v>
      </c>
      <c r="C58" s="5">
        <v>1.8196600000000001E-4</v>
      </c>
      <c r="D58">
        <f>B58/$B$3*100</f>
        <v>97.36106688405151</v>
      </c>
      <c r="E58">
        <f>C58/$C$3*100</f>
        <v>104.75998572234569</v>
      </c>
      <c r="G58" s="5">
        <v>6.9939299999999998E-4</v>
      </c>
      <c r="H58" s="5">
        <v>1.60006E-4</v>
      </c>
      <c r="I58">
        <f>G58/$G$3*100</f>
        <v>101.00821476230915</v>
      </c>
      <c r="J58">
        <f>H58/$H$3*100</f>
        <v>103.6301578357653</v>
      </c>
      <c r="L58" s="5">
        <v>7.5766500000000003E-4</v>
      </c>
      <c r="M58" s="5">
        <v>1.94952E-4</v>
      </c>
      <c r="N58" s="4">
        <f>L58/$L$3*100</f>
        <v>99.923771139331322</v>
      </c>
      <c r="O58" s="4">
        <f>M58/$M$3*100</f>
        <v>120.34742670889122</v>
      </c>
      <c r="Q58">
        <f>AVERAGE(B58,G58,L58)</f>
        <v>7.4047666666666664E-4</v>
      </c>
      <c r="R58">
        <f>AVERAGE(C58,H58,M58)</f>
        <v>1.7897466666666668E-4</v>
      </c>
      <c r="T58">
        <f>AVERAGE(D58,I58,N58)</f>
        <v>99.431017595230671</v>
      </c>
      <c r="U58">
        <f>AVERAGE(E58,J58,O58)</f>
        <v>109.57919008900073</v>
      </c>
      <c r="W58">
        <f>_xlfn.STDEV.P(D58,I58,N58)</f>
        <v>1.52916675630611</v>
      </c>
      <c r="X58">
        <f>_xlfn.STDEV.P(E58,J58,O58)</f>
        <v>7.6282508999895242</v>
      </c>
    </row>
    <row r="59" spans="1:24" x14ac:dyDescent="0.2">
      <c r="A59" s="3">
        <v>367.85</v>
      </c>
      <c r="B59" s="5">
        <v>7.6857100000000001E-4</v>
      </c>
      <c r="C59" s="5">
        <v>1.84248E-4</v>
      </c>
      <c r="D59">
        <f>B59/$B$3*100</f>
        <v>97.895910023054682</v>
      </c>
      <c r="E59">
        <f>C59/$C$3*100</f>
        <v>106.07376020449286</v>
      </c>
      <c r="G59" s="5">
        <v>7.0204000000000002E-4</v>
      </c>
      <c r="H59" s="5">
        <v>1.6134299999999999E-4</v>
      </c>
      <c r="I59">
        <f>G59/$G$3*100</f>
        <v>101.3905016088687</v>
      </c>
      <c r="J59">
        <f>H59/$H$3*100</f>
        <v>104.49608486991664</v>
      </c>
      <c r="L59" s="5">
        <v>7.6149900000000001E-4</v>
      </c>
      <c r="M59" s="5">
        <v>1.9576500000000001E-4</v>
      </c>
      <c r="N59" s="4">
        <f>L59/$L$3*100</f>
        <v>100.42941378951076</v>
      </c>
      <c r="O59" s="4">
        <f>M59/$M$3*100</f>
        <v>120.84930644295054</v>
      </c>
      <c r="Q59">
        <f>AVERAGE(B59,G59,L59)</f>
        <v>7.4403666666666675E-4</v>
      </c>
      <c r="R59">
        <f>AVERAGE(C59,H59,M59)</f>
        <v>1.80452E-4</v>
      </c>
      <c r="T59">
        <f>AVERAGE(D59,I59,N59)</f>
        <v>99.905275140478054</v>
      </c>
      <c r="U59">
        <f>AVERAGE(E59,J59,O59)</f>
        <v>110.47305050578667</v>
      </c>
      <c r="W59">
        <f>_xlfn.STDEV.P(D59,I59,N59)</f>
        <v>1.4740157349833858</v>
      </c>
      <c r="X59">
        <f>_xlfn.STDEV.P(E59,J59,O59)</f>
        <v>7.3653368477157324</v>
      </c>
    </row>
    <row r="60" spans="1:24" x14ac:dyDescent="0.2">
      <c r="A60" s="3">
        <v>374.05900000000003</v>
      </c>
      <c r="B60" s="5">
        <v>7.7011899999999999E-4</v>
      </c>
      <c r="C60" s="5">
        <v>1.85496E-4</v>
      </c>
      <c r="D60">
        <f>B60/$B$3*100</f>
        <v>98.09308486925066</v>
      </c>
      <c r="E60">
        <f>C60/$C$3*100</f>
        <v>106.79224861541297</v>
      </c>
      <c r="G60" s="5">
        <v>7.0271600000000004E-4</v>
      </c>
      <c r="H60" s="5">
        <v>1.6235300000000001E-4</v>
      </c>
      <c r="I60">
        <f>G60/$G$3*100</f>
        <v>101.48813134376644</v>
      </c>
      <c r="J60">
        <f>H60/$H$3*100</f>
        <v>105.15022571097339</v>
      </c>
      <c r="L60" s="5">
        <v>7.6344399999999995E-4</v>
      </c>
      <c r="M60" s="5">
        <v>1.96329E-4</v>
      </c>
      <c r="N60" s="4">
        <f>L60/$L$3*100</f>
        <v>100.6859278621761</v>
      </c>
      <c r="O60" s="4">
        <f>M60/$M$3*100</f>
        <v>121.19747393373706</v>
      </c>
      <c r="Q60">
        <f>AVERAGE(B60,G60,L60)</f>
        <v>7.4542633333333325E-4</v>
      </c>
      <c r="R60">
        <f>AVERAGE(C60,H60,M60)</f>
        <v>1.8139266666666667E-4</v>
      </c>
      <c r="T60">
        <f>AVERAGE(D60,I60,N60)</f>
        <v>100.0890480250644</v>
      </c>
      <c r="U60">
        <f>AVERAGE(E60,J60,O60)</f>
        <v>111.04664942004115</v>
      </c>
      <c r="W60">
        <f>_xlfn.STDEV.P(D60,I60,N60)</f>
        <v>1.4488580091445296</v>
      </c>
      <c r="X60">
        <f>_xlfn.STDEV.P(E60,J60,O60)</f>
        <v>7.2089522371175656</v>
      </c>
    </row>
    <row r="61" spans="1:24" x14ac:dyDescent="0.2">
      <c r="A61" s="3">
        <v>380.30599999999998</v>
      </c>
      <c r="B61" s="5">
        <v>7.7234700000000005E-4</v>
      </c>
      <c r="C61" s="5">
        <v>1.8504200000000001E-4</v>
      </c>
      <c r="D61">
        <f>B61/$B$3*100</f>
        <v>98.376873988969422</v>
      </c>
      <c r="E61">
        <f>C61/$C$3*100</f>
        <v>106.53087542746607</v>
      </c>
      <c r="G61" s="5">
        <v>7.0644399999999997E-4</v>
      </c>
      <c r="H61" s="5">
        <v>1.61094E-4</v>
      </c>
      <c r="I61">
        <f>G61/$G$3*100</f>
        <v>102.02653911255149</v>
      </c>
      <c r="J61">
        <f>H61/$H$3*100</f>
        <v>104.33481648434919</v>
      </c>
      <c r="L61" s="5">
        <v>7.6310500000000003E-4</v>
      </c>
      <c r="M61" s="5">
        <v>1.96138E-4</v>
      </c>
      <c r="N61" s="4">
        <f>L61/$L$3*100</f>
        <v>100.64121923974241</v>
      </c>
      <c r="O61" s="4">
        <f>M61/$M$3*100</f>
        <v>121.07956614873665</v>
      </c>
      <c r="Q61">
        <f>AVERAGE(B61,G61,L61)</f>
        <v>7.4729866666666672E-4</v>
      </c>
      <c r="R61">
        <f>AVERAGE(C61,H61,M61)</f>
        <v>1.8075800000000002E-4</v>
      </c>
      <c r="T61">
        <f>AVERAGE(D61,I61,N61)</f>
        <v>100.3482107804211</v>
      </c>
      <c r="U61">
        <f>AVERAGE(E61,J61,O61)</f>
        <v>110.6484193535173</v>
      </c>
      <c r="W61">
        <f>_xlfn.STDEV.P(D61,I61,N61)</f>
        <v>1.50430589675066</v>
      </c>
      <c r="X61">
        <f>_xlfn.STDEV.P(E61,J61,O61)</f>
        <v>7.4302214555589119</v>
      </c>
    </row>
    <row r="62" spans="1:24" x14ac:dyDescent="0.2">
      <c r="A62" s="3">
        <v>386.613</v>
      </c>
      <c r="B62" s="5">
        <v>7.7446800000000005E-4</v>
      </c>
      <c r="C62" s="5">
        <v>1.8465300000000001E-4</v>
      </c>
      <c r="D62">
        <f>B62/$B$3*100</f>
        <v>98.647034098001512</v>
      </c>
      <c r="E62">
        <f>C62/$C$3*100</f>
        <v>106.30692351092125</v>
      </c>
      <c r="G62" s="5">
        <v>7.10336E-4</v>
      </c>
      <c r="H62" s="5">
        <v>1.6194000000000001E-4</v>
      </c>
      <c r="I62">
        <f>G62/$G$3*100</f>
        <v>102.58863220163718</v>
      </c>
      <c r="J62">
        <f>H62/$H$3*100</f>
        <v>104.88274039675909</v>
      </c>
      <c r="L62" s="5">
        <v>7.6628799999999995E-4</v>
      </c>
      <c r="M62" s="5">
        <v>1.9234699999999999E-4</v>
      </c>
      <c r="N62" s="4">
        <f>L62/$L$3*100</f>
        <v>101.06100550878807</v>
      </c>
      <c r="O62" s="4">
        <f>M62/$M$3*100</f>
        <v>118.73931267786482</v>
      </c>
      <c r="Q62">
        <f>AVERAGE(B62,G62,L62)</f>
        <v>7.50364E-4</v>
      </c>
      <c r="R62">
        <f>AVERAGE(C62,H62,M62)</f>
        <v>1.7964666666666666E-4</v>
      </c>
      <c r="T62">
        <f>AVERAGE(D62,I62,N62)</f>
        <v>100.76555726947559</v>
      </c>
      <c r="U62">
        <f>AVERAGE(E62,J62,O62)</f>
        <v>109.97632552851506</v>
      </c>
      <c r="W62">
        <f>_xlfn.STDEV.P(D62,I62,N62)</f>
        <v>1.6226554674834111</v>
      </c>
      <c r="X62">
        <f>_xlfn.STDEV.P(E62,J62,O62)</f>
        <v>6.2235859020566799</v>
      </c>
    </row>
    <row r="63" spans="1:24" x14ac:dyDescent="0.2">
      <c r="A63" s="3">
        <v>392.71100000000001</v>
      </c>
      <c r="B63" s="5">
        <v>7.7802199999999996E-4</v>
      </c>
      <c r="C63" s="5">
        <v>1.83554E-4</v>
      </c>
      <c r="D63">
        <f>B63/$B$3*100</f>
        <v>99.099721051089674</v>
      </c>
      <c r="E63">
        <f>C63/$C$3*100</f>
        <v>105.67421616829209</v>
      </c>
      <c r="G63" s="5">
        <v>7.1162899999999997E-4</v>
      </c>
      <c r="H63" s="5">
        <v>1.62325E-4</v>
      </c>
      <c r="I63">
        <f>G63/$G$3*100</f>
        <v>102.77537073303178</v>
      </c>
      <c r="J63">
        <f>H63/$H$3*100</f>
        <v>105.13209111339951</v>
      </c>
      <c r="L63" s="5">
        <v>7.7043200000000004E-4</v>
      </c>
      <c r="M63" s="5">
        <v>1.96033E-4</v>
      </c>
      <c r="N63" s="4">
        <f>L63/$L$3*100</f>
        <v>101.6075321499836</v>
      </c>
      <c r="O63" s="4">
        <f>M63/$M$3*100</f>
        <v>121.01474773289873</v>
      </c>
      <c r="Q63">
        <f>AVERAGE(B63,G63,L63)</f>
        <v>7.5336100000000003E-4</v>
      </c>
      <c r="R63">
        <f>AVERAGE(C63,H63,M63)</f>
        <v>1.8063733333333333E-4</v>
      </c>
      <c r="T63">
        <f>AVERAGE(D63,I63,N63)</f>
        <v>101.16087464470168</v>
      </c>
      <c r="U63">
        <f>AVERAGE(E63,J63,O63)</f>
        <v>110.60701833819678</v>
      </c>
      <c r="W63">
        <f>_xlfn.STDEV.P(D63,I63,N63)</f>
        <v>1.5334552142919535</v>
      </c>
      <c r="X63">
        <f>_xlfn.STDEV.P(E63,J63,O63)</f>
        <v>7.3627032290589591</v>
      </c>
    </row>
    <row r="64" spans="1:24" x14ac:dyDescent="0.2">
      <c r="A64" s="3">
        <v>399.05700000000002</v>
      </c>
      <c r="B64" s="5">
        <v>7.8150500000000005E-4</v>
      </c>
      <c r="C64" s="5">
        <v>1.8200599999999999E-4</v>
      </c>
      <c r="D64">
        <f>B64/$B$3*100</f>
        <v>99.543364455030641</v>
      </c>
      <c r="E64">
        <f>C64/$C$3*100</f>
        <v>104.78301419705467</v>
      </c>
      <c r="G64" s="5">
        <v>7.15762E-4</v>
      </c>
      <c r="H64" s="5">
        <v>1.6299399999999999E-4</v>
      </c>
      <c r="I64">
        <f>G64/$G$3*100</f>
        <v>103.37226968914462</v>
      </c>
      <c r="J64">
        <f>H64/$H$3*100</f>
        <v>105.56537846257473</v>
      </c>
      <c r="L64" s="5">
        <v>7.7074999999999995E-4</v>
      </c>
      <c r="M64" s="5">
        <v>1.9425000000000001E-4</v>
      </c>
      <c r="N64" s="4">
        <f>L64/$L$3*100</f>
        <v>101.64947121173553</v>
      </c>
      <c r="O64" s="4">
        <f>M64/$M$3*100</f>
        <v>119.91406930014629</v>
      </c>
      <c r="Q64">
        <f>AVERAGE(B64,G64,L64)</f>
        <v>7.5600566666666656E-4</v>
      </c>
      <c r="R64">
        <f>AVERAGE(C64,H64,M64)</f>
        <v>1.7975000000000001E-4</v>
      </c>
      <c r="T64">
        <f>AVERAGE(D64,I64,N64)</f>
        <v>101.52170178530361</v>
      </c>
      <c r="U64">
        <f>AVERAGE(E64,J64,O64)</f>
        <v>110.08748731992523</v>
      </c>
      <c r="W64">
        <f>_xlfn.STDEV.P(D64,I64,N64)</f>
        <v>1.5657527673517313</v>
      </c>
      <c r="X64">
        <f>_xlfn.STDEV.P(E64,J64,O64)</f>
        <v>6.9557797799860746</v>
      </c>
    </row>
    <row r="65" spans="1:24" x14ac:dyDescent="0.2">
      <c r="A65" s="3">
        <v>405.13299999999998</v>
      </c>
      <c r="B65" s="5">
        <v>7.8487299999999995E-4</v>
      </c>
      <c r="C65" s="5">
        <v>1.83986E-4</v>
      </c>
      <c r="D65">
        <f>B65/$B$3*100</f>
        <v>99.972359856831687</v>
      </c>
      <c r="E65">
        <f>C65/$C$3*100</f>
        <v>105.92292369514907</v>
      </c>
      <c r="G65" s="5">
        <v>7.1619700000000001E-4</v>
      </c>
      <c r="H65" s="5">
        <v>1.6491100000000001E-4</v>
      </c>
      <c r="I65">
        <f>G65/$G$3*100</f>
        <v>103.43509355701519</v>
      </c>
      <c r="J65">
        <f>H65/$H$3*100</f>
        <v>106.80695073218438</v>
      </c>
      <c r="L65" s="5">
        <v>7.7682900000000004E-4</v>
      </c>
      <c r="M65" s="5">
        <v>1.97123E-4</v>
      </c>
      <c r="N65" s="4">
        <f>L65/$L$3*100</f>
        <v>102.45119308717653</v>
      </c>
      <c r="O65" s="4">
        <f>M65/$M$3*100</f>
        <v>121.68762462112093</v>
      </c>
      <c r="Q65">
        <f>AVERAGE(B65,G65,L65)</f>
        <v>7.592996666666666E-4</v>
      </c>
      <c r="R65">
        <f>AVERAGE(C65,H65,M65)</f>
        <v>1.8200666666666669E-4</v>
      </c>
      <c r="T65">
        <f>AVERAGE(D65,I65,N65)</f>
        <v>101.95288216700781</v>
      </c>
      <c r="U65">
        <f>AVERAGE(E65,J65,O65)</f>
        <v>111.47249968281812</v>
      </c>
      <c r="W65">
        <f>_xlfn.STDEV.P(D65,I65,N65)</f>
        <v>1.456906883198372</v>
      </c>
      <c r="X65">
        <f>_xlfn.STDEV.P(E65,J65,O65)</f>
        <v>7.2321946452145172</v>
      </c>
    </row>
    <row r="66" spans="1:24" x14ac:dyDescent="0.2">
      <c r="A66" s="3">
        <v>411.40199999999999</v>
      </c>
      <c r="B66" s="5">
        <v>7.8669999999999999E-4</v>
      </c>
      <c r="C66" s="5">
        <v>1.8652999999999999E-4</v>
      </c>
      <c r="D66">
        <f>B66/$B$3*100</f>
        <v>100.20507202995834</v>
      </c>
      <c r="E66">
        <f>C66/$C$3*100</f>
        <v>107.38753468664004</v>
      </c>
      <c r="G66" s="5">
        <v>7.2016699999999996E-4</v>
      </c>
      <c r="H66" s="5">
        <v>1.66319E-4</v>
      </c>
      <c r="I66">
        <f>G66/$G$3*100</f>
        <v>104.00845161551216</v>
      </c>
      <c r="J66">
        <f>H66/$H$3*100</f>
        <v>107.71886192446939</v>
      </c>
      <c r="L66" s="5">
        <v>7.80903E-4</v>
      </c>
      <c r="M66" s="5">
        <v>1.9875900000000001E-4</v>
      </c>
      <c r="N66" s="4">
        <f>L66/$L$3*100</f>
        <v>102.98848785943294</v>
      </c>
      <c r="O66" s="4">
        <f>M66/$M$3*100</f>
        <v>122.69755727170029</v>
      </c>
      <c r="Q66">
        <f>AVERAGE(B66,G66,L66)</f>
        <v>7.6258999999999995E-4</v>
      </c>
      <c r="R66">
        <f>AVERAGE(C66,H66,M66)</f>
        <v>1.8386933333333337E-4</v>
      </c>
      <c r="T66">
        <f>AVERAGE(D66,I66,N66)</f>
        <v>102.40067050163448</v>
      </c>
      <c r="U66">
        <f>AVERAGE(E66,J66,O66)</f>
        <v>112.60131796093657</v>
      </c>
      <c r="W66">
        <f>_xlfn.STDEV.P(D66,I66,N66)</f>
        <v>1.6073935428821289</v>
      </c>
      <c r="X66">
        <f>_xlfn.STDEV.P(E66,J66,O66)</f>
        <v>7.1404005769886547</v>
      </c>
    </row>
    <row r="67" spans="1:24" x14ac:dyDescent="0.2">
      <c r="A67" s="3">
        <v>417.62299999999999</v>
      </c>
      <c r="B67" s="5">
        <v>7.9212E-4</v>
      </c>
      <c r="C67" s="5">
        <v>1.8715100000000001E-4</v>
      </c>
      <c r="D67">
        <f>B67/$B$3*100</f>
        <v>100.89543873950757</v>
      </c>
      <c r="E67">
        <f>C67/$C$3*100</f>
        <v>107.74505175649691</v>
      </c>
      <c r="G67" s="5">
        <v>7.2093600000000004E-4</v>
      </c>
      <c r="H67" s="5">
        <v>1.6706199999999999E-4</v>
      </c>
      <c r="I67">
        <f>G67/$G$3*100</f>
        <v>104.11951266009257</v>
      </c>
      <c r="J67">
        <f>H67/$H$3*100</f>
        <v>108.20007642437548</v>
      </c>
      <c r="L67" s="5">
        <v>7.8321E-4</v>
      </c>
      <c r="M67" s="5">
        <v>1.9918099999999999E-4</v>
      </c>
      <c r="N67" s="4">
        <f>L67/$L$3*100</f>
        <v>103.29274388289768</v>
      </c>
      <c r="O67" s="4">
        <f>M67/$M$3*100</f>
        <v>122.9580655715441</v>
      </c>
      <c r="Q67">
        <f>AVERAGE(B67,G67,L67)</f>
        <v>7.6542199999999998E-4</v>
      </c>
      <c r="R67">
        <f>AVERAGE(C67,H67,M67)</f>
        <v>1.8446466666666668E-4</v>
      </c>
      <c r="T67">
        <f>AVERAGE(D67,I67,N67)</f>
        <v>102.76923176083261</v>
      </c>
      <c r="U67">
        <f>AVERAGE(E67,J67,O67)</f>
        <v>112.9677312508055</v>
      </c>
      <c r="W67">
        <f>_xlfn.STDEV.P(D67,I67,N67)</f>
        <v>1.3672873065089846</v>
      </c>
      <c r="X67">
        <f>_xlfn.STDEV.P(E67,J67,O67)</f>
        <v>7.0666751607900311</v>
      </c>
    </row>
    <row r="68" spans="1:24" x14ac:dyDescent="0.2">
      <c r="A68" s="3">
        <v>423.78100000000001</v>
      </c>
      <c r="B68" s="5">
        <v>7.9289200000000001E-4</v>
      </c>
      <c r="C68" s="5">
        <v>1.9001099999999999E-4</v>
      </c>
      <c r="D68">
        <f>B68/$B$3*100</f>
        <v>100.99377141474226</v>
      </c>
      <c r="E68">
        <f>C68/$C$3*100</f>
        <v>109.39158769818881</v>
      </c>
      <c r="G68" s="5">
        <v>7.2163999999999996E-4</v>
      </c>
      <c r="H68" s="5">
        <v>1.6788799999999999E-4</v>
      </c>
      <c r="I68">
        <f>G68/$G$3*100</f>
        <v>104.22118623016354</v>
      </c>
      <c r="J68">
        <f>H68/$H$3*100</f>
        <v>108.73504705280406</v>
      </c>
      <c r="L68" s="5">
        <v>7.8591900000000005E-4</v>
      </c>
      <c r="M68" s="5">
        <v>2.0075900000000001E-4</v>
      </c>
      <c r="N68" s="4">
        <f>L68/$L$3*100</f>
        <v>103.65001721084137</v>
      </c>
      <c r="O68" s="4">
        <f>M68/$M$3*100</f>
        <v>123.93219376385107</v>
      </c>
      <c r="Q68">
        <f>AVERAGE(B68,G68,L68)</f>
        <v>7.6681699999999993E-4</v>
      </c>
      <c r="R68">
        <f>AVERAGE(C68,H68,M68)</f>
        <v>1.8621933333333332E-4</v>
      </c>
      <c r="T68">
        <f>AVERAGE(D68,I68,N68)</f>
        <v>102.95499161858238</v>
      </c>
      <c r="U68">
        <f>AVERAGE(E68,J68,O68)</f>
        <v>114.01960950494799</v>
      </c>
      <c r="W68">
        <f>_xlfn.STDEV.P(D68,I68,N68)</f>
        <v>1.4062591103400091</v>
      </c>
      <c r="X68">
        <f>_xlfn.STDEV.P(E68,J68,O68)</f>
        <v>7.0143783959402777</v>
      </c>
    </row>
    <row r="69" spans="1:24" x14ac:dyDescent="0.2">
      <c r="A69" s="3">
        <v>429.93200000000002</v>
      </c>
      <c r="B69" s="5">
        <v>7.9353599999999996E-4</v>
      </c>
      <c r="C69" s="5">
        <v>1.9037899999999999E-4</v>
      </c>
      <c r="D69">
        <f>B69/$B$3*100</f>
        <v>101.0758002267256</v>
      </c>
      <c r="E69">
        <f>C69/$C$3*100</f>
        <v>109.60344966551141</v>
      </c>
      <c r="G69" s="5">
        <v>7.2502000000000005E-4</v>
      </c>
      <c r="H69" s="5">
        <v>1.6782200000000001E-4</v>
      </c>
      <c r="I69">
        <f>G69/$G$3*100</f>
        <v>104.70933490465215</v>
      </c>
      <c r="J69">
        <f>H69/$H$3*100</f>
        <v>108.69230121566571</v>
      </c>
      <c r="L69" s="5">
        <v>7.8517699999999997E-4</v>
      </c>
      <c r="M69" s="5">
        <v>2.0158099999999999E-4</v>
      </c>
      <c r="N69" s="4">
        <f>L69/$L$3*100</f>
        <v>103.55215940008678</v>
      </c>
      <c r="O69" s="4">
        <f>M69/$M$3*100</f>
        <v>124.43962936212505</v>
      </c>
      <c r="Q69">
        <f>AVERAGE(B69,G69,L69)</f>
        <v>7.6791099999999992E-4</v>
      </c>
      <c r="R69">
        <f>AVERAGE(C69,H69,M69)</f>
        <v>1.86594E-4</v>
      </c>
      <c r="T69">
        <f>AVERAGE(D69,I69,N69)</f>
        <v>103.11243151048818</v>
      </c>
      <c r="U69">
        <f>AVERAGE(E69,J69,O69)</f>
        <v>114.2451267477674</v>
      </c>
      <c r="W69">
        <f>_xlfn.STDEV.P(D69,I69,N69)</f>
        <v>1.5156217704497439</v>
      </c>
      <c r="X69">
        <f>_xlfn.STDEV.P(E69,J69,O69)</f>
        <v>7.2181927812079074</v>
      </c>
    </row>
    <row r="70" spans="1:24" x14ac:dyDescent="0.2">
      <c r="A70" s="3">
        <v>436.23500000000001</v>
      </c>
      <c r="B70" s="5">
        <v>7.9643300000000004E-4</v>
      </c>
      <c r="C70" s="5">
        <v>1.8909299999999999E-4</v>
      </c>
      <c r="D70">
        <f>B70/$B$3*100</f>
        <v>101.44480250671899</v>
      </c>
      <c r="E70">
        <f>C70/$C$3*100</f>
        <v>108.86308420361776</v>
      </c>
      <c r="G70" s="5">
        <v>7.2723700000000004E-4</v>
      </c>
      <c r="H70" s="5">
        <v>1.66572E-4</v>
      </c>
      <c r="I70">
        <f>G70/$G$3*100</f>
        <v>105.02951999676493</v>
      </c>
      <c r="J70">
        <f>H70/$H$3*100</f>
        <v>107.88272096683312</v>
      </c>
      <c r="L70" s="5">
        <v>7.8861100000000004E-4</v>
      </c>
      <c r="M70" s="5">
        <v>2.0287199999999999E-4</v>
      </c>
      <c r="N70" s="4">
        <f>L70/$L$3*100</f>
        <v>104.00504851347128</v>
      </c>
      <c r="O70" s="4">
        <f>M70/$M$3*100</f>
        <v>125.23658721780839</v>
      </c>
      <c r="Q70">
        <f>AVERAGE(B70,G70,L70)</f>
        <v>7.7076033333333337E-4</v>
      </c>
      <c r="R70">
        <f>AVERAGE(C70,H70,M70)</f>
        <v>1.8617899999999999E-4</v>
      </c>
      <c r="T70">
        <f>AVERAGE(D70,I70,N70)</f>
        <v>103.49312367231839</v>
      </c>
      <c r="U70">
        <f>AVERAGE(E70,J70,O70)</f>
        <v>113.99413079608642</v>
      </c>
      <c r="W70">
        <f>_xlfn.STDEV.P(D70,I70,N70)</f>
        <v>1.507558766815273</v>
      </c>
      <c r="X70">
        <f>_xlfn.STDEV.P(E70,J70,O70)</f>
        <v>7.959685831938673</v>
      </c>
    </row>
    <row r="71" spans="1:24" x14ac:dyDescent="0.2">
      <c r="A71" s="3">
        <v>449.41500000000002</v>
      </c>
      <c r="B71" s="5">
        <v>4.53307E-7</v>
      </c>
      <c r="C71" s="5">
        <v>2.0542399999999998E-5</v>
      </c>
      <c r="D71">
        <f>B71/$B$3*100</f>
        <v>5.7739494834987068E-2</v>
      </c>
      <c r="E71">
        <f>C71/$C$3*100</f>
        <v>11.826503471542562</v>
      </c>
      <c r="G71" s="5">
        <v>4.9053500000000002E-7</v>
      </c>
      <c r="H71" s="5">
        <v>1.88604E-5</v>
      </c>
      <c r="I71">
        <f>G71/$G$3*100</f>
        <v>7.0844381668717468E-2</v>
      </c>
      <c r="J71">
        <f>H71/$H$3*100</f>
        <v>12.215205860065673</v>
      </c>
      <c r="L71" s="5">
        <v>3.1944299999999998E-7</v>
      </c>
      <c r="M71" s="5">
        <v>1.9837500000000001E-5</v>
      </c>
      <c r="N71" s="4">
        <f>L71/$L$3*100</f>
        <v>4.2129370135959049E-2</v>
      </c>
      <c r="O71" s="4">
        <f>M71/$M$3*100</f>
        <v>12.246050706520734</v>
      </c>
      <c r="Q71">
        <f>AVERAGE(B71,G71,L71)</f>
        <v>4.21095E-7</v>
      </c>
      <c r="R71">
        <f>AVERAGE(C71,H71,M71)</f>
        <v>1.9746766666666669E-5</v>
      </c>
      <c r="T71">
        <f>AVERAGE(D71,I71,N71)</f>
        <v>5.6904415546554531E-2</v>
      </c>
      <c r="U71">
        <f>AVERAGE(E71,J71,O71)</f>
        <v>12.095920012709655</v>
      </c>
      <c r="W71">
        <f>_xlfn.STDEV.P(D71,I71,N71)</f>
        <v>1.1737716697185719E-2</v>
      </c>
      <c r="X71">
        <f>_xlfn.STDEV.P(E71,J71,O71)</f>
        <v>0.19092198341912595</v>
      </c>
    </row>
    <row r="72" spans="1:24" x14ac:dyDescent="0.2">
      <c r="A72" s="3">
        <v>455.67</v>
      </c>
      <c r="B72" s="5">
        <v>4.7394599999999997E-7</v>
      </c>
      <c r="C72" s="5">
        <v>2.0608300000000001E-5</v>
      </c>
      <c r="D72">
        <f>B72/$B$3*100</f>
        <v>6.036836541033512E-2</v>
      </c>
      <c r="E72">
        <f>C72/$C$3*100</f>
        <v>11.864442883625605</v>
      </c>
      <c r="G72" s="5">
        <v>4.8551599999999996E-7</v>
      </c>
      <c r="H72" s="5">
        <v>1.8865899999999998E-5</v>
      </c>
      <c r="I72">
        <f>G72/$G$3*100</f>
        <v>7.0119524213907311E-2</v>
      </c>
      <c r="J72">
        <f>H72/$H$3*100</f>
        <v>12.218768013160537</v>
      </c>
      <c r="L72" s="5">
        <v>3.3279400000000001E-7</v>
      </c>
      <c r="M72" s="5">
        <v>1.9891600000000001E-5</v>
      </c>
      <c r="N72" s="4">
        <f>L72/$L$3*100</f>
        <v>4.3890151310331908E-2</v>
      </c>
      <c r="O72" s="4">
        <f>M72/$M$3*100</f>
        <v>12.279447623633413</v>
      </c>
      <c r="Q72">
        <f>AVERAGE(B72,G72,L72)</f>
        <v>4.3075199999999997E-7</v>
      </c>
      <c r="R72">
        <f>AVERAGE(C72,H72,M72)</f>
        <v>1.9788599999999999E-5</v>
      </c>
      <c r="T72">
        <f>AVERAGE(D72,I72,N72)</f>
        <v>5.8126013644858116E-2</v>
      </c>
      <c r="U72">
        <f>AVERAGE(E72,J72,O72)</f>
        <v>12.120886173473187</v>
      </c>
      <c r="W72">
        <f>_xlfn.STDEV.P(D72,I72,N72)</f>
        <v>1.0824851247901958E-2</v>
      </c>
      <c r="X72">
        <f>_xlfn.STDEV.P(E72,J72,O72)</f>
        <v>0.18301707472741868</v>
      </c>
    </row>
    <row r="73" spans="1:24" x14ac:dyDescent="0.2">
      <c r="A73" s="3">
        <v>461.959</v>
      </c>
      <c r="B73" s="5">
        <v>4.6608400000000001E-7</v>
      </c>
      <c r="C73" s="5">
        <v>2.0531799999999999E-5</v>
      </c>
      <c r="D73">
        <f>B73/$B$3*100</f>
        <v>5.9366951559693799E-2</v>
      </c>
      <c r="E73">
        <f>C73/$C$3*100</f>
        <v>11.820400925744682</v>
      </c>
      <c r="G73" s="5">
        <v>4.7164200000000001E-7</v>
      </c>
      <c r="H73" s="5">
        <v>1.87942E-5</v>
      </c>
      <c r="I73">
        <f>G73/$G$3*100</f>
        <v>6.8115803885547915E-2</v>
      </c>
      <c r="J73">
        <f>H73/$H$3*100</f>
        <v>12.172330490087498</v>
      </c>
      <c r="L73" s="5">
        <v>3.2034599999999998E-7</v>
      </c>
      <c r="M73" s="5">
        <v>1.9805300000000002E-5</v>
      </c>
      <c r="N73" s="4">
        <f>L73/$L$3*100</f>
        <v>4.2248461245273608E-2</v>
      </c>
      <c r="O73" s="4">
        <f>M73/$M$3*100</f>
        <v>12.226173058997105</v>
      </c>
      <c r="Q73">
        <f>AVERAGE(B73,G73,L73)</f>
        <v>4.1935733333333333E-7</v>
      </c>
      <c r="R73">
        <f>AVERAGE(C73,H73,M73)</f>
        <v>1.971043333333333E-5</v>
      </c>
      <c r="T73">
        <f>AVERAGE(D73,I73,N73)</f>
        <v>5.6577072230171777E-2</v>
      </c>
      <c r="U73">
        <f>AVERAGE(E73,J73,O73)</f>
        <v>12.07296815827643</v>
      </c>
      <c r="W73">
        <f>_xlfn.STDEV.P(D73,I73,N73)</f>
        <v>1.0742979841810146E-2</v>
      </c>
      <c r="X73">
        <f>_xlfn.STDEV.P(E73,J73,O73)</f>
        <v>0.179939639450299</v>
      </c>
    </row>
    <row r="74" spans="1:24" x14ac:dyDescent="0.2">
      <c r="A74" s="3">
        <v>468.24799999999999</v>
      </c>
      <c r="B74" s="5">
        <v>4.5446299999999998E-7</v>
      </c>
      <c r="C74" s="5">
        <v>2.0460100000000001E-5</v>
      </c>
      <c r="D74">
        <f>B74/$B$3*100</f>
        <v>5.7886739099975798E-2</v>
      </c>
      <c r="E74">
        <f>C74/$C$3*100</f>
        <v>11.779122384828842</v>
      </c>
      <c r="G74" s="5">
        <v>4.4111699999999999E-7</v>
      </c>
      <c r="H74" s="5">
        <v>1.8686300000000001E-5</v>
      </c>
      <c r="I74">
        <f>G74/$G$3*100</f>
        <v>6.3707301433250721E-2</v>
      </c>
      <c r="J74">
        <f>H74/$H$3*100</f>
        <v>12.102447523008271</v>
      </c>
      <c r="L74" s="5">
        <v>3.0693899999999999E-7</v>
      </c>
      <c r="M74" s="5">
        <v>1.9741999999999998E-5</v>
      </c>
      <c r="N74" s="4">
        <f>L74/$L$3*100</f>
        <v>4.0480294575749462E-2</v>
      </c>
      <c r="O74" s="4">
        <f>M74/$M$3*100</f>
        <v>12.187096814020531</v>
      </c>
      <c r="Q74">
        <f>AVERAGE(B74,G74,L74)</f>
        <v>4.0083966666666669E-7</v>
      </c>
      <c r="R74">
        <f>AVERAGE(C74,H74,M74)</f>
        <v>1.9629466666666666E-5</v>
      </c>
      <c r="T74">
        <f>AVERAGE(D74,I74,N74)</f>
        <v>5.402477836965866E-2</v>
      </c>
      <c r="U74">
        <f>AVERAGE(E74,J74,O74)</f>
        <v>12.02288890728588</v>
      </c>
      <c r="W74">
        <f>_xlfn.STDEV.P(D74,I74,N74)</f>
        <v>9.8677764263785141E-3</v>
      </c>
      <c r="X74">
        <f>_xlfn.STDEV.P(E74,J74,O74)</f>
        <v>0.17579905900453199</v>
      </c>
    </row>
    <row r="75" spans="1:24" x14ac:dyDescent="0.2">
      <c r="A75" s="3">
        <v>474.43900000000002</v>
      </c>
      <c r="B75" s="5">
        <v>4.4525100000000002E-7</v>
      </c>
      <c r="C75" s="5">
        <v>2.04195E-5</v>
      </c>
      <c r="D75">
        <f>B75/$B$3*100</f>
        <v>5.6713370441605418E-2</v>
      </c>
      <c r="E75">
        <f>C75/$C$3*100</f>
        <v>11.755748482999229</v>
      </c>
      <c r="G75" s="5">
        <v>4.1388100000000003E-7</v>
      </c>
      <c r="H75" s="5">
        <v>1.8592899999999999E-5</v>
      </c>
      <c r="I75">
        <f>G75/$G$3*100</f>
        <v>5.977380519112898E-2</v>
      </c>
      <c r="J75">
        <f>H75/$H$3*100</f>
        <v>12.041955686815498</v>
      </c>
      <c r="L75" s="5">
        <v>2.9210399999999998E-7</v>
      </c>
      <c r="M75" s="5">
        <v>1.9686599999999999E-5</v>
      </c>
      <c r="N75" s="4">
        <f>L75/$L$3*100</f>
        <v>3.8523797779867398E-2</v>
      </c>
      <c r="O75" s="4">
        <f>M75/$M$3*100</f>
        <v>12.152897383187954</v>
      </c>
      <c r="Q75">
        <f>AVERAGE(B75,G75,L75)</f>
        <v>3.8374533333333334E-7</v>
      </c>
      <c r="R75">
        <f>AVERAGE(C75,H75,M75)</f>
        <v>1.9566333333333333E-5</v>
      </c>
      <c r="T75">
        <f>AVERAGE(D75,I75,N75)</f>
        <v>5.1670324470867258E-2</v>
      </c>
      <c r="U75">
        <f>AVERAGE(E75,J75,O75)</f>
        <v>11.983533851000894</v>
      </c>
      <c r="W75">
        <f>_xlfn.STDEV.P(D75,I75,N75)</f>
        <v>9.379585571580534E-3</v>
      </c>
      <c r="X75">
        <f>_xlfn.STDEV.P(E75,J75,O75)</f>
        <v>0.16731536172796554</v>
      </c>
    </row>
    <row r="76" spans="1:24" x14ac:dyDescent="0.2">
      <c r="A76" s="3">
        <v>480.51799999999997</v>
      </c>
      <c r="B76" s="5">
        <v>4.4713800000000002E-7</v>
      </c>
      <c r="C76" s="5">
        <v>2.0398799999999999E-5</v>
      </c>
      <c r="D76">
        <f>B76/$B$3*100</f>
        <v>5.6953725050631142E-2</v>
      </c>
      <c r="E76">
        <f>C76/$C$3*100</f>
        <v>11.743831247337333</v>
      </c>
      <c r="G76" s="5">
        <v>3.96278E-7</v>
      </c>
      <c r="H76" s="5">
        <v>1.85265E-5</v>
      </c>
      <c r="I76">
        <f>G76/$G$3*100</f>
        <v>5.7231532671299747E-2</v>
      </c>
      <c r="J76">
        <f>H76/$H$3*100</f>
        <v>11.998950783997513</v>
      </c>
      <c r="L76" s="5">
        <v>2.8193799999999999E-7</v>
      </c>
      <c r="M76" s="5">
        <v>1.963E-5</v>
      </c>
      <c r="N76" s="4">
        <f>L76/$L$3*100</f>
        <v>3.7183066642224191E-2</v>
      </c>
      <c r="O76" s="4">
        <f>M76/$M$3*100</f>
        <v>12.117957170460087</v>
      </c>
      <c r="Q76">
        <f>AVERAGE(B76,G76,L76)</f>
        <v>3.7511800000000004E-7</v>
      </c>
      <c r="R76">
        <f>AVERAGE(C76,H76,M76)</f>
        <v>1.9518433333333333E-5</v>
      </c>
      <c r="T76">
        <f>AVERAGE(D76,I76,N76)</f>
        <v>5.0456108121385033E-2</v>
      </c>
      <c r="U76">
        <f>AVERAGE(E76,J76,O76)</f>
        <v>11.953579733931646</v>
      </c>
      <c r="W76">
        <f>_xlfn.STDEV.P(D76,I76,N76)</f>
        <v>9.3861428659191715E-3</v>
      </c>
      <c r="X76">
        <f>_xlfn.STDEV.P(E76,J76,O76)</f>
        <v>0.15606932375533841</v>
      </c>
    </row>
    <row r="77" spans="1:24" x14ac:dyDescent="0.2">
      <c r="A77" s="3">
        <v>486.79199999999997</v>
      </c>
      <c r="B77" s="5">
        <v>4.3782500000000002E-7</v>
      </c>
      <c r="C77" s="5">
        <v>2.03456E-5</v>
      </c>
      <c r="D77">
        <f>B77/$B$3*100</f>
        <v>5.5767491625163999E-2</v>
      </c>
      <c r="E77">
        <f>C77/$C$3*100</f>
        <v>11.713203375974393</v>
      </c>
      <c r="G77" s="5">
        <v>3.8068899999999998E-7</v>
      </c>
      <c r="H77" s="5">
        <v>1.8461499999999999E-5</v>
      </c>
      <c r="I77">
        <f>G77/$G$3*100</f>
        <v>5.4980127438577032E-2</v>
      </c>
      <c r="J77">
        <f>H77/$H$3*100</f>
        <v>11.956852611058217</v>
      </c>
      <c r="L77" s="5">
        <v>2.6631899999999999E-7</v>
      </c>
      <c r="M77" s="5">
        <v>1.95867E-5</v>
      </c>
      <c r="N77" s="4">
        <f>L77/$L$3*100</f>
        <v>3.5123172914224066E-2</v>
      </c>
      <c r="O77" s="4">
        <f>M77/$M$3*100</f>
        <v>12.091227290405023</v>
      </c>
      <c r="Q77">
        <f>AVERAGE(B77,G77,L77)</f>
        <v>3.6161099999999999E-7</v>
      </c>
      <c r="R77">
        <f>AVERAGE(C77,H77,M77)</f>
        <v>1.94646E-5</v>
      </c>
      <c r="T77">
        <f>AVERAGE(D77,I77,N77)</f>
        <v>4.8623597325988366E-2</v>
      </c>
      <c r="U77">
        <f>AVERAGE(E77,J77,O77)</f>
        <v>11.920427759145879</v>
      </c>
      <c r="W77">
        <f>_xlfn.STDEV.P(D77,I77,N77)</f>
        <v>9.551651866349313E-3</v>
      </c>
      <c r="X77">
        <f>_xlfn.STDEV.P(E77,J77,O77)</f>
        <v>0.15646213034467454</v>
      </c>
    </row>
    <row r="78" spans="1:24" x14ac:dyDescent="0.2">
      <c r="A78" s="3">
        <v>493.08600000000001</v>
      </c>
      <c r="B78" s="5">
        <v>4.2826899999999998E-7</v>
      </c>
      <c r="C78" s="5">
        <v>2.02912E-5</v>
      </c>
      <c r="D78">
        <f>B78/$B$3*100</f>
        <v>5.4550306334305618E-2</v>
      </c>
      <c r="E78">
        <f>C78/$C$3*100</f>
        <v>11.681884650370183</v>
      </c>
      <c r="G78" s="5">
        <v>3.66584E-7</v>
      </c>
      <c r="H78" s="5">
        <v>1.8416399999999999E-5</v>
      </c>
      <c r="I78">
        <f>G78/$G$3*100</f>
        <v>5.2943045470038065E-2</v>
      </c>
      <c r="J78">
        <f>H78/$H$3*100</f>
        <v>11.927642955680339</v>
      </c>
      <c r="L78" s="5">
        <v>2.4928000000000002E-7</v>
      </c>
      <c r="M78" s="5">
        <v>1.9542500000000001E-5</v>
      </c>
      <c r="N78" s="4">
        <f>L78/$L$3*100</f>
        <v>3.2876004130601932E-2</v>
      </c>
      <c r="O78" s="4">
        <f>M78/$M$3*100</f>
        <v>12.063941823928491</v>
      </c>
      <c r="Q78">
        <f>AVERAGE(B78,G78,L78)</f>
        <v>3.4804433333333333E-7</v>
      </c>
      <c r="R78">
        <f>AVERAGE(C78,H78,M78)</f>
        <v>1.94167E-5</v>
      </c>
      <c r="T78">
        <f>AVERAGE(D78,I78,N78)</f>
        <v>4.6789785311648541E-2</v>
      </c>
      <c r="U78">
        <f>AVERAGE(E78,J78,O78)</f>
        <v>11.891156476659669</v>
      </c>
      <c r="W78">
        <f>_xlfn.STDEV.P(D78,I78,N78)</f>
        <v>9.8603854534862773E-3</v>
      </c>
      <c r="X78">
        <f>_xlfn.STDEV.P(E78,J78,O78)</f>
        <v>0.15809357636188162</v>
      </c>
    </row>
    <row r="79" spans="1:24" x14ac:dyDescent="0.2">
      <c r="A79" s="3">
        <v>499.2</v>
      </c>
      <c r="B79" s="5">
        <v>4.1592199999999998E-7</v>
      </c>
      <c r="C79" s="5">
        <v>2.0241199999999999E-5</v>
      </c>
      <c r="D79">
        <f>B79/$B$3*100</f>
        <v>5.297762040020889E-2</v>
      </c>
      <c r="E79">
        <f>C79/$C$3*100</f>
        <v>11.65309905698396</v>
      </c>
      <c r="G79" s="5">
        <v>3.5836500000000002E-7</v>
      </c>
      <c r="H79" s="5">
        <v>1.8387199999999999E-5</v>
      </c>
      <c r="I79">
        <f>G79/$G$3*100</f>
        <v>5.1756035423996115E-2</v>
      </c>
      <c r="J79">
        <f>H79/$H$3*100</f>
        <v>11.90873116106761</v>
      </c>
      <c r="L79" s="5">
        <v>2.31823E-7</v>
      </c>
      <c r="M79" s="5">
        <v>1.9488300000000001E-5</v>
      </c>
      <c r="N79" s="4">
        <f>L79/$L$3*100</f>
        <v>3.0573707901029087E-2</v>
      </c>
      <c r="O79" s="4">
        <f>M79/$M$3*100</f>
        <v>12.030483174991204</v>
      </c>
      <c r="Q79">
        <f>AVERAGE(B79,G79,L79)</f>
        <v>3.3537000000000002E-7</v>
      </c>
      <c r="R79">
        <f>AVERAGE(C79,H79,M79)</f>
        <v>1.9372233333333334E-5</v>
      </c>
      <c r="T79">
        <f>AVERAGE(D79,I79,N79)</f>
        <v>4.5102454575078027E-2</v>
      </c>
      <c r="U79">
        <f>AVERAGE(E79,J79,O79)</f>
        <v>11.864104464347591</v>
      </c>
      <c r="W79">
        <f>_xlfn.STDEV.P(D79,I79,N79)</f>
        <v>1.0285472842883572E-2</v>
      </c>
      <c r="X79">
        <f>_xlfn.STDEV.P(E79,J79,O79)</f>
        <v>0.15726485022859116</v>
      </c>
    </row>
    <row r="80" spans="1:24" x14ac:dyDescent="0.2">
      <c r="A80" s="3">
        <v>505.45100000000002</v>
      </c>
      <c r="B80" s="5">
        <v>4.0254800000000001E-7</v>
      </c>
      <c r="C80" s="5">
        <v>2.0191600000000002E-5</v>
      </c>
      <c r="D80">
        <f>B80/$B$3*100</f>
        <v>5.1274121438306439E-2</v>
      </c>
      <c r="E80">
        <f>C80/$C$3*100</f>
        <v>11.624543748344831</v>
      </c>
      <c r="G80" s="5">
        <v>3.51669E-7</v>
      </c>
      <c r="H80" s="5">
        <v>1.8365200000000002E-5</v>
      </c>
      <c r="I80">
        <f>G80/$G$3*100</f>
        <v>5.0788981126843553E-2</v>
      </c>
      <c r="J80">
        <f>H80/$H$3*100</f>
        <v>11.894482548688156</v>
      </c>
      <c r="L80" s="5">
        <v>2.2280899999999999E-7</v>
      </c>
      <c r="M80" s="5">
        <v>1.94463E-5</v>
      </c>
      <c r="N80" s="4">
        <f>L80/$L$3*100</f>
        <v>2.9384906949355284E-2</v>
      </c>
      <c r="O80" s="4">
        <f>M80/$M$3*100</f>
        <v>12.004555808656036</v>
      </c>
      <c r="Q80">
        <f>AVERAGE(B80,G80,L80)</f>
        <v>3.2567533333333335E-7</v>
      </c>
      <c r="R80">
        <f>AVERAGE(C80,H80,M80)</f>
        <v>1.9334366666666666E-5</v>
      </c>
      <c r="T80">
        <f>AVERAGE(D80,I80,N80)</f>
        <v>4.3816003171501756E-2</v>
      </c>
      <c r="U80">
        <f>AVERAGE(E80,J80,O80)</f>
        <v>11.841194035229675</v>
      </c>
      <c r="W80">
        <f>_xlfn.STDEV.P(D80,I80,N80)</f>
        <v>1.020624788744909E-2</v>
      </c>
      <c r="X80">
        <f>_xlfn.STDEV.P(E80,J80,O80)</f>
        <v>0.15964970142043891</v>
      </c>
    </row>
    <row r="81" spans="1:24" x14ac:dyDescent="0.2">
      <c r="A81" s="3">
        <v>518.71</v>
      </c>
      <c r="B81" s="5">
        <v>6.55139E-4</v>
      </c>
      <c r="C81" s="5">
        <v>1.72129E-4</v>
      </c>
      <c r="D81">
        <f>B81/$B$3*100</f>
        <v>83.447630208001627</v>
      </c>
      <c r="E81">
        <f>C81/$C$3*100</f>
        <v>99.096708079540363</v>
      </c>
      <c r="G81" s="5">
        <v>5.9209599999999996E-4</v>
      </c>
      <c r="H81" s="5">
        <v>1.5762299999999999E-4</v>
      </c>
      <c r="I81">
        <f>G81/$G$3*100</f>
        <v>85.512093955621793</v>
      </c>
      <c r="J81">
        <f>H81/$H$3*100</f>
        <v>102.08677404939085</v>
      </c>
      <c r="L81" s="5">
        <v>6.2749099999999999E-4</v>
      </c>
      <c r="M81" s="5">
        <v>1.77424E-4</v>
      </c>
      <c r="N81" s="4">
        <f>L81/$L$3*100</f>
        <v>82.755923892472467</v>
      </c>
      <c r="O81" s="4">
        <f>M81/$M$3*100</f>
        <v>109.52707249168164</v>
      </c>
      <c r="Q81">
        <f>AVERAGE(B81,G81,L81)</f>
        <v>6.2490866666666661E-4</v>
      </c>
      <c r="R81">
        <f>AVERAGE(C81,H81,M81)</f>
        <v>1.6905866666666667E-4</v>
      </c>
      <c r="T81">
        <f>AVERAGE(D81,I81,N81)</f>
        <v>83.905216018698638</v>
      </c>
      <c r="U81">
        <f>AVERAGE(E81,J81,O81)</f>
        <v>103.57018487353763</v>
      </c>
      <c r="W81">
        <f>_xlfn.STDEV.P(D81,I81,N81)</f>
        <v>1.1707994234321453</v>
      </c>
      <c r="X81">
        <f>_xlfn.STDEV.P(E81,J81,O81)</f>
        <v>4.385468899096395</v>
      </c>
    </row>
    <row r="82" spans="1:24" x14ac:dyDescent="0.2">
      <c r="A82" s="3">
        <v>524.85799999999995</v>
      </c>
      <c r="B82" s="5">
        <v>6.7531399999999999E-4</v>
      </c>
      <c r="C82" s="5">
        <v>1.79929E-4</v>
      </c>
      <c r="D82">
        <f>B82/$B$3*100</f>
        <v>86.01739927906354</v>
      </c>
      <c r="E82">
        <f>C82/$C$3*100</f>
        <v>103.587260647791</v>
      </c>
      <c r="G82" s="5">
        <v>6.1038200000000003E-4</v>
      </c>
      <c r="H82" s="5">
        <v>1.6259600000000001E-4</v>
      </c>
      <c r="I82">
        <f>G82/$G$3*100</f>
        <v>88.153007169142072</v>
      </c>
      <c r="J82">
        <f>H82/$H$3*100</f>
        <v>105.30760811134643</v>
      </c>
      <c r="L82" s="5">
        <v>6.4931400000000001E-4</v>
      </c>
      <c r="M82" s="5">
        <v>1.7377199999999999E-4</v>
      </c>
      <c r="N82" s="4">
        <f>L82/$L$3*100</f>
        <v>85.634024976161996</v>
      </c>
      <c r="O82" s="4">
        <f>M82/$M$3*100</f>
        <v>107.27262625701428</v>
      </c>
      <c r="Q82">
        <f>AVERAGE(B82,G82,L82)</f>
        <v>6.4500333333333338E-4</v>
      </c>
      <c r="R82">
        <f>AVERAGE(C82,H82,M82)</f>
        <v>1.7209899999999999E-4</v>
      </c>
      <c r="T82">
        <f>AVERAGE(D82,I82,N82)</f>
        <v>86.60147714145586</v>
      </c>
      <c r="U82">
        <f>AVERAGE(E82,J82,O82)</f>
        <v>105.3891650053839</v>
      </c>
      <c r="W82">
        <f>_xlfn.STDEV.P(D82,I82,N82)</f>
        <v>1.1082051657643761</v>
      </c>
      <c r="X82">
        <f>_xlfn.STDEV.P(E82,J82,O82)</f>
        <v>1.5056490435767127</v>
      </c>
    </row>
    <row r="83" spans="1:24" x14ac:dyDescent="0.2">
      <c r="A83" s="3">
        <v>531.15700000000004</v>
      </c>
      <c r="B83" s="5">
        <v>6.8971600000000005E-4</v>
      </c>
      <c r="C83" s="5">
        <v>1.76699E-4</v>
      </c>
      <c r="D83">
        <f>B83/$B$3*100</f>
        <v>87.851838642703399</v>
      </c>
      <c r="E83">
        <f>C83/$C$3*100</f>
        <v>101.72771131504106</v>
      </c>
      <c r="G83" s="5">
        <v>6.2334200000000004E-4</v>
      </c>
      <c r="H83" s="5">
        <v>1.5952100000000001E-4</v>
      </c>
      <c r="I83">
        <f>G83/$G$3*100</f>
        <v>90.024725163630904</v>
      </c>
      <c r="J83">
        <f>H83/$H$3*100</f>
        <v>103.31604069921826</v>
      </c>
      <c r="L83" s="5">
        <v>6.6525999999999998E-4</v>
      </c>
      <c r="M83" s="5">
        <v>1.7303899999999999E-4</v>
      </c>
      <c r="N83" s="4">
        <f>L83/$L$3*100</f>
        <v>87.73704472049198</v>
      </c>
      <c r="O83" s="4">
        <f>M83/$M$3*100</f>
        <v>106.820131982641</v>
      </c>
      <c r="Q83">
        <f>AVERAGE(B83,G83,L83)</f>
        <v>6.5943933333333343E-4</v>
      </c>
      <c r="R83">
        <f>AVERAGE(C83,H83,M83)</f>
        <v>1.69753E-4</v>
      </c>
      <c r="T83">
        <f>AVERAGE(D83,I83,N83)</f>
        <v>88.537869508942094</v>
      </c>
      <c r="U83">
        <f>AVERAGE(E83,J83,O83)</f>
        <v>103.95462799896677</v>
      </c>
      <c r="W83">
        <f>_xlfn.STDEV.P(D83,I83,N83)</f>
        <v>1.0524096840281159</v>
      </c>
      <c r="X83">
        <f>_xlfn.STDEV.P(E83,J83,O83)</f>
        <v>2.1274448474637087</v>
      </c>
    </row>
    <row r="84" spans="1:24" x14ac:dyDescent="0.2">
      <c r="A84" s="3">
        <v>537.36500000000001</v>
      </c>
      <c r="B84" s="5">
        <v>7.0347200000000002E-4</v>
      </c>
      <c r="C84" s="5">
        <v>1.7453E-4</v>
      </c>
      <c r="D84">
        <f>B84/$B$3*100</f>
        <v>89.603994446496586</v>
      </c>
      <c r="E84">
        <f>C84/$C$3*100</f>
        <v>100.47899227394674</v>
      </c>
      <c r="G84" s="5">
        <v>6.34977E-4</v>
      </c>
      <c r="H84" s="5">
        <v>1.55181E-4</v>
      </c>
      <c r="I84">
        <f>G84/$G$3*100</f>
        <v>91.705083100812814</v>
      </c>
      <c r="J84">
        <f>H84/$H$3*100</f>
        <v>100.50517807527153</v>
      </c>
      <c r="L84" s="5">
        <v>6.7702300000000001E-4</v>
      </c>
      <c r="M84" s="5">
        <v>1.72936E-4</v>
      </c>
      <c r="N84" s="4">
        <f>L84/$L$3*100</f>
        <v>89.288394353788959</v>
      </c>
      <c r="O84" s="4">
        <f>M84/$M$3*100</f>
        <v>106.75654820329525</v>
      </c>
      <c r="Q84">
        <f>AVERAGE(B84,G84,L84)</f>
        <v>6.7182400000000001E-4</v>
      </c>
      <c r="R84">
        <f>AVERAGE(C84,H84,M84)</f>
        <v>1.6754899999999999E-4</v>
      </c>
      <c r="T84">
        <f>AVERAGE(D84,I84,N84)</f>
        <v>90.199157300366139</v>
      </c>
      <c r="U84">
        <f>AVERAGE(E84,J84,O84)</f>
        <v>102.58023951750452</v>
      </c>
      <c r="W84">
        <f>_xlfn.STDEV.P(D84,I84,N84)</f>
        <v>1.0726168132088703</v>
      </c>
      <c r="X84">
        <f>_xlfn.STDEV.P(E84,J84,O84)</f>
        <v>2.9531155416278767</v>
      </c>
    </row>
    <row r="85" spans="1:24" x14ac:dyDescent="0.2">
      <c r="A85" s="3">
        <v>543.48299999999995</v>
      </c>
      <c r="B85" s="5">
        <v>7.1615199999999996E-4</v>
      </c>
      <c r="C85" s="5">
        <v>1.7053899999999999E-4</v>
      </c>
      <c r="D85">
        <f>B85/$B$3*100</f>
        <v>91.219095899833135</v>
      </c>
      <c r="E85">
        <f>C85/$C$3*100</f>
        <v>98.181326209858483</v>
      </c>
      <c r="G85" s="5">
        <v>6.4529599999999996E-4</v>
      </c>
      <c r="H85" s="5">
        <v>1.5550000000000001E-4</v>
      </c>
      <c r="I85">
        <f>G85/$G$3*100</f>
        <v>93.195380784850641</v>
      </c>
      <c r="J85">
        <f>H85/$H$3*100</f>
        <v>100.71178295477361</v>
      </c>
      <c r="L85" s="5">
        <v>6.8729100000000003E-4</v>
      </c>
      <c r="M85" s="5">
        <v>1.7285600000000001E-4</v>
      </c>
      <c r="N85" s="4">
        <f>L85/$L$3*100</f>
        <v>90.642577643314866</v>
      </c>
      <c r="O85" s="4">
        <f>M85/$M$3*100</f>
        <v>106.70716274360923</v>
      </c>
      <c r="Q85">
        <f>AVERAGE(B85,G85,L85)</f>
        <v>6.8291299999999994E-4</v>
      </c>
      <c r="R85">
        <f>AVERAGE(C85,H85,M85)</f>
        <v>1.6629833333333332E-4</v>
      </c>
      <c r="T85">
        <f>AVERAGE(D85,I85,N85)</f>
        <v>91.685684775999562</v>
      </c>
      <c r="U85">
        <f>AVERAGE(E85,J85,O85)</f>
        <v>101.8667573027471</v>
      </c>
      <c r="W85">
        <f>_xlfn.STDEV.P(D85,I85,N85)</f>
        <v>1.0931544125085617</v>
      </c>
      <c r="X85">
        <f>_xlfn.STDEV.P(E85,J85,O85)</f>
        <v>3.5751873105631216</v>
      </c>
    </row>
    <row r="86" spans="1:24" x14ac:dyDescent="0.2">
      <c r="A86" s="3">
        <v>549.77599999999995</v>
      </c>
      <c r="B86" s="5">
        <v>7.2515299999999997E-4</v>
      </c>
      <c r="C86" s="5">
        <v>1.7278500000000001E-4</v>
      </c>
      <c r="D86">
        <f>B86/$B$3*100</f>
        <v>92.365588658625114</v>
      </c>
      <c r="E86">
        <f>C86/$C$3*100</f>
        <v>99.474375064767599</v>
      </c>
      <c r="G86" s="5">
        <v>6.5461100000000004E-4</v>
      </c>
      <c r="H86" s="5">
        <v>1.5618699999999999E-4</v>
      </c>
      <c r="I86">
        <f>G86/$G$3*100</f>
        <v>94.540678093389502</v>
      </c>
      <c r="J86">
        <f>H86/$H$3*100</f>
        <v>101.15672825953199</v>
      </c>
      <c r="L86" s="5">
        <v>6.9482699999999997E-4</v>
      </c>
      <c r="M86" s="5">
        <v>1.7571899999999999E-4</v>
      </c>
      <c r="N86" s="4">
        <f>L86/$L$3*100</f>
        <v>91.636454276531396</v>
      </c>
      <c r="O86" s="4">
        <f>M86/$M$3*100</f>
        <v>108.47454488212307</v>
      </c>
      <c r="Q86">
        <f>AVERAGE(B86,G86,L86)</f>
        <v>6.9153033333333325E-4</v>
      </c>
      <c r="R86">
        <f>AVERAGE(C86,H86,M86)</f>
        <v>1.682303333333333E-4</v>
      </c>
      <c r="T86">
        <f>AVERAGE(D86,I86,N86)</f>
        <v>92.847573676181995</v>
      </c>
      <c r="U86">
        <f>AVERAGE(E86,J86,O86)</f>
        <v>103.03521606880754</v>
      </c>
      <c r="W86">
        <f>_xlfn.STDEV.P(D86,I86,N86)</f>
        <v>1.2336561277934392</v>
      </c>
      <c r="X86">
        <f>_xlfn.STDEV.P(E86,J86,O86)</f>
        <v>3.9070279857803918</v>
      </c>
    </row>
    <row r="87" spans="1:24" x14ac:dyDescent="0.2">
      <c r="A87" s="3">
        <v>555.86800000000005</v>
      </c>
      <c r="B87" s="5">
        <v>7.3241400000000003E-4</v>
      </c>
      <c r="C87" s="5">
        <v>1.7327E-4</v>
      </c>
      <c r="D87">
        <f>B87/$B$3*100</f>
        <v>93.290450776344116</v>
      </c>
      <c r="E87">
        <f>C87/$C$3*100</f>
        <v>99.75359532061394</v>
      </c>
      <c r="G87" s="5">
        <v>6.6023199999999996E-4</v>
      </c>
      <c r="H87" s="5">
        <v>1.58319E-4</v>
      </c>
      <c r="I87">
        <f>G87/$G$3*100</f>
        <v>95.352478004425095</v>
      </c>
      <c r="J87">
        <f>H87/$H$3*100</f>
        <v>102.53754833194087</v>
      </c>
      <c r="L87" s="5">
        <v>7.0173000000000002E-4</v>
      </c>
      <c r="M87" s="5">
        <v>1.7446900000000001E-4</v>
      </c>
      <c r="N87" s="4">
        <f>L87/$L$3*100</f>
        <v>92.546848437769953</v>
      </c>
      <c r="O87" s="4">
        <f>M87/$M$3*100</f>
        <v>107.70289707452885</v>
      </c>
      <c r="Q87">
        <f>AVERAGE(B87,G87,L87)</f>
        <v>6.9812533333333344E-4</v>
      </c>
      <c r="R87">
        <f>AVERAGE(C87,H87,M87)</f>
        <v>1.68686E-4</v>
      </c>
      <c r="T87">
        <f>AVERAGE(D87,I87,N87)</f>
        <v>93.729925739513064</v>
      </c>
      <c r="U87">
        <f>AVERAGE(E87,J87,O87)</f>
        <v>103.33134690902789</v>
      </c>
      <c r="W87">
        <f>_xlfn.STDEV.P(D87,I87,N87)</f>
        <v>1.1868004602744964</v>
      </c>
      <c r="X87">
        <f>_xlfn.STDEV.P(E87,J87,O87)</f>
        <v>3.2934720007349583</v>
      </c>
    </row>
    <row r="88" spans="1:24" x14ac:dyDescent="0.2">
      <c r="A88" s="3">
        <v>562.19299999999998</v>
      </c>
      <c r="B88" s="5">
        <v>7.3719900000000001E-4</v>
      </c>
      <c r="C88" s="5">
        <v>1.74661E-4</v>
      </c>
      <c r="D88">
        <f>B88/$B$3*100</f>
        <v>93.89993503929486</v>
      </c>
      <c r="E88">
        <f>C88/$C$3*100</f>
        <v>100.55441052861865</v>
      </c>
      <c r="G88" s="5">
        <v>6.6656500000000004E-4</v>
      </c>
      <c r="H88" s="5">
        <v>1.6113E-4</v>
      </c>
      <c r="I88">
        <f>G88/$G$3*100</f>
        <v>96.267106867009815</v>
      </c>
      <c r="J88">
        <f>H88/$H$3*100</f>
        <v>104.35813239551557</v>
      </c>
      <c r="L88" s="5">
        <v>7.0716400000000003E-4</v>
      </c>
      <c r="M88" s="5">
        <v>1.7191900000000001E-4</v>
      </c>
      <c r="N88" s="4">
        <f>L88/$L$3*100</f>
        <v>93.263505235129102</v>
      </c>
      <c r="O88" s="4">
        <f>M88/$M$3*100</f>
        <v>106.12873554703657</v>
      </c>
      <c r="Q88">
        <f>AVERAGE(B88,G88,L88)</f>
        <v>7.0364266666666673E-4</v>
      </c>
      <c r="R88">
        <f>AVERAGE(C88,H88,M88)</f>
        <v>1.6923666666666666E-4</v>
      </c>
      <c r="T88">
        <f>AVERAGE(D88,I88,N88)</f>
        <v>94.476849047144597</v>
      </c>
      <c r="U88">
        <f>AVERAGE(E88,J88,O88)</f>
        <v>103.68042615705694</v>
      </c>
      <c r="W88">
        <f>_xlfn.STDEV.P(D88,I88,N88)</f>
        <v>1.2922920258463386</v>
      </c>
      <c r="X88">
        <f>_xlfn.STDEV.P(E88,J88,O88)</f>
        <v>2.3256166439569403</v>
      </c>
    </row>
    <row r="89" spans="1:24" x14ac:dyDescent="0.2">
      <c r="A89" s="3">
        <v>568.33199999999999</v>
      </c>
      <c r="B89" s="5">
        <v>7.4254500000000005E-4</v>
      </c>
      <c r="C89" s="5">
        <v>1.7474299999999999E-4</v>
      </c>
      <c r="D89">
        <f>B89/$B$3*100</f>
        <v>94.580876077901905</v>
      </c>
      <c r="E89">
        <f>C89/$C$3*100</f>
        <v>100.60161890177204</v>
      </c>
      <c r="G89" s="5">
        <v>6.70322E-4</v>
      </c>
      <c r="H89" s="5">
        <v>1.6050600000000001E-4</v>
      </c>
      <c r="I89">
        <f>G89/$G$3*100</f>
        <v>96.809702893652911</v>
      </c>
      <c r="J89">
        <f>H89/$H$3*100</f>
        <v>103.95398993529837</v>
      </c>
      <c r="L89" s="5">
        <v>7.1121699999999999E-4</v>
      </c>
      <c r="M89" s="5">
        <v>1.7169599999999999E-4</v>
      </c>
      <c r="N89" s="4">
        <f>L89/$L$3*100</f>
        <v>93.798030446703763</v>
      </c>
      <c r="O89" s="4">
        <f>M89/$M$3*100</f>
        <v>105.99107357816176</v>
      </c>
      <c r="Q89">
        <f>AVERAGE(B89,G89,L89)</f>
        <v>7.0802799999999998E-4</v>
      </c>
      <c r="R89">
        <f>AVERAGE(C89,H89,M89)</f>
        <v>1.6898166666666666E-4</v>
      </c>
      <c r="T89">
        <f>AVERAGE(D89,I89,N89)</f>
        <v>95.062869806086198</v>
      </c>
      <c r="U89">
        <f>AVERAGE(E89,J89,O89)</f>
        <v>103.51556080507738</v>
      </c>
      <c r="W89">
        <f>_xlfn.STDEV.P(D89,I89,N89)</f>
        <v>1.2758738697940613</v>
      </c>
      <c r="X89">
        <f>_xlfn.STDEV.P(E89,J89,O89)</f>
        <v>2.2219691722860739</v>
      </c>
    </row>
    <row r="90" spans="1:24" x14ac:dyDescent="0.2">
      <c r="A90" s="3">
        <v>574.577</v>
      </c>
      <c r="B90" s="5">
        <v>7.4600100000000004E-4</v>
      </c>
      <c r="C90" s="5">
        <v>1.75899E-4</v>
      </c>
      <c r="D90">
        <f>B90/$B$3*100</f>
        <v>95.021080385688279</v>
      </c>
      <c r="E90">
        <f>C90/$C$3*100</f>
        <v>101.2671418208615</v>
      </c>
      <c r="G90" s="5">
        <v>6.7247400000000005E-4</v>
      </c>
      <c r="H90" s="5">
        <v>1.6178699999999999E-4</v>
      </c>
      <c r="I90">
        <f>G90/$G$3*100</f>
        <v>97.12050051125631</v>
      </c>
      <c r="J90">
        <f>H90/$H$3*100</f>
        <v>104.78364777430198</v>
      </c>
      <c r="L90" s="5">
        <v>7.1644500000000002E-4</v>
      </c>
      <c r="M90" s="5">
        <v>1.6986099999999999E-4</v>
      </c>
      <c r="N90" s="4">
        <f>L90/$L$3*100</f>
        <v>94.487519172613531</v>
      </c>
      <c r="O90" s="4">
        <f>M90/$M$3*100</f>
        <v>104.85829459661338</v>
      </c>
      <c r="Q90">
        <f>AVERAGE(B90,G90,L90)</f>
        <v>7.1164000000000004E-4</v>
      </c>
      <c r="R90">
        <f>AVERAGE(C90,H90,M90)</f>
        <v>1.6918233333333333E-4</v>
      </c>
      <c r="T90">
        <f>AVERAGE(D90,I90,N90)</f>
        <v>95.543033356519388</v>
      </c>
      <c r="U90">
        <f>AVERAGE(E90,J90,O90)</f>
        <v>103.63636139725895</v>
      </c>
      <c r="W90">
        <f>_xlfn.STDEV.P(D90,I90,N90)</f>
        <v>1.1365074747458648</v>
      </c>
      <c r="X90">
        <f>_xlfn.STDEV.P(E90,J90,O90)</f>
        <v>1.6755683787716136</v>
      </c>
    </row>
    <row r="91" spans="1:24" x14ac:dyDescent="0.2">
      <c r="A91" s="3">
        <v>580.88099999999997</v>
      </c>
      <c r="B91" s="5">
        <v>7.5003799999999996E-4</v>
      </c>
      <c r="C91" s="5">
        <v>1.7318600000000001E-4</v>
      </c>
      <c r="D91">
        <f>B91/$B$3*100</f>
        <v>95.535288947763945</v>
      </c>
      <c r="E91">
        <f>C91/$C$3*100</f>
        <v>99.705235523725094</v>
      </c>
      <c r="G91" s="5">
        <v>6.7486599999999999E-4</v>
      </c>
      <c r="H91" s="5">
        <v>1.6019799999999999E-4</v>
      </c>
      <c r="I91">
        <f>G91/$G$3*100</f>
        <v>97.46595957320207</v>
      </c>
      <c r="J91">
        <f>H91/$H$3*100</f>
        <v>103.75450936198598</v>
      </c>
      <c r="L91" s="5">
        <v>7.2019300000000005E-4</v>
      </c>
      <c r="M91" s="5">
        <v>1.72516E-4</v>
      </c>
      <c r="N91" s="4">
        <f>L91/$L$3*100</f>
        <v>94.981819812382057</v>
      </c>
      <c r="O91" s="4">
        <f>M91/$M$3*100</f>
        <v>106.49727453994358</v>
      </c>
      <c r="Q91">
        <f>AVERAGE(B91,G91,L91)</f>
        <v>7.1503233333333326E-4</v>
      </c>
      <c r="R91">
        <f>AVERAGE(C91,H91,M91)</f>
        <v>1.6863333333333333E-4</v>
      </c>
      <c r="T91">
        <f>AVERAGE(D91,I91,N91)</f>
        <v>95.994356111116019</v>
      </c>
      <c r="U91">
        <f>AVERAGE(E91,J91,O91)</f>
        <v>103.31900647521822</v>
      </c>
      <c r="W91">
        <f>_xlfn.STDEV.P(D91,I91,N91)</f>
        <v>1.0648300594219475</v>
      </c>
      <c r="X91">
        <f>_xlfn.STDEV.P(E91,J91,O91)</f>
        <v>2.7898859681291421</v>
      </c>
    </row>
    <row r="92" spans="1:24" x14ac:dyDescent="0.2">
      <c r="A92" s="3">
        <v>586.971</v>
      </c>
      <c r="B92" s="5">
        <v>7.5234100000000001E-4</v>
      </c>
      <c r="C92" s="5">
        <v>1.7407499999999999E-4</v>
      </c>
      <c r="D92">
        <f>B92/$B$3*100</f>
        <v>95.828631112356547</v>
      </c>
      <c r="E92">
        <f>C92/$C$3*100</f>
        <v>100.2170433741321</v>
      </c>
      <c r="G92" s="5">
        <v>6.78537E-4</v>
      </c>
      <c r="H92" s="5">
        <v>1.5843500000000001E-4</v>
      </c>
      <c r="I92">
        <f>G92/$G$3*100</f>
        <v>97.996135248955824</v>
      </c>
      <c r="J92">
        <f>H92/$H$3*100</f>
        <v>102.61267737903252</v>
      </c>
      <c r="L92" s="5">
        <v>7.2264400000000004E-4</v>
      </c>
      <c r="M92" s="5">
        <v>1.7139600000000001E-4</v>
      </c>
      <c r="N92" s="4">
        <f>L92/$L$3*100</f>
        <v>95.305067109093002</v>
      </c>
      <c r="O92" s="4">
        <f>M92/$M$3*100</f>
        <v>105.80587810433914</v>
      </c>
      <c r="Q92">
        <f>AVERAGE(B92,G92,L92)</f>
        <v>7.1784066666666672E-4</v>
      </c>
      <c r="R92">
        <f>AVERAGE(C92,H92,M92)</f>
        <v>1.6796866666666667E-4</v>
      </c>
      <c r="T92">
        <f>AVERAGE(D92,I92,N92)</f>
        <v>96.376611156801786</v>
      </c>
      <c r="U92">
        <f>AVERAGE(E92,J92,O92)</f>
        <v>102.87853295250125</v>
      </c>
      <c r="W92">
        <f>_xlfn.STDEV.P(D92,I92,N92)</f>
        <v>1.1649530835127639</v>
      </c>
      <c r="X92">
        <f>_xlfn.STDEV.P(E92,J92,O92)</f>
        <v>2.2893634923052875</v>
      </c>
    </row>
    <row r="93" spans="1:24" x14ac:dyDescent="0.2">
      <c r="A93" s="3">
        <v>593.14599999999996</v>
      </c>
      <c r="B93" s="5">
        <v>7.5779600000000003E-4</v>
      </c>
      <c r="C93" s="5">
        <v>1.73225E-4</v>
      </c>
      <c r="D93">
        <f>B93/$B$3*100</f>
        <v>96.523455909513572</v>
      </c>
      <c r="E93">
        <f>C93/$C$3*100</f>
        <v>99.727688286566334</v>
      </c>
      <c r="G93" s="5">
        <v>6.8232999999999998E-4</v>
      </c>
      <c r="H93" s="5">
        <v>1.59512E-4</v>
      </c>
      <c r="I93">
        <f>G93/$G$3*100</f>
        <v>98.543930492250269</v>
      </c>
      <c r="J93">
        <f>H93/$H$3*100</f>
        <v>103.31021172142667</v>
      </c>
      <c r="L93" s="5">
        <v>7.27916E-4</v>
      </c>
      <c r="M93" s="5">
        <v>1.7025100000000001E-4</v>
      </c>
      <c r="N93" s="4">
        <f>L93/$L$3*100</f>
        <v>96.000358724050201</v>
      </c>
      <c r="O93" s="4">
        <f>M93/$M$3*100</f>
        <v>105.0990487125828</v>
      </c>
      <c r="Q93">
        <f>AVERAGE(B93,G93,L93)</f>
        <v>7.226806666666666E-4</v>
      </c>
      <c r="R93">
        <f>AVERAGE(C93,H93,M93)</f>
        <v>1.6766266666666668E-4</v>
      </c>
      <c r="T93">
        <f>AVERAGE(D93,I93,N93)</f>
        <v>97.022581708604676</v>
      </c>
      <c r="U93">
        <f>AVERAGE(E93,J93,O93)</f>
        <v>102.71231624019192</v>
      </c>
      <c r="W93">
        <f>_xlfn.STDEV.P(D93,I93,N93)</f>
        <v>1.0967479982459833</v>
      </c>
      <c r="X93">
        <f>_xlfn.STDEV.P(E93,J93,O93)</f>
        <v>2.2332319571127748</v>
      </c>
    </row>
    <row r="94" spans="1:24" x14ac:dyDescent="0.2">
      <c r="A94" s="3">
        <v>599.44500000000005</v>
      </c>
      <c r="B94" s="5">
        <v>7.6144199999999998E-4</v>
      </c>
      <c r="C94" s="5">
        <v>1.7185200000000001E-4</v>
      </c>
      <c r="D94">
        <f>B94/$B$3*100</f>
        <v>96.987861264313651</v>
      </c>
      <c r="E94">
        <f>C94/$C$3*100</f>
        <v>98.937235892180695</v>
      </c>
      <c r="G94" s="5">
        <v>6.8730500000000003E-4</v>
      </c>
      <c r="H94" s="5">
        <v>1.6178699999999999E-4</v>
      </c>
      <c r="I94">
        <f>G94/$G$3*100</f>
        <v>99.262433348930983</v>
      </c>
      <c r="J94">
        <f>H94/$H$3*100</f>
        <v>104.78364777430198</v>
      </c>
      <c r="L94" s="5">
        <v>7.2977000000000003E-4</v>
      </c>
      <c r="M94" s="5">
        <v>1.73442E-4</v>
      </c>
      <c r="N94" s="4">
        <f>L94/$L$3*100</f>
        <v>96.244871367094717</v>
      </c>
      <c r="O94" s="4">
        <f>M94/$M$3*100</f>
        <v>107.0689112358094</v>
      </c>
      <c r="Q94">
        <f>AVERAGE(B94,G94,L94)</f>
        <v>7.2617233333333335E-4</v>
      </c>
      <c r="R94">
        <f>AVERAGE(C94,H94,M94)</f>
        <v>1.6902699999999998E-4</v>
      </c>
      <c r="T94">
        <f>AVERAGE(D94,I94,N94)</f>
        <v>97.498388660113122</v>
      </c>
      <c r="U94">
        <f>AVERAGE(E94,J94,O94)</f>
        <v>103.59659830076403</v>
      </c>
      <c r="W94">
        <f>_xlfn.STDEV.P(D94,I94,N94)</f>
        <v>1.2837182310128763</v>
      </c>
      <c r="X94">
        <f>_xlfn.STDEV.P(E94,J94,O94)</f>
        <v>3.4242128840571806</v>
      </c>
    </row>
    <row r="95" spans="1:24" x14ac:dyDescent="0.2">
      <c r="A95" s="3">
        <v>605.70299999999997</v>
      </c>
      <c r="B95" s="5">
        <v>7.6734199999999996E-4</v>
      </c>
      <c r="C95" s="5">
        <v>1.7205399999999999E-4</v>
      </c>
      <c r="D95">
        <f>B95/$B$3*100</f>
        <v>97.739367461055409</v>
      </c>
      <c r="E95">
        <f>C95/$C$3*100</f>
        <v>99.053529689461016</v>
      </c>
      <c r="G95" s="5">
        <v>6.9164300000000003E-4</v>
      </c>
      <c r="H95" s="5">
        <v>1.60684E-4</v>
      </c>
      <c r="I95">
        <f>G95/$G$3*100</f>
        <v>99.888938955419619</v>
      </c>
      <c r="J95">
        <f>H95/$H$3*100</f>
        <v>104.0692741627321</v>
      </c>
      <c r="L95" s="5">
        <v>7.3267600000000003E-4</v>
      </c>
      <c r="M95" s="5">
        <v>1.7382399999999999E-4</v>
      </c>
      <c r="N95" s="4">
        <f>L95/$L$3*100</f>
        <v>96.628125811909911</v>
      </c>
      <c r="O95" s="4">
        <f>M95/$M$3*100</f>
        <v>107.3047268058102</v>
      </c>
      <c r="Q95">
        <f>AVERAGE(B95,G95,L95)</f>
        <v>7.3055366666666675E-4</v>
      </c>
      <c r="R95">
        <f>AVERAGE(C95,H95,M95)</f>
        <v>1.6885399999999997E-4</v>
      </c>
      <c r="T95">
        <f>AVERAGE(D95,I95,N95)</f>
        <v>98.085477409461646</v>
      </c>
      <c r="U95">
        <f>AVERAGE(E95,J95,O95)</f>
        <v>103.47584355266777</v>
      </c>
      <c r="W95">
        <f>_xlfn.STDEV.P(D95,I95,N95)</f>
        <v>1.3535311008643878</v>
      </c>
      <c r="X95">
        <f>_xlfn.STDEV.P(E95,J95,O95)</f>
        <v>3.3945724698831894</v>
      </c>
    </row>
    <row r="96" spans="1:24" x14ac:dyDescent="0.2">
      <c r="A96" s="3">
        <v>611.80399999999997</v>
      </c>
      <c r="B96" s="5">
        <v>7.7110099999999995E-4</v>
      </c>
      <c r="C96" s="5">
        <v>1.7427100000000001E-4</v>
      </c>
      <c r="D96">
        <f>B96/$B$3*100</f>
        <v>98.218166070132085</v>
      </c>
      <c r="E96">
        <f>C96/$C$3*100</f>
        <v>100.32988290020613</v>
      </c>
      <c r="G96" s="5">
        <v>6.9335000000000002E-4</v>
      </c>
      <c r="H96" s="5">
        <v>1.6003600000000001E-4</v>
      </c>
      <c r="I96">
        <f>G96/$G$3*100</f>
        <v>100.13546847830483</v>
      </c>
      <c r="J96">
        <f>H96/$H$3*100</f>
        <v>103.64958776173729</v>
      </c>
      <c r="L96" s="5">
        <v>7.3641500000000003E-4</v>
      </c>
      <c r="M96" s="5">
        <v>1.7344499999999999E-4</v>
      </c>
      <c r="N96" s="4">
        <f>L96/$L$3*100</f>
        <v>97.121239497100532</v>
      </c>
      <c r="O96" s="4">
        <f>M96/$M$3*100</f>
        <v>107.07076319054762</v>
      </c>
      <c r="Q96">
        <f>AVERAGE(B96,G96,L96)</f>
        <v>7.3362200000000007E-4</v>
      </c>
      <c r="R96">
        <f>AVERAGE(C96,H96,M96)</f>
        <v>1.6925066666666666E-4</v>
      </c>
      <c r="T96">
        <f>AVERAGE(D96,I96,N96)</f>
        <v>98.491624681845806</v>
      </c>
      <c r="U96">
        <f>AVERAGE(E96,J96,O96)</f>
        <v>103.68341128416368</v>
      </c>
      <c r="W96">
        <f>_xlfn.STDEV.P(D96,I96,N96)</f>
        <v>1.2456534555601129</v>
      </c>
      <c r="X96">
        <f>_xlfn.STDEV.P(E96,J96,O96)</f>
        <v>2.7520567817762047</v>
      </c>
    </row>
    <row r="97" spans="1:24" x14ac:dyDescent="0.2">
      <c r="A97" s="3">
        <v>618.12300000000005</v>
      </c>
      <c r="B97" s="5">
        <v>7.7358500000000003E-4</v>
      </c>
      <c r="C97" s="5">
        <v>1.7628899999999999E-4</v>
      </c>
      <c r="D97">
        <f>B97/$B$3*100</f>
        <v>98.534562916353536</v>
      </c>
      <c r="E97">
        <f>C97/$C$3*100</f>
        <v>101.49166944927404</v>
      </c>
      <c r="G97" s="5">
        <v>6.9594299999999997E-4</v>
      </c>
      <c r="H97" s="5">
        <v>1.6399200000000001E-4</v>
      </c>
      <c r="I97">
        <f>G97/$G$3*100</f>
        <v>100.50995649988734</v>
      </c>
      <c r="J97">
        <f>H97/$H$3*100</f>
        <v>106.21174733324266</v>
      </c>
      <c r="L97" s="5">
        <v>7.3929900000000001E-4</v>
      </c>
      <c r="M97" s="5">
        <v>1.7502500000000001E-4</v>
      </c>
      <c r="N97" s="4">
        <f>L97/$L$3*100</f>
        <v>97.501592497391997</v>
      </c>
      <c r="O97" s="4">
        <f>M97/$M$3*100</f>
        <v>108.04612601934676</v>
      </c>
      <c r="Q97">
        <f>AVERAGE(B97,G97,L97)</f>
        <v>7.3627566666666663E-4</v>
      </c>
      <c r="R97">
        <f>AVERAGE(C97,H97,M97)</f>
        <v>1.7176866666666665E-4</v>
      </c>
      <c r="T97">
        <f>AVERAGE(D97,I97,N97)</f>
        <v>98.848703971210952</v>
      </c>
      <c r="U97">
        <f>AVERAGE(E97,J97,O97)</f>
        <v>105.24984760062114</v>
      </c>
      <c r="W97">
        <f>_xlfn.STDEV.P(D97,I97,N97)</f>
        <v>1.2480857194486943</v>
      </c>
      <c r="X97">
        <f>_xlfn.STDEV.P(E97,J97,O97)</f>
        <v>2.7609374680779881</v>
      </c>
    </row>
    <row r="98" spans="1:24" x14ac:dyDescent="0.2">
      <c r="A98" s="3">
        <v>624.23299999999995</v>
      </c>
      <c r="B98" s="5">
        <v>7.7479100000000004E-4</v>
      </c>
      <c r="C98" s="5">
        <v>1.7697200000000001E-4</v>
      </c>
      <c r="D98">
        <f>B98/$B$3*100</f>
        <v>98.688175877924834</v>
      </c>
      <c r="E98">
        <f>C98/$C$3*100</f>
        <v>101.88488065492984</v>
      </c>
      <c r="G98" s="5">
        <v>6.9757800000000002E-4</v>
      </c>
      <c r="H98" s="5">
        <v>1.6572700000000001E-4</v>
      </c>
      <c r="I98">
        <f>G98/$G$3*100</f>
        <v>100.74608758946985</v>
      </c>
      <c r="J98">
        <f>H98/$H$3*100</f>
        <v>107.33544471862228</v>
      </c>
      <c r="L98" s="5">
        <v>7.4183599999999995E-4</v>
      </c>
      <c r="M98" s="5">
        <v>1.7826499999999999E-4</v>
      </c>
      <c r="N98" s="4">
        <f>L98/$L$3*100</f>
        <v>97.836181804513842</v>
      </c>
      <c r="O98" s="4">
        <f>M98/$M$3*100</f>
        <v>110.04623713663105</v>
      </c>
      <c r="Q98">
        <f>AVERAGE(B98,G98,L98)</f>
        <v>7.380683333333333E-4</v>
      </c>
      <c r="R98">
        <f>AVERAGE(C98,H98,M98)</f>
        <v>1.736546666666667E-4</v>
      </c>
      <c r="T98">
        <f>AVERAGE(D98,I98,N98)</f>
        <v>99.090148423969524</v>
      </c>
      <c r="U98">
        <f>AVERAGE(E98,J98,O98)</f>
        <v>106.4221875033944</v>
      </c>
      <c r="W98">
        <f>_xlfn.STDEV.P(D98,I98,N98)</f>
        <v>1.221494812421879</v>
      </c>
      <c r="X98">
        <f>_xlfn.STDEV.P(E98,J98,O98)</f>
        <v>3.3938634780267676</v>
      </c>
    </row>
    <row r="99" spans="1:24" x14ac:dyDescent="0.2">
      <c r="A99" s="3">
        <v>630.39700000000005</v>
      </c>
      <c r="B99" s="5">
        <v>7.7543600000000001E-4</v>
      </c>
      <c r="C99" s="5">
        <v>1.77018E-4</v>
      </c>
      <c r="D99">
        <f>B99/$B$3*100</f>
        <v>98.770332063839817</v>
      </c>
      <c r="E99">
        <f>C99/$C$3*100</f>
        <v>101.91136340084515</v>
      </c>
      <c r="G99" s="5">
        <v>6.9752099999999999E-4</v>
      </c>
      <c r="H99" s="5">
        <v>1.67591E-4</v>
      </c>
      <c r="I99">
        <f>G99/$G$3*100</f>
        <v>100.73785549643854</v>
      </c>
      <c r="J99">
        <f>H99/$H$3*100</f>
        <v>108.54269078568144</v>
      </c>
      <c r="L99" s="5">
        <v>7.44277E-4</v>
      </c>
      <c r="M99" s="5">
        <v>1.7510200000000001E-4</v>
      </c>
      <c r="N99" s="4">
        <f>L99/$L$3*100</f>
        <v>98.158110262804925</v>
      </c>
      <c r="O99" s="4">
        <f>M99/$M$3*100</f>
        <v>108.09365952429457</v>
      </c>
      <c r="Q99">
        <f>AVERAGE(B99,G99,L99)</f>
        <v>7.3907800000000011E-4</v>
      </c>
      <c r="R99">
        <f>AVERAGE(C99,H99,M99)</f>
        <v>1.7323699999999999E-4</v>
      </c>
      <c r="T99">
        <f>AVERAGE(D99,I99,N99)</f>
        <v>99.222099274361099</v>
      </c>
      <c r="U99">
        <f>AVERAGE(E99,J99,O99)</f>
        <v>106.1825712369404</v>
      </c>
      <c r="W99">
        <f>_xlfn.STDEV.P(D99,I99,N99)</f>
        <v>1.1005579121489466</v>
      </c>
      <c r="X99">
        <f>_xlfn.STDEV.P(E99,J99,O99)</f>
        <v>3.0257582578880622</v>
      </c>
    </row>
    <row r="100" spans="1:24" x14ac:dyDescent="0.2">
      <c r="A100" s="3">
        <v>636.76</v>
      </c>
      <c r="B100" s="5">
        <v>7.7806900000000005E-4</v>
      </c>
      <c r="C100" s="5">
        <v>1.7568099999999999E-4</v>
      </c>
      <c r="D100">
        <f>B100/$B$3*100</f>
        <v>99.105707625877287</v>
      </c>
      <c r="E100">
        <f>C100/$C$3*100</f>
        <v>101.14163663369757</v>
      </c>
      <c r="G100" s="5">
        <v>7.0149899999999996E-4</v>
      </c>
      <c r="H100" s="5">
        <v>1.6815299999999999E-4</v>
      </c>
      <c r="I100">
        <f>G100/$G$3*100</f>
        <v>101.31236893641358</v>
      </c>
      <c r="J100">
        <f>H100/$H$3*100</f>
        <v>108.90667806555656</v>
      </c>
      <c r="L100" s="5">
        <v>7.4512299999999999E-4</v>
      </c>
      <c r="M100" s="5">
        <v>1.6805300000000001E-4</v>
      </c>
      <c r="N100" s="4">
        <f>L100/$L$3*100</f>
        <v>98.269683993126208</v>
      </c>
      <c r="O100" s="4">
        <f>M100/$M$3*100</f>
        <v>103.74218320770908</v>
      </c>
      <c r="Q100">
        <f>AVERAGE(B100,G100,L100)</f>
        <v>7.4156366666666663E-4</v>
      </c>
      <c r="R100">
        <f>AVERAGE(C100,H100,M100)</f>
        <v>1.7062900000000002E-4</v>
      </c>
      <c r="T100">
        <f>AVERAGE(D100,I100,N100)</f>
        <v>99.56258685180569</v>
      </c>
      <c r="U100">
        <f>AVERAGE(E100,J100,O100)</f>
        <v>104.59683263565439</v>
      </c>
      <c r="W100">
        <f>_xlfn.STDEV.P(D100,I100,N100)</f>
        <v>1.2834944192426703</v>
      </c>
      <c r="X100">
        <f>_xlfn.STDEV.P(E100,J100,O100)</f>
        <v>3.227154199718087</v>
      </c>
    </row>
    <row r="101" spans="1:24" x14ac:dyDescent="0.2">
      <c r="A101" s="3">
        <v>642.91800000000001</v>
      </c>
      <c r="B101" s="5">
        <v>7.8119300000000001E-4</v>
      </c>
      <c r="C101" s="5">
        <v>1.73747E-4</v>
      </c>
      <c r="D101">
        <f>B101/$B$3*100</f>
        <v>99.503623788355483</v>
      </c>
      <c r="E101">
        <f>C101/$C$3*100</f>
        <v>100.02820988151851</v>
      </c>
      <c r="G101" s="5">
        <v>7.01522E-4</v>
      </c>
      <c r="H101" s="5">
        <v>1.673E-4</v>
      </c>
      <c r="I101">
        <f>G101/$G$3*100</f>
        <v>101.31569065816306</v>
      </c>
      <c r="J101">
        <f>H101/$H$3*100</f>
        <v>108.35422050375321</v>
      </c>
      <c r="L101" s="5">
        <v>7.4923600000000002E-4</v>
      </c>
      <c r="M101" s="5">
        <v>1.7471500000000001E-4</v>
      </c>
      <c r="N101" s="4">
        <f>L101/$L$3*100</f>
        <v>98.812122235220116</v>
      </c>
      <c r="O101" s="4">
        <f>M101/$M$3*100</f>
        <v>107.85475736306338</v>
      </c>
      <c r="Q101">
        <f>AVERAGE(B101,G101,L101)</f>
        <v>7.4398366666666657E-4</v>
      </c>
      <c r="R101">
        <f>AVERAGE(C101,H101,M101)</f>
        <v>1.7192066666666666E-4</v>
      </c>
      <c r="T101">
        <f>AVERAGE(D101,I101,N101)</f>
        <v>99.87714556057955</v>
      </c>
      <c r="U101">
        <f>AVERAGE(E101,J101,O101)</f>
        <v>105.41239591611172</v>
      </c>
      <c r="W101">
        <f>_xlfn.STDEV.P(D101,I101,N101)</f>
        <v>1.0556522779253017</v>
      </c>
      <c r="X101">
        <f>_xlfn.STDEV.P(E101,J101,O101)</f>
        <v>3.8126508974341573</v>
      </c>
    </row>
    <row r="102" spans="1:24" x14ac:dyDescent="0.2">
      <c r="A102" s="3">
        <v>649.14400000000001</v>
      </c>
      <c r="B102" s="5">
        <v>7.8457500000000003E-4</v>
      </c>
      <c r="C102" s="5">
        <v>1.75179E-4</v>
      </c>
      <c r="D102">
        <f>B102/$B$3*100</f>
        <v>99.934402425199664</v>
      </c>
      <c r="E102">
        <f>C102/$C$3*100</f>
        <v>100.8526292760999</v>
      </c>
      <c r="G102" s="5">
        <v>7.0452700000000004E-4</v>
      </c>
      <c r="H102" s="5">
        <v>1.6770899999999999E-4</v>
      </c>
      <c r="I102">
        <f>G102/$G$3*100</f>
        <v>101.74968082586669</v>
      </c>
      <c r="J102">
        <f>H102/$H$3*100</f>
        <v>108.61911516117122</v>
      </c>
      <c r="L102" s="5">
        <v>7.4966400000000004E-4</v>
      </c>
      <c r="M102" s="5">
        <v>1.7437099999999999E-4</v>
      </c>
      <c r="N102" s="4">
        <f>L102/$L$3*100</f>
        <v>98.868568519590681</v>
      </c>
      <c r="O102" s="4">
        <f>M102/$M$3*100</f>
        <v>107.64239988641344</v>
      </c>
      <c r="Q102">
        <f>AVERAGE(B102,G102,L102)</f>
        <v>7.4625533333333341E-4</v>
      </c>
      <c r="R102">
        <f>AVERAGE(C102,H102,M102)</f>
        <v>1.7241966666666666E-4</v>
      </c>
      <c r="T102">
        <f>AVERAGE(D102,I102,N102)</f>
        <v>100.18421725688567</v>
      </c>
      <c r="U102">
        <f>AVERAGE(E102,J102,O102)</f>
        <v>105.70471477456152</v>
      </c>
      <c r="W102">
        <f>_xlfn.STDEV.P(D102,I102,N102)</f>
        <v>1.1893997415899891</v>
      </c>
      <c r="X102">
        <f>_xlfn.STDEV.P(E102,J102,O102)</f>
        <v>3.4540356536735835</v>
      </c>
    </row>
    <row r="103" spans="1:24" x14ac:dyDescent="0.2">
      <c r="A103" s="3">
        <v>655.38400000000001</v>
      </c>
      <c r="B103" s="5">
        <v>7.8711199999999997E-4</v>
      </c>
      <c r="C103" s="5">
        <v>1.7375800000000001E-4</v>
      </c>
      <c r="D103">
        <f>B103/$B$3*100</f>
        <v>100.25755008979861</v>
      </c>
      <c r="E103">
        <f>C103/$C$3*100</f>
        <v>100.03454271206348</v>
      </c>
      <c r="G103" s="5">
        <v>7.0862400000000004E-4</v>
      </c>
      <c r="H103" s="5">
        <v>1.65083E-4</v>
      </c>
      <c r="I103">
        <f>G103/$G$3*100</f>
        <v>102.34138056532815</v>
      </c>
      <c r="J103">
        <f>H103/$H$3*100</f>
        <v>106.91834897442374</v>
      </c>
      <c r="L103" s="5">
        <v>7.5379400000000001E-4</v>
      </c>
      <c r="M103" s="5">
        <v>1.75921E-4</v>
      </c>
      <c r="N103" s="4">
        <f>L103/$L$3*100</f>
        <v>99.413248786998366</v>
      </c>
      <c r="O103" s="4">
        <f>M103/$M$3*100</f>
        <v>108.59924316783032</v>
      </c>
      <c r="Q103">
        <f>AVERAGE(B103,G103,L103)</f>
        <v>7.498433333333333E-4</v>
      </c>
      <c r="R103">
        <f>AVERAGE(C103,H103,M103)</f>
        <v>1.7158733333333333E-4</v>
      </c>
      <c r="T103">
        <f>AVERAGE(D103,I103,N103)</f>
        <v>100.67072648070837</v>
      </c>
      <c r="U103">
        <f>AVERAGE(E103,J103,O103)</f>
        <v>105.18404495143919</v>
      </c>
      <c r="W103">
        <f>_xlfn.STDEV.P(D103,I103,N103)</f>
        <v>1.2305892830456204</v>
      </c>
      <c r="X103">
        <f>_xlfn.STDEV.P(E103,J103,O103)</f>
        <v>3.7053458054868496</v>
      </c>
    </row>
    <row r="104" spans="1:24" x14ac:dyDescent="0.2">
      <c r="A104" s="3">
        <v>661.52099999999996</v>
      </c>
      <c r="B104" s="5">
        <v>7.8964699999999998E-4</v>
      </c>
      <c r="C104" s="5">
        <v>1.7283899999999999E-4</v>
      </c>
      <c r="D104">
        <f>B104/$B$3*100</f>
        <v>100.58044300653428</v>
      </c>
      <c r="E104">
        <f>C104/$C$3*100</f>
        <v>99.505463505624704</v>
      </c>
      <c r="G104" s="5">
        <v>7.0991299999999995E-4</v>
      </c>
      <c r="H104" s="5">
        <v>1.6683E-4</v>
      </c>
      <c r="I104">
        <f>G104/$G$3*100</f>
        <v>102.52754140598373</v>
      </c>
      <c r="J104">
        <f>H104/$H$3*100</f>
        <v>108.04981833019215</v>
      </c>
      <c r="L104" s="5">
        <v>7.5682400000000002E-4</v>
      </c>
      <c r="M104" s="5">
        <v>1.77579E-4</v>
      </c>
      <c r="N104" s="4">
        <f>L104/$L$3*100</f>
        <v>99.812856828219978</v>
      </c>
      <c r="O104" s="4">
        <f>M104/$M$3*100</f>
        <v>109.62275681982332</v>
      </c>
      <c r="Q104">
        <f>AVERAGE(B104,G104,L104)</f>
        <v>7.5212800000000002E-4</v>
      </c>
      <c r="R104">
        <f>AVERAGE(C104,H104,M104)</f>
        <v>1.72416E-4</v>
      </c>
      <c r="T104">
        <f>AVERAGE(D104,I104,N104)</f>
        <v>100.97361374691268</v>
      </c>
      <c r="U104">
        <f>AVERAGE(E104,J104,O104)</f>
        <v>105.72601288521339</v>
      </c>
      <c r="W104">
        <f>_xlfn.STDEV.P(D104,I104,N104)</f>
        <v>1.1426039011848763</v>
      </c>
      <c r="X104">
        <f>_xlfn.STDEV.P(E104,J104,O104)</f>
        <v>4.4452191405273993</v>
      </c>
    </row>
    <row r="105" spans="1:24" x14ac:dyDescent="0.2">
      <c r="A105" s="3">
        <v>667.82100000000003</v>
      </c>
      <c r="B105" s="5">
        <v>7.9177900000000005E-4</v>
      </c>
      <c r="C105" s="5">
        <v>1.74143E-4</v>
      </c>
      <c r="D105">
        <f>B105/$B$3*100</f>
        <v>100.85200422881454</v>
      </c>
      <c r="E105">
        <f>C105/$C$3*100</f>
        <v>100.25619178113739</v>
      </c>
      <c r="G105" s="5">
        <v>7.1345999999999996E-4</v>
      </c>
      <c r="H105" s="5">
        <v>1.6918099999999999E-4</v>
      </c>
      <c r="I105">
        <f>G105/$G$3*100</f>
        <v>103.03980866882722</v>
      </c>
      <c r="J105">
        <f>H105/$H$3*100</f>
        <v>109.57247686219648</v>
      </c>
      <c r="L105" s="5">
        <v>7.5818200000000004E-4</v>
      </c>
      <c r="M105" s="5">
        <v>1.7410700000000001E-4</v>
      </c>
      <c r="N105" s="4">
        <f>L105/$L$3*100</f>
        <v>99.991955085638779</v>
      </c>
      <c r="O105" s="4">
        <f>M105/$M$3*100</f>
        <v>107.47942786944952</v>
      </c>
      <c r="Q105">
        <f>AVERAGE(B105,G105,L105)</f>
        <v>7.5447366666666661E-4</v>
      </c>
      <c r="R105">
        <f>AVERAGE(C105,H105,M105)</f>
        <v>1.7247700000000001E-4</v>
      </c>
      <c r="T105">
        <f>AVERAGE(D105,I105,N105)</f>
        <v>101.29458932776019</v>
      </c>
      <c r="U105">
        <f>AVERAGE(E105,J105,O105)</f>
        <v>105.76936550426113</v>
      </c>
      <c r="W105">
        <f>_xlfn.STDEV.P(D105,I105,N105)</f>
        <v>1.2830339157624786</v>
      </c>
      <c r="X105">
        <f>_xlfn.STDEV.P(E105,J105,O105)</f>
        <v>3.9909503377446618</v>
      </c>
    </row>
    <row r="106" spans="1:24" x14ac:dyDescent="0.2">
      <c r="A106" s="3">
        <v>673.91700000000003</v>
      </c>
      <c r="B106" s="5">
        <v>7.9298499999999996E-4</v>
      </c>
      <c r="C106" s="5">
        <v>1.7599799999999999E-4</v>
      </c>
      <c r="D106">
        <f>B106/$B$3*100</f>
        <v>101.00561719038581</v>
      </c>
      <c r="E106">
        <f>C106/$C$3*100</f>
        <v>101.32413729576622</v>
      </c>
      <c r="G106" s="5">
        <v>7.1384499999999995E-4</v>
      </c>
      <c r="H106" s="5">
        <v>1.69653E-4</v>
      </c>
      <c r="I106">
        <f>G106/$G$3*100</f>
        <v>103.09541140245979</v>
      </c>
      <c r="J106">
        <f>H106/$H$3*100</f>
        <v>109.87817436415568</v>
      </c>
      <c r="L106" s="5">
        <v>7.5942800000000003E-4</v>
      </c>
      <c r="M106" s="5">
        <v>1.7310900000000001E-4</v>
      </c>
      <c r="N106" s="4">
        <f>L106/$L$3*100</f>
        <v>100.156282352755</v>
      </c>
      <c r="O106" s="4">
        <f>M106/$M$3*100</f>
        <v>106.8633442598663</v>
      </c>
      <c r="Q106">
        <f>AVERAGE(B106,G106,L106)</f>
        <v>7.5541933333333328E-4</v>
      </c>
      <c r="R106">
        <f>AVERAGE(C106,H106,M106)</f>
        <v>1.7292000000000002E-4</v>
      </c>
      <c r="T106">
        <f>AVERAGE(D106,I106,N106)</f>
        <v>101.41910364853352</v>
      </c>
      <c r="U106">
        <f>AVERAGE(E106,J106,O106)</f>
        <v>106.02188530659608</v>
      </c>
      <c r="W106">
        <f>_xlfn.STDEV.P(D106,I106,N106)</f>
        <v>1.235002882859876</v>
      </c>
      <c r="X106">
        <f>_xlfn.STDEV.P(E106,J106,O106)</f>
        <v>3.5424969931179162</v>
      </c>
    </row>
    <row r="107" spans="1:24" x14ac:dyDescent="0.2">
      <c r="A107" s="3">
        <v>680.09400000000005</v>
      </c>
      <c r="B107" s="5">
        <v>7.9551399999999999E-4</v>
      </c>
      <c r="C107" s="5">
        <v>1.7601199999999999E-4</v>
      </c>
      <c r="D107">
        <f>B107/$B$3*100</f>
        <v>101.32774586353158</v>
      </c>
      <c r="E107">
        <f>C107/$C$3*100</f>
        <v>101.33219726191436</v>
      </c>
      <c r="G107" s="5">
        <v>7.1509500000000001E-4</v>
      </c>
      <c r="H107" s="5">
        <v>1.7136199999999999E-4</v>
      </c>
      <c r="I107">
        <f>G107/$G$3*100</f>
        <v>103.27593975840973</v>
      </c>
      <c r="J107">
        <f>H107/$H$3*100</f>
        <v>110.98503248035958</v>
      </c>
      <c r="L107" s="5">
        <v>7.6202400000000003E-4</v>
      </c>
      <c r="M107" s="5">
        <v>1.76198E-4</v>
      </c>
      <c r="N107" s="4">
        <f>L107/$L$3*100</f>
        <v>100.49865280655411</v>
      </c>
      <c r="O107" s="4">
        <f>M107/$M$3*100</f>
        <v>108.77024032199319</v>
      </c>
      <c r="Q107">
        <f>AVERAGE(B107,G107,L107)</f>
        <v>7.5754433333333334E-4</v>
      </c>
      <c r="R107">
        <f>AVERAGE(C107,H107,M107)</f>
        <v>1.7452400000000001E-4</v>
      </c>
      <c r="T107">
        <f>AVERAGE(D107,I107,N107)</f>
        <v>101.70077947616512</v>
      </c>
      <c r="U107">
        <f>AVERAGE(E107,J107,O107)</f>
        <v>107.02915668808903</v>
      </c>
      <c r="W107">
        <f>_xlfn.STDEV.P(D107,I107,N107)</f>
        <v>1.1641008720188923</v>
      </c>
      <c r="X107">
        <f>_xlfn.STDEV.P(E107,J107,O107)</f>
        <v>4.128586207069012</v>
      </c>
    </row>
    <row r="108" spans="1:24" x14ac:dyDescent="0.2">
      <c r="A108" s="3">
        <v>686.39300000000003</v>
      </c>
      <c r="B108" s="5">
        <v>7.9571299999999998E-4</v>
      </c>
      <c r="C108" s="5">
        <v>1.7666099999999999E-4</v>
      </c>
      <c r="D108">
        <f>B108/$B$3*100</f>
        <v>101.35309327593014</v>
      </c>
      <c r="E108">
        <f>C108/$C$3*100</f>
        <v>101.70583426406752</v>
      </c>
      <c r="G108" s="5">
        <v>7.1728099999999995E-4</v>
      </c>
      <c r="H108" s="5">
        <v>1.72592E-4</v>
      </c>
      <c r="I108">
        <f>G108/$G$3*100</f>
        <v>103.59164774729494</v>
      </c>
      <c r="J108">
        <f>H108/$H$3*100</f>
        <v>111.78165944521086</v>
      </c>
      <c r="L108" s="5">
        <v>7.6360499999999999E-4</v>
      </c>
      <c r="M108" s="5">
        <v>1.7586199999999999E-4</v>
      </c>
      <c r="N108" s="4">
        <f>L108/$L$3*100</f>
        <v>100.70716116073606</v>
      </c>
      <c r="O108" s="4">
        <f>M108/$M$3*100</f>
        <v>108.56282139131186</v>
      </c>
      <c r="Q108">
        <f>AVERAGE(B108,G108,L108)</f>
        <v>7.5886633333333323E-4</v>
      </c>
      <c r="R108">
        <f>AVERAGE(C108,H108,M108)</f>
        <v>1.7503833333333335E-4</v>
      </c>
      <c r="T108">
        <f>AVERAGE(D108,I108,N108)</f>
        <v>101.88396739465372</v>
      </c>
      <c r="U108">
        <f>AVERAGE(E108,J108,O108)</f>
        <v>107.35010503353008</v>
      </c>
      <c r="W108">
        <f>_xlfn.STDEV.P(D108,I108,N108)</f>
        <v>1.2359709312809977</v>
      </c>
      <c r="X108">
        <f>_xlfn.STDEV.P(E108,J108,O108)</f>
        <v>4.2018705353341703</v>
      </c>
    </row>
    <row r="109" spans="1:24" x14ac:dyDescent="0.2">
      <c r="A109" s="3">
        <v>692.51599999999996</v>
      </c>
      <c r="B109" s="5">
        <v>7.9622099999999995E-4</v>
      </c>
      <c r="C109" s="5">
        <v>1.73482E-4</v>
      </c>
      <c r="D109">
        <f>B109/$B$3*100</f>
        <v>101.41779923320892</v>
      </c>
      <c r="E109">
        <f>C109/$C$3*100</f>
        <v>99.875646236571527</v>
      </c>
      <c r="G109" s="5">
        <v>7.1640500000000004E-4</v>
      </c>
      <c r="H109" s="5">
        <v>1.7148700000000001E-4</v>
      </c>
      <c r="I109">
        <f>G109/$G$3*100</f>
        <v>103.46513347544526</v>
      </c>
      <c r="J109">
        <f>H109/$H$3*100</f>
        <v>111.06599050524284</v>
      </c>
      <c r="L109" s="5">
        <v>7.6523300000000004E-4</v>
      </c>
      <c r="M109" s="5">
        <v>1.7501999999999999E-4</v>
      </c>
      <c r="N109" s="4">
        <f>L109/$L$3*100</f>
        <v>100.92186805549144</v>
      </c>
      <c r="O109" s="4">
        <f>M109/$M$3*100</f>
        <v>108.04303942811637</v>
      </c>
      <c r="Q109">
        <f>AVERAGE(B109,G109,L109)</f>
        <v>7.5928633333333334E-4</v>
      </c>
      <c r="R109">
        <f>AVERAGE(C109,H109,M109)</f>
        <v>1.7332966666666668E-4</v>
      </c>
      <c r="T109">
        <f>AVERAGE(D109,I109,N109)</f>
        <v>101.93493358804854</v>
      </c>
      <c r="U109">
        <f>AVERAGE(E109,J109,O109)</f>
        <v>106.32822538997691</v>
      </c>
      <c r="W109">
        <f>_xlfn.STDEV.P(D109,I109,N109)</f>
        <v>1.1007938665041548</v>
      </c>
      <c r="X109">
        <f>_xlfn.STDEV.P(E109,J109,O109)</f>
        <v>4.7266190596024931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WT_24</vt:lpstr>
      <vt:lpstr>WT_72</vt:lpstr>
      <vt:lpstr>Spore-_24</vt:lpstr>
      <vt:lpstr>Spore-_72</vt:lpstr>
      <vt:lpstr>PGA-_24</vt:lpstr>
      <vt:lpstr>PGA-_72</vt:lpstr>
      <vt:lpstr>EPS-_24</vt:lpstr>
      <vt:lpstr>EPS-_72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LarkinLab</dc:creator>
  <cp:lastModifiedBy>Ducharme, Nicolas Andrew</cp:lastModifiedBy>
  <dcterms:created xsi:type="dcterms:W3CDTF">2025-02-20T18:06:46Z</dcterms:created>
  <dcterms:modified xsi:type="dcterms:W3CDTF">2026-09-09T20:30:17Z</dcterms:modified>
</cp:coreProperties>
</file>
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0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1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4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nalysis\Rheometry\Recovery\"/>
    </mc:Choice>
  </mc:AlternateContent>
  <xr:revisionPtr revIDLastSave="0" documentId="13_ncr:1_{D84F3035-8A72-4476-875C-5A6A88F1BBB9}" xr6:coauthVersionLast="47" xr6:coauthVersionMax="47" xr10:uidLastSave="{00000000-0000-0000-0000-000000000000}"/>
  <bookViews>
    <workbookView xWindow="1520" yWindow="10" windowWidth="29640" windowHeight="20870" firstSheet="1" activeTab="7" xr2:uid="{99ED6CDB-A5F5-4A7C-94E6-4FC76C7CFC82}"/>
  </bookViews>
  <sheets>
    <sheet name="1233 P- 24 hpi" sheetId="1" r:id="rId1"/>
    <sheet name="1233 P- 24 hpi IPTG" sheetId="16" r:id="rId2"/>
    <sheet name="1233 P+ 24 hpi" sheetId="8" r:id="rId3"/>
    <sheet name="1234 P- 24 hpi" sheetId="2" r:id="rId4"/>
    <sheet name="1234 P+ 24 hpi" sheetId="9" r:id="rId5"/>
    <sheet name="1250 P- 24 hpi" sheetId="3" r:id="rId6"/>
    <sheet name="1250 P+ 24 hpi" sheetId="10" r:id="rId7"/>
    <sheet name="1480 P- 24 hpi" sheetId="7" r:id="rId8"/>
    <sheet name="1009 24 hpi" sheetId="17" r:id="rId9"/>
    <sheet name="NAD003 P- 24 hpi" sheetId="14" r:id="rId10"/>
    <sheet name="NAD003 P+ 24 hpi" sheetId="11" r:id="rId11"/>
    <sheet name="Average comparison" sheetId="5" r:id="rId12"/>
    <sheet name="Average comparison (2)" sheetId="15" r:id="rId13"/>
    <sheet name="Standard deviations" sheetId="12" r:id="rId14"/>
    <sheet name="Recovery" sheetId="13" r:id="rId15"/>
    <sheet name="Recovery Old" sheetId="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" i="7" l="1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3" i="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U17" i="17" s="1"/>
  <c r="O18" i="17"/>
  <c r="U18" i="17" s="1"/>
  <c r="O19" i="17"/>
  <c r="U19" i="17" s="1"/>
  <c r="O20" i="17"/>
  <c r="U20" i="17" s="1"/>
  <c r="O21" i="17"/>
  <c r="X21" i="17" s="1"/>
  <c r="O22" i="17"/>
  <c r="X22" i="17" s="1"/>
  <c r="O23" i="17"/>
  <c r="X23" i="17" s="1"/>
  <c r="O24" i="17"/>
  <c r="O25" i="17"/>
  <c r="O26" i="17"/>
  <c r="O27" i="17"/>
  <c r="X27" i="17" s="1"/>
  <c r="O28" i="17"/>
  <c r="X28" i="17" s="1"/>
  <c r="O29" i="17"/>
  <c r="X29" i="17" s="1"/>
  <c r="O30" i="17"/>
  <c r="X30" i="17" s="1"/>
  <c r="O31" i="17"/>
  <c r="O32" i="17"/>
  <c r="O33" i="17"/>
  <c r="X33" i="17" s="1"/>
  <c r="O34" i="17"/>
  <c r="X34" i="17" s="1"/>
  <c r="O35" i="17"/>
  <c r="X35" i="17" s="1"/>
  <c r="O36" i="17"/>
  <c r="X36" i="17" s="1"/>
  <c r="O37" i="17"/>
  <c r="X37" i="17" s="1"/>
  <c r="O38" i="17"/>
  <c r="X38" i="17" s="1"/>
  <c r="O39" i="17"/>
  <c r="X39" i="17" s="1"/>
  <c r="O40" i="17"/>
  <c r="U40" i="17" s="1"/>
  <c r="O41" i="17"/>
  <c r="X41" i="17" s="1"/>
  <c r="O42" i="17"/>
  <c r="U42" i="17" s="1"/>
  <c r="O43" i="17"/>
  <c r="U43" i="17" s="1"/>
  <c r="O44" i="17"/>
  <c r="O45" i="17"/>
  <c r="O46" i="17"/>
  <c r="O47" i="17"/>
  <c r="O48" i="17"/>
  <c r="O49" i="17"/>
  <c r="O50" i="17"/>
  <c r="O51" i="17"/>
  <c r="O52" i="17"/>
  <c r="O53" i="17"/>
  <c r="O54" i="17"/>
  <c r="O55" i="17"/>
  <c r="U55" i="17" s="1"/>
  <c r="O56" i="17"/>
  <c r="U56" i="17" s="1"/>
  <c r="O57" i="17"/>
  <c r="U57" i="17" s="1"/>
  <c r="O58" i="17"/>
  <c r="U58" i="17" s="1"/>
  <c r="O59" i="17"/>
  <c r="X59" i="17" s="1"/>
  <c r="O60" i="17"/>
  <c r="X60" i="17" s="1"/>
  <c r="O61" i="17"/>
  <c r="X61" i="17" s="1"/>
  <c r="O62" i="17"/>
  <c r="X62" i="17" s="1"/>
  <c r="O63" i="17"/>
  <c r="X63" i="17" s="1"/>
  <c r="O64" i="17"/>
  <c r="O65" i="17"/>
  <c r="O66" i="17"/>
  <c r="X66" i="17" s="1"/>
  <c r="O67" i="17"/>
  <c r="X67" i="17" s="1"/>
  <c r="O68" i="17"/>
  <c r="X68" i="17" s="1"/>
  <c r="O69" i="17"/>
  <c r="X69" i="17" s="1"/>
  <c r="O70" i="17"/>
  <c r="O71" i="17"/>
  <c r="O72" i="17"/>
  <c r="O73" i="17"/>
  <c r="X73" i="17" s="1"/>
  <c r="O74" i="17"/>
  <c r="X74" i="17" s="1"/>
  <c r="O75" i="17"/>
  <c r="X75" i="17" s="1"/>
  <c r="O76" i="17"/>
  <c r="X76" i="17" s="1"/>
  <c r="O77" i="17"/>
  <c r="X77" i="17" s="1"/>
  <c r="O78" i="17"/>
  <c r="U78" i="17" s="1"/>
  <c r="O79" i="17"/>
  <c r="U79" i="17" s="1"/>
  <c r="O80" i="17"/>
  <c r="U80" i="17" s="1"/>
  <c r="O81" i="17"/>
  <c r="X81" i="17" s="1"/>
  <c r="O82" i="17"/>
  <c r="X82" i="17" s="1"/>
  <c r="O83" i="17"/>
  <c r="U83" i="17" s="1"/>
  <c r="O84" i="17"/>
  <c r="O85" i="17"/>
  <c r="X85" i="17" s="1"/>
  <c r="O86" i="17"/>
  <c r="O87" i="17"/>
  <c r="O88" i="17"/>
  <c r="O89" i="17"/>
  <c r="O90" i="17"/>
  <c r="O91" i="17"/>
  <c r="O92" i="17"/>
  <c r="O93" i="17"/>
  <c r="O94" i="17"/>
  <c r="U94" i="17" s="1"/>
  <c r="O95" i="17"/>
  <c r="U95" i="17" s="1"/>
  <c r="O96" i="17"/>
  <c r="U96" i="17" s="1"/>
  <c r="O97" i="17"/>
  <c r="X97" i="17" s="1"/>
  <c r="O98" i="17"/>
  <c r="X98" i="17" s="1"/>
  <c r="O99" i="17"/>
  <c r="X99" i="17" s="1"/>
  <c r="O100" i="17"/>
  <c r="X100" i="17" s="1"/>
  <c r="O101" i="17"/>
  <c r="X101" i="17" s="1"/>
  <c r="O102" i="17"/>
  <c r="X102" i="17" s="1"/>
  <c r="O103" i="17"/>
  <c r="X103" i="17" s="1"/>
  <c r="O104" i="17"/>
  <c r="O105" i="17"/>
  <c r="O106" i="17"/>
  <c r="O107" i="17"/>
  <c r="O108" i="17"/>
  <c r="O109" i="17"/>
  <c r="O3" i="17"/>
  <c r="N4" i="17"/>
  <c r="N5" i="17"/>
  <c r="N6" i="17"/>
  <c r="N7" i="17"/>
  <c r="N8" i="17"/>
  <c r="N9" i="17"/>
  <c r="N10" i="17"/>
  <c r="N11" i="17"/>
  <c r="N12" i="17"/>
  <c r="N13" i="17"/>
  <c r="N14" i="17"/>
  <c r="W14" i="17" s="1"/>
  <c r="N15" i="17"/>
  <c r="W15" i="17" s="1"/>
  <c r="N16" i="17"/>
  <c r="W16" i="17" s="1"/>
  <c r="N17" i="17"/>
  <c r="W17" i="17" s="1"/>
  <c r="N18" i="17"/>
  <c r="W18" i="17" s="1"/>
  <c r="N19" i="17"/>
  <c r="W19" i="17" s="1"/>
  <c r="N20" i="17"/>
  <c r="N21" i="17"/>
  <c r="T21" i="17" s="1"/>
  <c r="N22" i="17"/>
  <c r="T22" i="17" s="1"/>
  <c r="N23" i="17"/>
  <c r="T23" i="17" s="1"/>
  <c r="N24" i="17"/>
  <c r="N25" i="17"/>
  <c r="N26" i="17"/>
  <c r="N27" i="17"/>
  <c r="W27" i="17" s="1"/>
  <c r="N28" i="17"/>
  <c r="N29" i="17"/>
  <c r="N30" i="17"/>
  <c r="N31" i="17"/>
  <c r="N32" i="17"/>
  <c r="N33" i="17"/>
  <c r="N34" i="17"/>
  <c r="T34" i="17" s="1"/>
  <c r="N35" i="17"/>
  <c r="T35" i="17" s="1"/>
  <c r="N36" i="17"/>
  <c r="T36" i="17" s="1"/>
  <c r="N37" i="17"/>
  <c r="W37" i="17" s="1"/>
  <c r="N38" i="17"/>
  <c r="W38" i="17" s="1"/>
  <c r="N39" i="17"/>
  <c r="W39" i="17" s="1"/>
  <c r="N40" i="17"/>
  <c r="W40" i="17" s="1"/>
  <c r="N41" i="17"/>
  <c r="W41" i="17" s="1"/>
  <c r="N42" i="17"/>
  <c r="W42" i="17" s="1"/>
  <c r="N43" i="17"/>
  <c r="W43" i="17" s="1"/>
  <c r="N44" i="17"/>
  <c r="N45" i="17"/>
  <c r="N46" i="17"/>
  <c r="N47" i="17"/>
  <c r="N48" i="17"/>
  <c r="N49" i="17"/>
  <c r="N50" i="17"/>
  <c r="W50" i="17" s="1"/>
  <c r="N51" i="17"/>
  <c r="W51" i="17" s="1"/>
  <c r="N52" i="17"/>
  <c r="T52" i="17" s="1"/>
  <c r="N53" i="17"/>
  <c r="N54" i="17"/>
  <c r="N55" i="17"/>
  <c r="W55" i="17" s="1"/>
  <c r="N56" i="17"/>
  <c r="W56" i="17" s="1"/>
  <c r="N57" i="17"/>
  <c r="W57" i="17" s="1"/>
  <c r="N58" i="17"/>
  <c r="W58" i="17" s="1"/>
  <c r="N59" i="17"/>
  <c r="W59" i="17" s="1"/>
  <c r="N60" i="17"/>
  <c r="T60" i="17" s="1"/>
  <c r="N61" i="17"/>
  <c r="W61" i="17" s="1"/>
  <c r="N62" i="17"/>
  <c r="T62" i="17" s="1"/>
  <c r="N63" i="17"/>
  <c r="T63" i="17" s="1"/>
  <c r="N64" i="17"/>
  <c r="N65" i="17"/>
  <c r="W65" i="17" s="1"/>
  <c r="N66" i="17"/>
  <c r="N67" i="17"/>
  <c r="N68" i="17"/>
  <c r="N69" i="17"/>
  <c r="T69" i="17" s="1"/>
  <c r="N70" i="17"/>
  <c r="N71" i="17"/>
  <c r="N72" i="17"/>
  <c r="N73" i="17"/>
  <c r="T73" i="17" s="1"/>
  <c r="N74" i="17"/>
  <c r="T74" i="17" s="1"/>
  <c r="N75" i="17"/>
  <c r="T75" i="17" s="1"/>
  <c r="N76" i="17"/>
  <c r="T76" i="17" s="1"/>
  <c r="N77" i="17"/>
  <c r="W77" i="17" s="1"/>
  <c r="N78" i="17"/>
  <c r="W78" i="17" s="1"/>
  <c r="N79" i="17"/>
  <c r="W79" i="17" s="1"/>
  <c r="N80" i="17"/>
  <c r="N81" i="17"/>
  <c r="W81" i="17" s="1"/>
  <c r="N82" i="17"/>
  <c r="W82" i="17" s="1"/>
  <c r="N83" i="17"/>
  <c r="W83" i="17" s="1"/>
  <c r="N84" i="17"/>
  <c r="N85" i="17"/>
  <c r="N86" i="17"/>
  <c r="N87" i="17"/>
  <c r="N88" i="17"/>
  <c r="N89" i="17"/>
  <c r="N90" i="17"/>
  <c r="N91" i="17"/>
  <c r="N92" i="17"/>
  <c r="N93" i="17"/>
  <c r="N94" i="17"/>
  <c r="N95" i="17"/>
  <c r="W95" i="17" s="1"/>
  <c r="N96" i="17"/>
  <c r="W96" i="17" s="1"/>
  <c r="N97" i="17"/>
  <c r="W97" i="17" s="1"/>
  <c r="N98" i="17"/>
  <c r="W98" i="17" s="1"/>
  <c r="N99" i="17"/>
  <c r="W99" i="17" s="1"/>
  <c r="N100" i="17"/>
  <c r="T100" i="17" s="1"/>
  <c r="N101" i="17"/>
  <c r="T101" i="17" s="1"/>
  <c r="N102" i="17"/>
  <c r="T102" i="17" s="1"/>
  <c r="N103" i="17"/>
  <c r="W103" i="17" s="1"/>
  <c r="N104" i="17"/>
  <c r="N105" i="17"/>
  <c r="N106" i="17"/>
  <c r="N107" i="17"/>
  <c r="T107" i="17" s="1"/>
  <c r="N108" i="17"/>
  <c r="T108" i="17" s="1"/>
  <c r="N109" i="17"/>
  <c r="T109" i="17" s="1"/>
  <c r="N3" i="17"/>
  <c r="W107" i="17"/>
  <c r="X106" i="17"/>
  <c r="W106" i="17"/>
  <c r="X105" i="17"/>
  <c r="W105" i="17"/>
  <c r="X104" i="17"/>
  <c r="T104" i="17"/>
  <c r="W94" i="17"/>
  <c r="U93" i="17"/>
  <c r="W93" i="17"/>
  <c r="U92" i="17"/>
  <c r="W92" i="17"/>
  <c r="U91" i="17"/>
  <c r="T91" i="17"/>
  <c r="X90" i="17"/>
  <c r="W90" i="17"/>
  <c r="W87" i="17"/>
  <c r="X86" i="17"/>
  <c r="W86" i="17"/>
  <c r="W85" i="17"/>
  <c r="X84" i="17"/>
  <c r="T84" i="17"/>
  <c r="T80" i="17"/>
  <c r="U74" i="17"/>
  <c r="U73" i="17"/>
  <c r="U72" i="17"/>
  <c r="W72" i="17"/>
  <c r="U71" i="17"/>
  <c r="W71" i="17"/>
  <c r="X70" i="17"/>
  <c r="T70" i="17"/>
  <c r="W67" i="17"/>
  <c r="W66" i="17"/>
  <c r="X65" i="17"/>
  <c r="X64" i="17"/>
  <c r="T64" i="17"/>
  <c r="U54" i="17"/>
  <c r="W54" i="17"/>
  <c r="U53" i="17"/>
  <c r="W53" i="17"/>
  <c r="U52" i="17"/>
  <c r="U51" i="17"/>
  <c r="X50" i="17"/>
  <c r="W47" i="17"/>
  <c r="X46" i="17"/>
  <c r="W46" i="17"/>
  <c r="X45" i="17"/>
  <c r="W45" i="17"/>
  <c r="X44" i="17"/>
  <c r="T44" i="17"/>
  <c r="T42" i="17"/>
  <c r="U35" i="17"/>
  <c r="U34" i="17"/>
  <c r="W34" i="17"/>
  <c r="U33" i="17"/>
  <c r="W33" i="17"/>
  <c r="U32" i="17"/>
  <c r="T32" i="17"/>
  <c r="U31" i="17"/>
  <c r="T31" i="17"/>
  <c r="T30" i="17"/>
  <c r="X26" i="17"/>
  <c r="W26" i="17"/>
  <c r="X25" i="17"/>
  <c r="W25" i="17"/>
  <c r="X24" i="17"/>
  <c r="T24" i="17"/>
  <c r="W20" i="17"/>
  <c r="U16" i="17"/>
  <c r="X15" i="17"/>
  <c r="X16" i="17"/>
  <c r="X17" i="17"/>
  <c r="X18" i="17"/>
  <c r="X19" i="17"/>
  <c r="X20" i="17"/>
  <c r="X47" i="17"/>
  <c r="X48" i="17"/>
  <c r="X49" i="17"/>
  <c r="X53" i="17"/>
  <c r="X54" i="17"/>
  <c r="X55" i="17"/>
  <c r="X56" i="17"/>
  <c r="X57" i="17"/>
  <c r="X58" i="17"/>
  <c r="X87" i="17"/>
  <c r="X88" i="17"/>
  <c r="X89" i="17"/>
  <c r="X93" i="17"/>
  <c r="X94" i="17"/>
  <c r="X95" i="17"/>
  <c r="X96" i="17"/>
  <c r="X107" i="17"/>
  <c r="X108" i="17"/>
  <c r="X109" i="17"/>
  <c r="W24" i="17"/>
  <c r="W28" i="17"/>
  <c r="W29" i="17"/>
  <c r="W35" i="17"/>
  <c r="W36" i="17"/>
  <c r="W44" i="17"/>
  <c r="W48" i="17"/>
  <c r="W49" i="17"/>
  <c r="W64" i="17"/>
  <c r="W68" i="17"/>
  <c r="W69" i="17"/>
  <c r="W75" i="17"/>
  <c r="W76" i="17"/>
  <c r="W84" i="17"/>
  <c r="W88" i="17"/>
  <c r="W89" i="17"/>
  <c r="W104" i="17"/>
  <c r="W108" i="17"/>
  <c r="W109" i="17"/>
  <c r="U24" i="17"/>
  <c r="U25" i="17"/>
  <c r="U26" i="17"/>
  <c r="U27" i="17"/>
  <c r="U28" i="17"/>
  <c r="U29" i="17"/>
  <c r="U30" i="17"/>
  <c r="U37" i="17"/>
  <c r="U38" i="17"/>
  <c r="U39" i="17"/>
  <c r="U44" i="17"/>
  <c r="U45" i="17"/>
  <c r="U46" i="17"/>
  <c r="U47" i="17"/>
  <c r="U48" i="17"/>
  <c r="U49" i="17"/>
  <c r="U50" i="17"/>
  <c r="U64" i="17"/>
  <c r="U65" i="17"/>
  <c r="U66" i="17"/>
  <c r="U67" i="17"/>
  <c r="U68" i="17"/>
  <c r="U69" i="17"/>
  <c r="U70" i="17"/>
  <c r="U77" i="17"/>
  <c r="U84" i="17"/>
  <c r="U85" i="17"/>
  <c r="U86" i="17"/>
  <c r="U87" i="17"/>
  <c r="U88" i="17"/>
  <c r="U89" i="17"/>
  <c r="U90" i="17"/>
  <c r="U104" i="17"/>
  <c r="U105" i="17"/>
  <c r="U106" i="17"/>
  <c r="U107" i="17"/>
  <c r="U108" i="17"/>
  <c r="U109" i="17"/>
  <c r="T26" i="17"/>
  <c r="T27" i="17"/>
  <c r="T28" i="17"/>
  <c r="T29" i="17"/>
  <c r="T33" i="17"/>
  <c r="T46" i="17"/>
  <c r="T47" i="17"/>
  <c r="T48" i="17"/>
  <c r="T49" i="17"/>
  <c r="T53" i="17"/>
  <c r="T54" i="17"/>
  <c r="T55" i="17"/>
  <c r="T56" i="17"/>
  <c r="T57" i="17"/>
  <c r="T58" i="17"/>
  <c r="T59" i="17"/>
  <c r="T66" i="17"/>
  <c r="T67" i="17"/>
  <c r="T68" i="17"/>
  <c r="T86" i="17"/>
  <c r="T87" i="17"/>
  <c r="T88" i="17"/>
  <c r="T89" i="17"/>
  <c r="T93" i="17"/>
  <c r="T94" i="17"/>
  <c r="T95" i="17"/>
  <c r="T96" i="17"/>
  <c r="T97" i="17"/>
  <c r="T98" i="17"/>
  <c r="T99" i="17"/>
  <c r="T106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J27" i="17"/>
  <c r="D27" i="17"/>
  <c r="J26" i="17"/>
  <c r="I26" i="17"/>
  <c r="E26" i="17"/>
  <c r="D26" i="17"/>
  <c r="J25" i="17"/>
  <c r="I25" i="17"/>
  <c r="E25" i="17"/>
  <c r="D25" i="17"/>
  <c r="J24" i="17"/>
  <c r="I24" i="17"/>
  <c r="E24" i="17"/>
  <c r="D24" i="17"/>
  <c r="J23" i="17"/>
  <c r="I23" i="17"/>
  <c r="E23" i="17"/>
  <c r="D23" i="17"/>
  <c r="J22" i="17"/>
  <c r="I22" i="17"/>
  <c r="E22" i="17"/>
  <c r="D22" i="17"/>
  <c r="J21" i="17"/>
  <c r="I21" i="17"/>
  <c r="E21" i="17"/>
  <c r="D21" i="17"/>
  <c r="R20" i="17"/>
  <c r="Q20" i="17"/>
  <c r="J20" i="17"/>
  <c r="I20" i="17"/>
  <c r="E20" i="17"/>
  <c r="D20" i="17"/>
  <c r="R19" i="17"/>
  <c r="Q19" i="17"/>
  <c r="J19" i="17"/>
  <c r="I19" i="17"/>
  <c r="E19" i="17"/>
  <c r="D19" i="17"/>
  <c r="R18" i="17"/>
  <c r="Q18" i="17"/>
  <c r="J18" i="17"/>
  <c r="I18" i="17"/>
  <c r="E18" i="17"/>
  <c r="D18" i="17"/>
  <c r="R17" i="17"/>
  <c r="Q17" i="17"/>
  <c r="J17" i="17"/>
  <c r="I17" i="17"/>
  <c r="E17" i="17"/>
  <c r="D17" i="17"/>
  <c r="R16" i="17"/>
  <c r="Q16" i="17"/>
  <c r="J16" i="17"/>
  <c r="I16" i="17"/>
  <c r="E16" i="17"/>
  <c r="D16" i="17"/>
  <c r="R15" i="17"/>
  <c r="Q15" i="17"/>
  <c r="J15" i="17"/>
  <c r="I15" i="17"/>
  <c r="E15" i="17"/>
  <c r="D15" i="17"/>
  <c r="R14" i="17"/>
  <c r="Q14" i="17"/>
  <c r="J14" i="17"/>
  <c r="I14" i="17"/>
  <c r="E14" i="17"/>
  <c r="D14" i="17"/>
  <c r="R13" i="17"/>
  <c r="Q13" i="17"/>
  <c r="J13" i="17"/>
  <c r="I13" i="17"/>
  <c r="E13" i="17"/>
  <c r="D13" i="17"/>
  <c r="R12" i="17"/>
  <c r="Q12" i="17"/>
  <c r="J12" i="17"/>
  <c r="I12" i="17"/>
  <c r="E12" i="17"/>
  <c r="D12" i="17"/>
  <c r="R11" i="17"/>
  <c r="Q11" i="17"/>
  <c r="J11" i="17"/>
  <c r="I11" i="17"/>
  <c r="E11" i="17"/>
  <c r="D11" i="17"/>
  <c r="R10" i="17"/>
  <c r="Q10" i="17"/>
  <c r="J10" i="17"/>
  <c r="I10" i="17"/>
  <c r="E10" i="17"/>
  <c r="D10" i="17"/>
  <c r="R9" i="17"/>
  <c r="Q9" i="17"/>
  <c r="J9" i="17"/>
  <c r="I9" i="17"/>
  <c r="E9" i="17"/>
  <c r="D9" i="17"/>
  <c r="R8" i="17"/>
  <c r="Q8" i="17"/>
  <c r="J8" i="17"/>
  <c r="I8" i="17"/>
  <c r="E8" i="17"/>
  <c r="D8" i="17"/>
  <c r="W8" i="17" s="1"/>
  <c r="R7" i="17"/>
  <c r="Q7" i="17"/>
  <c r="J7" i="17"/>
  <c r="I7" i="17"/>
  <c r="E7" i="17"/>
  <c r="D7" i="17"/>
  <c r="R6" i="17"/>
  <c r="Q6" i="17"/>
  <c r="J6" i="17"/>
  <c r="I6" i="17"/>
  <c r="E6" i="17"/>
  <c r="D6" i="17"/>
  <c r="R5" i="17"/>
  <c r="Q5" i="17"/>
  <c r="J5" i="17"/>
  <c r="I5" i="17"/>
  <c r="E5" i="17"/>
  <c r="D5" i="17"/>
  <c r="R4" i="17"/>
  <c r="Q4" i="17"/>
  <c r="J4" i="17"/>
  <c r="I4" i="17"/>
  <c r="E4" i="17"/>
  <c r="D4" i="17"/>
  <c r="R3" i="17"/>
  <c r="Q3" i="17"/>
  <c r="J3" i="17"/>
  <c r="I3" i="17"/>
  <c r="E3" i="17"/>
  <c r="X3" i="17" s="1"/>
  <c r="D3" i="17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108" i="16"/>
  <c r="U109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E30" i="16"/>
  <c r="E31" i="16"/>
  <c r="E32" i="16"/>
  <c r="E33" i="16"/>
  <c r="X33" i="16" s="1"/>
  <c r="E34" i="16"/>
  <c r="E35" i="16"/>
  <c r="E36" i="16"/>
  <c r="E37" i="16"/>
  <c r="E38" i="16"/>
  <c r="E39" i="16"/>
  <c r="X39" i="16" s="1"/>
  <c r="E40" i="16"/>
  <c r="E41" i="16"/>
  <c r="E42" i="16"/>
  <c r="X42" i="16" s="1"/>
  <c r="E43" i="16"/>
  <c r="E44" i="16"/>
  <c r="E45" i="16"/>
  <c r="E46" i="16"/>
  <c r="X46" i="16" s="1"/>
  <c r="E47" i="16"/>
  <c r="X47" i="16" s="1"/>
  <c r="E48" i="16"/>
  <c r="X48" i="16" s="1"/>
  <c r="E49" i="16"/>
  <c r="X49" i="16" s="1"/>
  <c r="E50" i="16"/>
  <c r="E51" i="16"/>
  <c r="E52" i="16"/>
  <c r="E53" i="16"/>
  <c r="X53" i="16" s="1"/>
  <c r="E54" i="16"/>
  <c r="X54" i="16" s="1"/>
  <c r="E55" i="16"/>
  <c r="E56" i="16"/>
  <c r="E57" i="16"/>
  <c r="E58" i="16"/>
  <c r="E59" i="16"/>
  <c r="X59" i="16" s="1"/>
  <c r="E60" i="16"/>
  <c r="E61" i="16"/>
  <c r="E62" i="16"/>
  <c r="E63" i="16"/>
  <c r="E64" i="16"/>
  <c r="X64" i="16" s="1"/>
  <c r="E65" i="16"/>
  <c r="E66" i="16"/>
  <c r="X66" i="16" s="1"/>
  <c r="E67" i="16"/>
  <c r="E68" i="16"/>
  <c r="E69" i="16"/>
  <c r="X69" i="16" s="1"/>
  <c r="E70" i="16"/>
  <c r="E71" i="16"/>
  <c r="E72" i="16"/>
  <c r="E73" i="16"/>
  <c r="X73" i="16" s="1"/>
  <c r="E74" i="16"/>
  <c r="E75" i="16"/>
  <c r="E76" i="16"/>
  <c r="E77" i="16"/>
  <c r="E78" i="16"/>
  <c r="X78" i="16" s="1"/>
  <c r="E79" i="16"/>
  <c r="X79" i="16" s="1"/>
  <c r="E80" i="16"/>
  <c r="E81" i="16"/>
  <c r="E82" i="16"/>
  <c r="X82" i="16" s="1"/>
  <c r="E83" i="16"/>
  <c r="X83" i="16" s="1"/>
  <c r="E84" i="16"/>
  <c r="X84" i="16" s="1"/>
  <c r="E85" i="16"/>
  <c r="E86" i="16"/>
  <c r="E87" i="16"/>
  <c r="X87" i="16" s="1"/>
  <c r="E88" i="16"/>
  <c r="X88" i="16" s="1"/>
  <c r="E89" i="16"/>
  <c r="X89" i="16" s="1"/>
  <c r="E90" i="16"/>
  <c r="E91" i="16"/>
  <c r="E92" i="16"/>
  <c r="E93" i="16"/>
  <c r="E94" i="16"/>
  <c r="E95" i="16"/>
  <c r="E96" i="16"/>
  <c r="E97" i="16"/>
  <c r="E98" i="16"/>
  <c r="E99" i="16"/>
  <c r="X99" i="16" s="1"/>
  <c r="E100" i="16"/>
  <c r="E101" i="16"/>
  <c r="E102" i="16"/>
  <c r="X102" i="16" s="1"/>
  <c r="E103" i="16"/>
  <c r="X103" i="16" s="1"/>
  <c r="E104" i="16"/>
  <c r="E105" i="16"/>
  <c r="E106" i="16"/>
  <c r="X106" i="16" s="1"/>
  <c r="E107" i="16"/>
  <c r="X107" i="16" s="1"/>
  <c r="E108" i="16"/>
  <c r="X108" i="16" s="1"/>
  <c r="E109" i="16"/>
  <c r="X109" i="16" s="1"/>
  <c r="D30" i="16"/>
  <c r="D31" i="16"/>
  <c r="D32" i="16"/>
  <c r="D33" i="16"/>
  <c r="D34" i="16"/>
  <c r="D35" i="16"/>
  <c r="D36" i="16"/>
  <c r="D37" i="16"/>
  <c r="D38" i="16"/>
  <c r="W38" i="16" s="1"/>
  <c r="D39" i="16"/>
  <c r="D40" i="16"/>
  <c r="D41" i="16"/>
  <c r="D42" i="16"/>
  <c r="W42" i="16" s="1"/>
  <c r="D43" i="16"/>
  <c r="W43" i="16" s="1"/>
  <c r="D44" i="16"/>
  <c r="W44" i="16" s="1"/>
  <c r="D45" i="16"/>
  <c r="D46" i="16"/>
  <c r="W46" i="16" s="1"/>
  <c r="D47" i="16"/>
  <c r="D48" i="16"/>
  <c r="W48" i="16" s="1"/>
  <c r="D49" i="16"/>
  <c r="W49" i="16" s="1"/>
  <c r="D50" i="16"/>
  <c r="D51" i="16"/>
  <c r="D52" i="16"/>
  <c r="D53" i="16"/>
  <c r="D54" i="16"/>
  <c r="D55" i="16"/>
  <c r="D56" i="16"/>
  <c r="D57" i="16"/>
  <c r="D58" i="16"/>
  <c r="D59" i="16"/>
  <c r="W59" i="16" s="1"/>
  <c r="D60" i="16"/>
  <c r="D61" i="16"/>
  <c r="W61" i="16" s="1"/>
  <c r="D62" i="16"/>
  <c r="D63" i="16"/>
  <c r="W63" i="16" s="1"/>
  <c r="D64" i="16"/>
  <c r="W64" i="16" s="1"/>
  <c r="D65" i="16"/>
  <c r="D66" i="16"/>
  <c r="W66" i="16" s="1"/>
  <c r="D67" i="16"/>
  <c r="D68" i="16"/>
  <c r="D69" i="16"/>
  <c r="W69" i="16" s="1"/>
  <c r="D70" i="16"/>
  <c r="D71" i="16"/>
  <c r="D72" i="16"/>
  <c r="D73" i="16"/>
  <c r="D74" i="16"/>
  <c r="D75" i="16"/>
  <c r="D76" i="16"/>
  <c r="W76" i="16" s="1"/>
  <c r="D77" i="16"/>
  <c r="D78" i="16"/>
  <c r="D79" i="16"/>
  <c r="D80" i="16"/>
  <c r="D81" i="16"/>
  <c r="W81" i="16" s="1"/>
  <c r="D82" i="16"/>
  <c r="W82" i="16" s="1"/>
  <c r="D83" i="16"/>
  <c r="D84" i="16"/>
  <c r="D85" i="16"/>
  <c r="D86" i="16"/>
  <c r="W86" i="16" s="1"/>
  <c r="D87" i="16"/>
  <c r="D88" i="16"/>
  <c r="D89" i="16"/>
  <c r="W89" i="16" s="1"/>
  <c r="D90" i="16"/>
  <c r="D91" i="16"/>
  <c r="D92" i="16"/>
  <c r="D93" i="16"/>
  <c r="D94" i="16"/>
  <c r="D95" i="16"/>
  <c r="D96" i="16"/>
  <c r="D97" i="16"/>
  <c r="D98" i="16"/>
  <c r="W98" i="16" s="1"/>
  <c r="D99" i="16"/>
  <c r="D100" i="16"/>
  <c r="D101" i="16"/>
  <c r="D102" i="16"/>
  <c r="W102" i="16" s="1"/>
  <c r="D103" i="16"/>
  <c r="W103" i="16" s="1"/>
  <c r="D104" i="16"/>
  <c r="D105" i="16"/>
  <c r="D106" i="16"/>
  <c r="W106" i="16" s="1"/>
  <c r="D107" i="16"/>
  <c r="D108" i="16"/>
  <c r="D109" i="16"/>
  <c r="W109" i="16" s="1"/>
  <c r="X104" i="16"/>
  <c r="W101" i="16"/>
  <c r="W99" i="16"/>
  <c r="X98" i="16"/>
  <c r="X96" i="16"/>
  <c r="W96" i="16"/>
  <c r="X94" i="16"/>
  <c r="W94" i="16"/>
  <c r="X93" i="16"/>
  <c r="X92" i="16"/>
  <c r="W92" i="16"/>
  <c r="W91" i="16"/>
  <c r="W88" i="16"/>
  <c r="X86" i="16"/>
  <c r="W84" i="16"/>
  <c r="W83" i="16"/>
  <c r="W78" i="16"/>
  <c r="X77" i="16"/>
  <c r="X76" i="16"/>
  <c r="X74" i="16"/>
  <c r="W74" i="16"/>
  <c r="W73" i="16"/>
  <c r="X72" i="16"/>
  <c r="W72" i="16"/>
  <c r="W71" i="16"/>
  <c r="X63" i="16"/>
  <c r="X62" i="16"/>
  <c r="W62" i="16"/>
  <c r="X58" i="16"/>
  <c r="W58" i="16"/>
  <c r="X56" i="16"/>
  <c r="W56" i="16"/>
  <c r="W54" i="16"/>
  <c r="X52" i="16"/>
  <c r="W52" i="16"/>
  <c r="W51" i="16"/>
  <c r="X44" i="16"/>
  <c r="X43" i="16"/>
  <c r="W41" i="16"/>
  <c r="X38" i="16"/>
  <c r="X37" i="16"/>
  <c r="X36" i="16"/>
  <c r="W36" i="16"/>
  <c r="W34" i="16"/>
  <c r="W33" i="16"/>
  <c r="X32" i="16"/>
  <c r="W32" i="16"/>
  <c r="W31" i="16"/>
  <c r="E29" i="16"/>
  <c r="X29" i="16" s="1"/>
  <c r="D29" i="16"/>
  <c r="W29" i="16" s="1"/>
  <c r="E28" i="16"/>
  <c r="X28" i="16" s="1"/>
  <c r="D28" i="16"/>
  <c r="E27" i="16"/>
  <c r="X27" i="16" s="1"/>
  <c r="D27" i="16"/>
  <c r="E26" i="16"/>
  <c r="X26" i="16" s="1"/>
  <c r="D26" i="16"/>
  <c r="W26" i="16" s="1"/>
  <c r="E25" i="16"/>
  <c r="D25" i="16"/>
  <c r="E24" i="16"/>
  <c r="X24" i="16" s="1"/>
  <c r="D24" i="16"/>
  <c r="E23" i="16"/>
  <c r="X23" i="16" s="1"/>
  <c r="D23" i="16"/>
  <c r="W23" i="16" s="1"/>
  <c r="E22" i="16"/>
  <c r="D22" i="16"/>
  <c r="W22" i="16" s="1"/>
  <c r="E21" i="16"/>
  <c r="D21" i="16"/>
  <c r="W21" i="16" s="1"/>
  <c r="R20" i="16"/>
  <c r="Q20" i="16"/>
  <c r="E20" i="16"/>
  <c r="D20" i="16"/>
  <c r="R19" i="16"/>
  <c r="Q19" i="16"/>
  <c r="E19" i="16"/>
  <c r="X19" i="16" s="1"/>
  <c r="D19" i="16"/>
  <c r="W19" i="16" s="1"/>
  <c r="R18" i="16"/>
  <c r="Q18" i="16"/>
  <c r="E18" i="16"/>
  <c r="X18" i="16" s="1"/>
  <c r="D18" i="16"/>
  <c r="W18" i="16" s="1"/>
  <c r="R17" i="16"/>
  <c r="Q17" i="16"/>
  <c r="E17" i="16"/>
  <c r="D17" i="16"/>
  <c r="R16" i="16"/>
  <c r="Q16" i="16"/>
  <c r="E16" i="16"/>
  <c r="X16" i="16" s="1"/>
  <c r="D16" i="16"/>
  <c r="W16" i="16" s="1"/>
  <c r="R15" i="16"/>
  <c r="Q15" i="16"/>
  <c r="E15" i="16"/>
  <c r="D15" i="16"/>
  <c r="R14" i="16"/>
  <c r="Q14" i="16"/>
  <c r="E14" i="16"/>
  <c r="X14" i="16" s="1"/>
  <c r="D14" i="16"/>
  <c r="W14" i="16" s="1"/>
  <c r="R13" i="16"/>
  <c r="Q13" i="16"/>
  <c r="E13" i="16"/>
  <c r="D13" i="16"/>
  <c r="R12" i="16"/>
  <c r="Q12" i="16"/>
  <c r="E12" i="16"/>
  <c r="X12" i="16" s="1"/>
  <c r="D12" i="16"/>
  <c r="W12" i="16" s="1"/>
  <c r="R11" i="16"/>
  <c r="Q11" i="16"/>
  <c r="E11" i="16"/>
  <c r="X11" i="16" s="1"/>
  <c r="D11" i="16"/>
  <c r="W11" i="16" s="1"/>
  <c r="R10" i="16"/>
  <c r="Q10" i="16"/>
  <c r="E10" i="16"/>
  <c r="D10" i="16"/>
  <c r="R9" i="16"/>
  <c r="Q9" i="16"/>
  <c r="E9" i="16"/>
  <c r="D9" i="16"/>
  <c r="R8" i="16"/>
  <c r="Q8" i="16"/>
  <c r="E8" i="16"/>
  <c r="X8" i="16" s="1"/>
  <c r="D8" i="16"/>
  <c r="W8" i="16" s="1"/>
  <c r="R7" i="16"/>
  <c r="Q7" i="16"/>
  <c r="E7" i="16"/>
  <c r="D7" i="16"/>
  <c r="W7" i="16" s="1"/>
  <c r="R6" i="16"/>
  <c r="Q6" i="16"/>
  <c r="E6" i="16"/>
  <c r="X6" i="16" s="1"/>
  <c r="D6" i="16"/>
  <c r="W6" i="16" s="1"/>
  <c r="R5" i="16"/>
  <c r="Q5" i="16"/>
  <c r="E5" i="16"/>
  <c r="D5" i="16"/>
  <c r="R4" i="16"/>
  <c r="Q4" i="16"/>
  <c r="E4" i="16"/>
  <c r="X4" i="16" s="1"/>
  <c r="D4" i="16"/>
  <c r="W4" i="16" s="1"/>
  <c r="R3" i="16"/>
  <c r="Q3" i="16"/>
  <c r="E3" i="16"/>
  <c r="X3" i="16" s="1"/>
  <c r="D3" i="16"/>
  <c r="T3" i="16" s="1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W109" i="14"/>
  <c r="U109" i="14"/>
  <c r="R109" i="14"/>
  <c r="Q109" i="14"/>
  <c r="O109" i="14"/>
  <c r="N109" i="14"/>
  <c r="J109" i="14"/>
  <c r="I109" i="14"/>
  <c r="E109" i="14"/>
  <c r="D109" i="14"/>
  <c r="W108" i="14"/>
  <c r="R108" i="14"/>
  <c r="Q108" i="14"/>
  <c r="O108" i="14"/>
  <c r="N108" i="14"/>
  <c r="J108" i="14"/>
  <c r="I108" i="14"/>
  <c r="E108" i="14"/>
  <c r="U108" i="14" s="1"/>
  <c r="D108" i="14"/>
  <c r="T108" i="14" s="1"/>
  <c r="R107" i="14"/>
  <c r="Q107" i="14"/>
  <c r="O107" i="14"/>
  <c r="N107" i="14"/>
  <c r="J107" i="14"/>
  <c r="I107" i="14"/>
  <c r="W107" i="14" s="1"/>
  <c r="E107" i="14"/>
  <c r="X107" i="14" s="1"/>
  <c r="D107" i="14"/>
  <c r="R106" i="14"/>
  <c r="Q106" i="14"/>
  <c r="O106" i="14"/>
  <c r="N106" i="14"/>
  <c r="J106" i="14"/>
  <c r="I106" i="14"/>
  <c r="E106" i="14"/>
  <c r="X106" i="14" s="1"/>
  <c r="D106" i="14"/>
  <c r="W106" i="14" s="1"/>
  <c r="R105" i="14"/>
  <c r="Q105" i="14"/>
  <c r="O105" i="14"/>
  <c r="N105" i="14"/>
  <c r="W105" i="14" s="1"/>
  <c r="J105" i="14"/>
  <c r="I105" i="14"/>
  <c r="E105" i="14"/>
  <c r="D105" i="14"/>
  <c r="R104" i="14"/>
  <c r="Q104" i="14"/>
  <c r="O104" i="14"/>
  <c r="N104" i="14"/>
  <c r="J104" i="14"/>
  <c r="I104" i="14"/>
  <c r="E104" i="14"/>
  <c r="U104" i="14" s="1"/>
  <c r="D104" i="14"/>
  <c r="R103" i="14"/>
  <c r="Q103" i="14"/>
  <c r="O103" i="14"/>
  <c r="N103" i="14"/>
  <c r="J103" i="14"/>
  <c r="I103" i="14"/>
  <c r="E103" i="14"/>
  <c r="D103" i="14"/>
  <c r="R102" i="14"/>
  <c r="Q102" i="14"/>
  <c r="O102" i="14"/>
  <c r="N102" i="14"/>
  <c r="J102" i="14"/>
  <c r="I102" i="14"/>
  <c r="E102" i="14"/>
  <c r="D102" i="14"/>
  <c r="R101" i="14"/>
  <c r="Q101" i="14"/>
  <c r="O101" i="14"/>
  <c r="N101" i="14"/>
  <c r="J101" i="14"/>
  <c r="I101" i="14"/>
  <c r="E101" i="14"/>
  <c r="D101" i="14"/>
  <c r="W101" i="14" s="1"/>
  <c r="T100" i="14"/>
  <c r="R100" i="14"/>
  <c r="Q100" i="14"/>
  <c r="O100" i="14"/>
  <c r="N100" i="14"/>
  <c r="J100" i="14"/>
  <c r="U100" i="14" s="1"/>
  <c r="I100" i="14"/>
  <c r="W100" i="14" s="1"/>
  <c r="E100" i="14"/>
  <c r="D100" i="14"/>
  <c r="R99" i="14"/>
  <c r="Q99" i="14"/>
  <c r="O99" i="14"/>
  <c r="N99" i="14"/>
  <c r="J99" i="14"/>
  <c r="I99" i="14"/>
  <c r="W99" i="14" s="1"/>
  <c r="E99" i="14"/>
  <c r="X99" i="14" s="1"/>
  <c r="D99" i="14"/>
  <c r="R98" i="14"/>
  <c r="Q98" i="14"/>
  <c r="O98" i="14"/>
  <c r="N98" i="14"/>
  <c r="J98" i="14"/>
  <c r="I98" i="14"/>
  <c r="E98" i="14"/>
  <c r="D98" i="14"/>
  <c r="W97" i="14"/>
  <c r="R97" i="14"/>
  <c r="Q97" i="14"/>
  <c r="O97" i="14"/>
  <c r="N97" i="14"/>
  <c r="J97" i="14"/>
  <c r="I97" i="14"/>
  <c r="E97" i="14"/>
  <c r="D97" i="14"/>
  <c r="U96" i="14"/>
  <c r="R96" i="14"/>
  <c r="Q96" i="14"/>
  <c r="O96" i="14"/>
  <c r="N96" i="14"/>
  <c r="J96" i="14"/>
  <c r="I96" i="14"/>
  <c r="E96" i="14"/>
  <c r="D96" i="14"/>
  <c r="T96" i="14" s="1"/>
  <c r="R95" i="14"/>
  <c r="Q95" i="14"/>
  <c r="O95" i="14"/>
  <c r="N95" i="14"/>
  <c r="J95" i="14"/>
  <c r="I95" i="14"/>
  <c r="W95" i="14" s="1"/>
  <c r="E95" i="14"/>
  <c r="D95" i="14"/>
  <c r="R94" i="14"/>
  <c r="Q94" i="14"/>
  <c r="O94" i="14"/>
  <c r="N94" i="14"/>
  <c r="J94" i="14"/>
  <c r="I94" i="14"/>
  <c r="E94" i="14"/>
  <c r="D94" i="14"/>
  <c r="W94" i="14" s="1"/>
  <c r="R93" i="14"/>
  <c r="Q93" i="14"/>
  <c r="O93" i="14"/>
  <c r="N93" i="14"/>
  <c r="J93" i="14"/>
  <c r="I93" i="14"/>
  <c r="E93" i="14"/>
  <c r="D93" i="14"/>
  <c r="W92" i="14"/>
  <c r="U92" i="14"/>
  <c r="T92" i="14"/>
  <c r="R92" i="14"/>
  <c r="Q92" i="14"/>
  <c r="O92" i="14"/>
  <c r="X92" i="14" s="1"/>
  <c r="N92" i="14"/>
  <c r="J92" i="14"/>
  <c r="I92" i="14"/>
  <c r="E92" i="14"/>
  <c r="D92" i="14"/>
  <c r="R91" i="14"/>
  <c r="Q91" i="14"/>
  <c r="O91" i="14"/>
  <c r="N91" i="14"/>
  <c r="J91" i="14"/>
  <c r="I91" i="14"/>
  <c r="E91" i="14"/>
  <c r="D91" i="14"/>
  <c r="R90" i="14"/>
  <c r="Q90" i="14"/>
  <c r="O90" i="14"/>
  <c r="N90" i="14"/>
  <c r="J90" i="14"/>
  <c r="I90" i="14"/>
  <c r="E90" i="14"/>
  <c r="D90" i="14"/>
  <c r="R89" i="14"/>
  <c r="Q89" i="14"/>
  <c r="O89" i="14"/>
  <c r="N89" i="14"/>
  <c r="J89" i="14"/>
  <c r="I89" i="14"/>
  <c r="E89" i="14"/>
  <c r="X89" i="14" s="1"/>
  <c r="D89" i="14"/>
  <c r="R88" i="14"/>
  <c r="Q88" i="14"/>
  <c r="O88" i="14"/>
  <c r="N88" i="14"/>
  <c r="J88" i="14"/>
  <c r="I88" i="14"/>
  <c r="E88" i="14"/>
  <c r="D88" i="14"/>
  <c r="R87" i="14"/>
  <c r="Q87" i="14"/>
  <c r="O87" i="14"/>
  <c r="N87" i="14"/>
  <c r="J87" i="14"/>
  <c r="I87" i="14"/>
  <c r="E87" i="14"/>
  <c r="D87" i="14"/>
  <c r="R86" i="14"/>
  <c r="Q86" i="14"/>
  <c r="O86" i="14"/>
  <c r="N86" i="14"/>
  <c r="J86" i="14"/>
  <c r="I86" i="14"/>
  <c r="E86" i="14"/>
  <c r="X86" i="14" s="1"/>
  <c r="D86" i="14"/>
  <c r="W86" i="14" s="1"/>
  <c r="W85" i="14"/>
  <c r="R85" i="14"/>
  <c r="Q85" i="14"/>
  <c r="O85" i="14"/>
  <c r="N85" i="14"/>
  <c r="J85" i="14"/>
  <c r="I85" i="14"/>
  <c r="E85" i="14"/>
  <c r="X85" i="14" s="1"/>
  <c r="D85" i="14"/>
  <c r="T85" i="14" s="1"/>
  <c r="R84" i="14"/>
  <c r="Q84" i="14"/>
  <c r="O84" i="14"/>
  <c r="N84" i="14"/>
  <c r="J84" i="14"/>
  <c r="I84" i="14"/>
  <c r="E84" i="14"/>
  <c r="U84" i="14" s="1"/>
  <c r="D84" i="14"/>
  <c r="R83" i="14"/>
  <c r="Q83" i="14"/>
  <c r="O83" i="14"/>
  <c r="N83" i="14"/>
  <c r="J83" i="14"/>
  <c r="I83" i="14"/>
  <c r="E83" i="14"/>
  <c r="D83" i="14"/>
  <c r="R82" i="14"/>
  <c r="Q82" i="14"/>
  <c r="O82" i="14"/>
  <c r="N82" i="14"/>
  <c r="J82" i="14"/>
  <c r="I82" i="14"/>
  <c r="E82" i="14"/>
  <c r="D82" i="14"/>
  <c r="R81" i="14"/>
  <c r="Q81" i="14"/>
  <c r="O81" i="14"/>
  <c r="N81" i="14"/>
  <c r="J81" i="14"/>
  <c r="I81" i="14"/>
  <c r="W81" i="14" s="1"/>
  <c r="E81" i="14"/>
  <c r="D81" i="14"/>
  <c r="U80" i="14"/>
  <c r="R80" i="14"/>
  <c r="Q80" i="14"/>
  <c r="O80" i="14"/>
  <c r="N80" i="14"/>
  <c r="J80" i="14"/>
  <c r="I80" i="14"/>
  <c r="E80" i="14"/>
  <c r="D80" i="14"/>
  <c r="R79" i="14"/>
  <c r="Q79" i="14"/>
  <c r="O79" i="14"/>
  <c r="N79" i="14"/>
  <c r="J79" i="14"/>
  <c r="I79" i="14"/>
  <c r="W79" i="14" s="1"/>
  <c r="E79" i="14"/>
  <c r="X79" i="14" s="1"/>
  <c r="D79" i="14"/>
  <c r="R78" i="14"/>
  <c r="Q78" i="14"/>
  <c r="O78" i="14"/>
  <c r="N78" i="14"/>
  <c r="J78" i="14"/>
  <c r="I78" i="14"/>
  <c r="E78" i="14"/>
  <c r="D78" i="14"/>
  <c r="W78" i="14" s="1"/>
  <c r="R77" i="14"/>
  <c r="Q77" i="14"/>
  <c r="O77" i="14"/>
  <c r="N77" i="14"/>
  <c r="J77" i="14"/>
  <c r="I77" i="14"/>
  <c r="E77" i="14"/>
  <c r="X77" i="14" s="1"/>
  <c r="D77" i="14"/>
  <c r="W76" i="14"/>
  <c r="U76" i="14"/>
  <c r="R76" i="14"/>
  <c r="Q76" i="14"/>
  <c r="O76" i="14"/>
  <c r="N76" i="14"/>
  <c r="J76" i="14"/>
  <c r="I76" i="14"/>
  <c r="E76" i="14"/>
  <c r="D76" i="14"/>
  <c r="T76" i="14" s="1"/>
  <c r="R75" i="14"/>
  <c r="Q75" i="14"/>
  <c r="O75" i="14"/>
  <c r="N75" i="14"/>
  <c r="J75" i="14"/>
  <c r="I75" i="14"/>
  <c r="E75" i="14"/>
  <c r="X75" i="14" s="1"/>
  <c r="D75" i="14"/>
  <c r="R74" i="14"/>
  <c r="Q74" i="14"/>
  <c r="O74" i="14"/>
  <c r="N74" i="14"/>
  <c r="J74" i="14"/>
  <c r="I74" i="14"/>
  <c r="E74" i="14"/>
  <c r="D74" i="14"/>
  <c r="W74" i="14" s="1"/>
  <c r="R73" i="14"/>
  <c r="Q73" i="14"/>
  <c r="O73" i="14"/>
  <c r="N73" i="14"/>
  <c r="J73" i="14"/>
  <c r="I73" i="14"/>
  <c r="E73" i="14"/>
  <c r="D73" i="14"/>
  <c r="W72" i="14"/>
  <c r="T72" i="14"/>
  <c r="R72" i="14"/>
  <c r="Q72" i="14"/>
  <c r="O72" i="14"/>
  <c r="X72" i="14" s="1"/>
  <c r="N72" i="14"/>
  <c r="J72" i="14"/>
  <c r="I72" i="14"/>
  <c r="E72" i="14"/>
  <c r="D72" i="14"/>
  <c r="R71" i="14"/>
  <c r="Q71" i="14"/>
  <c r="O71" i="14"/>
  <c r="N71" i="14"/>
  <c r="J71" i="14"/>
  <c r="I71" i="14"/>
  <c r="E71" i="14"/>
  <c r="X71" i="14" s="1"/>
  <c r="D71" i="14"/>
  <c r="R70" i="14"/>
  <c r="Q70" i="14"/>
  <c r="O70" i="14"/>
  <c r="N70" i="14"/>
  <c r="J70" i="14"/>
  <c r="I70" i="14"/>
  <c r="E70" i="14"/>
  <c r="X70" i="14" s="1"/>
  <c r="D70" i="14"/>
  <c r="R69" i="14"/>
  <c r="Q69" i="14"/>
  <c r="O69" i="14"/>
  <c r="N69" i="14"/>
  <c r="J69" i="14"/>
  <c r="I69" i="14"/>
  <c r="E69" i="14"/>
  <c r="X69" i="14" s="1"/>
  <c r="D69" i="14"/>
  <c r="R68" i="14"/>
  <c r="Q68" i="14"/>
  <c r="O68" i="14"/>
  <c r="X68" i="14" s="1"/>
  <c r="N68" i="14"/>
  <c r="J68" i="14"/>
  <c r="I68" i="14"/>
  <c r="E68" i="14"/>
  <c r="D68" i="14"/>
  <c r="W68" i="14" s="1"/>
  <c r="R67" i="14"/>
  <c r="Q67" i="14"/>
  <c r="O67" i="14"/>
  <c r="N67" i="14"/>
  <c r="J67" i="14"/>
  <c r="I67" i="14"/>
  <c r="E67" i="14"/>
  <c r="D67" i="14"/>
  <c r="R66" i="14"/>
  <c r="Q66" i="14"/>
  <c r="O66" i="14"/>
  <c r="N66" i="14"/>
  <c r="J66" i="14"/>
  <c r="I66" i="14"/>
  <c r="E66" i="14"/>
  <c r="X66" i="14" s="1"/>
  <c r="D66" i="14"/>
  <c r="W65" i="14"/>
  <c r="R65" i="14"/>
  <c r="Q65" i="14"/>
  <c r="O65" i="14"/>
  <c r="N65" i="14"/>
  <c r="J65" i="14"/>
  <c r="I65" i="14"/>
  <c r="E65" i="14"/>
  <c r="X65" i="14" s="1"/>
  <c r="D65" i="14"/>
  <c r="T65" i="14" s="1"/>
  <c r="T64" i="14"/>
  <c r="R64" i="14"/>
  <c r="Q64" i="14"/>
  <c r="O64" i="14"/>
  <c r="N64" i="14"/>
  <c r="J64" i="14"/>
  <c r="I64" i="14"/>
  <c r="E64" i="14"/>
  <c r="U64" i="14" s="1"/>
  <c r="D64" i="14"/>
  <c r="W64" i="14" s="1"/>
  <c r="R63" i="14"/>
  <c r="Q63" i="14"/>
  <c r="O63" i="14"/>
  <c r="N63" i="14"/>
  <c r="J63" i="14"/>
  <c r="I63" i="14"/>
  <c r="E63" i="14"/>
  <c r="D63" i="14"/>
  <c r="R62" i="14"/>
  <c r="Q62" i="14"/>
  <c r="O62" i="14"/>
  <c r="N62" i="14"/>
  <c r="J62" i="14"/>
  <c r="I62" i="14"/>
  <c r="E62" i="14"/>
  <c r="X62" i="14" s="1"/>
  <c r="D62" i="14"/>
  <c r="R61" i="14"/>
  <c r="Q61" i="14"/>
  <c r="O61" i="14"/>
  <c r="N61" i="14"/>
  <c r="J61" i="14"/>
  <c r="I61" i="14"/>
  <c r="W61" i="14" s="1"/>
  <c r="E61" i="14"/>
  <c r="D61" i="14"/>
  <c r="R60" i="14"/>
  <c r="Q60" i="14"/>
  <c r="O60" i="14"/>
  <c r="N60" i="14"/>
  <c r="T60" i="14" s="1"/>
  <c r="J60" i="14"/>
  <c r="I60" i="14"/>
  <c r="E60" i="14"/>
  <c r="U60" i="14" s="1"/>
  <c r="D60" i="14"/>
  <c r="W60" i="14" s="1"/>
  <c r="R59" i="14"/>
  <c r="Q59" i="14"/>
  <c r="O59" i="14"/>
  <c r="N59" i="14"/>
  <c r="J59" i="14"/>
  <c r="I59" i="14"/>
  <c r="W59" i="14" s="1"/>
  <c r="E59" i="14"/>
  <c r="X59" i="14" s="1"/>
  <c r="D59" i="14"/>
  <c r="R58" i="14"/>
  <c r="Q58" i="14"/>
  <c r="O58" i="14"/>
  <c r="N58" i="14"/>
  <c r="J58" i="14"/>
  <c r="I58" i="14"/>
  <c r="E58" i="14"/>
  <c r="D58" i="14"/>
  <c r="W58" i="14" s="1"/>
  <c r="R57" i="14"/>
  <c r="Q57" i="14"/>
  <c r="O57" i="14"/>
  <c r="N57" i="14"/>
  <c r="J57" i="14"/>
  <c r="I57" i="14"/>
  <c r="E57" i="14"/>
  <c r="D57" i="14"/>
  <c r="U56" i="14"/>
  <c r="R56" i="14"/>
  <c r="Q56" i="14"/>
  <c r="O56" i="14"/>
  <c r="N56" i="14"/>
  <c r="J56" i="14"/>
  <c r="I56" i="14"/>
  <c r="E56" i="14"/>
  <c r="D56" i="14"/>
  <c r="T56" i="14" s="1"/>
  <c r="R55" i="14"/>
  <c r="Q55" i="14"/>
  <c r="O55" i="14"/>
  <c r="N55" i="14"/>
  <c r="J55" i="14"/>
  <c r="I55" i="14"/>
  <c r="E55" i="14"/>
  <c r="D55" i="14"/>
  <c r="R54" i="14"/>
  <c r="Q54" i="14"/>
  <c r="O54" i="14"/>
  <c r="N54" i="14"/>
  <c r="J54" i="14"/>
  <c r="I54" i="14"/>
  <c r="E54" i="14"/>
  <c r="D54" i="14"/>
  <c r="W54" i="14" s="1"/>
  <c r="R53" i="14"/>
  <c r="Q53" i="14"/>
  <c r="O53" i="14"/>
  <c r="N53" i="14"/>
  <c r="J53" i="14"/>
  <c r="I53" i="14"/>
  <c r="E53" i="14"/>
  <c r="D53" i="14"/>
  <c r="W52" i="14"/>
  <c r="U52" i="14"/>
  <c r="T52" i="14"/>
  <c r="R52" i="14"/>
  <c r="Q52" i="14"/>
  <c r="O52" i="14"/>
  <c r="X52" i="14" s="1"/>
  <c r="N52" i="14"/>
  <c r="J52" i="14"/>
  <c r="I52" i="14"/>
  <c r="E52" i="14"/>
  <c r="D52" i="14"/>
  <c r="R51" i="14"/>
  <c r="Q51" i="14"/>
  <c r="O51" i="14"/>
  <c r="N51" i="14"/>
  <c r="J51" i="14"/>
  <c r="I51" i="14"/>
  <c r="E51" i="14"/>
  <c r="X51" i="14" s="1"/>
  <c r="D51" i="14"/>
  <c r="R50" i="14"/>
  <c r="Q50" i="14"/>
  <c r="O50" i="14"/>
  <c r="N50" i="14"/>
  <c r="J50" i="14"/>
  <c r="I50" i="14"/>
  <c r="E50" i="14"/>
  <c r="D50" i="14"/>
  <c r="R49" i="14"/>
  <c r="Q49" i="14"/>
  <c r="O49" i="14"/>
  <c r="N49" i="14"/>
  <c r="J49" i="14"/>
  <c r="I49" i="14"/>
  <c r="E49" i="14"/>
  <c r="X49" i="14" s="1"/>
  <c r="D49" i="14"/>
  <c r="R48" i="14"/>
  <c r="Q48" i="14"/>
  <c r="O48" i="14"/>
  <c r="N48" i="14"/>
  <c r="J48" i="14"/>
  <c r="I48" i="14"/>
  <c r="E48" i="14"/>
  <c r="D48" i="14"/>
  <c r="R47" i="14"/>
  <c r="Q47" i="14"/>
  <c r="O47" i="14"/>
  <c r="N47" i="14"/>
  <c r="J47" i="14"/>
  <c r="I47" i="14"/>
  <c r="E47" i="14"/>
  <c r="D47" i="14"/>
  <c r="R46" i="14"/>
  <c r="Q46" i="14"/>
  <c r="O46" i="14"/>
  <c r="N46" i="14"/>
  <c r="J46" i="14"/>
  <c r="I46" i="14"/>
  <c r="E46" i="14"/>
  <c r="X46" i="14" s="1"/>
  <c r="D46" i="14"/>
  <c r="W46" i="14" s="1"/>
  <c r="W45" i="14"/>
  <c r="R45" i="14"/>
  <c r="Q45" i="14"/>
  <c r="O45" i="14"/>
  <c r="N45" i="14"/>
  <c r="J45" i="14"/>
  <c r="I45" i="14"/>
  <c r="E45" i="14"/>
  <c r="X45" i="14" s="1"/>
  <c r="D45" i="14"/>
  <c r="T45" i="14" s="1"/>
  <c r="R44" i="14"/>
  <c r="Q44" i="14"/>
  <c r="O44" i="14"/>
  <c r="N44" i="14"/>
  <c r="J44" i="14"/>
  <c r="I44" i="14"/>
  <c r="E44" i="14"/>
  <c r="U44" i="14" s="1"/>
  <c r="D44" i="14"/>
  <c r="W44" i="14" s="1"/>
  <c r="R43" i="14"/>
  <c r="Q43" i="14"/>
  <c r="O43" i="14"/>
  <c r="N43" i="14"/>
  <c r="J43" i="14"/>
  <c r="I43" i="14"/>
  <c r="E43" i="14"/>
  <c r="D43" i="14"/>
  <c r="R42" i="14"/>
  <c r="Q42" i="14"/>
  <c r="O42" i="14"/>
  <c r="N42" i="14"/>
  <c r="J42" i="14"/>
  <c r="I42" i="14"/>
  <c r="E42" i="14"/>
  <c r="X42" i="14" s="1"/>
  <c r="D42" i="14"/>
  <c r="R41" i="14"/>
  <c r="Q41" i="14"/>
  <c r="O41" i="14"/>
  <c r="N41" i="14"/>
  <c r="J41" i="14"/>
  <c r="I41" i="14"/>
  <c r="E41" i="14"/>
  <c r="D41" i="14"/>
  <c r="T40" i="14"/>
  <c r="R40" i="14"/>
  <c r="Q40" i="14"/>
  <c r="O40" i="14"/>
  <c r="N40" i="14"/>
  <c r="W40" i="14" s="1"/>
  <c r="J40" i="14"/>
  <c r="I40" i="14"/>
  <c r="E40" i="14"/>
  <c r="U40" i="14" s="1"/>
  <c r="D40" i="14"/>
  <c r="R39" i="14"/>
  <c r="Q39" i="14"/>
  <c r="O39" i="14"/>
  <c r="N39" i="14"/>
  <c r="J39" i="14"/>
  <c r="I39" i="14"/>
  <c r="W39" i="14" s="1"/>
  <c r="E39" i="14"/>
  <c r="X39" i="14" s="1"/>
  <c r="D39" i="14"/>
  <c r="R38" i="14"/>
  <c r="Q38" i="14"/>
  <c r="O38" i="14"/>
  <c r="N38" i="14"/>
  <c r="J38" i="14"/>
  <c r="I38" i="14"/>
  <c r="E38" i="14"/>
  <c r="D38" i="14"/>
  <c r="R37" i="14"/>
  <c r="Q37" i="14"/>
  <c r="O37" i="14"/>
  <c r="N37" i="14"/>
  <c r="J37" i="14"/>
  <c r="I37" i="14"/>
  <c r="E37" i="14"/>
  <c r="X37" i="14" s="1"/>
  <c r="D37" i="14"/>
  <c r="U36" i="14"/>
  <c r="R36" i="14"/>
  <c r="Q36" i="14"/>
  <c r="O36" i="14"/>
  <c r="N36" i="14"/>
  <c r="W36" i="14" s="1"/>
  <c r="J36" i="14"/>
  <c r="I36" i="14"/>
  <c r="E36" i="14"/>
  <c r="D36" i="14"/>
  <c r="R35" i="14"/>
  <c r="Q35" i="14"/>
  <c r="O35" i="14"/>
  <c r="N35" i="14"/>
  <c r="J35" i="14"/>
  <c r="I35" i="14"/>
  <c r="E35" i="14"/>
  <c r="X35" i="14" s="1"/>
  <c r="D35" i="14"/>
  <c r="R34" i="14"/>
  <c r="Q34" i="14"/>
  <c r="O34" i="14"/>
  <c r="N34" i="14"/>
  <c r="J34" i="14"/>
  <c r="I34" i="14"/>
  <c r="E34" i="14"/>
  <c r="D34" i="14"/>
  <c r="W34" i="14" s="1"/>
  <c r="W33" i="14"/>
  <c r="R33" i="14"/>
  <c r="Q33" i="14"/>
  <c r="O33" i="14"/>
  <c r="N33" i="14"/>
  <c r="J33" i="14"/>
  <c r="I33" i="14"/>
  <c r="E33" i="14"/>
  <c r="D33" i="14"/>
  <c r="T33" i="14" s="1"/>
  <c r="R32" i="14"/>
  <c r="Q32" i="14"/>
  <c r="O32" i="14"/>
  <c r="X32" i="14" s="1"/>
  <c r="N32" i="14"/>
  <c r="J32" i="14"/>
  <c r="I32" i="14"/>
  <c r="E32" i="14"/>
  <c r="D32" i="14"/>
  <c r="R31" i="14"/>
  <c r="Q31" i="14"/>
  <c r="O31" i="14"/>
  <c r="N31" i="14"/>
  <c r="J31" i="14"/>
  <c r="I31" i="14"/>
  <c r="E31" i="14"/>
  <c r="X31" i="14" s="1"/>
  <c r="D31" i="14"/>
  <c r="R30" i="14"/>
  <c r="Q30" i="14"/>
  <c r="O30" i="14"/>
  <c r="N30" i="14"/>
  <c r="J30" i="14"/>
  <c r="I30" i="14"/>
  <c r="E30" i="14"/>
  <c r="X30" i="14" s="1"/>
  <c r="D30" i="14"/>
  <c r="R29" i="14"/>
  <c r="Q29" i="14"/>
  <c r="O29" i="14"/>
  <c r="N29" i="14"/>
  <c r="J29" i="14"/>
  <c r="I29" i="14"/>
  <c r="E29" i="14"/>
  <c r="D29" i="14"/>
  <c r="R28" i="14"/>
  <c r="Q28" i="14"/>
  <c r="O28" i="14"/>
  <c r="X28" i="14" s="1"/>
  <c r="N28" i="14"/>
  <c r="J28" i="14"/>
  <c r="I28" i="14"/>
  <c r="E28" i="14"/>
  <c r="D28" i="14"/>
  <c r="W28" i="14" s="1"/>
  <c r="R27" i="14"/>
  <c r="Q27" i="14"/>
  <c r="O27" i="14"/>
  <c r="N27" i="14"/>
  <c r="J27" i="14"/>
  <c r="I27" i="14"/>
  <c r="E27" i="14"/>
  <c r="D27" i="14"/>
  <c r="R26" i="14"/>
  <c r="Q26" i="14"/>
  <c r="O26" i="14"/>
  <c r="N26" i="14"/>
  <c r="J26" i="14"/>
  <c r="I26" i="14"/>
  <c r="E26" i="14"/>
  <c r="X26" i="14" s="1"/>
  <c r="D26" i="14"/>
  <c r="R25" i="14"/>
  <c r="Q25" i="14"/>
  <c r="O25" i="14"/>
  <c r="N25" i="14"/>
  <c r="J25" i="14"/>
  <c r="I25" i="14"/>
  <c r="E25" i="14"/>
  <c r="X25" i="14" s="1"/>
  <c r="D25" i="14"/>
  <c r="T24" i="14"/>
  <c r="R24" i="14"/>
  <c r="Q24" i="14"/>
  <c r="O24" i="14"/>
  <c r="N24" i="14"/>
  <c r="J24" i="14"/>
  <c r="I24" i="14"/>
  <c r="E24" i="14"/>
  <c r="U24" i="14" s="1"/>
  <c r="D24" i="14"/>
  <c r="W24" i="14" s="1"/>
  <c r="R23" i="14"/>
  <c r="Q23" i="14"/>
  <c r="O23" i="14"/>
  <c r="N23" i="14"/>
  <c r="J23" i="14"/>
  <c r="I23" i="14"/>
  <c r="E23" i="14"/>
  <c r="D23" i="14"/>
  <c r="R22" i="14"/>
  <c r="Q22" i="14"/>
  <c r="O22" i="14"/>
  <c r="N22" i="14"/>
  <c r="J22" i="14"/>
  <c r="I22" i="14"/>
  <c r="E22" i="14"/>
  <c r="X22" i="14" s="1"/>
  <c r="D22" i="14"/>
  <c r="R21" i="14"/>
  <c r="Q21" i="14"/>
  <c r="O21" i="14"/>
  <c r="N21" i="14"/>
  <c r="J21" i="14"/>
  <c r="I21" i="14"/>
  <c r="W21" i="14" s="1"/>
  <c r="E21" i="14"/>
  <c r="D21" i="14"/>
  <c r="R20" i="14"/>
  <c r="Q20" i="14"/>
  <c r="O20" i="14"/>
  <c r="N20" i="14"/>
  <c r="W20" i="14" s="1"/>
  <c r="J20" i="14"/>
  <c r="I20" i="14"/>
  <c r="E20" i="14"/>
  <c r="U20" i="14" s="1"/>
  <c r="D20" i="14"/>
  <c r="R19" i="14"/>
  <c r="Q19" i="14"/>
  <c r="O19" i="14"/>
  <c r="N19" i="14"/>
  <c r="J19" i="14"/>
  <c r="I19" i="14"/>
  <c r="W19" i="14" s="1"/>
  <c r="E19" i="14"/>
  <c r="X19" i="14" s="1"/>
  <c r="D19" i="14"/>
  <c r="R18" i="14"/>
  <c r="Q18" i="14"/>
  <c r="O18" i="14"/>
  <c r="N18" i="14"/>
  <c r="J18" i="14"/>
  <c r="I18" i="14"/>
  <c r="E18" i="14"/>
  <c r="D18" i="14"/>
  <c r="W18" i="14" s="1"/>
  <c r="R17" i="14"/>
  <c r="Q17" i="14"/>
  <c r="O17" i="14"/>
  <c r="N17" i="14"/>
  <c r="J17" i="14"/>
  <c r="I17" i="14"/>
  <c r="E17" i="14"/>
  <c r="D17" i="14"/>
  <c r="U16" i="14"/>
  <c r="R16" i="14"/>
  <c r="Q16" i="14"/>
  <c r="O16" i="14"/>
  <c r="N16" i="14"/>
  <c r="J16" i="14"/>
  <c r="I16" i="14"/>
  <c r="E16" i="14"/>
  <c r="D16" i="14"/>
  <c r="T16" i="14" s="1"/>
  <c r="R15" i="14"/>
  <c r="Q15" i="14"/>
  <c r="O15" i="14"/>
  <c r="N15" i="14"/>
  <c r="J15" i="14"/>
  <c r="I15" i="14"/>
  <c r="W15" i="14" s="1"/>
  <c r="E15" i="14"/>
  <c r="D15" i="14"/>
  <c r="R14" i="14"/>
  <c r="Q14" i="14"/>
  <c r="O14" i="14"/>
  <c r="N14" i="14"/>
  <c r="J14" i="14"/>
  <c r="I14" i="14"/>
  <c r="E14" i="14"/>
  <c r="D14" i="14"/>
  <c r="W14" i="14" s="1"/>
  <c r="R13" i="14"/>
  <c r="Q13" i="14"/>
  <c r="O13" i="14"/>
  <c r="N13" i="14"/>
  <c r="J13" i="14"/>
  <c r="I13" i="14"/>
  <c r="E13" i="14"/>
  <c r="D13" i="14"/>
  <c r="W12" i="14"/>
  <c r="U12" i="14"/>
  <c r="T12" i="14"/>
  <c r="R12" i="14"/>
  <c r="Q12" i="14"/>
  <c r="O12" i="14"/>
  <c r="X12" i="14" s="1"/>
  <c r="N12" i="14"/>
  <c r="J12" i="14"/>
  <c r="I12" i="14"/>
  <c r="E12" i="14"/>
  <c r="D12" i="14"/>
  <c r="R11" i="14"/>
  <c r="Q11" i="14"/>
  <c r="O11" i="14"/>
  <c r="N11" i="14"/>
  <c r="J11" i="14"/>
  <c r="I11" i="14"/>
  <c r="E11" i="14"/>
  <c r="X11" i="14" s="1"/>
  <c r="D11" i="14"/>
  <c r="R10" i="14"/>
  <c r="Q10" i="14"/>
  <c r="O10" i="14"/>
  <c r="N10" i="14"/>
  <c r="J10" i="14"/>
  <c r="I10" i="14"/>
  <c r="E10" i="14"/>
  <c r="D10" i="14"/>
  <c r="R9" i="14"/>
  <c r="Q9" i="14"/>
  <c r="O9" i="14"/>
  <c r="N9" i="14"/>
  <c r="W9" i="14" s="1"/>
  <c r="J9" i="14"/>
  <c r="I9" i="14"/>
  <c r="E9" i="14"/>
  <c r="X9" i="14" s="1"/>
  <c r="D9" i="14"/>
  <c r="R8" i="14"/>
  <c r="Q8" i="14"/>
  <c r="O8" i="14"/>
  <c r="N8" i="14"/>
  <c r="J8" i="14"/>
  <c r="I8" i="14"/>
  <c r="E8" i="14"/>
  <c r="D8" i="14"/>
  <c r="R7" i="14"/>
  <c r="Q7" i="14"/>
  <c r="O7" i="14"/>
  <c r="N7" i="14"/>
  <c r="J7" i="14"/>
  <c r="I7" i="14"/>
  <c r="E7" i="14"/>
  <c r="D7" i="14"/>
  <c r="R6" i="14"/>
  <c r="Q6" i="14"/>
  <c r="O6" i="14"/>
  <c r="N6" i="14"/>
  <c r="J6" i="14"/>
  <c r="I6" i="14"/>
  <c r="E6" i="14"/>
  <c r="X6" i="14" s="1"/>
  <c r="D6" i="14"/>
  <c r="W6" i="14" s="1"/>
  <c r="W5" i="14"/>
  <c r="R5" i="14"/>
  <c r="Q5" i="14"/>
  <c r="O5" i="14"/>
  <c r="N5" i="14"/>
  <c r="J5" i="14"/>
  <c r="I5" i="14"/>
  <c r="E5" i="14"/>
  <c r="X5" i="14" s="1"/>
  <c r="D5" i="14"/>
  <c r="T5" i="14" s="1"/>
  <c r="R4" i="14"/>
  <c r="Q4" i="14"/>
  <c r="O4" i="14"/>
  <c r="N4" i="14"/>
  <c r="J4" i="14"/>
  <c r="I4" i="14"/>
  <c r="E4" i="14"/>
  <c r="D4" i="14"/>
  <c r="W4" i="14" s="1"/>
  <c r="R3" i="14"/>
  <c r="Q3" i="14"/>
  <c r="O3" i="14"/>
  <c r="N3" i="14"/>
  <c r="J3" i="14"/>
  <c r="I3" i="14"/>
  <c r="E3" i="14"/>
  <c r="D3" i="14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3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3" i="3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3" i="3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3" i="2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3" i="1"/>
  <c r="U103" i="17" l="1"/>
  <c r="U99" i="17"/>
  <c r="X80" i="17"/>
  <c r="U98" i="17"/>
  <c r="U63" i="17"/>
  <c r="X79" i="17"/>
  <c r="U97" i="17"/>
  <c r="U59" i="17"/>
  <c r="X78" i="17"/>
  <c r="X40" i="17"/>
  <c r="U36" i="17"/>
  <c r="U75" i="17"/>
  <c r="U23" i="17"/>
  <c r="U76" i="17"/>
  <c r="U60" i="17"/>
  <c r="X43" i="17"/>
  <c r="X83" i="17"/>
  <c r="U100" i="17"/>
  <c r="T103" i="17"/>
  <c r="T43" i="17"/>
  <c r="T19" i="17"/>
  <c r="W63" i="17"/>
  <c r="W23" i="17"/>
  <c r="T18" i="17"/>
  <c r="W102" i="17"/>
  <c r="W62" i="17"/>
  <c r="W22" i="17"/>
  <c r="T82" i="17"/>
  <c r="T17" i="17"/>
  <c r="T83" i="17"/>
  <c r="T79" i="17"/>
  <c r="T78" i="17"/>
  <c r="W73" i="17"/>
  <c r="T77" i="17"/>
  <c r="T39" i="17"/>
  <c r="T38" i="17"/>
  <c r="W74" i="17"/>
  <c r="T37" i="17"/>
  <c r="W101" i="17"/>
  <c r="W100" i="17"/>
  <c r="T72" i="17"/>
  <c r="T90" i="17"/>
  <c r="U102" i="17"/>
  <c r="X92" i="17"/>
  <c r="U21" i="17"/>
  <c r="X71" i="17"/>
  <c r="T25" i="17"/>
  <c r="W52" i="17"/>
  <c r="U14" i="17"/>
  <c r="W91" i="17"/>
  <c r="W31" i="17"/>
  <c r="W21" i="17"/>
  <c r="W80" i="17"/>
  <c r="T92" i="17"/>
  <c r="T71" i="17"/>
  <c r="U82" i="17"/>
  <c r="X32" i="17"/>
  <c r="U41" i="17"/>
  <c r="X91" i="17"/>
  <c r="X31" i="17"/>
  <c r="T85" i="17"/>
  <c r="T81" i="17"/>
  <c r="T61" i="17"/>
  <c r="T41" i="17"/>
  <c r="W60" i="17"/>
  <c r="T50" i="17"/>
  <c r="U22" i="17"/>
  <c r="X72" i="17"/>
  <c r="U81" i="17"/>
  <c r="T45" i="17"/>
  <c r="W32" i="17"/>
  <c r="W70" i="17"/>
  <c r="T40" i="17"/>
  <c r="T20" i="17"/>
  <c r="U62" i="17"/>
  <c r="X52" i="17"/>
  <c r="U61" i="17"/>
  <c r="X51" i="17"/>
  <c r="T105" i="17"/>
  <c r="W30" i="17"/>
  <c r="X42" i="17"/>
  <c r="T51" i="17"/>
  <c r="U101" i="17"/>
  <c r="U10" i="17"/>
  <c r="T65" i="17"/>
  <c r="X5" i="17"/>
  <c r="X9" i="17"/>
  <c r="W7" i="17"/>
  <c r="T14" i="17"/>
  <c r="X7" i="17"/>
  <c r="T7" i="17"/>
  <c r="U7" i="17"/>
  <c r="X11" i="17"/>
  <c r="X12" i="17"/>
  <c r="W5" i="17"/>
  <c r="T12" i="17"/>
  <c r="U5" i="17"/>
  <c r="U12" i="17"/>
  <c r="X14" i="17"/>
  <c r="W9" i="17"/>
  <c r="W3" i="17"/>
  <c r="U9" i="17"/>
  <c r="X10" i="17"/>
  <c r="W10" i="17"/>
  <c r="T3" i="17"/>
  <c r="T10" i="17"/>
  <c r="T5" i="17"/>
  <c r="T16" i="17"/>
  <c r="X8" i="17"/>
  <c r="U8" i="17"/>
  <c r="U13" i="17"/>
  <c r="W6" i="17"/>
  <c r="T6" i="17"/>
  <c r="X6" i="17"/>
  <c r="U6" i="17"/>
  <c r="T8" i="17"/>
  <c r="U3" i="17"/>
  <c r="W4" i="17"/>
  <c r="T4" i="17"/>
  <c r="X4" i="17"/>
  <c r="U4" i="17"/>
  <c r="U15" i="17"/>
  <c r="W12" i="17"/>
  <c r="T11" i="17"/>
  <c r="U11" i="17"/>
  <c r="T9" i="17"/>
  <c r="W11" i="17"/>
  <c r="W13" i="17"/>
  <c r="T13" i="17"/>
  <c r="T15" i="17"/>
  <c r="X13" i="17"/>
  <c r="W67" i="16"/>
  <c r="X67" i="16"/>
  <c r="W77" i="16"/>
  <c r="W37" i="16"/>
  <c r="X7" i="16"/>
  <c r="X22" i="16"/>
  <c r="W97" i="16"/>
  <c r="W17" i="16"/>
  <c r="X97" i="16"/>
  <c r="X17" i="16"/>
  <c r="W93" i="16"/>
  <c r="W68" i="16"/>
  <c r="W13" i="16"/>
  <c r="X68" i="16"/>
  <c r="U4" i="16"/>
  <c r="X13" i="16"/>
  <c r="T4" i="16"/>
  <c r="W39" i="16"/>
  <c r="W9" i="16"/>
  <c r="X81" i="16"/>
  <c r="X9" i="16"/>
  <c r="X31" i="16"/>
  <c r="W57" i="16"/>
  <c r="W107" i="16"/>
  <c r="X57" i="16"/>
  <c r="W27" i="16"/>
  <c r="W53" i="16"/>
  <c r="W104" i="16"/>
  <c r="W108" i="16"/>
  <c r="W24" i="16"/>
  <c r="W28" i="16"/>
  <c r="W79" i="16"/>
  <c r="X41" i="16"/>
  <c r="X71" i="16"/>
  <c r="X61" i="16"/>
  <c r="X101" i="16"/>
  <c r="X21" i="16"/>
  <c r="W47" i="16"/>
  <c r="W87" i="16"/>
  <c r="U3" i="16"/>
  <c r="X51" i="16"/>
  <c r="X91" i="16"/>
  <c r="W20" i="16"/>
  <c r="W30" i="16"/>
  <c r="W50" i="16"/>
  <c r="W60" i="16"/>
  <c r="W100" i="16"/>
  <c r="X34" i="16"/>
  <c r="X10" i="16"/>
  <c r="W5" i="16"/>
  <c r="X20" i="16"/>
  <c r="X30" i="16"/>
  <c r="X40" i="16"/>
  <c r="X50" i="16"/>
  <c r="X60" i="16"/>
  <c r="X70" i="16"/>
  <c r="X80" i="16"/>
  <c r="X90" i="16"/>
  <c r="X100" i="16"/>
  <c r="W3" i="16"/>
  <c r="W15" i="16"/>
  <c r="W25" i="16"/>
  <c r="W35" i="16"/>
  <c r="W45" i="16"/>
  <c r="W55" i="16"/>
  <c r="W65" i="16"/>
  <c r="W75" i="16"/>
  <c r="W85" i="16"/>
  <c r="W95" i="16"/>
  <c r="W105" i="16"/>
  <c r="X5" i="16"/>
  <c r="W40" i="16"/>
  <c r="W70" i="16"/>
  <c r="X15" i="16"/>
  <c r="X25" i="16"/>
  <c r="X35" i="16"/>
  <c r="X45" i="16"/>
  <c r="X55" i="16"/>
  <c r="X65" i="16"/>
  <c r="X75" i="16"/>
  <c r="X85" i="16"/>
  <c r="X95" i="16"/>
  <c r="X105" i="16"/>
  <c r="W80" i="16"/>
  <c r="W90" i="16"/>
  <c r="W10" i="16"/>
  <c r="X8" i="14"/>
  <c r="W3" i="14"/>
  <c r="T25" i="14"/>
  <c r="W25" i="14"/>
  <c r="W8" i="14"/>
  <c r="U88" i="14"/>
  <c r="W84" i="14"/>
  <c r="T84" i="14"/>
  <c r="W48" i="14"/>
  <c r="W55" i="14"/>
  <c r="T93" i="14"/>
  <c r="W93" i="14"/>
  <c r="X88" i="14"/>
  <c r="T53" i="14"/>
  <c r="W53" i="14"/>
  <c r="T13" i="14"/>
  <c r="W13" i="14"/>
  <c r="W41" i="14"/>
  <c r="X48" i="14"/>
  <c r="W32" i="14"/>
  <c r="T32" i="14"/>
  <c r="T8" i="14"/>
  <c r="U8" i="14"/>
  <c r="X15" i="14"/>
  <c r="U48" i="14"/>
  <c r="X55" i="14"/>
  <c r="U4" i="14"/>
  <c r="T77" i="14"/>
  <c r="W77" i="14"/>
  <c r="T37" i="14"/>
  <c r="W37" i="14"/>
  <c r="T20" i="14"/>
  <c r="X4" i="14"/>
  <c r="U28" i="14"/>
  <c r="U32" i="14"/>
  <c r="U68" i="14"/>
  <c r="U72" i="14"/>
  <c r="W75" i="14"/>
  <c r="X101" i="14"/>
  <c r="U101" i="14"/>
  <c r="W35" i="14"/>
  <c r="X108" i="14"/>
  <c r="T73" i="14"/>
  <c r="W73" i="14"/>
  <c r="T4" i="14"/>
  <c r="W26" i="14"/>
  <c r="T44" i="14"/>
  <c r="W66" i="14"/>
  <c r="W104" i="14"/>
  <c r="T104" i="14"/>
  <c r="W80" i="14"/>
  <c r="T80" i="14"/>
  <c r="W96" i="14"/>
  <c r="W38" i="14"/>
  <c r="X90" i="14"/>
  <c r="T97" i="14"/>
  <c r="X10" i="14"/>
  <c r="W16" i="14"/>
  <c r="X50" i="14"/>
  <c r="W56" i="14"/>
  <c r="X97" i="14"/>
  <c r="U97" i="14"/>
  <c r="T17" i="14"/>
  <c r="W17" i="14"/>
  <c r="T36" i="14"/>
  <c r="T57" i="14"/>
  <c r="W57" i="14"/>
  <c r="X3" i="14"/>
  <c r="X17" i="14"/>
  <c r="X29" i="14"/>
  <c r="X57" i="14"/>
  <c r="W88" i="14"/>
  <c r="X95" i="14"/>
  <c r="X13" i="14"/>
  <c r="W22" i="14"/>
  <c r="T28" i="14"/>
  <c r="X33" i="14"/>
  <c r="W42" i="14"/>
  <c r="T48" i="14"/>
  <c r="X53" i="14"/>
  <c r="W62" i="14"/>
  <c r="T68" i="14"/>
  <c r="X73" i="14"/>
  <c r="W82" i="14"/>
  <c r="T88" i="14"/>
  <c r="X93" i="14"/>
  <c r="X24" i="14"/>
  <c r="X44" i="14"/>
  <c r="X64" i="14"/>
  <c r="X82" i="14"/>
  <c r="X84" i="14"/>
  <c r="X91" i="14"/>
  <c r="W11" i="14"/>
  <c r="W31" i="14"/>
  <c r="W51" i="14"/>
  <c r="W71" i="14"/>
  <c r="W91" i="14"/>
  <c r="W102" i="14"/>
  <c r="T9" i="14"/>
  <c r="T29" i="14"/>
  <c r="T49" i="14"/>
  <c r="T69" i="14"/>
  <c r="T89" i="14"/>
  <c r="X102" i="14"/>
  <c r="X104" i="14"/>
  <c r="X7" i="14"/>
  <c r="X18" i="14"/>
  <c r="X20" i="14"/>
  <c r="X27" i="14"/>
  <c r="X38" i="14"/>
  <c r="X40" i="14"/>
  <c r="X47" i="14"/>
  <c r="X58" i="14"/>
  <c r="X60" i="14"/>
  <c r="X67" i="14"/>
  <c r="X78" i="14"/>
  <c r="X80" i="14"/>
  <c r="X87" i="14"/>
  <c r="W98" i="14"/>
  <c r="T109" i="14"/>
  <c r="W7" i="14"/>
  <c r="W27" i="14"/>
  <c r="W47" i="14"/>
  <c r="W67" i="14"/>
  <c r="W87" i="14"/>
  <c r="X98" i="14"/>
  <c r="X100" i="14"/>
  <c r="X109" i="14"/>
  <c r="X14" i="14"/>
  <c r="X16" i="14"/>
  <c r="X23" i="14"/>
  <c r="X34" i="14"/>
  <c r="X36" i="14"/>
  <c r="X43" i="14"/>
  <c r="X54" i="14"/>
  <c r="X56" i="14"/>
  <c r="X63" i="14"/>
  <c r="X74" i="14"/>
  <c r="X76" i="14"/>
  <c r="X83" i="14"/>
  <c r="X94" i="14"/>
  <c r="X96" i="14"/>
  <c r="T105" i="14"/>
  <c r="W23" i="14"/>
  <c r="W43" i="14"/>
  <c r="W63" i="14"/>
  <c r="W83" i="14"/>
  <c r="X105" i="14"/>
  <c r="T21" i="14"/>
  <c r="W29" i="14"/>
  <c r="T41" i="14"/>
  <c r="W49" i="14"/>
  <c r="T61" i="14"/>
  <c r="W69" i="14"/>
  <c r="T81" i="14"/>
  <c r="W89" i="14"/>
  <c r="X103" i="14"/>
  <c r="W10" i="14"/>
  <c r="X21" i="14"/>
  <c r="W30" i="14"/>
  <c r="X41" i="14"/>
  <c r="W50" i="14"/>
  <c r="X61" i="14"/>
  <c r="W70" i="14"/>
  <c r="X81" i="14"/>
  <c r="W90" i="14"/>
  <c r="T101" i="14"/>
  <c r="W103" i="14"/>
  <c r="T3" i="14"/>
  <c r="T7" i="14"/>
  <c r="T11" i="14"/>
  <c r="T15" i="14"/>
  <c r="T19" i="14"/>
  <c r="T23" i="14"/>
  <c r="T27" i="14"/>
  <c r="T31" i="14"/>
  <c r="T35" i="14"/>
  <c r="T39" i="14"/>
  <c r="T43" i="14"/>
  <c r="T47" i="14"/>
  <c r="T51" i="14"/>
  <c r="T55" i="14"/>
  <c r="T59" i="14"/>
  <c r="T63" i="14"/>
  <c r="T67" i="14"/>
  <c r="T71" i="14"/>
  <c r="T75" i="14"/>
  <c r="T79" i="14"/>
  <c r="T83" i="14"/>
  <c r="T87" i="14"/>
  <c r="T91" i="14"/>
  <c r="T95" i="14"/>
  <c r="T99" i="14"/>
  <c r="T103" i="14"/>
  <c r="T107" i="14"/>
  <c r="U3" i="14"/>
  <c r="U7" i="14"/>
  <c r="U11" i="14"/>
  <c r="U15" i="14"/>
  <c r="U19" i="14"/>
  <c r="U23" i="14"/>
  <c r="U27" i="14"/>
  <c r="U31" i="14"/>
  <c r="U35" i="14"/>
  <c r="U39" i="14"/>
  <c r="U43" i="14"/>
  <c r="U47" i="14"/>
  <c r="U51" i="14"/>
  <c r="U55" i="14"/>
  <c r="U59" i="14"/>
  <c r="U63" i="14"/>
  <c r="U67" i="14"/>
  <c r="U71" i="14"/>
  <c r="U75" i="14"/>
  <c r="U79" i="14"/>
  <c r="U83" i="14"/>
  <c r="U87" i="14"/>
  <c r="U91" i="14"/>
  <c r="U95" i="14"/>
  <c r="U99" i="14"/>
  <c r="U103" i="14"/>
  <c r="U107" i="14"/>
  <c r="T6" i="14"/>
  <c r="T10" i="14"/>
  <c r="T14" i="14"/>
  <c r="T18" i="14"/>
  <c r="T22" i="14"/>
  <c r="T26" i="14"/>
  <c r="T30" i="14"/>
  <c r="T34" i="14"/>
  <c r="T38" i="14"/>
  <c r="T42" i="14"/>
  <c r="T46" i="14"/>
  <c r="T50" i="14"/>
  <c r="T54" i="14"/>
  <c r="T58" i="14"/>
  <c r="T62" i="14"/>
  <c r="T66" i="14"/>
  <c r="T70" i="14"/>
  <c r="T74" i="14"/>
  <c r="T78" i="14"/>
  <c r="T82" i="14"/>
  <c r="T86" i="14"/>
  <c r="T90" i="14"/>
  <c r="T94" i="14"/>
  <c r="T98" i="14"/>
  <c r="T102" i="14"/>
  <c r="T106" i="14"/>
  <c r="U6" i="14"/>
  <c r="U10" i="14"/>
  <c r="U14" i="14"/>
  <c r="U18" i="14"/>
  <c r="U22" i="14"/>
  <c r="U26" i="14"/>
  <c r="U30" i="14"/>
  <c r="U34" i="14"/>
  <c r="U38" i="14"/>
  <c r="U42" i="14"/>
  <c r="U46" i="14"/>
  <c r="U50" i="14"/>
  <c r="U54" i="14"/>
  <c r="U58" i="14"/>
  <c r="U62" i="14"/>
  <c r="U66" i="14"/>
  <c r="U70" i="14"/>
  <c r="U74" i="14"/>
  <c r="U78" i="14"/>
  <c r="U82" i="14"/>
  <c r="U86" i="14"/>
  <c r="U90" i="14"/>
  <c r="U94" i="14"/>
  <c r="U98" i="14"/>
  <c r="U102" i="14"/>
  <c r="U106" i="14"/>
  <c r="U5" i="14"/>
  <c r="U9" i="14"/>
  <c r="U13" i="14"/>
  <c r="U17" i="14"/>
  <c r="U21" i="14"/>
  <c r="U25" i="14"/>
  <c r="U29" i="14"/>
  <c r="U33" i="14"/>
  <c r="U37" i="14"/>
  <c r="U41" i="14"/>
  <c r="U45" i="14"/>
  <c r="U49" i="14"/>
  <c r="U53" i="14"/>
  <c r="U57" i="14"/>
  <c r="U61" i="14"/>
  <c r="U65" i="14"/>
  <c r="U69" i="14"/>
  <c r="U73" i="14"/>
  <c r="U77" i="14"/>
  <c r="U81" i="14"/>
  <c r="U85" i="14"/>
  <c r="U89" i="14"/>
  <c r="U93" i="14"/>
  <c r="U105" i="14"/>
  <c r="T106" i="11"/>
  <c r="W105" i="15" s="1"/>
  <c r="X105" i="11"/>
  <c r="X101" i="11"/>
  <c r="U96" i="11"/>
  <c r="X95" i="15" s="1"/>
  <c r="X92" i="11"/>
  <c r="T90" i="11"/>
  <c r="W89" i="15" s="1"/>
  <c r="U86" i="11"/>
  <c r="X85" i="15" s="1"/>
  <c r="T86" i="11"/>
  <c r="W85" i="15" s="1"/>
  <c r="X85" i="11"/>
  <c r="U77" i="11"/>
  <c r="X76" i="15" s="1"/>
  <c r="U76" i="11"/>
  <c r="X75" i="15" s="1"/>
  <c r="U62" i="11"/>
  <c r="X61" i="15" s="1"/>
  <c r="T62" i="11"/>
  <c r="W61" i="15" s="1"/>
  <c r="U61" i="11"/>
  <c r="X60" i="15" s="1"/>
  <c r="T61" i="11"/>
  <c r="W60" i="15" s="1"/>
  <c r="T56" i="11"/>
  <c r="W55" i="15" s="1"/>
  <c r="T52" i="11"/>
  <c r="W51" i="15" s="1"/>
  <c r="U51" i="11"/>
  <c r="X50" i="15" s="1"/>
  <c r="T51" i="11"/>
  <c r="W50" i="15" s="1"/>
  <c r="U46" i="11"/>
  <c r="X45" i="15" s="1"/>
  <c r="T46" i="11"/>
  <c r="W45" i="15" s="1"/>
  <c r="X45" i="11"/>
  <c r="U45" i="11"/>
  <c r="X44" i="15" s="1"/>
  <c r="T36" i="11"/>
  <c r="W35" i="15" s="1"/>
  <c r="T28" i="11"/>
  <c r="W27" i="15" s="1"/>
  <c r="X27" i="11"/>
  <c r="U27" i="11"/>
  <c r="X26" i="15" s="1"/>
  <c r="T27" i="11"/>
  <c r="W26" i="15" s="1"/>
  <c r="X26" i="11"/>
  <c r="W26" i="11"/>
  <c r="T16" i="11"/>
  <c r="W15" i="15" s="1"/>
  <c r="U12" i="11"/>
  <c r="X11" i="15" s="1"/>
  <c r="T12" i="11"/>
  <c r="W11" i="15" s="1"/>
  <c r="X11" i="11"/>
  <c r="U11" i="11"/>
  <c r="X10" i="15" s="1"/>
  <c r="X6" i="11"/>
  <c r="W6" i="11"/>
  <c r="T104" i="10"/>
  <c r="Q103" i="15" s="1"/>
  <c r="T99" i="10"/>
  <c r="Q98" i="15" s="1"/>
  <c r="W98" i="10"/>
  <c r="U98" i="10"/>
  <c r="R97" i="15" s="1"/>
  <c r="T98" i="10"/>
  <c r="Q97" i="15" s="1"/>
  <c r="U97" i="10"/>
  <c r="R96" i="15" s="1"/>
  <c r="T97" i="10"/>
  <c r="Q96" i="15" s="1"/>
  <c r="T90" i="10"/>
  <c r="Q89" i="15" s="1"/>
  <c r="X88" i="10"/>
  <c r="X82" i="10"/>
  <c r="U80" i="10"/>
  <c r="R79" i="15" s="1"/>
  <c r="T80" i="10"/>
  <c r="Q79" i="15" s="1"/>
  <c r="X79" i="10"/>
  <c r="U79" i="10"/>
  <c r="R78" i="15" s="1"/>
  <c r="U77" i="10"/>
  <c r="R76" i="15" s="1"/>
  <c r="W68" i="10"/>
  <c r="U64" i="10"/>
  <c r="R63" i="15" s="1"/>
  <c r="X59" i="10"/>
  <c r="U59" i="10"/>
  <c r="R58" i="15" s="1"/>
  <c r="T59" i="10"/>
  <c r="Q58" i="15" s="1"/>
  <c r="X58" i="10"/>
  <c r="W58" i="10"/>
  <c r="U49" i="10"/>
  <c r="R48" i="15" s="1"/>
  <c r="T44" i="10"/>
  <c r="Q43" i="15" s="1"/>
  <c r="U43" i="10"/>
  <c r="R42" i="15" s="1"/>
  <c r="U38" i="10"/>
  <c r="R37" i="15" s="1"/>
  <c r="T38" i="10"/>
  <c r="Q37" i="15" s="1"/>
  <c r="U37" i="10"/>
  <c r="R36" i="15" s="1"/>
  <c r="T37" i="10"/>
  <c r="Q36" i="15" s="1"/>
  <c r="X34" i="10"/>
  <c r="X28" i="10"/>
  <c r="T28" i="10"/>
  <c r="Q27" i="15" s="1"/>
  <c r="X19" i="10"/>
  <c r="U19" i="10"/>
  <c r="R18" i="15" s="1"/>
  <c r="T19" i="10"/>
  <c r="Q18" i="15" s="1"/>
  <c r="X18" i="10"/>
  <c r="W18" i="10"/>
  <c r="U106" i="9"/>
  <c r="L105" i="15" s="1"/>
  <c r="W105" i="9"/>
  <c r="U105" i="9"/>
  <c r="L104" i="15" s="1"/>
  <c r="X104" i="9"/>
  <c r="W104" i="9"/>
  <c r="U104" i="9"/>
  <c r="L103" i="15" s="1"/>
  <c r="U82" i="9"/>
  <c r="L81" i="15" s="1"/>
  <c r="T82" i="9"/>
  <c r="K81" i="15" s="1"/>
  <c r="W81" i="9"/>
  <c r="X80" i="9"/>
  <c r="W80" i="9"/>
  <c r="U80" i="9"/>
  <c r="L79" i="15" s="1"/>
  <c r="U72" i="9"/>
  <c r="L71" i="15" s="1"/>
  <c r="X57" i="9"/>
  <c r="X54" i="9"/>
  <c r="W44" i="9"/>
  <c r="U44" i="9"/>
  <c r="L43" i="15" s="1"/>
  <c r="X42" i="9"/>
  <c r="W40" i="9"/>
  <c r="U36" i="9"/>
  <c r="L35" i="15" s="1"/>
  <c r="U22" i="9"/>
  <c r="L21" i="15" s="1"/>
  <c r="T22" i="9"/>
  <c r="K21" i="15" s="1"/>
  <c r="W21" i="9"/>
  <c r="U16" i="9"/>
  <c r="L15" i="15" s="1"/>
  <c r="T16" i="9"/>
  <c r="K15" i="15" s="1"/>
  <c r="X109" i="8"/>
  <c r="T102" i="8"/>
  <c r="E101" i="15" s="1"/>
  <c r="W97" i="8"/>
  <c r="U97" i="8"/>
  <c r="F96" i="15" s="1"/>
  <c r="X96" i="8"/>
  <c r="W96" i="8"/>
  <c r="W86" i="8"/>
  <c r="T82" i="8"/>
  <c r="E81" i="15" s="1"/>
  <c r="X81" i="8"/>
  <c r="U81" i="8"/>
  <c r="F80" i="15" s="1"/>
  <c r="U79" i="8"/>
  <c r="F78" i="15" s="1"/>
  <c r="T79" i="8"/>
  <c r="E78" i="15" s="1"/>
  <c r="W72" i="8"/>
  <c r="W68" i="8"/>
  <c r="X66" i="8"/>
  <c r="W66" i="8"/>
  <c r="U66" i="8"/>
  <c r="F65" i="15" s="1"/>
  <c r="X64" i="8"/>
  <c r="W64" i="8"/>
  <c r="T62" i="8"/>
  <c r="E61" i="15" s="1"/>
  <c r="W52" i="8"/>
  <c r="T48" i="8"/>
  <c r="E47" i="15" s="1"/>
  <c r="W47" i="8"/>
  <c r="U47" i="8"/>
  <c r="F46" i="15" s="1"/>
  <c r="T47" i="8"/>
  <c r="E46" i="15" s="1"/>
  <c r="X46" i="8"/>
  <c r="W46" i="8"/>
  <c r="T42" i="8"/>
  <c r="E41" i="15" s="1"/>
  <c r="X39" i="8"/>
  <c r="U36" i="8"/>
  <c r="F35" i="15" s="1"/>
  <c r="T36" i="8"/>
  <c r="E35" i="15" s="1"/>
  <c r="U35" i="8"/>
  <c r="F34" i="15" s="1"/>
  <c r="T34" i="8"/>
  <c r="E33" i="15" s="1"/>
  <c r="X33" i="8"/>
  <c r="W28" i="8"/>
  <c r="X27" i="8"/>
  <c r="W22" i="8"/>
  <c r="U22" i="8"/>
  <c r="F21" i="15" s="1"/>
  <c r="U20" i="8"/>
  <c r="F19" i="15" s="1"/>
  <c r="X18" i="8"/>
  <c r="T17" i="8"/>
  <c r="E16" i="15" s="1"/>
  <c r="X11" i="8"/>
  <c r="X8" i="8"/>
  <c r="W8" i="8"/>
  <c r="U8" i="8"/>
  <c r="F7" i="15" s="1"/>
  <c r="X7" i="8"/>
  <c r="W7" i="8"/>
  <c r="E109" i="11"/>
  <c r="D109" i="11"/>
  <c r="E108" i="11"/>
  <c r="D108" i="11"/>
  <c r="E107" i="11"/>
  <c r="D107" i="11"/>
  <c r="E106" i="11"/>
  <c r="X106" i="11" s="1"/>
  <c r="D106" i="11"/>
  <c r="W106" i="11" s="1"/>
  <c r="E105" i="11"/>
  <c r="U105" i="11" s="1"/>
  <c r="X104" i="15" s="1"/>
  <c r="D105" i="11"/>
  <c r="W105" i="11" s="1"/>
  <c r="E104" i="11"/>
  <c r="D104" i="11"/>
  <c r="E103" i="11"/>
  <c r="X103" i="11" s="1"/>
  <c r="D103" i="11"/>
  <c r="E102" i="11"/>
  <c r="X102" i="11" s="1"/>
  <c r="D102" i="11"/>
  <c r="W102" i="11" s="1"/>
  <c r="E101" i="11"/>
  <c r="U101" i="11" s="1"/>
  <c r="X100" i="15" s="1"/>
  <c r="D101" i="11"/>
  <c r="W101" i="11" s="1"/>
  <c r="E100" i="11"/>
  <c r="D100" i="11"/>
  <c r="W100" i="11" s="1"/>
  <c r="E99" i="11"/>
  <c r="D99" i="11"/>
  <c r="E98" i="11"/>
  <c r="D98" i="11"/>
  <c r="E97" i="11"/>
  <c r="D97" i="11"/>
  <c r="W97" i="11" s="1"/>
  <c r="E96" i="11"/>
  <c r="X96" i="11" s="1"/>
  <c r="D96" i="11"/>
  <c r="W96" i="11" s="1"/>
  <c r="E95" i="11"/>
  <c r="X95" i="11" s="1"/>
  <c r="D95" i="11"/>
  <c r="W95" i="11" s="1"/>
  <c r="E94" i="11"/>
  <c r="D94" i="11"/>
  <c r="E93" i="11"/>
  <c r="X93" i="11" s="1"/>
  <c r="D93" i="11"/>
  <c r="W93" i="11" s="1"/>
  <c r="E92" i="11"/>
  <c r="U92" i="11" s="1"/>
  <c r="X91" i="15" s="1"/>
  <c r="D92" i="11"/>
  <c r="W92" i="11" s="1"/>
  <c r="E91" i="11"/>
  <c r="X91" i="11" s="1"/>
  <c r="D91" i="11"/>
  <c r="E90" i="11"/>
  <c r="D90" i="11"/>
  <c r="W90" i="11" s="1"/>
  <c r="E89" i="11"/>
  <c r="D89" i="11"/>
  <c r="E88" i="11"/>
  <c r="X88" i="11" s="1"/>
  <c r="D88" i="11"/>
  <c r="E87" i="11"/>
  <c r="X87" i="11" s="1"/>
  <c r="D87" i="11"/>
  <c r="W87" i="11" s="1"/>
  <c r="E86" i="11"/>
  <c r="X86" i="11" s="1"/>
  <c r="D86" i="11"/>
  <c r="W86" i="11" s="1"/>
  <c r="E85" i="11"/>
  <c r="U85" i="11" s="1"/>
  <c r="X84" i="15" s="1"/>
  <c r="D85" i="11"/>
  <c r="W85" i="11" s="1"/>
  <c r="E84" i="11"/>
  <c r="D84" i="11"/>
  <c r="E83" i="11"/>
  <c r="X83" i="11" s="1"/>
  <c r="D83" i="11"/>
  <c r="E82" i="11"/>
  <c r="D82" i="11"/>
  <c r="W82" i="11" s="1"/>
  <c r="E81" i="11"/>
  <c r="X81" i="11" s="1"/>
  <c r="D81" i="11"/>
  <c r="E80" i="11"/>
  <c r="U80" i="11" s="1"/>
  <c r="X79" i="15" s="1"/>
  <c r="D80" i="11"/>
  <c r="W80" i="11" s="1"/>
  <c r="E79" i="11"/>
  <c r="D79" i="11"/>
  <c r="E78" i="11"/>
  <c r="X78" i="11" s="1"/>
  <c r="D78" i="11"/>
  <c r="E77" i="11"/>
  <c r="X77" i="11" s="1"/>
  <c r="D77" i="11"/>
  <c r="W77" i="11" s="1"/>
  <c r="E76" i="11"/>
  <c r="X76" i="11" s="1"/>
  <c r="D76" i="11"/>
  <c r="W76" i="11" s="1"/>
  <c r="E75" i="11"/>
  <c r="X75" i="11" s="1"/>
  <c r="D75" i="11"/>
  <c r="W75" i="11" s="1"/>
  <c r="E74" i="11"/>
  <c r="D74" i="11"/>
  <c r="E73" i="11"/>
  <c r="X73" i="11" s="1"/>
  <c r="D73" i="11"/>
  <c r="E72" i="11"/>
  <c r="D72" i="11"/>
  <c r="W72" i="11" s="1"/>
  <c r="E71" i="11"/>
  <c r="X71" i="11" s="1"/>
  <c r="D71" i="11"/>
  <c r="W71" i="11" s="1"/>
  <c r="E70" i="11"/>
  <c r="X70" i="11" s="1"/>
  <c r="D70" i="11"/>
  <c r="W70" i="11" s="1"/>
  <c r="E69" i="11"/>
  <c r="D69" i="11"/>
  <c r="E68" i="11"/>
  <c r="X68" i="11" s="1"/>
  <c r="D68" i="11"/>
  <c r="W68" i="11" s="1"/>
  <c r="E67" i="11"/>
  <c r="X67" i="11" s="1"/>
  <c r="D67" i="11"/>
  <c r="E66" i="11"/>
  <c r="X66" i="11" s="1"/>
  <c r="D66" i="11"/>
  <c r="W66" i="11" s="1"/>
  <c r="E65" i="11"/>
  <c r="X65" i="11" s="1"/>
  <c r="D65" i="11"/>
  <c r="W65" i="11" s="1"/>
  <c r="E64" i="11"/>
  <c r="D64" i="11"/>
  <c r="E63" i="11"/>
  <c r="X63" i="11" s="1"/>
  <c r="D63" i="11"/>
  <c r="E62" i="11"/>
  <c r="X62" i="11" s="1"/>
  <c r="D62" i="11"/>
  <c r="W62" i="11" s="1"/>
  <c r="E61" i="11"/>
  <c r="X61" i="11" s="1"/>
  <c r="D61" i="11"/>
  <c r="W61" i="11" s="1"/>
  <c r="E60" i="11"/>
  <c r="X60" i="11" s="1"/>
  <c r="D60" i="11"/>
  <c r="W60" i="11" s="1"/>
  <c r="E59" i="11"/>
  <c r="D59" i="11"/>
  <c r="E58" i="11"/>
  <c r="D58" i="11"/>
  <c r="E57" i="11"/>
  <c r="D57" i="11"/>
  <c r="E56" i="11"/>
  <c r="X56" i="11" s="1"/>
  <c r="D56" i="11"/>
  <c r="W56" i="11" s="1"/>
  <c r="E55" i="11"/>
  <c r="X55" i="11" s="1"/>
  <c r="D55" i="11"/>
  <c r="W55" i="11" s="1"/>
  <c r="E54" i="11"/>
  <c r="D54" i="11"/>
  <c r="E53" i="11"/>
  <c r="X53" i="11" s="1"/>
  <c r="D53" i="11"/>
  <c r="E52" i="11"/>
  <c r="X52" i="11" s="1"/>
  <c r="D52" i="11"/>
  <c r="W52" i="11" s="1"/>
  <c r="E51" i="11"/>
  <c r="X51" i="11" s="1"/>
  <c r="D51" i="11"/>
  <c r="W51" i="11" s="1"/>
  <c r="E50" i="11"/>
  <c r="D50" i="11"/>
  <c r="W50" i="11" s="1"/>
  <c r="E49" i="11"/>
  <c r="D49" i="11"/>
  <c r="E48" i="11"/>
  <c r="D48" i="11"/>
  <c r="E47" i="11"/>
  <c r="D47" i="11"/>
  <c r="W47" i="11" s="1"/>
  <c r="E46" i="11"/>
  <c r="X46" i="11" s="1"/>
  <c r="D46" i="11"/>
  <c r="W46" i="11" s="1"/>
  <c r="E45" i="11"/>
  <c r="D45" i="11"/>
  <c r="W45" i="11" s="1"/>
  <c r="E44" i="11"/>
  <c r="D44" i="11"/>
  <c r="E43" i="11"/>
  <c r="X43" i="11" s="1"/>
  <c r="D43" i="11"/>
  <c r="W43" i="11" s="1"/>
  <c r="E42" i="11"/>
  <c r="X42" i="11" s="1"/>
  <c r="D42" i="11"/>
  <c r="W42" i="11" s="1"/>
  <c r="E41" i="11"/>
  <c r="X41" i="11" s="1"/>
  <c r="D41" i="11"/>
  <c r="E40" i="11"/>
  <c r="D40" i="11"/>
  <c r="W40" i="11" s="1"/>
  <c r="E39" i="11"/>
  <c r="D39" i="11"/>
  <c r="E38" i="11"/>
  <c r="X38" i="11" s="1"/>
  <c r="D38" i="11"/>
  <c r="E37" i="11"/>
  <c r="X37" i="11" s="1"/>
  <c r="D37" i="11"/>
  <c r="W37" i="11" s="1"/>
  <c r="E36" i="11"/>
  <c r="X36" i="11" s="1"/>
  <c r="D36" i="11"/>
  <c r="W36" i="11" s="1"/>
  <c r="E35" i="11"/>
  <c r="X35" i="11" s="1"/>
  <c r="D35" i="11"/>
  <c r="W35" i="11" s="1"/>
  <c r="E34" i="11"/>
  <c r="D34" i="11"/>
  <c r="E33" i="11"/>
  <c r="X33" i="11" s="1"/>
  <c r="D33" i="11"/>
  <c r="E32" i="11"/>
  <c r="D32" i="11"/>
  <c r="W32" i="11" s="1"/>
  <c r="E31" i="11"/>
  <c r="U31" i="11" s="1"/>
  <c r="X30" i="15" s="1"/>
  <c r="D31" i="11"/>
  <c r="W31" i="11" s="1"/>
  <c r="E30" i="11"/>
  <c r="X30" i="11" s="1"/>
  <c r="D30" i="11"/>
  <c r="W30" i="11" s="1"/>
  <c r="E29" i="11"/>
  <c r="D29" i="11"/>
  <c r="E28" i="11"/>
  <c r="D28" i="11"/>
  <c r="W28" i="11" s="1"/>
  <c r="E27" i="11"/>
  <c r="D27" i="11"/>
  <c r="W27" i="11" s="1"/>
  <c r="E26" i="11"/>
  <c r="U26" i="11" s="1"/>
  <c r="X25" i="15" s="1"/>
  <c r="D26" i="11"/>
  <c r="T26" i="11" s="1"/>
  <c r="W25" i="15" s="1"/>
  <c r="E25" i="11"/>
  <c r="X25" i="11" s="1"/>
  <c r="D25" i="11"/>
  <c r="W25" i="11" s="1"/>
  <c r="E24" i="11"/>
  <c r="D24" i="11"/>
  <c r="E23" i="11"/>
  <c r="X23" i="11" s="1"/>
  <c r="D23" i="11"/>
  <c r="E22" i="11"/>
  <c r="U22" i="11" s="1"/>
  <c r="X21" i="15" s="1"/>
  <c r="D22" i="11"/>
  <c r="W22" i="11" s="1"/>
  <c r="E21" i="11"/>
  <c r="U21" i="11" s="1"/>
  <c r="X20" i="15" s="1"/>
  <c r="D21" i="11"/>
  <c r="W21" i="11" s="1"/>
  <c r="E20" i="11"/>
  <c r="U20" i="11" s="1"/>
  <c r="X19" i="15" s="1"/>
  <c r="D20" i="11"/>
  <c r="W20" i="11" s="1"/>
  <c r="E19" i="11"/>
  <c r="D19" i="11"/>
  <c r="E18" i="11"/>
  <c r="X18" i="11" s="1"/>
  <c r="D18" i="11"/>
  <c r="E17" i="11"/>
  <c r="D17" i="11"/>
  <c r="E16" i="11"/>
  <c r="X16" i="11" s="1"/>
  <c r="D16" i="11"/>
  <c r="W16" i="11" s="1"/>
  <c r="E15" i="11"/>
  <c r="X15" i="11" s="1"/>
  <c r="D15" i="11"/>
  <c r="W15" i="11" s="1"/>
  <c r="E14" i="11"/>
  <c r="D14" i="11"/>
  <c r="E13" i="11"/>
  <c r="X13" i="11" s="1"/>
  <c r="D13" i="11"/>
  <c r="E12" i="11"/>
  <c r="X12" i="11" s="1"/>
  <c r="D12" i="11"/>
  <c r="W12" i="11" s="1"/>
  <c r="E11" i="11"/>
  <c r="D11" i="11"/>
  <c r="T11" i="11" s="1"/>
  <c r="W10" i="15" s="1"/>
  <c r="E10" i="11"/>
  <c r="D10" i="11"/>
  <c r="W10" i="11" s="1"/>
  <c r="E9" i="11"/>
  <c r="D9" i="11"/>
  <c r="E8" i="11"/>
  <c r="D8" i="11"/>
  <c r="E7" i="11"/>
  <c r="X7" i="11" s="1"/>
  <c r="D7" i="11"/>
  <c r="E6" i="11"/>
  <c r="U6" i="11" s="1"/>
  <c r="X5" i="15" s="1"/>
  <c r="D6" i="11"/>
  <c r="T6" i="11" s="1"/>
  <c r="W5" i="15" s="1"/>
  <c r="E5" i="11"/>
  <c r="X5" i="11" s="1"/>
  <c r="D5" i="11"/>
  <c r="W5" i="11" s="1"/>
  <c r="E4" i="11"/>
  <c r="D4" i="11"/>
  <c r="E3" i="11"/>
  <c r="X3" i="11" s="1"/>
  <c r="D3" i="11"/>
  <c r="W3" i="11" s="1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X3" i="7" s="1"/>
  <c r="D3" i="7"/>
  <c r="W3" i="7" s="1"/>
  <c r="E109" i="10"/>
  <c r="X109" i="10" s="1"/>
  <c r="D109" i="10"/>
  <c r="W109" i="10" s="1"/>
  <c r="E108" i="10"/>
  <c r="X108" i="10" s="1"/>
  <c r="D108" i="10"/>
  <c r="W108" i="10" s="1"/>
  <c r="E107" i="10"/>
  <c r="U107" i="10" s="1"/>
  <c r="R106" i="15" s="1"/>
  <c r="D107" i="10"/>
  <c r="T107" i="10" s="1"/>
  <c r="Q106" i="15" s="1"/>
  <c r="E106" i="10"/>
  <c r="D106" i="10"/>
  <c r="E105" i="10"/>
  <c r="X105" i="10" s="1"/>
  <c r="D105" i="10"/>
  <c r="W105" i="10" s="1"/>
  <c r="E104" i="10"/>
  <c r="X104" i="10" s="1"/>
  <c r="D104" i="10"/>
  <c r="W104" i="10" s="1"/>
  <c r="E103" i="10"/>
  <c r="X103" i="10" s="1"/>
  <c r="D103" i="10"/>
  <c r="W103" i="10" s="1"/>
  <c r="E102" i="10"/>
  <c r="D102" i="10"/>
  <c r="E101" i="10"/>
  <c r="D101" i="10"/>
  <c r="E100" i="10"/>
  <c r="X100" i="10" s="1"/>
  <c r="D100" i="10"/>
  <c r="W100" i="10" s="1"/>
  <c r="E99" i="10"/>
  <c r="X99" i="10" s="1"/>
  <c r="D99" i="10"/>
  <c r="W99" i="10" s="1"/>
  <c r="E98" i="10"/>
  <c r="X98" i="10" s="1"/>
  <c r="D98" i="10"/>
  <c r="E97" i="10"/>
  <c r="X97" i="10" s="1"/>
  <c r="D97" i="10"/>
  <c r="W97" i="10" s="1"/>
  <c r="E96" i="10"/>
  <c r="D96" i="10"/>
  <c r="E95" i="10"/>
  <c r="X95" i="10" s="1"/>
  <c r="D95" i="10"/>
  <c r="W95" i="10" s="1"/>
  <c r="E94" i="10"/>
  <c r="U94" i="10" s="1"/>
  <c r="R93" i="15" s="1"/>
  <c r="D94" i="10"/>
  <c r="W94" i="10" s="1"/>
  <c r="E93" i="10"/>
  <c r="D93" i="10"/>
  <c r="E92" i="10"/>
  <c r="X92" i="10" s="1"/>
  <c r="D92" i="10"/>
  <c r="E91" i="10"/>
  <c r="D91" i="10"/>
  <c r="E90" i="10"/>
  <c r="X90" i="10" s="1"/>
  <c r="D90" i="10"/>
  <c r="W90" i="10" s="1"/>
  <c r="E89" i="10"/>
  <c r="U89" i="10" s="1"/>
  <c r="R88" i="15" s="1"/>
  <c r="D89" i="10"/>
  <c r="W89" i="10" s="1"/>
  <c r="E88" i="10"/>
  <c r="U88" i="10" s="1"/>
  <c r="R87" i="15" s="1"/>
  <c r="D88" i="10"/>
  <c r="W88" i="10" s="1"/>
  <c r="E87" i="10"/>
  <c r="U87" i="10" s="1"/>
  <c r="R86" i="15" s="1"/>
  <c r="D87" i="10"/>
  <c r="E86" i="10"/>
  <c r="D86" i="10"/>
  <c r="E85" i="10"/>
  <c r="X85" i="10" s="1"/>
  <c r="D85" i="10"/>
  <c r="E84" i="10"/>
  <c r="D84" i="10"/>
  <c r="W84" i="10" s="1"/>
  <c r="E83" i="10"/>
  <c r="U83" i="10" s="1"/>
  <c r="R82" i="15" s="1"/>
  <c r="D83" i="10"/>
  <c r="W83" i="10" s="1"/>
  <c r="E82" i="10"/>
  <c r="U82" i="10" s="1"/>
  <c r="R81" i="15" s="1"/>
  <c r="D82" i="10"/>
  <c r="W82" i="10" s="1"/>
  <c r="E81" i="10"/>
  <c r="D81" i="10"/>
  <c r="E80" i="10"/>
  <c r="X80" i="10" s="1"/>
  <c r="D80" i="10"/>
  <c r="W80" i="10" s="1"/>
  <c r="E79" i="10"/>
  <c r="D79" i="10"/>
  <c r="W79" i="10" s="1"/>
  <c r="E78" i="10"/>
  <c r="X78" i="10" s="1"/>
  <c r="D78" i="10"/>
  <c r="W78" i="10" s="1"/>
  <c r="E77" i="10"/>
  <c r="X77" i="10" s="1"/>
  <c r="D77" i="10"/>
  <c r="W77" i="10" s="1"/>
  <c r="E76" i="10"/>
  <c r="D76" i="10"/>
  <c r="E75" i="10"/>
  <c r="X75" i="10" s="1"/>
  <c r="D75" i="10"/>
  <c r="E74" i="10"/>
  <c r="X74" i="10" s="1"/>
  <c r="D74" i="10"/>
  <c r="W74" i="10" s="1"/>
  <c r="E73" i="10"/>
  <c r="U73" i="10" s="1"/>
  <c r="R72" i="15" s="1"/>
  <c r="D73" i="10"/>
  <c r="W73" i="10" s="1"/>
  <c r="E72" i="10"/>
  <c r="U72" i="10" s="1"/>
  <c r="R71" i="15" s="1"/>
  <c r="D72" i="10"/>
  <c r="T72" i="10" s="1"/>
  <c r="Q71" i="15" s="1"/>
  <c r="E71" i="10"/>
  <c r="D71" i="10"/>
  <c r="E70" i="10"/>
  <c r="X70" i="10" s="1"/>
  <c r="D70" i="10"/>
  <c r="W70" i="10" s="1"/>
  <c r="E69" i="10"/>
  <c r="X69" i="10" s="1"/>
  <c r="D69" i="10"/>
  <c r="W69" i="10" s="1"/>
  <c r="E68" i="10"/>
  <c r="U68" i="10" s="1"/>
  <c r="R67" i="15" s="1"/>
  <c r="D68" i="10"/>
  <c r="T68" i="10" s="1"/>
  <c r="Q67" i="15" s="1"/>
  <c r="E67" i="10"/>
  <c r="U67" i="10" s="1"/>
  <c r="R66" i="15" s="1"/>
  <c r="D67" i="10"/>
  <c r="W67" i="10" s="1"/>
  <c r="E66" i="10"/>
  <c r="D66" i="10"/>
  <c r="E65" i="10"/>
  <c r="X65" i="10" s="1"/>
  <c r="D65" i="10"/>
  <c r="W65" i="10" s="1"/>
  <c r="E64" i="10"/>
  <c r="X64" i="10" s="1"/>
  <c r="D64" i="10"/>
  <c r="W64" i="10" s="1"/>
  <c r="E63" i="10"/>
  <c r="D63" i="10"/>
  <c r="E62" i="10"/>
  <c r="D62" i="10"/>
  <c r="E61" i="10"/>
  <c r="D61" i="10"/>
  <c r="E60" i="10"/>
  <c r="X60" i="10" s="1"/>
  <c r="D60" i="10"/>
  <c r="W60" i="10" s="1"/>
  <c r="E59" i="10"/>
  <c r="D59" i="10"/>
  <c r="W59" i="10" s="1"/>
  <c r="E58" i="10"/>
  <c r="U58" i="10" s="1"/>
  <c r="R57" i="15" s="1"/>
  <c r="D58" i="10"/>
  <c r="T58" i="10" s="1"/>
  <c r="Q57" i="15" s="1"/>
  <c r="E57" i="10"/>
  <c r="X57" i="10" s="1"/>
  <c r="D57" i="10"/>
  <c r="T57" i="10" s="1"/>
  <c r="Q56" i="15" s="1"/>
  <c r="E56" i="10"/>
  <c r="D56" i="10"/>
  <c r="E55" i="10"/>
  <c r="D55" i="10"/>
  <c r="E54" i="10"/>
  <c r="D54" i="10"/>
  <c r="W54" i="10" s="1"/>
  <c r="E53" i="10"/>
  <c r="X53" i="10" s="1"/>
  <c r="D53" i="10"/>
  <c r="E52" i="10"/>
  <c r="X52" i="10" s="1"/>
  <c r="D52" i="10"/>
  <c r="T52" i="10" s="1"/>
  <c r="Q51" i="15" s="1"/>
  <c r="E51" i="10"/>
  <c r="D51" i="10"/>
  <c r="E50" i="10"/>
  <c r="X50" i="10" s="1"/>
  <c r="D50" i="10"/>
  <c r="W50" i="10" s="1"/>
  <c r="E49" i="10"/>
  <c r="X49" i="10" s="1"/>
  <c r="D49" i="10"/>
  <c r="W49" i="10" s="1"/>
  <c r="E48" i="10"/>
  <c r="U48" i="10" s="1"/>
  <c r="R47" i="15" s="1"/>
  <c r="D48" i="10"/>
  <c r="W48" i="10" s="1"/>
  <c r="E47" i="10"/>
  <c r="X47" i="10" s="1"/>
  <c r="D47" i="10"/>
  <c r="E46" i="10"/>
  <c r="D46" i="10"/>
  <c r="E45" i="10"/>
  <c r="D45" i="10"/>
  <c r="W45" i="10" s="1"/>
  <c r="E44" i="10"/>
  <c r="D44" i="10"/>
  <c r="W44" i="10" s="1"/>
  <c r="E43" i="10"/>
  <c r="X43" i="10" s="1"/>
  <c r="D43" i="10"/>
  <c r="W43" i="10" s="1"/>
  <c r="E42" i="10"/>
  <c r="X42" i="10" s="1"/>
  <c r="D42" i="10"/>
  <c r="W42" i="10" s="1"/>
  <c r="E41" i="10"/>
  <c r="D41" i="10"/>
  <c r="E40" i="10"/>
  <c r="X40" i="10" s="1"/>
  <c r="D40" i="10"/>
  <c r="W40" i="10" s="1"/>
  <c r="E39" i="10"/>
  <c r="X39" i="10" s="1"/>
  <c r="D39" i="10"/>
  <c r="W39" i="10" s="1"/>
  <c r="E38" i="10"/>
  <c r="X38" i="10" s="1"/>
  <c r="D38" i="10"/>
  <c r="W38" i="10" s="1"/>
  <c r="E37" i="10"/>
  <c r="X37" i="10" s="1"/>
  <c r="D37" i="10"/>
  <c r="W37" i="10" s="1"/>
  <c r="E36" i="10"/>
  <c r="D36" i="10"/>
  <c r="E35" i="10"/>
  <c r="D35" i="10"/>
  <c r="W35" i="10" s="1"/>
  <c r="E34" i="10"/>
  <c r="U34" i="10" s="1"/>
  <c r="R33" i="15" s="1"/>
  <c r="D34" i="10"/>
  <c r="W34" i="10" s="1"/>
  <c r="E33" i="10"/>
  <c r="U33" i="10" s="1"/>
  <c r="R32" i="15" s="1"/>
  <c r="D33" i="10"/>
  <c r="T33" i="10" s="1"/>
  <c r="Q32" i="15" s="1"/>
  <c r="E32" i="10"/>
  <c r="D32" i="10"/>
  <c r="E31" i="10"/>
  <c r="D31" i="10"/>
  <c r="E30" i="10"/>
  <c r="X30" i="10" s="1"/>
  <c r="D30" i="10"/>
  <c r="W30" i="10" s="1"/>
  <c r="E29" i="10"/>
  <c r="U29" i="10" s="1"/>
  <c r="R28" i="15" s="1"/>
  <c r="D29" i="10"/>
  <c r="W29" i="10" s="1"/>
  <c r="E28" i="10"/>
  <c r="U28" i="10" s="1"/>
  <c r="R27" i="15" s="1"/>
  <c r="D28" i="10"/>
  <c r="W28" i="10" s="1"/>
  <c r="E27" i="10"/>
  <c r="X27" i="10" s="1"/>
  <c r="D27" i="10"/>
  <c r="W27" i="10" s="1"/>
  <c r="E26" i="10"/>
  <c r="D26" i="10"/>
  <c r="E25" i="10"/>
  <c r="X25" i="10" s="1"/>
  <c r="D25" i="10"/>
  <c r="E24" i="10"/>
  <c r="D24" i="10"/>
  <c r="W24" i="10" s="1"/>
  <c r="E23" i="10"/>
  <c r="D23" i="10"/>
  <c r="E22" i="10"/>
  <c r="U22" i="10" s="1"/>
  <c r="R21" i="15" s="1"/>
  <c r="D22" i="10"/>
  <c r="W22" i="10" s="1"/>
  <c r="E21" i="10"/>
  <c r="D21" i="10"/>
  <c r="E20" i="10"/>
  <c r="X20" i="10" s="1"/>
  <c r="D20" i="10"/>
  <c r="W20" i="10" s="1"/>
  <c r="E19" i="10"/>
  <c r="D19" i="10"/>
  <c r="W19" i="10" s="1"/>
  <c r="E18" i="10"/>
  <c r="U18" i="10" s="1"/>
  <c r="R17" i="15" s="1"/>
  <c r="D18" i="10"/>
  <c r="T18" i="10" s="1"/>
  <c r="Q17" i="15" s="1"/>
  <c r="E17" i="10"/>
  <c r="X17" i="10" s="1"/>
  <c r="D17" i="10"/>
  <c r="E16" i="10"/>
  <c r="D16" i="10"/>
  <c r="E15" i="10"/>
  <c r="D15" i="10"/>
  <c r="E14" i="10"/>
  <c r="X14" i="10" s="1"/>
  <c r="D14" i="10"/>
  <c r="W14" i="10" s="1"/>
  <c r="E13" i="10"/>
  <c r="X13" i="10" s="1"/>
  <c r="D13" i="10"/>
  <c r="T13" i="10" s="1"/>
  <c r="Q12" i="15" s="1"/>
  <c r="E12" i="10"/>
  <c r="U12" i="10" s="1"/>
  <c r="R11" i="15" s="1"/>
  <c r="D12" i="10"/>
  <c r="W12" i="10" s="1"/>
  <c r="E11" i="10"/>
  <c r="D11" i="10"/>
  <c r="E10" i="10"/>
  <c r="X10" i="10" s="1"/>
  <c r="D10" i="10"/>
  <c r="W10" i="10" s="1"/>
  <c r="E9" i="10"/>
  <c r="X9" i="10" s="1"/>
  <c r="D9" i="10"/>
  <c r="W9" i="10" s="1"/>
  <c r="E8" i="10"/>
  <c r="X8" i="10" s="1"/>
  <c r="D8" i="10"/>
  <c r="W8" i="10" s="1"/>
  <c r="E7" i="10"/>
  <c r="U7" i="10" s="1"/>
  <c r="R6" i="15" s="1"/>
  <c r="D7" i="10"/>
  <c r="T7" i="10" s="1"/>
  <c r="Q6" i="15" s="1"/>
  <c r="E6" i="10"/>
  <c r="D6" i="10"/>
  <c r="E5" i="10"/>
  <c r="X5" i="10" s="1"/>
  <c r="D5" i="10"/>
  <c r="W5" i="10" s="1"/>
  <c r="E4" i="10"/>
  <c r="X4" i="10" s="1"/>
  <c r="D4" i="10"/>
  <c r="W4" i="10" s="1"/>
  <c r="E3" i="10"/>
  <c r="U3" i="10" s="1"/>
  <c r="R2" i="15" s="1"/>
  <c r="D3" i="10"/>
  <c r="T3" i="10" s="1"/>
  <c r="Q2" i="15" s="1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109" i="9"/>
  <c r="D109" i="9"/>
  <c r="E108" i="9"/>
  <c r="D108" i="9"/>
  <c r="E107" i="9"/>
  <c r="D107" i="9"/>
  <c r="E106" i="9"/>
  <c r="X106" i="9" s="1"/>
  <c r="D106" i="9"/>
  <c r="E105" i="9"/>
  <c r="X105" i="9" s="1"/>
  <c r="D105" i="9"/>
  <c r="T105" i="9" s="1"/>
  <c r="K104" i="15" s="1"/>
  <c r="E104" i="9"/>
  <c r="D104" i="9"/>
  <c r="T104" i="9" s="1"/>
  <c r="K103" i="15" s="1"/>
  <c r="E103" i="9"/>
  <c r="D103" i="9"/>
  <c r="E102" i="9"/>
  <c r="X102" i="9" s="1"/>
  <c r="D102" i="9"/>
  <c r="W102" i="9" s="1"/>
  <c r="E101" i="9"/>
  <c r="X101" i="9" s="1"/>
  <c r="D101" i="9"/>
  <c r="E100" i="9"/>
  <c r="D100" i="9"/>
  <c r="W100" i="9" s="1"/>
  <c r="E99" i="9"/>
  <c r="D99" i="9"/>
  <c r="T99" i="9" s="1"/>
  <c r="K98" i="15" s="1"/>
  <c r="E98" i="9"/>
  <c r="D98" i="9"/>
  <c r="E97" i="9"/>
  <c r="X97" i="9" s="1"/>
  <c r="D97" i="9"/>
  <c r="W97" i="9" s="1"/>
  <c r="E96" i="9"/>
  <c r="X96" i="9" s="1"/>
  <c r="D96" i="9"/>
  <c r="W96" i="9" s="1"/>
  <c r="E95" i="9"/>
  <c r="X95" i="9" s="1"/>
  <c r="D95" i="9"/>
  <c r="T95" i="9" s="1"/>
  <c r="K94" i="15" s="1"/>
  <c r="E94" i="9"/>
  <c r="X94" i="9" s="1"/>
  <c r="D94" i="9"/>
  <c r="T94" i="9" s="1"/>
  <c r="K93" i="15" s="1"/>
  <c r="E93" i="9"/>
  <c r="D93" i="9"/>
  <c r="E92" i="9"/>
  <c r="X92" i="9" s="1"/>
  <c r="D92" i="9"/>
  <c r="W92" i="9" s="1"/>
  <c r="E91" i="9"/>
  <c r="X91" i="9" s="1"/>
  <c r="D91" i="9"/>
  <c r="W91" i="9" s="1"/>
  <c r="E90" i="9"/>
  <c r="X90" i="9" s="1"/>
  <c r="D90" i="9"/>
  <c r="W90" i="9" s="1"/>
  <c r="E89" i="9"/>
  <c r="X89" i="9" s="1"/>
  <c r="D89" i="9"/>
  <c r="T89" i="9" s="1"/>
  <c r="K88" i="15" s="1"/>
  <c r="E88" i="9"/>
  <c r="D88" i="9"/>
  <c r="E87" i="9"/>
  <c r="X87" i="9" s="1"/>
  <c r="D87" i="9"/>
  <c r="W87" i="9" s="1"/>
  <c r="E86" i="9"/>
  <c r="D86" i="9"/>
  <c r="T86" i="9" s="1"/>
  <c r="K85" i="15" s="1"/>
  <c r="E85" i="9"/>
  <c r="D85" i="9"/>
  <c r="E84" i="9"/>
  <c r="X84" i="9" s="1"/>
  <c r="D84" i="9"/>
  <c r="T84" i="9" s="1"/>
  <c r="K83" i="15" s="1"/>
  <c r="E83" i="9"/>
  <c r="D83" i="9"/>
  <c r="E82" i="9"/>
  <c r="X82" i="9" s="1"/>
  <c r="D82" i="9"/>
  <c r="W82" i="9" s="1"/>
  <c r="E81" i="9"/>
  <c r="X81" i="9" s="1"/>
  <c r="D81" i="9"/>
  <c r="T81" i="9" s="1"/>
  <c r="K80" i="15" s="1"/>
  <c r="E80" i="9"/>
  <c r="D80" i="9"/>
  <c r="T80" i="9" s="1"/>
  <c r="K79" i="15" s="1"/>
  <c r="E79" i="9"/>
  <c r="U79" i="9" s="1"/>
  <c r="L78" i="15" s="1"/>
  <c r="D79" i="9"/>
  <c r="E78" i="9"/>
  <c r="D78" i="9"/>
  <c r="E77" i="9"/>
  <c r="D77" i="9"/>
  <c r="E76" i="9"/>
  <c r="D76" i="9"/>
  <c r="E75" i="9"/>
  <c r="U75" i="9" s="1"/>
  <c r="L74" i="15" s="1"/>
  <c r="D75" i="9"/>
  <c r="W75" i="9" s="1"/>
  <c r="E74" i="9"/>
  <c r="U74" i="9" s="1"/>
  <c r="L73" i="15" s="1"/>
  <c r="D74" i="9"/>
  <c r="T74" i="9" s="1"/>
  <c r="K73" i="15" s="1"/>
  <c r="E73" i="9"/>
  <c r="D73" i="9"/>
  <c r="E72" i="9"/>
  <c r="X72" i="9" s="1"/>
  <c r="D72" i="9"/>
  <c r="W72" i="9" s="1"/>
  <c r="E71" i="9"/>
  <c r="X71" i="9" s="1"/>
  <c r="D71" i="9"/>
  <c r="T71" i="9" s="1"/>
  <c r="K70" i="15" s="1"/>
  <c r="E70" i="9"/>
  <c r="D70" i="9"/>
  <c r="W70" i="9" s="1"/>
  <c r="E69" i="9"/>
  <c r="X69" i="9" s="1"/>
  <c r="D69" i="9"/>
  <c r="E68" i="9"/>
  <c r="D68" i="9"/>
  <c r="E67" i="9"/>
  <c r="X67" i="9" s="1"/>
  <c r="D67" i="9"/>
  <c r="W67" i="9" s="1"/>
  <c r="E66" i="9"/>
  <c r="X66" i="9" s="1"/>
  <c r="D66" i="9"/>
  <c r="W66" i="9" s="1"/>
  <c r="E65" i="9"/>
  <c r="X65" i="9" s="1"/>
  <c r="D65" i="9"/>
  <c r="W65" i="9" s="1"/>
  <c r="E64" i="9"/>
  <c r="X64" i="9" s="1"/>
  <c r="D64" i="9"/>
  <c r="T64" i="9" s="1"/>
  <c r="K63" i="15" s="1"/>
  <c r="E63" i="9"/>
  <c r="D63" i="9"/>
  <c r="E62" i="9"/>
  <c r="X62" i="9" s="1"/>
  <c r="D62" i="9"/>
  <c r="W62" i="9" s="1"/>
  <c r="E61" i="9"/>
  <c r="X61" i="9" s="1"/>
  <c r="D61" i="9"/>
  <c r="E60" i="9"/>
  <c r="X60" i="9" s="1"/>
  <c r="D60" i="9"/>
  <c r="T60" i="9" s="1"/>
  <c r="K59" i="15" s="1"/>
  <c r="E59" i="9"/>
  <c r="U59" i="9" s="1"/>
  <c r="L58" i="15" s="1"/>
  <c r="D59" i="9"/>
  <c r="T59" i="9" s="1"/>
  <c r="K58" i="15" s="1"/>
  <c r="E58" i="9"/>
  <c r="D58" i="9"/>
  <c r="E57" i="9"/>
  <c r="U57" i="9" s="1"/>
  <c r="L56" i="15" s="1"/>
  <c r="D57" i="9"/>
  <c r="T57" i="9" s="1"/>
  <c r="K56" i="15" s="1"/>
  <c r="E56" i="9"/>
  <c r="D56" i="9"/>
  <c r="E55" i="9"/>
  <c r="D55" i="9"/>
  <c r="E54" i="9"/>
  <c r="U54" i="9" s="1"/>
  <c r="L53" i="15" s="1"/>
  <c r="D54" i="9"/>
  <c r="T54" i="9" s="1"/>
  <c r="K53" i="15" s="1"/>
  <c r="E53" i="9"/>
  <c r="D53" i="9"/>
  <c r="E52" i="9"/>
  <c r="X52" i="9" s="1"/>
  <c r="D52" i="9"/>
  <c r="W52" i="9" s="1"/>
  <c r="E51" i="9"/>
  <c r="X51" i="9" s="1"/>
  <c r="D51" i="9"/>
  <c r="W51" i="9" s="1"/>
  <c r="E50" i="9"/>
  <c r="U50" i="9" s="1"/>
  <c r="L49" i="15" s="1"/>
  <c r="D50" i="9"/>
  <c r="T50" i="9" s="1"/>
  <c r="K49" i="15" s="1"/>
  <c r="E49" i="9"/>
  <c r="D49" i="9"/>
  <c r="E48" i="9"/>
  <c r="D48" i="9"/>
  <c r="E47" i="9"/>
  <c r="D47" i="9"/>
  <c r="W47" i="9" s="1"/>
  <c r="E46" i="9"/>
  <c r="D46" i="9"/>
  <c r="W46" i="9" s="1"/>
  <c r="E45" i="9"/>
  <c r="X45" i="9" s="1"/>
  <c r="D45" i="9"/>
  <c r="W45" i="9" s="1"/>
  <c r="E44" i="9"/>
  <c r="X44" i="9" s="1"/>
  <c r="D44" i="9"/>
  <c r="T44" i="9" s="1"/>
  <c r="K43" i="15" s="1"/>
  <c r="E43" i="9"/>
  <c r="D43" i="9"/>
  <c r="E42" i="9"/>
  <c r="U42" i="9" s="1"/>
  <c r="L41" i="15" s="1"/>
  <c r="D42" i="9"/>
  <c r="W42" i="9" s="1"/>
  <c r="E41" i="9"/>
  <c r="X41" i="9" s="1"/>
  <c r="D41" i="9"/>
  <c r="E40" i="9"/>
  <c r="X40" i="9" s="1"/>
  <c r="D40" i="9"/>
  <c r="T40" i="9" s="1"/>
  <c r="K39" i="15" s="1"/>
  <c r="E39" i="9"/>
  <c r="X39" i="9" s="1"/>
  <c r="D39" i="9"/>
  <c r="T39" i="9" s="1"/>
  <c r="K38" i="15" s="1"/>
  <c r="E38" i="9"/>
  <c r="D38" i="9"/>
  <c r="E37" i="9"/>
  <c r="X37" i="9" s="1"/>
  <c r="D37" i="9"/>
  <c r="W37" i="9" s="1"/>
  <c r="E36" i="9"/>
  <c r="X36" i="9" s="1"/>
  <c r="D36" i="9"/>
  <c r="W36" i="9" s="1"/>
  <c r="E35" i="9"/>
  <c r="D35" i="9"/>
  <c r="E34" i="9"/>
  <c r="X34" i="9" s="1"/>
  <c r="D34" i="9"/>
  <c r="T34" i="9" s="1"/>
  <c r="K33" i="15" s="1"/>
  <c r="E33" i="9"/>
  <c r="D33" i="9"/>
  <c r="E32" i="9"/>
  <c r="U32" i="9" s="1"/>
  <c r="L31" i="15" s="1"/>
  <c r="D32" i="9"/>
  <c r="W32" i="9" s="1"/>
  <c r="E31" i="9"/>
  <c r="X31" i="9" s="1"/>
  <c r="D31" i="9"/>
  <c r="T31" i="9" s="1"/>
  <c r="K30" i="15" s="1"/>
  <c r="E30" i="9"/>
  <c r="X30" i="9" s="1"/>
  <c r="D30" i="9"/>
  <c r="W30" i="9" s="1"/>
  <c r="E29" i="9"/>
  <c r="U29" i="9" s="1"/>
  <c r="L28" i="15" s="1"/>
  <c r="D29" i="9"/>
  <c r="T29" i="9" s="1"/>
  <c r="K28" i="15" s="1"/>
  <c r="E28" i="9"/>
  <c r="D28" i="9"/>
  <c r="E27" i="9"/>
  <c r="D27" i="9"/>
  <c r="E26" i="9"/>
  <c r="D26" i="9"/>
  <c r="E25" i="9"/>
  <c r="U25" i="9" s="1"/>
  <c r="L24" i="15" s="1"/>
  <c r="D25" i="9"/>
  <c r="W25" i="9" s="1"/>
  <c r="E24" i="9"/>
  <c r="X24" i="9" s="1"/>
  <c r="D24" i="9"/>
  <c r="T24" i="9" s="1"/>
  <c r="K23" i="15" s="1"/>
  <c r="E23" i="9"/>
  <c r="D23" i="9"/>
  <c r="E22" i="9"/>
  <c r="X22" i="9" s="1"/>
  <c r="D22" i="9"/>
  <c r="W22" i="9" s="1"/>
  <c r="E21" i="9"/>
  <c r="X21" i="9" s="1"/>
  <c r="D21" i="9"/>
  <c r="T21" i="9" s="1"/>
  <c r="K20" i="15" s="1"/>
  <c r="E20" i="9"/>
  <c r="D20" i="9"/>
  <c r="W20" i="9" s="1"/>
  <c r="E19" i="9"/>
  <c r="X19" i="9" s="1"/>
  <c r="D19" i="9"/>
  <c r="E18" i="9"/>
  <c r="D18" i="9"/>
  <c r="E17" i="9"/>
  <c r="X17" i="9" s="1"/>
  <c r="D17" i="9"/>
  <c r="W17" i="9" s="1"/>
  <c r="E16" i="9"/>
  <c r="X16" i="9" s="1"/>
  <c r="D16" i="9"/>
  <c r="W16" i="9" s="1"/>
  <c r="E15" i="9"/>
  <c r="X15" i="9" s="1"/>
  <c r="D15" i="9"/>
  <c r="T15" i="9" s="1"/>
  <c r="K14" i="15" s="1"/>
  <c r="E14" i="9"/>
  <c r="X14" i="9" s="1"/>
  <c r="D14" i="9"/>
  <c r="T14" i="9" s="1"/>
  <c r="K13" i="15" s="1"/>
  <c r="E13" i="9"/>
  <c r="D13" i="9"/>
  <c r="E12" i="9"/>
  <c r="X12" i="9" s="1"/>
  <c r="D12" i="9"/>
  <c r="W12" i="9" s="1"/>
  <c r="E11" i="9"/>
  <c r="X11" i="9" s="1"/>
  <c r="D11" i="9"/>
  <c r="E10" i="9"/>
  <c r="X10" i="9" s="1"/>
  <c r="D10" i="9"/>
  <c r="T10" i="9" s="1"/>
  <c r="K9" i="15" s="1"/>
  <c r="E9" i="9"/>
  <c r="X9" i="9" s="1"/>
  <c r="D9" i="9"/>
  <c r="T9" i="9" s="1"/>
  <c r="K8" i="15" s="1"/>
  <c r="E8" i="9"/>
  <c r="D8" i="9"/>
  <c r="E7" i="9"/>
  <c r="X7" i="9" s="1"/>
  <c r="D7" i="9"/>
  <c r="T7" i="9" s="1"/>
  <c r="K6" i="15" s="1"/>
  <c r="E6" i="9"/>
  <c r="D6" i="9"/>
  <c r="E5" i="9"/>
  <c r="D5" i="9"/>
  <c r="E4" i="9"/>
  <c r="X4" i="9" s="1"/>
  <c r="D4" i="9"/>
  <c r="T4" i="9" s="1"/>
  <c r="K3" i="15" s="1"/>
  <c r="E3" i="9"/>
  <c r="D3" i="9"/>
  <c r="W3" i="9" s="1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X3" i="2" s="1"/>
  <c r="D3" i="2"/>
  <c r="W3" i="2" s="1"/>
  <c r="E109" i="8"/>
  <c r="U109" i="8" s="1"/>
  <c r="F108" i="15" s="1"/>
  <c r="D109" i="8"/>
  <c r="W109" i="8" s="1"/>
  <c r="E108" i="8"/>
  <c r="X108" i="8" s="1"/>
  <c r="D108" i="8"/>
  <c r="W108" i="8" s="1"/>
  <c r="E107" i="8"/>
  <c r="U107" i="8" s="1"/>
  <c r="F106" i="15" s="1"/>
  <c r="D107" i="8"/>
  <c r="T107" i="8" s="1"/>
  <c r="E106" i="15" s="1"/>
  <c r="E106" i="8"/>
  <c r="X106" i="8" s="1"/>
  <c r="D106" i="8"/>
  <c r="T106" i="8" s="1"/>
  <c r="E105" i="15" s="1"/>
  <c r="E105" i="8"/>
  <c r="D105" i="8"/>
  <c r="E104" i="8"/>
  <c r="D104" i="8"/>
  <c r="W104" i="8" s="1"/>
  <c r="E103" i="8"/>
  <c r="D103" i="8"/>
  <c r="W103" i="8" s="1"/>
  <c r="E102" i="8"/>
  <c r="X102" i="8" s="1"/>
  <c r="D102" i="8"/>
  <c r="W102" i="8" s="1"/>
  <c r="E101" i="8"/>
  <c r="U101" i="8" s="1"/>
  <c r="F100" i="15" s="1"/>
  <c r="D101" i="8"/>
  <c r="T101" i="8" s="1"/>
  <c r="E100" i="15" s="1"/>
  <c r="E100" i="8"/>
  <c r="D100" i="8"/>
  <c r="E99" i="8"/>
  <c r="U99" i="8" s="1"/>
  <c r="F98" i="15" s="1"/>
  <c r="D99" i="8"/>
  <c r="E98" i="8"/>
  <c r="X98" i="8" s="1"/>
  <c r="D98" i="8"/>
  <c r="W98" i="8" s="1"/>
  <c r="E97" i="8"/>
  <c r="X97" i="8" s="1"/>
  <c r="D97" i="8"/>
  <c r="T97" i="8" s="1"/>
  <c r="E96" i="15" s="1"/>
  <c r="E96" i="8"/>
  <c r="U96" i="8" s="1"/>
  <c r="F95" i="15" s="1"/>
  <c r="D96" i="8"/>
  <c r="T96" i="8" s="1"/>
  <c r="E95" i="15" s="1"/>
  <c r="E95" i="8"/>
  <c r="D95" i="8"/>
  <c r="E94" i="8"/>
  <c r="X94" i="8" s="1"/>
  <c r="D94" i="8"/>
  <c r="W94" i="8" s="1"/>
  <c r="E93" i="8"/>
  <c r="X93" i="8" s="1"/>
  <c r="D93" i="8"/>
  <c r="W93" i="8" s="1"/>
  <c r="E92" i="8"/>
  <c r="D92" i="8"/>
  <c r="W92" i="8" s="1"/>
  <c r="E91" i="8"/>
  <c r="D91" i="8"/>
  <c r="E90" i="8"/>
  <c r="D90" i="8"/>
  <c r="E89" i="8"/>
  <c r="D89" i="8"/>
  <c r="T89" i="8" s="1"/>
  <c r="E88" i="15" s="1"/>
  <c r="E88" i="8"/>
  <c r="X88" i="8" s="1"/>
  <c r="D88" i="8"/>
  <c r="T88" i="8" s="1"/>
  <c r="E87" i="15" s="1"/>
  <c r="E87" i="8"/>
  <c r="X87" i="8" s="1"/>
  <c r="D87" i="8"/>
  <c r="W87" i="8" s="1"/>
  <c r="E86" i="8"/>
  <c r="U86" i="8" s="1"/>
  <c r="F85" i="15" s="1"/>
  <c r="D86" i="8"/>
  <c r="T86" i="8" s="1"/>
  <c r="E85" i="15" s="1"/>
  <c r="E85" i="8"/>
  <c r="D85" i="8"/>
  <c r="E84" i="8"/>
  <c r="D84" i="8"/>
  <c r="W84" i="8" s="1"/>
  <c r="E83" i="8"/>
  <c r="D83" i="8"/>
  <c r="E82" i="8"/>
  <c r="U82" i="8" s="1"/>
  <c r="F81" i="15" s="1"/>
  <c r="D82" i="8"/>
  <c r="W82" i="8" s="1"/>
  <c r="E81" i="8"/>
  <c r="D81" i="8"/>
  <c r="E80" i="8"/>
  <c r="D80" i="8"/>
  <c r="E79" i="8"/>
  <c r="X79" i="8" s="1"/>
  <c r="D79" i="8"/>
  <c r="W79" i="8" s="1"/>
  <c r="E78" i="8"/>
  <c r="X78" i="8" s="1"/>
  <c r="D78" i="8"/>
  <c r="T78" i="8" s="1"/>
  <c r="E77" i="15" s="1"/>
  <c r="E77" i="8"/>
  <c r="X77" i="8" s="1"/>
  <c r="D77" i="8"/>
  <c r="W77" i="8" s="1"/>
  <c r="E76" i="8"/>
  <c r="X76" i="8" s="1"/>
  <c r="D76" i="8"/>
  <c r="T76" i="8" s="1"/>
  <c r="E75" i="15" s="1"/>
  <c r="E75" i="8"/>
  <c r="D75" i="8"/>
  <c r="E74" i="8"/>
  <c r="X74" i="8" s="1"/>
  <c r="D74" i="8"/>
  <c r="W74" i="8" s="1"/>
  <c r="E73" i="8"/>
  <c r="X73" i="8" s="1"/>
  <c r="D73" i="8"/>
  <c r="W73" i="8" s="1"/>
  <c r="E72" i="8"/>
  <c r="X72" i="8" s="1"/>
  <c r="D72" i="8"/>
  <c r="T72" i="8" s="1"/>
  <c r="E71" i="15" s="1"/>
  <c r="E71" i="8"/>
  <c r="D71" i="8"/>
  <c r="E70" i="8"/>
  <c r="D70" i="8"/>
  <c r="E69" i="8"/>
  <c r="D69" i="8"/>
  <c r="E68" i="8"/>
  <c r="X68" i="8" s="1"/>
  <c r="D68" i="8"/>
  <c r="T68" i="8" s="1"/>
  <c r="E67" i="15" s="1"/>
  <c r="E67" i="8"/>
  <c r="X67" i="8" s="1"/>
  <c r="D67" i="8"/>
  <c r="W67" i="8" s="1"/>
  <c r="E66" i="8"/>
  <c r="D66" i="8"/>
  <c r="T66" i="8" s="1"/>
  <c r="E65" i="15" s="1"/>
  <c r="E65" i="8"/>
  <c r="D65" i="8"/>
  <c r="E64" i="8"/>
  <c r="U64" i="8" s="1"/>
  <c r="F63" i="15" s="1"/>
  <c r="D64" i="8"/>
  <c r="T64" i="8" s="1"/>
  <c r="E63" i="15" s="1"/>
  <c r="E63" i="8"/>
  <c r="D63" i="8"/>
  <c r="E62" i="8"/>
  <c r="D62" i="8"/>
  <c r="W62" i="8" s="1"/>
  <c r="E61" i="8"/>
  <c r="U61" i="8" s="1"/>
  <c r="F60" i="15" s="1"/>
  <c r="D61" i="8"/>
  <c r="E60" i="8"/>
  <c r="D60" i="8"/>
  <c r="E59" i="8"/>
  <c r="U59" i="8" s="1"/>
  <c r="F58" i="15" s="1"/>
  <c r="D59" i="8"/>
  <c r="W59" i="8" s="1"/>
  <c r="E58" i="8"/>
  <c r="X58" i="8" s="1"/>
  <c r="D58" i="8"/>
  <c r="W58" i="8" s="1"/>
  <c r="E57" i="8"/>
  <c r="U57" i="8" s="1"/>
  <c r="F56" i="15" s="1"/>
  <c r="D57" i="8"/>
  <c r="T57" i="8" s="1"/>
  <c r="E56" i="15" s="1"/>
  <c r="E56" i="8"/>
  <c r="X56" i="8" s="1"/>
  <c r="D56" i="8"/>
  <c r="T56" i="8" s="1"/>
  <c r="E55" i="15" s="1"/>
  <c r="E55" i="8"/>
  <c r="X55" i="8" s="1"/>
  <c r="D55" i="8"/>
  <c r="E54" i="8"/>
  <c r="X54" i="8" s="1"/>
  <c r="D54" i="8"/>
  <c r="T54" i="8" s="1"/>
  <c r="E53" i="15" s="1"/>
  <c r="E53" i="8"/>
  <c r="X53" i="8" s="1"/>
  <c r="D53" i="8"/>
  <c r="W53" i="8" s="1"/>
  <c r="E52" i="8"/>
  <c r="X52" i="8" s="1"/>
  <c r="D52" i="8"/>
  <c r="T52" i="8" s="1"/>
  <c r="E51" i="15" s="1"/>
  <c r="E51" i="8"/>
  <c r="U51" i="8" s="1"/>
  <c r="F50" i="15" s="1"/>
  <c r="D51" i="8"/>
  <c r="T51" i="8" s="1"/>
  <c r="E50" i="15" s="1"/>
  <c r="E50" i="8"/>
  <c r="D50" i="8"/>
  <c r="E49" i="8"/>
  <c r="D49" i="8"/>
  <c r="E48" i="8"/>
  <c r="X48" i="8" s="1"/>
  <c r="D48" i="8"/>
  <c r="W48" i="8" s="1"/>
  <c r="E47" i="8"/>
  <c r="X47" i="8" s="1"/>
  <c r="D47" i="8"/>
  <c r="E46" i="8"/>
  <c r="U46" i="8" s="1"/>
  <c r="F45" i="15" s="1"/>
  <c r="D46" i="8"/>
  <c r="T46" i="8" s="1"/>
  <c r="E45" i="15" s="1"/>
  <c r="E45" i="8"/>
  <c r="X45" i="8" s="1"/>
  <c r="D45" i="8"/>
  <c r="E44" i="8"/>
  <c r="U44" i="8" s="1"/>
  <c r="F43" i="15" s="1"/>
  <c r="D44" i="8"/>
  <c r="T44" i="8" s="1"/>
  <c r="E43" i="15" s="1"/>
  <c r="E43" i="8"/>
  <c r="D43" i="8"/>
  <c r="E42" i="8"/>
  <c r="D42" i="8"/>
  <c r="W42" i="8" s="1"/>
  <c r="E41" i="8"/>
  <c r="X41" i="8" s="1"/>
  <c r="D41" i="8"/>
  <c r="W41" i="8" s="1"/>
  <c r="E40" i="8"/>
  <c r="D40" i="8"/>
  <c r="E39" i="8"/>
  <c r="U39" i="8" s="1"/>
  <c r="F38" i="15" s="1"/>
  <c r="D39" i="8"/>
  <c r="W39" i="8" s="1"/>
  <c r="E38" i="8"/>
  <c r="X38" i="8" s="1"/>
  <c r="D38" i="8"/>
  <c r="T38" i="8" s="1"/>
  <c r="E37" i="15" s="1"/>
  <c r="E37" i="8"/>
  <c r="X37" i="8" s="1"/>
  <c r="D37" i="8"/>
  <c r="W37" i="8" s="1"/>
  <c r="E36" i="8"/>
  <c r="X36" i="8" s="1"/>
  <c r="D36" i="8"/>
  <c r="W36" i="8" s="1"/>
  <c r="E35" i="8"/>
  <c r="X35" i="8" s="1"/>
  <c r="D35" i="8"/>
  <c r="E34" i="8"/>
  <c r="U34" i="8" s="1"/>
  <c r="F33" i="15" s="1"/>
  <c r="D34" i="8"/>
  <c r="W34" i="8" s="1"/>
  <c r="E33" i="8"/>
  <c r="U33" i="8" s="1"/>
  <c r="F32" i="15" s="1"/>
  <c r="D33" i="8"/>
  <c r="W33" i="8" s="1"/>
  <c r="E32" i="8"/>
  <c r="U32" i="8" s="1"/>
  <c r="F31" i="15" s="1"/>
  <c r="D32" i="8"/>
  <c r="W32" i="8" s="1"/>
  <c r="E31" i="8"/>
  <c r="D31" i="8"/>
  <c r="E30" i="8"/>
  <c r="D30" i="8"/>
  <c r="T30" i="8" s="1"/>
  <c r="E29" i="15" s="1"/>
  <c r="E29" i="8"/>
  <c r="X29" i="8" s="1"/>
  <c r="D29" i="8"/>
  <c r="T29" i="8" s="1"/>
  <c r="E28" i="15" s="1"/>
  <c r="E28" i="8"/>
  <c r="X28" i="8" s="1"/>
  <c r="D28" i="8"/>
  <c r="T28" i="8" s="1"/>
  <c r="E27" i="15" s="1"/>
  <c r="E27" i="8"/>
  <c r="U27" i="8" s="1"/>
  <c r="F26" i="15" s="1"/>
  <c r="D27" i="8"/>
  <c r="T27" i="8" s="1"/>
  <c r="E26" i="15" s="1"/>
  <c r="E26" i="8"/>
  <c r="X26" i="8" s="1"/>
  <c r="D26" i="8"/>
  <c r="W26" i="8" s="1"/>
  <c r="E25" i="8"/>
  <c r="X25" i="8" s="1"/>
  <c r="D25" i="8"/>
  <c r="E24" i="8"/>
  <c r="X24" i="8" s="1"/>
  <c r="D24" i="8"/>
  <c r="W24" i="8" s="1"/>
  <c r="E23" i="8"/>
  <c r="X23" i="8" s="1"/>
  <c r="D23" i="8"/>
  <c r="T23" i="8" s="1"/>
  <c r="E22" i="15" s="1"/>
  <c r="E22" i="8"/>
  <c r="X22" i="8" s="1"/>
  <c r="D22" i="8"/>
  <c r="T22" i="8" s="1"/>
  <c r="E21" i="15" s="1"/>
  <c r="E21" i="8"/>
  <c r="D21" i="8"/>
  <c r="E20" i="8"/>
  <c r="X20" i="8" s="1"/>
  <c r="D20" i="8"/>
  <c r="E19" i="8"/>
  <c r="U19" i="8" s="1"/>
  <c r="F18" i="15" s="1"/>
  <c r="D19" i="8"/>
  <c r="W19" i="8" s="1"/>
  <c r="E18" i="8"/>
  <c r="U18" i="8" s="1"/>
  <c r="F17" i="15" s="1"/>
  <c r="D18" i="8"/>
  <c r="W18" i="8" s="1"/>
  <c r="E17" i="8"/>
  <c r="X17" i="8" s="1"/>
  <c r="D17" i="8"/>
  <c r="W17" i="8" s="1"/>
  <c r="E16" i="8"/>
  <c r="X16" i="8" s="1"/>
  <c r="D16" i="8"/>
  <c r="W16" i="8" s="1"/>
  <c r="E15" i="8"/>
  <c r="X15" i="8" s="1"/>
  <c r="D15" i="8"/>
  <c r="E14" i="8"/>
  <c r="U14" i="8" s="1"/>
  <c r="F13" i="15" s="1"/>
  <c r="D14" i="8"/>
  <c r="W14" i="8" s="1"/>
  <c r="E13" i="8"/>
  <c r="U13" i="8" s="1"/>
  <c r="F12" i="15" s="1"/>
  <c r="D13" i="8"/>
  <c r="W13" i="8" s="1"/>
  <c r="E12" i="8"/>
  <c r="X12" i="8" s="1"/>
  <c r="D12" i="8"/>
  <c r="W12" i="8" s="1"/>
  <c r="E11" i="8"/>
  <c r="U11" i="8" s="1"/>
  <c r="F10" i="15" s="1"/>
  <c r="D11" i="8"/>
  <c r="E10" i="8"/>
  <c r="D10" i="8"/>
  <c r="E9" i="8"/>
  <c r="X9" i="8" s="1"/>
  <c r="D9" i="8"/>
  <c r="E8" i="8"/>
  <c r="D8" i="8"/>
  <c r="T8" i="8" s="1"/>
  <c r="E7" i="15" s="1"/>
  <c r="E7" i="8"/>
  <c r="U7" i="8" s="1"/>
  <c r="F6" i="15" s="1"/>
  <c r="D7" i="8"/>
  <c r="T7" i="8" s="1"/>
  <c r="E6" i="15" s="1"/>
  <c r="E6" i="8"/>
  <c r="U6" i="8" s="1"/>
  <c r="F5" i="15" s="1"/>
  <c r="D6" i="8"/>
  <c r="T6" i="8" s="1"/>
  <c r="E5" i="15" s="1"/>
  <c r="E5" i="8"/>
  <c r="X5" i="8" s="1"/>
  <c r="D5" i="8"/>
  <c r="E4" i="8"/>
  <c r="X4" i="8" s="1"/>
  <c r="D4" i="8"/>
  <c r="T4" i="8" s="1"/>
  <c r="E3" i="15" s="1"/>
  <c r="E3" i="8"/>
  <c r="X3" i="8" s="1"/>
  <c r="D3" i="8"/>
  <c r="T3" i="8" s="1"/>
  <c r="E2" i="15" s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X3" i="1" s="1"/>
  <c r="D3" i="1"/>
  <c r="W3" i="1" s="1"/>
  <c r="AD52" i="3" l="1"/>
  <c r="N51" i="15" s="1"/>
  <c r="AG52" i="3"/>
  <c r="AD53" i="3"/>
  <c r="N52" i="15" s="1"/>
  <c r="AG53" i="3"/>
  <c r="AE33" i="3"/>
  <c r="O32" i="15" s="1"/>
  <c r="AH33" i="3"/>
  <c r="O32" i="12" s="1"/>
  <c r="U63" i="11"/>
  <c r="X62" i="15" s="1"/>
  <c r="AE14" i="3"/>
  <c r="O13" i="15" s="1"/>
  <c r="AH14" i="3"/>
  <c r="AH64" i="3"/>
  <c r="AE64" i="3"/>
  <c r="O63" i="15" s="1"/>
  <c r="U60" i="9"/>
  <c r="L59" i="15" s="1"/>
  <c r="AD5" i="3"/>
  <c r="N4" i="15" s="1"/>
  <c r="AG5" i="3"/>
  <c r="N4" i="12" s="1"/>
  <c r="AD15" i="3"/>
  <c r="N14" i="15" s="1"/>
  <c r="AG15" i="3"/>
  <c r="AD25" i="3"/>
  <c r="N24" i="15" s="1"/>
  <c r="AG25" i="3"/>
  <c r="N24" i="12" s="1"/>
  <c r="AD35" i="3"/>
  <c r="N34" i="15" s="1"/>
  <c r="AG35" i="3"/>
  <c r="N34" i="12" s="1"/>
  <c r="AD45" i="3"/>
  <c r="N44" i="15" s="1"/>
  <c r="AG45" i="3"/>
  <c r="AD55" i="3"/>
  <c r="N54" i="15" s="1"/>
  <c r="AG55" i="3"/>
  <c r="AD65" i="3"/>
  <c r="N64" i="15" s="1"/>
  <c r="AG65" i="3"/>
  <c r="N64" i="12" s="1"/>
  <c r="AD75" i="3"/>
  <c r="N74" i="15" s="1"/>
  <c r="AG75" i="3"/>
  <c r="AD85" i="3"/>
  <c r="N84" i="15" s="1"/>
  <c r="AG85" i="3"/>
  <c r="AD95" i="3"/>
  <c r="N94" i="15" s="1"/>
  <c r="AG95" i="3"/>
  <c r="AD105" i="3"/>
  <c r="N104" i="15" s="1"/>
  <c r="AG105" i="3"/>
  <c r="N104" i="12" s="1"/>
  <c r="T12" i="8"/>
  <c r="E11" i="15" s="1"/>
  <c r="W23" i="8"/>
  <c r="U38" i="8"/>
  <c r="F37" i="15" s="1"/>
  <c r="U48" i="8"/>
  <c r="F47" i="15" s="1"/>
  <c r="T67" i="8"/>
  <c r="E66" i="15" s="1"/>
  <c r="X86" i="8"/>
  <c r="F85" i="12" s="1"/>
  <c r="W107" i="8"/>
  <c r="T45" i="9"/>
  <c r="K44" i="15" s="1"/>
  <c r="W60" i="9"/>
  <c r="U84" i="9"/>
  <c r="L83" i="15" s="1"/>
  <c r="W3" i="10"/>
  <c r="T22" i="10"/>
  <c r="Q21" i="15" s="1"/>
  <c r="T64" i="10"/>
  <c r="Q63" i="15" s="1"/>
  <c r="T84" i="10"/>
  <c r="Q83" i="15" s="1"/>
  <c r="U99" i="10"/>
  <c r="R98" i="15" s="1"/>
  <c r="T30" i="11"/>
  <c r="W29" i="15" s="1"/>
  <c r="U65" i="11"/>
  <c r="X64" i="15" s="1"/>
  <c r="U93" i="11"/>
  <c r="X92" i="15" s="1"/>
  <c r="AD72" i="3"/>
  <c r="N71" i="15" s="1"/>
  <c r="AG72" i="3"/>
  <c r="AE82" i="3"/>
  <c r="O81" i="15" s="1"/>
  <c r="AH82" i="3"/>
  <c r="AD13" i="3"/>
  <c r="N12" i="15" s="1"/>
  <c r="AG13" i="3"/>
  <c r="N12" i="12" s="1"/>
  <c r="AG63" i="3"/>
  <c r="N62" i="12" s="1"/>
  <c r="AD63" i="3"/>
  <c r="N62" i="15" s="1"/>
  <c r="AE53" i="3"/>
  <c r="O52" i="15" s="1"/>
  <c r="AH53" i="3"/>
  <c r="AD4" i="3"/>
  <c r="N3" i="15" s="1"/>
  <c r="AG4" i="3"/>
  <c r="AD84" i="3"/>
  <c r="N83" i="15" s="1"/>
  <c r="AG84" i="3"/>
  <c r="N83" i="12" s="1"/>
  <c r="AH4" i="3"/>
  <c r="AE4" i="3"/>
  <c r="O3" i="15" s="1"/>
  <c r="AE34" i="3"/>
  <c r="O33" i="15" s="1"/>
  <c r="AH34" i="3"/>
  <c r="AE74" i="3"/>
  <c r="O73" i="15" s="1"/>
  <c r="AH74" i="3"/>
  <c r="AH104" i="3"/>
  <c r="O103" i="12" s="1"/>
  <c r="AE104" i="3"/>
  <c r="O103" i="15" s="1"/>
  <c r="T104" i="8"/>
  <c r="E103" i="15" s="1"/>
  <c r="T65" i="11"/>
  <c r="W64" i="15" s="1"/>
  <c r="AH5" i="3"/>
  <c r="O4" i="12" s="1"/>
  <c r="AE5" i="3"/>
  <c r="O4" i="15" s="1"/>
  <c r="AE15" i="3"/>
  <c r="O14" i="15" s="1"/>
  <c r="AH15" i="3"/>
  <c r="O14" i="12" s="1"/>
  <c r="AH25" i="3"/>
  <c r="AE25" i="3"/>
  <c r="O24" i="15" s="1"/>
  <c r="AE35" i="3"/>
  <c r="O34" i="15" s="1"/>
  <c r="AH35" i="3"/>
  <c r="AH45" i="3"/>
  <c r="AE45" i="3"/>
  <c r="O44" i="15" s="1"/>
  <c r="AE55" i="3"/>
  <c r="O54" i="15" s="1"/>
  <c r="AH55" i="3"/>
  <c r="AH65" i="3"/>
  <c r="AE65" i="3"/>
  <c r="O64" i="15" s="1"/>
  <c r="AE75" i="3"/>
  <c r="O74" i="15" s="1"/>
  <c r="AH75" i="3"/>
  <c r="AE85" i="3"/>
  <c r="O84" i="15" s="1"/>
  <c r="AH85" i="3"/>
  <c r="O84" i="12" s="1"/>
  <c r="AE95" i="3"/>
  <c r="O94" i="15" s="1"/>
  <c r="AH95" i="3"/>
  <c r="O94" i="12" s="1"/>
  <c r="AE105" i="3"/>
  <c r="O104" i="15" s="1"/>
  <c r="AH105" i="3"/>
  <c r="O104" i="12" s="1"/>
  <c r="U12" i="8"/>
  <c r="F11" i="15" s="1"/>
  <c r="T24" i="8"/>
  <c r="E23" i="15" s="1"/>
  <c r="W38" i="8"/>
  <c r="W51" i="8"/>
  <c r="U67" i="8"/>
  <c r="F66" i="15" s="1"/>
  <c r="T87" i="8"/>
  <c r="E86" i="15" s="1"/>
  <c r="X107" i="8"/>
  <c r="U45" i="9"/>
  <c r="L44" i="15" s="1"/>
  <c r="U61" i="9"/>
  <c r="L60" i="15" s="1"/>
  <c r="W84" i="9"/>
  <c r="X3" i="10"/>
  <c r="X22" i="10"/>
  <c r="X87" i="10"/>
  <c r="U13" i="11"/>
  <c r="X12" i="15" s="1"/>
  <c r="U30" i="11"/>
  <c r="X29" i="15" s="1"/>
  <c r="U67" i="11"/>
  <c r="X66" i="15" s="1"/>
  <c r="T95" i="11"/>
  <c r="W94" i="15" s="1"/>
  <c r="AD92" i="3"/>
  <c r="N91" i="15" s="1"/>
  <c r="AG92" i="3"/>
  <c r="AE22" i="3"/>
  <c r="O21" i="15" s="1"/>
  <c r="AH22" i="3"/>
  <c r="O21" i="12" s="1"/>
  <c r="AE102" i="3"/>
  <c r="O101" i="15" s="1"/>
  <c r="AH102" i="3"/>
  <c r="AG103" i="3"/>
  <c r="AD103" i="3"/>
  <c r="N102" i="15" s="1"/>
  <c r="AE23" i="3"/>
  <c r="O22" i="15" s="1"/>
  <c r="AH23" i="3"/>
  <c r="AD34" i="3"/>
  <c r="N33" i="15" s="1"/>
  <c r="AG34" i="3"/>
  <c r="X59" i="9"/>
  <c r="AH24" i="3"/>
  <c r="AE24" i="3"/>
  <c r="O23" i="15" s="1"/>
  <c r="AH84" i="3"/>
  <c r="AE84" i="3"/>
  <c r="O83" i="15" s="1"/>
  <c r="AD6" i="3"/>
  <c r="N5" i="15" s="1"/>
  <c r="AG6" i="3"/>
  <c r="N5" i="12" s="1"/>
  <c r="AD16" i="3"/>
  <c r="N15" i="15" s="1"/>
  <c r="AG16" i="3"/>
  <c r="N15" i="12" s="1"/>
  <c r="AD26" i="3"/>
  <c r="N25" i="15" s="1"/>
  <c r="AG26" i="3"/>
  <c r="N25" i="12" s="1"/>
  <c r="AD36" i="3"/>
  <c r="N35" i="15" s="1"/>
  <c r="AG36" i="3"/>
  <c r="N35" i="12" s="1"/>
  <c r="AD46" i="3"/>
  <c r="N45" i="15" s="1"/>
  <c r="AG46" i="3"/>
  <c r="AD56" i="3"/>
  <c r="N55" i="15" s="1"/>
  <c r="AG56" i="3"/>
  <c r="AD66" i="3"/>
  <c r="N65" i="15" s="1"/>
  <c r="AG66" i="3"/>
  <c r="AD76" i="3"/>
  <c r="N75" i="15" s="1"/>
  <c r="AG76" i="3"/>
  <c r="AD86" i="3"/>
  <c r="N85" i="15" s="1"/>
  <c r="AG86" i="3"/>
  <c r="AD96" i="3"/>
  <c r="N95" i="15" s="1"/>
  <c r="AG96" i="3"/>
  <c r="AD106" i="3"/>
  <c r="N105" i="15" s="1"/>
  <c r="AG106" i="3"/>
  <c r="T39" i="8"/>
  <c r="E38" i="15" s="1"/>
  <c r="X51" i="8"/>
  <c r="F50" i="12" s="1"/>
  <c r="U87" i="8"/>
  <c r="F86" i="15" s="1"/>
  <c r="T108" i="8"/>
  <c r="E107" i="15" s="1"/>
  <c r="U24" i="9"/>
  <c r="L23" i="15" s="1"/>
  <c r="T66" i="9"/>
  <c r="K65" i="15" s="1"/>
  <c r="U89" i="9"/>
  <c r="L88" i="15" s="1"/>
  <c r="T4" i="10"/>
  <c r="Q3" i="15" s="1"/>
  <c r="U25" i="10"/>
  <c r="R24" i="15" s="1"/>
  <c r="T45" i="10"/>
  <c r="Q44" i="15" s="1"/>
  <c r="T88" i="10"/>
  <c r="Q87" i="15" s="1"/>
  <c r="U104" i="10"/>
  <c r="R103" i="15" s="1"/>
  <c r="T15" i="11"/>
  <c r="W14" i="15" s="1"/>
  <c r="U52" i="11"/>
  <c r="X51" i="15" s="1"/>
  <c r="T70" i="11"/>
  <c r="W69" i="15" s="1"/>
  <c r="U95" i="11"/>
  <c r="X94" i="15" s="1"/>
  <c r="AD12" i="3"/>
  <c r="N11" i="15" s="1"/>
  <c r="AG12" i="3"/>
  <c r="AE12" i="3"/>
  <c r="O11" i="15" s="1"/>
  <c r="AH12" i="3"/>
  <c r="O11" i="12" s="1"/>
  <c r="AD73" i="3"/>
  <c r="N72" i="15" s="1"/>
  <c r="AG73" i="3"/>
  <c r="N72" i="12" s="1"/>
  <c r="AE103" i="3"/>
  <c r="O102" i="15" s="1"/>
  <c r="AH103" i="3"/>
  <c r="O102" i="12" s="1"/>
  <c r="AE44" i="3"/>
  <c r="O43" i="15" s="1"/>
  <c r="AH44" i="3"/>
  <c r="O43" i="12" s="1"/>
  <c r="AE94" i="3"/>
  <c r="O93" i="15" s="1"/>
  <c r="AH94" i="3"/>
  <c r="U60" i="10"/>
  <c r="R59" i="15" s="1"/>
  <c r="T93" i="11"/>
  <c r="W92" i="15" s="1"/>
  <c r="AH6" i="3"/>
  <c r="AE6" i="3"/>
  <c r="O5" i="15" s="1"/>
  <c r="AE16" i="3"/>
  <c r="O15" i="15" s="1"/>
  <c r="AH16" i="3"/>
  <c r="AH26" i="3"/>
  <c r="AE26" i="3"/>
  <c r="O25" i="15" s="1"/>
  <c r="AE36" i="3"/>
  <c r="O35" i="15" s="1"/>
  <c r="AH36" i="3"/>
  <c r="AH46" i="3"/>
  <c r="O45" i="12" s="1"/>
  <c r="AE46" i="3"/>
  <c r="O45" i="15" s="1"/>
  <c r="AE56" i="3"/>
  <c r="O55" i="15" s="1"/>
  <c r="AH56" i="3"/>
  <c r="O55" i="12" s="1"/>
  <c r="AH66" i="3"/>
  <c r="O65" i="12" s="1"/>
  <c r="AE66" i="3"/>
  <c r="O65" i="15" s="1"/>
  <c r="AE76" i="3"/>
  <c r="O75" i="15" s="1"/>
  <c r="AH76" i="3"/>
  <c r="O75" i="12" s="1"/>
  <c r="AH86" i="3"/>
  <c r="AE86" i="3"/>
  <c r="O85" i="15" s="1"/>
  <c r="AE96" i="3"/>
  <c r="O95" i="15" s="1"/>
  <c r="AH96" i="3"/>
  <c r="AH106" i="3"/>
  <c r="AE106" i="3"/>
  <c r="O105" i="15" s="1"/>
  <c r="U25" i="8"/>
  <c r="F24" i="15" s="1"/>
  <c r="U108" i="8"/>
  <c r="F107" i="15" s="1"/>
  <c r="T46" i="9"/>
  <c r="K45" i="15" s="1"/>
  <c r="U66" i="9"/>
  <c r="L65" i="15" s="1"/>
  <c r="W89" i="9"/>
  <c r="T5" i="10"/>
  <c r="Q4" i="15" s="1"/>
  <c r="U27" i="10"/>
  <c r="R26" i="15" s="1"/>
  <c r="X48" i="10"/>
  <c r="T65" i="10"/>
  <c r="Q64" i="15" s="1"/>
  <c r="T105" i="10"/>
  <c r="Q104" i="15" s="1"/>
  <c r="U15" i="11"/>
  <c r="X14" i="15" s="1"/>
  <c r="T31" i="11"/>
  <c r="W30" i="15" s="1"/>
  <c r="T72" i="11"/>
  <c r="W71" i="15" s="1"/>
  <c r="AG62" i="3"/>
  <c r="N61" i="12" s="1"/>
  <c r="AD62" i="3"/>
  <c r="N61" i="15" s="1"/>
  <c r="AE32" i="3"/>
  <c r="O31" i="15" s="1"/>
  <c r="AH32" i="3"/>
  <c r="AG83" i="3"/>
  <c r="AD83" i="3"/>
  <c r="N82" i="15" s="1"/>
  <c r="AE83" i="3"/>
  <c r="O82" i="15" s="1"/>
  <c r="AH83" i="3"/>
  <c r="AD14" i="3"/>
  <c r="N13" i="15" s="1"/>
  <c r="AG14" i="3"/>
  <c r="AE54" i="3"/>
  <c r="O53" i="15" s="1"/>
  <c r="AH54" i="3"/>
  <c r="U23" i="8"/>
  <c r="F22" i="15" s="1"/>
  <c r="U20" i="10"/>
  <c r="R19" i="15" s="1"/>
  <c r="AD7" i="3"/>
  <c r="N6" i="15" s="1"/>
  <c r="AG7" i="3"/>
  <c r="AG17" i="3"/>
  <c r="N16" i="12" s="1"/>
  <c r="AD17" i="3"/>
  <c r="N16" i="15" s="1"/>
  <c r="AD27" i="3"/>
  <c r="N26" i="15" s="1"/>
  <c r="AG27" i="3"/>
  <c r="AG37" i="3"/>
  <c r="N36" i="12" s="1"/>
  <c r="AD37" i="3"/>
  <c r="N36" i="15" s="1"/>
  <c r="AD47" i="3"/>
  <c r="N46" i="15" s="1"/>
  <c r="AG47" i="3"/>
  <c r="AG57" i="3"/>
  <c r="AD57" i="3"/>
  <c r="N56" i="15" s="1"/>
  <c r="AD67" i="3"/>
  <c r="N66" i="15" s="1"/>
  <c r="AG67" i="3"/>
  <c r="AG77" i="3"/>
  <c r="AD77" i="3"/>
  <c r="N76" i="15" s="1"/>
  <c r="AD87" i="3"/>
  <c r="N86" i="15" s="1"/>
  <c r="AG87" i="3"/>
  <c r="AG97" i="3"/>
  <c r="AD97" i="3"/>
  <c r="N96" i="15" s="1"/>
  <c r="AD107" i="3"/>
  <c r="N106" i="15" s="1"/>
  <c r="AG107" i="3"/>
  <c r="T13" i="8"/>
  <c r="E12" i="15" s="1"/>
  <c r="W27" i="8"/>
  <c r="E26" i="12" s="1"/>
  <c r="U52" i="8"/>
  <c r="F51" i="15" s="1"/>
  <c r="U68" i="8"/>
  <c r="F67" i="15" s="1"/>
  <c r="T30" i="9"/>
  <c r="K29" i="15" s="1"/>
  <c r="W50" i="9"/>
  <c r="T72" i="9"/>
  <c r="K71" i="15" s="1"/>
  <c r="T90" i="9"/>
  <c r="K89" i="15" s="1"/>
  <c r="U5" i="10"/>
  <c r="R4" i="15" s="1"/>
  <c r="T49" i="10"/>
  <c r="Q48" i="15" s="1"/>
  <c r="U65" i="10"/>
  <c r="R64" i="15" s="1"/>
  <c r="U105" i="10"/>
  <c r="R104" i="15" s="1"/>
  <c r="T35" i="11"/>
  <c r="W34" i="15" s="1"/>
  <c r="U53" i="11"/>
  <c r="X52" i="15" s="1"/>
  <c r="T76" i="11"/>
  <c r="W75" i="15" s="1"/>
  <c r="T96" i="11"/>
  <c r="W95" i="15" s="1"/>
  <c r="AG42" i="3"/>
  <c r="AD42" i="3"/>
  <c r="N41" i="15" s="1"/>
  <c r="AE62" i="3"/>
  <c r="O61" i="15" s="1"/>
  <c r="AH62" i="3"/>
  <c r="AD33" i="3"/>
  <c r="N32" i="15" s="1"/>
  <c r="AG33" i="3"/>
  <c r="N32" i="12" s="1"/>
  <c r="AH3" i="3"/>
  <c r="O2" i="12" s="1"/>
  <c r="AE3" i="3"/>
  <c r="O2" i="15" s="1"/>
  <c r="AE93" i="3"/>
  <c r="O92" i="15" s="1"/>
  <c r="AH93" i="3"/>
  <c r="AD54" i="3"/>
  <c r="N53" i="15" s="1"/>
  <c r="AG54" i="3"/>
  <c r="AE17" i="3"/>
  <c r="O16" i="15" s="1"/>
  <c r="AH17" i="3"/>
  <c r="AH47" i="3"/>
  <c r="AE47" i="3"/>
  <c r="O46" i="15" s="1"/>
  <c r="AE77" i="3"/>
  <c r="O76" i="15" s="1"/>
  <c r="AH77" i="3"/>
  <c r="AE97" i="3"/>
  <c r="O96" i="15" s="1"/>
  <c r="AH97" i="3"/>
  <c r="U30" i="9"/>
  <c r="L29" i="15" s="1"/>
  <c r="W7" i="10"/>
  <c r="Q6" i="12" s="1"/>
  <c r="W107" i="10"/>
  <c r="Q106" i="12" s="1"/>
  <c r="U35" i="11"/>
  <c r="X34" i="15" s="1"/>
  <c r="AD8" i="3"/>
  <c r="N7" i="15" s="1"/>
  <c r="AG8" i="3"/>
  <c r="N7" i="12" s="1"/>
  <c r="AD18" i="3"/>
  <c r="N17" i="15" s="1"/>
  <c r="AG18" i="3"/>
  <c r="N17" i="12" s="1"/>
  <c r="AD28" i="3"/>
  <c r="N27" i="15" s="1"/>
  <c r="AG28" i="3"/>
  <c r="AG38" i="3"/>
  <c r="AD38" i="3"/>
  <c r="N37" i="15" s="1"/>
  <c r="AD48" i="3"/>
  <c r="N47" i="15" s="1"/>
  <c r="AG48" i="3"/>
  <c r="AG58" i="3"/>
  <c r="AD58" i="3"/>
  <c r="N57" i="15" s="1"/>
  <c r="AD68" i="3"/>
  <c r="N67" i="15" s="1"/>
  <c r="AG68" i="3"/>
  <c r="AD78" i="3"/>
  <c r="N77" i="15" s="1"/>
  <c r="AG78" i="3"/>
  <c r="AD88" i="3"/>
  <c r="N87" i="15" s="1"/>
  <c r="AG88" i="3"/>
  <c r="N87" i="12" s="1"/>
  <c r="AG98" i="3"/>
  <c r="N97" i="12" s="1"/>
  <c r="AD98" i="3"/>
  <c r="N97" i="15" s="1"/>
  <c r="AD108" i="3"/>
  <c r="N107" i="15" s="1"/>
  <c r="AG108" i="3"/>
  <c r="N107" i="12" s="1"/>
  <c r="T14" i="8"/>
  <c r="E13" i="15" s="1"/>
  <c r="T41" i="8"/>
  <c r="E40" i="15" s="1"/>
  <c r="T53" i="8"/>
  <c r="E52" i="15" s="1"/>
  <c r="W88" i="8"/>
  <c r="U4" i="9"/>
  <c r="L3" i="15" s="1"/>
  <c r="T51" i="9"/>
  <c r="K50" i="15" s="1"/>
  <c r="X7" i="10"/>
  <c r="X67" i="10"/>
  <c r="T89" i="10"/>
  <c r="Q88" i="15" s="1"/>
  <c r="X107" i="10"/>
  <c r="U16" i="11"/>
  <c r="X15" i="15" s="1"/>
  <c r="U55" i="11"/>
  <c r="X54" i="15" s="1"/>
  <c r="T101" i="11"/>
  <c r="W100" i="15" s="1"/>
  <c r="AG102" i="3"/>
  <c r="AD102" i="3"/>
  <c r="N101" i="15" s="1"/>
  <c r="AE52" i="3"/>
  <c r="O51" i="15" s="1"/>
  <c r="AH52" i="3"/>
  <c r="O51" i="12" s="1"/>
  <c r="AE92" i="3"/>
  <c r="O91" i="15" s="1"/>
  <c r="AH92" i="3"/>
  <c r="O91" i="12" s="1"/>
  <c r="AE43" i="3"/>
  <c r="O42" i="15" s="1"/>
  <c r="AH43" i="3"/>
  <c r="O42" i="12" s="1"/>
  <c r="AE73" i="3"/>
  <c r="O72" i="15" s="1"/>
  <c r="AH73" i="3"/>
  <c r="O72" i="12" s="1"/>
  <c r="AH7" i="3"/>
  <c r="AE7" i="3"/>
  <c r="O6" i="15" s="1"/>
  <c r="AH27" i="3"/>
  <c r="AE27" i="3"/>
  <c r="O26" i="15" s="1"/>
  <c r="AE37" i="3"/>
  <c r="O36" i="15" s="1"/>
  <c r="AH37" i="3"/>
  <c r="AE57" i="3"/>
  <c r="O56" i="15" s="1"/>
  <c r="AH57" i="3"/>
  <c r="AH67" i="3"/>
  <c r="AE67" i="3"/>
  <c r="O66" i="15" s="1"/>
  <c r="AH87" i="3"/>
  <c r="AE87" i="3"/>
  <c r="O86" i="15" s="1"/>
  <c r="AH107" i="3"/>
  <c r="AE107" i="3"/>
  <c r="O106" i="15" s="1"/>
  <c r="U88" i="8"/>
  <c r="F87" i="15" s="1"/>
  <c r="X50" i="9"/>
  <c r="U90" i="9"/>
  <c r="L89" i="15" s="1"/>
  <c r="T67" i="10"/>
  <c r="Q66" i="15" s="1"/>
  <c r="T55" i="11"/>
  <c r="W54" i="15" s="1"/>
  <c r="AH8" i="3"/>
  <c r="AE8" i="3"/>
  <c r="O7" i="15" s="1"/>
  <c r="AE18" i="3"/>
  <c r="O17" i="15" s="1"/>
  <c r="AH18" i="3"/>
  <c r="AH28" i="3"/>
  <c r="AE28" i="3"/>
  <c r="O27" i="15" s="1"/>
  <c r="AE38" i="3"/>
  <c r="O37" i="15" s="1"/>
  <c r="AH38" i="3"/>
  <c r="AH48" i="3"/>
  <c r="AE48" i="3"/>
  <c r="O47" i="15" s="1"/>
  <c r="AE58" i="3"/>
  <c r="O57" i="15" s="1"/>
  <c r="AH58" i="3"/>
  <c r="O57" i="12" s="1"/>
  <c r="AH68" i="3"/>
  <c r="O67" i="12" s="1"/>
  <c r="AE68" i="3"/>
  <c r="O67" i="15" s="1"/>
  <c r="AE78" i="3"/>
  <c r="O77" i="15" s="1"/>
  <c r="AH78" i="3"/>
  <c r="O77" i="12" s="1"/>
  <c r="AH88" i="3"/>
  <c r="O87" i="12" s="1"/>
  <c r="AE88" i="3"/>
  <c r="O87" i="15" s="1"/>
  <c r="AE98" i="3"/>
  <c r="O97" i="15" s="1"/>
  <c r="AH98" i="3"/>
  <c r="O97" i="12" s="1"/>
  <c r="AH108" i="3"/>
  <c r="O107" i="12" s="1"/>
  <c r="AE108" i="3"/>
  <c r="O107" i="15" s="1"/>
  <c r="U28" i="8"/>
  <c r="F27" i="15" s="1"/>
  <c r="U41" i="8"/>
  <c r="F40" i="15" s="1"/>
  <c r="U54" i="8"/>
  <c r="F53" i="15" s="1"/>
  <c r="U72" i="8"/>
  <c r="F71" i="15" s="1"/>
  <c r="T93" i="8"/>
  <c r="E92" i="15" s="1"/>
  <c r="U51" i="9"/>
  <c r="L50" i="15" s="1"/>
  <c r="T91" i="9"/>
  <c r="K90" i="15" s="1"/>
  <c r="T10" i="10"/>
  <c r="Q9" i="15" s="1"/>
  <c r="T50" i="10"/>
  <c r="Q49" i="15" s="1"/>
  <c r="X89" i="10"/>
  <c r="T3" i="11"/>
  <c r="W2" i="15" s="1"/>
  <c r="U18" i="11"/>
  <c r="X17" i="15" s="1"/>
  <c r="T77" i="11"/>
  <c r="W76" i="15" s="1"/>
  <c r="AD64" i="3"/>
  <c r="N63" i="15" s="1"/>
  <c r="AG64" i="3"/>
  <c r="N63" i="12" s="1"/>
  <c r="AD9" i="3"/>
  <c r="N8" i="15" s="1"/>
  <c r="AG9" i="3"/>
  <c r="U93" i="8"/>
  <c r="F92" i="15" s="1"/>
  <c r="T20" i="11"/>
  <c r="W19" i="15" s="1"/>
  <c r="AD24" i="3"/>
  <c r="N23" i="15" s="1"/>
  <c r="AG24" i="3"/>
  <c r="AG39" i="3"/>
  <c r="AD39" i="3"/>
  <c r="N38" i="15" s="1"/>
  <c r="U9" i="9"/>
  <c r="L8" i="15" s="1"/>
  <c r="AH9" i="3"/>
  <c r="O8" i="12" s="1"/>
  <c r="AE9" i="3"/>
  <c r="O8" i="15" s="1"/>
  <c r="AE19" i="3"/>
  <c r="O18" i="15" s="1"/>
  <c r="AH19" i="3"/>
  <c r="AH29" i="3"/>
  <c r="AE29" i="3"/>
  <c r="O28" i="15" s="1"/>
  <c r="AE39" i="3"/>
  <c r="O38" i="15" s="1"/>
  <c r="AH39" i="3"/>
  <c r="O38" i="12" s="1"/>
  <c r="AH49" i="3"/>
  <c r="O48" i="12" s="1"/>
  <c r="AE49" i="3"/>
  <c r="O48" i="15" s="1"/>
  <c r="AE59" i="3"/>
  <c r="O58" i="15" s="1"/>
  <c r="AH59" i="3"/>
  <c r="O58" i="12" s="1"/>
  <c r="AH69" i="3"/>
  <c r="O68" i="12" s="1"/>
  <c r="AE69" i="3"/>
  <c r="O68" i="15" s="1"/>
  <c r="AE79" i="3"/>
  <c r="O78" i="15" s="1"/>
  <c r="AH79" i="3"/>
  <c r="AH89" i="3"/>
  <c r="AE89" i="3"/>
  <c r="O88" i="15" s="1"/>
  <c r="AE99" i="3"/>
  <c r="O98" i="15" s="1"/>
  <c r="AH99" i="3"/>
  <c r="AH109" i="3"/>
  <c r="AE109" i="3"/>
  <c r="O108" i="15" s="1"/>
  <c r="W4" i="8"/>
  <c r="U17" i="8"/>
  <c r="F16" i="15" s="1"/>
  <c r="W44" i="8"/>
  <c r="W57" i="8"/>
  <c r="T74" i="8"/>
  <c r="E73" i="15" s="1"/>
  <c r="W10" i="9"/>
  <c r="W31" i="9"/>
  <c r="K30" i="12" s="1"/>
  <c r="T52" i="9"/>
  <c r="K51" i="15" s="1"/>
  <c r="X74" i="9"/>
  <c r="T96" i="9"/>
  <c r="K95" i="15" s="1"/>
  <c r="X12" i="10"/>
  <c r="T29" i="10"/>
  <c r="Q28" i="15" s="1"/>
  <c r="W52" i="10"/>
  <c r="Q51" i="12" s="1"/>
  <c r="X68" i="10"/>
  <c r="U90" i="10"/>
  <c r="R89" i="15" s="1"/>
  <c r="T5" i="11"/>
  <c r="W4" i="15" s="1"/>
  <c r="U36" i="11"/>
  <c r="X35" i="15" s="1"/>
  <c r="U56" i="11"/>
  <c r="X55" i="15" s="1"/>
  <c r="T80" i="11"/>
  <c r="W79" i="15" s="1"/>
  <c r="T102" i="11"/>
  <c r="W101" i="15" s="1"/>
  <c r="AD44" i="3"/>
  <c r="N43" i="15" s="1"/>
  <c r="AG44" i="3"/>
  <c r="AG59" i="3"/>
  <c r="AD59" i="3"/>
  <c r="N58" i="15" s="1"/>
  <c r="AD10" i="3"/>
  <c r="N9" i="15" s="1"/>
  <c r="AG10" i="3"/>
  <c r="N9" i="12" s="1"/>
  <c r="AG20" i="3"/>
  <c r="N19" i="12" s="1"/>
  <c r="AD20" i="3"/>
  <c r="N19" i="15" s="1"/>
  <c r="AD30" i="3"/>
  <c r="N29" i="15" s="1"/>
  <c r="AG30" i="3"/>
  <c r="N29" i="12" s="1"/>
  <c r="AG40" i="3"/>
  <c r="N39" i="12" s="1"/>
  <c r="AD40" i="3"/>
  <c r="N39" i="15" s="1"/>
  <c r="AD50" i="3"/>
  <c r="N49" i="15" s="1"/>
  <c r="AG50" i="3"/>
  <c r="AG60" i="3"/>
  <c r="AD60" i="3"/>
  <c r="N59" i="15" s="1"/>
  <c r="AG70" i="3"/>
  <c r="AD70" i="3"/>
  <c r="N69" i="15" s="1"/>
  <c r="AG80" i="3"/>
  <c r="AD80" i="3"/>
  <c r="N79" i="15" s="1"/>
  <c r="AG90" i="3"/>
  <c r="AD90" i="3"/>
  <c r="N89" i="15" s="1"/>
  <c r="AG100" i="3"/>
  <c r="AD100" i="3"/>
  <c r="N99" i="15" s="1"/>
  <c r="W6" i="8"/>
  <c r="U29" i="8"/>
  <c r="F28" i="15" s="1"/>
  <c r="X44" i="8"/>
  <c r="X57" i="8"/>
  <c r="T94" i="8"/>
  <c r="E93" i="15" s="1"/>
  <c r="U11" i="9"/>
  <c r="L10" i="15" s="1"/>
  <c r="T32" i="9"/>
  <c r="K31" i="15" s="1"/>
  <c r="U52" i="9"/>
  <c r="L51" i="15" s="1"/>
  <c r="T75" i="9"/>
  <c r="K74" i="15" s="1"/>
  <c r="U96" i="9"/>
  <c r="L95" i="15" s="1"/>
  <c r="U13" i="10"/>
  <c r="R12" i="15" s="1"/>
  <c r="X29" i="10"/>
  <c r="U57" i="10"/>
  <c r="R56" i="15" s="1"/>
  <c r="X73" i="10"/>
  <c r="U92" i="10"/>
  <c r="R91" i="15" s="1"/>
  <c r="U5" i="11"/>
  <c r="X4" i="15" s="1"/>
  <c r="X20" i="11"/>
  <c r="T40" i="11"/>
  <c r="W39" i="15" s="1"/>
  <c r="T60" i="11"/>
  <c r="W59" i="15" s="1"/>
  <c r="X80" i="11"/>
  <c r="U102" i="11"/>
  <c r="X101" i="15" s="1"/>
  <c r="AD94" i="3"/>
  <c r="N93" i="15" s="1"/>
  <c r="AG94" i="3"/>
  <c r="N93" i="12" s="1"/>
  <c r="AD89" i="3"/>
  <c r="N88" i="15" s="1"/>
  <c r="AG89" i="3"/>
  <c r="N88" i="12" s="1"/>
  <c r="AH10" i="3"/>
  <c r="O9" i="12" s="1"/>
  <c r="AE10" i="3"/>
  <c r="O9" i="15" s="1"/>
  <c r="AE20" i="3"/>
  <c r="O19" i="15" s="1"/>
  <c r="AH20" i="3"/>
  <c r="O19" i="12" s="1"/>
  <c r="AE40" i="3"/>
  <c r="O39" i="15" s="1"/>
  <c r="AH40" i="3"/>
  <c r="AE60" i="3"/>
  <c r="O59" i="15" s="1"/>
  <c r="AH60" i="3"/>
  <c r="AH70" i="3"/>
  <c r="AE70" i="3"/>
  <c r="O69" i="15" s="1"/>
  <c r="AE80" i="3"/>
  <c r="O79" i="15" s="1"/>
  <c r="AH80" i="3"/>
  <c r="AH90" i="3"/>
  <c r="AE90" i="3"/>
  <c r="O89" i="15" s="1"/>
  <c r="AE100" i="3"/>
  <c r="O99" i="15" s="1"/>
  <c r="AH100" i="3"/>
  <c r="X6" i="8"/>
  <c r="F5" i="12" s="1"/>
  <c r="X32" i="8"/>
  <c r="F31" i="12" s="1"/>
  <c r="U45" i="8"/>
  <c r="F44" i="15" s="1"/>
  <c r="T58" i="8"/>
  <c r="E57" i="15" s="1"/>
  <c r="U76" i="8"/>
  <c r="F75" i="15" s="1"/>
  <c r="U94" i="8"/>
  <c r="F93" i="15" s="1"/>
  <c r="U15" i="9"/>
  <c r="L14" i="15" s="1"/>
  <c r="X75" i="9"/>
  <c r="L74" i="12" s="1"/>
  <c r="T102" i="9"/>
  <c r="K101" i="15" s="1"/>
  <c r="W13" i="10"/>
  <c r="T30" i="10"/>
  <c r="Q29" i="15" s="1"/>
  <c r="U74" i="10"/>
  <c r="R73" i="15" s="1"/>
  <c r="X94" i="10"/>
  <c r="T21" i="11"/>
  <c r="W20" i="15" s="1"/>
  <c r="T43" i="11"/>
  <c r="W42" i="15" s="1"/>
  <c r="U60" i="11"/>
  <c r="X59" i="15" s="1"/>
  <c r="T85" i="11"/>
  <c r="W84" i="15" s="1"/>
  <c r="U103" i="11"/>
  <c r="X102" i="15" s="1"/>
  <c r="AG22" i="3"/>
  <c r="AD22" i="3"/>
  <c r="N21" i="15" s="1"/>
  <c r="AE42" i="3"/>
  <c r="O41" i="15" s="1"/>
  <c r="AH42" i="3"/>
  <c r="AE72" i="3"/>
  <c r="O71" i="15" s="1"/>
  <c r="AH72" i="3"/>
  <c r="O71" i="12" s="1"/>
  <c r="AG23" i="3"/>
  <c r="N22" i="12" s="1"/>
  <c r="AD23" i="3"/>
  <c r="N22" i="15" s="1"/>
  <c r="AE63" i="3"/>
  <c r="O62" i="15" s="1"/>
  <c r="AH63" i="3"/>
  <c r="O62" i="12" s="1"/>
  <c r="AD104" i="3"/>
  <c r="N103" i="15" s="1"/>
  <c r="AG104" i="3"/>
  <c r="AG19" i="3"/>
  <c r="AD19" i="3"/>
  <c r="N18" i="15" s="1"/>
  <c r="AD49" i="3"/>
  <c r="N48" i="15" s="1"/>
  <c r="AG49" i="3"/>
  <c r="AG79" i="3"/>
  <c r="AD79" i="3"/>
  <c r="N78" i="15" s="1"/>
  <c r="U3" i="8"/>
  <c r="F2" i="15" s="1"/>
  <c r="W54" i="8"/>
  <c r="U31" i="9"/>
  <c r="L30" i="15" s="1"/>
  <c r="U10" i="10"/>
  <c r="R9" i="15" s="1"/>
  <c r="U50" i="10"/>
  <c r="R49" i="15" s="1"/>
  <c r="U3" i="11"/>
  <c r="X2" i="15" s="1"/>
  <c r="AH30" i="3"/>
  <c r="AE30" i="3"/>
  <c r="O29" i="15" s="1"/>
  <c r="AD11" i="3"/>
  <c r="N10" i="15" s="1"/>
  <c r="AG11" i="3"/>
  <c r="N10" i="12" s="1"/>
  <c r="AG21" i="3"/>
  <c r="N20" i="12" s="1"/>
  <c r="AD21" i="3"/>
  <c r="N20" i="15" s="1"/>
  <c r="AD31" i="3"/>
  <c r="N30" i="15" s="1"/>
  <c r="AG31" i="3"/>
  <c r="AG41" i="3"/>
  <c r="AD41" i="3"/>
  <c r="N40" i="15" s="1"/>
  <c r="AD51" i="3"/>
  <c r="N50" i="15" s="1"/>
  <c r="AG51" i="3"/>
  <c r="AG61" i="3"/>
  <c r="AD61" i="3"/>
  <c r="N60" i="15" s="1"/>
  <c r="AD71" i="3"/>
  <c r="N70" i="15" s="1"/>
  <c r="AG71" i="3"/>
  <c r="AG81" i="3"/>
  <c r="AD81" i="3"/>
  <c r="N80" i="15" s="1"/>
  <c r="AD91" i="3"/>
  <c r="N90" i="15" s="1"/>
  <c r="AG91" i="3"/>
  <c r="N90" i="12" s="1"/>
  <c r="AG101" i="3"/>
  <c r="AD101" i="3"/>
  <c r="N100" i="15" s="1"/>
  <c r="T18" i="8"/>
  <c r="E17" i="15" s="1"/>
  <c r="T33" i="8"/>
  <c r="E32" i="15" s="1"/>
  <c r="U58" i="8"/>
  <c r="F57" i="15" s="1"/>
  <c r="W76" i="8"/>
  <c r="E75" i="12" s="1"/>
  <c r="W15" i="9"/>
  <c r="X32" i="9"/>
  <c r="X79" i="9"/>
  <c r="U102" i="9"/>
  <c r="L101" i="15" s="1"/>
  <c r="U14" i="10"/>
  <c r="R13" i="15" s="1"/>
  <c r="T34" i="10"/>
  <c r="Q33" i="15" s="1"/>
  <c r="T95" i="10"/>
  <c r="Q94" i="15" s="1"/>
  <c r="X21" i="11"/>
  <c r="U43" i="11"/>
  <c r="X42" i="15" s="1"/>
  <c r="T105" i="11"/>
  <c r="W104" i="15" s="1"/>
  <c r="AD32" i="3"/>
  <c r="N31" i="15" s="1"/>
  <c r="AG32" i="3"/>
  <c r="AG82" i="3"/>
  <c r="N81" i="12" s="1"/>
  <c r="AD82" i="3"/>
  <c r="N81" i="15" s="1"/>
  <c r="AD3" i="3"/>
  <c r="N2" i="15" s="1"/>
  <c r="AG3" i="3"/>
  <c r="N2" i="12" s="1"/>
  <c r="AG43" i="3"/>
  <c r="N42" i="12" s="1"/>
  <c r="AD43" i="3"/>
  <c r="N42" i="15" s="1"/>
  <c r="AD93" i="3"/>
  <c r="N92" i="15" s="1"/>
  <c r="AG93" i="3"/>
  <c r="N92" i="12" s="1"/>
  <c r="U19" i="9"/>
  <c r="L18" i="15" s="1"/>
  <c r="AE13" i="3"/>
  <c r="O12" i="15" s="1"/>
  <c r="AH13" i="3"/>
  <c r="W59" i="9"/>
  <c r="AD74" i="3"/>
  <c r="N73" i="15" s="1"/>
  <c r="AG74" i="3"/>
  <c r="N73" i="12" s="1"/>
  <c r="AD29" i="3"/>
  <c r="N28" i="15" s="1"/>
  <c r="AG29" i="3"/>
  <c r="AD69" i="3"/>
  <c r="N68" i="15" s="1"/>
  <c r="AG69" i="3"/>
  <c r="AG99" i="3"/>
  <c r="AD99" i="3"/>
  <c r="N98" i="15" s="1"/>
  <c r="AD109" i="3"/>
  <c r="N108" i="15" s="1"/>
  <c r="AG109" i="3"/>
  <c r="N108" i="12" s="1"/>
  <c r="U91" i="9"/>
  <c r="L90" i="15" s="1"/>
  <c r="AH50" i="3"/>
  <c r="O49" i="12" s="1"/>
  <c r="AE50" i="3"/>
  <c r="O49" i="15" s="1"/>
  <c r="AH11" i="3"/>
  <c r="AE11" i="3"/>
  <c r="O10" i="15" s="1"/>
  <c r="AE21" i="3"/>
  <c r="O20" i="15" s="1"/>
  <c r="AH21" i="3"/>
  <c r="AH31" i="3"/>
  <c r="AE31" i="3"/>
  <c r="O30" i="15" s="1"/>
  <c r="AE41" i="3"/>
  <c r="O40" i="15" s="1"/>
  <c r="AH41" i="3"/>
  <c r="AH51" i="3"/>
  <c r="AE51" i="3"/>
  <c r="O50" i="15" s="1"/>
  <c r="AE61" i="3"/>
  <c r="O60" i="15" s="1"/>
  <c r="AH61" i="3"/>
  <c r="AE71" i="3"/>
  <c r="O70" i="15" s="1"/>
  <c r="AH71" i="3"/>
  <c r="AE81" i="3"/>
  <c r="O80" i="15" s="1"/>
  <c r="AH81" i="3"/>
  <c r="O80" i="12" s="1"/>
  <c r="AE91" i="3"/>
  <c r="O90" i="15" s="1"/>
  <c r="AH91" i="3"/>
  <c r="AE101" i="3"/>
  <c r="O100" i="15" s="1"/>
  <c r="AH101" i="3"/>
  <c r="W78" i="8"/>
  <c r="T36" i="9"/>
  <c r="K35" i="15" s="1"/>
  <c r="T77" i="10"/>
  <c r="Q76" i="15" s="1"/>
  <c r="U95" i="10"/>
  <c r="R94" i="15" s="1"/>
  <c r="T22" i="11"/>
  <c r="W21" i="15" s="1"/>
  <c r="T45" i="11"/>
  <c r="W44" i="15" s="1"/>
  <c r="T19" i="8"/>
  <c r="E18" i="15" s="1"/>
  <c r="W29" i="8"/>
  <c r="T109" i="8"/>
  <c r="E108" i="15" s="1"/>
  <c r="T17" i="9"/>
  <c r="K16" i="15" s="1"/>
  <c r="W33" i="10"/>
  <c r="U9" i="8"/>
  <c r="F8" i="15" s="1"/>
  <c r="X19" i="8"/>
  <c r="W30" i="8"/>
  <c r="U53" i="8"/>
  <c r="F52" i="15" s="1"/>
  <c r="U17" i="9"/>
  <c r="L16" i="15" s="1"/>
  <c r="T47" i="9"/>
  <c r="K46" i="15" s="1"/>
  <c r="X33" i="10"/>
  <c r="U78" i="11"/>
  <c r="X77" i="15" s="1"/>
  <c r="W36" i="1"/>
  <c r="B35" i="12" s="1"/>
  <c r="T36" i="1"/>
  <c r="B35" i="15" s="1"/>
  <c r="W32" i="2"/>
  <c r="H31" i="12" s="1"/>
  <c r="T32" i="2"/>
  <c r="H31" i="15" s="1"/>
  <c r="N37" i="12"/>
  <c r="W21" i="10"/>
  <c r="T21" i="10"/>
  <c r="Q20" i="15" s="1"/>
  <c r="T3" i="12"/>
  <c r="T3" i="15"/>
  <c r="T103" i="12"/>
  <c r="T103" i="15"/>
  <c r="T65" i="9"/>
  <c r="K64" i="15" s="1"/>
  <c r="X6" i="1"/>
  <c r="C5" i="12" s="1"/>
  <c r="U6" i="1"/>
  <c r="C5" i="15" s="1"/>
  <c r="X16" i="1"/>
  <c r="C15" i="12" s="1"/>
  <c r="U16" i="1"/>
  <c r="C15" i="15" s="1"/>
  <c r="X26" i="1"/>
  <c r="C25" i="12" s="1"/>
  <c r="U26" i="1"/>
  <c r="C25" i="15" s="1"/>
  <c r="U36" i="1"/>
  <c r="C35" i="15" s="1"/>
  <c r="X36" i="1"/>
  <c r="C35" i="12" s="1"/>
  <c r="X46" i="1"/>
  <c r="C45" i="12" s="1"/>
  <c r="U46" i="1"/>
  <c r="C45" i="15" s="1"/>
  <c r="U56" i="1"/>
  <c r="C55" i="15" s="1"/>
  <c r="X56" i="1"/>
  <c r="C55" i="12" s="1"/>
  <c r="X66" i="1"/>
  <c r="U66" i="1"/>
  <c r="C65" i="15" s="1"/>
  <c r="U76" i="1"/>
  <c r="C75" i="15" s="1"/>
  <c r="X76" i="1"/>
  <c r="X86" i="1"/>
  <c r="U86" i="1"/>
  <c r="C85" i="15" s="1"/>
  <c r="U96" i="1"/>
  <c r="C95" i="15" s="1"/>
  <c r="X96" i="1"/>
  <c r="X106" i="1"/>
  <c r="C105" i="12" s="1"/>
  <c r="U106" i="1"/>
  <c r="C105" i="15" s="1"/>
  <c r="X49" i="8"/>
  <c r="U49" i="8"/>
  <c r="F48" i="15" s="1"/>
  <c r="X69" i="8"/>
  <c r="U69" i="8"/>
  <c r="F68" i="15" s="1"/>
  <c r="X89" i="8"/>
  <c r="F88" i="12" s="1"/>
  <c r="U89" i="8"/>
  <c r="F88" i="15" s="1"/>
  <c r="U12" i="2"/>
  <c r="I11" i="15" s="1"/>
  <c r="X12" i="2"/>
  <c r="I11" i="12" s="1"/>
  <c r="U22" i="2"/>
  <c r="I21" i="15" s="1"/>
  <c r="X22" i="2"/>
  <c r="I21" i="12" s="1"/>
  <c r="U32" i="2"/>
  <c r="X32" i="2"/>
  <c r="U42" i="2"/>
  <c r="I41" i="15" s="1"/>
  <c r="X42" i="2"/>
  <c r="U52" i="2"/>
  <c r="I51" i="15" s="1"/>
  <c r="X52" i="2"/>
  <c r="U62" i="2"/>
  <c r="I61" i="15" s="1"/>
  <c r="X62" i="2"/>
  <c r="U72" i="2"/>
  <c r="I71" i="15" s="1"/>
  <c r="X72" i="2"/>
  <c r="U82" i="2"/>
  <c r="I81" i="15" s="1"/>
  <c r="X82" i="2"/>
  <c r="U92" i="2"/>
  <c r="I91" i="15" s="1"/>
  <c r="X92" i="2"/>
  <c r="I91" i="12" s="1"/>
  <c r="U102" i="2"/>
  <c r="I101" i="15" s="1"/>
  <c r="X102" i="2"/>
  <c r="I101" i="12" s="1"/>
  <c r="X5" i="9"/>
  <c r="L4" i="12" s="1"/>
  <c r="U5" i="9"/>
  <c r="L4" i="15" s="1"/>
  <c r="X35" i="9"/>
  <c r="L34" i="12" s="1"/>
  <c r="U35" i="9"/>
  <c r="L34" i="15" s="1"/>
  <c r="X55" i="9"/>
  <c r="U55" i="9"/>
  <c r="L54" i="15" s="1"/>
  <c r="X85" i="9"/>
  <c r="U85" i="9"/>
  <c r="L84" i="15" s="1"/>
  <c r="O17" i="12"/>
  <c r="O37" i="12"/>
  <c r="X11" i="10"/>
  <c r="U11" i="10"/>
  <c r="R10" i="15" s="1"/>
  <c r="X21" i="10"/>
  <c r="U21" i="10"/>
  <c r="R20" i="15" s="1"/>
  <c r="X31" i="10"/>
  <c r="R30" i="12" s="1"/>
  <c r="U31" i="10"/>
  <c r="R30" i="15" s="1"/>
  <c r="X41" i="10"/>
  <c r="R40" i="12" s="1"/>
  <c r="U41" i="10"/>
  <c r="R40" i="15" s="1"/>
  <c r="X51" i="10"/>
  <c r="R50" i="12" s="1"/>
  <c r="U51" i="10"/>
  <c r="R50" i="15" s="1"/>
  <c r="X61" i="10"/>
  <c r="U61" i="10"/>
  <c r="R60" i="15" s="1"/>
  <c r="X71" i="10"/>
  <c r="R70" i="12" s="1"/>
  <c r="U71" i="10"/>
  <c r="R70" i="15" s="1"/>
  <c r="X81" i="10"/>
  <c r="U81" i="10"/>
  <c r="R80" i="15" s="1"/>
  <c r="X91" i="10"/>
  <c r="U91" i="10"/>
  <c r="R90" i="15" s="1"/>
  <c r="X101" i="10"/>
  <c r="U101" i="10"/>
  <c r="R100" i="15" s="1"/>
  <c r="U3" i="12"/>
  <c r="U3" i="15"/>
  <c r="U13" i="15"/>
  <c r="U13" i="12"/>
  <c r="U23" i="12"/>
  <c r="U23" i="15"/>
  <c r="U33" i="15"/>
  <c r="U33" i="12"/>
  <c r="U43" i="12"/>
  <c r="U53" i="15"/>
  <c r="U53" i="12"/>
  <c r="U63" i="12"/>
  <c r="U73" i="15"/>
  <c r="U73" i="12"/>
  <c r="U83" i="12"/>
  <c r="U93" i="15"/>
  <c r="U93" i="12"/>
  <c r="U103" i="12"/>
  <c r="U103" i="15"/>
  <c r="X17" i="11"/>
  <c r="U17" i="11"/>
  <c r="X16" i="15" s="1"/>
  <c r="X47" i="11"/>
  <c r="X46" i="12" s="1"/>
  <c r="U47" i="11"/>
  <c r="X46" i="15" s="1"/>
  <c r="X57" i="11"/>
  <c r="X56" i="12" s="1"/>
  <c r="U57" i="11"/>
  <c r="X56" i="15" s="1"/>
  <c r="U97" i="11"/>
  <c r="X96" i="15" s="1"/>
  <c r="X97" i="11"/>
  <c r="X96" i="12" s="1"/>
  <c r="X107" i="11"/>
  <c r="X106" i="12" s="1"/>
  <c r="U107" i="11"/>
  <c r="X106" i="15" s="1"/>
  <c r="U65" i="9"/>
  <c r="L64" i="15" s="1"/>
  <c r="U95" i="9"/>
  <c r="L94" i="15" s="1"/>
  <c r="T97" i="11"/>
  <c r="W96" i="15" s="1"/>
  <c r="W7" i="1"/>
  <c r="T7" i="1"/>
  <c r="B6" i="15" s="1"/>
  <c r="T17" i="1"/>
  <c r="B16" i="15" s="1"/>
  <c r="W17" i="1"/>
  <c r="W27" i="1"/>
  <c r="T27" i="1"/>
  <c r="B26" i="15" s="1"/>
  <c r="W37" i="1"/>
  <c r="T37" i="1"/>
  <c r="B36" i="15" s="1"/>
  <c r="W47" i="1"/>
  <c r="B46" i="12" s="1"/>
  <c r="T47" i="1"/>
  <c r="B46" i="15" s="1"/>
  <c r="W57" i="1"/>
  <c r="B56" i="12" s="1"/>
  <c r="T57" i="1"/>
  <c r="B56" i="15" s="1"/>
  <c r="W67" i="1"/>
  <c r="B66" i="12" s="1"/>
  <c r="T67" i="1"/>
  <c r="B66" i="15" s="1"/>
  <c r="W77" i="1"/>
  <c r="B76" i="12" s="1"/>
  <c r="T77" i="1"/>
  <c r="W87" i="1"/>
  <c r="T87" i="1"/>
  <c r="B86" i="15" s="1"/>
  <c r="T97" i="1"/>
  <c r="W97" i="1"/>
  <c r="B96" i="12" s="1"/>
  <c r="W107" i="1"/>
  <c r="T107" i="1"/>
  <c r="B106" i="15" s="1"/>
  <c r="T10" i="8"/>
  <c r="E9" i="15" s="1"/>
  <c r="W10" i="8"/>
  <c r="T20" i="8"/>
  <c r="E19" i="15" s="1"/>
  <c r="W20" i="8"/>
  <c r="W40" i="8"/>
  <c r="T40" i="8"/>
  <c r="E39" i="15" s="1"/>
  <c r="W50" i="8"/>
  <c r="E49" i="12" s="1"/>
  <c r="T50" i="8"/>
  <c r="E49" i="15" s="1"/>
  <c r="W60" i="8"/>
  <c r="E59" i="12" s="1"/>
  <c r="T60" i="8"/>
  <c r="E59" i="15" s="1"/>
  <c r="W70" i="8"/>
  <c r="E69" i="12" s="1"/>
  <c r="T70" i="8"/>
  <c r="E69" i="15" s="1"/>
  <c r="W80" i="8"/>
  <c r="E79" i="12" s="1"/>
  <c r="T80" i="8"/>
  <c r="E79" i="15" s="1"/>
  <c r="W90" i="8"/>
  <c r="E89" i="12" s="1"/>
  <c r="T90" i="8"/>
  <c r="E89" i="15" s="1"/>
  <c r="W100" i="8"/>
  <c r="E99" i="12" s="1"/>
  <c r="T100" i="8"/>
  <c r="E99" i="15" s="1"/>
  <c r="W13" i="2"/>
  <c r="T13" i="2"/>
  <c r="H12" i="15" s="1"/>
  <c r="W23" i="2"/>
  <c r="T23" i="2"/>
  <c r="H22" i="15" s="1"/>
  <c r="T33" i="2"/>
  <c r="H32" i="15" s="1"/>
  <c r="W33" i="2"/>
  <c r="T43" i="2"/>
  <c r="H42" i="15" s="1"/>
  <c r="W43" i="2"/>
  <c r="H42" i="12" s="1"/>
  <c r="W53" i="2"/>
  <c r="H52" i="12" s="1"/>
  <c r="T53" i="2"/>
  <c r="H52" i="15" s="1"/>
  <c r="T63" i="2"/>
  <c r="H62" i="15" s="1"/>
  <c r="W63" i="2"/>
  <c r="H62" i="12" s="1"/>
  <c r="T73" i="2"/>
  <c r="H72" i="15" s="1"/>
  <c r="W73" i="2"/>
  <c r="H72" i="12" s="1"/>
  <c r="T83" i="2"/>
  <c r="H82" i="15" s="1"/>
  <c r="W83" i="2"/>
  <c r="H82" i="12" s="1"/>
  <c r="W93" i="2"/>
  <c r="H92" i="12" s="1"/>
  <c r="T93" i="2"/>
  <c r="H92" i="15" s="1"/>
  <c r="T103" i="2"/>
  <c r="H102" i="15" s="1"/>
  <c r="W103" i="2"/>
  <c r="W6" i="9"/>
  <c r="K5" i="12" s="1"/>
  <c r="T6" i="9"/>
  <c r="K5" i="15" s="1"/>
  <c r="T26" i="9"/>
  <c r="K25" i="15" s="1"/>
  <c r="W26" i="9"/>
  <c r="W56" i="9"/>
  <c r="T56" i="9"/>
  <c r="K55" i="15" s="1"/>
  <c r="W76" i="9"/>
  <c r="T76" i="9"/>
  <c r="K75" i="15" s="1"/>
  <c r="W106" i="9"/>
  <c r="K105" i="12" s="1"/>
  <c r="T106" i="9"/>
  <c r="K105" i="15" s="1"/>
  <c r="N18" i="12"/>
  <c r="N28" i="12"/>
  <c r="N38" i="12"/>
  <c r="N48" i="12"/>
  <c r="N58" i="12"/>
  <c r="W32" i="10"/>
  <c r="T32" i="10"/>
  <c r="Q31" i="15" s="1"/>
  <c r="W62" i="10"/>
  <c r="T62" i="10"/>
  <c r="Q61" i="15" s="1"/>
  <c r="W92" i="10"/>
  <c r="Q91" i="12" s="1"/>
  <c r="T92" i="10"/>
  <c r="Q91" i="15" s="1"/>
  <c r="W102" i="10"/>
  <c r="Q101" i="12" s="1"/>
  <c r="T102" i="10"/>
  <c r="Q101" i="15" s="1"/>
  <c r="T4" i="12"/>
  <c r="T4" i="15"/>
  <c r="T14" i="15"/>
  <c r="T14" i="12"/>
  <c r="T24" i="12"/>
  <c r="T24" i="15"/>
  <c r="T34" i="15"/>
  <c r="T34" i="12"/>
  <c r="T44" i="12"/>
  <c r="T54" i="15"/>
  <c r="T54" i="12"/>
  <c r="T64" i="12"/>
  <c r="T64" i="15"/>
  <c r="T74" i="15"/>
  <c r="T74" i="12"/>
  <c r="T84" i="12"/>
  <c r="T84" i="15"/>
  <c r="T94" i="15"/>
  <c r="T94" i="12"/>
  <c r="T104" i="12"/>
  <c r="T104" i="15"/>
  <c r="W8" i="11"/>
  <c r="W7" i="12" s="1"/>
  <c r="T8" i="11"/>
  <c r="W7" i="15" s="1"/>
  <c r="W18" i="11"/>
  <c r="T18" i="11"/>
  <c r="W17" i="15" s="1"/>
  <c r="W38" i="11"/>
  <c r="W37" i="12" s="1"/>
  <c r="T38" i="11"/>
  <c r="W37" i="15" s="1"/>
  <c r="W48" i="11"/>
  <c r="W47" i="12" s="1"/>
  <c r="T48" i="11"/>
  <c r="W47" i="15" s="1"/>
  <c r="W58" i="11"/>
  <c r="T58" i="11"/>
  <c r="W57" i="15" s="1"/>
  <c r="W78" i="11"/>
  <c r="W77" i="12" s="1"/>
  <c r="T78" i="11"/>
  <c r="W77" i="15" s="1"/>
  <c r="W88" i="11"/>
  <c r="T88" i="11"/>
  <c r="W87" i="15" s="1"/>
  <c r="W98" i="11"/>
  <c r="W97" i="12" s="1"/>
  <c r="T98" i="11"/>
  <c r="W97" i="15" s="1"/>
  <c r="W108" i="11"/>
  <c r="W107" i="12" s="1"/>
  <c r="T108" i="11"/>
  <c r="W107" i="15" s="1"/>
  <c r="W95" i="9"/>
  <c r="K94" i="12" s="1"/>
  <c r="T82" i="10"/>
  <c r="Q81" i="15" s="1"/>
  <c r="U7" i="1"/>
  <c r="C6" i="15" s="1"/>
  <c r="X7" i="1"/>
  <c r="C6" i="12" s="1"/>
  <c r="U17" i="1"/>
  <c r="C16" i="15" s="1"/>
  <c r="X17" i="1"/>
  <c r="U27" i="1"/>
  <c r="C26" i="15" s="1"/>
  <c r="X27" i="1"/>
  <c r="C26" i="12" s="1"/>
  <c r="X37" i="1"/>
  <c r="C36" i="12" s="1"/>
  <c r="U37" i="1"/>
  <c r="C36" i="15" s="1"/>
  <c r="U47" i="1"/>
  <c r="C46" i="15" s="1"/>
  <c r="X47" i="1"/>
  <c r="U57" i="1"/>
  <c r="C56" i="15" s="1"/>
  <c r="X57" i="1"/>
  <c r="C56" i="12" s="1"/>
  <c r="U67" i="1"/>
  <c r="C66" i="15" s="1"/>
  <c r="X67" i="1"/>
  <c r="U77" i="1"/>
  <c r="C76" i="15" s="1"/>
  <c r="X77" i="1"/>
  <c r="C76" i="12" s="1"/>
  <c r="U87" i="1"/>
  <c r="X87" i="1"/>
  <c r="U97" i="1"/>
  <c r="C96" i="15" s="1"/>
  <c r="X97" i="1"/>
  <c r="U107" i="1"/>
  <c r="C106" i="15" s="1"/>
  <c r="X107" i="1"/>
  <c r="C106" i="12" s="1"/>
  <c r="X10" i="8"/>
  <c r="U10" i="8"/>
  <c r="F9" i="15" s="1"/>
  <c r="X30" i="8"/>
  <c r="F29" i="12" s="1"/>
  <c r="U30" i="8"/>
  <c r="F29" i="15" s="1"/>
  <c r="X40" i="8"/>
  <c r="F39" i="12" s="1"/>
  <c r="U40" i="8"/>
  <c r="F39" i="15" s="1"/>
  <c r="X50" i="8"/>
  <c r="U50" i="8"/>
  <c r="F49" i="15" s="1"/>
  <c r="X60" i="8"/>
  <c r="U60" i="8"/>
  <c r="F59" i="15" s="1"/>
  <c r="X70" i="8"/>
  <c r="U70" i="8"/>
  <c r="F69" i="15" s="1"/>
  <c r="X80" i="8"/>
  <c r="F79" i="12" s="1"/>
  <c r="U80" i="8"/>
  <c r="F79" i="15" s="1"/>
  <c r="X90" i="8"/>
  <c r="F89" i="12" s="1"/>
  <c r="U90" i="8"/>
  <c r="F89" i="15" s="1"/>
  <c r="X100" i="8"/>
  <c r="U100" i="8"/>
  <c r="F99" i="15" s="1"/>
  <c r="U13" i="2"/>
  <c r="I12" i="15" s="1"/>
  <c r="X13" i="2"/>
  <c r="X23" i="2"/>
  <c r="U23" i="2"/>
  <c r="I22" i="15" s="1"/>
  <c r="U33" i="2"/>
  <c r="I32" i="15" s="1"/>
  <c r="X33" i="2"/>
  <c r="I32" i="12" s="1"/>
  <c r="X43" i="2"/>
  <c r="I42" i="12" s="1"/>
  <c r="U43" i="2"/>
  <c r="I42" i="15" s="1"/>
  <c r="U53" i="2"/>
  <c r="I52" i="15" s="1"/>
  <c r="X53" i="2"/>
  <c r="X63" i="2"/>
  <c r="U63" i="2"/>
  <c r="I62" i="15" s="1"/>
  <c r="U73" i="2"/>
  <c r="I72" i="15" s="1"/>
  <c r="X73" i="2"/>
  <c r="I72" i="12" s="1"/>
  <c r="X83" i="2"/>
  <c r="I82" i="12" s="1"/>
  <c r="U83" i="2"/>
  <c r="I82" i="15" s="1"/>
  <c r="U93" i="2"/>
  <c r="I92" i="15" s="1"/>
  <c r="X93" i="2"/>
  <c r="X103" i="2"/>
  <c r="U103" i="2"/>
  <c r="I102" i="15" s="1"/>
  <c r="X6" i="9"/>
  <c r="L5" i="12" s="1"/>
  <c r="U6" i="9"/>
  <c r="L5" i="15" s="1"/>
  <c r="X26" i="9"/>
  <c r="U26" i="9"/>
  <c r="L25" i="15" s="1"/>
  <c r="X46" i="9"/>
  <c r="L45" i="12" s="1"/>
  <c r="U46" i="9"/>
  <c r="L45" i="15" s="1"/>
  <c r="X56" i="9"/>
  <c r="U56" i="9"/>
  <c r="L55" i="15" s="1"/>
  <c r="X76" i="9"/>
  <c r="U76" i="9"/>
  <c r="L75" i="15" s="1"/>
  <c r="X86" i="9"/>
  <c r="U86" i="9"/>
  <c r="L85" i="15" s="1"/>
  <c r="O18" i="12"/>
  <c r="O28" i="12"/>
  <c r="O78" i="12"/>
  <c r="O88" i="12"/>
  <c r="O98" i="12"/>
  <c r="O108" i="12"/>
  <c r="X32" i="10"/>
  <c r="R31" i="12" s="1"/>
  <c r="U32" i="10"/>
  <c r="R31" i="15" s="1"/>
  <c r="X62" i="10"/>
  <c r="R61" i="12" s="1"/>
  <c r="U62" i="10"/>
  <c r="R61" i="15" s="1"/>
  <c r="X102" i="10"/>
  <c r="R101" i="12" s="1"/>
  <c r="U102" i="10"/>
  <c r="R101" i="15" s="1"/>
  <c r="U4" i="12"/>
  <c r="U4" i="15"/>
  <c r="U14" i="12"/>
  <c r="U14" i="15"/>
  <c r="U24" i="12"/>
  <c r="U24" i="15"/>
  <c r="U34" i="12"/>
  <c r="U34" i="15"/>
  <c r="U44" i="12"/>
  <c r="U54" i="12"/>
  <c r="U54" i="15"/>
  <c r="U64" i="12"/>
  <c r="U64" i="15"/>
  <c r="U74" i="12"/>
  <c r="U74" i="15"/>
  <c r="U84" i="12"/>
  <c r="U94" i="12"/>
  <c r="U94" i="15"/>
  <c r="U104" i="12"/>
  <c r="U104" i="15"/>
  <c r="X8" i="11"/>
  <c r="U8" i="11"/>
  <c r="X7" i="15" s="1"/>
  <c r="X28" i="11"/>
  <c r="U28" i="11"/>
  <c r="X27" i="15" s="1"/>
  <c r="X48" i="11"/>
  <c r="X47" i="12" s="1"/>
  <c r="U48" i="11"/>
  <c r="X47" i="15" s="1"/>
  <c r="X58" i="11"/>
  <c r="U58" i="11"/>
  <c r="X57" i="15" s="1"/>
  <c r="X98" i="11"/>
  <c r="U98" i="11"/>
  <c r="X97" i="15" s="1"/>
  <c r="X108" i="11"/>
  <c r="X107" i="12" s="1"/>
  <c r="U108" i="11"/>
  <c r="X107" i="15" s="1"/>
  <c r="X82" i="8"/>
  <c r="F81" i="12" s="1"/>
  <c r="U7" i="9"/>
  <c r="L6" i="15" s="1"/>
  <c r="U4" i="10"/>
  <c r="R3" i="15" s="1"/>
  <c r="T35" i="10"/>
  <c r="Q34" i="15" s="1"/>
  <c r="U52" i="10"/>
  <c r="R51" i="15" s="1"/>
  <c r="W26" i="1"/>
  <c r="B25" i="12" s="1"/>
  <c r="T26" i="1"/>
  <c r="B25" i="15" s="1"/>
  <c r="W46" i="1"/>
  <c r="T46" i="1"/>
  <c r="B45" i="15" s="1"/>
  <c r="W66" i="1"/>
  <c r="T66" i="1"/>
  <c r="B65" i="15" s="1"/>
  <c r="W86" i="1"/>
  <c r="T86" i="1"/>
  <c r="B85" i="15" s="1"/>
  <c r="T22" i="2"/>
  <c r="H21" i="15" s="1"/>
  <c r="W22" i="2"/>
  <c r="T42" i="2"/>
  <c r="H41" i="15" s="1"/>
  <c r="W42" i="2"/>
  <c r="T62" i="2"/>
  <c r="H61" i="15" s="1"/>
  <c r="W62" i="2"/>
  <c r="W72" i="2"/>
  <c r="H71" i="12" s="1"/>
  <c r="T72" i="2"/>
  <c r="H71" i="15" s="1"/>
  <c r="W92" i="2"/>
  <c r="H91" i="12" s="1"/>
  <c r="T92" i="2"/>
  <c r="H91" i="15" s="1"/>
  <c r="W35" i="9"/>
  <c r="K34" i="12" s="1"/>
  <c r="T35" i="9"/>
  <c r="K34" i="15" s="1"/>
  <c r="W11" i="10"/>
  <c r="Q10" i="12" s="1"/>
  <c r="T11" i="10"/>
  <c r="Q10" i="15" s="1"/>
  <c r="W41" i="10"/>
  <c r="T41" i="10"/>
  <c r="Q40" i="15" s="1"/>
  <c r="W71" i="10"/>
  <c r="T71" i="10"/>
  <c r="Q70" i="15" s="1"/>
  <c r="W91" i="10"/>
  <c r="Q90" i="12" s="1"/>
  <c r="T91" i="10"/>
  <c r="Q90" i="15" s="1"/>
  <c r="W101" i="10"/>
  <c r="Q100" i="12" s="1"/>
  <c r="T101" i="10"/>
  <c r="Q100" i="15" s="1"/>
  <c r="T23" i="12"/>
  <c r="T23" i="15"/>
  <c r="T53" i="15"/>
  <c r="T53" i="12"/>
  <c r="T83" i="12"/>
  <c r="T93" i="15"/>
  <c r="T93" i="12"/>
  <c r="W7" i="11"/>
  <c r="W6" i="12" s="1"/>
  <c r="T7" i="11"/>
  <c r="W6" i="15" s="1"/>
  <c r="W67" i="11"/>
  <c r="W66" i="12" s="1"/>
  <c r="T67" i="11"/>
  <c r="W66" i="15" s="1"/>
  <c r="W107" i="11"/>
  <c r="T107" i="11"/>
  <c r="W106" i="15" s="1"/>
  <c r="T48" i="1"/>
  <c r="B47" i="15" s="1"/>
  <c r="W48" i="1"/>
  <c r="W11" i="8"/>
  <c r="T11" i="8"/>
  <c r="E10" i="15" s="1"/>
  <c r="T81" i="8"/>
  <c r="E80" i="15" s="1"/>
  <c r="W81" i="8"/>
  <c r="E80" i="12" s="1"/>
  <c r="W44" i="2"/>
  <c r="H43" i="12" s="1"/>
  <c r="T44" i="2"/>
  <c r="H43" i="15" s="1"/>
  <c r="W104" i="2"/>
  <c r="T104" i="2"/>
  <c r="H103" i="15" s="1"/>
  <c r="N89" i="12"/>
  <c r="T55" i="15"/>
  <c r="T55" i="12"/>
  <c r="W19" i="11"/>
  <c r="W18" i="12" s="1"/>
  <c r="T19" i="11"/>
  <c r="W18" i="15" s="1"/>
  <c r="W89" i="11"/>
  <c r="W88" i="12" s="1"/>
  <c r="T89" i="11"/>
  <c r="W88" i="15" s="1"/>
  <c r="U18" i="1"/>
  <c r="C17" i="15" s="1"/>
  <c r="X18" i="1"/>
  <c r="U78" i="1"/>
  <c r="C77" i="15" s="1"/>
  <c r="X78" i="1"/>
  <c r="C77" i="12" s="1"/>
  <c r="X21" i="8"/>
  <c r="F20" i="12" s="1"/>
  <c r="U21" i="8"/>
  <c r="F20" i="15" s="1"/>
  <c r="X71" i="8"/>
  <c r="F70" i="12" s="1"/>
  <c r="U71" i="8"/>
  <c r="F70" i="15" s="1"/>
  <c r="X14" i="2"/>
  <c r="U14" i="2"/>
  <c r="I13" i="15" s="1"/>
  <c r="X74" i="2"/>
  <c r="U74" i="2"/>
  <c r="I73" i="15" s="1"/>
  <c r="O69" i="12"/>
  <c r="X23" i="10"/>
  <c r="R22" i="12" s="1"/>
  <c r="U23" i="10"/>
  <c r="R22" i="15" s="1"/>
  <c r="X63" i="10"/>
  <c r="U63" i="10"/>
  <c r="R62" i="15" s="1"/>
  <c r="U25" i="12"/>
  <c r="U25" i="15"/>
  <c r="U105" i="12"/>
  <c r="U105" i="15"/>
  <c r="X69" i="11"/>
  <c r="X68" i="12" s="1"/>
  <c r="U69" i="11"/>
  <c r="X68" i="15" s="1"/>
  <c r="U9" i="1"/>
  <c r="C8" i="15" s="1"/>
  <c r="X9" i="1"/>
  <c r="C8" i="12" s="1"/>
  <c r="X19" i="1"/>
  <c r="U19" i="1"/>
  <c r="C18" i="15" s="1"/>
  <c r="U29" i="1"/>
  <c r="C28" i="15" s="1"/>
  <c r="X29" i="1"/>
  <c r="X39" i="1"/>
  <c r="U39" i="1"/>
  <c r="C38" i="15" s="1"/>
  <c r="U49" i="1"/>
  <c r="C48" i="15" s="1"/>
  <c r="X49" i="1"/>
  <c r="X59" i="1"/>
  <c r="C58" i="12" s="1"/>
  <c r="U59" i="1"/>
  <c r="C58" i="15" s="1"/>
  <c r="U69" i="1"/>
  <c r="C68" i="15" s="1"/>
  <c r="X69" i="1"/>
  <c r="C68" i="12" s="1"/>
  <c r="X79" i="1"/>
  <c r="C78" i="12" s="1"/>
  <c r="U79" i="1"/>
  <c r="C78" i="15" s="1"/>
  <c r="U89" i="1"/>
  <c r="X89" i="1"/>
  <c r="C88" i="12" s="1"/>
  <c r="X99" i="1"/>
  <c r="C98" i="12" s="1"/>
  <c r="U99" i="1"/>
  <c r="C98" i="15" s="1"/>
  <c r="U109" i="1"/>
  <c r="C108" i="15" s="1"/>
  <c r="X109" i="1"/>
  <c r="U42" i="8"/>
  <c r="F41" i="15" s="1"/>
  <c r="X42" i="8"/>
  <c r="X62" i="8"/>
  <c r="U62" i="8"/>
  <c r="F61" i="15" s="1"/>
  <c r="X92" i="8"/>
  <c r="U92" i="8"/>
  <c r="F91" i="15" s="1"/>
  <c r="U5" i="2"/>
  <c r="I4" i="15" s="1"/>
  <c r="X5" i="2"/>
  <c r="I4" i="12" s="1"/>
  <c r="X15" i="2"/>
  <c r="I14" i="12" s="1"/>
  <c r="U15" i="2"/>
  <c r="I14" i="15" s="1"/>
  <c r="U25" i="2"/>
  <c r="I24" i="15" s="1"/>
  <c r="X25" i="2"/>
  <c r="I24" i="12" s="1"/>
  <c r="X35" i="2"/>
  <c r="I34" i="12" s="1"/>
  <c r="U35" i="2"/>
  <c r="I34" i="15" s="1"/>
  <c r="U45" i="2"/>
  <c r="I44" i="15" s="1"/>
  <c r="X45" i="2"/>
  <c r="I44" i="12" s="1"/>
  <c r="X55" i="2"/>
  <c r="I54" i="12" s="1"/>
  <c r="U55" i="2"/>
  <c r="I54" i="15" s="1"/>
  <c r="U65" i="2"/>
  <c r="I64" i="15" s="1"/>
  <c r="X65" i="2"/>
  <c r="I64" i="12" s="1"/>
  <c r="X75" i="2"/>
  <c r="U75" i="2"/>
  <c r="I74" i="15" s="1"/>
  <c r="U85" i="2"/>
  <c r="I84" i="15" s="1"/>
  <c r="X85" i="2"/>
  <c r="X95" i="2"/>
  <c r="U95" i="2"/>
  <c r="I94" i="15" s="1"/>
  <c r="U105" i="2"/>
  <c r="I104" i="15" s="1"/>
  <c r="X105" i="2"/>
  <c r="X8" i="9"/>
  <c r="L7" i="12" s="1"/>
  <c r="U8" i="9"/>
  <c r="L7" i="15" s="1"/>
  <c r="X18" i="9"/>
  <c r="U18" i="9"/>
  <c r="L17" i="15" s="1"/>
  <c r="X28" i="9"/>
  <c r="L27" i="12" s="1"/>
  <c r="U28" i="9"/>
  <c r="L27" i="15" s="1"/>
  <c r="X38" i="9"/>
  <c r="L37" i="12" s="1"/>
  <c r="U38" i="9"/>
  <c r="L37" i="15" s="1"/>
  <c r="X48" i="9"/>
  <c r="L47" i="12" s="1"/>
  <c r="U48" i="9"/>
  <c r="L47" i="15" s="1"/>
  <c r="X58" i="9"/>
  <c r="U58" i="9"/>
  <c r="L57" i="15" s="1"/>
  <c r="X68" i="9"/>
  <c r="U68" i="9"/>
  <c r="L67" i="15" s="1"/>
  <c r="X78" i="9"/>
  <c r="U78" i="9"/>
  <c r="L77" i="15" s="1"/>
  <c r="X88" i="9"/>
  <c r="U88" i="9"/>
  <c r="L87" i="15" s="1"/>
  <c r="X98" i="9"/>
  <c r="U98" i="9"/>
  <c r="L97" i="15" s="1"/>
  <c r="X108" i="9"/>
  <c r="L107" i="12" s="1"/>
  <c r="U108" i="9"/>
  <c r="L107" i="15" s="1"/>
  <c r="O20" i="12"/>
  <c r="O30" i="12"/>
  <c r="O40" i="12"/>
  <c r="O50" i="12"/>
  <c r="O90" i="12"/>
  <c r="O100" i="12"/>
  <c r="X24" i="10"/>
  <c r="U24" i="10"/>
  <c r="R23" i="15" s="1"/>
  <c r="X44" i="10"/>
  <c r="U44" i="10"/>
  <c r="R43" i="15" s="1"/>
  <c r="X54" i="10"/>
  <c r="R53" i="12" s="1"/>
  <c r="U54" i="10"/>
  <c r="R53" i="15" s="1"/>
  <c r="X84" i="10"/>
  <c r="U84" i="10"/>
  <c r="R83" i="15" s="1"/>
  <c r="U6" i="12"/>
  <c r="U6" i="15"/>
  <c r="U16" i="15"/>
  <c r="U26" i="15"/>
  <c r="U26" i="12"/>
  <c r="U36" i="15"/>
  <c r="U36" i="12"/>
  <c r="U46" i="15"/>
  <c r="U46" i="12"/>
  <c r="U56" i="15"/>
  <c r="U56" i="12"/>
  <c r="U66" i="15"/>
  <c r="U66" i="12"/>
  <c r="U76" i="15"/>
  <c r="U76" i="12"/>
  <c r="U86" i="15"/>
  <c r="U86" i="12"/>
  <c r="U96" i="15"/>
  <c r="U96" i="12"/>
  <c r="U106" i="15"/>
  <c r="U106" i="12"/>
  <c r="X10" i="11"/>
  <c r="U10" i="11"/>
  <c r="X9" i="15" s="1"/>
  <c r="X40" i="11"/>
  <c r="U40" i="11"/>
  <c r="X39" i="15" s="1"/>
  <c r="X50" i="11"/>
  <c r="U50" i="11"/>
  <c r="X49" i="15" s="1"/>
  <c r="X90" i="11"/>
  <c r="X89" i="12" s="1"/>
  <c r="U90" i="11"/>
  <c r="X89" i="15" s="1"/>
  <c r="X100" i="11"/>
  <c r="X99" i="12" s="1"/>
  <c r="U100" i="11"/>
  <c r="X99" i="15" s="1"/>
  <c r="W3" i="8"/>
  <c r="X13" i="8"/>
  <c r="X34" i="8"/>
  <c r="T59" i="8"/>
  <c r="E58" i="15" s="1"/>
  <c r="X101" i="8"/>
  <c r="W9" i="9"/>
  <c r="K8" i="12" s="1"/>
  <c r="U39" i="9"/>
  <c r="L38" i="15" s="1"/>
  <c r="U67" i="9"/>
  <c r="L66" i="15" s="1"/>
  <c r="U97" i="9"/>
  <c r="L96" i="15" s="1"/>
  <c r="T27" i="10"/>
  <c r="Q26" i="15" s="1"/>
  <c r="W57" i="10"/>
  <c r="T37" i="11"/>
  <c r="W36" i="15" s="1"/>
  <c r="U68" i="11"/>
  <c r="X67" i="15" s="1"/>
  <c r="W6" i="1"/>
  <c r="B5" i="12" s="1"/>
  <c r="T6" i="1"/>
  <c r="B5" i="15" s="1"/>
  <c r="W106" i="1"/>
  <c r="B105" i="12" s="1"/>
  <c r="T106" i="1"/>
  <c r="B105" i="15" s="1"/>
  <c r="W99" i="8"/>
  <c r="E98" i="12" s="1"/>
  <c r="T99" i="8"/>
  <c r="E98" i="15" s="1"/>
  <c r="T5" i="9"/>
  <c r="K4" i="15" s="1"/>
  <c r="W5" i="9"/>
  <c r="W85" i="9"/>
  <c r="K84" i="12" s="1"/>
  <c r="T85" i="9"/>
  <c r="K84" i="15" s="1"/>
  <c r="N77" i="12"/>
  <c r="W61" i="10"/>
  <c r="Q60" i="12" s="1"/>
  <c r="T61" i="10"/>
  <c r="Q60" i="15" s="1"/>
  <c r="T63" i="12"/>
  <c r="T63" i="15"/>
  <c r="W57" i="11"/>
  <c r="T57" i="11"/>
  <c r="W56" i="15" s="1"/>
  <c r="W38" i="1"/>
  <c r="T38" i="1"/>
  <c r="B37" i="15" s="1"/>
  <c r="T68" i="1"/>
  <c r="B67" i="15" s="1"/>
  <c r="W68" i="1"/>
  <c r="B67" i="12" s="1"/>
  <c r="T108" i="1"/>
  <c r="B107" i="15" s="1"/>
  <c r="W108" i="1"/>
  <c r="B107" i="12" s="1"/>
  <c r="T91" i="8"/>
  <c r="E90" i="15" s="1"/>
  <c r="W91" i="8"/>
  <c r="E90" i="12" s="1"/>
  <c r="W14" i="2"/>
  <c r="H13" i="12" s="1"/>
  <c r="T14" i="2"/>
  <c r="H13" i="15" s="1"/>
  <c r="W54" i="2"/>
  <c r="T54" i="2"/>
  <c r="H53" i="15" s="1"/>
  <c r="W84" i="2"/>
  <c r="H83" i="12" s="1"/>
  <c r="T84" i="2"/>
  <c r="H83" i="15" s="1"/>
  <c r="W77" i="9"/>
  <c r="K76" i="12" s="1"/>
  <c r="T77" i="9"/>
  <c r="K76" i="15" s="1"/>
  <c r="W53" i="10"/>
  <c r="T53" i="10"/>
  <c r="Q52" i="15" s="1"/>
  <c r="T5" i="15"/>
  <c r="T65" i="15"/>
  <c r="T65" i="12"/>
  <c r="W9" i="11"/>
  <c r="W8" i="12" s="1"/>
  <c r="T9" i="11"/>
  <c r="W8" i="15" s="1"/>
  <c r="W69" i="11"/>
  <c r="W68" i="12" s="1"/>
  <c r="T69" i="11"/>
  <c r="W68" i="15" s="1"/>
  <c r="W109" i="11"/>
  <c r="T109" i="11"/>
  <c r="W108" i="15" s="1"/>
  <c r="U38" i="1"/>
  <c r="C37" i="15" s="1"/>
  <c r="X38" i="1"/>
  <c r="C37" i="12" s="1"/>
  <c r="U98" i="1"/>
  <c r="C97" i="15" s="1"/>
  <c r="X98" i="1"/>
  <c r="C97" i="12" s="1"/>
  <c r="X34" i="2"/>
  <c r="U34" i="2"/>
  <c r="I33" i="15" s="1"/>
  <c r="X107" i="9"/>
  <c r="L106" i="12" s="1"/>
  <c r="U107" i="9"/>
  <c r="L106" i="15" s="1"/>
  <c r="U75" i="15"/>
  <c r="U75" i="12"/>
  <c r="X49" i="11"/>
  <c r="U49" i="11"/>
  <c r="X48" i="15" s="1"/>
  <c r="T68" i="11"/>
  <c r="W67" i="15" s="1"/>
  <c r="W10" i="1"/>
  <c r="B9" i="12" s="1"/>
  <c r="T10" i="1"/>
  <c r="B9" i="15" s="1"/>
  <c r="W20" i="1"/>
  <c r="T20" i="1"/>
  <c r="B19" i="15" s="1"/>
  <c r="T30" i="1"/>
  <c r="B29" i="15" s="1"/>
  <c r="W30" i="1"/>
  <c r="B29" i="12" s="1"/>
  <c r="W40" i="1"/>
  <c r="B39" i="12" s="1"/>
  <c r="T40" i="1"/>
  <c r="B39" i="15" s="1"/>
  <c r="T50" i="1"/>
  <c r="B49" i="15" s="1"/>
  <c r="W50" i="1"/>
  <c r="B49" i="12" s="1"/>
  <c r="W60" i="1"/>
  <c r="T60" i="1"/>
  <c r="B59" i="15" s="1"/>
  <c r="W70" i="1"/>
  <c r="T70" i="1"/>
  <c r="B69" i="15" s="1"/>
  <c r="W80" i="1"/>
  <c r="T80" i="1"/>
  <c r="B79" i="15" s="1"/>
  <c r="W90" i="1"/>
  <c r="T90" i="1"/>
  <c r="B89" i="15" s="1"/>
  <c r="W100" i="1"/>
  <c r="B99" i="12" s="1"/>
  <c r="T100" i="1"/>
  <c r="B99" i="15" s="1"/>
  <c r="W43" i="8"/>
  <c r="E42" i="12" s="1"/>
  <c r="T43" i="8"/>
  <c r="E42" i="15" s="1"/>
  <c r="W63" i="8"/>
  <c r="T63" i="8"/>
  <c r="E62" i="15" s="1"/>
  <c r="T83" i="8"/>
  <c r="E82" i="15" s="1"/>
  <c r="W83" i="8"/>
  <c r="E82" i="12" s="1"/>
  <c r="T6" i="2"/>
  <c r="H5" i="15" s="1"/>
  <c r="W6" i="2"/>
  <c r="H5" i="12" s="1"/>
  <c r="T16" i="2"/>
  <c r="H15" i="15" s="1"/>
  <c r="W16" i="2"/>
  <c r="H15" i="12" s="1"/>
  <c r="T26" i="2"/>
  <c r="H25" i="15" s="1"/>
  <c r="W26" i="2"/>
  <c r="T36" i="2"/>
  <c r="H35" i="15" s="1"/>
  <c r="W36" i="2"/>
  <c r="T46" i="2"/>
  <c r="H45" i="15" s="1"/>
  <c r="W46" i="2"/>
  <c r="T56" i="2"/>
  <c r="H55" i="15" s="1"/>
  <c r="W56" i="2"/>
  <c r="T66" i="2"/>
  <c r="H65" i="15" s="1"/>
  <c r="W66" i="2"/>
  <c r="H65" i="12" s="1"/>
  <c r="T76" i="2"/>
  <c r="H75" i="15" s="1"/>
  <c r="W76" i="2"/>
  <c r="H75" i="12" s="1"/>
  <c r="T86" i="2"/>
  <c r="H85" i="15" s="1"/>
  <c r="W86" i="2"/>
  <c r="T96" i="2"/>
  <c r="H95" i="15" s="1"/>
  <c r="W96" i="2"/>
  <c r="H95" i="12" s="1"/>
  <c r="T106" i="2"/>
  <c r="H105" i="15" s="1"/>
  <c r="W106" i="2"/>
  <c r="H105" i="12" s="1"/>
  <c r="T19" i="9"/>
  <c r="K18" i="15" s="1"/>
  <c r="W19" i="9"/>
  <c r="K18" i="12" s="1"/>
  <c r="T49" i="9"/>
  <c r="K48" i="15" s="1"/>
  <c r="W49" i="9"/>
  <c r="K48" i="12" s="1"/>
  <c r="T69" i="9"/>
  <c r="K68" i="15" s="1"/>
  <c r="W69" i="9"/>
  <c r="T79" i="9"/>
  <c r="K78" i="15" s="1"/>
  <c r="W79" i="9"/>
  <c r="T109" i="9"/>
  <c r="K108" i="15" s="1"/>
  <c r="W109" i="9"/>
  <c r="N11" i="12"/>
  <c r="N21" i="12"/>
  <c r="N31" i="12"/>
  <c r="N41" i="12"/>
  <c r="N51" i="12"/>
  <c r="N71" i="12"/>
  <c r="N91" i="12"/>
  <c r="N101" i="12"/>
  <c r="W15" i="10"/>
  <c r="Q14" i="12" s="1"/>
  <c r="T15" i="10"/>
  <c r="Q14" i="15" s="1"/>
  <c r="W25" i="10"/>
  <c r="T25" i="10"/>
  <c r="Q24" i="15" s="1"/>
  <c r="W55" i="10"/>
  <c r="T55" i="10"/>
  <c r="Q54" i="15" s="1"/>
  <c r="W75" i="10"/>
  <c r="Q74" i="12" s="1"/>
  <c r="T75" i="10"/>
  <c r="Q74" i="15" s="1"/>
  <c r="W85" i="10"/>
  <c r="Q84" i="12" s="1"/>
  <c r="T85" i="10"/>
  <c r="Q84" i="15" s="1"/>
  <c r="T7" i="15"/>
  <c r="T7" i="12"/>
  <c r="T17" i="12"/>
  <c r="T17" i="15"/>
  <c r="T27" i="15"/>
  <c r="T27" i="12"/>
  <c r="T37" i="12"/>
  <c r="T37" i="15"/>
  <c r="T47" i="15"/>
  <c r="T47" i="12"/>
  <c r="T57" i="12"/>
  <c r="T57" i="15"/>
  <c r="T67" i="15"/>
  <c r="T67" i="12"/>
  <c r="T77" i="12"/>
  <c r="T77" i="15"/>
  <c r="T87" i="15"/>
  <c r="T87" i="12"/>
  <c r="T97" i="12"/>
  <c r="T97" i="15"/>
  <c r="T107" i="15"/>
  <c r="T107" i="12"/>
  <c r="W41" i="11"/>
  <c r="T41" i="11"/>
  <c r="W40" i="15" s="1"/>
  <c r="W81" i="11"/>
  <c r="T81" i="11"/>
  <c r="W80" i="15" s="1"/>
  <c r="W91" i="11"/>
  <c r="W90" i="12" s="1"/>
  <c r="T91" i="11"/>
  <c r="W90" i="15" s="1"/>
  <c r="U4" i="8"/>
  <c r="F3" i="15" s="1"/>
  <c r="U24" i="8"/>
  <c r="F23" i="15" s="1"/>
  <c r="T73" i="8"/>
  <c r="E72" i="15" s="1"/>
  <c r="T25" i="9"/>
  <c r="K24" i="15" s="1"/>
  <c r="W39" i="9"/>
  <c r="K38" i="12" s="1"/>
  <c r="U69" i="9"/>
  <c r="L68" i="15" s="1"/>
  <c r="W99" i="9"/>
  <c r="T42" i="10"/>
  <c r="Q41" i="15" s="1"/>
  <c r="W72" i="10"/>
  <c r="U7" i="11"/>
  <c r="X6" i="15" s="1"/>
  <c r="U37" i="11"/>
  <c r="X36" i="15" s="1"/>
  <c r="T87" i="11"/>
  <c r="W86" i="15" s="1"/>
  <c r="T76" i="1"/>
  <c r="B75" i="15" s="1"/>
  <c r="W76" i="1"/>
  <c r="B75" i="12" s="1"/>
  <c r="W69" i="8"/>
  <c r="T69" i="8"/>
  <c r="E68" i="15" s="1"/>
  <c r="T82" i="2"/>
  <c r="H81" i="15" s="1"/>
  <c r="W82" i="2"/>
  <c r="W51" i="10"/>
  <c r="Q50" i="12" s="1"/>
  <c r="T51" i="10"/>
  <c r="Q50" i="15" s="1"/>
  <c r="T43" i="12"/>
  <c r="W17" i="11"/>
  <c r="W16" i="12" s="1"/>
  <c r="T17" i="11"/>
  <c r="W16" i="15" s="1"/>
  <c r="W58" i="1"/>
  <c r="T58" i="1"/>
  <c r="B57" i="15" s="1"/>
  <c r="W4" i="2"/>
  <c r="T4" i="2"/>
  <c r="H3" i="15" s="1"/>
  <c r="W74" i="2"/>
  <c r="T74" i="2"/>
  <c r="H73" i="15" s="1"/>
  <c r="W107" i="9"/>
  <c r="K106" i="12" s="1"/>
  <c r="T107" i="9"/>
  <c r="K106" i="15" s="1"/>
  <c r="N69" i="12"/>
  <c r="W93" i="10"/>
  <c r="T93" i="10"/>
  <c r="Q92" i="15" s="1"/>
  <c r="T45" i="15"/>
  <c r="T45" i="12"/>
  <c r="T105" i="15"/>
  <c r="T105" i="12"/>
  <c r="W39" i="11"/>
  <c r="W38" i="12" s="1"/>
  <c r="T39" i="11"/>
  <c r="W38" i="15" s="1"/>
  <c r="W99" i="11"/>
  <c r="W98" i="12" s="1"/>
  <c r="T99" i="11"/>
  <c r="W98" i="15" s="1"/>
  <c r="W7" i="9"/>
  <c r="U48" i="1"/>
  <c r="C47" i="15" s="1"/>
  <c r="X48" i="1"/>
  <c r="U108" i="1"/>
  <c r="C107" i="15" s="1"/>
  <c r="X108" i="1"/>
  <c r="C107" i="12" s="1"/>
  <c r="U4" i="2"/>
  <c r="I3" i="15" s="1"/>
  <c r="X4" i="2"/>
  <c r="I3" i="12" s="1"/>
  <c r="U64" i="2"/>
  <c r="I63" i="15" s="1"/>
  <c r="X64" i="2"/>
  <c r="I63" i="12" s="1"/>
  <c r="X94" i="2"/>
  <c r="U94" i="2"/>
  <c r="I93" i="15" s="1"/>
  <c r="O99" i="12"/>
  <c r="X93" i="10"/>
  <c r="R92" i="12" s="1"/>
  <c r="U93" i="10"/>
  <c r="R92" i="15" s="1"/>
  <c r="U5" i="12"/>
  <c r="U5" i="15"/>
  <c r="U35" i="15"/>
  <c r="U35" i="12"/>
  <c r="U65" i="12"/>
  <c r="U95" i="15"/>
  <c r="U95" i="12"/>
  <c r="X19" i="11"/>
  <c r="X18" i="12" s="1"/>
  <c r="U19" i="11"/>
  <c r="X18" i="15" s="1"/>
  <c r="X59" i="11"/>
  <c r="U59" i="11"/>
  <c r="X58" i="15" s="1"/>
  <c r="X89" i="11"/>
  <c r="U89" i="11"/>
  <c r="X88" i="15" s="1"/>
  <c r="U37" i="9"/>
  <c r="L36" i="15" s="1"/>
  <c r="T97" i="9"/>
  <c r="K96" i="15" s="1"/>
  <c r="U20" i="1"/>
  <c r="C19" i="15" s="1"/>
  <c r="X20" i="1"/>
  <c r="U40" i="1"/>
  <c r="C39" i="15" s="1"/>
  <c r="X40" i="1"/>
  <c r="C39" i="12" s="1"/>
  <c r="U60" i="1"/>
  <c r="C59" i="15" s="1"/>
  <c r="X60" i="1"/>
  <c r="C59" i="12" s="1"/>
  <c r="X80" i="1"/>
  <c r="U80" i="1"/>
  <c r="C79" i="15" s="1"/>
  <c r="X100" i="1"/>
  <c r="C99" i="12" s="1"/>
  <c r="U100" i="1"/>
  <c r="X43" i="8"/>
  <c r="F42" i="12" s="1"/>
  <c r="U43" i="8"/>
  <c r="F42" i="15" s="1"/>
  <c r="X83" i="8"/>
  <c r="F82" i="12" s="1"/>
  <c r="U83" i="8"/>
  <c r="F82" i="15" s="1"/>
  <c r="X103" i="8"/>
  <c r="U103" i="8"/>
  <c r="F102" i="15" s="1"/>
  <c r="U6" i="2"/>
  <c r="I5" i="15" s="1"/>
  <c r="X6" i="2"/>
  <c r="X16" i="2"/>
  <c r="U16" i="2"/>
  <c r="I15" i="15" s="1"/>
  <c r="U26" i="2"/>
  <c r="I25" i="15" s="1"/>
  <c r="X26" i="2"/>
  <c r="I25" i="12" s="1"/>
  <c r="X36" i="2"/>
  <c r="I35" i="12" s="1"/>
  <c r="U36" i="2"/>
  <c r="I35" i="15" s="1"/>
  <c r="U46" i="2"/>
  <c r="I45" i="15" s="1"/>
  <c r="X46" i="2"/>
  <c r="X56" i="2"/>
  <c r="I55" i="12" s="1"/>
  <c r="U56" i="2"/>
  <c r="I55" i="15" s="1"/>
  <c r="U66" i="2"/>
  <c r="I65" i="15" s="1"/>
  <c r="X66" i="2"/>
  <c r="I65" i="12" s="1"/>
  <c r="X76" i="2"/>
  <c r="I75" i="12" s="1"/>
  <c r="U76" i="2"/>
  <c r="I75" i="15" s="1"/>
  <c r="U86" i="2"/>
  <c r="I85" i="15" s="1"/>
  <c r="X86" i="2"/>
  <c r="X96" i="2"/>
  <c r="U96" i="2"/>
  <c r="I95" i="15" s="1"/>
  <c r="U106" i="2"/>
  <c r="I105" i="15" s="1"/>
  <c r="X106" i="2"/>
  <c r="X49" i="9"/>
  <c r="U49" i="9"/>
  <c r="L48" i="15" s="1"/>
  <c r="X99" i="9"/>
  <c r="U99" i="9"/>
  <c r="L98" i="15" s="1"/>
  <c r="X109" i="9"/>
  <c r="L108" i="12" s="1"/>
  <c r="U109" i="9"/>
  <c r="L108" i="15" s="1"/>
  <c r="I21" i="5"/>
  <c r="O31" i="12"/>
  <c r="O41" i="12"/>
  <c r="O101" i="12"/>
  <c r="X15" i="10"/>
  <c r="R14" i="12" s="1"/>
  <c r="U15" i="10"/>
  <c r="R14" i="15" s="1"/>
  <c r="X35" i="10"/>
  <c r="R34" i="12" s="1"/>
  <c r="U35" i="10"/>
  <c r="R34" i="15" s="1"/>
  <c r="X45" i="10"/>
  <c r="R44" i="12" s="1"/>
  <c r="U45" i="10"/>
  <c r="R44" i="15" s="1"/>
  <c r="X55" i="10"/>
  <c r="R54" i="12" s="1"/>
  <c r="U55" i="10"/>
  <c r="R54" i="15" s="1"/>
  <c r="X59" i="8"/>
  <c r="U73" i="8"/>
  <c r="F72" i="15" s="1"/>
  <c r="U102" i="8"/>
  <c r="F101" i="15" s="1"/>
  <c r="U10" i="9"/>
  <c r="L9" i="15" s="1"/>
  <c r="X25" i="9"/>
  <c r="L24" i="12" s="1"/>
  <c r="U40" i="9"/>
  <c r="L39" i="15" s="1"/>
  <c r="W71" i="9"/>
  <c r="W86" i="9"/>
  <c r="K85" i="12" s="1"/>
  <c r="U42" i="10"/>
  <c r="R41" i="15" s="1"/>
  <c r="X72" i="10"/>
  <c r="T103" i="10"/>
  <c r="Q102" i="15" s="1"/>
  <c r="U38" i="11"/>
  <c r="X37" i="15" s="1"/>
  <c r="U70" i="11"/>
  <c r="X69" i="15" s="1"/>
  <c r="U87" i="11"/>
  <c r="X86" i="15" s="1"/>
  <c r="W56" i="1"/>
  <c r="B55" i="12" s="1"/>
  <c r="T56" i="1"/>
  <c r="W49" i="8"/>
  <c r="E48" i="12" s="1"/>
  <c r="T49" i="8"/>
  <c r="E48" i="15" s="1"/>
  <c r="W52" i="2"/>
  <c r="T52" i="2"/>
  <c r="H51" i="15" s="1"/>
  <c r="T55" i="9"/>
  <c r="K54" i="15" s="1"/>
  <c r="W55" i="9"/>
  <c r="K54" i="12" s="1"/>
  <c r="W31" i="10"/>
  <c r="Q30" i="12" s="1"/>
  <c r="T31" i="10"/>
  <c r="Q30" i="15" s="1"/>
  <c r="T33" i="15"/>
  <c r="T33" i="12"/>
  <c r="T8" i="1"/>
  <c r="B7" i="15" s="1"/>
  <c r="W8" i="1"/>
  <c r="B7" i="12" s="1"/>
  <c r="T98" i="1"/>
  <c r="B97" i="15" s="1"/>
  <c r="W98" i="1"/>
  <c r="T61" i="8"/>
  <c r="E60" i="15" s="1"/>
  <c r="W61" i="8"/>
  <c r="E60" i="12" s="1"/>
  <c r="W34" i="2"/>
  <c r="H33" i="12" s="1"/>
  <c r="T34" i="2"/>
  <c r="H33" i="15" s="1"/>
  <c r="H59" i="5"/>
  <c r="N59" i="12"/>
  <c r="W63" i="10"/>
  <c r="Q62" i="12" s="1"/>
  <c r="T63" i="10"/>
  <c r="Q62" i="15" s="1"/>
  <c r="T15" i="15"/>
  <c r="T15" i="12"/>
  <c r="T75" i="15"/>
  <c r="T75" i="12"/>
  <c r="W49" i="11"/>
  <c r="W48" i="12" s="1"/>
  <c r="T49" i="11"/>
  <c r="W48" i="15" s="1"/>
  <c r="T37" i="9"/>
  <c r="K36" i="15" s="1"/>
  <c r="U28" i="1"/>
  <c r="C27" i="15" s="1"/>
  <c r="X28" i="1"/>
  <c r="C27" i="12" s="1"/>
  <c r="U88" i="1"/>
  <c r="X88" i="1"/>
  <c r="C87" i="12" s="1"/>
  <c r="X31" i="8"/>
  <c r="U31" i="8"/>
  <c r="F30" i="15" s="1"/>
  <c r="X91" i="8"/>
  <c r="U91" i="8"/>
  <c r="F90" i="15" s="1"/>
  <c r="X54" i="2"/>
  <c r="U54" i="2"/>
  <c r="I53" i="15" s="1"/>
  <c r="X27" i="9"/>
  <c r="L26" i="12" s="1"/>
  <c r="U27" i="9"/>
  <c r="L26" i="15" s="1"/>
  <c r="U45" i="12"/>
  <c r="U45" i="15"/>
  <c r="X9" i="11"/>
  <c r="U9" i="11"/>
  <c r="X8" i="15" s="1"/>
  <c r="X79" i="11"/>
  <c r="X78" i="12" s="1"/>
  <c r="U79" i="11"/>
  <c r="X78" i="15" s="1"/>
  <c r="U53" i="10"/>
  <c r="R52" i="15" s="1"/>
  <c r="T67" i="9"/>
  <c r="K66" i="15" s="1"/>
  <c r="X10" i="1"/>
  <c r="C9" i="12" s="1"/>
  <c r="U10" i="1"/>
  <c r="C9" i="15" s="1"/>
  <c r="X30" i="1"/>
  <c r="C29" i="12" s="1"/>
  <c r="U30" i="1"/>
  <c r="X50" i="1"/>
  <c r="U50" i="1"/>
  <c r="C49" i="15" s="1"/>
  <c r="X70" i="1"/>
  <c r="U70" i="1"/>
  <c r="X90" i="1"/>
  <c r="C89" i="12" s="1"/>
  <c r="U90" i="1"/>
  <c r="X63" i="8"/>
  <c r="F62" i="12" s="1"/>
  <c r="U63" i="8"/>
  <c r="F62" i="15" s="1"/>
  <c r="X14" i="8"/>
  <c r="X61" i="8"/>
  <c r="W29" i="9"/>
  <c r="T87" i="9"/>
  <c r="K86" i="15" s="1"/>
  <c r="T12" i="10"/>
  <c r="Q11" i="15" s="1"/>
  <c r="T73" i="10"/>
  <c r="Q72" i="15" s="1"/>
  <c r="U103" i="10"/>
  <c r="R102" i="15" s="1"/>
  <c r="W11" i="11"/>
  <c r="W10" i="12" s="1"/>
  <c r="X22" i="11"/>
  <c r="X21" i="12" s="1"/>
  <c r="U88" i="11"/>
  <c r="X87" i="15" s="1"/>
  <c r="W96" i="1"/>
  <c r="B95" i="12" s="1"/>
  <c r="T96" i="1"/>
  <c r="B95" i="15" s="1"/>
  <c r="T102" i="2"/>
  <c r="H101" i="15" s="1"/>
  <c r="W102" i="2"/>
  <c r="H101" i="12" s="1"/>
  <c r="W81" i="10"/>
  <c r="T81" i="10"/>
  <c r="Q80" i="15" s="1"/>
  <c r="T73" i="15"/>
  <c r="T73" i="12"/>
  <c r="T47" i="11"/>
  <c r="W46" i="15" s="1"/>
  <c r="T28" i="1"/>
  <c r="B27" i="15" s="1"/>
  <c r="W28" i="1"/>
  <c r="W88" i="1"/>
  <c r="T88" i="1"/>
  <c r="B87" i="15" s="1"/>
  <c r="W31" i="8"/>
  <c r="T31" i="8"/>
  <c r="E30" i="15" s="1"/>
  <c r="W64" i="2"/>
  <c r="H63" i="12" s="1"/>
  <c r="T64" i="2"/>
  <c r="H63" i="15" s="1"/>
  <c r="W27" i="9"/>
  <c r="T27" i="9"/>
  <c r="K26" i="15" s="1"/>
  <c r="H39" i="5"/>
  <c r="T35" i="15"/>
  <c r="T35" i="12"/>
  <c r="T95" i="15"/>
  <c r="T95" i="12"/>
  <c r="W59" i="11"/>
  <c r="W58" i="12" s="1"/>
  <c r="T59" i="11"/>
  <c r="W58" i="15" s="1"/>
  <c r="X99" i="8"/>
  <c r="U58" i="1"/>
  <c r="C57" i="15" s="1"/>
  <c r="X58" i="1"/>
  <c r="U24" i="2"/>
  <c r="I23" i="15" s="1"/>
  <c r="X24" i="2"/>
  <c r="U104" i="2"/>
  <c r="I103" i="15" s="1"/>
  <c r="X104" i="2"/>
  <c r="I103" i="12" s="1"/>
  <c r="O79" i="12"/>
  <c r="U55" i="15"/>
  <c r="U55" i="12"/>
  <c r="X29" i="11"/>
  <c r="X28" i="12" s="1"/>
  <c r="U29" i="11"/>
  <c r="X28" i="15" s="1"/>
  <c r="X109" i="11"/>
  <c r="X108" i="12" s="1"/>
  <c r="U109" i="11"/>
  <c r="X108" i="15" s="1"/>
  <c r="W101" i="8"/>
  <c r="E100" i="12" s="1"/>
  <c r="U31" i="1"/>
  <c r="C30" i="15" s="1"/>
  <c r="X31" i="1"/>
  <c r="C30" i="12" s="1"/>
  <c r="U51" i="1"/>
  <c r="C50" i="15" s="1"/>
  <c r="X51" i="1"/>
  <c r="U61" i="1"/>
  <c r="C60" i="15" s="1"/>
  <c r="X61" i="1"/>
  <c r="X71" i="1"/>
  <c r="U71" i="1"/>
  <c r="C70" i="15" s="1"/>
  <c r="X81" i="1"/>
  <c r="U81" i="1"/>
  <c r="C80" i="15" s="1"/>
  <c r="U91" i="1"/>
  <c r="C90" i="15" s="1"/>
  <c r="X91" i="1"/>
  <c r="C90" i="12" s="1"/>
  <c r="X101" i="1"/>
  <c r="C100" i="12" s="1"/>
  <c r="U101" i="1"/>
  <c r="C100" i="15" s="1"/>
  <c r="X84" i="8"/>
  <c r="F83" i="12" s="1"/>
  <c r="U84" i="8"/>
  <c r="F83" i="15" s="1"/>
  <c r="U104" i="8"/>
  <c r="F103" i="15" s="1"/>
  <c r="X104" i="8"/>
  <c r="F103" i="12" s="1"/>
  <c r="X7" i="2"/>
  <c r="U7" i="2"/>
  <c r="I6" i="15" s="1"/>
  <c r="X17" i="2"/>
  <c r="U17" i="2"/>
  <c r="I16" i="15" s="1"/>
  <c r="X27" i="2"/>
  <c r="I26" i="12" s="1"/>
  <c r="U27" i="2"/>
  <c r="I26" i="15" s="1"/>
  <c r="X37" i="2"/>
  <c r="U37" i="2"/>
  <c r="I36" i="15" s="1"/>
  <c r="X47" i="2"/>
  <c r="U47" i="2"/>
  <c r="I46" i="15" s="1"/>
  <c r="X57" i="2"/>
  <c r="U57" i="2"/>
  <c r="I56" i="15" s="1"/>
  <c r="U67" i="2"/>
  <c r="I66" i="15" s="1"/>
  <c r="X67" i="2"/>
  <c r="I66" i="12" s="1"/>
  <c r="X77" i="2"/>
  <c r="U77" i="2"/>
  <c r="I76" i="15" s="1"/>
  <c r="X87" i="2"/>
  <c r="I86" i="12" s="1"/>
  <c r="U87" i="2"/>
  <c r="I86" i="15" s="1"/>
  <c r="X97" i="2"/>
  <c r="I96" i="12" s="1"/>
  <c r="U97" i="2"/>
  <c r="I96" i="15" s="1"/>
  <c r="U107" i="2"/>
  <c r="I106" i="15" s="1"/>
  <c r="X107" i="2"/>
  <c r="I106" i="12" s="1"/>
  <c r="X20" i="9"/>
  <c r="L19" i="12" s="1"/>
  <c r="U20" i="9"/>
  <c r="L19" i="15" s="1"/>
  <c r="X70" i="9"/>
  <c r="L69" i="12" s="1"/>
  <c r="U70" i="9"/>
  <c r="L69" i="15" s="1"/>
  <c r="X100" i="9"/>
  <c r="U100" i="9"/>
  <c r="L99" i="15" s="1"/>
  <c r="O22" i="12"/>
  <c r="I82" i="5"/>
  <c r="O82" i="12"/>
  <c r="O92" i="12"/>
  <c r="X6" i="10"/>
  <c r="R5" i="12" s="1"/>
  <c r="U6" i="10"/>
  <c r="R5" i="15" s="1"/>
  <c r="X16" i="10"/>
  <c r="R15" i="12" s="1"/>
  <c r="U16" i="10"/>
  <c r="R15" i="15" s="1"/>
  <c r="X26" i="10"/>
  <c r="R25" i="12" s="1"/>
  <c r="U26" i="10"/>
  <c r="R25" i="15" s="1"/>
  <c r="X36" i="10"/>
  <c r="U36" i="10"/>
  <c r="R35" i="15" s="1"/>
  <c r="X46" i="10"/>
  <c r="U46" i="10"/>
  <c r="R45" i="15" s="1"/>
  <c r="X56" i="10"/>
  <c r="U56" i="10"/>
  <c r="R55" i="15" s="1"/>
  <c r="X66" i="10"/>
  <c r="R65" i="12" s="1"/>
  <c r="U66" i="10"/>
  <c r="R65" i="15" s="1"/>
  <c r="X76" i="10"/>
  <c r="R75" i="12" s="1"/>
  <c r="U76" i="10"/>
  <c r="R75" i="15" s="1"/>
  <c r="X86" i="10"/>
  <c r="R85" i="12" s="1"/>
  <c r="U86" i="10"/>
  <c r="R85" i="15" s="1"/>
  <c r="X96" i="10"/>
  <c r="R95" i="12" s="1"/>
  <c r="U96" i="10"/>
  <c r="R95" i="15" s="1"/>
  <c r="X106" i="10"/>
  <c r="U106" i="10"/>
  <c r="R105" i="15" s="1"/>
  <c r="U8" i="12"/>
  <c r="U8" i="15"/>
  <c r="U18" i="15"/>
  <c r="U18" i="12"/>
  <c r="U28" i="12"/>
  <c r="U28" i="15"/>
  <c r="U38" i="15"/>
  <c r="U38" i="12"/>
  <c r="U48" i="12"/>
  <c r="U48" i="15"/>
  <c r="U58" i="15"/>
  <c r="U58" i="12"/>
  <c r="U68" i="12"/>
  <c r="U68" i="15"/>
  <c r="U78" i="15"/>
  <c r="U78" i="12"/>
  <c r="U88" i="12"/>
  <c r="U88" i="15"/>
  <c r="U98" i="15"/>
  <c r="U98" i="12"/>
  <c r="U108" i="12"/>
  <c r="U108" i="15"/>
  <c r="X32" i="11"/>
  <c r="X31" i="12" s="1"/>
  <c r="U32" i="11"/>
  <c r="X31" i="15" s="1"/>
  <c r="U72" i="11"/>
  <c r="X71" i="15" s="1"/>
  <c r="X72" i="11"/>
  <c r="X82" i="11"/>
  <c r="U82" i="11"/>
  <c r="X81" i="15" s="1"/>
  <c r="U74" i="8"/>
  <c r="F73" i="15" s="1"/>
  <c r="T103" i="8"/>
  <c r="E102" i="15" s="1"/>
  <c r="X29" i="9"/>
  <c r="U87" i="9"/>
  <c r="L86" i="15" s="1"/>
  <c r="U42" i="11"/>
  <c r="X41" i="15" s="1"/>
  <c r="T71" i="11"/>
  <c r="W70" i="15" s="1"/>
  <c r="W16" i="1"/>
  <c r="B15" i="12" s="1"/>
  <c r="T16" i="1"/>
  <c r="B15" i="15" s="1"/>
  <c r="W9" i="8"/>
  <c r="E8" i="12" s="1"/>
  <c r="T9" i="8"/>
  <c r="E8" i="15" s="1"/>
  <c r="W12" i="2"/>
  <c r="T12" i="2"/>
  <c r="H11" i="15" s="1"/>
  <c r="T13" i="15"/>
  <c r="T13" i="12"/>
  <c r="T18" i="1"/>
  <c r="B17" i="15" s="1"/>
  <c r="W18" i="1"/>
  <c r="T78" i="1"/>
  <c r="B77" i="15" s="1"/>
  <c r="W78" i="1"/>
  <c r="W21" i="8"/>
  <c r="T21" i="8"/>
  <c r="E20" i="15" s="1"/>
  <c r="T71" i="8"/>
  <c r="E70" i="15" s="1"/>
  <c r="W71" i="8"/>
  <c r="E70" i="12" s="1"/>
  <c r="W24" i="2"/>
  <c r="H23" i="12" s="1"/>
  <c r="T24" i="2"/>
  <c r="H23" i="15" s="1"/>
  <c r="W94" i="2"/>
  <c r="T94" i="2"/>
  <c r="H93" i="15" s="1"/>
  <c r="H79" i="5"/>
  <c r="F4" i="13" s="1"/>
  <c r="N79" i="12"/>
  <c r="T23" i="10"/>
  <c r="Q22" i="15" s="1"/>
  <c r="W23" i="10"/>
  <c r="Q22" i="12" s="1"/>
  <c r="T25" i="15"/>
  <c r="T25" i="12"/>
  <c r="T85" i="15"/>
  <c r="T85" i="12"/>
  <c r="W29" i="11"/>
  <c r="W28" i="12" s="1"/>
  <c r="T29" i="11"/>
  <c r="W28" i="15" s="1"/>
  <c r="W79" i="11"/>
  <c r="W78" i="12" s="1"/>
  <c r="T79" i="11"/>
  <c r="W78" i="15" s="1"/>
  <c r="U8" i="1"/>
  <c r="X8" i="1"/>
  <c r="C7" i="12" s="1"/>
  <c r="U68" i="1"/>
  <c r="C67" i="15" s="1"/>
  <c r="X68" i="1"/>
  <c r="U44" i="2"/>
  <c r="I43" i="15" s="1"/>
  <c r="X44" i="2"/>
  <c r="U84" i="2"/>
  <c r="I83" i="15" s="1"/>
  <c r="X84" i="2"/>
  <c r="U47" i="9"/>
  <c r="L46" i="15" s="1"/>
  <c r="X47" i="9"/>
  <c r="L46" i="12" s="1"/>
  <c r="X77" i="9"/>
  <c r="U77" i="9"/>
  <c r="L76" i="15" s="1"/>
  <c r="O39" i="12"/>
  <c r="O89" i="12"/>
  <c r="U15" i="15"/>
  <c r="U15" i="12"/>
  <c r="U85" i="12"/>
  <c r="X39" i="11"/>
  <c r="X38" i="12" s="1"/>
  <c r="U39" i="11"/>
  <c r="X38" i="15" s="1"/>
  <c r="X99" i="11"/>
  <c r="X98" i="12" s="1"/>
  <c r="U99" i="11"/>
  <c r="X98" i="15" s="1"/>
  <c r="T83" i="10"/>
  <c r="Q82" i="15" s="1"/>
  <c r="X83" i="10"/>
  <c r="U11" i="1"/>
  <c r="C10" i="15" s="1"/>
  <c r="X11" i="1"/>
  <c r="U21" i="1"/>
  <c r="C20" i="15" s="1"/>
  <c r="X21" i="1"/>
  <c r="U41" i="1"/>
  <c r="C40" i="15" s="1"/>
  <c r="X41" i="1"/>
  <c r="C40" i="12" s="1"/>
  <c r="T12" i="1"/>
  <c r="B11" i="15" s="1"/>
  <c r="W12" i="1"/>
  <c r="B11" i="12" s="1"/>
  <c r="T22" i="1"/>
  <c r="B21" i="15" s="1"/>
  <c r="W22" i="1"/>
  <c r="T32" i="1"/>
  <c r="B31" i="15" s="1"/>
  <c r="W32" i="1"/>
  <c r="B31" i="12" s="1"/>
  <c r="T42" i="1"/>
  <c r="B41" i="15" s="1"/>
  <c r="W42" i="1"/>
  <c r="T52" i="1"/>
  <c r="B51" i="15" s="1"/>
  <c r="W52" i="1"/>
  <c r="B51" i="12" s="1"/>
  <c r="T62" i="1"/>
  <c r="B61" i="15" s="1"/>
  <c r="W62" i="1"/>
  <c r="T72" i="1"/>
  <c r="B71" i="15" s="1"/>
  <c r="W72" i="1"/>
  <c r="T82" i="1"/>
  <c r="B81" i="15" s="1"/>
  <c r="W82" i="1"/>
  <c r="T92" i="1"/>
  <c r="B91" i="15" s="1"/>
  <c r="W92" i="1"/>
  <c r="T102" i="1"/>
  <c r="B101" i="15" s="1"/>
  <c r="W102" i="1"/>
  <c r="B101" i="12" s="1"/>
  <c r="W5" i="8"/>
  <c r="E4" i="12" s="1"/>
  <c r="T5" i="8"/>
  <c r="E4" i="15" s="1"/>
  <c r="T15" i="8"/>
  <c r="E14" i="15" s="1"/>
  <c r="W15" i="8"/>
  <c r="E14" i="12" s="1"/>
  <c r="T25" i="8"/>
  <c r="E24" i="15" s="1"/>
  <c r="W25" i="8"/>
  <c r="E24" i="12" s="1"/>
  <c r="T35" i="8"/>
  <c r="E34" i="15" s="1"/>
  <c r="W35" i="8"/>
  <c r="E34" i="12" s="1"/>
  <c r="W45" i="8"/>
  <c r="E44" i="12" s="1"/>
  <c r="T45" i="8"/>
  <c r="E44" i="15" s="1"/>
  <c r="W55" i="8"/>
  <c r="E54" i="12" s="1"/>
  <c r="T55" i="8"/>
  <c r="E54" i="15" s="1"/>
  <c r="W65" i="8"/>
  <c r="E64" i="12" s="1"/>
  <c r="T65" i="8"/>
  <c r="E64" i="15" s="1"/>
  <c r="W75" i="8"/>
  <c r="T75" i="8"/>
  <c r="E74" i="15" s="1"/>
  <c r="W85" i="8"/>
  <c r="T85" i="8"/>
  <c r="E84" i="15" s="1"/>
  <c r="W95" i="8"/>
  <c r="T95" i="8"/>
  <c r="E94" i="15" s="1"/>
  <c r="W105" i="8"/>
  <c r="E104" i="12" s="1"/>
  <c r="T105" i="8"/>
  <c r="E104" i="15" s="1"/>
  <c r="W8" i="2"/>
  <c r="H7" i="12" s="1"/>
  <c r="T8" i="2"/>
  <c r="H7" i="15" s="1"/>
  <c r="T18" i="2"/>
  <c r="H17" i="15" s="1"/>
  <c r="W18" i="2"/>
  <c r="H17" i="12" s="1"/>
  <c r="W28" i="2"/>
  <c r="H27" i="12" s="1"/>
  <c r="T28" i="2"/>
  <c r="H27" i="15" s="1"/>
  <c r="T38" i="2"/>
  <c r="H37" i="15" s="1"/>
  <c r="W38" i="2"/>
  <c r="H37" i="12" s="1"/>
  <c r="W48" i="2"/>
  <c r="H47" i="12" s="1"/>
  <c r="T48" i="2"/>
  <c r="H47" i="15" s="1"/>
  <c r="T58" i="2"/>
  <c r="H57" i="15" s="1"/>
  <c r="W58" i="2"/>
  <c r="W68" i="2"/>
  <c r="T68" i="2"/>
  <c r="H67" i="15" s="1"/>
  <c r="T78" i="2"/>
  <c r="H77" i="15" s="1"/>
  <c r="W78" i="2"/>
  <c r="W88" i="2"/>
  <c r="T88" i="2"/>
  <c r="H87" i="15" s="1"/>
  <c r="T98" i="2"/>
  <c r="H97" i="15" s="1"/>
  <c r="W98" i="2"/>
  <c r="W108" i="2"/>
  <c r="H107" i="12" s="1"/>
  <c r="T108" i="2"/>
  <c r="H107" i="15" s="1"/>
  <c r="W11" i="9"/>
  <c r="K10" i="12" s="1"/>
  <c r="T11" i="9"/>
  <c r="K10" i="15" s="1"/>
  <c r="W41" i="9"/>
  <c r="K40" i="12" s="1"/>
  <c r="T41" i="9"/>
  <c r="K40" i="15" s="1"/>
  <c r="W61" i="9"/>
  <c r="K60" i="12" s="1"/>
  <c r="T61" i="9"/>
  <c r="K60" i="15" s="1"/>
  <c r="W101" i="9"/>
  <c r="K100" i="12" s="1"/>
  <c r="T101" i="9"/>
  <c r="K100" i="15" s="1"/>
  <c r="N23" i="12"/>
  <c r="N43" i="12"/>
  <c r="N53" i="12"/>
  <c r="W17" i="10"/>
  <c r="Q16" i="12" s="1"/>
  <c r="T17" i="10"/>
  <c r="Q16" i="15" s="1"/>
  <c r="W47" i="10"/>
  <c r="T47" i="10"/>
  <c r="Q46" i="15" s="1"/>
  <c r="W87" i="10"/>
  <c r="Q86" i="12" s="1"/>
  <c r="T87" i="10"/>
  <c r="Q86" i="15" s="1"/>
  <c r="T9" i="15"/>
  <c r="T9" i="12"/>
  <c r="T19" i="12"/>
  <c r="T19" i="15"/>
  <c r="T29" i="15"/>
  <c r="T29" i="12"/>
  <c r="T39" i="12"/>
  <c r="T49" i="15"/>
  <c r="T49" i="12"/>
  <c r="T59" i="12"/>
  <c r="T59" i="15"/>
  <c r="T69" i="15"/>
  <c r="T69" i="12"/>
  <c r="T79" i="12"/>
  <c r="T89" i="15"/>
  <c r="T89" i="12"/>
  <c r="T99" i="12"/>
  <c r="T99" i="15"/>
  <c r="W13" i="11"/>
  <c r="W12" i="12" s="1"/>
  <c r="T13" i="11"/>
  <c r="W12" i="15" s="1"/>
  <c r="W23" i="11"/>
  <c r="T23" i="11"/>
  <c r="W22" i="15" s="1"/>
  <c r="W33" i="11"/>
  <c r="W32" i="12" s="1"/>
  <c r="T33" i="11"/>
  <c r="W32" i="15" s="1"/>
  <c r="W53" i="11"/>
  <c r="W52" i="12" s="1"/>
  <c r="T53" i="11"/>
  <c r="W52" i="15" s="1"/>
  <c r="W63" i="11"/>
  <c r="W62" i="12" s="1"/>
  <c r="T63" i="11"/>
  <c r="W62" i="15" s="1"/>
  <c r="W73" i="11"/>
  <c r="W72" i="12" s="1"/>
  <c r="T73" i="11"/>
  <c r="W72" i="15" s="1"/>
  <c r="W83" i="11"/>
  <c r="W82" i="12" s="1"/>
  <c r="T83" i="11"/>
  <c r="W82" i="15" s="1"/>
  <c r="W103" i="11"/>
  <c r="T103" i="11"/>
  <c r="W102" i="15" s="1"/>
  <c r="W89" i="8"/>
  <c r="W57" i="9"/>
  <c r="K56" i="12" s="1"/>
  <c r="T43" i="10"/>
  <c r="Q42" i="15" s="1"/>
  <c r="W9" i="1"/>
  <c r="B8" i="12" s="1"/>
  <c r="T9" i="1"/>
  <c r="B8" i="15" s="1"/>
  <c r="T19" i="1"/>
  <c r="B18" i="15" s="1"/>
  <c r="W19" i="1"/>
  <c r="W29" i="1"/>
  <c r="T29" i="1"/>
  <c r="B28" i="15" s="1"/>
  <c r="W39" i="1"/>
  <c r="T39" i="1"/>
  <c r="B38" i="15" s="1"/>
  <c r="T49" i="1"/>
  <c r="B48" i="15" s="1"/>
  <c r="W49" i="1"/>
  <c r="B48" i="12" s="1"/>
  <c r="W59" i="1"/>
  <c r="B58" i="12" s="1"/>
  <c r="T59" i="1"/>
  <c r="B58" i="15" s="1"/>
  <c r="W69" i="1"/>
  <c r="B68" i="12" s="1"/>
  <c r="T69" i="1"/>
  <c r="B68" i="15" s="1"/>
  <c r="T79" i="1"/>
  <c r="B78" i="15" s="1"/>
  <c r="W79" i="1"/>
  <c r="B78" i="12" s="1"/>
  <c r="W89" i="1"/>
  <c r="B88" i="12" s="1"/>
  <c r="T89" i="1"/>
  <c r="B88" i="15" s="1"/>
  <c r="T99" i="1"/>
  <c r="B98" i="15" s="1"/>
  <c r="W99" i="1"/>
  <c r="B98" i="12" s="1"/>
  <c r="T109" i="1"/>
  <c r="B108" i="15" s="1"/>
  <c r="W109" i="1"/>
  <c r="B108" i="12" s="1"/>
  <c r="T5" i="2"/>
  <c r="H4" i="15" s="1"/>
  <c r="W5" i="2"/>
  <c r="W15" i="2"/>
  <c r="T15" i="2"/>
  <c r="H14" i="15" s="1"/>
  <c r="T25" i="2"/>
  <c r="H24" i="15" s="1"/>
  <c r="W25" i="2"/>
  <c r="W35" i="2"/>
  <c r="H34" i="12" s="1"/>
  <c r="T35" i="2"/>
  <c r="T45" i="2"/>
  <c r="H44" i="15" s="1"/>
  <c r="W45" i="2"/>
  <c r="H44" i="12" s="1"/>
  <c r="W55" i="2"/>
  <c r="H54" i="12" s="1"/>
  <c r="T55" i="2"/>
  <c r="H54" i="15" s="1"/>
  <c r="T65" i="2"/>
  <c r="H64" i="15" s="1"/>
  <c r="W65" i="2"/>
  <c r="H64" i="12" s="1"/>
  <c r="W75" i="2"/>
  <c r="T75" i="2"/>
  <c r="T85" i="2"/>
  <c r="H84" i="15" s="1"/>
  <c r="W85" i="2"/>
  <c r="H84" i="12" s="1"/>
  <c r="W95" i="2"/>
  <c r="H94" i="12" s="1"/>
  <c r="T95" i="2"/>
  <c r="T105" i="2"/>
  <c r="H104" i="15" s="1"/>
  <c r="W105" i="2"/>
  <c r="W8" i="9"/>
  <c r="T8" i="9"/>
  <c r="K7" i="15" s="1"/>
  <c r="W18" i="9"/>
  <c r="T18" i="9"/>
  <c r="K17" i="15" s="1"/>
  <c r="W28" i="9"/>
  <c r="K27" i="12" s="1"/>
  <c r="T28" i="9"/>
  <c r="K27" i="15" s="1"/>
  <c r="W38" i="9"/>
  <c r="K37" i="12" s="1"/>
  <c r="T38" i="9"/>
  <c r="K37" i="15" s="1"/>
  <c r="W48" i="9"/>
  <c r="T48" i="9"/>
  <c r="K47" i="15" s="1"/>
  <c r="W58" i="9"/>
  <c r="T58" i="9"/>
  <c r="K57" i="15" s="1"/>
  <c r="W68" i="9"/>
  <c r="K67" i="12" s="1"/>
  <c r="T68" i="9"/>
  <c r="K67" i="15" s="1"/>
  <c r="W78" i="9"/>
  <c r="K77" i="12" s="1"/>
  <c r="T78" i="9"/>
  <c r="K77" i="15" s="1"/>
  <c r="W88" i="9"/>
  <c r="K87" i="12" s="1"/>
  <c r="T88" i="9"/>
  <c r="K87" i="15" s="1"/>
  <c r="W98" i="9"/>
  <c r="K97" i="12" s="1"/>
  <c r="T98" i="9"/>
  <c r="K97" i="15" s="1"/>
  <c r="W108" i="9"/>
  <c r="T108" i="9"/>
  <c r="K107" i="15" s="1"/>
  <c r="N30" i="12"/>
  <c r="N40" i="12"/>
  <c r="N100" i="12"/>
  <c r="T6" i="15"/>
  <c r="T6" i="12"/>
  <c r="T16" i="15"/>
  <c r="T16" i="12"/>
  <c r="T26" i="15"/>
  <c r="T26" i="12"/>
  <c r="T36" i="15"/>
  <c r="T36" i="12"/>
  <c r="T46" i="15"/>
  <c r="T46" i="12"/>
  <c r="T56" i="15"/>
  <c r="T56" i="12"/>
  <c r="T66" i="15"/>
  <c r="T66" i="12"/>
  <c r="T76" i="15"/>
  <c r="T76" i="12"/>
  <c r="T86" i="15"/>
  <c r="T86" i="12"/>
  <c r="T96" i="15"/>
  <c r="T96" i="12"/>
  <c r="T106" i="15"/>
  <c r="T106" i="12"/>
  <c r="W24" i="9"/>
  <c r="W74" i="9"/>
  <c r="K73" i="12" s="1"/>
  <c r="U81" i="9"/>
  <c r="L80" i="15" s="1"/>
  <c r="T20" i="10"/>
  <c r="Q19" i="15" s="1"/>
  <c r="T74" i="10"/>
  <c r="Q73" i="15" s="1"/>
  <c r="U7" i="12"/>
  <c r="U7" i="15"/>
  <c r="U17" i="15"/>
  <c r="U17" i="12"/>
  <c r="U27" i="12"/>
  <c r="U27" i="15"/>
  <c r="U37" i="15"/>
  <c r="U37" i="12"/>
  <c r="U47" i="12"/>
  <c r="U47" i="15"/>
  <c r="U57" i="15"/>
  <c r="U57" i="12"/>
  <c r="U67" i="12"/>
  <c r="U67" i="15"/>
  <c r="U77" i="15"/>
  <c r="U77" i="12"/>
  <c r="U87" i="12"/>
  <c r="U87" i="15"/>
  <c r="U97" i="15"/>
  <c r="U97" i="12"/>
  <c r="U107" i="12"/>
  <c r="U107" i="15"/>
  <c r="U71" i="11"/>
  <c r="X70" i="15" s="1"/>
  <c r="T11" i="1"/>
  <c r="B10" i="15" s="1"/>
  <c r="W11" i="1"/>
  <c r="T21" i="1"/>
  <c r="B20" i="15" s="1"/>
  <c r="W21" i="1"/>
  <c r="W31" i="1"/>
  <c r="B30" i="12" s="1"/>
  <c r="T31" i="1"/>
  <c r="B30" i="15" s="1"/>
  <c r="T41" i="1"/>
  <c r="B40" i="15" s="1"/>
  <c r="W41" i="1"/>
  <c r="T51" i="1"/>
  <c r="B50" i="15" s="1"/>
  <c r="W51" i="1"/>
  <c r="T61" i="1"/>
  <c r="B60" i="15" s="1"/>
  <c r="W61" i="1"/>
  <c r="B60" i="12" s="1"/>
  <c r="W71" i="1"/>
  <c r="B70" i="12" s="1"/>
  <c r="T71" i="1"/>
  <c r="B70" i="15" s="1"/>
  <c r="T81" i="1"/>
  <c r="B80" i="15" s="1"/>
  <c r="W81" i="1"/>
  <c r="B80" i="12" s="1"/>
  <c r="W91" i="1"/>
  <c r="B90" i="12" s="1"/>
  <c r="T91" i="1"/>
  <c r="B90" i="15" s="1"/>
  <c r="T101" i="1"/>
  <c r="B100" i="15" s="1"/>
  <c r="W101" i="1"/>
  <c r="B100" i="12" s="1"/>
  <c r="T7" i="2"/>
  <c r="H6" i="15" s="1"/>
  <c r="W7" i="2"/>
  <c r="W17" i="2"/>
  <c r="T17" i="2"/>
  <c r="H16" i="15" s="1"/>
  <c r="T27" i="2"/>
  <c r="H26" i="15" s="1"/>
  <c r="W27" i="2"/>
  <c r="W37" i="2"/>
  <c r="H36" i="12" s="1"/>
  <c r="T37" i="2"/>
  <c r="H36" i="15" s="1"/>
  <c r="T47" i="2"/>
  <c r="H46" i="15" s="1"/>
  <c r="W47" i="2"/>
  <c r="W57" i="2"/>
  <c r="H56" i="12" s="1"/>
  <c r="T57" i="2"/>
  <c r="H56" i="15" s="1"/>
  <c r="T67" i="2"/>
  <c r="H66" i="15" s="1"/>
  <c r="W67" i="2"/>
  <c r="H66" i="12" s="1"/>
  <c r="W77" i="2"/>
  <c r="H76" i="12" s="1"/>
  <c r="T77" i="2"/>
  <c r="H76" i="15" s="1"/>
  <c r="T87" i="2"/>
  <c r="H86" i="15" s="1"/>
  <c r="W87" i="2"/>
  <c r="W97" i="2"/>
  <c r="H96" i="12" s="1"/>
  <c r="T97" i="2"/>
  <c r="H96" i="15" s="1"/>
  <c r="T107" i="2"/>
  <c r="H106" i="15" s="1"/>
  <c r="W107" i="2"/>
  <c r="N52" i="12"/>
  <c r="N82" i="12"/>
  <c r="N102" i="12"/>
  <c r="W6" i="10"/>
  <c r="T6" i="10"/>
  <c r="Q5" i="15" s="1"/>
  <c r="W16" i="10"/>
  <c r="T16" i="10"/>
  <c r="Q15" i="15" s="1"/>
  <c r="W26" i="10"/>
  <c r="Q25" i="12" s="1"/>
  <c r="T26" i="10"/>
  <c r="Q25" i="15" s="1"/>
  <c r="W36" i="10"/>
  <c r="T36" i="10"/>
  <c r="Q35" i="15" s="1"/>
  <c r="W46" i="10"/>
  <c r="Q45" i="12" s="1"/>
  <c r="T46" i="10"/>
  <c r="Q45" i="15" s="1"/>
  <c r="W56" i="10"/>
  <c r="T56" i="10"/>
  <c r="Q55" i="15" s="1"/>
  <c r="W66" i="10"/>
  <c r="Q65" i="12" s="1"/>
  <c r="T66" i="10"/>
  <c r="Q65" i="15" s="1"/>
  <c r="W76" i="10"/>
  <c r="Q75" i="12" s="1"/>
  <c r="T76" i="10"/>
  <c r="Q75" i="15" s="1"/>
  <c r="W86" i="10"/>
  <c r="T86" i="10"/>
  <c r="Q85" i="15" s="1"/>
  <c r="W96" i="10"/>
  <c r="T96" i="10"/>
  <c r="Q95" i="15" s="1"/>
  <c r="W106" i="10"/>
  <c r="T106" i="10"/>
  <c r="Q105" i="15" s="1"/>
  <c r="T8" i="12"/>
  <c r="T8" i="15"/>
  <c r="T18" i="12"/>
  <c r="T18" i="15"/>
  <c r="T28" i="12"/>
  <c r="T28" i="15"/>
  <c r="T38" i="12"/>
  <c r="T38" i="15"/>
  <c r="T48" i="12"/>
  <c r="T48" i="15"/>
  <c r="T58" i="12"/>
  <c r="T58" i="15"/>
  <c r="T68" i="12"/>
  <c r="T68" i="15"/>
  <c r="T78" i="12"/>
  <c r="T78" i="15"/>
  <c r="T88" i="12"/>
  <c r="T88" i="15"/>
  <c r="T98" i="12"/>
  <c r="T98" i="15"/>
  <c r="T108" i="12"/>
  <c r="T108" i="15"/>
  <c r="W4" i="9"/>
  <c r="K3" i="12" s="1"/>
  <c r="W54" i="9"/>
  <c r="K53" i="12" s="1"/>
  <c r="T14" i="10"/>
  <c r="Q13" i="15" s="1"/>
  <c r="T60" i="10"/>
  <c r="Q59" i="15" s="1"/>
  <c r="U75" i="10"/>
  <c r="R74" i="15" s="1"/>
  <c r="X75" i="8"/>
  <c r="F74" i="12" s="1"/>
  <c r="U75" i="8"/>
  <c r="F74" i="15" s="1"/>
  <c r="U8" i="2"/>
  <c r="I7" i="15" s="1"/>
  <c r="X8" i="2"/>
  <c r="I7" i="12" s="1"/>
  <c r="U28" i="2"/>
  <c r="I27" i="15" s="1"/>
  <c r="X28" i="2"/>
  <c r="I27" i="12" s="1"/>
  <c r="U68" i="2"/>
  <c r="I67" i="15" s="1"/>
  <c r="X68" i="2"/>
  <c r="U88" i="2"/>
  <c r="I87" i="15" s="1"/>
  <c r="X88" i="2"/>
  <c r="X98" i="2"/>
  <c r="I97" i="12" s="1"/>
  <c r="U98" i="2"/>
  <c r="I97" i="15" s="1"/>
  <c r="U108" i="2"/>
  <c r="I107" i="15" s="1"/>
  <c r="X108" i="2"/>
  <c r="I107" i="12" s="1"/>
  <c r="O3" i="12"/>
  <c r="O23" i="12"/>
  <c r="O33" i="12"/>
  <c r="O53" i="12"/>
  <c r="O63" i="12"/>
  <c r="O73" i="12"/>
  <c r="O83" i="12"/>
  <c r="I83" i="5"/>
  <c r="O93" i="12"/>
  <c r="U9" i="12"/>
  <c r="U9" i="15"/>
  <c r="U19" i="15"/>
  <c r="U19" i="12"/>
  <c r="U29" i="12"/>
  <c r="U29" i="15"/>
  <c r="U39" i="15"/>
  <c r="U39" i="12"/>
  <c r="U49" i="12"/>
  <c r="U49" i="15"/>
  <c r="U59" i="15"/>
  <c r="U59" i="12"/>
  <c r="U69" i="12"/>
  <c r="U69" i="15"/>
  <c r="U79" i="15"/>
  <c r="U79" i="12"/>
  <c r="U89" i="12"/>
  <c r="U89" i="15"/>
  <c r="U99" i="15"/>
  <c r="U99" i="12"/>
  <c r="U15" i="8"/>
  <c r="F14" i="15" s="1"/>
  <c r="T12" i="9"/>
  <c r="K11" i="15" s="1"/>
  <c r="U34" i="9"/>
  <c r="L33" i="15" s="1"/>
  <c r="T62" i="9"/>
  <c r="K61" i="15" s="1"/>
  <c r="T100" i="9"/>
  <c r="K99" i="15" s="1"/>
  <c r="T8" i="10"/>
  <c r="Q7" i="15" s="1"/>
  <c r="U30" i="10"/>
  <c r="R29" i="15" s="1"/>
  <c r="T69" i="10"/>
  <c r="Q68" i="15" s="1"/>
  <c r="T108" i="10"/>
  <c r="Q107" i="15" s="1"/>
  <c r="U23" i="11"/>
  <c r="X22" i="15" s="1"/>
  <c r="U81" i="11"/>
  <c r="X80" i="15" s="1"/>
  <c r="U106" i="11"/>
  <c r="X105" i="15" s="1"/>
  <c r="T79" i="2"/>
  <c r="H78" i="15" s="1"/>
  <c r="W79" i="2"/>
  <c r="H78" i="12" s="1"/>
  <c r="N54" i="12"/>
  <c r="N84" i="12"/>
  <c r="N94" i="12"/>
  <c r="T30" i="15"/>
  <c r="T30" i="12"/>
  <c r="T40" i="12"/>
  <c r="T50" i="15"/>
  <c r="T50" i="12"/>
  <c r="T60" i="12"/>
  <c r="T70" i="15"/>
  <c r="T70" i="12"/>
  <c r="T80" i="15"/>
  <c r="T80" i="12"/>
  <c r="T90" i="15"/>
  <c r="T90" i="12"/>
  <c r="T100" i="15"/>
  <c r="T100" i="12"/>
  <c r="W4" i="11"/>
  <c r="T4" i="11"/>
  <c r="W3" i="15" s="1"/>
  <c r="W14" i="11"/>
  <c r="W13" i="12" s="1"/>
  <c r="T14" i="11"/>
  <c r="W13" i="15" s="1"/>
  <c r="W24" i="11"/>
  <c r="W23" i="12" s="1"/>
  <c r="T24" i="11"/>
  <c r="W23" i="15" s="1"/>
  <c r="W34" i="11"/>
  <c r="T34" i="11"/>
  <c r="W33" i="15" s="1"/>
  <c r="W44" i="11"/>
  <c r="T44" i="11"/>
  <c r="W43" i="15" s="1"/>
  <c r="W54" i="11"/>
  <c r="W53" i="12" s="1"/>
  <c r="T54" i="11"/>
  <c r="W53" i="15" s="1"/>
  <c r="W64" i="11"/>
  <c r="W63" i="12" s="1"/>
  <c r="T64" i="11"/>
  <c r="W63" i="15" s="1"/>
  <c r="W74" i="11"/>
  <c r="W73" i="12" s="1"/>
  <c r="T74" i="11"/>
  <c r="W73" i="15" s="1"/>
  <c r="W84" i="11"/>
  <c r="T84" i="11"/>
  <c r="W83" i="15" s="1"/>
  <c r="W94" i="11"/>
  <c r="W93" i="12" s="1"/>
  <c r="T94" i="11"/>
  <c r="W93" i="15" s="1"/>
  <c r="W104" i="11"/>
  <c r="W103" i="12" s="1"/>
  <c r="T104" i="11"/>
  <c r="W103" i="15" s="1"/>
  <c r="T26" i="8"/>
  <c r="E25" i="15" s="1"/>
  <c r="U55" i="8"/>
  <c r="F54" i="15" s="1"/>
  <c r="T77" i="8"/>
  <c r="E76" i="15" s="1"/>
  <c r="T98" i="8"/>
  <c r="E97" i="15" s="1"/>
  <c r="U12" i="9"/>
  <c r="L11" i="15" s="1"/>
  <c r="T20" i="9"/>
  <c r="K19" i="15" s="1"/>
  <c r="W34" i="9"/>
  <c r="U62" i="9"/>
  <c r="L61" i="15" s="1"/>
  <c r="T70" i="9"/>
  <c r="K69" i="15" s="1"/>
  <c r="T92" i="9"/>
  <c r="K91" i="15" s="1"/>
  <c r="U8" i="10"/>
  <c r="R7" i="15" s="1"/>
  <c r="U47" i="10"/>
  <c r="R46" i="15" s="1"/>
  <c r="T54" i="10"/>
  <c r="Q53" i="15" s="1"/>
  <c r="U69" i="10"/>
  <c r="R68" i="15" s="1"/>
  <c r="T100" i="10"/>
  <c r="Q99" i="15" s="1"/>
  <c r="U108" i="10"/>
  <c r="R107" i="15" s="1"/>
  <c r="T25" i="11"/>
  <c r="W24" i="15" s="1"/>
  <c r="X31" i="11"/>
  <c r="U42" i="1"/>
  <c r="C41" i="15" s="1"/>
  <c r="X42" i="1"/>
  <c r="C41" i="12" s="1"/>
  <c r="X92" i="1"/>
  <c r="U92" i="1"/>
  <c r="X95" i="8"/>
  <c r="F94" i="12" s="1"/>
  <c r="U95" i="8"/>
  <c r="F94" i="15" s="1"/>
  <c r="U48" i="2"/>
  <c r="I47" i="15" s="1"/>
  <c r="X48" i="2"/>
  <c r="T23" i="1"/>
  <c r="B22" i="15" s="1"/>
  <c r="W23" i="1"/>
  <c r="T83" i="1"/>
  <c r="B82" i="15" s="1"/>
  <c r="W83" i="1"/>
  <c r="W9" i="2"/>
  <c r="H8" i="12" s="1"/>
  <c r="T9" i="2"/>
  <c r="H8" i="15" s="1"/>
  <c r="T20" i="15"/>
  <c r="T20" i="12"/>
  <c r="X13" i="1"/>
  <c r="C12" i="12" s="1"/>
  <c r="U13" i="1"/>
  <c r="C12" i="15" s="1"/>
  <c r="U23" i="1"/>
  <c r="C22" i="15" s="1"/>
  <c r="X23" i="1"/>
  <c r="C22" i="12" s="1"/>
  <c r="X33" i="1"/>
  <c r="C32" i="12" s="1"/>
  <c r="U33" i="1"/>
  <c r="U43" i="1"/>
  <c r="C42" i="15" s="1"/>
  <c r="X43" i="1"/>
  <c r="C42" i="12" s="1"/>
  <c r="X53" i="1"/>
  <c r="C52" i="12" s="1"/>
  <c r="U53" i="1"/>
  <c r="C52" i="15" s="1"/>
  <c r="U63" i="1"/>
  <c r="C62" i="15" s="1"/>
  <c r="X63" i="1"/>
  <c r="X73" i="1"/>
  <c r="C72" i="12" s="1"/>
  <c r="U73" i="1"/>
  <c r="C72" i="15" s="1"/>
  <c r="X83" i="1"/>
  <c r="U83" i="1"/>
  <c r="C82" i="15" s="1"/>
  <c r="X93" i="1"/>
  <c r="U93" i="1"/>
  <c r="C92" i="15" s="1"/>
  <c r="X103" i="1"/>
  <c r="C102" i="12" s="1"/>
  <c r="U103" i="1"/>
  <c r="C102" i="15" s="1"/>
  <c r="X9" i="2"/>
  <c r="I8" i="12" s="1"/>
  <c r="U9" i="2"/>
  <c r="I8" i="15" s="1"/>
  <c r="U19" i="2"/>
  <c r="I18" i="15" s="1"/>
  <c r="X19" i="2"/>
  <c r="I18" i="12" s="1"/>
  <c r="X29" i="2"/>
  <c r="I28" i="12" s="1"/>
  <c r="U29" i="2"/>
  <c r="I28" i="15" s="1"/>
  <c r="X39" i="2"/>
  <c r="I38" i="12" s="1"/>
  <c r="U39" i="2"/>
  <c r="I38" i="15" s="1"/>
  <c r="U49" i="2"/>
  <c r="I48" i="15" s="1"/>
  <c r="X49" i="2"/>
  <c r="U59" i="2"/>
  <c r="I58" i="15" s="1"/>
  <c r="X59" i="2"/>
  <c r="X69" i="2"/>
  <c r="U69" i="2"/>
  <c r="I68" i="15" s="1"/>
  <c r="X79" i="2"/>
  <c r="U79" i="2"/>
  <c r="I78" i="15" s="1"/>
  <c r="U89" i="2"/>
  <c r="I88" i="15" s="1"/>
  <c r="X89" i="2"/>
  <c r="I88" i="12" s="1"/>
  <c r="U99" i="2"/>
  <c r="I98" i="15" s="1"/>
  <c r="X99" i="2"/>
  <c r="I98" i="12" s="1"/>
  <c r="U109" i="2"/>
  <c r="I108" i="15" s="1"/>
  <c r="X109" i="2"/>
  <c r="I108" i="12" s="1"/>
  <c r="O24" i="12"/>
  <c r="O34" i="12"/>
  <c r="O54" i="12"/>
  <c r="O64" i="12"/>
  <c r="O74" i="12"/>
  <c r="U10" i="12"/>
  <c r="U20" i="15"/>
  <c r="U20" i="12"/>
  <c r="U30" i="12"/>
  <c r="U30" i="15"/>
  <c r="U40" i="15"/>
  <c r="U40" i="12"/>
  <c r="U50" i="12"/>
  <c r="U50" i="15"/>
  <c r="U60" i="15"/>
  <c r="U60" i="12"/>
  <c r="U70" i="12"/>
  <c r="U70" i="15"/>
  <c r="U80" i="15"/>
  <c r="U80" i="12"/>
  <c r="U90" i="12"/>
  <c r="U90" i="15"/>
  <c r="U100" i="15"/>
  <c r="U100" i="12"/>
  <c r="X4" i="11"/>
  <c r="U4" i="11"/>
  <c r="X3" i="15" s="1"/>
  <c r="X14" i="11"/>
  <c r="X13" i="12" s="1"/>
  <c r="U14" i="11"/>
  <c r="X13" i="15" s="1"/>
  <c r="X24" i="11"/>
  <c r="U24" i="11"/>
  <c r="X23" i="15" s="1"/>
  <c r="X34" i="11"/>
  <c r="X33" i="12" s="1"/>
  <c r="U34" i="11"/>
  <c r="X33" i="15" s="1"/>
  <c r="X44" i="11"/>
  <c r="X43" i="12" s="1"/>
  <c r="U44" i="11"/>
  <c r="X43" i="15" s="1"/>
  <c r="X54" i="11"/>
  <c r="U54" i="11"/>
  <c r="X53" i="15" s="1"/>
  <c r="X64" i="11"/>
  <c r="X63" i="12" s="1"/>
  <c r="U64" i="11"/>
  <c r="X63" i="15" s="1"/>
  <c r="X74" i="11"/>
  <c r="U74" i="11"/>
  <c r="X73" i="15" s="1"/>
  <c r="X84" i="11"/>
  <c r="X83" i="12" s="1"/>
  <c r="U84" i="11"/>
  <c r="X83" i="15" s="1"/>
  <c r="X94" i="11"/>
  <c r="U94" i="11"/>
  <c r="X93" i="15" s="1"/>
  <c r="X104" i="11"/>
  <c r="U104" i="11"/>
  <c r="X103" i="15" s="1"/>
  <c r="U5" i="8"/>
  <c r="F4" i="15" s="1"/>
  <c r="U26" i="8"/>
  <c r="F25" i="15" s="1"/>
  <c r="T37" i="8"/>
  <c r="E36" i="15" s="1"/>
  <c r="U56" i="8"/>
  <c r="F55" i="15" s="1"/>
  <c r="U77" i="8"/>
  <c r="F76" i="15" s="1"/>
  <c r="T84" i="8"/>
  <c r="E83" i="15" s="1"/>
  <c r="U98" i="8"/>
  <c r="F97" i="15" s="1"/>
  <c r="U106" i="8"/>
  <c r="F105" i="15" s="1"/>
  <c r="U41" i="9"/>
  <c r="L40" i="15" s="1"/>
  <c r="U92" i="9"/>
  <c r="L91" i="15" s="1"/>
  <c r="T39" i="10"/>
  <c r="Q38" i="15" s="1"/>
  <c r="T78" i="10"/>
  <c r="Q77" i="15" s="1"/>
  <c r="U100" i="10"/>
  <c r="R99" i="15" s="1"/>
  <c r="T10" i="11"/>
  <c r="W9" i="15" s="1"/>
  <c r="U25" i="11"/>
  <c r="X24" i="15" s="1"/>
  <c r="T32" i="11"/>
  <c r="W31" i="15" s="1"/>
  <c r="U73" i="11"/>
  <c r="X72" i="15" s="1"/>
  <c r="T82" i="11"/>
  <c r="W81" i="15" s="1"/>
  <c r="X12" i="1"/>
  <c r="C11" i="12" s="1"/>
  <c r="U12" i="1"/>
  <c r="C11" i="15" s="1"/>
  <c r="X32" i="1"/>
  <c r="C31" i="12" s="1"/>
  <c r="U32" i="1"/>
  <c r="X52" i="1"/>
  <c r="U52" i="1"/>
  <c r="C51" i="15" s="1"/>
  <c r="X72" i="1"/>
  <c r="C71" i="12" s="1"/>
  <c r="U72" i="1"/>
  <c r="C71" i="15" s="1"/>
  <c r="X102" i="1"/>
  <c r="C101" i="12" s="1"/>
  <c r="U102" i="1"/>
  <c r="C101" i="15" s="1"/>
  <c r="X65" i="8"/>
  <c r="U65" i="8"/>
  <c r="F64" i="15" s="1"/>
  <c r="X18" i="2"/>
  <c r="I17" i="12" s="1"/>
  <c r="U18" i="2"/>
  <c r="I17" i="15" s="1"/>
  <c r="W53" i="1"/>
  <c r="T53" i="1"/>
  <c r="B52" i="15" s="1"/>
  <c r="W29" i="2"/>
  <c r="T29" i="2"/>
  <c r="H28" i="15" s="1"/>
  <c r="W89" i="2"/>
  <c r="H88" i="12" s="1"/>
  <c r="T89" i="2"/>
  <c r="H88" i="15" s="1"/>
  <c r="N44" i="12"/>
  <c r="W14" i="1"/>
  <c r="B13" i="12" s="1"/>
  <c r="T14" i="1"/>
  <c r="B13" i="15" s="1"/>
  <c r="W44" i="1"/>
  <c r="T44" i="1"/>
  <c r="B43" i="15" s="1"/>
  <c r="W54" i="1"/>
  <c r="T54" i="1"/>
  <c r="B53" i="15" s="1"/>
  <c r="W64" i="1"/>
  <c r="B63" i="12" s="1"/>
  <c r="T64" i="1"/>
  <c r="B63" i="15" s="1"/>
  <c r="W74" i="1"/>
  <c r="B73" i="12" s="1"/>
  <c r="T74" i="1"/>
  <c r="B73" i="15" s="1"/>
  <c r="W84" i="1"/>
  <c r="B83" i="12" s="1"/>
  <c r="T84" i="1"/>
  <c r="B83" i="15" s="1"/>
  <c r="W94" i="1"/>
  <c r="T94" i="1"/>
  <c r="B93" i="15" s="1"/>
  <c r="W104" i="1"/>
  <c r="B103" i="12" s="1"/>
  <c r="T104" i="1"/>
  <c r="B103" i="15" s="1"/>
  <c r="W10" i="2"/>
  <c r="T10" i="2"/>
  <c r="H9" i="15" s="1"/>
  <c r="T20" i="2"/>
  <c r="H19" i="15" s="1"/>
  <c r="W20" i="2"/>
  <c r="H19" i="12" s="1"/>
  <c r="W30" i="2"/>
  <c r="H29" i="12" s="1"/>
  <c r="T30" i="2"/>
  <c r="H29" i="15" s="1"/>
  <c r="T40" i="2"/>
  <c r="H39" i="15" s="1"/>
  <c r="W40" i="2"/>
  <c r="W50" i="2"/>
  <c r="H49" i="12" s="1"/>
  <c r="T50" i="2"/>
  <c r="H49" i="15" s="1"/>
  <c r="T60" i="2"/>
  <c r="H59" i="15" s="1"/>
  <c r="W60" i="2"/>
  <c r="W70" i="2"/>
  <c r="H69" i="12" s="1"/>
  <c r="T70" i="2"/>
  <c r="H69" i="15" s="1"/>
  <c r="T80" i="2"/>
  <c r="H79" i="15" s="1"/>
  <c r="W80" i="2"/>
  <c r="H79" i="12" s="1"/>
  <c r="W90" i="2"/>
  <c r="T90" i="2"/>
  <c r="H89" i="15" s="1"/>
  <c r="T100" i="2"/>
  <c r="H99" i="15" s="1"/>
  <c r="W100" i="2"/>
  <c r="H99" i="12" s="1"/>
  <c r="T3" i="9"/>
  <c r="K2" i="15" s="1"/>
  <c r="W13" i="9"/>
  <c r="T13" i="9"/>
  <c r="K12" i="15" s="1"/>
  <c r="W23" i="9"/>
  <c r="K22" i="12" s="1"/>
  <c r="T23" i="9"/>
  <c r="K22" i="15" s="1"/>
  <c r="W33" i="9"/>
  <c r="K32" i="12" s="1"/>
  <c r="T33" i="9"/>
  <c r="K32" i="15" s="1"/>
  <c r="W43" i="9"/>
  <c r="T43" i="9"/>
  <c r="K42" i="15" s="1"/>
  <c r="W53" i="9"/>
  <c r="K52" i="12" s="1"/>
  <c r="T53" i="9"/>
  <c r="K52" i="15" s="1"/>
  <c r="W63" i="9"/>
  <c r="K62" i="12" s="1"/>
  <c r="T63" i="9"/>
  <c r="K62" i="15" s="1"/>
  <c r="W73" i="9"/>
  <c r="T73" i="9"/>
  <c r="K72" i="15" s="1"/>
  <c r="W83" i="9"/>
  <c r="T83" i="9"/>
  <c r="K82" i="15" s="1"/>
  <c r="W93" i="9"/>
  <c r="T93" i="9"/>
  <c r="K92" i="15" s="1"/>
  <c r="W103" i="9"/>
  <c r="T103" i="9"/>
  <c r="K102" i="15" s="1"/>
  <c r="N45" i="12"/>
  <c r="N55" i="12"/>
  <c r="N65" i="12"/>
  <c r="N85" i="12"/>
  <c r="N95" i="12"/>
  <c r="N105" i="12"/>
  <c r="T11" i="15"/>
  <c r="T11" i="12"/>
  <c r="T21" i="12"/>
  <c r="T21" i="15"/>
  <c r="T31" i="15"/>
  <c r="T31" i="12"/>
  <c r="T41" i="12"/>
  <c r="T51" i="15"/>
  <c r="T51" i="12"/>
  <c r="T61" i="12"/>
  <c r="T71" i="15"/>
  <c r="T71" i="12"/>
  <c r="T81" i="12"/>
  <c r="T81" i="15"/>
  <c r="T91" i="15"/>
  <c r="T91" i="12"/>
  <c r="T101" i="12"/>
  <c r="T101" i="15"/>
  <c r="T16" i="8"/>
  <c r="E15" i="15" s="1"/>
  <c r="U37" i="8"/>
  <c r="F36" i="15" s="1"/>
  <c r="W56" i="8"/>
  <c r="E55" i="12" s="1"/>
  <c r="T92" i="8"/>
  <c r="E91" i="15" s="1"/>
  <c r="W106" i="8"/>
  <c r="U17" i="10"/>
  <c r="R16" i="15" s="1"/>
  <c r="T24" i="10"/>
  <c r="Q23" i="15" s="1"/>
  <c r="U39" i="10"/>
  <c r="R38" i="15" s="1"/>
  <c r="T70" i="10"/>
  <c r="Q69" i="15" s="1"/>
  <c r="U78" i="10"/>
  <c r="R77" i="15" s="1"/>
  <c r="U85" i="10"/>
  <c r="R84" i="15" s="1"/>
  <c r="T50" i="11"/>
  <c r="W49" i="15" s="1"/>
  <c r="T66" i="11"/>
  <c r="W65" i="15" s="1"/>
  <c r="T75" i="11"/>
  <c r="W74" i="15" s="1"/>
  <c r="T100" i="11"/>
  <c r="W99" i="15" s="1"/>
  <c r="U62" i="1"/>
  <c r="X62" i="1"/>
  <c r="C61" i="12" s="1"/>
  <c r="X85" i="8"/>
  <c r="F84" i="12" s="1"/>
  <c r="U85" i="8"/>
  <c r="F84" i="15" s="1"/>
  <c r="X105" i="8"/>
  <c r="F104" i="12" s="1"/>
  <c r="U105" i="8"/>
  <c r="F104" i="15" s="1"/>
  <c r="X38" i="2"/>
  <c r="I37" i="12" s="1"/>
  <c r="U38" i="2"/>
  <c r="I37" i="15" s="1"/>
  <c r="W73" i="1"/>
  <c r="T73" i="1"/>
  <c r="B72" i="15" s="1"/>
  <c r="T59" i="2"/>
  <c r="H58" i="15" s="1"/>
  <c r="W59" i="2"/>
  <c r="T10" i="15"/>
  <c r="T10" i="12"/>
  <c r="W4" i="1"/>
  <c r="B3" i="12" s="1"/>
  <c r="T4" i="1"/>
  <c r="B3" i="15" s="1"/>
  <c r="W24" i="1"/>
  <c r="T24" i="1"/>
  <c r="B23" i="15" s="1"/>
  <c r="W34" i="1"/>
  <c r="B33" i="12" s="1"/>
  <c r="T34" i="1"/>
  <c r="B33" i="15" s="1"/>
  <c r="X4" i="1"/>
  <c r="C3" i="12" s="1"/>
  <c r="U4" i="1"/>
  <c r="C3" i="15" s="1"/>
  <c r="U14" i="1"/>
  <c r="C13" i="15" s="1"/>
  <c r="X14" i="1"/>
  <c r="C13" i="12" s="1"/>
  <c r="U24" i="1"/>
  <c r="C23" i="15" s="1"/>
  <c r="X24" i="1"/>
  <c r="C23" i="12" s="1"/>
  <c r="U34" i="1"/>
  <c r="C33" i="15" s="1"/>
  <c r="X34" i="1"/>
  <c r="U44" i="1"/>
  <c r="C43" i="15" s="1"/>
  <c r="X44" i="1"/>
  <c r="U54" i="1"/>
  <c r="C53" i="15" s="1"/>
  <c r="X54" i="1"/>
  <c r="C53" i="12" s="1"/>
  <c r="U64" i="1"/>
  <c r="X64" i="1"/>
  <c r="U74" i="1"/>
  <c r="C73" i="15" s="1"/>
  <c r="X74" i="1"/>
  <c r="X84" i="1"/>
  <c r="U84" i="1"/>
  <c r="C83" i="15" s="1"/>
  <c r="U94" i="1"/>
  <c r="C93" i="15" s="1"/>
  <c r="X94" i="1"/>
  <c r="C93" i="12" s="1"/>
  <c r="X104" i="1"/>
  <c r="C103" i="12" s="1"/>
  <c r="U104" i="1"/>
  <c r="X10" i="2"/>
  <c r="I9" i="12" s="1"/>
  <c r="U10" i="2"/>
  <c r="I9" i="15" s="1"/>
  <c r="X20" i="2"/>
  <c r="I19" i="12" s="1"/>
  <c r="U20" i="2"/>
  <c r="I19" i="15" s="1"/>
  <c r="X30" i="2"/>
  <c r="I29" i="12" s="1"/>
  <c r="U30" i="2"/>
  <c r="I29" i="15" s="1"/>
  <c r="X40" i="2"/>
  <c r="U40" i="2"/>
  <c r="I39" i="15" s="1"/>
  <c r="X50" i="2"/>
  <c r="U50" i="2"/>
  <c r="I49" i="15" s="1"/>
  <c r="X60" i="2"/>
  <c r="I59" i="12" s="1"/>
  <c r="U60" i="2"/>
  <c r="I59" i="15" s="1"/>
  <c r="X70" i="2"/>
  <c r="U70" i="2"/>
  <c r="I69" i="15" s="1"/>
  <c r="X80" i="2"/>
  <c r="U80" i="2"/>
  <c r="I79" i="15" s="1"/>
  <c r="X90" i="2"/>
  <c r="I89" i="12" s="1"/>
  <c r="U90" i="2"/>
  <c r="I89" i="15" s="1"/>
  <c r="X100" i="2"/>
  <c r="I99" i="12" s="1"/>
  <c r="U100" i="2"/>
  <c r="I99" i="15" s="1"/>
  <c r="X3" i="9"/>
  <c r="L2" i="12" s="1"/>
  <c r="U3" i="9"/>
  <c r="L2" i="15" s="1"/>
  <c r="X13" i="9"/>
  <c r="L12" i="12" s="1"/>
  <c r="U13" i="9"/>
  <c r="L12" i="15" s="1"/>
  <c r="X23" i="9"/>
  <c r="L22" i="12" s="1"/>
  <c r="U23" i="9"/>
  <c r="L22" i="15" s="1"/>
  <c r="X33" i="9"/>
  <c r="U33" i="9"/>
  <c r="L32" i="15" s="1"/>
  <c r="X43" i="9"/>
  <c r="L42" i="12" s="1"/>
  <c r="U43" i="9"/>
  <c r="L42" i="15" s="1"/>
  <c r="X53" i="9"/>
  <c r="U53" i="9"/>
  <c r="L52" i="15" s="1"/>
  <c r="X63" i="9"/>
  <c r="L62" i="12" s="1"/>
  <c r="U63" i="9"/>
  <c r="L62" i="15" s="1"/>
  <c r="X73" i="9"/>
  <c r="U73" i="9"/>
  <c r="L72" i="15" s="1"/>
  <c r="X83" i="9"/>
  <c r="L82" i="12" s="1"/>
  <c r="U83" i="9"/>
  <c r="L82" i="15" s="1"/>
  <c r="X93" i="9"/>
  <c r="L92" i="12" s="1"/>
  <c r="U93" i="9"/>
  <c r="L92" i="15" s="1"/>
  <c r="X103" i="9"/>
  <c r="L102" i="12" s="1"/>
  <c r="U103" i="9"/>
  <c r="L102" i="15" s="1"/>
  <c r="O5" i="12"/>
  <c r="O25" i="12"/>
  <c r="O35" i="12"/>
  <c r="O85" i="12"/>
  <c r="O95" i="12"/>
  <c r="O105" i="12"/>
  <c r="U11" i="15"/>
  <c r="U11" i="12"/>
  <c r="U21" i="12"/>
  <c r="U31" i="15"/>
  <c r="U31" i="12"/>
  <c r="U41" i="15"/>
  <c r="U41" i="12"/>
  <c r="U51" i="15"/>
  <c r="U51" i="12"/>
  <c r="U61" i="15"/>
  <c r="U61" i="12"/>
  <c r="U71" i="15"/>
  <c r="U71" i="12"/>
  <c r="U81" i="12"/>
  <c r="U91" i="15"/>
  <c r="U91" i="12"/>
  <c r="U101" i="12"/>
  <c r="U16" i="8"/>
  <c r="F15" i="15" s="1"/>
  <c r="T32" i="8"/>
  <c r="E31" i="15" s="1"/>
  <c r="U14" i="9"/>
  <c r="L13" i="15" s="1"/>
  <c r="T42" i="9"/>
  <c r="K41" i="15" s="1"/>
  <c r="U64" i="9"/>
  <c r="L63" i="15" s="1"/>
  <c r="U94" i="9"/>
  <c r="L93" i="15" s="1"/>
  <c r="T9" i="10"/>
  <c r="Q8" i="15" s="1"/>
  <c r="T48" i="10"/>
  <c r="Q47" i="15" s="1"/>
  <c r="U70" i="10"/>
  <c r="R69" i="15" s="1"/>
  <c r="T109" i="10"/>
  <c r="Q108" i="15" s="1"/>
  <c r="U41" i="11"/>
  <c r="X40" i="15" s="1"/>
  <c r="U66" i="11"/>
  <c r="X65" i="15" s="1"/>
  <c r="U75" i="11"/>
  <c r="X74" i="15" s="1"/>
  <c r="U91" i="11"/>
  <c r="X90" i="15" s="1"/>
  <c r="X82" i="1"/>
  <c r="C81" i="12" s="1"/>
  <c r="U82" i="1"/>
  <c r="X58" i="2"/>
  <c r="I57" i="12" s="1"/>
  <c r="U58" i="2"/>
  <c r="I57" i="15" s="1"/>
  <c r="T43" i="1"/>
  <c r="B42" i="15" s="1"/>
  <c r="W43" i="1"/>
  <c r="T103" i="1"/>
  <c r="B102" i="15" s="1"/>
  <c r="W103" i="1"/>
  <c r="W49" i="2"/>
  <c r="T49" i="2"/>
  <c r="H48" i="15" s="1"/>
  <c r="W109" i="2"/>
  <c r="T109" i="2"/>
  <c r="H108" i="15" s="1"/>
  <c r="W15" i="1"/>
  <c r="T15" i="1"/>
  <c r="B14" i="15" s="1"/>
  <c r="W55" i="1"/>
  <c r="B54" i="12" s="1"/>
  <c r="T55" i="1"/>
  <c r="B54" i="15" s="1"/>
  <c r="W75" i="1"/>
  <c r="B74" i="12" s="1"/>
  <c r="T75" i="1"/>
  <c r="B74" i="15" s="1"/>
  <c r="W95" i="1"/>
  <c r="B94" i="12" s="1"/>
  <c r="T95" i="1"/>
  <c r="B94" i="15" s="1"/>
  <c r="T105" i="1"/>
  <c r="B104" i="15" s="1"/>
  <c r="W105" i="1"/>
  <c r="B104" i="12" s="1"/>
  <c r="W11" i="2"/>
  <c r="H10" i="12" s="1"/>
  <c r="T11" i="2"/>
  <c r="H10" i="15" s="1"/>
  <c r="W21" i="2"/>
  <c r="T21" i="2"/>
  <c r="H20" i="15" s="1"/>
  <c r="W31" i="2"/>
  <c r="T31" i="2"/>
  <c r="H30" i="15" s="1"/>
  <c r="T41" i="2"/>
  <c r="H40" i="15" s="1"/>
  <c r="W41" i="2"/>
  <c r="W51" i="2"/>
  <c r="T51" i="2"/>
  <c r="H50" i="15" s="1"/>
  <c r="W61" i="2"/>
  <c r="H60" i="12" s="1"/>
  <c r="T61" i="2"/>
  <c r="H60" i="15" s="1"/>
  <c r="W71" i="2"/>
  <c r="H70" i="12" s="1"/>
  <c r="T71" i="2"/>
  <c r="H70" i="15" s="1"/>
  <c r="T81" i="2"/>
  <c r="H80" i="15" s="1"/>
  <c r="W81" i="2"/>
  <c r="H80" i="12" s="1"/>
  <c r="W91" i="2"/>
  <c r="T91" i="2"/>
  <c r="H90" i="15" s="1"/>
  <c r="W101" i="2"/>
  <c r="H100" i="12" s="1"/>
  <c r="T101" i="2"/>
  <c r="H100" i="15" s="1"/>
  <c r="N6" i="12"/>
  <c r="N46" i="12"/>
  <c r="N56" i="12"/>
  <c r="N66" i="12"/>
  <c r="N76" i="12"/>
  <c r="N86" i="12"/>
  <c r="N96" i="12"/>
  <c r="N106" i="12"/>
  <c r="T12" i="15"/>
  <c r="T12" i="12"/>
  <c r="T22" i="12"/>
  <c r="T22" i="15"/>
  <c r="T32" i="15"/>
  <c r="T32" i="12"/>
  <c r="T42" i="12"/>
  <c r="T52" i="15"/>
  <c r="T52" i="12"/>
  <c r="T62" i="12"/>
  <c r="T72" i="15"/>
  <c r="T72" i="12"/>
  <c r="T82" i="12"/>
  <c r="T92" i="15"/>
  <c r="T92" i="12"/>
  <c r="T102" i="12"/>
  <c r="T102" i="15"/>
  <c r="W14" i="9"/>
  <c r="W64" i="9"/>
  <c r="K63" i="12" s="1"/>
  <c r="W94" i="9"/>
  <c r="U101" i="9"/>
  <c r="L100" i="15" s="1"/>
  <c r="U9" i="10"/>
  <c r="R8" i="15" s="1"/>
  <c r="T40" i="10"/>
  <c r="Q39" i="15" s="1"/>
  <c r="T94" i="10"/>
  <c r="Q93" i="15" s="1"/>
  <c r="U109" i="10"/>
  <c r="R108" i="15" s="1"/>
  <c r="U22" i="1"/>
  <c r="C21" i="15" s="1"/>
  <c r="X22" i="1"/>
  <c r="C21" i="12" s="1"/>
  <c r="X78" i="2"/>
  <c r="U78" i="2"/>
  <c r="I77" i="15" s="1"/>
  <c r="W13" i="1"/>
  <c r="T13" i="1"/>
  <c r="B12" i="15" s="1"/>
  <c r="W33" i="1"/>
  <c r="B32" i="12" s="1"/>
  <c r="T33" i="1"/>
  <c r="B32" i="15" s="1"/>
  <c r="T63" i="1"/>
  <c r="B62" i="15" s="1"/>
  <c r="W63" i="1"/>
  <c r="W93" i="1"/>
  <c r="B92" i="12" s="1"/>
  <c r="T93" i="1"/>
  <c r="B92" i="15" s="1"/>
  <c r="T19" i="2"/>
  <c r="H18" i="15" s="1"/>
  <c r="W19" i="2"/>
  <c r="H18" i="12" s="1"/>
  <c r="T39" i="2"/>
  <c r="H38" i="15" s="1"/>
  <c r="W39" i="2"/>
  <c r="H38" i="12" s="1"/>
  <c r="W69" i="2"/>
  <c r="H68" i="12" s="1"/>
  <c r="T69" i="2"/>
  <c r="H68" i="15" s="1"/>
  <c r="T99" i="2"/>
  <c r="H98" i="15" s="1"/>
  <c r="W99" i="2"/>
  <c r="H98" i="12" s="1"/>
  <c r="W5" i="1"/>
  <c r="B4" i="12" s="1"/>
  <c r="T5" i="1"/>
  <c r="B4" i="15" s="1"/>
  <c r="W25" i="1"/>
  <c r="B24" i="12" s="1"/>
  <c r="T25" i="1"/>
  <c r="B24" i="15" s="1"/>
  <c r="W35" i="1"/>
  <c r="B34" i="12" s="1"/>
  <c r="T35" i="1"/>
  <c r="B34" i="15" s="1"/>
  <c r="W45" i="1"/>
  <c r="B44" i="12" s="1"/>
  <c r="T45" i="1"/>
  <c r="B44" i="15" s="1"/>
  <c r="T65" i="1"/>
  <c r="B64" i="15" s="1"/>
  <c r="W65" i="1"/>
  <c r="B64" i="12" s="1"/>
  <c r="W85" i="1"/>
  <c r="B84" i="12" s="1"/>
  <c r="T85" i="1"/>
  <c r="B84" i="15" s="1"/>
  <c r="X5" i="1"/>
  <c r="C4" i="12" s="1"/>
  <c r="U5" i="1"/>
  <c r="C4" i="15" s="1"/>
  <c r="U15" i="1"/>
  <c r="C14" i="15" s="1"/>
  <c r="X15" i="1"/>
  <c r="C14" i="12" s="1"/>
  <c r="U25" i="1"/>
  <c r="C24" i="15" s="1"/>
  <c r="X25" i="1"/>
  <c r="C24" i="12" s="1"/>
  <c r="U35" i="1"/>
  <c r="C34" i="15" s="1"/>
  <c r="X35" i="1"/>
  <c r="C34" i="12" s="1"/>
  <c r="U45" i="1"/>
  <c r="X45" i="1"/>
  <c r="U55" i="1"/>
  <c r="C54" i="15" s="1"/>
  <c r="X55" i="1"/>
  <c r="C54" i="12" s="1"/>
  <c r="U65" i="1"/>
  <c r="C64" i="15" s="1"/>
  <c r="X65" i="1"/>
  <c r="U75" i="1"/>
  <c r="C74" i="15" s="1"/>
  <c r="X75" i="1"/>
  <c r="C74" i="12" s="1"/>
  <c r="X85" i="1"/>
  <c r="C84" i="12" s="1"/>
  <c r="U85" i="1"/>
  <c r="U95" i="1"/>
  <c r="C94" i="15" s="1"/>
  <c r="X95" i="1"/>
  <c r="C94" i="12" s="1"/>
  <c r="U105" i="1"/>
  <c r="C104" i="15" s="1"/>
  <c r="X105" i="1"/>
  <c r="C104" i="12" s="1"/>
  <c r="U11" i="2"/>
  <c r="I10" i="15" s="1"/>
  <c r="X11" i="2"/>
  <c r="X21" i="2"/>
  <c r="U21" i="2"/>
  <c r="I20" i="15" s="1"/>
  <c r="U31" i="2"/>
  <c r="I30" i="15" s="1"/>
  <c r="X31" i="2"/>
  <c r="I30" i="12" s="1"/>
  <c r="X41" i="2"/>
  <c r="I40" i="12" s="1"/>
  <c r="U41" i="2"/>
  <c r="I40" i="15" s="1"/>
  <c r="U51" i="2"/>
  <c r="I50" i="15" s="1"/>
  <c r="X51" i="2"/>
  <c r="X61" i="2"/>
  <c r="I60" i="12" s="1"/>
  <c r="U61" i="2"/>
  <c r="I60" i="15" s="1"/>
  <c r="U71" i="2"/>
  <c r="X71" i="2"/>
  <c r="I70" i="12" s="1"/>
  <c r="X81" i="2"/>
  <c r="U81" i="2"/>
  <c r="I80" i="15" s="1"/>
  <c r="U91" i="2"/>
  <c r="I90" i="15" s="1"/>
  <c r="X91" i="2"/>
  <c r="I90" i="12" s="1"/>
  <c r="X101" i="2"/>
  <c r="I100" i="12" s="1"/>
  <c r="U101" i="2"/>
  <c r="I100" i="15" s="1"/>
  <c r="O16" i="12"/>
  <c r="O26" i="12"/>
  <c r="O36" i="12"/>
  <c r="O56" i="12"/>
  <c r="O66" i="12"/>
  <c r="O76" i="12"/>
  <c r="O86" i="12"/>
  <c r="U12" i="15"/>
  <c r="U12" i="12"/>
  <c r="U22" i="15"/>
  <c r="U22" i="12"/>
  <c r="U32" i="15"/>
  <c r="U32" i="12"/>
  <c r="U42" i="12"/>
  <c r="U52" i="15"/>
  <c r="U52" i="12"/>
  <c r="U62" i="15"/>
  <c r="U62" i="12"/>
  <c r="U72" i="15"/>
  <c r="U72" i="12"/>
  <c r="U82" i="15"/>
  <c r="U82" i="12"/>
  <c r="U92" i="15"/>
  <c r="U92" i="12"/>
  <c r="U102" i="15"/>
  <c r="U102" i="12"/>
  <c r="U78" i="8"/>
  <c r="F77" i="15" s="1"/>
  <c r="U21" i="9"/>
  <c r="L20" i="15" s="1"/>
  <c r="U71" i="9"/>
  <c r="L70" i="15" s="1"/>
  <c r="U40" i="10"/>
  <c r="R39" i="15" s="1"/>
  <c r="T79" i="10"/>
  <c r="Q78" i="15" s="1"/>
  <c r="U33" i="11"/>
  <c r="X32" i="15" s="1"/>
  <c r="T42" i="11"/>
  <c r="W41" i="15" s="1"/>
  <c r="U83" i="11"/>
  <c r="X82" i="15" s="1"/>
  <c r="T92" i="11"/>
  <c r="W91" i="15" s="1"/>
  <c r="T3" i="7"/>
  <c r="T2" i="15" s="1"/>
  <c r="U3" i="7"/>
  <c r="U2" i="15" s="1"/>
  <c r="T3" i="2"/>
  <c r="H2" i="15" s="1"/>
  <c r="U3" i="2"/>
  <c r="I2" i="15" s="1"/>
  <c r="B12" i="12"/>
  <c r="B20" i="12"/>
  <c r="B36" i="12"/>
  <c r="B72" i="12"/>
  <c r="T3" i="1"/>
  <c r="B2" i="15" s="1"/>
  <c r="U3" i="1"/>
  <c r="C2" i="15" s="1"/>
  <c r="X29" i="12"/>
  <c r="X30" i="12"/>
  <c r="X34" i="12"/>
  <c r="X35" i="12"/>
  <c r="X36" i="12"/>
  <c r="X37" i="12"/>
  <c r="X39" i="12"/>
  <c r="X40" i="12"/>
  <c r="X41" i="12"/>
  <c r="X42" i="12"/>
  <c r="X44" i="12"/>
  <c r="X45" i="12"/>
  <c r="X50" i="12"/>
  <c r="X51" i="12"/>
  <c r="X52" i="12"/>
  <c r="X53" i="12"/>
  <c r="X55" i="12"/>
  <c r="X57" i="12"/>
  <c r="X58" i="12"/>
  <c r="X59" i="12"/>
  <c r="X60" i="12"/>
  <c r="X61" i="12"/>
  <c r="X62" i="12"/>
  <c r="X64" i="12"/>
  <c r="X65" i="12"/>
  <c r="X66" i="12"/>
  <c r="X67" i="12"/>
  <c r="X71" i="12"/>
  <c r="X72" i="12"/>
  <c r="X73" i="12"/>
  <c r="X74" i="12"/>
  <c r="X75" i="12"/>
  <c r="X76" i="12"/>
  <c r="X77" i="12"/>
  <c r="X79" i="12"/>
  <c r="X80" i="12"/>
  <c r="X81" i="12"/>
  <c r="X82" i="12"/>
  <c r="X84" i="12"/>
  <c r="X85" i="12"/>
  <c r="X86" i="12"/>
  <c r="X87" i="12"/>
  <c r="X90" i="12"/>
  <c r="X91" i="12"/>
  <c r="X92" i="12"/>
  <c r="X93" i="12"/>
  <c r="X95" i="12"/>
  <c r="X97" i="12"/>
  <c r="X100" i="12"/>
  <c r="X101" i="12"/>
  <c r="X102" i="12"/>
  <c r="X103" i="12"/>
  <c r="X104" i="12"/>
  <c r="X105" i="12"/>
  <c r="W29" i="12"/>
  <c r="W30" i="12"/>
  <c r="W31" i="12"/>
  <c r="W33" i="12"/>
  <c r="W34" i="12"/>
  <c r="W35" i="12"/>
  <c r="W36" i="12"/>
  <c r="W39" i="12"/>
  <c r="W40" i="12"/>
  <c r="W41" i="12"/>
  <c r="W42" i="12"/>
  <c r="W43" i="12"/>
  <c r="W44" i="12"/>
  <c r="W45" i="12"/>
  <c r="W46" i="12"/>
  <c r="W54" i="12"/>
  <c r="W55" i="12"/>
  <c r="W56" i="12"/>
  <c r="W57" i="12"/>
  <c r="W59" i="12"/>
  <c r="W60" i="12"/>
  <c r="W61" i="12"/>
  <c r="W64" i="12"/>
  <c r="W65" i="12"/>
  <c r="W67" i="12"/>
  <c r="W74" i="12"/>
  <c r="W75" i="12"/>
  <c r="W76" i="12"/>
  <c r="W79" i="12"/>
  <c r="W80" i="12"/>
  <c r="W81" i="12"/>
  <c r="W83" i="12"/>
  <c r="W84" i="12"/>
  <c r="W85" i="12"/>
  <c r="W86" i="12"/>
  <c r="W87" i="12"/>
  <c r="W89" i="12"/>
  <c r="W91" i="12"/>
  <c r="W92" i="12"/>
  <c r="W94" i="12"/>
  <c r="W95" i="12"/>
  <c r="W96" i="12"/>
  <c r="W99" i="12"/>
  <c r="W100" i="12"/>
  <c r="W101" i="12"/>
  <c r="W102" i="12"/>
  <c r="W104" i="12"/>
  <c r="W105" i="12"/>
  <c r="W106" i="12"/>
  <c r="W108" i="12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I3" i="13" s="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U16" i="12"/>
  <c r="R17" i="12"/>
  <c r="R18" i="12"/>
  <c r="R19" i="12"/>
  <c r="R20" i="12"/>
  <c r="R23" i="12"/>
  <c r="R24" i="12"/>
  <c r="R26" i="12"/>
  <c r="R27" i="12"/>
  <c r="R28" i="12"/>
  <c r="R29" i="12"/>
  <c r="R32" i="12"/>
  <c r="R33" i="12"/>
  <c r="R35" i="12"/>
  <c r="R37" i="12"/>
  <c r="R38" i="12"/>
  <c r="R39" i="12"/>
  <c r="R41" i="12"/>
  <c r="R42" i="12"/>
  <c r="R43" i="12"/>
  <c r="R45" i="12"/>
  <c r="R46" i="12"/>
  <c r="R47" i="12"/>
  <c r="R48" i="12"/>
  <c r="R49" i="12"/>
  <c r="R51" i="12"/>
  <c r="R52" i="12"/>
  <c r="R55" i="12"/>
  <c r="R58" i="12"/>
  <c r="R59" i="12"/>
  <c r="R60" i="12"/>
  <c r="R62" i="12"/>
  <c r="R63" i="12"/>
  <c r="R64" i="12"/>
  <c r="R66" i="12"/>
  <c r="R67" i="12"/>
  <c r="R68" i="12"/>
  <c r="R69" i="12"/>
  <c r="R71" i="12"/>
  <c r="R72" i="12"/>
  <c r="R74" i="12"/>
  <c r="R76" i="12"/>
  <c r="R77" i="12"/>
  <c r="R78" i="12"/>
  <c r="R79" i="12"/>
  <c r="R80" i="12"/>
  <c r="R81" i="12"/>
  <c r="R83" i="12"/>
  <c r="R84" i="12"/>
  <c r="R86" i="12"/>
  <c r="R87" i="12"/>
  <c r="R88" i="12"/>
  <c r="R89" i="12"/>
  <c r="R90" i="12"/>
  <c r="R91" i="12"/>
  <c r="R96" i="12"/>
  <c r="R97" i="12"/>
  <c r="R98" i="12"/>
  <c r="R99" i="12"/>
  <c r="R100" i="12"/>
  <c r="R103" i="12"/>
  <c r="R104" i="12"/>
  <c r="R105" i="12"/>
  <c r="R106" i="12"/>
  <c r="R107" i="12"/>
  <c r="R108" i="12"/>
  <c r="Q17" i="12"/>
  <c r="Q18" i="12"/>
  <c r="Q20" i="12"/>
  <c r="Q21" i="12"/>
  <c r="Q23" i="12"/>
  <c r="Q24" i="12"/>
  <c r="Q26" i="12"/>
  <c r="Q28" i="12"/>
  <c r="Q29" i="12"/>
  <c r="Q31" i="12"/>
  <c r="Q32" i="12"/>
  <c r="Q33" i="12"/>
  <c r="Q34" i="12"/>
  <c r="Q35" i="12"/>
  <c r="Q36" i="12"/>
  <c r="Q37" i="12"/>
  <c r="Q38" i="12"/>
  <c r="Q41" i="12"/>
  <c r="Q42" i="12"/>
  <c r="Q43" i="12"/>
  <c r="Q44" i="12"/>
  <c r="Q46" i="12"/>
  <c r="Q47" i="12"/>
  <c r="Q49" i="12"/>
  <c r="Q52" i="12"/>
  <c r="Q53" i="12"/>
  <c r="Q54" i="12"/>
  <c r="Q55" i="12"/>
  <c r="Q56" i="12"/>
  <c r="Q57" i="12"/>
  <c r="Q58" i="12"/>
  <c r="Q63" i="12"/>
  <c r="Q64" i="12"/>
  <c r="Q66" i="12"/>
  <c r="Q67" i="12"/>
  <c r="Q68" i="12"/>
  <c r="Q69" i="12"/>
  <c r="Q70" i="12"/>
  <c r="Q71" i="12"/>
  <c r="Q72" i="12"/>
  <c r="Q73" i="12"/>
  <c r="Q76" i="12"/>
  <c r="Q77" i="12"/>
  <c r="Q78" i="12"/>
  <c r="Q79" i="12"/>
  <c r="Q81" i="12"/>
  <c r="Q82" i="12"/>
  <c r="Q83" i="12"/>
  <c r="Q85" i="12"/>
  <c r="Q87" i="12"/>
  <c r="Q88" i="12"/>
  <c r="Q89" i="12"/>
  <c r="Q92" i="12"/>
  <c r="Q93" i="12"/>
  <c r="Q94" i="12"/>
  <c r="Q95" i="12"/>
  <c r="Q96" i="12"/>
  <c r="Q97" i="12"/>
  <c r="Q98" i="12"/>
  <c r="Q99" i="12"/>
  <c r="Q102" i="12"/>
  <c r="Q105" i="12"/>
  <c r="Q107" i="12"/>
  <c r="Q108" i="12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O27" i="12"/>
  <c r="O29" i="12"/>
  <c r="O44" i="12"/>
  <c r="O46" i="12"/>
  <c r="O47" i="12"/>
  <c r="O52" i="12"/>
  <c r="O59" i="12"/>
  <c r="O61" i="12"/>
  <c r="O70" i="12"/>
  <c r="O81" i="12"/>
  <c r="O96" i="12"/>
  <c r="O106" i="12"/>
  <c r="N26" i="12"/>
  <c r="N27" i="12"/>
  <c r="N47" i="12"/>
  <c r="N60" i="12"/>
  <c r="N67" i="12"/>
  <c r="N74" i="12"/>
  <c r="N75" i="12"/>
  <c r="N78" i="12"/>
  <c r="N98" i="12"/>
  <c r="N99" i="12"/>
  <c r="N103" i="12"/>
  <c r="I63" i="5"/>
  <c r="L25" i="12"/>
  <c r="L28" i="12"/>
  <c r="L29" i="12"/>
  <c r="L30" i="12"/>
  <c r="L31" i="12"/>
  <c r="L32" i="12"/>
  <c r="L33" i="12"/>
  <c r="L35" i="12"/>
  <c r="L38" i="12"/>
  <c r="L39" i="12"/>
  <c r="L40" i="12"/>
  <c r="L41" i="12"/>
  <c r="L43" i="12"/>
  <c r="L44" i="12"/>
  <c r="L49" i="12"/>
  <c r="L50" i="12"/>
  <c r="L51" i="12"/>
  <c r="L52" i="12"/>
  <c r="L53" i="12"/>
  <c r="L54" i="12"/>
  <c r="L55" i="12"/>
  <c r="L57" i="12"/>
  <c r="L58" i="12"/>
  <c r="L59" i="12"/>
  <c r="L61" i="12"/>
  <c r="L63" i="12"/>
  <c r="L64" i="12"/>
  <c r="L65" i="12"/>
  <c r="L66" i="12"/>
  <c r="L67" i="12"/>
  <c r="L68" i="12"/>
  <c r="L70" i="12"/>
  <c r="L71" i="12"/>
  <c r="L72" i="12"/>
  <c r="L73" i="12"/>
  <c r="L75" i="12"/>
  <c r="L76" i="12"/>
  <c r="L77" i="12"/>
  <c r="L78" i="12"/>
  <c r="L79" i="12"/>
  <c r="L80" i="12"/>
  <c r="L81" i="12"/>
  <c r="L83" i="12"/>
  <c r="L84" i="12"/>
  <c r="L85" i="12"/>
  <c r="L86" i="12"/>
  <c r="L87" i="12"/>
  <c r="L88" i="12"/>
  <c r="L89" i="12"/>
  <c r="L90" i="12"/>
  <c r="L91" i="12"/>
  <c r="L93" i="12"/>
  <c r="L94" i="12"/>
  <c r="L95" i="12"/>
  <c r="L98" i="12"/>
  <c r="L99" i="12"/>
  <c r="L100" i="12"/>
  <c r="L101" i="12"/>
  <c r="L103" i="12"/>
  <c r="L104" i="12"/>
  <c r="L105" i="12"/>
  <c r="K24" i="12"/>
  <c r="K25" i="12"/>
  <c r="K28" i="12"/>
  <c r="K29" i="12"/>
  <c r="K31" i="12"/>
  <c r="K33" i="12"/>
  <c r="K35" i="12"/>
  <c r="K39" i="12"/>
  <c r="K41" i="12"/>
  <c r="K42" i="12"/>
  <c r="K43" i="12"/>
  <c r="K44" i="12"/>
  <c r="K45" i="12"/>
  <c r="K46" i="12"/>
  <c r="K47" i="12"/>
  <c r="K49" i="12"/>
  <c r="K50" i="12"/>
  <c r="K51" i="12"/>
  <c r="K55" i="12"/>
  <c r="K57" i="12"/>
  <c r="K58" i="12"/>
  <c r="K59" i="12"/>
  <c r="K61" i="12"/>
  <c r="K64" i="12"/>
  <c r="K65" i="12"/>
  <c r="K66" i="12"/>
  <c r="K68" i="12"/>
  <c r="K69" i="12"/>
  <c r="K70" i="12"/>
  <c r="K71" i="12"/>
  <c r="K72" i="12"/>
  <c r="K75" i="12"/>
  <c r="K78" i="12"/>
  <c r="K79" i="12"/>
  <c r="K81" i="12"/>
  <c r="K82" i="12"/>
  <c r="K83" i="12"/>
  <c r="K86" i="12"/>
  <c r="K88" i="12"/>
  <c r="K89" i="12"/>
  <c r="K90" i="12"/>
  <c r="K91" i="12"/>
  <c r="K92" i="12"/>
  <c r="K93" i="12"/>
  <c r="K95" i="12"/>
  <c r="K96" i="12"/>
  <c r="K98" i="12"/>
  <c r="K99" i="12"/>
  <c r="K101" i="12"/>
  <c r="K102" i="12"/>
  <c r="K103" i="12"/>
  <c r="K104" i="12"/>
  <c r="K107" i="12"/>
  <c r="K108" i="12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E4" i="13" s="1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I13" i="12"/>
  <c r="I15" i="12"/>
  <c r="I16" i="12"/>
  <c r="I20" i="12"/>
  <c r="I22" i="12"/>
  <c r="I23" i="12"/>
  <c r="I31" i="12"/>
  <c r="I33" i="12"/>
  <c r="I36" i="12"/>
  <c r="I39" i="12"/>
  <c r="I41" i="12"/>
  <c r="I43" i="12"/>
  <c r="I45" i="12"/>
  <c r="I46" i="12"/>
  <c r="I47" i="12"/>
  <c r="I48" i="12"/>
  <c r="I49" i="12"/>
  <c r="I50" i="12"/>
  <c r="I51" i="12"/>
  <c r="I52" i="12"/>
  <c r="I53" i="12"/>
  <c r="I56" i="12"/>
  <c r="I58" i="12"/>
  <c r="I61" i="12"/>
  <c r="I62" i="12"/>
  <c r="I67" i="12"/>
  <c r="I68" i="12"/>
  <c r="I69" i="12"/>
  <c r="I73" i="12"/>
  <c r="I76" i="12"/>
  <c r="I77" i="12"/>
  <c r="I78" i="12"/>
  <c r="I79" i="12"/>
  <c r="I80" i="12"/>
  <c r="I81" i="12"/>
  <c r="I83" i="12"/>
  <c r="I84" i="12"/>
  <c r="I87" i="12"/>
  <c r="I92" i="12"/>
  <c r="I95" i="12"/>
  <c r="I102" i="12"/>
  <c r="I104" i="12"/>
  <c r="I105" i="12"/>
  <c r="H16" i="12"/>
  <c r="H20" i="12"/>
  <c r="H21" i="12"/>
  <c r="H22" i="12"/>
  <c r="H24" i="12"/>
  <c r="H25" i="12"/>
  <c r="H26" i="12"/>
  <c r="H28" i="12"/>
  <c r="H30" i="12"/>
  <c r="H32" i="12"/>
  <c r="H35" i="12"/>
  <c r="H39" i="12"/>
  <c r="H40" i="12"/>
  <c r="H41" i="12"/>
  <c r="H45" i="12"/>
  <c r="H46" i="12"/>
  <c r="H48" i="12"/>
  <c r="H50" i="12"/>
  <c r="H51" i="12"/>
  <c r="H53" i="12"/>
  <c r="H55" i="12"/>
  <c r="H57" i="12"/>
  <c r="H58" i="12"/>
  <c r="H59" i="12"/>
  <c r="H61" i="12"/>
  <c r="H67" i="12"/>
  <c r="H77" i="12"/>
  <c r="H81" i="12"/>
  <c r="H85" i="12"/>
  <c r="H86" i="12"/>
  <c r="H87" i="12"/>
  <c r="H89" i="12"/>
  <c r="H90" i="12"/>
  <c r="H93" i="12"/>
  <c r="H102" i="12"/>
  <c r="H103" i="12"/>
  <c r="H104" i="12"/>
  <c r="H106" i="12"/>
  <c r="H108" i="12"/>
  <c r="F50" i="5"/>
  <c r="F51" i="5"/>
  <c r="F71" i="5"/>
  <c r="F90" i="5"/>
  <c r="F91" i="5"/>
  <c r="E14" i="5"/>
  <c r="E54" i="5"/>
  <c r="F17" i="12"/>
  <c r="F18" i="12"/>
  <c r="F19" i="12"/>
  <c r="F21" i="12"/>
  <c r="F22" i="12"/>
  <c r="F24" i="12"/>
  <c r="F26" i="12"/>
  <c r="F28" i="12"/>
  <c r="F30" i="12"/>
  <c r="F32" i="12"/>
  <c r="F33" i="12"/>
  <c r="F34" i="12"/>
  <c r="F35" i="12"/>
  <c r="F36" i="12"/>
  <c r="F37" i="12"/>
  <c r="F38" i="12"/>
  <c r="F40" i="12"/>
  <c r="F41" i="12"/>
  <c r="F43" i="12"/>
  <c r="F44" i="12"/>
  <c r="F46" i="12"/>
  <c r="F48" i="12"/>
  <c r="F49" i="12"/>
  <c r="F51" i="12"/>
  <c r="F52" i="12"/>
  <c r="F53" i="12"/>
  <c r="F54" i="12"/>
  <c r="F55" i="12"/>
  <c r="F56" i="12"/>
  <c r="F57" i="12"/>
  <c r="F58" i="12"/>
  <c r="F59" i="12"/>
  <c r="F60" i="12"/>
  <c r="F61" i="12"/>
  <c r="F63" i="12"/>
  <c r="F64" i="12"/>
  <c r="F66" i="12"/>
  <c r="F67" i="12"/>
  <c r="F68" i="12"/>
  <c r="F69" i="12"/>
  <c r="F71" i="12"/>
  <c r="F72" i="12"/>
  <c r="F73" i="12"/>
  <c r="F75" i="12"/>
  <c r="F76" i="12"/>
  <c r="F77" i="12"/>
  <c r="F78" i="12"/>
  <c r="F80" i="12"/>
  <c r="F87" i="12"/>
  <c r="F90" i="12"/>
  <c r="F91" i="12"/>
  <c r="F92" i="12"/>
  <c r="F93" i="12"/>
  <c r="F95" i="12"/>
  <c r="F96" i="12"/>
  <c r="F97" i="12"/>
  <c r="F98" i="12"/>
  <c r="F99" i="12"/>
  <c r="F100" i="12"/>
  <c r="F101" i="12"/>
  <c r="F102" i="12"/>
  <c r="F105" i="12"/>
  <c r="F106" i="12"/>
  <c r="F107" i="12"/>
  <c r="F108" i="12"/>
  <c r="E18" i="12"/>
  <c r="E19" i="12"/>
  <c r="E20" i="12"/>
  <c r="E21" i="12"/>
  <c r="E22" i="12"/>
  <c r="E23" i="12"/>
  <c r="E25" i="12"/>
  <c r="E27" i="12"/>
  <c r="E28" i="12"/>
  <c r="E29" i="12"/>
  <c r="E30" i="12"/>
  <c r="E32" i="12"/>
  <c r="E33" i="12"/>
  <c r="E35" i="12"/>
  <c r="E36" i="12"/>
  <c r="E37" i="12"/>
  <c r="E38" i="12"/>
  <c r="E39" i="12"/>
  <c r="E40" i="12"/>
  <c r="E41" i="12"/>
  <c r="E43" i="12"/>
  <c r="E45" i="12"/>
  <c r="E46" i="12"/>
  <c r="E47" i="12"/>
  <c r="E50" i="12"/>
  <c r="E52" i="12"/>
  <c r="E53" i="12"/>
  <c r="E56" i="12"/>
  <c r="E57" i="12"/>
  <c r="E58" i="12"/>
  <c r="E61" i="12"/>
  <c r="E62" i="12"/>
  <c r="E63" i="12"/>
  <c r="E65" i="12"/>
  <c r="E66" i="12"/>
  <c r="E67" i="12"/>
  <c r="E68" i="12"/>
  <c r="E71" i="12"/>
  <c r="E72" i="12"/>
  <c r="E73" i="12"/>
  <c r="E74" i="12"/>
  <c r="E76" i="12"/>
  <c r="E77" i="12"/>
  <c r="E78" i="12"/>
  <c r="E81" i="12"/>
  <c r="E83" i="12"/>
  <c r="E84" i="12"/>
  <c r="E85" i="12"/>
  <c r="E86" i="12"/>
  <c r="E87" i="12"/>
  <c r="E88" i="12"/>
  <c r="E91" i="12"/>
  <c r="E92" i="12"/>
  <c r="E93" i="12"/>
  <c r="E94" i="12"/>
  <c r="E95" i="12"/>
  <c r="E96" i="12"/>
  <c r="E97" i="12"/>
  <c r="E101" i="12"/>
  <c r="E102" i="12"/>
  <c r="E103" i="12"/>
  <c r="E105" i="12"/>
  <c r="E106" i="12"/>
  <c r="E107" i="12"/>
  <c r="E108" i="12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C16" i="12"/>
  <c r="C17" i="12"/>
  <c r="C18" i="12"/>
  <c r="C19" i="12"/>
  <c r="C20" i="12"/>
  <c r="C28" i="12"/>
  <c r="C33" i="12"/>
  <c r="C38" i="12"/>
  <c r="C43" i="12"/>
  <c r="C44" i="12"/>
  <c r="C47" i="12"/>
  <c r="C48" i="12"/>
  <c r="C49" i="12"/>
  <c r="C50" i="12"/>
  <c r="C51" i="12"/>
  <c r="C57" i="12"/>
  <c r="C60" i="12"/>
  <c r="C62" i="12"/>
  <c r="C63" i="12"/>
  <c r="C64" i="12"/>
  <c r="C65" i="12"/>
  <c r="C66" i="12"/>
  <c r="C67" i="12"/>
  <c r="C69" i="12"/>
  <c r="C70" i="12"/>
  <c r="C75" i="12"/>
  <c r="C79" i="12"/>
  <c r="C80" i="12"/>
  <c r="C82" i="12"/>
  <c r="C83" i="12"/>
  <c r="C85" i="12"/>
  <c r="C91" i="12"/>
  <c r="C92" i="12"/>
  <c r="C95" i="12"/>
  <c r="C96" i="12"/>
  <c r="C108" i="12"/>
  <c r="B14" i="12"/>
  <c r="B16" i="12"/>
  <c r="B17" i="12"/>
  <c r="B18" i="12"/>
  <c r="B19" i="12"/>
  <c r="B21" i="12"/>
  <c r="B22" i="12"/>
  <c r="B23" i="12"/>
  <c r="B26" i="12"/>
  <c r="B27" i="12"/>
  <c r="B28" i="12"/>
  <c r="B37" i="12"/>
  <c r="B38" i="12"/>
  <c r="B40" i="12"/>
  <c r="B41" i="12"/>
  <c r="B42" i="12"/>
  <c r="B43" i="12"/>
  <c r="B45" i="12"/>
  <c r="B47" i="12"/>
  <c r="B50" i="12"/>
  <c r="B52" i="12"/>
  <c r="B57" i="12"/>
  <c r="B59" i="12"/>
  <c r="B61" i="12"/>
  <c r="B62" i="12"/>
  <c r="B65" i="12"/>
  <c r="B69" i="12"/>
  <c r="B71" i="12"/>
  <c r="B77" i="12"/>
  <c r="B79" i="12"/>
  <c r="B81" i="12"/>
  <c r="B82" i="12"/>
  <c r="B85" i="12"/>
  <c r="B86" i="12"/>
  <c r="B87" i="12"/>
  <c r="B91" i="12"/>
  <c r="B97" i="12"/>
  <c r="B102" i="12"/>
  <c r="B106" i="12"/>
  <c r="C19" i="5"/>
  <c r="C21" i="5"/>
  <c r="C24" i="5"/>
  <c r="C27" i="5"/>
  <c r="C28" i="5"/>
  <c r="C43" i="5"/>
  <c r="C46" i="5"/>
  <c r="C48" i="5"/>
  <c r="C52" i="5"/>
  <c r="C59" i="5"/>
  <c r="C64" i="5"/>
  <c r="C66" i="5"/>
  <c r="C68" i="5"/>
  <c r="C72" i="5"/>
  <c r="C83" i="5"/>
  <c r="C85" i="5"/>
  <c r="C90" i="5"/>
  <c r="C104" i="5"/>
  <c r="C107" i="5"/>
  <c r="C108" i="5"/>
  <c r="B15" i="5"/>
  <c r="B16" i="5"/>
  <c r="X7" i="12"/>
  <c r="W9" i="12"/>
  <c r="X27" i="12"/>
  <c r="W49" i="12"/>
  <c r="X49" i="12"/>
  <c r="W69" i="12"/>
  <c r="X69" i="12"/>
  <c r="Q40" i="12"/>
  <c r="Q61" i="12"/>
  <c r="Q80" i="12"/>
  <c r="R93" i="12"/>
  <c r="L10" i="12"/>
  <c r="L11" i="12"/>
  <c r="L21" i="12"/>
  <c r="K26" i="12"/>
  <c r="I6" i="12"/>
  <c r="I71" i="12"/>
  <c r="H73" i="12"/>
  <c r="C46" i="12"/>
  <c r="X94" i="12"/>
  <c r="X88" i="12"/>
  <c r="W71" i="12"/>
  <c r="X70" i="12"/>
  <c r="W70" i="12"/>
  <c r="X54" i="12"/>
  <c r="W51" i="12"/>
  <c r="W50" i="12"/>
  <c r="X48" i="12"/>
  <c r="X32" i="12"/>
  <c r="W27" i="12"/>
  <c r="X26" i="12"/>
  <c r="W26" i="12"/>
  <c r="X25" i="12"/>
  <c r="W25" i="12"/>
  <c r="X24" i="12"/>
  <c r="W24" i="12"/>
  <c r="X23" i="12"/>
  <c r="X22" i="12"/>
  <c r="W22" i="12"/>
  <c r="W21" i="12"/>
  <c r="X20" i="12"/>
  <c r="W20" i="12"/>
  <c r="X19" i="12"/>
  <c r="W19" i="12"/>
  <c r="X17" i="12"/>
  <c r="W17" i="12"/>
  <c r="X16" i="12"/>
  <c r="X15" i="12"/>
  <c r="W15" i="12"/>
  <c r="X14" i="12"/>
  <c r="W14" i="12"/>
  <c r="X12" i="12"/>
  <c r="X11" i="12"/>
  <c r="W11" i="12"/>
  <c r="X10" i="12"/>
  <c r="X9" i="12"/>
  <c r="X8" i="12"/>
  <c r="X6" i="12"/>
  <c r="X5" i="12"/>
  <c r="W5" i="12"/>
  <c r="X4" i="12"/>
  <c r="W4" i="12"/>
  <c r="X3" i="12"/>
  <c r="W3" i="12"/>
  <c r="X2" i="12"/>
  <c r="W2" i="12"/>
  <c r="T5" i="12"/>
  <c r="U2" i="12"/>
  <c r="T2" i="12"/>
  <c r="Q104" i="12"/>
  <c r="Q103" i="12"/>
  <c r="R102" i="12"/>
  <c r="R94" i="12"/>
  <c r="R82" i="12"/>
  <c r="R73" i="12"/>
  <c r="Q59" i="12"/>
  <c r="R57" i="12"/>
  <c r="R56" i="12"/>
  <c r="Q48" i="12"/>
  <c r="Q39" i="12"/>
  <c r="R36" i="12"/>
  <c r="Q27" i="12"/>
  <c r="R21" i="12"/>
  <c r="Q19" i="12"/>
  <c r="R16" i="12"/>
  <c r="Q15" i="12"/>
  <c r="R13" i="12"/>
  <c r="Q13" i="12"/>
  <c r="R12" i="12"/>
  <c r="Q12" i="12"/>
  <c r="R11" i="12"/>
  <c r="Q11" i="12"/>
  <c r="R10" i="12"/>
  <c r="R9" i="12"/>
  <c r="Q9" i="12"/>
  <c r="R8" i="12"/>
  <c r="Q8" i="12"/>
  <c r="R7" i="12"/>
  <c r="Q7" i="12"/>
  <c r="R6" i="12"/>
  <c r="Q5" i="12"/>
  <c r="R4" i="12"/>
  <c r="Q4" i="12"/>
  <c r="R3" i="12"/>
  <c r="Q3" i="12"/>
  <c r="R2" i="12"/>
  <c r="Q2" i="12"/>
  <c r="N80" i="12"/>
  <c r="N70" i="12"/>
  <c r="N68" i="12"/>
  <c r="O60" i="12"/>
  <c r="N57" i="12"/>
  <c r="N50" i="12"/>
  <c r="N49" i="12"/>
  <c r="N33" i="12"/>
  <c r="O15" i="12"/>
  <c r="N14" i="12"/>
  <c r="O13" i="12"/>
  <c r="N13" i="12"/>
  <c r="O12" i="12"/>
  <c r="O10" i="12"/>
  <c r="N8" i="12"/>
  <c r="O7" i="12"/>
  <c r="O6" i="12"/>
  <c r="N3" i="12"/>
  <c r="L97" i="12"/>
  <c r="L96" i="12"/>
  <c r="K80" i="12"/>
  <c r="K74" i="12"/>
  <c r="L60" i="12"/>
  <c r="L56" i="12"/>
  <c r="L48" i="12"/>
  <c r="L36" i="12"/>
  <c r="K36" i="12"/>
  <c r="L23" i="12"/>
  <c r="K23" i="12"/>
  <c r="K21" i="12"/>
  <c r="L20" i="12"/>
  <c r="K20" i="12"/>
  <c r="K19" i="12"/>
  <c r="L18" i="12"/>
  <c r="L17" i="12"/>
  <c r="K17" i="12"/>
  <c r="L16" i="12"/>
  <c r="K16" i="12"/>
  <c r="L15" i="12"/>
  <c r="K15" i="12"/>
  <c r="L14" i="12"/>
  <c r="K14" i="12"/>
  <c r="L13" i="12"/>
  <c r="K13" i="12"/>
  <c r="K12" i="12"/>
  <c r="K11" i="12"/>
  <c r="L9" i="12"/>
  <c r="K9" i="12"/>
  <c r="L8" i="12"/>
  <c r="K7" i="12"/>
  <c r="L6" i="12"/>
  <c r="K6" i="12"/>
  <c r="K4" i="12"/>
  <c r="L3" i="12"/>
  <c r="K2" i="12"/>
  <c r="H97" i="12"/>
  <c r="I94" i="12"/>
  <c r="I93" i="12"/>
  <c r="I85" i="12"/>
  <c r="I74" i="12"/>
  <c r="H74" i="12"/>
  <c r="H14" i="12"/>
  <c r="I12" i="12"/>
  <c r="H12" i="12"/>
  <c r="H11" i="12"/>
  <c r="I10" i="12"/>
  <c r="H9" i="12"/>
  <c r="H6" i="12"/>
  <c r="I5" i="12"/>
  <c r="H4" i="12"/>
  <c r="H3" i="12"/>
  <c r="I2" i="12"/>
  <c r="H2" i="12"/>
  <c r="F86" i="12"/>
  <c r="F65" i="12"/>
  <c r="E51" i="12"/>
  <c r="F47" i="12"/>
  <c r="F45" i="12"/>
  <c r="E31" i="12"/>
  <c r="F27" i="12"/>
  <c r="F25" i="12"/>
  <c r="F23" i="12"/>
  <c r="E17" i="12"/>
  <c r="F16" i="12"/>
  <c r="E16" i="12"/>
  <c r="F15" i="12"/>
  <c r="E15" i="12"/>
  <c r="F14" i="12"/>
  <c r="F13" i="12"/>
  <c r="E13" i="12"/>
  <c r="F12" i="12"/>
  <c r="E12" i="12"/>
  <c r="F11" i="12"/>
  <c r="E11" i="12"/>
  <c r="F10" i="12"/>
  <c r="E10" i="12"/>
  <c r="F9" i="12"/>
  <c r="E9" i="12"/>
  <c r="F8" i="12"/>
  <c r="F7" i="12"/>
  <c r="E7" i="12"/>
  <c r="F6" i="12"/>
  <c r="E6" i="12"/>
  <c r="E5" i="12"/>
  <c r="F4" i="12"/>
  <c r="F3" i="12"/>
  <c r="E3" i="12"/>
  <c r="F2" i="12"/>
  <c r="E2" i="12"/>
  <c r="B93" i="12"/>
  <c r="B89" i="12"/>
  <c r="C86" i="12"/>
  <c r="C73" i="12"/>
  <c r="B53" i="12"/>
  <c r="C10" i="12"/>
  <c r="B10" i="12"/>
  <c r="B6" i="12"/>
  <c r="C2" i="12"/>
  <c r="B2" i="12"/>
  <c r="Q20" i="6"/>
  <c r="O20" i="6"/>
  <c r="M20" i="6"/>
  <c r="K20" i="6"/>
  <c r="Q18" i="6"/>
  <c r="O18" i="6"/>
  <c r="M18" i="6"/>
  <c r="K18" i="6"/>
  <c r="Q16" i="6"/>
  <c r="O16" i="6"/>
  <c r="M16" i="6"/>
  <c r="K16" i="6"/>
  <c r="Q11" i="6"/>
  <c r="O11" i="6"/>
  <c r="M11" i="6"/>
  <c r="K11" i="6"/>
  <c r="Q10" i="6"/>
  <c r="O10" i="6"/>
  <c r="M10" i="6"/>
  <c r="K10" i="6"/>
  <c r="Q9" i="6"/>
  <c r="O9" i="6"/>
  <c r="M9" i="6"/>
  <c r="K9" i="6"/>
  <c r="Q8" i="6"/>
  <c r="O8" i="6"/>
  <c r="M8" i="6"/>
  <c r="K8" i="6"/>
  <c r="Q7" i="6"/>
  <c r="O7" i="6"/>
  <c r="M7" i="6"/>
  <c r="K7" i="6"/>
  <c r="Q6" i="6"/>
  <c r="O6" i="6"/>
  <c r="M6" i="6"/>
  <c r="K6" i="6"/>
  <c r="Q5" i="6"/>
  <c r="O5" i="6"/>
  <c r="M5" i="6"/>
  <c r="K5" i="6"/>
  <c r="Q4" i="6"/>
  <c r="O4" i="6"/>
  <c r="M4" i="6"/>
  <c r="K4" i="6"/>
  <c r="R22" i="11"/>
  <c r="Q22" i="11"/>
  <c r="R21" i="11"/>
  <c r="Q21" i="11"/>
  <c r="R20" i="11"/>
  <c r="Q20" i="11"/>
  <c r="R19" i="11"/>
  <c r="Q19" i="11"/>
  <c r="R18" i="11"/>
  <c r="Q18" i="11"/>
  <c r="R17" i="11"/>
  <c r="Q17" i="11"/>
  <c r="R16" i="11"/>
  <c r="Q16" i="11"/>
  <c r="R15" i="11"/>
  <c r="Q15" i="11"/>
  <c r="R14" i="11"/>
  <c r="Q14" i="11"/>
  <c r="R13" i="11"/>
  <c r="Q13" i="11"/>
  <c r="R12" i="11"/>
  <c r="Q12" i="11"/>
  <c r="R11" i="11"/>
  <c r="Q11" i="11"/>
  <c r="R10" i="11"/>
  <c r="Q10" i="11"/>
  <c r="R9" i="11"/>
  <c r="Q9" i="11"/>
  <c r="R8" i="11"/>
  <c r="Q8" i="11"/>
  <c r="R7" i="11"/>
  <c r="Q7" i="11"/>
  <c r="R6" i="11"/>
  <c r="Q6" i="11"/>
  <c r="R5" i="11"/>
  <c r="Q5" i="11"/>
  <c r="R4" i="11"/>
  <c r="Q4" i="11"/>
  <c r="R3" i="11"/>
  <c r="Q3" i="11"/>
  <c r="R3" i="7"/>
  <c r="Q3" i="7"/>
  <c r="R16" i="10"/>
  <c r="Q16" i="10"/>
  <c r="R15" i="10"/>
  <c r="Q15" i="10"/>
  <c r="R14" i="10"/>
  <c r="Q14" i="10"/>
  <c r="R13" i="10"/>
  <c r="Q13" i="10"/>
  <c r="R12" i="10"/>
  <c r="Q12" i="10"/>
  <c r="R11" i="10"/>
  <c r="Q11" i="10"/>
  <c r="R10" i="10"/>
  <c r="Q10" i="10"/>
  <c r="R9" i="10"/>
  <c r="Q9" i="10"/>
  <c r="R8" i="10"/>
  <c r="Q8" i="10"/>
  <c r="R7" i="10"/>
  <c r="Q7" i="10"/>
  <c r="R6" i="10"/>
  <c r="Q6" i="10"/>
  <c r="R5" i="10"/>
  <c r="Q5" i="10"/>
  <c r="R4" i="10"/>
  <c r="Q4" i="10"/>
  <c r="R3" i="10"/>
  <c r="Q3" i="10"/>
  <c r="H2" i="5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R6" i="9"/>
  <c r="Q6" i="9"/>
  <c r="R5" i="9"/>
  <c r="Q5" i="9"/>
  <c r="R4" i="9"/>
  <c r="Q4" i="9"/>
  <c r="R3" i="9"/>
  <c r="Q3" i="9"/>
  <c r="R3" i="2"/>
  <c r="Q3" i="2"/>
  <c r="R15" i="8"/>
  <c r="R14" i="8"/>
  <c r="Q14" i="8"/>
  <c r="R13" i="8"/>
  <c r="Q13" i="8"/>
  <c r="R12" i="8"/>
  <c r="Q12" i="8"/>
  <c r="R11" i="8"/>
  <c r="Q11" i="8"/>
  <c r="R10" i="8"/>
  <c r="Q10" i="8"/>
  <c r="R9" i="8"/>
  <c r="Q9" i="8"/>
  <c r="R8" i="8"/>
  <c r="Q8" i="8"/>
  <c r="R7" i="8"/>
  <c r="Q7" i="8"/>
  <c r="R6" i="8"/>
  <c r="Q6" i="8"/>
  <c r="R5" i="8"/>
  <c r="Q5" i="8"/>
  <c r="R4" i="8"/>
  <c r="Q4" i="8"/>
  <c r="R3" i="8"/>
  <c r="Q3" i="8"/>
  <c r="C3" i="5"/>
  <c r="C4" i="5"/>
  <c r="C5" i="5"/>
  <c r="C8" i="5"/>
  <c r="R3" i="1"/>
  <c r="Q3" i="1"/>
  <c r="I20" i="6"/>
  <c r="G20" i="6"/>
  <c r="E20" i="6"/>
  <c r="C20" i="6"/>
  <c r="I18" i="6"/>
  <c r="G18" i="6"/>
  <c r="E18" i="6"/>
  <c r="C18" i="6"/>
  <c r="I16" i="6"/>
  <c r="G16" i="6"/>
  <c r="E16" i="6"/>
  <c r="C16" i="6"/>
  <c r="I11" i="6"/>
  <c r="G11" i="6"/>
  <c r="E11" i="6"/>
  <c r="C11" i="6"/>
  <c r="I10" i="6"/>
  <c r="G10" i="6"/>
  <c r="E10" i="6"/>
  <c r="C10" i="6"/>
  <c r="I9" i="6"/>
  <c r="G9" i="6"/>
  <c r="E9" i="6"/>
  <c r="C9" i="6"/>
  <c r="I8" i="6"/>
  <c r="G8" i="6"/>
  <c r="E8" i="6"/>
  <c r="C8" i="6"/>
  <c r="I7" i="6"/>
  <c r="G7" i="6"/>
  <c r="E7" i="6"/>
  <c r="C7" i="6"/>
  <c r="I6" i="6"/>
  <c r="G6" i="6"/>
  <c r="E6" i="6"/>
  <c r="C6" i="6"/>
  <c r="I5" i="6"/>
  <c r="G5" i="6"/>
  <c r="E5" i="6"/>
  <c r="C5" i="6"/>
  <c r="I4" i="6"/>
  <c r="G4" i="6"/>
  <c r="E4" i="6"/>
  <c r="C4" i="6"/>
  <c r="L104" i="5" l="1"/>
  <c r="L11" i="5"/>
  <c r="C88" i="5"/>
  <c r="C88" i="15"/>
  <c r="L84" i="5"/>
  <c r="U84" i="15"/>
  <c r="C101" i="5"/>
  <c r="C92" i="5"/>
  <c r="C103" i="5"/>
  <c r="C103" i="15"/>
  <c r="E74" i="5"/>
  <c r="H74" i="15"/>
  <c r="I11" i="5"/>
  <c r="L65" i="5"/>
  <c r="U65" i="15"/>
  <c r="L43" i="5"/>
  <c r="U43" i="15"/>
  <c r="L10" i="5"/>
  <c r="U10" i="15"/>
  <c r="K60" i="5"/>
  <c r="T60" i="15"/>
  <c r="C99" i="5"/>
  <c r="C99" i="15"/>
  <c r="C79" i="5"/>
  <c r="C84" i="5"/>
  <c r="C84" i="15"/>
  <c r="I43" i="5"/>
  <c r="C23" i="5"/>
  <c r="C31" i="5"/>
  <c r="C31" i="15"/>
  <c r="L21" i="5"/>
  <c r="U21" i="15"/>
  <c r="C61" i="5"/>
  <c r="C61" i="15"/>
  <c r="F11" i="5"/>
  <c r="C71" i="5"/>
  <c r="L42" i="5"/>
  <c r="U42" i="15"/>
  <c r="K61" i="5"/>
  <c r="T61" i="15"/>
  <c r="L44" i="5"/>
  <c r="U44" i="15"/>
  <c r="C86" i="5"/>
  <c r="C86" i="15"/>
  <c r="K43" i="5"/>
  <c r="T43" i="15"/>
  <c r="K83" i="5"/>
  <c r="T83" i="15"/>
  <c r="F2" i="5"/>
  <c r="F70" i="5"/>
  <c r="I70" i="15"/>
  <c r="K82" i="5"/>
  <c r="T82" i="15"/>
  <c r="K40" i="5"/>
  <c r="H2" i="13" s="1"/>
  <c r="T40" i="15"/>
  <c r="L83" i="5"/>
  <c r="U83" i="15"/>
  <c r="C87" i="5"/>
  <c r="C87" i="15"/>
  <c r="E34" i="5"/>
  <c r="H34" i="15"/>
  <c r="C89" i="5"/>
  <c r="C89" i="15"/>
  <c r="B55" i="5"/>
  <c r="B55" i="15"/>
  <c r="L101" i="5"/>
  <c r="U101" i="15"/>
  <c r="I103" i="5"/>
  <c r="K39" i="5"/>
  <c r="T39" i="15"/>
  <c r="C63" i="5"/>
  <c r="C63" i="15"/>
  <c r="K41" i="5"/>
  <c r="T41" i="15"/>
  <c r="C91" i="5"/>
  <c r="C91" i="15"/>
  <c r="C69" i="5"/>
  <c r="C69" i="15"/>
  <c r="K62" i="5"/>
  <c r="T62" i="15"/>
  <c r="C32" i="5"/>
  <c r="C32" i="15"/>
  <c r="C7" i="5"/>
  <c r="C7" i="15"/>
  <c r="B96" i="5"/>
  <c r="B96" i="15"/>
  <c r="L63" i="5"/>
  <c r="U63" i="15"/>
  <c r="C81" i="5"/>
  <c r="C81" i="15"/>
  <c r="K42" i="5"/>
  <c r="T42" i="15"/>
  <c r="K44" i="5"/>
  <c r="T44" i="15"/>
  <c r="C12" i="5"/>
  <c r="B36" i="5"/>
  <c r="C44" i="5"/>
  <c r="C44" i="15"/>
  <c r="L81" i="5"/>
  <c r="U81" i="15"/>
  <c r="E94" i="5"/>
  <c r="H94" i="15"/>
  <c r="K79" i="5"/>
  <c r="H4" i="13" s="1"/>
  <c r="T79" i="15"/>
  <c r="B56" i="5"/>
  <c r="C9" i="5"/>
  <c r="L85" i="5"/>
  <c r="U85" i="15"/>
  <c r="C29" i="5"/>
  <c r="C29" i="15"/>
  <c r="B76" i="5"/>
  <c r="B76" i="15"/>
  <c r="F31" i="5"/>
  <c r="I31" i="15"/>
  <c r="K2" i="5"/>
  <c r="E2" i="13"/>
  <c r="L2" i="5"/>
  <c r="I5" i="13"/>
  <c r="K59" i="5"/>
  <c r="L103" i="5"/>
  <c r="L102" i="5"/>
  <c r="K99" i="5"/>
  <c r="L62" i="5"/>
  <c r="K104" i="5"/>
  <c r="K102" i="5"/>
  <c r="K101" i="5"/>
  <c r="L20" i="5"/>
  <c r="K80" i="5"/>
  <c r="K63" i="5"/>
  <c r="L64" i="5"/>
  <c r="L61" i="5"/>
  <c r="L45" i="5"/>
  <c r="L105" i="5"/>
  <c r="L41" i="5"/>
  <c r="K103" i="5"/>
  <c r="K100" i="5"/>
  <c r="K84" i="5"/>
  <c r="K81" i="5"/>
  <c r="L82" i="5"/>
  <c r="K64" i="5"/>
  <c r="I102" i="5"/>
  <c r="H99" i="5"/>
  <c r="I62" i="5"/>
  <c r="I2" i="5"/>
  <c r="I42" i="5"/>
  <c r="E2" i="5"/>
  <c r="F30" i="5"/>
  <c r="C2" i="5"/>
  <c r="C67" i="5"/>
  <c r="C105" i="5"/>
  <c r="C41" i="5"/>
  <c r="C39" i="5"/>
  <c r="C49" i="5"/>
  <c r="C47" i="5"/>
  <c r="C30" i="5"/>
  <c r="B2" i="5"/>
  <c r="C50" i="5"/>
  <c r="C26" i="5"/>
  <c r="C45" i="5"/>
  <c r="C106" i="5"/>
  <c r="C25" i="5"/>
  <c r="C70" i="5"/>
  <c r="C51" i="5"/>
  <c r="C65" i="5"/>
  <c r="I2" i="13"/>
  <c r="I4" i="13"/>
  <c r="K11" i="5"/>
  <c r="K21" i="5"/>
  <c r="L100" i="5"/>
  <c r="L80" i="5"/>
  <c r="L60" i="5"/>
  <c r="L40" i="5"/>
  <c r="K98" i="5"/>
  <c r="K78" i="5"/>
  <c r="K58" i="5"/>
  <c r="K38" i="5"/>
  <c r="L99" i="5"/>
  <c r="L79" i="5"/>
  <c r="L59" i="5"/>
  <c r="L39" i="5"/>
  <c r="K97" i="5"/>
  <c r="K77" i="5"/>
  <c r="K57" i="5"/>
  <c r="K37" i="5"/>
  <c r="L98" i="5"/>
  <c r="L78" i="5"/>
  <c r="L58" i="5"/>
  <c r="L38" i="5"/>
  <c r="K96" i="5"/>
  <c r="K76" i="5"/>
  <c r="K56" i="5"/>
  <c r="K36" i="5"/>
  <c r="L97" i="5"/>
  <c r="L77" i="5"/>
  <c r="L57" i="5"/>
  <c r="L37" i="5"/>
  <c r="K95" i="5"/>
  <c r="K75" i="5"/>
  <c r="K55" i="5"/>
  <c r="K35" i="5"/>
  <c r="L96" i="5"/>
  <c r="L76" i="5"/>
  <c r="L56" i="5"/>
  <c r="L36" i="5"/>
  <c r="K5" i="5"/>
  <c r="K15" i="5"/>
  <c r="K25" i="5"/>
  <c r="L5" i="5"/>
  <c r="L15" i="5"/>
  <c r="L25" i="5"/>
  <c r="K93" i="5"/>
  <c r="K73" i="5"/>
  <c r="K53" i="5"/>
  <c r="K33" i="5"/>
  <c r="L94" i="5"/>
  <c r="L74" i="5"/>
  <c r="L54" i="5"/>
  <c r="L34" i="5"/>
  <c r="K6" i="5"/>
  <c r="K16" i="5"/>
  <c r="K26" i="5"/>
  <c r="K92" i="5"/>
  <c r="K72" i="5"/>
  <c r="K52" i="5"/>
  <c r="K32" i="5"/>
  <c r="L6" i="5"/>
  <c r="L16" i="5"/>
  <c r="L26" i="5"/>
  <c r="K91" i="5"/>
  <c r="K71" i="5"/>
  <c r="K7" i="5"/>
  <c r="K17" i="5"/>
  <c r="K27" i="5"/>
  <c r="L7" i="5"/>
  <c r="L17" i="5"/>
  <c r="L27" i="5"/>
  <c r="K8" i="5"/>
  <c r="K18" i="5"/>
  <c r="L8" i="5"/>
  <c r="L18" i="5"/>
  <c r="K9" i="5"/>
  <c r="K19" i="5"/>
  <c r="L9" i="5"/>
  <c r="L19" i="5"/>
  <c r="K10" i="5"/>
  <c r="K20" i="5"/>
  <c r="K94" i="5"/>
  <c r="K74" i="5"/>
  <c r="K54" i="5"/>
  <c r="K34" i="5"/>
  <c r="L95" i="5"/>
  <c r="L75" i="5"/>
  <c r="L55" i="5"/>
  <c r="L35" i="5"/>
  <c r="L93" i="5"/>
  <c r="L73" i="5"/>
  <c r="L53" i="5"/>
  <c r="L33" i="5"/>
  <c r="K51" i="5"/>
  <c r="K31" i="5"/>
  <c r="L92" i="5"/>
  <c r="L72" i="5"/>
  <c r="L52" i="5"/>
  <c r="L32" i="5"/>
  <c r="K12" i="5"/>
  <c r="K22" i="5"/>
  <c r="K90" i="5"/>
  <c r="K70" i="5"/>
  <c r="K50" i="5"/>
  <c r="K30" i="5"/>
  <c r="L91" i="5"/>
  <c r="L71" i="5"/>
  <c r="L51" i="5"/>
  <c r="L31" i="5"/>
  <c r="L12" i="5"/>
  <c r="L22" i="5"/>
  <c r="K89" i="5"/>
  <c r="K69" i="5"/>
  <c r="H3" i="13" s="1"/>
  <c r="K49" i="5"/>
  <c r="K29" i="5"/>
  <c r="L90" i="5"/>
  <c r="L70" i="5"/>
  <c r="L50" i="5"/>
  <c r="L30" i="5"/>
  <c r="K3" i="5"/>
  <c r="K13" i="5"/>
  <c r="K23" i="5"/>
  <c r="K108" i="5"/>
  <c r="H5" i="13" s="1"/>
  <c r="K88" i="5"/>
  <c r="K68" i="5"/>
  <c r="K48" i="5"/>
  <c r="K28" i="5"/>
  <c r="L89" i="5"/>
  <c r="L69" i="5"/>
  <c r="L49" i="5"/>
  <c r="L29" i="5"/>
  <c r="L3" i="5"/>
  <c r="L13" i="5"/>
  <c r="L23" i="5"/>
  <c r="K107" i="5"/>
  <c r="K87" i="5"/>
  <c r="K67" i="5"/>
  <c r="K47" i="5"/>
  <c r="L108" i="5"/>
  <c r="L88" i="5"/>
  <c r="L68" i="5"/>
  <c r="L48" i="5"/>
  <c r="L28" i="5"/>
  <c r="K4" i="5"/>
  <c r="K14" i="5"/>
  <c r="K24" i="5"/>
  <c r="K106" i="5"/>
  <c r="K86" i="5"/>
  <c r="K66" i="5"/>
  <c r="K46" i="5"/>
  <c r="L107" i="5"/>
  <c r="L87" i="5"/>
  <c r="L67" i="5"/>
  <c r="L47" i="5"/>
  <c r="L4" i="5"/>
  <c r="L14" i="5"/>
  <c r="L24" i="5"/>
  <c r="K105" i="5"/>
  <c r="K85" i="5"/>
  <c r="K65" i="5"/>
  <c r="K45" i="5"/>
  <c r="L106" i="5"/>
  <c r="L86" i="5"/>
  <c r="L66" i="5"/>
  <c r="L46" i="5"/>
  <c r="G5" i="13"/>
  <c r="G3" i="13"/>
  <c r="G4" i="13"/>
  <c r="G2" i="13"/>
  <c r="I13" i="5"/>
  <c r="H75" i="5"/>
  <c r="I79" i="5"/>
  <c r="H4" i="5"/>
  <c r="H24" i="5"/>
  <c r="H94" i="5"/>
  <c r="H54" i="5"/>
  <c r="H34" i="5"/>
  <c r="I78" i="5"/>
  <c r="I38" i="5"/>
  <c r="I4" i="5"/>
  <c r="I24" i="5"/>
  <c r="H73" i="5"/>
  <c r="H33" i="5"/>
  <c r="I77" i="5"/>
  <c r="I57" i="5"/>
  <c r="H15" i="5"/>
  <c r="H72" i="5"/>
  <c r="H32" i="5"/>
  <c r="I76" i="5"/>
  <c r="I36" i="5"/>
  <c r="I5" i="5"/>
  <c r="H91" i="5"/>
  <c r="H51" i="5"/>
  <c r="H31" i="5"/>
  <c r="I75" i="5"/>
  <c r="I35" i="5"/>
  <c r="H90" i="5"/>
  <c r="H50" i="5"/>
  <c r="I94" i="5"/>
  <c r="I74" i="5"/>
  <c r="I34" i="5"/>
  <c r="I6" i="5"/>
  <c r="H69" i="5"/>
  <c r="F3" i="13" s="1"/>
  <c r="H29" i="5"/>
  <c r="I73" i="5"/>
  <c r="I33" i="5"/>
  <c r="H17" i="5"/>
  <c r="H88" i="5"/>
  <c r="H48" i="5"/>
  <c r="I92" i="5"/>
  <c r="I32" i="5"/>
  <c r="I7" i="5"/>
  <c r="H107" i="5"/>
  <c r="H67" i="5"/>
  <c r="H27" i="5"/>
  <c r="I71" i="5"/>
  <c r="I31" i="5"/>
  <c r="H8" i="5"/>
  <c r="H86" i="5"/>
  <c r="H46" i="5"/>
  <c r="I90" i="5"/>
  <c r="I50" i="5"/>
  <c r="I8" i="5"/>
  <c r="H45" i="5"/>
  <c r="H9" i="5"/>
  <c r="I46" i="5"/>
  <c r="I10" i="5"/>
  <c r="I20" i="5"/>
  <c r="H101" i="5"/>
  <c r="H81" i="5"/>
  <c r="H61" i="5"/>
  <c r="H41" i="5"/>
  <c r="I105" i="5"/>
  <c r="I85" i="5"/>
  <c r="I65" i="5"/>
  <c r="I45" i="5"/>
  <c r="I25" i="5"/>
  <c r="H12" i="5"/>
  <c r="H22" i="5"/>
  <c r="H98" i="5"/>
  <c r="H78" i="5"/>
  <c r="H58" i="5"/>
  <c r="H38" i="5"/>
  <c r="I12" i="5"/>
  <c r="I22" i="5"/>
  <c r="H97" i="5"/>
  <c r="H77" i="5"/>
  <c r="H57" i="5"/>
  <c r="H37" i="5"/>
  <c r="I101" i="5"/>
  <c r="I81" i="5"/>
  <c r="I61" i="5"/>
  <c r="I41" i="5"/>
  <c r="H3" i="5"/>
  <c r="H13" i="5"/>
  <c r="H23" i="5"/>
  <c r="H96" i="5"/>
  <c r="H76" i="5"/>
  <c r="H56" i="5"/>
  <c r="H36" i="5"/>
  <c r="I100" i="5"/>
  <c r="I80" i="5"/>
  <c r="I60" i="5"/>
  <c r="I40" i="5"/>
  <c r="I3" i="5"/>
  <c r="I23" i="5"/>
  <c r="H95" i="5"/>
  <c r="H55" i="5"/>
  <c r="H35" i="5"/>
  <c r="I99" i="5"/>
  <c r="I59" i="5"/>
  <c r="I39" i="5"/>
  <c r="H14" i="5"/>
  <c r="H74" i="5"/>
  <c r="I98" i="5"/>
  <c r="I58" i="5"/>
  <c r="I14" i="5"/>
  <c r="H93" i="5"/>
  <c r="H53" i="5"/>
  <c r="I97" i="5"/>
  <c r="I37" i="5"/>
  <c r="H5" i="5"/>
  <c r="H92" i="5"/>
  <c r="H52" i="5"/>
  <c r="I96" i="5"/>
  <c r="I56" i="5"/>
  <c r="I15" i="5"/>
  <c r="H71" i="5"/>
  <c r="I95" i="5"/>
  <c r="I55" i="5"/>
  <c r="H6" i="5"/>
  <c r="H16" i="5"/>
  <c r="H70" i="5"/>
  <c r="H30" i="5"/>
  <c r="I54" i="5"/>
  <c r="I16" i="5"/>
  <c r="H89" i="5"/>
  <c r="H49" i="5"/>
  <c r="I93" i="5"/>
  <c r="I53" i="5"/>
  <c r="H7" i="5"/>
  <c r="H108" i="5"/>
  <c r="F5" i="13" s="1"/>
  <c r="H68" i="5"/>
  <c r="H28" i="5"/>
  <c r="I72" i="5"/>
  <c r="I52" i="5"/>
  <c r="I17" i="5"/>
  <c r="H87" i="5"/>
  <c r="H47" i="5"/>
  <c r="I91" i="5"/>
  <c r="I51" i="5"/>
  <c r="H18" i="5"/>
  <c r="H106" i="5"/>
  <c r="H66" i="5"/>
  <c r="H26" i="5"/>
  <c r="I70" i="5"/>
  <c r="I30" i="5"/>
  <c r="I18" i="5"/>
  <c r="H105" i="5"/>
  <c r="H85" i="5"/>
  <c r="H65" i="5"/>
  <c r="H25" i="5"/>
  <c r="I89" i="5"/>
  <c r="I69" i="5"/>
  <c r="I49" i="5"/>
  <c r="I29" i="5"/>
  <c r="H19" i="5"/>
  <c r="H104" i="5"/>
  <c r="H84" i="5"/>
  <c r="H64" i="5"/>
  <c r="H44" i="5"/>
  <c r="I108" i="5"/>
  <c r="I88" i="5"/>
  <c r="I68" i="5"/>
  <c r="I48" i="5"/>
  <c r="I28" i="5"/>
  <c r="I9" i="5"/>
  <c r="I19" i="5"/>
  <c r="H103" i="5"/>
  <c r="H83" i="5"/>
  <c r="H63" i="5"/>
  <c r="H43" i="5"/>
  <c r="I107" i="5"/>
  <c r="I87" i="5"/>
  <c r="I67" i="5"/>
  <c r="I47" i="5"/>
  <c r="I27" i="5"/>
  <c r="H10" i="5"/>
  <c r="H20" i="5"/>
  <c r="H102" i="5"/>
  <c r="H82" i="5"/>
  <c r="H62" i="5"/>
  <c r="H42" i="5"/>
  <c r="I106" i="5"/>
  <c r="I86" i="5"/>
  <c r="I66" i="5"/>
  <c r="I26" i="5"/>
  <c r="H11" i="5"/>
  <c r="H21" i="5"/>
  <c r="H100" i="5"/>
  <c r="H80" i="5"/>
  <c r="H60" i="5"/>
  <c r="H40" i="5"/>
  <c r="F2" i="13" s="1"/>
  <c r="I104" i="5"/>
  <c r="I84" i="5"/>
  <c r="I64" i="5"/>
  <c r="I44" i="5"/>
  <c r="E3" i="13"/>
  <c r="E5" i="13"/>
  <c r="E93" i="5"/>
  <c r="E73" i="5"/>
  <c r="E53" i="5"/>
  <c r="E33" i="5"/>
  <c r="E13" i="5"/>
  <c r="E92" i="5"/>
  <c r="E72" i="5"/>
  <c r="E52" i="5"/>
  <c r="E32" i="5"/>
  <c r="E12" i="5"/>
  <c r="F89" i="5"/>
  <c r="F69" i="5"/>
  <c r="F49" i="5"/>
  <c r="F29" i="5"/>
  <c r="E91" i="5"/>
  <c r="E71" i="5"/>
  <c r="E51" i="5"/>
  <c r="E31" i="5"/>
  <c r="F108" i="5"/>
  <c r="F88" i="5"/>
  <c r="F68" i="5"/>
  <c r="F48" i="5"/>
  <c r="F28" i="5"/>
  <c r="F3" i="5"/>
  <c r="E90" i="5"/>
  <c r="E70" i="5"/>
  <c r="E50" i="5"/>
  <c r="E30" i="5"/>
  <c r="F107" i="5"/>
  <c r="F87" i="5"/>
  <c r="F67" i="5"/>
  <c r="F47" i="5"/>
  <c r="F27" i="5"/>
  <c r="E4" i="5"/>
  <c r="F106" i="5"/>
  <c r="F86" i="5"/>
  <c r="F66" i="5"/>
  <c r="F46" i="5"/>
  <c r="F26" i="5"/>
  <c r="F4" i="5"/>
  <c r="E108" i="5"/>
  <c r="D5" i="13" s="1"/>
  <c r="E88" i="5"/>
  <c r="E68" i="5"/>
  <c r="E48" i="5"/>
  <c r="E28" i="5"/>
  <c r="F105" i="5"/>
  <c r="F85" i="5"/>
  <c r="F65" i="5"/>
  <c r="F45" i="5"/>
  <c r="F25" i="5"/>
  <c r="E5" i="5"/>
  <c r="E107" i="5"/>
  <c r="E87" i="5"/>
  <c r="E47" i="5"/>
  <c r="E27" i="5"/>
  <c r="F104" i="5"/>
  <c r="F84" i="5"/>
  <c r="F64" i="5"/>
  <c r="F44" i="5"/>
  <c r="F24" i="5"/>
  <c r="F5" i="5"/>
  <c r="E106" i="5"/>
  <c r="E86" i="5"/>
  <c r="E66" i="5"/>
  <c r="E46" i="5"/>
  <c r="E26" i="5"/>
  <c r="F103" i="5"/>
  <c r="F83" i="5"/>
  <c r="F63" i="5"/>
  <c r="F43" i="5"/>
  <c r="F23" i="5"/>
  <c r="E6" i="5"/>
  <c r="F6" i="5"/>
  <c r="E7" i="5"/>
  <c r="E103" i="5"/>
  <c r="E43" i="5"/>
  <c r="E23" i="5"/>
  <c r="F80" i="5"/>
  <c r="F40" i="5"/>
  <c r="F7" i="5"/>
  <c r="E102" i="5"/>
  <c r="E82" i="5"/>
  <c r="E62" i="5"/>
  <c r="E42" i="5"/>
  <c r="F79" i="5"/>
  <c r="F59" i="5"/>
  <c r="F39" i="5"/>
  <c r="F19" i="5"/>
  <c r="E29" i="5"/>
  <c r="E67" i="5"/>
  <c r="E83" i="5"/>
  <c r="F99" i="5"/>
  <c r="E8" i="5"/>
  <c r="E101" i="5"/>
  <c r="E81" i="5"/>
  <c r="E61" i="5"/>
  <c r="E41" i="5"/>
  <c r="E21" i="5"/>
  <c r="F98" i="5"/>
  <c r="F78" i="5"/>
  <c r="F58" i="5"/>
  <c r="F38" i="5"/>
  <c r="F18" i="5"/>
  <c r="E22" i="5"/>
  <c r="F8" i="5"/>
  <c r="E9" i="5"/>
  <c r="E99" i="5"/>
  <c r="E79" i="5"/>
  <c r="D4" i="13" s="1"/>
  <c r="E59" i="5"/>
  <c r="E39" i="5"/>
  <c r="E19" i="5"/>
  <c r="F96" i="5"/>
  <c r="F76" i="5"/>
  <c r="F56" i="5"/>
  <c r="F36" i="5"/>
  <c r="F16" i="5"/>
  <c r="F100" i="5"/>
  <c r="F9" i="5"/>
  <c r="E69" i="5"/>
  <c r="D3" i="13" s="1"/>
  <c r="E63" i="5"/>
  <c r="E10" i="5"/>
  <c r="E49" i="5"/>
  <c r="F20" i="5"/>
  <c r="F10" i="5"/>
  <c r="E89" i="5"/>
  <c r="F60" i="5"/>
  <c r="E105" i="5"/>
  <c r="E85" i="5"/>
  <c r="E65" i="5"/>
  <c r="E45" i="5"/>
  <c r="E25" i="5"/>
  <c r="F102" i="5"/>
  <c r="F82" i="5"/>
  <c r="F62" i="5"/>
  <c r="F42" i="5"/>
  <c r="F22" i="5"/>
  <c r="E104" i="5"/>
  <c r="E84" i="5"/>
  <c r="E64" i="5"/>
  <c r="E44" i="5"/>
  <c r="E24" i="5"/>
  <c r="F101" i="5"/>
  <c r="F81" i="5"/>
  <c r="F61" i="5"/>
  <c r="F41" i="5"/>
  <c r="F21" i="5"/>
  <c r="F95" i="5"/>
  <c r="F75" i="5"/>
  <c r="F55" i="5"/>
  <c r="F35" i="5"/>
  <c r="F15" i="5"/>
  <c r="F92" i="5"/>
  <c r="F72" i="5"/>
  <c r="F52" i="5"/>
  <c r="F32" i="5"/>
  <c r="F12" i="5"/>
  <c r="E11" i="5"/>
  <c r="E100" i="5"/>
  <c r="E80" i="5"/>
  <c r="E60" i="5"/>
  <c r="E40" i="5"/>
  <c r="D2" i="13" s="1"/>
  <c r="E20" i="5"/>
  <c r="F97" i="5"/>
  <c r="F77" i="5"/>
  <c r="F57" i="5"/>
  <c r="F37" i="5"/>
  <c r="F17" i="5"/>
  <c r="E98" i="5"/>
  <c r="E78" i="5"/>
  <c r="E58" i="5"/>
  <c r="E38" i="5"/>
  <c r="E18" i="5"/>
  <c r="E97" i="5"/>
  <c r="E77" i="5"/>
  <c r="E57" i="5"/>
  <c r="E37" i="5"/>
  <c r="E17" i="5"/>
  <c r="F94" i="5"/>
  <c r="F74" i="5"/>
  <c r="F54" i="5"/>
  <c r="F34" i="5"/>
  <c r="F14" i="5"/>
  <c r="E3" i="5"/>
  <c r="E96" i="5"/>
  <c r="E76" i="5"/>
  <c r="E56" i="5"/>
  <c r="E36" i="5"/>
  <c r="E16" i="5"/>
  <c r="F93" i="5"/>
  <c r="F73" i="5"/>
  <c r="F53" i="5"/>
  <c r="F33" i="5"/>
  <c r="F13" i="5"/>
  <c r="E95" i="5"/>
  <c r="E75" i="5"/>
  <c r="E55" i="5"/>
  <c r="E35" i="5"/>
  <c r="E15" i="5"/>
  <c r="C4" i="13"/>
  <c r="C2" i="13"/>
  <c r="C3" i="13"/>
  <c r="C5" i="13"/>
  <c r="C98" i="5"/>
  <c r="C78" i="5"/>
  <c r="C58" i="5"/>
  <c r="C38" i="5"/>
  <c r="C18" i="5"/>
  <c r="C97" i="5"/>
  <c r="C77" i="5"/>
  <c r="C57" i="5"/>
  <c r="C37" i="5"/>
  <c r="C17" i="5"/>
  <c r="C96" i="5"/>
  <c r="C76" i="5"/>
  <c r="C56" i="5"/>
  <c r="C36" i="5"/>
  <c r="C16" i="5"/>
  <c r="C95" i="5"/>
  <c r="C75" i="5"/>
  <c r="C55" i="5"/>
  <c r="C35" i="5"/>
  <c r="C15" i="5"/>
  <c r="C11" i="5"/>
  <c r="C10" i="5"/>
  <c r="B105" i="5"/>
  <c r="B85" i="5"/>
  <c r="B65" i="5"/>
  <c r="B25" i="5"/>
  <c r="C100" i="5"/>
  <c r="C80" i="5"/>
  <c r="C60" i="5"/>
  <c r="C40" i="5"/>
  <c r="C20" i="5"/>
  <c r="B51" i="5"/>
  <c r="B45" i="5"/>
  <c r="B53" i="5"/>
  <c r="B34" i="5"/>
  <c r="B90" i="5"/>
  <c r="B95" i="5"/>
  <c r="B75" i="5"/>
  <c r="B35" i="5"/>
  <c r="B94" i="5"/>
  <c r="B74" i="5"/>
  <c r="B54" i="5"/>
  <c r="B14" i="5"/>
  <c r="B93" i="5"/>
  <c r="B73" i="5"/>
  <c r="B33" i="5"/>
  <c r="B13" i="5"/>
  <c r="B92" i="5"/>
  <c r="B72" i="5"/>
  <c r="B52" i="5"/>
  <c r="B32" i="5"/>
  <c r="B9" i="5"/>
  <c r="B91" i="5"/>
  <c r="B71" i="5"/>
  <c r="B31" i="5"/>
  <c r="B70" i="5"/>
  <c r="B50" i="5"/>
  <c r="B30" i="5"/>
  <c r="C6" i="5"/>
  <c r="C93" i="5"/>
  <c r="C73" i="5"/>
  <c r="C53" i="5"/>
  <c r="C33" i="5"/>
  <c r="C13" i="5"/>
  <c r="B49" i="5"/>
  <c r="B89" i="5"/>
  <c r="B69" i="5"/>
  <c r="B3" i="13" s="1"/>
  <c r="B29" i="5"/>
  <c r="B12" i="5"/>
  <c r="B108" i="5"/>
  <c r="B5" i="13" s="1"/>
  <c r="B88" i="5"/>
  <c r="B68" i="5"/>
  <c r="B48" i="5"/>
  <c r="B28" i="5"/>
  <c r="B11" i="5"/>
  <c r="B107" i="5"/>
  <c r="B87" i="5"/>
  <c r="B67" i="5"/>
  <c r="B47" i="5"/>
  <c r="B27" i="5"/>
  <c r="B10" i="5"/>
  <c r="B106" i="5"/>
  <c r="B86" i="5"/>
  <c r="B66" i="5"/>
  <c r="B46" i="5"/>
  <c r="B26" i="5"/>
  <c r="C102" i="5"/>
  <c r="C82" i="5"/>
  <c r="C62" i="5"/>
  <c r="C42" i="5"/>
  <c r="C22" i="5"/>
  <c r="B7" i="5"/>
  <c r="B103" i="5"/>
  <c r="B83" i="5"/>
  <c r="B63" i="5"/>
  <c r="B43" i="5"/>
  <c r="B23" i="5"/>
  <c r="B24" i="5"/>
  <c r="B6" i="5"/>
  <c r="B102" i="5"/>
  <c r="B82" i="5"/>
  <c r="B62" i="5"/>
  <c r="B42" i="5"/>
  <c r="B22" i="5"/>
  <c r="B104" i="5"/>
  <c r="B5" i="5"/>
  <c r="B101" i="5"/>
  <c r="B81" i="5"/>
  <c r="B61" i="5"/>
  <c r="B41" i="5"/>
  <c r="B21" i="5"/>
  <c r="B8" i="5"/>
  <c r="B64" i="5"/>
  <c r="B4" i="5"/>
  <c r="B100" i="5"/>
  <c r="B80" i="5"/>
  <c r="B60" i="5"/>
  <c r="B40" i="5"/>
  <c r="B2" i="13" s="1"/>
  <c r="B20" i="5"/>
  <c r="B3" i="5"/>
  <c r="B99" i="5"/>
  <c r="B79" i="5"/>
  <c r="B4" i="13" s="1"/>
  <c r="B59" i="5"/>
  <c r="B39" i="5"/>
  <c r="B19" i="5"/>
  <c r="B98" i="5"/>
  <c r="B78" i="5"/>
  <c r="B58" i="5"/>
  <c r="B38" i="5"/>
  <c r="B18" i="5"/>
  <c r="C94" i="5"/>
  <c r="C74" i="5"/>
  <c r="C54" i="5"/>
  <c r="C34" i="5"/>
  <c r="C14" i="5"/>
  <c r="B84" i="5"/>
  <c r="B44" i="5"/>
  <c r="B97" i="5"/>
  <c r="B77" i="5"/>
  <c r="B57" i="5"/>
  <c r="B37" i="5"/>
  <c r="B17" i="5"/>
</calcChain>
</file>

<file path=xl/sharedStrings.xml><?xml version="1.0" encoding="utf-8"?>
<sst xmlns="http://schemas.openxmlformats.org/spreadsheetml/2006/main" count="491" uniqueCount="90">
  <si>
    <t>Storage modulus</t>
  </si>
  <si>
    <t>Loss modulus</t>
  </si>
  <si>
    <t>MPa</t>
  </si>
  <si>
    <t>Average storage modulus</t>
  </si>
  <si>
    <t>Average loss modulus</t>
  </si>
  <si>
    <t>Time</t>
  </si>
  <si>
    <t>s</t>
  </si>
  <si>
    <t>Change (%)</t>
  </si>
  <si>
    <t>Gi1</t>
  </si>
  <si>
    <t>Gf1</t>
  </si>
  <si>
    <t>Gi2</t>
  </si>
  <si>
    <t>Gf2</t>
  </si>
  <si>
    <t>Gi3</t>
  </si>
  <si>
    <t>Gf3</t>
  </si>
  <si>
    <t>Gi4</t>
  </si>
  <si>
    <t>Gf4</t>
  </si>
  <si>
    <t>Gi5</t>
  </si>
  <si>
    <t>Gf5</t>
  </si>
  <si>
    <t>Gf1-&gt;Gi3</t>
  </si>
  <si>
    <t>Gf1-&gt;Gf3</t>
  </si>
  <si>
    <t>Gf3-&gt;Gi5</t>
  </si>
  <si>
    <t>Gf3-&gt;Gf5</t>
  </si>
  <si>
    <t>Gf1-&gt;Gi5</t>
  </si>
  <si>
    <t>Gf1-&gt;Gf5</t>
  </si>
  <si>
    <t>a-&gt;b</t>
  </si>
  <si>
    <t>b/a*100</t>
  </si>
  <si>
    <t>WT Parafilm- 72</t>
  </si>
  <si>
    <t>WT Parafilm+ 72</t>
  </si>
  <si>
    <t>Spore- Parafilm- 72</t>
  </si>
  <si>
    <t>Spore- Parafilm+ 72</t>
  </si>
  <si>
    <t>PGA- Parafilm- 72</t>
  </si>
  <si>
    <t>PGA- Parafilm+ 72</t>
  </si>
  <si>
    <t>EPS- Parafilm- 72</t>
  </si>
  <si>
    <t>EPS- Parafilm+ 72</t>
  </si>
  <si>
    <t>WT Parafilm- average G'</t>
  </si>
  <si>
    <t>WT Parafilm- average G''</t>
  </si>
  <si>
    <t>WT Parafilm+ average G'</t>
  </si>
  <si>
    <t>WT Parafilm+ average G''</t>
  </si>
  <si>
    <t>Spore- Parafilm- average G'</t>
  </si>
  <si>
    <t>Spore- Parafilm- average G''</t>
  </si>
  <si>
    <t>Spore- Parafilm+ average G'</t>
  </si>
  <si>
    <t>Spore- Parafilm+ average G''</t>
  </si>
  <si>
    <t>PGA- Parafilm- average G'</t>
  </si>
  <si>
    <t>PGA- Parafilm- average G''</t>
  </si>
  <si>
    <t>PGA- Parafilm+ average G'</t>
  </si>
  <si>
    <t>PGA- Parafilm+ average G''</t>
  </si>
  <si>
    <t>EPS- Parafilm- average G'</t>
  </si>
  <si>
    <t>EPS- Parafilm- average G''</t>
  </si>
  <si>
    <t>EPS- Parafilm+ average G'</t>
  </si>
  <si>
    <t>EPS- Parafilm+ average G''</t>
  </si>
  <si>
    <t>WT Parafilm- SD G'</t>
  </si>
  <si>
    <t>WT Parafilm- SD G''</t>
  </si>
  <si>
    <t>WT Parafilm+ SD G'</t>
  </si>
  <si>
    <t>WT Parafilm+ SD G''</t>
  </si>
  <si>
    <t>Spore- Parafilm- SD G'</t>
  </si>
  <si>
    <t>Spore- Parafilm- SD G''</t>
  </si>
  <si>
    <t>Spore- Parafilm+ SD G'</t>
  </si>
  <si>
    <t>Spore- Parafilm+ SD G''</t>
  </si>
  <si>
    <t>PGA- Parafilm- SD G'</t>
  </si>
  <si>
    <t>PGA- Parafilm- SD G''</t>
  </si>
  <si>
    <t>PGA- Parafilm+ SD G'</t>
  </si>
  <si>
    <t>PGA- Parafilm+ SD G''</t>
  </si>
  <si>
    <t>EPS- Parafilm- SD G'</t>
  </si>
  <si>
    <t>EPS- Parafilm- SD G''</t>
  </si>
  <si>
    <t>EPS- Parafilm+ SD G'</t>
  </si>
  <si>
    <t>EPS- Parafilm+ SD G''</t>
  </si>
  <si>
    <t>SD G'</t>
  </si>
  <si>
    <t>SD G''</t>
  </si>
  <si>
    <t>Average storage modulus/initial</t>
  </si>
  <si>
    <t>Average loss modulus/initial</t>
  </si>
  <si>
    <t>Percent storage modulus</t>
  </si>
  <si>
    <t>Percent loss modulus</t>
  </si>
  <si>
    <t>Damage 1</t>
  </si>
  <si>
    <t>Recovery 1</t>
  </si>
  <si>
    <t>Damage 2</t>
  </si>
  <si>
    <t>Recovery 2</t>
  </si>
  <si>
    <t>WT Parafilm-</t>
  </si>
  <si>
    <t>WT Parafilm+</t>
  </si>
  <si>
    <t>Spore- Parafilm-</t>
  </si>
  <si>
    <t>Spore- Parafilm+</t>
  </si>
  <si>
    <t>PGA- Parafilm-</t>
  </si>
  <si>
    <t>PGA- Parafilm+</t>
  </si>
  <si>
    <t>EPS- Parafilm-</t>
  </si>
  <si>
    <t>EPS- Parafilm+</t>
  </si>
  <si>
    <t>10 mM Storage modulus</t>
  </si>
  <si>
    <t>10 mM Loss modulus</t>
  </si>
  <si>
    <t>1 mM Storage modulus</t>
  </si>
  <si>
    <t>1 mM Loss modulus</t>
  </si>
  <si>
    <t>0 mM Storage modulus</t>
  </si>
  <si>
    <t>0 mM Loss 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</si>
</sst>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1" applyAlignment="1">
      <alignment vertical="center" wrapText="1"/>
    </xf>
    <xf numFmtId="0" fontId="3" fillId="0" borderId="0" xfId="0" applyFont="1"/>
    <xf numFmtId="11" fontId="0" fillId="0" borderId="0" xfId="0" applyNumberFormat="1"/>
    <xf numFmtId="11" fontId="0" fillId="0" borderId="0" xfId="0" applyNumberFormat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P- 24 hpi'!$Q$1:$Q$2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hpi'!$Q$3:$Q$124</c:f>
              <c:numCache>
                <c:formatCode>General</c:formatCode>
                <c:ptCount val="122"/>
                <c:pt idx="0">
                  <c:v>9.3793533333333347E-4</c:v>
                </c:pt>
                <c:pt idx="1">
                  <c:v>9.3790733333333346E-4</c:v>
                </c:pt>
                <c:pt idx="2">
                  <c:v>9.3881699999999989E-4</c:v>
                </c:pt>
                <c:pt idx="3">
                  <c:v>9.4016700000000011E-4</c:v>
                </c:pt>
                <c:pt idx="4">
                  <c:v>9.3943499999999986E-4</c:v>
                </c:pt>
                <c:pt idx="5">
                  <c:v>9.3909500000000003E-4</c:v>
                </c:pt>
                <c:pt idx="6">
                  <c:v>9.3949500000000015E-4</c:v>
                </c:pt>
                <c:pt idx="7">
                  <c:v>9.3949100000000009E-4</c:v>
                </c:pt>
                <c:pt idx="8">
                  <c:v>9.387573333333334E-4</c:v>
                </c:pt>
                <c:pt idx="9">
                  <c:v>9.3861033333333336E-4</c:v>
                </c:pt>
                <c:pt idx="10">
                  <c:v>9.3912766666666653E-4</c:v>
                </c:pt>
                <c:pt idx="11">
                  <c:v>9.3853533333333337E-4</c:v>
                </c:pt>
                <c:pt idx="12">
                  <c:v>9.3866933333333321E-4</c:v>
                </c:pt>
                <c:pt idx="13">
                  <c:v>9.3819933333333329E-4</c:v>
                </c:pt>
                <c:pt idx="14">
                  <c:v>9.3902699999999994E-4</c:v>
                </c:pt>
                <c:pt idx="15">
                  <c:v>9.4004966666666673E-4</c:v>
                </c:pt>
                <c:pt idx="16">
                  <c:v>9.4069199999999992E-4</c:v>
                </c:pt>
                <c:pt idx="17">
                  <c:v>9.4134066666666657E-4</c:v>
                </c:pt>
                <c:pt idx="18">
                  <c:v>9.4227766666666669E-4</c:v>
                </c:pt>
                <c:pt idx="19">
                  <c:v>9.4355899999999996E-4</c:v>
                </c:pt>
                <c:pt idx="20">
                  <c:v>9.4541833333333322E-4</c:v>
                </c:pt>
                <c:pt idx="21">
                  <c:v>9.4738299999999999E-4</c:v>
                </c:pt>
                <c:pt idx="22">
                  <c:v>9.491026666666667E-4</c:v>
                </c:pt>
                <c:pt idx="23">
                  <c:v>9.5065433333333326E-4</c:v>
                </c:pt>
                <c:pt idx="24">
                  <c:v>9.5311133333333324E-4</c:v>
                </c:pt>
                <c:pt idx="25">
                  <c:v>9.5523366666666663E-4</c:v>
                </c:pt>
                <c:pt idx="26">
                  <c:v>9.5773500000000003E-4</c:v>
                </c:pt>
                <c:pt idx="27">
                  <c:v>9.6039499999999985E-4</c:v>
                </c:pt>
                <c:pt idx="28">
                  <c:v>9.6327333333333333E-4</c:v>
                </c:pt>
                <c:pt idx="29">
                  <c:v>5.5978E-6</c:v>
                </c:pt>
                <c:pt idx="30">
                  <c:v>5.4465466666666657E-6</c:v>
                </c:pt>
                <c:pt idx="31">
                  <c:v>5.269846666666667E-6</c:v>
                </c:pt>
                <c:pt idx="32">
                  <c:v>5.1274099999999992E-6</c:v>
                </c:pt>
                <c:pt idx="33">
                  <c:v>4.9935699999999995E-6</c:v>
                </c:pt>
                <c:pt idx="34">
                  <c:v>4.8879066666666671E-6</c:v>
                </c:pt>
                <c:pt idx="35">
                  <c:v>4.7853200000000003E-6</c:v>
                </c:pt>
                <c:pt idx="36">
                  <c:v>4.7127966666666662E-6</c:v>
                </c:pt>
                <c:pt idx="37">
                  <c:v>4.634456666666667E-6</c:v>
                </c:pt>
                <c:pt idx="38">
                  <c:v>4.5713466666666669E-6</c:v>
                </c:pt>
                <c:pt idx="39">
                  <c:v>5.6891999999999999E-4</c:v>
                </c:pt>
                <c:pt idx="40">
                  <c:v>5.8426766666666672E-4</c:v>
                </c:pt>
                <c:pt idx="41">
                  <c:v>5.93971E-4</c:v>
                </c:pt>
                <c:pt idx="42">
                  <c:v>6.0044800000000006E-4</c:v>
                </c:pt>
                <c:pt idx="43">
                  <c:v>6.0598866666666665E-4</c:v>
                </c:pt>
                <c:pt idx="44">
                  <c:v>6.1035166666666672E-4</c:v>
                </c:pt>
                <c:pt idx="45">
                  <c:v>6.1373266666666672E-4</c:v>
                </c:pt>
                <c:pt idx="46">
                  <c:v>6.1641366666666665E-4</c:v>
                </c:pt>
                <c:pt idx="47">
                  <c:v>6.1879700000000003E-4</c:v>
                </c:pt>
                <c:pt idx="48">
                  <c:v>6.2070166666666673E-4</c:v>
                </c:pt>
                <c:pt idx="49">
                  <c:v>6.2308533333333327E-4</c:v>
                </c:pt>
                <c:pt idx="50">
                  <c:v>6.2489499999999999E-4</c:v>
                </c:pt>
                <c:pt idx="51">
                  <c:v>6.2696133333333336E-4</c:v>
                </c:pt>
                <c:pt idx="52">
                  <c:v>6.2882666666666672E-4</c:v>
                </c:pt>
                <c:pt idx="53">
                  <c:v>6.3078666666666668E-4</c:v>
                </c:pt>
                <c:pt idx="54">
                  <c:v>6.3256433333333333E-4</c:v>
                </c:pt>
                <c:pt idx="55">
                  <c:v>6.3467333333333336E-4</c:v>
                </c:pt>
                <c:pt idx="56">
                  <c:v>6.3573966666666661E-4</c:v>
                </c:pt>
                <c:pt idx="57">
                  <c:v>6.37063E-4</c:v>
                </c:pt>
                <c:pt idx="58">
                  <c:v>6.392026666666666E-4</c:v>
                </c:pt>
                <c:pt idx="59">
                  <c:v>6.4093300000000011E-4</c:v>
                </c:pt>
                <c:pt idx="60">
                  <c:v>6.4219500000000003E-4</c:v>
                </c:pt>
                <c:pt idx="61">
                  <c:v>6.4439499999999997E-4</c:v>
                </c:pt>
                <c:pt idx="62">
                  <c:v>6.4617666666666668E-4</c:v>
                </c:pt>
                <c:pt idx="63">
                  <c:v>6.4787666666666667E-4</c:v>
                </c:pt>
                <c:pt idx="64">
                  <c:v>6.49575E-4</c:v>
                </c:pt>
                <c:pt idx="65">
                  <c:v>6.513766666666667E-4</c:v>
                </c:pt>
                <c:pt idx="66">
                  <c:v>6.5316500000000015E-4</c:v>
                </c:pt>
                <c:pt idx="67">
                  <c:v>6.5473000000000007E-4</c:v>
                </c:pt>
                <c:pt idx="68">
                  <c:v>4.3717533333333331E-6</c:v>
                </c:pt>
                <c:pt idx="69">
                  <c:v>4.3274700000000001E-6</c:v>
                </c:pt>
                <c:pt idx="70">
                  <c:v>4.2721799999999998E-6</c:v>
                </c:pt>
                <c:pt idx="71">
                  <c:v>4.2270599999999995E-6</c:v>
                </c:pt>
                <c:pt idx="72">
                  <c:v>4.1944433333333333E-6</c:v>
                </c:pt>
                <c:pt idx="73">
                  <c:v>4.1663433333333327E-6</c:v>
                </c:pt>
                <c:pt idx="74">
                  <c:v>4.1371800000000003E-6</c:v>
                </c:pt>
                <c:pt idx="75">
                  <c:v>4.1032833333333335E-6</c:v>
                </c:pt>
                <c:pt idx="76">
                  <c:v>4.0762900000000004E-6</c:v>
                </c:pt>
                <c:pt idx="77">
                  <c:v>4.0496799999999998E-6</c:v>
                </c:pt>
                <c:pt idx="78">
                  <c:v>5.5261166666666669E-4</c:v>
                </c:pt>
                <c:pt idx="79">
                  <c:v>5.6927300000000002E-4</c:v>
                </c:pt>
                <c:pt idx="80">
                  <c:v>5.7993633333333335E-4</c:v>
                </c:pt>
                <c:pt idx="81">
                  <c:v>5.8801099999999994E-4</c:v>
                </c:pt>
                <c:pt idx="82">
                  <c:v>5.9508399999999996E-4</c:v>
                </c:pt>
                <c:pt idx="83">
                  <c:v>6.0035833333333332E-4</c:v>
                </c:pt>
                <c:pt idx="84">
                  <c:v>6.0456033333333335E-4</c:v>
                </c:pt>
                <c:pt idx="85">
                  <c:v>6.0807566666666666E-4</c:v>
                </c:pt>
                <c:pt idx="86">
                  <c:v>6.1152899999999998E-4</c:v>
                </c:pt>
                <c:pt idx="87">
                  <c:v>6.1435433333333338E-4</c:v>
                </c:pt>
                <c:pt idx="88">
                  <c:v>6.1673800000000003E-4</c:v>
                </c:pt>
                <c:pt idx="89">
                  <c:v>6.1906199999999998E-4</c:v>
                </c:pt>
                <c:pt idx="90">
                  <c:v>6.2297966666666671E-4</c:v>
                </c:pt>
                <c:pt idx="91">
                  <c:v>6.2577999999999993E-4</c:v>
                </c:pt>
                <c:pt idx="92">
                  <c:v>6.2838066666666675E-4</c:v>
                </c:pt>
                <c:pt idx="93">
                  <c:v>6.3076799999999998E-4</c:v>
                </c:pt>
                <c:pt idx="94">
                  <c:v>6.3300366666666668E-4</c:v>
                </c:pt>
                <c:pt idx="95">
                  <c:v>6.3548433333333334E-4</c:v>
                </c:pt>
                <c:pt idx="96">
                  <c:v>6.3757033333333322E-4</c:v>
                </c:pt>
                <c:pt idx="97">
                  <c:v>6.3913233333333331E-4</c:v>
                </c:pt>
                <c:pt idx="98">
                  <c:v>6.4268166666666662E-4</c:v>
                </c:pt>
                <c:pt idx="99">
                  <c:v>6.4537299999999998E-4</c:v>
                </c:pt>
                <c:pt idx="100">
                  <c:v>6.4803233333333326E-4</c:v>
                </c:pt>
                <c:pt idx="101">
                  <c:v>6.5047399999999995E-4</c:v>
                </c:pt>
                <c:pt idx="102">
                  <c:v>6.5337866666666667E-4</c:v>
                </c:pt>
                <c:pt idx="103">
                  <c:v>6.5544133333333336E-4</c:v>
                </c:pt>
                <c:pt idx="104">
                  <c:v>6.5808000000000001E-4</c:v>
                </c:pt>
                <c:pt idx="105">
                  <c:v>6.6115699999999989E-4</c:v>
                </c:pt>
                <c:pt idx="106">
                  <c:v>6.6419433333333338E-4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A-0C40-BB45-0ED9043F8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298768"/>
        <c:axId val="2049692512"/>
      </c:scatterChart>
      <c:valAx>
        <c:axId val="204929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92512"/>
        <c:crosses val="autoZero"/>
        <c:crossBetween val="midCat"/>
      </c:valAx>
      <c:valAx>
        <c:axId val="2049692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9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P- 24 hpi'!$R$1:$R$2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hpi'!$R$3:$R$124</c:f>
              <c:numCache>
                <c:formatCode>General</c:formatCode>
                <c:ptCount val="122"/>
                <c:pt idx="0">
                  <c:v>1.7533266666666666E-4</c:v>
                </c:pt>
                <c:pt idx="1">
                  <c:v>1.7497833333333335E-4</c:v>
                </c:pt>
                <c:pt idx="2">
                  <c:v>1.7410699999999998E-4</c:v>
                </c:pt>
                <c:pt idx="3">
                  <c:v>1.7338800000000001E-4</c:v>
                </c:pt>
                <c:pt idx="4">
                  <c:v>1.7232733333333335E-4</c:v>
                </c:pt>
                <c:pt idx="5">
                  <c:v>1.7203833333333336E-4</c:v>
                </c:pt>
                <c:pt idx="6">
                  <c:v>1.7122166666666666E-4</c:v>
                </c:pt>
                <c:pt idx="7">
                  <c:v>1.7068866666666667E-4</c:v>
                </c:pt>
                <c:pt idx="8">
                  <c:v>1.7046266666666666E-4</c:v>
                </c:pt>
                <c:pt idx="9">
                  <c:v>1.6987233333333335E-4</c:v>
                </c:pt>
                <c:pt idx="10">
                  <c:v>1.6931900000000002E-4</c:v>
                </c:pt>
                <c:pt idx="11">
                  <c:v>1.6894133333333333E-4</c:v>
                </c:pt>
                <c:pt idx="12">
                  <c:v>1.6854500000000001E-4</c:v>
                </c:pt>
                <c:pt idx="13">
                  <c:v>1.68734E-4</c:v>
                </c:pt>
                <c:pt idx="14">
                  <c:v>1.6818433333333334E-4</c:v>
                </c:pt>
                <c:pt idx="15">
                  <c:v>1.6768766666666666E-4</c:v>
                </c:pt>
                <c:pt idx="16">
                  <c:v>1.6728699999999999E-4</c:v>
                </c:pt>
                <c:pt idx="17">
                  <c:v>1.6797333333333332E-4</c:v>
                </c:pt>
                <c:pt idx="18">
                  <c:v>1.6780066666666668E-4</c:v>
                </c:pt>
                <c:pt idx="19">
                  <c:v>1.6747566666666669E-4</c:v>
                </c:pt>
                <c:pt idx="20">
                  <c:v>1.6780866666666664E-4</c:v>
                </c:pt>
                <c:pt idx="21">
                  <c:v>1.6760333333333335E-4</c:v>
                </c:pt>
                <c:pt idx="22">
                  <c:v>1.6793866666666669E-4</c:v>
                </c:pt>
                <c:pt idx="23">
                  <c:v>1.6820033333333334E-4</c:v>
                </c:pt>
                <c:pt idx="24">
                  <c:v>1.6810999999999999E-4</c:v>
                </c:pt>
                <c:pt idx="25">
                  <c:v>1.6849433333333331E-4</c:v>
                </c:pt>
                <c:pt idx="26">
                  <c:v>1.68476E-4</c:v>
                </c:pt>
                <c:pt idx="27">
                  <c:v>1.6895699999999999E-4</c:v>
                </c:pt>
                <c:pt idx="28">
                  <c:v>1.6912766666666665E-4</c:v>
                </c:pt>
                <c:pt idx="29">
                  <c:v>2.8163100000000001E-5</c:v>
                </c:pt>
                <c:pt idx="30">
                  <c:v>2.7615899999999998E-5</c:v>
                </c:pt>
                <c:pt idx="31">
                  <c:v>2.7080200000000002E-5</c:v>
                </c:pt>
                <c:pt idx="32">
                  <c:v>2.6698233333333335E-5</c:v>
                </c:pt>
                <c:pt idx="33">
                  <c:v>2.6347633333333335E-5</c:v>
                </c:pt>
                <c:pt idx="34">
                  <c:v>2.6043300000000002E-5</c:v>
                </c:pt>
                <c:pt idx="35">
                  <c:v>2.5758733333333331E-5</c:v>
                </c:pt>
                <c:pt idx="36">
                  <c:v>2.5571833333333331E-5</c:v>
                </c:pt>
                <c:pt idx="37">
                  <c:v>2.5409699999999998E-5</c:v>
                </c:pt>
                <c:pt idx="38">
                  <c:v>2.527586666666667E-5</c:v>
                </c:pt>
                <c:pt idx="39">
                  <c:v>1.3894066666666666E-4</c:v>
                </c:pt>
                <c:pt idx="40">
                  <c:v>1.36608E-4</c:v>
                </c:pt>
                <c:pt idx="41">
                  <c:v>1.3475E-4</c:v>
                </c:pt>
                <c:pt idx="42">
                  <c:v>1.3204000000000002E-4</c:v>
                </c:pt>
                <c:pt idx="43">
                  <c:v>1.3125800000000001E-4</c:v>
                </c:pt>
                <c:pt idx="44">
                  <c:v>1.3085033333333333E-4</c:v>
                </c:pt>
                <c:pt idx="45">
                  <c:v>1.3043333333333335E-4</c:v>
                </c:pt>
                <c:pt idx="46">
                  <c:v>1.30636E-4</c:v>
                </c:pt>
                <c:pt idx="47">
                  <c:v>1.3022733333333333E-4</c:v>
                </c:pt>
                <c:pt idx="48">
                  <c:v>1.3046566666666666E-4</c:v>
                </c:pt>
                <c:pt idx="49">
                  <c:v>1.3020633333333333E-4</c:v>
                </c:pt>
                <c:pt idx="50">
                  <c:v>1.2980933333333334E-4</c:v>
                </c:pt>
                <c:pt idx="51">
                  <c:v>1.2965499999999998E-4</c:v>
                </c:pt>
                <c:pt idx="52">
                  <c:v>1.2976133333333334E-4</c:v>
                </c:pt>
                <c:pt idx="53">
                  <c:v>1.2993099999999999E-4</c:v>
                </c:pt>
                <c:pt idx="54">
                  <c:v>1.3016566666666668E-4</c:v>
                </c:pt>
                <c:pt idx="55">
                  <c:v>1.3033166666666666E-4</c:v>
                </c:pt>
                <c:pt idx="56">
                  <c:v>1.3070066666666667E-4</c:v>
                </c:pt>
                <c:pt idx="57">
                  <c:v>1.3099800000000001E-4</c:v>
                </c:pt>
                <c:pt idx="58">
                  <c:v>1.3089833333333333E-4</c:v>
                </c:pt>
                <c:pt idx="59">
                  <c:v>1.31011E-4</c:v>
                </c:pt>
                <c:pt idx="60">
                  <c:v>1.3120366666666665E-4</c:v>
                </c:pt>
                <c:pt idx="61">
                  <c:v>1.31481E-4</c:v>
                </c:pt>
                <c:pt idx="62">
                  <c:v>1.31808E-4</c:v>
                </c:pt>
                <c:pt idx="63">
                  <c:v>1.3210866666666664E-4</c:v>
                </c:pt>
                <c:pt idx="64">
                  <c:v>1.322723333333333E-4</c:v>
                </c:pt>
                <c:pt idx="65">
                  <c:v>1.32989E-4</c:v>
                </c:pt>
                <c:pt idx="66">
                  <c:v>1.3317433333333333E-4</c:v>
                </c:pt>
                <c:pt idx="67">
                  <c:v>1.3349766666666667E-4</c:v>
                </c:pt>
                <c:pt idx="68">
                  <c:v>2.4930833333333332E-5</c:v>
                </c:pt>
                <c:pt idx="69">
                  <c:v>2.48249E-5</c:v>
                </c:pt>
                <c:pt idx="70">
                  <c:v>2.4697566666666669E-5</c:v>
                </c:pt>
                <c:pt idx="71">
                  <c:v>2.4623133333333335E-5</c:v>
                </c:pt>
                <c:pt idx="72">
                  <c:v>2.4586933333333333E-5</c:v>
                </c:pt>
                <c:pt idx="73">
                  <c:v>2.4554866666666664E-5</c:v>
                </c:pt>
                <c:pt idx="74">
                  <c:v>2.45142E-5</c:v>
                </c:pt>
                <c:pt idx="75">
                  <c:v>2.4476533333333335E-5</c:v>
                </c:pt>
                <c:pt idx="76">
                  <c:v>2.4462000000000001E-5</c:v>
                </c:pt>
                <c:pt idx="77">
                  <c:v>2.4419266666666665E-5</c:v>
                </c:pt>
                <c:pt idx="78">
                  <c:v>1.4404999999999998E-4</c:v>
                </c:pt>
                <c:pt idx="79">
                  <c:v>1.4015166666666668E-4</c:v>
                </c:pt>
                <c:pt idx="80">
                  <c:v>1.3737066666666666E-4</c:v>
                </c:pt>
                <c:pt idx="81">
                  <c:v>1.3542866666666666E-4</c:v>
                </c:pt>
                <c:pt idx="82">
                  <c:v>1.3483899999999999E-4</c:v>
                </c:pt>
                <c:pt idx="83">
                  <c:v>1.3448866666666666E-4</c:v>
                </c:pt>
                <c:pt idx="84">
                  <c:v>1.3489466666666665E-4</c:v>
                </c:pt>
                <c:pt idx="85">
                  <c:v>1.3540899999999999E-4</c:v>
                </c:pt>
                <c:pt idx="86">
                  <c:v>1.3494099999999999E-4</c:v>
                </c:pt>
                <c:pt idx="87">
                  <c:v>1.3525400000000002E-4</c:v>
                </c:pt>
                <c:pt idx="88">
                  <c:v>1.3481666666666665E-4</c:v>
                </c:pt>
                <c:pt idx="89">
                  <c:v>1.3427766666666664E-4</c:v>
                </c:pt>
                <c:pt idx="90">
                  <c:v>1.3448833333333334E-4</c:v>
                </c:pt>
                <c:pt idx="91">
                  <c:v>1.3503666666666667E-4</c:v>
                </c:pt>
                <c:pt idx="92">
                  <c:v>1.3542766666666667E-4</c:v>
                </c:pt>
                <c:pt idx="93">
                  <c:v>1.3591366666666665E-4</c:v>
                </c:pt>
                <c:pt idx="94">
                  <c:v>1.3655533333333333E-4</c:v>
                </c:pt>
                <c:pt idx="95">
                  <c:v>1.3696766666666666E-4</c:v>
                </c:pt>
                <c:pt idx="96">
                  <c:v>1.3706466666666664E-4</c:v>
                </c:pt>
                <c:pt idx="97">
                  <c:v>1.36518E-4</c:v>
                </c:pt>
                <c:pt idx="98">
                  <c:v>1.3755533333333333E-4</c:v>
                </c:pt>
                <c:pt idx="99">
                  <c:v>1.3760566666666668E-4</c:v>
                </c:pt>
                <c:pt idx="100">
                  <c:v>1.3827066666666666E-4</c:v>
                </c:pt>
                <c:pt idx="101">
                  <c:v>1.3875000000000001E-4</c:v>
                </c:pt>
                <c:pt idx="102">
                  <c:v>1.3968233333333332E-4</c:v>
                </c:pt>
                <c:pt idx="103">
                  <c:v>1.3988566666666669E-4</c:v>
                </c:pt>
                <c:pt idx="104">
                  <c:v>1.4057266666666666E-4</c:v>
                </c:pt>
                <c:pt idx="105">
                  <c:v>1.4084733333333334E-4</c:v>
                </c:pt>
                <c:pt idx="106">
                  <c:v>1.4102533333333332E-4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8-404F-9D6A-290D5CA07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245056"/>
        <c:axId val="2024240288"/>
      </c:scatterChart>
      <c:valAx>
        <c:axId val="202424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0288"/>
        <c:crosses val="autoZero"/>
        <c:crossBetween val="midCat"/>
      </c:valAx>
      <c:valAx>
        <c:axId val="20242402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P- 24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hpi'!$B$3:$B$116</c:f>
              <c:numCache>
                <c:formatCode>General</c:formatCode>
                <c:ptCount val="114"/>
                <c:pt idx="0">
                  <c:v>1.1883E-3</c:v>
                </c:pt>
                <c:pt idx="1">
                  <c:v>1.1864099999999999E-3</c:v>
                </c:pt>
                <c:pt idx="2">
                  <c:v>1.18593E-3</c:v>
                </c:pt>
                <c:pt idx="3">
                  <c:v>1.18735E-3</c:v>
                </c:pt>
                <c:pt idx="4">
                  <c:v>1.1859699999999999E-3</c:v>
                </c:pt>
                <c:pt idx="5">
                  <c:v>1.1848799999999999E-3</c:v>
                </c:pt>
                <c:pt idx="6">
                  <c:v>1.1837900000000001E-3</c:v>
                </c:pt>
                <c:pt idx="7">
                  <c:v>1.18358E-3</c:v>
                </c:pt>
                <c:pt idx="8">
                  <c:v>1.1813800000000001E-3</c:v>
                </c:pt>
                <c:pt idx="9">
                  <c:v>1.1805299999999999E-3</c:v>
                </c:pt>
                <c:pt idx="10">
                  <c:v>1.1809699999999999E-3</c:v>
                </c:pt>
                <c:pt idx="11">
                  <c:v>1.1799200000000001E-3</c:v>
                </c:pt>
                <c:pt idx="12">
                  <c:v>1.1802799999999999E-3</c:v>
                </c:pt>
                <c:pt idx="13">
                  <c:v>1.18005E-3</c:v>
                </c:pt>
                <c:pt idx="14">
                  <c:v>1.17964E-3</c:v>
                </c:pt>
                <c:pt idx="15">
                  <c:v>1.1812700000000001E-3</c:v>
                </c:pt>
                <c:pt idx="16">
                  <c:v>1.1808299999999999E-3</c:v>
                </c:pt>
                <c:pt idx="17">
                  <c:v>1.18118E-3</c:v>
                </c:pt>
                <c:pt idx="18">
                  <c:v>1.18118E-3</c:v>
                </c:pt>
                <c:pt idx="19">
                  <c:v>1.18323E-3</c:v>
                </c:pt>
                <c:pt idx="20">
                  <c:v>1.1850299999999999E-3</c:v>
                </c:pt>
                <c:pt idx="21">
                  <c:v>1.1872E-3</c:v>
                </c:pt>
                <c:pt idx="22">
                  <c:v>1.188E-3</c:v>
                </c:pt>
                <c:pt idx="23">
                  <c:v>1.18957E-3</c:v>
                </c:pt>
                <c:pt idx="24">
                  <c:v>1.19173E-3</c:v>
                </c:pt>
                <c:pt idx="25">
                  <c:v>1.1934700000000001E-3</c:v>
                </c:pt>
                <c:pt idx="26">
                  <c:v>1.19582E-3</c:v>
                </c:pt>
                <c:pt idx="27">
                  <c:v>1.19721E-3</c:v>
                </c:pt>
                <c:pt idx="28">
                  <c:v>1.1991899999999999E-3</c:v>
                </c:pt>
                <c:pt idx="29">
                  <c:v>3.3295999999999999E-6</c:v>
                </c:pt>
                <c:pt idx="30">
                  <c:v>3.29249E-6</c:v>
                </c:pt>
                <c:pt idx="31">
                  <c:v>3.23215E-6</c:v>
                </c:pt>
                <c:pt idx="32">
                  <c:v>3.1810799999999998E-6</c:v>
                </c:pt>
                <c:pt idx="33">
                  <c:v>3.12564E-6</c:v>
                </c:pt>
                <c:pt idx="34">
                  <c:v>3.0987500000000002E-6</c:v>
                </c:pt>
                <c:pt idx="35">
                  <c:v>3.0615100000000001E-6</c:v>
                </c:pt>
                <c:pt idx="36">
                  <c:v>3.0454999999999999E-6</c:v>
                </c:pt>
                <c:pt idx="37">
                  <c:v>3.00888E-6</c:v>
                </c:pt>
                <c:pt idx="38">
                  <c:v>2.9916700000000001E-6</c:v>
                </c:pt>
                <c:pt idx="39">
                  <c:v>7.7238199999999995E-4</c:v>
                </c:pt>
                <c:pt idx="40">
                  <c:v>7.9070300000000002E-4</c:v>
                </c:pt>
                <c:pt idx="41">
                  <c:v>8.0311900000000003E-4</c:v>
                </c:pt>
                <c:pt idx="42">
                  <c:v>8.1012599999999999E-4</c:v>
                </c:pt>
                <c:pt idx="43">
                  <c:v>8.16682E-4</c:v>
                </c:pt>
                <c:pt idx="44">
                  <c:v>8.2167700000000004E-4</c:v>
                </c:pt>
                <c:pt idx="45">
                  <c:v>8.2529999999999995E-4</c:v>
                </c:pt>
                <c:pt idx="46">
                  <c:v>8.27734E-4</c:v>
                </c:pt>
                <c:pt idx="47">
                  <c:v>8.2890199999999996E-4</c:v>
                </c:pt>
                <c:pt idx="48">
                  <c:v>8.3034000000000005E-4</c:v>
                </c:pt>
                <c:pt idx="49">
                  <c:v>8.3237399999999998E-4</c:v>
                </c:pt>
                <c:pt idx="50">
                  <c:v>8.3257800000000005E-4</c:v>
                </c:pt>
                <c:pt idx="51">
                  <c:v>8.3422300000000004E-4</c:v>
                </c:pt>
                <c:pt idx="52">
                  <c:v>8.3609600000000004E-4</c:v>
                </c:pt>
                <c:pt idx="53">
                  <c:v>8.3729599999999996E-4</c:v>
                </c:pt>
                <c:pt idx="54">
                  <c:v>8.3803600000000001E-4</c:v>
                </c:pt>
                <c:pt idx="55">
                  <c:v>8.3891900000000004E-4</c:v>
                </c:pt>
                <c:pt idx="56">
                  <c:v>8.3911100000000002E-4</c:v>
                </c:pt>
                <c:pt idx="57">
                  <c:v>8.3895599999999997E-4</c:v>
                </c:pt>
                <c:pt idx="58">
                  <c:v>8.3960100000000004E-4</c:v>
                </c:pt>
                <c:pt idx="59">
                  <c:v>8.4033299999999997E-4</c:v>
                </c:pt>
                <c:pt idx="60">
                  <c:v>8.4127599999999996E-4</c:v>
                </c:pt>
                <c:pt idx="61">
                  <c:v>8.4253099999999999E-4</c:v>
                </c:pt>
                <c:pt idx="62">
                  <c:v>8.4268199999999998E-4</c:v>
                </c:pt>
                <c:pt idx="63">
                  <c:v>8.4283800000000005E-4</c:v>
                </c:pt>
                <c:pt idx="64">
                  <c:v>8.4314600000000002E-4</c:v>
                </c:pt>
                <c:pt idx="65">
                  <c:v>8.4330199999999998E-4</c:v>
                </c:pt>
                <c:pt idx="66">
                  <c:v>8.4398000000000003E-4</c:v>
                </c:pt>
                <c:pt idx="67">
                  <c:v>8.4393599999999999E-4</c:v>
                </c:pt>
                <c:pt idx="68">
                  <c:v>2.8949800000000001E-6</c:v>
                </c:pt>
                <c:pt idx="69">
                  <c:v>2.89763E-6</c:v>
                </c:pt>
                <c:pt idx="70">
                  <c:v>2.8827099999999998E-6</c:v>
                </c:pt>
                <c:pt idx="71">
                  <c:v>2.87431E-6</c:v>
                </c:pt>
                <c:pt idx="72">
                  <c:v>2.8671999999999998E-6</c:v>
                </c:pt>
                <c:pt idx="73">
                  <c:v>2.8612600000000002E-6</c:v>
                </c:pt>
                <c:pt idx="74">
                  <c:v>2.8496600000000002E-6</c:v>
                </c:pt>
                <c:pt idx="75">
                  <c:v>2.8422800000000002E-6</c:v>
                </c:pt>
                <c:pt idx="76">
                  <c:v>2.8359100000000001E-6</c:v>
                </c:pt>
                <c:pt idx="77">
                  <c:v>2.8327800000000001E-6</c:v>
                </c:pt>
                <c:pt idx="78">
                  <c:v>6.8194700000000002E-4</c:v>
                </c:pt>
                <c:pt idx="79">
                  <c:v>7.0152799999999998E-4</c:v>
                </c:pt>
                <c:pt idx="80">
                  <c:v>7.1381899999999998E-4</c:v>
                </c:pt>
                <c:pt idx="81">
                  <c:v>7.2259400000000001E-4</c:v>
                </c:pt>
                <c:pt idx="82">
                  <c:v>7.2929899999999998E-4</c:v>
                </c:pt>
                <c:pt idx="83">
                  <c:v>7.3373600000000002E-4</c:v>
                </c:pt>
                <c:pt idx="84">
                  <c:v>7.3799E-4</c:v>
                </c:pt>
                <c:pt idx="85">
                  <c:v>7.4184000000000001E-4</c:v>
                </c:pt>
                <c:pt idx="86">
                  <c:v>7.4464400000000004E-4</c:v>
                </c:pt>
                <c:pt idx="87">
                  <c:v>7.4759800000000003E-4</c:v>
                </c:pt>
                <c:pt idx="88">
                  <c:v>7.5020700000000002E-4</c:v>
                </c:pt>
                <c:pt idx="89">
                  <c:v>7.51252E-4</c:v>
                </c:pt>
                <c:pt idx="90">
                  <c:v>7.5434999999999999E-4</c:v>
                </c:pt>
                <c:pt idx="91">
                  <c:v>7.5588599999999999E-4</c:v>
                </c:pt>
                <c:pt idx="92">
                  <c:v>7.5733400000000002E-4</c:v>
                </c:pt>
                <c:pt idx="93">
                  <c:v>7.5916099999999995E-4</c:v>
                </c:pt>
                <c:pt idx="94">
                  <c:v>7.6058099999999997E-4</c:v>
                </c:pt>
                <c:pt idx="95">
                  <c:v>7.6182599999999995E-4</c:v>
                </c:pt>
                <c:pt idx="96">
                  <c:v>7.6288599999999995E-4</c:v>
                </c:pt>
                <c:pt idx="97">
                  <c:v>7.6246699999999996E-4</c:v>
                </c:pt>
                <c:pt idx="98">
                  <c:v>7.65189E-4</c:v>
                </c:pt>
                <c:pt idx="99">
                  <c:v>7.6628500000000001E-4</c:v>
                </c:pt>
                <c:pt idx="100">
                  <c:v>7.6791000000000001E-4</c:v>
                </c:pt>
                <c:pt idx="101">
                  <c:v>7.6737300000000001E-4</c:v>
                </c:pt>
                <c:pt idx="102">
                  <c:v>7.6827299999999998E-4</c:v>
                </c:pt>
                <c:pt idx="103">
                  <c:v>7.6893199999999995E-4</c:v>
                </c:pt>
                <c:pt idx="104">
                  <c:v>7.7053699999999996E-4</c:v>
                </c:pt>
                <c:pt idx="105">
                  <c:v>7.7289999999999998E-4</c:v>
                </c:pt>
                <c:pt idx="106">
                  <c:v>7.7437600000000001E-4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0-4A7C-9806-A5BEDCDEB043}"/>
            </c:ext>
          </c:extLst>
        </c:ser>
        <c:ser>
          <c:idx val="1"/>
          <c:order val="1"/>
          <c:tx>
            <c:strRef>
              <c:f>'1233 P- 24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hpi'!$G$3:$G$116</c:f>
              <c:numCache>
                <c:formatCode>0.00E+00</c:formatCode>
                <c:ptCount val="114"/>
                <c:pt idx="0">
                  <c:v>9.0278799999999996E-4</c:v>
                </c:pt>
                <c:pt idx="1">
                  <c:v>9.0132799999999996E-4</c:v>
                </c:pt>
                <c:pt idx="2">
                  <c:v>9.0258700000000005E-4</c:v>
                </c:pt>
                <c:pt idx="3">
                  <c:v>9.0287500000000003E-4</c:v>
                </c:pt>
                <c:pt idx="4">
                  <c:v>9.0038499999999997E-4</c:v>
                </c:pt>
                <c:pt idx="5">
                  <c:v>8.9939200000000005E-4</c:v>
                </c:pt>
                <c:pt idx="6">
                  <c:v>8.9919100000000003E-4</c:v>
                </c:pt>
                <c:pt idx="7">
                  <c:v>8.9861300000000004E-4</c:v>
                </c:pt>
                <c:pt idx="8">
                  <c:v>8.9708400000000003E-4</c:v>
                </c:pt>
                <c:pt idx="9">
                  <c:v>8.9574700000000001E-4</c:v>
                </c:pt>
                <c:pt idx="10">
                  <c:v>8.95932E-4</c:v>
                </c:pt>
                <c:pt idx="11">
                  <c:v>8.9442999999999999E-4</c:v>
                </c:pt>
                <c:pt idx="12">
                  <c:v>8.9286599999999997E-4</c:v>
                </c:pt>
                <c:pt idx="13">
                  <c:v>8.9154900000000005E-4</c:v>
                </c:pt>
                <c:pt idx="14">
                  <c:v>8.9229800000000003E-4</c:v>
                </c:pt>
                <c:pt idx="15">
                  <c:v>8.9216700000000003E-4</c:v>
                </c:pt>
                <c:pt idx="16">
                  <c:v>8.9225800000000005E-4</c:v>
                </c:pt>
                <c:pt idx="17">
                  <c:v>8.9189200000000003E-4</c:v>
                </c:pt>
                <c:pt idx="18">
                  <c:v>8.9326900000000003E-4</c:v>
                </c:pt>
                <c:pt idx="19">
                  <c:v>8.9349500000000001E-4</c:v>
                </c:pt>
                <c:pt idx="20">
                  <c:v>8.9436599999999995E-4</c:v>
                </c:pt>
                <c:pt idx="21">
                  <c:v>8.95574E-4</c:v>
                </c:pt>
                <c:pt idx="22">
                  <c:v>8.9765400000000001E-4</c:v>
                </c:pt>
                <c:pt idx="23">
                  <c:v>8.9864100000000004E-4</c:v>
                </c:pt>
                <c:pt idx="24">
                  <c:v>9.0052299999999997E-4</c:v>
                </c:pt>
                <c:pt idx="25">
                  <c:v>9.02625E-4</c:v>
                </c:pt>
                <c:pt idx="26">
                  <c:v>9.0510899999999997E-4</c:v>
                </c:pt>
                <c:pt idx="27">
                  <c:v>9.0814300000000004E-4</c:v>
                </c:pt>
                <c:pt idx="28">
                  <c:v>9.1017799999999999E-4</c:v>
                </c:pt>
                <c:pt idx="29">
                  <c:v>5.4770700000000001E-6</c:v>
                </c:pt>
                <c:pt idx="30">
                  <c:v>5.3113700000000001E-6</c:v>
                </c:pt>
                <c:pt idx="31">
                  <c:v>5.1385E-6</c:v>
                </c:pt>
                <c:pt idx="32">
                  <c:v>4.9895100000000001E-6</c:v>
                </c:pt>
                <c:pt idx="33">
                  <c:v>4.85673E-6</c:v>
                </c:pt>
                <c:pt idx="34">
                  <c:v>4.7342000000000003E-6</c:v>
                </c:pt>
                <c:pt idx="35">
                  <c:v>4.6406500000000002E-6</c:v>
                </c:pt>
                <c:pt idx="36">
                  <c:v>4.5659800000000003E-6</c:v>
                </c:pt>
                <c:pt idx="37">
                  <c:v>4.4966799999999999E-6</c:v>
                </c:pt>
                <c:pt idx="38">
                  <c:v>4.4319800000000004E-6</c:v>
                </c:pt>
                <c:pt idx="39">
                  <c:v>5.0415900000000001E-4</c:v>
                </c:pt>
                <c:pt idx="40">
                  <c:v>5.18798E-4</c:v>
                </c:pt>
                <c:pt idx="41">
                  <c:v>5.2641799999999996E-4</c:v>
                </c:pt>
                <c:pt idx="42">
                  <c:v>5.3231199999999995E-4</c:v>
                </c:pt>
                <c:pt idx="43">
                  <c:v>5.3662000000000002E-4</c:v>
                </c:pt>
                <c:pt idx="44">
                  <c:v>5.4003700000000005E-4</c:v>
                </c:pt>
                <c:pt idx="45">
                  <c:v>5.4274300000000004E-4</c:v>
                </c:pt>
                <c:pt idx="46">
                  <c:v>5.4486699999999999E-4</c:v>
                </c:pt>
                <c:pt idx="47">
                  <c:v>5.4770100000000005E-4</c:v>
                </c:pt>
                <c:pt idx="48">
                  <c:v>5.50404E-4</c:v>
                </c:pt>
                <c:pt idx="49">
                  <c:v>5.5263299999999997E-4</c:v>
                </c:pt>
                <c:pt idx="50">
                  <c:v>5.5471299999999997E-4</c:v>
                </c:pt>
                <c:pt idx="51">
                  <c:v>5.5676499999999997E-4</c:v>
                </c:pt>
                <c:pt idx="52">
                  <c:v>5.5807999999999997E-4</c:v>
                </c:pt>
                <c:pt idx="53">
                  <c:v>5.59762E-4</c:v>
                </c:pt>
                <c:pt idx="54">
                  <c:v>5.6203399999999999E-4</c:v>
                </c:pt>
                <c:pt idx="55">
                  <c:v>5.6448399999999997E-4</c:v>
                </c:pt>
                <c:pt idx="56">
                  <c:v>5.6646099999999998E-4</c:v>
                </c:pt>
                <c:pt idx="57">
                  <c:v>5.6784800000000003E-4</c:v>
                </c:pt>
                <c:pt idx="58">
                  <c:v>5.71131E-4</c:v>
                </c:pt>
                <c:pt idx="59">
                  <c:v>5.7334200000000001E-4</c:v>
                </c:pt>
                <c:pt idx="60">
                  <c:v>5.7379299999999996E-4</c:v>
                </c:pt>
                <c:pt idx="61">
                  <c:v>5.7567800000000004E-4</c:v>
                </c:pt>
                <c:pt idx="62">
                  <c:v>5.7816699999999998E-4</c:v>
                </c:pt>
                <c:pt idx="63">
                  <c:v>5.8132599999999996E-4</c:v>
                </c:pt>
                <c:pt idx="64">
                  <c:v>5.8288299999999997E-4</c:v>
                </c:pt>
                <c:pt idx="65">
                  <c:v>5.85908E-4</c:v>
                </c:pt>
                <c:pt idx="66">
                  <c:v>5.8803800000000004E-4</c:v>
                </c:pt>
                <c:pt idx="67">
                  <c:v>5.9127099999999998E-4</c:v>
                </c:pt>
                <c:pt idx="68">
                  <c:v>4.1249899999999996E-6</c:v>
                </c:pt>
                <c:pt idx="69">
                  <c:v>4.0826399999999999E-6</c:v>
                </c:pt>
                <c:pt idx="70">
                  <c:v>4.0366100000000003E-6</c:v>
                </c:pt>
                <c:pt idx="71">
                  <c:v>3.9926999999999999E-6</c:v>
                </c:pt>
                <c:pt idx="72">
                  <c:v>3.9613399999999999E-6</c:v>
                </c:pt>
                <c:pt idx="73">
                  <c:v>3.9314299999999997E-6</c:v>
                </c:pt>
                <c:pt idx="74">
                  <c:v>3.9045100000000003E-6</c:v>
                </c:pt>
                <c:pt idx="75">
                  <c:v>3.8890000000000004E-6</c:v>
                </c:pt>
                <c:pt idx="76">
                  <c:v>3.8554899999999999E-6</c:v>
                </c:pt>
                <c:pt idx="77">
                  <c:v>3.8361399999999998E-6</c:v>
                </c:pt>
                <c:pt idx="78">
                  <c:v>5.4291599999999995E-4</c:v>
                </c:pt>
                <c:pt idx="79">
                  <c:v>5.5835300000000004E-4</c:v>
                </c:pt>
                <c:pt idx="80">
                  <c:v>5.6786499999999997E-4</c:v>
                </c:pt>
                <c:pt idx="81">
                  <c:v>5.7479600000000003E-4</c:v>
                </c:pt>
                <c:pt idx="82">
                  <c:v>5.8145199999999999E-4</c:v>
                </c:pt>
                <c:pt idx="83">
                  <c:v>5.8675100000000005E-4</c:v>
                </c:pt>
                <c:pt idx="84">
                  <c:v>5.9081499999999996E-4</c:v>
                </c:pt>
                <c:pt idx="85">
                  <c:v>5.9358299999999996E-4</c:v>
                </c:pt>
                <c:pt idx="86">
                  <c:v>5.96657E-4</c:v>
                </c:pt>
                <c:pt idx="87">
                  <c:v>5.9893800000000003E-4</c:v>
                </c:pt>
                <c:pt idx="88">
                  <c:v>6.0159700000000005E-4</c:v>
                </c:pt>
                <c:pt idx="89">
                  <c:v>6.0333100000000003E-4</c:v>
                </c:pt>
                <c:pt idx="90">
                  <c:v>6.0703299999999999E-4</c:v>
                </c:pt>
                <c:pt idx="91">
                  <c:v>6.0932599999999999E-4</c:v>
                </c:pt>
                <c:pt idx="92">
                  <c:v>6.1236600000000004E-4</c:v>
                </c:pt>
                <c:pt idx="93">
                  <c:v>6.1363499999999996E-4</c:v>
                </c:pt>
                <c:pt idx="94">
                  <c:v>6.1503100000000004E-4</c:v>
                </c:pt>
                <c:pt idx="95">
                  <c:v>6.1717399999999996E-4</c:v>
                </c:pt>
                <c:pt idx="96">
                  <c:v>6.1952299999999997E-4</c:v>
                </c:pt>
                <c:pt idx="97">
                  <c:v>6.2076099999999995E-4</c:v>
                </c:pt>
                <c:pt idx="98">
                  <c:v>6.2316599999999998E-4</c:v>
                </c:pt>
                <c:pt idx="99">
                  <c:v>6.2586900000000003E-4</c:v>
                </c:pt>
                <c:pt idx="100">
                  <c:v>6.2806899999999998E-4</c:v>
                </c:pt>
                <c:pt idx="101">
                  <c:v>6.3057599999999999E-4</c:v>
                </c:pt>
                <c:pt idx="102">
                  <c:v>6.3326799999999998E-4</c:v>
                </c:pt>
                <c:pt idx="103">
                  <c:v>6.3472500000000005E-4</c:v>
                </c:pt>
                <c:pt idx="104">
                  <c:v>6.3715899999999999E-4</c:v>
                </c:pt>
                <c:pt idx="105">
                  <c:v>6.3862900000000004E-4</c:v>
                </c:pt>
                <c:pt idx="106">
                  <c:v>6.4163299999999996E-4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A0-4A7C-9806-A5BEDCDEB043}"/>
            </c:ext>
          </c:extLst>
        </c:ser>
        <c:ser>
          <c:idx val="2"/>
          <c:order val="2"/>
          <c:tx>
            <c:strRef>
              <c:f>'1233 P- 24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hpi'!$L$3:$L$116</c:f>
              <c:numCache>
                <c:formatCode>0.00E+00</c:formatCode>
                <c:ptCount val="114"/>
                <c:pt idx="0">
                  <c:v>7.2271800000000001E-4</c:v>
                </c:pt>
                <c:pt idx="1">
                  <c:v>7.2598400000000005E-4</c:v>
                </c:pt>
                <c:pt idx="2">
                  <c:v>7.2793399999999996E-4</c:v>
                </c:pt>
                <c:pt idx="3">
                  <c:v>7.3027599999999997E-4</c:v>
                </c:pt>
                <c:pt idx="4">
                  <c:v>7.3194999999999998E-4</c:v>
                </c:pt>
                <c:pt idx="5">
                  <c:v>7.3301300000000002E-4</c:v>
                </c:pt>
                <c:pt idx="6">
                  <c:v>7.35504E-4</c:v>
                </c:pt>
                <c:pt idx="7">
                  <c:v>7.3627999999999996E-4</c:v>
                </c:pt>
                <c:pt idx="8">
                  <c:v>7.3780799999999995E-4</c:v>
                </c:pt>
                <c:pt idx="9">
                  <c:v>7.3955400000000001E-4</c:v>
                </c:pt>
                <c:pt idx="10">
                  <c:v>7.4048099999999997E-4</c:v>
                </c:pt>
                <c:pt idx="11">
                  <c:v>7.4125600000000003E-4</c:v>
                </c:pt>
                <c:pt idx="12">
                  <c:v>7.4286199999999995E-4</c:v>
                </c:pt>
                <c:pt idx="13">
                  <c:v>7.4299900000000005E-4</c:v>
                </c:pt>
                <c:pt idx="14">
                  <c:v>7.4514299999999998E-4</c:v>
                </c:pt>
                <c:pt idx="15">
                  <c:v>7.4671199999999996E-4</c:v>
                </c:pt>
                <c:pt idx="16">
                  <c:v>7.4898800000000002E-4</c:v>
                </c:pt>
                <c:pt idx="17">
                  <c:v>7.5095000000000001E-4</c:v>
                </c:pt>
                <c:pt idx="18">
                  <c:v>7.5238400000000004E-4</c:v>
                </c:pt>
                <c:pt idx="19">
                  <c:v>7.5395200000000001E-4</c:v>
                </c:pt>
                <c:pt idx="20">
                  <c:v>7.5685900000000003E-4</c:v>
                </c:pt>
                <c:pt idx="21">
                  <c:v>7.5937499999999996E-4</c:v>
                </c:pt>
                <c:pt idx="22">
                  <c:v>7.6165399999999996E-4</c:v>
                </c:pt>
                <c:pt idx="23">
                  <c:v>7.6375200000000003E-4</c:v>
                </c:pt>
                <c:pt idx="24">
                  <c:v>7.6708099999999997E-4</c:v>
                </c:pt>
                <c:pt idx="25">
                  <c:v>7.6960600000000004E-4</c:v>
                </c:pt>
                <c:pt idx="26">
                  <c:v>7.7227600000000002E-4</c:v>
                </c:pt>
                <c:pt idx="27">
                  <c:v>7.7583199999999995E-4</c:v>
                </c:pt>
                <c:pt idx="28">
                  <c:v>7.8045199999999995E-4</c:v>
                </c:pt>
                <c:pt idx="29">
                  <c:v>7.9867299999999997E-6</c:v>
                </c:pt>
                <c:pt idx="30">
                  <c:v>7.73578E-6</c:v>
                </c:pt>
                <c:pt idx="31">
                  <c:v>7.4388900000000002E-6</c:v>
                </c:pt>
                <c:pt idx="32">
                  <c:v>7.21164E-6</c:v>
                </c:pt>
                <c:pt idx="33">
                  <c:v>6.9983399999999998E-6</c:v>
                </c:pt>
                <c:pt idx="34">
                  <c:v>6.8307700000000003E-6</c:v>
                </c:pt>
                <c:pt idx="35">
                  <c:v>6.6537999999999997E-6</c:v>
                </c:pt>
                <c:pt idx="36">
                  <c:v>6.52691E-6</c:v>
                </c:pt>
                <c:pt idx="37">
                  <c:v>6.3978099999999998E-6</c:v>
                </c:pt>
                <c:pt idx="38">
                  <c:v>6.2903900000000001E-6</c:v>
                </c:pt>
                <c:pt idx="39">
                  <c:v>4.3021900000000002E-4</c:v>
                </c:pt>
                <c:pt idx="40">
                  <c:v>4.4330200000000002E-4</c:v>
                </c:pt>
                <c:pt idx="41">
                  <c:v>4.5237599999999999E-4</c:v>
                </c:pt>
                <c:pt idx="42">
                  <c:v>4.5890599999999997E-4</c:v>
                </c:pt>
                <c:pt idx="43">
                  <c:v>4.64664E-4</c:v>
                </c:pt>
                <c:pt idx="44">
                  <c:v>4.6934100000000002E-4</c:v>
                </c:pt>
                <c:pt idx="45">
                  <c:v>4.7315500000000001E-4</c:v>
                </c:pt>
                <c:pt idx="46">
                  <c:v>4.7664000000000002E-4</c:v>
                </c:pt>
                <c:pt idx="47">
                  <c:v>4.7978799999999998E-4</c:v>
                </c:pt>
                <c:pt idx="48">
                  <c:v>4.8136099999999997E-4</c:v>
                </c:pt>
                <c:pt idx="49">
                  <c:v>4.8424900000000002E-4</c:v>
                </c:pt>
                <c:pt idx="50">
                  <c:v>4.8739399999999999E-4</c:v>
                </c:pt>
                <c:pt idx="51">
                  <c:v>4.8989599999999997E-4</c:v>
                </c:pt>
                <c:pt idx="52">
                  <c:v>4.9230400000000005E-4</c:v>
                </c:pt>
                <c:pt idx="53">
                  <c:v>4.9530199999999998E-4</c:v>
                </c:pt>
                <c:pt idx="54">
                  <c:v>4.9762299999999999E-4</c:v>
                </c:pt>
                <c:pt idx="55">
                  <c:v>5.0061699999999997E-4</c:v>
                </c:pt>
                <c:pt idx="56">
                  <c:v>5.0164700000000003E-4</c:v>
                </c:pt>
                <c:pt idx="57">
                  <c:v>5.0438499999999999E-4</c:v>
                </c:pt>
                <c:pt idx="58">
                  <c:v>5.0687599999999996E-4</c:v>
                </c:pt>
                <c:pt idx="59">
                  <c:v>5.0912400000000001E-4</c:v>
                </c:pt>
                <c:pt idx="60">
                  <c:v>5.1151600000000005E-4</c:v>
                </c:pt>
                <c:pt idx="61">
                  <c:v>5.14976E-4</c:v>
                </c:pt>
                <c:pt idx="62">
                  <c:v>5.1768099999999998E-4</c:v>
                </c:pt>
                <c:pt idx="63">
                  <c:v>5.19466E-4</c:v>
                </c:pt>
                <c:pt idx="64">
                  <c:v>5.2269600000000001E-4</c:v>
                </c:pt>
                <c:pt idx="65">
                  <c:v>5.2492000000000001E-4</c:v>
                </c:pt>
                <c:pt idx="66">
                  <c:v>5.2747700000000005E-4</c:v>
                </c:pt>
                <c:pt idx="67">
                  <c:v>5.2898300000000001E-4</c:v>
                </c:pt>
                <c:pt idx="68">
                  <c:v>6.09529E-6</c:v>
                </c:pt>
                <c:pt idx="69">
                  <c:v>6.0021399999999999E-6</c:v>
                </c:pt>
                <c:pt idx="70">
                  <c:v>5.8972199999999998E-6</c:v>
                </c:pt>
                <c:pt idx="71">
                  <c:v>5.8141699999999998E-6</c:v>
                </c:pt>
                <c:pt idx="72">
                  <c:v>5.7547899999999997E-6</c:v>
                </c:pt>
                <c:pt idx="73">
                  <c:v>5.7063400000000002E-6</c:v>
                </c:pt>
                <c:pt idx="74">
                  <c:v>5.6573699999999998E-6</c:v>
                </c:pt>
                <c:pt idx="75">
                  <c:v>5.5785699999999999E-6</c:v>
                </c:pt>
                <c:pt idx="76">
                  <c:v>5.5374700000000004E-6</c:v>
                </c:pt>
                <c:pt idx="77">
                  <c:v>5.48012E-6</c:v>
                </c:pt>
                <c:pt idx="78">
                  <c:v>4.32972E-4</c:v>
                </c:pt>
                <c:pt idx="79">
                  <c:v>4.4793799999999999E-4</c:v>
                </c:pt>
                <c:pt idx="80">
                  <c:v>4.5812499999999998E-4</c:v>
                </c:pt>
                <c:pt idx="81">
                  <c:v>4.6664299999999998E-4</c:v>
                </c:pt>
                <c:pt idx="82">
                  <c:v>4.74501E-4</c:v>
                </c:pt>
                <c:pt idx="83">
                  <c:v>4.80588E-4</c:v>
                </c:pt>
                <c:pt idx="84">
                  <c:v>4.8487600000000002E-4</c:v>
                </c:pt>
                <c:pt idx="85">
                  <c:v>4.8880400000000002E-4</c:v>
                </c:pt>
                <c:pt idx="86">
                  <c:v>4.9328600000000001E-4</c:v>
                </c:pt>
                <c:pt idx="87">
                  <c:v>4.9652699999999997E-4</c:v>
                </c:pt>
                <c:pt idx="88">
                  <c:v>4.9841000000000002E-4</c:v>
                </c:pt>
                <c:pt idx="89">
                  <c:v>5.0260300000000001E-4</c:v>
                </c:pt>
                <c:pt idx="90">
                  <c:v>5.0755600000000004E-4</c:v>
                </c:pt>
                <c:pt idx="91">
                  <c:v>5.1212800000000004E-4</c:v>
                </c:pt>
                <c:pt idx="92">
                  <c:v>5.1544199999999996E-4</c:v>
                </c:pt>
                <c:pt idx="93">
                  <c:v>5.1950800000000001E-4</c:v>
                </c:pt>
                <c:pt idx="94">
                  <c:v>5.2339900000000002E-4</c:v>
                </c:pt>
                <c:pt idx="95">
                  <c:v>5.2745299999999999E-4</c:v>
                </c:pt>
                <c:pt idx="96">
                  <c:v>5.3030199999999997E-4</c:v>
                </c:pt>
                <c:pt idx="97">
                  <c:v>5.3416900000000003E-4</c:v>
                </c:pt>
                <c:pt idx="98">
                  <c:v>5.3969E-4</c:v>
                </c:pt>
                <c:pt idx="99">
                  <c:v>5.4396499999999999E-4</c:v>
                </c:pt>
                <c:pt idx="100">
                  <c:v>5.48118E-4</c:v>
                </c:pt>
                <c:pt idx="101">
                  <c:v>5.5347299999999996E-4</c:v>
                </c:pt>
                <c:pt idx="102">
                  <c:v>5.5859499999999995E-4</c:v>
                </c:pt>
                <c:pt idx="103">
                  <c:v>5.6266699999999998E-4</c:v>
                </c:pt>
                <c:pt idx="104">
                  <c:v>5.6654399999999999E-4</c:v>
                </c:pt>
                <c:pt idx="105">
                  <c:v>5.7194199999999998E-4</c:v>
                </c:pt>
                <c:pt idx="106">
                  <c:v>5.7657400000000005E-4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A0-4A7C-9806-A5BEDCDEB043}"/>
            </c:ext>
          </c:extLst>
        </c:ser>
        <c:ser>
          <c:idx val="3"/>
          <c:order val="3"/>
          <c:tx>
            <c:strRef>
              <c:f>'1233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A0-4A7C-9806-A5BEDCDEB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91680"/>
        <c:axId val="1172291264"/>
      </c:scatterChart>
      <c:valAx>
        <c:axId val="117229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264"/>
        <c:crosses val="autoZero"/>
        <c:crossBetween val="midCat"/>
      </c:valAx>
      <c:valAx>
        <c:axId val="11722912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P- 24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hpi'!$C$3:$C$116</c:f>
              <c:numCache>
                <c:formatCode>General</c:formatCode>
                <c:ptCount val="114"/>
                <c:pt idx="0">
                  <c:v>2.0567099999999999E-4</c:v>
                </c:pt>
                <c:pt idx="1">
                  <c:v>2.0591500000000001E-4</c:v>
                </c:pt>
                <c:pt idx="2">
                  <c:v>2.0465899999999999E-4</c:v>
                </c:pt>
                <c:pt idx="3">
                  <c:v>2.04961E-4</c:v>
                </c:pt>
                <c:pt idx="4">
                  <c:v>2.02203E-4</c:v>
                </c:pt>
                <c:pt idx="5">
                  <c:v>2.02532E-4</c:v>
                </c:pt>
                <c:pt idx="6">
                  <c:v>2.0159099999999999E-4</c:v>
                </c:pt>
                <c:pt idx="7">
                  <c:v>2.0117099999999999E-4</c:v>
                </c:pt>
                <c:pt idx="8">
                  <c:v>2.0095599999999999E-4</c:v>
                </c:pt>
                <c:pt idx="9">
                  <c:v>1.9990200000000001E-4</c:v>
                </c:pt>
                <c:pt idx="10">
                  <c:v>1.98939E-4</c:v>
                </c:pt>
                <c:pt idx="11">
                  <c:v>1.9912400000000001E-4</c:v>
                </c:pt>
                <c:pt idx="12">
                  <c:v>1.97834E-4</c:v>
                </c:pt>
                <c:pt idx="13">
                  <c:v>1.9783499999999999E-4</c:v>
                </c:pt>
                <c:pt idx="14">
                  <c:v>1.9780199999999999E-4</c:v>
                </c:pt>
                <c:pt idx="15">
                  <c:v>1.9676000000000001E-4</c:v>
                </c:pt>
                <c:pt idx="16">
                  <c:v>1.95162E-4</c:v>
                </c:pt>
                <c:pt idx="17">
                  <c:v>1.97457E-4</c:v>
                </c:pt>
                <c:pt idx="18">
                  <c:v>1.9694499999999999E-4</c:v>
                </c:pt>
                <c:pt idx="19">
                  <c:v>1.9733700000000001E-4</c:v>
                </c:pt>
                <c:pt idx="20">
                  <c:v>1.96751E-4</c:v>
                </c:pt>
                <c:pt idx="21">
                  <c:v>1.9626800000000001E-4</c:v>
                </c:pt>
                <c:pt idx="22">
                  <c:v>1.9742699999999999E-4</c:v>
                </c:pt>
                <c:pt idx="23">
                  <c:v>1.9723200000000001E-4</c:v>
                </c:pt>
                <c:pt idx="24">
                  <c:v>1.9659899999999999E-4</c:v>
                </c:pt>
                <c:pt idx="25">
                  <c:v>1.9784199999999999E-4</c:v>
                </c:pt>
                <c:pt idx="26">
                  <c:v>1.9765200000000001E-4</c:v>
                </c:pt>
                <c:pt idx="27">
                  <c:v>1.9714900000000001E-4</c:v>
                </c:pt>
                <c:pt idx="28">
                  <c:v>1.97717E-4</c:v>
                </c:pt>
                <c:pt idx="29">
                  <c:v>2.9575999999999999E-5</c:v>
                </c:pt>
                <c:pt idx="30">
                  <c:v>2.9206299999999999E-5</c:v>
                </c:pt>
                <c:pt idx="31">
                  <c:v>2.87788E-5</c:v>
                </c:pt>
                <c:pt idx="32">
                  <c:v>2.84313E-5</c:v>
                </c:pt>
                <c:pt idx="33">
                  <c:v>2.8101100000000001E-5</c:v>
                </c:pt>
                <c:pt idx="34">
                  <c:v>2.7827500000000001E-5</c:v>
                </c:pt>
                <c:pt idx="35">
                  <c:v>2.7555700000000001E-5</c:v>
                </c:pt>
                <c:pt idx="36">
                  <c:v>2.73403E-5</c:v>
                </c:pt>
                <c:pt idx="37">
                  <c:v>2.7150600000000001E-5</c:v>
                </c:pt>
                <c:pt idx="38">
                  <c:v>2.7002300000000001E-5</c:v>
                </c:pt>
                <c:pt idx="39">
                  <c:v>1.7034999999999999E-4</c:v>
                </c:pt>
                <c:pt idx="40">
                  <c:v>1.6944700000000001E-4</c:v>
                </c:pt>
                <c:pt idx="41">
                  <c:v>1.6758699999999999E-4</c:v>
                </c:pt>
                <c:pt idx="42">
                  <c:v>1.63144E-4</c:v>
                </c:pt>
                <c:pt idx="43">
                  <c:v>1.6185599999999999E-4</c:v>
                </c:pt>
                <c:pt idx="44">
                  <c:v>1.615E-4</c:v>
                </c:pt>
                <c:pt idx="45">
                  <c:v>1.6123900000000001E-4</c:v>
                </c:pt>
                <c:pt idx="46">
                  <c:v>1.6216099999999999E-4</c:v>
                </c:pt>
                <c:pt idx="47">
                  <c:v>1.6099199999999999E-4</c:v>
                </c:pt>
                <c:pt idx="48">
                  <c:v>1.6110899999999999E-4</c:v>
                </c:pt>
                <c:pt idx="49">
                  <c:v>1.60629E-4</c:v>
                </c:pt>
                <c:pt idx="50">
                  <c:v>1.59474E-4</c:v>
                </c:pt>
                <c:pt idx="51">
                  <c:v>1.5883499999999999E-4</c:v>
                </c:pt>
                <c:pt idx="52">
                  <c:v>1.5820400000000001E-4</c:v>
                </c:pt>
                <c:pt idx="53">
                  <c:v>1.5846E-4</c:v>
                </c:pt>
                <c:pt idx="54">
                  <c:v>1.59032E-4</c:v>
                </c:pt>
                <c:pt idx="55">
                  <c:v>1.5914100000000001E-4</c:v>
                </c:pt>
                <c:pt idx="56">
                  <c:v>1.59259E-4</c:v>
                </c:pt>
                <c:pt idx="57">
                  <c:v>1.5960700000000001E-4</c:v>
                </c:pt>
                <c:pt idx="58">
                  <c:v>1.5834399999999999E-4</c:v>
                </c:pt>
                <c:pt idx="59">
                  <c:v>1.5849700000000001E-4</c:v>
                </c:pt>
                <c:pt idx="60">
                  <c:v>1.5807700000000001E-4</c:v>
                </c:pt>
                <c:pt idx="61">
                  <c:v>1.5819E-4</c:v>
                </c:pt>
                <c:pt idx="62">
                  <c:v>1.5863699999999999E-4</c:v>
                </c:pt>
                <c:pt idx="63">
                  <c:v>1.5841999999999999E-4</c:v>
                </c:pt>
                <c:pt idx="64">
                  <c:v>1.5829099999999999E-4</c:v>
                </c:pt>
                <c:pt idx="65">
                  <c:v>1.5946100000000001E-4</c:v>
                </c:pt>
                <c:pt idx="66">
                  <c:v>1.58942E-4</c:v>
                </c:pt>
                <c:pt idx="67">
                  <c:v>1.58877E-4</c:v>
                </c:pt>
                <c:pt idx="68">
                  <c:v>2.63144E-5</c:v>
                </c:pt>
                <c:pt idx="69">
                  <c:v>2.62771E-5</c:v>
                </c:pt>
                <c:pt idx="70">
                  <c:v>2.6179599999999999E-5</c:v>
                </c:pt>
                <c:pt idx="71">
                  <c:v>2.6143600000000002E-5</c:v>
                </c:pt>
                <c:pt idx="72">
                  <c:v>2.61211E-5</c:v>
                </c:pt>
                <c:pt idx="73">
                  <c:v>2.6123699999999999E-5</c:v>
                </c:pt>
                <c:pt idx="74">
                  <c:v>2.6087600000000001E-5</c:v>
                </c:pt>
                <c:pt idx="75">
                  <c:v>2.6053800000000001E-5</c:v>
                </c:pt>
                <c:pt idx="76">
                  <c:v>2.6074199999999998E-5</c:v>
                </c:pt>
                <c:pt idx="77">
                  <c:v>2.6080100000000001E-5</c:v>
                </c:pt>
                <c:pt idx="78">
                  <c:v>1.6096E-4</c:v>
                </c:pt>
                <c:pt idx="79">
                  <c:v>1.54437E-4</c:v>
                </c:pt>
                <c:pt idx="80">
                  <c:v>1.5245100000000001E-4</c:v>
                </c:pt>
                <c:pt idx="81">
                  <c:v>1.5081799999999999E-4</c:v>
                </c:pt>
                <c:pt idx="82">
                  <c:v>1.5071799999999999E-4</c:v>
                </c:pt>
                <c:pt idx="83">
                  <c:v>1.50328E-4</c:v>
                </c:pt>
                <c:pt idx="84">
                  <c:v>1.5023400000000001E-4</c:v>
                </c:pt>
                <c:pt idx="85">
                  <c:v>1.50688E-4</c:v>
                </c:pt>
                <c:pt idx="86">
                  <c:v>1.4942699999999999E-4</c:v>
                </c:pt>
                <c:pt idx="87">
                  <c:v>1.49918E-4</c:v>
                </c:pt>
                <c:pt idx="88">
                  <c:v>1.4959199999999999E-4</c:v>
                </c:pt>
                <c:pt idx="89">
                  <c:v>1.4829599999999999E-4</c:v>
                </c:pt>
                <c:pt idx="90">
                  <c:v>1.4910300000000001E-4</c:v>
                </c:pt>
                <c:pt idx="91">
                  <c:v>1.4966400000000001E-4</c:v>
                </c:pt>
                <c:pt idx="92">
                  <c:v>1.49591E-4</c:v>
                </c:pt>
                <c:pt idx="93">
                  <c:v>1.4922899999999999E-4</c:v>
                </c:pt>
                <c:pt idx="94">
                  <c:v>1.4933000000000001E-4</c:v>
                </c:pt>
                <c:pt idx="95">
                  <c:v>1.49665E-4</c:v>
                </c:pt>
                <c:pt idx="96">
                  <c:v>1.49596E-4</c:v>
                </c:pt>
                <c:pt idx="97">
                  <c:v>1.47756E-4</c:v>
                </c:pt>
                <c:pt idx="98">
                  <c:v>1.5022700000000001E-4</c:v>
                </c:pt>
                <c:pt idx="99">
                  <c:v>1.5077800000000001E-4</c:v>
                </c:pt>
                <c:pt idx="100">
                  <c:v>1.5064599999999999E-4</c:v>
                </c:pt>
                <c:pt idx="101">
                  <c:v>1.5087600000000001E-4</c:v>
                </c:pt>
                <c:pt idx="102">
                  <c:v>1.5158500000000001E-4</c:v>
                </c:pt>
                <c:pt idx="103">
                  <c:v>1.5277300000000001E-4</c:v>
                </c:pt>
                <c:pt idx="104">
                  <c:v>1.51812E-4</c:v>
                </c:pt>
                <c:pt idx="105">
                  <c:v>1.5183899999999999E-4</c:v>
                </c:pt>
                <c:pt idx="106">
                  <c:v>1.52461E-4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3-4A1A-9115-78B98B2DBAB3}"/>
            </c:ext>
          </c:extLst>
        </c:ser>
        <c:ser>
          <c:idx val="1"/>
          <c:order val="1"/>
          <c:tx>
            <c:strRef>
              <c:f>'1233 P- 24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hpi'!$H$3:$H$116</c:f>
              <c:numCache>
                <c:formatCode>0.00E+00</c:formatCode>
                <c:ptCount val="114"/>
                <c:pt idx="0">
                  <c:v>1.72258E-4</c:v>
                </c:pt>
                <c:pt idx="1">
                  <c:v>1.7136399999999999E-4</c:v>
                </c:pt>
                <c:pt idx="2">
                  <c:v>1.70426E-4</c:v>
                </c:pt>
                <c:pt idx="3">
                  <c:v>1.6895899999999999E-4</c:v>
                </c:pt>
                <c:pt idx="4">
                  <c:v>1.68608E-4</c:v>
                </c:pt>
                <c:pt idx="5">
                  <c:v>1.6795100000000001E-4</c:v>
                </c:pt>
                <c:pt idx="6">
                  <c:v>1.66873E-4</c:v>
                </c:pt>
                <c:pt idx="7">
                  <c:v>1.6586500000000001E-4</c:v>
                </c:pt>
                <c:pt idx="8">
                  <c:v>1.66078E-4</c:v>
                </c:pt>
                <c:pt idx="9">
                  <c:v>1.6537100000000001E-4</c:v>
                </c:pt>
                <c:pt idx="10">
                  <c:v>1.64754E-4</c:v>
                </c:pt>
                <c:pt idx="11">
                  <c:v>1.6369999999999999E-4</c:v>
                </c:pt>
                <c:pt idx="12">
                  <c:v>1.63981E-4</c:v>
                </c:pt>
                <c:pt idx="13">
                  <c:v>1.64403E-4</c:v>
                </c:pt>
                <c:pt idx="14">
                  <c:v>1.63184E-4</c:v>
                </c:pt>
                <c:pt idx="15">
                  <c:v>1.6263700000000001E-4</c:v>
                </c:pt>
                <c:pt idx="16">
                  <c:v>1.6297999999999999E-4</c:v>
                </c:pt>
                <c:pt idx="17">
                  <c:v>1.62998E-4</c:v>
                </c:pt>
                <c:pt idx="18">
                  <c:v>1.6275999999999999E-4</c:v>
                </c:pt>
                <c:pt idx="19">
                  <c:v>1.6163000000000001E-4</c:v>
                </c:pt>
                <c:pt idx="20">
                  <c:v>1.62671E-4</c:v>
                </c:pt>
                <c:pt idx="21">
                  <c:v>1.6255999999999999E-4</c:v>
                </c:pt>
                <c:pt idx="22">
                  <c:v>1.6232200000000001E-4</c:v>
                </c:pt>
                <c:pt idx="23">
                  <c:v>1.6275099999999999E-4</c:v>
                </c:pt>
                <c:pt idx="24">
                  <c:v>1.6300599999999999E-4</c:v>
                </c:pt>
                <c:pt idx="25">
                  <c:v>1.6285299999999999E-4</c:v>
                </c:pt>
                <c:pt idx="26">
                  <c:v>1.6295400000000001E-4</c:v>
                </c:pt>
                <c:pt idx="27">
                  <c:v>1.63437E-4</c:v>
                </c:pt>
                <c:pt idx="28">
                  <c:v>1.6366800000000001E-4</c:v>
                </c:pt>
                <c:pt idx="29">
                  <c:v>2.73651E-5</c:v>
                </c:pt>
                <c:pt idx="30">
                  <c:v>2.6905499999999998E-5</c:v>
                </c:pt>
                <c:pt idx="31">
                  <c:v>2.64645E-5</c:v>
                </c:pt>
                <c:pt idx="32">
                  <c:v>2.6121700000000001E-5</c:v>
                </c:pt>
                <c:pt idx="33">
                  <c:v>2.57904E-5</c:v>
                </c:pt>
                <c:pt idx="34">
                  <c:v>2.5488000000000001E-5</c:v>
                </c:pt>
                <c:pt idx="35">
                  <c:v>2.5242300000000001E-5</c:v>
                </c:pt>
                <c:pt idx="36">
                  <c:v>2.5112500000000001E-5</c:v>
                </c:pt>
                <c:pt idx="37">
                  <c:v>2.4989200000000001E-5</c:v>
                </c:pt>
                <c:pt idx="38">
                  <c:v>2.48758E-5</c:v>
                </c:pt>
                <c:pt idx="39">
                  <c:v>1.25766E-4</c:v>
                </c:pt>
                <c:pt idx="40">
                  <c:v>1.21847E-4</c:v>
                </c:pt>
                <c:pt idx="41">
                  <c:v>1.21159E-4</c:v>
                </c:pt>
                <c:pt idx="42">
                  <c:v>1.1975400000000001E-4</c:v>
                </c:pt>
                <c:pt idx="43">
                  <c:v>1.19595E-4</c:v>
                </c:pt>
                <c:pt idx="44">
                  <c:v>1.1903E-4</c:v>
                </c:pt>
                <c:pt idx="45">
                  <c:v>1.1834E-4</c:v>
                </c:pt>
                <c:pt idx="46">
                  <c:v>1.17971E-4</c:v>
                </c:pt>
                <c:pt idx="47">
                  <c:v>1.17853E-4</c:v>
                </c:pt>
                <c:pt idx="48">
                  <c:v>1.17886E-4</c:v>
                </c:pt>
                <c:pt idx="49">
                  <c:v>1.18208E-4</c:v>
                </c:pt>
                <c:pt idx="50">
                  <c:v>1.18442E-4</c:v>
                </c:pt>
                <c:pt idx="51">
                  <c:v>1.1865499999999999E-4</c:v>
                </c:pt>
                <c:pt idx="52">
                  <c:v>1.19212E-4</c:v>
                </c:pt>
                <c:pt idx="53">
                  <c:v>1.19357E-4</c:v>
                </c:pt>
                <c:pt idx="54">
                  <c:v>1.19331E-4</c:v>
                </c:pt>
                <c:pt idx="55">
                  <c:v>1.19175E-4</c:v>
                </c:pt>
                <c:pt idx="56">
                  <c:v>1.1945700000000001E-4</c:v>
                </c:pt>
                <c:pt idx="57">
                  <c:v>1.19997E-4</c:v>
                </c:pt>
                <c:pt idx="58">
                  <c:v>1.20617E-4</c:v>
                </c:pt>
                <c:pt idx="59">
                  <c:v>1.2086099999999999E-4</c:v>
                </c:pt>
                <c:pt idx="60">
                  <c:v>1.21415E-4</c:v>
                </c:pt>
                <c:pt idx="61">
                  <c:v>1.22087E-4</c:v>
                </c:pt>
                <c:pt idx="62">
                  <c:v>1.22108E-4</c:v>
                </c:pt>
                <c:pt idx="63">
                  <c:v>1.2253700000000001E-4</c:v>
                </c:pt>
                <c:pt idx="64">
                  <c:v>1.2265900000000001E-4</c:v>
                </c:pt>
                <c:pt idx="65">
                  <c:v>1.23232E-4</c:v>
                </c:pt>
                <c:pt idx="66">
                  <c:v>1.24251E-4</c:v>
                </c:pt>
                <c:pt idx="67">
                  <c:v>1.24661E-4</c:v>
                </c:pt>
                <c:pt idx="68">
                  <c:v>2.4180199999999999E-5</c:v>
                </c:pt>
                <c:pt idx="69">
                  <c:v>2.4042499999999999E-5</c:v>
                </c:pt>
                <c:pt idx="70">
                  <c:v>2.39396E-5</c:v>
                </c:pt>
                <c:pt idx="71">
                  <c:v>2.38653E-5</c:v>
                </c:pt>
                <c:pt idx="72">
                  <c:v>2.3821599999999999E-5</c:v>
                </c:pt>
                <c:pt idx="73">
                  <c:v>2.3785200000000001E-5</c:v>
                </c:pt>
                <c:pt idx="74">
                  <c:v>2.37479E-5</c:v>
                </c:pt>
                <c:pt idx="75">
                  <c:v>2.3741299999999999E-5</c:v>
                </c:pt>
                <c:pt idx="76">
                  <c:v>2.3714699999999998E-5</c:v>
                </c:pt>
                <c:pt idx="77">
                  <c:v>2.36797E-5</c:v>
                </c:pt>
                <c:pt idx="78">
                  <c:v>1.42652E-4</c:v>
                </c:pt>
                <c:pt idx="79">
                  <c:v>1.4034900000000001E-4</c:v>
                </c:pt>
                <c:pt idx="80">
                  <c:v>1.3742600000000001E-4</c:v>
                </c:pt>
                <c:pt idx="81">
                  <c:v>1.3553299999999999E-4</c:v>
                </c:pt>
                <c:pt idx="82">
                  <c:v>1.3464600000000001E-4</c:v>
                </c:pt>
                <c:pt idx="83">
                  <c:v>1.3430699999999999E-4</c:v>
                </c:pt>
                <c:pt idx="84">
                  <c:v>1.34905E-4</c:v>
                </c:pt>
                <c:pt idx="85">
                  <c:v>1.3569999999999999E-4</c:v>
                </c:pt>
                <c:pt idx="86">
                  <c:v>1.3562000000000001E-4</c:v>
                </c:pt>
                <c:pt idx="87">
                  <c:v>1.35683E-4</c:v>
                </c:pt>
                <c:pt idx="88">
                  <c:v>1.3477199999999999E-4</c:v>
                </c:pt>
                <c:pt idx="89">
                  <c:v>1.34609E-4</c:v>
                </c:pt>
                <c:pt idx="90">
                  <c:v>1.34513E-4</c:v>
                </c:pt>
                <c:pt idx="91">
                  <c:v>1.3525700000000001E-4</c:v>
                </c:pt>
                <c:pt idx="92">
                  <c:v>1.3534899999999999E-4</c:v>
                </c:pt>
                <c:pt idx="93">
                  <c:v>1.3621299999999999E-4</c:v>
                </c:pt>
                <c:pt idx="94">
                  <c:v>1.3690999999999999E-4</c:v>
                </c:pt>
                <c:pt idx="95">
                  <c:v>1.3774600000000001E-4</c:v>
                </c:pt>
                <c:pt idx="96">
                  <c:v>1.37427E-4</c:v>
                </c:pt>
                <c:pt idx="97">
                  <c:v>1.3751E-4</c:v>
                </c:pt>
                <c:pt idx="98">
                  <c:v>1.37952E-4</c:v>
                </c:pt>
                <c:pt idx="99">
                  <c:v>1.37639E-4</c:v>
                </c:pt>
                <c:pt idx="100">
                  <c:v>1.3876200000000001E-4</c:v>
                </c:pt>
                <c:pt idx="101">
                  <c:v>1.38784E-4</c:v>
                </c:pt>
                <c:pt idx="102">
                  <c:v>1.40328E-4</c:v>
                </c:pt>
                <c:pt idx="103">
                  <c:v>1.39586E-4</c:v>
                </c:pt>
                <c:pt idx="104">
                  <c:v>1.4054099999999999E-4</c:v>
                </c:pt>
                <c:pt idx="105">
                  <c:v>1.4105500000000001E-4</c:v>
                </c:pt>
                <c:pt idx="106">
                  <c:v>1.4098100000000001E-4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3-4A1A-9115-78B98B2DBAB3}"/>
            </c:ext>
          </c:extLst>
        </c:ser>
        <c:ser>
          <c:idx val="2"/>
          <c:order val="2"/>
          <c:tx>
            <c:strRef>
              <c:f>'1233 P- 24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hpi'!$M$3:$M$116</c:f>
              <c:numCache>
                <c:formatCode>0.00E+00</c:formatCode>
                <c:ptCount val="114"/>
                <c:pt idx="0">
                  <c:v>1.4806899999999999E-4</c:v>
                </c:pt>
                <c:pt idx="1">
                  <c:v>1.47656E-4</c:v>
                </c:pt>
                <c:pt idx="2">
                  <c:v>1.47236E-4</c:v>
                </c:pt>
                <c:pt idx="3">
                  <c:v>1.4624399999999999E-4</c:v>
                </c:pt>
                <c:pt idx="4">
                  <c:v>1.4617100000000001E-4</c:v>
                </c:pt>
                <c:pt idx="5">
                  <c:v>1.45632E-4</c:v>
                </c:pt>
                <c:pt idx="6">
                  <c:v>1.4520099999999999E-4</c:v>
                </c:pt>
                <c:pt idx="7">
                  <c:v>1.4503000000000001E-4</c:v>
                </c:pt>
                <c:pt idx="8">
                  <c:v>1.4435399999999999E-4</c:v>
                </c:pt>
                <c:pt idx="9">
                  <c:v>1.44344E-4</c:v>
                </c:pt>
                <c:pt idx="10">
                  <c:v>1.4426400000000001E-4</c:v>
                </c:pt>
                <c:pt idx="11">
                  <c:v>1.44E-4</c:v>
                </c:pt>
                <c:pt idx="12">
                  <c:v>1.4381999999999999E-4</c:v>
                </c:pt>
                <c:pt idx="13">
                  <c:v>1.4396400000000001E-4</c:v>
                </c:pt>
                <c:pt idx="14">
                  <c:v>1.4356699999999999E-4</c:v>
                </c:pt>
                <c:pt idx="15">
                  <c:v>1.43666E-4</c:v>
                </c:pt>
                <c:pt idx="16">
                  <c:v>1.43719E-4</c:v>
                </c:pt>
                <c:pt idx="17">
                  <c:v>1.4346500000000001E-4</c:v>
                </c:pt>
                <c:pt idx="18">
                  <c:v>1.43697E-4</c:v>
                </c:pt>
                <c:pt idx="19">
                  <c:v>1.4346000000000001E-4</c:v>
                </c:pt>
                <c:pt idx="20">
                  <c:v>1.4400400000000001E-4</c:v>
                </c:pt>
                <c:pt idx="21">
                  <c:v>1.4398199999999999E-4</c:v>
                </c:pt>
                <c:pt idx="22">
                  <c:v>1.44067E-4</c:v>
                </c:pt>
                <c:pt idx="23">
                  <c:v>1.44618E-4</c:v>
                </c:pt>
                <c:pt idx="24">
                  <c:v>1.4472500000000001E-4</c:v>
                </c:pt>
                <c:pt idx="25">
                  <c:v>1.44788E-4</c:v>
                </c:pt>
                <c:pt idx="26">
                  <c:v>1.4482199999999999E-4</c:v>
                </c:pt>
                <c:pt idx="27">
                  <c:v>1.4628500000000001E-4</c:v>
                </c:pt>
                <c:pt idx="28">
                  <c:v>1.4599799999999999E-4</c:v>
                </c:pt>
                <c:pt idx="29">
                  <c:v>2.7548200000000002E-5</c:v>
                </c:pt>
                <c:pt idx="30">
                  <c:v>2.6735899999999999E-5</c:v>
                </c:pt>
                <c:pt idx="31">
                  <c:v>2.5997299999999999E-5</c:v>
                </c:pt>
                <c:pt idx="32">
                  <c:v>2.55417E-5</c:v>
                </c:pt>
                <c:pt idx="33">
                  <c:v>2.5151400000000001E-5</c:v>
                </c:pt>
                <c:pt idx="34">
                  <c:v>2.4814400000000001E-5</c:v>
                </c:pt>
                <c:pt idx="35">
                  <c:v>2.4478199999999999E-5</c:v>
                </c:pt>
                <c:pt idx="36">
                  <c:v>2.4262700000000001E-5</c:v>
                </c:pt>
                <c:pt idx="37">
                  <c:v>2.40893E-5</c:v>
                </c:pt>
                <c:pt idx="38">
                  <c:v>2.3949500000000002E-5</c:v>
                </c:pt>
                <c:pt idx="39">
                  <c:v>1.2070600000000001E-4</c:v>
                </c:pt>
                <c:pt idx="40">
                  <c:v>1.1853000000000001E-4</c:v>
                </c:pt>
                <c:pt idx="41">
                  <c:v>1.15504E-4</c:v>
                </c:pt>
                <c:pt idx="42">
                  <c:v>1.1322199999999999E-4</c:v>
                </c:pt>
                <c:pt idx="43">
                  <c:v>1.12323E-4</c:v>
                </c:pt>
                <c:pt idx="44">
                  <c:v>1.12021E-4</c:v>
                </c:pt>
                <c:pt idx="45">
                  <c:v>1.11721E-4</c:v>
                </c:pt>
                <c:pt idx="46">
                  <c:v>1.11776E-4</c:v>
                </c:pt>
                <c:pt idx="47">
                  <c:v>1.1183699999999999E-4</c:v>
                </c:pt>
                <c:pt idx="48">
                  <c:v>1.12402E-4</c:v>
                </c:pt>
                <c:pt idx="49">
                  <c:v>1.1178199999999999E-4</c:v>
                </c:pt>
                <c:pt idx="50">
                  <c:v>1.11512E-4</c:v>
                </c:pt>
                <c:pt idx="51">
                  <c:v>1.11475E-4</c:v>
                </c:pt>
                <c:pt idx="52">
                  <c:v>1.1186799999999999E-4</c:v>
                </c:pt>
                <c:pt idx="53">
                  <c:v>1.11976E-4</c:v>
                </c:pt>
                <c:pt idx="54">
                  <c:v>1.1213399999999999E-4</c:v>
                </c:pt>
                <c:pt idx="55">
                  <c:v>1.12679E-4</c:v>
                </c:pt>
                <c:pt idx="56">
                  <c:v>1.13386E-4</c:v>
                </c:pt>
                <c:pt idx="57">
                  <c:v>1.1339E-4</c:v>
                </c:pt>
                <c:pt idx="58">
                  <c:v>1.1373400000000001E-4</c:v>
                </c:pt>
                <c:pt idx="59">
                  <c:v>1.13675E-4</c:v>
                </c:pt>
                <c:pt idx="60">
                  <c:v>1.14119E-4</c:v>
                </c:pt>
                <c:pt idx="61">
                  <c:v>1.14166E-4</c:v>
                </c:pt>
                <c:pt idx="62">
                  <c:v>1.14679E-4</c:v>
                </c:pt>
                <c:pt idx="63">
                  <c:v>1.15369E-4</c:v>
                </c:pt>
                <c:pt idx="64">
                  <c:v>1.1586699999999999E-4</c:v>
                </c:pt>
                <c:pt idx="65">
                  <c:v>1.1627400000000001E-4</c:v>
                </c:pt>
                <c:pt idx="66">
                  <c:v>1.1633000000000001E-4</c:v>
                </c:pt>
                <c:pt idx="67">
                  <c:v>1.1695499999999999E-4</c:v>
                </c:pt>
                <c:pt idx="68">
                  <c:v>2.42979E-5</c:v>
                </c:pt>
                <c:pt idx="69">
                  <c:v>2.4155099999999998E-5</c:v>
                </c:pt>
                <c:pt idx="70">
                  <c:v>2.39735E-5</c:v>
                </c:pt>
                <c:pt idx="71">
                  <c:v>2.38605E-5</c:v>
                </c:pt>
                <c:pt idx="72">
                  <c:v>2.3818100000000002E-5</c:v>
                </c:pt>
                <c:pt idx="73">
                  <c:v>2.37557E-5</c:v>
                </c:pt>
                <c:pt idx="74">
                  <c:v>2.3707099999999999E-5</c:v>
                </c:pt>
                <c:pt idx="75">
                  <c:v>2.3634499999999999E-5</c:v>
                </c:pt>
                <c:pt idx="76">
                  <c:v>2.3597100000000001E-5</c:v>
                </c:pt>
                <c:pt idx="77">
                  <c:v>2.3498000000000001E-5</c:v>
                </c:pt>
                <c:pt idx="78">
                  <c:v>1.2853800000000001E-4</c:v>
                </c:pt>
                <c:pt idx="79">
                  <c:v>1.2566899999999999E-4</c:v>
                </c:pt>
                <c:pt idx="80">
                  <c:v>1.22235E-4</c:v>
                </c:pt>
                <c:pt idx="81">
                  <c:v>1.19935E-4</c:v>
                </c:pt>
                <c:pt idx="82">
                  <c:v>1.19153E-4</c:v>
                </c:pt>
                <c:pt idx="83">
                  <c:v>1.18831E-4</c:v>
                </c:pt>
                <c:pt idx="84">
                  <c:v>1.1954499999999999E-4</c:v>
                </c:pt>
                <c:pt idx="85">
                  <c:v>1.19839E-4</c:v>
                </c:pt>
                <c:pt idx="86">
                  <c:v>1.19776E-4</c:v>
                </c:pt>
                <c:pt idx="87">
                  <c:v>1.20161E-4</c:v>
                </c:pt>
                <c:pt idx="88">
                  <c:v>1.20086E-4</c:v>
                </c:pt>
                <c:pt idx="89">
                  <c:v>1.1992799999999999E-4</c:v>
                </c:pt>
                <c:pt idx="90">
                  <c:v>1.19849E-4</c:v>
                </c:pt>
                <c:pt idx="91">
                  <c:v>1.20189E-4</c:v>
                </c:pt>
                <c:pt idx="92">
                  <c:v>1.2134299999999999E-4</c:v>
                </c:pt>
                <c:pt idx="93">
                  <c:v>1.22299E-4</c:v>
                </c:pt>
                <c:pt idx="94">
                  <c:v>1.2342599999999999E-4</c:v>
                </c:pt>
                <c:pt idx="95">
                  <c:v>1.23492E-4</c:v>
                </c:pt>
                <c:pt idx="96">
                  <c:v>1.2417099999999999E-4</c:v>
                </c:pt>
                <c:pt idx="97">
                  <c:v>1.2428800000000001E-4</c:v>
                </c:pt>
                <c:pt idx="98">
                  <c:v>1.24487E-4</c:v>
                </c:pt>
                <c:pt idx="99">
                  <c:v>1.2439999999999999E-4</c:v>
                </c:pt>
                <c:pt idx="100">
                  <c:v>1.2540399999999999E-4</c:v>
                </c:pt>
                <c:pt idx="101">
                  <c:v>1.2658999999999999E-4</c:v>
                </c:pt>
                <c:pt idx="102">
                  <c:v>1.2713399999999999E-4</c:v>
                </c:pt>
                <c:pt idx="103">
                  <c:v>1.27298E-4</c:v>
                </c:pt>
                <c:pt idx="104">
                  <c:v>1.2936499999999999E-4</c:v>
                </c:pt>
                <c:pt idx="105">
                  <c:v>1.29648E-4</c:v>
                </c:pt>
                <c:pt idx="106">
                  <c:v>1.29634E-4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B3-4A1A-9115-78B98B2DBAB3}"/>
            </c:ext>
          </c:extLst>
        </c:ser>
        <c:ser>
          <c:idx val="3"/>
          <c:order val="3"/>
          <c:tx>
            <c:strRef>
              <c:f>'1233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P- 24 hpi'!$A$3:$A$116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B3-4A1A-9115-78B98B2DB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856384"/>
        <c:axId val="1177859296"/>
      </c:scatterChart>
      <c:valAx>
        <c:axId val="117785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9296"/>
        <c:crosses val="autoZero"/>
        <c:crossBetween val="midCat"/>
      </c:valAx>
      <c:valAx>
        <c:axId val="1177859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P- 24 hpi IPTG'!$Q$1:$Q$2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 IPTG'!$Q$3:$Q$124</c:f>
              <c:numCache>
                <c:formatCode>General</c:formatCode>
                <c:ptCount val="122"/>
                <c:pt idx="0">
                  <c:v>1.4671E-3</c:v>
                </c:pt>
                <c:pt idx="1">
                  <c:v>1.4973300000000001E-3</c:v>
                </c:pt>
                <c:pt idx="2">
                  <c:v>1.52524E-3</c:v>
                </c:pt>
                <c:pt idx="3">
                  <c:v>1.56668E-3</c:v>
                </c:pt>
                <c:pt idx="4">
                  <c:v>1.5997699999999999E-3</c:v>
                </c:pt>
                <c:pt idx="5">
                  <c:v>1.63046E-3</c:v>
                </c:pt>
                <c:pt idx="6">
                  <c:v>1.6656500000000001E-3</c:v>
                </c:pt>
                <c:pt idx="7">
                  <c:v>1.7136300000000001E-3</c:v>
                </c:pt>
                <c:pt idx="8">
                  <c:v>1.7481300000000001E-3</c:v>
                </c:pt>
                <c:pt idx="9">
                  <c:v>1.7797900000000001E-3</c:v>
                </c:pt>
                <c:pt idx="10">
                  <c:v>1.8131200000000001E-3</c:v>
                </c:pt>
                <c:pt idx="11">
                  <c:v>1.85132E-3</c:v>
                </c:pt>
                <c:pt idx="12">
                  <c:v>1.8864999999999999E-3</c:v>
                </c:pt>
                <c:pt idx="13">
                  <c:v>1.9156500000000001E-3</c:v>
                </c:pt>
                <c:pt idx="14">
                  <c:v>1.9568099999999998E-3</c:v>
                </c:pt>
                <c:pt idx="15">
                  <c:v>2.0003E-3</c:v>
                </c:pt>
                <c:pt idx="16">
                  <c:v>2.0417E-3</c:v>
                </c:pt>
                <c:pt idx="17">
                  <c:v>2.0737899999999998E-3</c:v>
                </c:pt>
                <c:pt idx="18">
                  <c:v>2.1045299999999999E-3</c:v>
                </c:pt>
                <c:pt idx="19">
                  <c:v>2.1379400000000001E-3</c:v>
                </c:pt>
                <c:pt idx="20">
                  <c:v>2.1664599999999998E-3</c:v>
                </c:pt>
                <c:pt idx="21">
                  <c:v>2.1999799999999998E-3</c:v>
                </c:pt>
                <c:pt idx="22">
                  <c:v>2.2285E-3</c:v>
                </c:pt>
                <c:pt idx="23">
                  <c:v>2.2632799999999999E-3</c:v>
                </c:pt>
                <c:pt idx="24">
                  <c:v>2.2948999999999999E-3</c:v>
                </c:pt>
                <c:pt idx="25">
                  <c:v>2.33023E-3</c:v>
                </c:pt>
                <c:pt idx="26">
                  <c:v>2.3632100000000001E-3</c:v>
                </c:pt>
                <c:pt idx="27">
                  <c:v>2.3976599999999998E-3</c:v>
                </c:pt>
                <c:pt idx="28">
                  <c:v>2.4280700000000001E-3</c:v>
                </c:pt>
                <c:pt idx="29">
                  <c:v>2.1409900000000001E-6</c:v>
                </c:pt>
                <c:pt idx="30">
                  <c:v>2.14751E-6</c:v>
                </c:pt>
                <c:pt idx="31">
                  <c:v>2.1385400000000002E-6</c:v>
                </c:pt>
                <c:pt idx="32">
                  <c:v>2.12681E-6</c:v>
                </c:pt>
                <c:pt idx="33">
                  <c:v>2.1201900000000002E-6</c:v>
                </c:pt>
                <c:pt idx="34">
                  <c:v>2.1071999999999999E-6</c:v>
                </c:pt>
                <c:pt idx="35">
                  <c:v>2.1071900000000001E-6</c:v>
                </c:pt>
                <c:pt idx="36">
                  <c:v>2.097E-6</c:v>
                </c:pt>
                <c:pt idx="37">
                  <c:v>2.09315E-6</c:v>
                </c:pt>
                <c:pt idx="38">
                  <c:v>2.0856E-6</c:v>
                </c:pt>
                <c:pt idx="39">
                  <c:v>8.0648000000000004E-4</c:v>
                </c:pt>
                <c:pt idx="40">
                  <c:v>8.3812999999999997E-4</c:v>
                </c:pt>
                <c:pt idx="41">
                  <c:v>8.6188200000000001E-4</c:v>
                </c:pt>
                <c:pt idx="42">
                  <c:v>8.8312700000000004E-4</c:v>
                </c:pt>
                <c:pt idx="43">
                  <c:v>9.0683599999999995E-4</c:v>
                </c:pt>
                <c:pt idx="44">
                  <c:v>9.26705E-4</c:v>
                </c:pt>
                <c:pt idx="45">
                  <c:v>9.4649800000000004E-4</c:v>
                </c:pt>
                <c:pt idx="46">
                  <c:v>9.6124199999999996E-4</c:v>
                </c:pt>
                <c:pt idx="47">
                  <c:v>9.8250300000000002E-4</c:v>
                </c:pt>
                <c:pt idx="48">
                  <c:v>1.00198E-3</c:v>
                </c:pt>
                <c:pt idx="49">
                  <c:v>1.01701E-3</c:v>
                </c:pt>
                <c:pt idx="50">
                  <c:v>1.03783E-3</c:v>
                </c:pt>
                <c:pt idx="51">
                  <c:v>1.05887E-3</c:v>
                </c:pt>
                <c:pt idx="52">
                  <c:v>1.08143E-3</c:v>
                </c:pt>
                <c:pt idx="53">
                  <c:v>1.09713E-3</c:v>
                </c:pt>
                <c:pt idx="54">
                  <c:v>1.11804E-3</c:v>
                </c:pt>
                <c:pt idx="55">
                  <c:v>1.1428300000000001E-3</c:v>
                </c:pt>
                <c:pt idx="56">
                  <c:v>1.1674299999999999E-3</c:v>
                </c:pt>
                <c:pt idx="57">
                  <c:v>1.1924100000000001E-3</c:v>
                </c:pt>
                <c:pt idx="58">
                  <c:v>1.2154399999999999E-3</c:v>
                </c:pt>
                <c:pt idx="59">
                  <c:v>1.2376100000000001E-3</c:v>
                </c:pt>
                <c:pt idx="60">
                  <c:v>1.26151E-3</c:v>
                </c:pt>
                <c:pt idx="61">
                  <c:v>1.2876000000000001E-3</c:v>
                </c:pt>
                <c:pt idx="62">
                  <c:v>1.31369E-3</c:v>
                </c:pt>
                <c:pt idx="63">
                  <c:v>1.3469599999999999E-3</c:v>
                </c:pt>
                <c:pt idx="64">
                  <c:v>1.3754699999999999E-3</c:v>
                </c:pt>
                <c:pt idx="65">
                  <c:v>1.4081499999999999E-3</c:v>
                </c:pt>
                <c:pt idx="66">
                  <c:v>1.43889E-3</c:v>
                </c:pt>
                <c:pt idx="67">
                  <c:v>1.4670600000000001E-3</c:v>
                </c:pt>
                <c:pt idx="68">
                  <c:v>1.9160700000000002E-6</c:v>
                </c:pt>
                <c:pt idx="69">
                  <c:v>1.9146299999999998E-6</c:v>
                </c:pt>
                <c:pt idx="70">
                  <c:v>1.9172800000000001E-6</c:v>
                </c:pt>
                <c:pt idx="71">
                  <c:v>1.9197E-6</c:v>
                </c:pt>
                <c:pt idx="72">
                  <c:v>1.9234800000000002E-6</c:v>
                </c:pt>
                <c:pt idx="73">
                  <c:v>1.92593E-6</c:v>
                </c:pt>
                <c:pt idx="74">
                  <c:v>1.9307999999999998E-6</c:v>
                </c:pt>
                <c:pt idx="75">
                  <c:v>1.9420000000000002E-6</c:v>
                </c:pt>
                <c:pt idx="76">
                  <c:v>1.9435499999999998E-6</c:v>
                </c:pt>
                <c:pt idx="77">
                  <c:v>1.9354999999999999E-6</c:v>
                </c:pt>
                <c:pt idx="78">
                  <c:v>7.6194700000000001E-4</c:v>
                </c:pt>
                <c:pt idx="79">
                  <c:v>7.9724400000000001E-4</c:v>
                </c:pt>
                <c:pt idx="80">
                  <c:v>8.2669000000000004E-4</c:v>
                </c:pt>
                <c:pt idx="81">
                  <c:v>8.5401699999999999E-4</c:v>
                </c:pt>
                <c:pt idx="82">
                  <c:v>8.7517699999999999E-4</c:v>
                </c:pt>
                <c:pt idx="83">
                  <c:v>8.99444E-4</c:v>
                </c:pt>
                <c:pt idx="84">
                  <c:v>9.2140400000000002E-4</c:v>
                </c:pt>
                <c:pt idx="85">
                  <c:v>9.4399299999999996E-4</c:v>
                </c:pt>
                <c:pt idx="86">
                  <c:v>9.6565699999999997E-4</c:v>
                </c:pt>
                <c:pt idx="87">
                  <c:v>9.9002700000000009E-4</c:v>
                </c:pt>
                <c:pt idx="88">
                  <c:v>1.01296E-3</c:v>
                </c:pt>
                <c:pt idx="89">
                  <c:v>1.0300299999999999E-3</c:v>
                </c:pt>
                <c:pt idx="90">
                  <c:v>1.05262E-3</c:v>
                </c:pt>
                <c:pt idx="91">
                  <c:v>1.08183E-3</c:v>
                </c:pt>
                <c:pt idx="92">
                  <c:v>1.1037600000000001E-3</c:v>
                </c:pt>
                <c:pt idx="93">
                  <c:v>1.1256300000000001E-3</c:v>
                </c:pt>
                <c:pt idx="94">
                  <c:v>1.15204E-3</c:v>
                </c:pt>
                <c:pt idx="95">
                  <c:v>1.17588E-3</c:v>
                </c:pt>
                <c:pt idx="96">
                  <c:v>1.20181E-3</c:v>
                </c:pt>
                <c:pt idx="97">
                  <c:v>1.22251E-3</c:v>
                </c:pt>
                <c:pt idx="98">
                  <c:v>1.2477499999999999E-3</c:v>
                </c:pt>
                <c:pt idx="99">
                  <c:v>1.27305E-3</c:v>
                </c:pt>
                <c:pt idx="100">
                  <c:v>1.29546E-3</c:v>
                </c:pt>
                <c:pt idx="101">
                  <c:v>1.32362E-3</c:v>
                </c:pt>
                <c:pt idx="102">
                  <c:v>1.3511599999999999E-3</c:v>
                </c:pt>
                <c:pt idx="103">
                  <c:v>1.3746100000000001E-3</c:v>
                </c:pt>
                <c:pt idx="104">
                  <c:v>1.39404E-3</c:v>
                </c:pt>
                <c:pt idx="105">
                  <c:v>1.42197E-3</c:v>
                </c:pt>
                <c:pt idx="106">
                  <c:v>1.4488999999999999E-3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1-490A-A878-6ED7DB7C3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298768"/>
        <c:axId val="2049692512"/>
      </c:scatterChart>
      <c:valAx>
        <c:axId val="204929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92512"/>
        <c:crosses val="autoZero"/>
        <c:crossBetween val="midCat"/>
      </c:valAx>
      <c:valAx>
        <c:axId val="2049692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9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P- 24 hpi IPTG'!$R$1:$R$2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 IPTG'!$R$3:$R$124</c:f>
              <c:numCache>
                <c:formatCode>General</c:formatCode>
                <c:ptCount val="122"/>
                <c:pt idx="0">
                  <c:v>2.50058E-4</c:v>
                </c:pt>
                <c:pt idx="1">
                  <c:v>2.51907E-4</c:v>
                </c:pt>
                <c:pt idx="2">
                  <c:v>2.5651800000000001E-4</c:v>
                </c:pt>
                <c:pt idx="3">
                  <c:v>2.6109499999999998E-4</c:v>
                </c:pt>
                <c:pt idx="4">
                  <c:v>2.6415899999999998E-4</c:v>
                </c:pt>
                <c:pt idx="5">
                  <c:v>2.6510599999999998E-4</c:v>
                </c:pt>
                <c:pt idx="6">
                  <c:v>2.7940899999999999E-4</c:v>
                </c:pt>
                <c:pt idx="7">
                  <c:v>2.7851299999999998E-4</c:v>
                </c:pt>
                <c:pt idx="8">
                  <c:v>2.8175299999999998E-4</c:v>
                </c:pt>
                <c:pt idx="9">
                  <c:v>2.82267E-4</c:v>
                </c:pt>
                <c:pt idx="10">
                  <c:v>2.92916E-4</c:v>
                </c:pt>
                <c:pt idx="11">
                  <c:v>2.9427099999999997E-4</c:v>
                </c:pt>
                <c:pt idx="12">
                  <c:v>2.9392099999999999E-4</c:v>
                </c:pt>
                <c:pt idx="13">
                  <c:v>3.0218299999999998E-4</c:v>
                </c:pt>
                <c:pt idx="14">
                  <c:v>3.16342E-4</c:v>
                </c:pt>
                <c:pt idx="15">
                  <c:v>3.16707E-4</c:v>
                </c:pt>
                <c:pt idx="16">
                  <c:v>3.1408599999999999E-4</c:v>
                </c:pt>
                <c:pt idx="17">
                  <c:v>3.1931599999999999E-4</c:v>
                </c:pt>
                <c:pt idx="18">
                  <c:v>3.2517800000000002E-4</c:v>
                </c:pt>
                <c:pt idx="19">
                  <c:v>3.2871199999999999E-4</c:v>
                </c:pt>
                <c:pt idx="20">
                  <c:v>3.3178100000000001E-4</c:v>
                </c:pt>
                <c:pt idx="21">
                  <c:v>3.3386700000000001E-4</c:v>
                </c:pt>
                <c:pt idx="22">
                  <c:v>3.4821199999999998E-4</c:v>
                </c:pt>
                <c:pt idx="23">
                  <c:v>3.4870399999999997E-4</c:v>
                </c:pt>
                <c:pt idx="24">
                  <c:v>3.524E-4</c:v>
                </c:pt>
                <c:pt idx="25">
                  <c:v>3.5227099999999998E-4</c:v>
                </c:pt>
                <c:pt idx="26">
                  <c:v>3.6156799999999999E-4</c:v>
                </c:pt>
                <c:pt idx="27">
                  <c:v>3.6674400000000001E-4</c:v>
                </c:pt>
                <c:pt idx="28">
                  <c:v>3.6769500000000002E-4</c:v>
                </c:pt>
                <c:pt idx="29">
                  <c:v>2.4261400000000001E-5</c:v>
                </c:pt>
                <c:pt idx="30">
                  <c:v>2.4038099999999999E-5</c:v>
                </c:pt>
                <c:pt idx="31">
                  <c:v>2.3856999999999999E-5</c:v>
                </c:pt>
                <c:pt idx="32">
                  <c:v>2.3726600000000001E-5</c:v>
                </c:pt>
                <c:pt idx="33">
                  <c:v>2.3592200000000001E-5</c:v>
                </c:pt>
                <c:pt idx="34">
                  <c:v>2.3476400000000001E-5</c:v>
                </c:pt>
                <c:pt idx="35">
                  <c:v>2.3403700000000001E-5</c:v>
                </c:pt>
                <c:pt idx="36">
                  <c:v>2.33183E-5</c:v>
                </c:pt>
                <c:pt idx="37">
                  <c:v>2.3217299999999999E-5</c:v>
                </c:pt>
                <c:pt idx="38">
                  <c:v>2.3170700000000002E-5</c:v>
                </c:pt>
                <c:pt idx="39">
                  <c:v>2.0368400000000001E-4</c:v>
                </c:pt>
                <c:pt idx="40">
                  <c:v>2.02921E-4</c:v>
                </c:pt>
                <c:pt idx="41">
                  <c:v>2.0262399999999999E-4</c:v>
                </c:pt>
                <c:pt idx="42">
                  <c:v>2.0096900000000001E-4</c:v>
                </c:pt>
                <c:pt idx="43">
                  <c:v>1.9946100000000001E-4</c:v>
                </c:pt>
                <c:pt idx="44">
                  <c:v>2.0425099999999999E-4</c:v>
                </c:pt>
                <c:pt idx="45">
                  <c:v>2.0717399999999999E-4</c:v>
                </c:pt>
                <c:pt idx="46">
                  <c:v>2.1321299999999999E-4</c:v>
                </c:pt>
                <c:pt idx="47">
                  <c:v>2.1581000000000001E-4</c:v>
                </c:pt>
                <c:pt idx="48">
                  <c:v>2.1750099999999999E-4</c:v>
                </c:pt>
                <c:pt idx="49">
                  <c:v>2.2143400000000001E-4</c:v>
                </c:pt>
                <c:pt idx="50">
                  <c:v>2.2505499999999999E-4</c:v>
                </c:pt>
                <c:pt idx="51">
                  <c:v>2.22907E-4</c:v>
                </c:pt>
                <c:pt idx="52">
                  <c:v>2.2380300000000001E-4</c:v>
                </c:pt>
                <c:pt idx="53">
                  <c:v>2.3179099999999999E-4</c:v>
                </c:pt>
                <c:pt idx="54">
                  <c:v>2.3693499999999999E-4</c:v>
                </c:pt>
                <c:pt idx="55">
                  <c:v>2.40528E-4</c:v>
                </c:pt>
                <c:pt idx="56">
                  <c:v>2.3744E-4</c:v>
                </c:pt>
                <c:pt idx="57">
                  <c:v>2.43472E-4</c:v>
                </c:pt>
                <c:pt idx="58">
                  <c:v>2.4996600000000001E-4</c:v>
                </c:pt>
                <c:pt idx="59">
                  <c:v>2.4846500000000001E-4</c:v>
                </c:pt>
                <c:pt idx="60">
                  <c:v>2.5231199999999998E-4</c:v>
                </c:pt>
                <c:pt idx="61">
                  <c:v>2.5534700000000001E-4</c:v>
                </c:pt>
                <c:pt idx="62">
                  <c:v>2.6634899999999998E-4</c:v>
                </c:pt>
                <c:pt idx="63">
                  <c:v>2.6377399999999999E-4</c:v>
                </c:pt>
                <c:pt idx="64">
                  <c:v>2.6762500000000001E-4</c:v>
                </c:pt>
                <c:pt idx="65">
                  <c:v>2.6864100000000002E-4</c:v>
                </c:pt>
                <c:pt idx="66">
                  <c:v>2.7772700000000002E-4</c:v>
                </c:pt>
                <c:pt idx="67">
                  <c:v>2.81375E-4</c:v>
                </c:pt>
                <c:pt idx="68">
                  <c:v>2.1097499999999999E-5</c:v>
                </c:pt>
                <c:pt idx="69">
                  <c:v>2.1238099999999999E-5</c:v>
                </c:pt>
                <c:pt idx="70">
                  <c:v>2.13497E-5</c:v>
                </c:pt>
                <c:pt idx="71">
                  <c:v>2.15273E-5</c:v>
                </c:pt>
                <c:pt idx="72">
                  <c:v>2.1577699999999998E-5</c:v>
                </c:pt>
                <c:pt idx="73">
                  <c:v>2.1648799999999998E-5</c:v>
                </c:pt>
                <c:pt idx="74">
                  <c:v>2.1727899999999999E-5</c:v>
                </c:pt>
                <c:pt idx="75">
                  <c:v>2.1758599999999999E-5</c:v>
                </c:pt>
                <c:pt idx="76">
                  <c:v>2.17996E-5</c:v>
                </c:pt>
                <c:pt idx="77">
                  <c:v>2.18025E-5</c:v>
                </c:pt>
                <c:pt idx="78">
                  <c:v>2.0201299999999999E-4</c:v>
                </c:pt>
                <c:pt idx="79">
                  <c:v>2.0464999999999999E-4</c:v>
                </c:pt>
                <c:pt idx="80">
                  <c:v>2.05854E-4</c:v>
                </c:pt>
                <c:pt idx="81">
                  <c:v>2.0900199999999999E-4</c:v>
                </c:pt>
                <c:pt idx="82">
                  <c:v>2.1003699999999999E-4</c:v>
                </c:pt>
                <c:pt idx="83">
                  <c:v>2.1247200000000001E-4</c:v>
                </c:pt>
                <c:pt idx="84">
                  <c:v>2.15527E-4</c:v>
                </c:pt>
                <c:pt idx="85">
                  <c:v>2.23086E-4</c:v>
                </c:pt>
                <c:pt idx="86">
                  <c:v>2.2435200000000001E-4</c:v>
                </c:pt>
                <c:pt idx="87">
                  <c:v>2.2832399999999999E-4</c:v>
                </c:pt>
                <c:pt idx="88">
                  <c:v>2.3275800000000001E-4</c:v>
                </c:pt>
                <c:pt idx="89">
                  <c:v>2.3351000000000001E-4</c:v>
                </c:pt>
                <c:pt idx="90">
                  <c:v>2.4148E-4</c:v>
                </c:pt>
                <c:pt idx="91">
                  <c:v>2.4623199999999998E-4</c:v>
                </c:pt>
                <c:pt idx="92">
                  <c:v>2.4430200000000001E-4</c:v>
                </c:pt>
                <c:pt idx="93">
                  <c:v>2.5043899999999998E-4</c:v>
                </c:pt>
                <c:pt idx="94">
                  <c:v>2.5375400000000002E-4</c:v>
                </c:pt>
                <c:pt idx="95">
                  <c:v>2.5919000000000002E-4</c:v>
                </c:pt>
                <c:pt idx="96">
                  <c:v>2.59106E-4</c:v>
                </c:pt>
                <c:pt idx="97">
                  <c:v>2.5713800000000002E-4</c:v>
                </c:pt>
                <c:pt idx="98">
                  <c:v>2.6944499999999999E-4</c:v>
                </c:pt>
                <c:pt idx="99">
                  <c:v>2.6986600000000001E-4</c:v>
                </c:pt>
                <c:pt idx="100">
                  <c:v>2.7421999999999999E-4</c:v>
                </c:pt>
                <c:pt idx="101">
                  <c:v>2.7848899999999998E-4</c:v>
                </c:pt>
                <c:pt idx="102">
                  <c:v>2.7931899999999999E-4</c:v>
                </c:pt>
                <c:pt idx="103">
                  <c:v>2.8175699999999999E-4</c:v>
                </c:pt>
                <c:pt idx="104">
                  <c:v>2.9098299999999998E-4</c:v>
                </c:pt>
                <c:pt idx="105">
                  <c:v>2.9155099999999997E-4</c:v>
                </c:pt>
                <c:pt idx="106">
                  <c:v>2.93119E-4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CB-499F-88E4-087C79305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245056"/>
        <c:axId val="2024240288"/>
      </c:scatterChart>
      <c:valAx>
        <c:axId val="202424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0288"/>
        <c:crosses val="autoZero"/>
        <c:crossBetween val="midCat"/>
      </c:valAx>
      <c:valAx>
        <c:axId val="20242402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P- 24 hpi IPTG'!$B$1:$B$2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 IPTG'!$B$3:$B$108</c:f>
              <c:numCache>
                <c:formatCode>0.00E+00</c:formatCode>
                <c:ptCount val="106"/>
                <c:pt idx="0">
                  <c:v>1.4671E-3</c:v>
                </c:pt>
                <c:pt idx="1">
                  <c:v>1.4973300000000001E-3</c:v>
                </c:pt>
                <c:pt idx="2">
                  <c:v>1.52524E-3</c:v>
                </c:pt>
                <c:pt idx="3">
                  <c:v>1.56668E-3</c:v>
                </c:pt>
                <c:pt idx="4">
                  <c:v>1.5997699999999999E-3</c:v>
                </c:pt>
                <c:pt idx="5">
                  <c:v>1.63046E-3</c:v>
                </c:pt>
                <c:pt idx="6">
                  <c:v>1.6656500000000001E-3</c:v>
                </c:pt>
                <c:pt idx="7">
                  <c:v>1.7136300000000001E-3</c:v>
                </c:pt>
                <c:pt idx="8">
                  <c:v>1.7481300000000001E-3</c:v>
                </c:pt>
                <c:pt idx="9">
                  <c:v>1.7797900000000001E-3</c:v>
                </c:pt>
                <c:pt idx="10">
                  <c:v>1.8131200000000001E-3</c:v>
                </c:pt>
                <c:pt idx="11">
                  <c:v>1.85132E-3</c:v>
                </c:pt>
                <c:pt idx="12">
                  <c:v>1.8864999999999999E-3</c:v>
                </c:pt>
                <c:pt idx="13">
                  <c:v>1.9156500000000001E-3</c:v>
                </c:pt>
                <c:pt idx="14">
                  <c:v>1.9568099999999998E-3</c:v>
                </c:pt>
                <c:pt idx="15">
                  <c:v>2.0003E-3</c:v>
                </c:pt>
                <c:pt idx="16">
                  <c:v>2.0417E-3</c:v>
                </c:pt>
                <c:pt idx="17">
                  <c:v>2.0737899999999998E-3</c:v>
                </c:pt>
                <c:pt idx="18">
                  <c:v>2.1045299999999999E-3</c:v>
                </c:pt>
                <c:pt idx="19">
                  <c:v>2.1379400000000001E-3</c:v>
                </c:pt>
                <c:pt idx="20">
                  <c:v>2.1664599999999998E-3</c:v>
                </c:pt>
                <c:pt idx="21">
                  <c:v>2.1999799999999998E-3</c:v>
                </c:pt>
                <c:pt idx="22">
                  <c:v>2.2285E-3</c:v>
                </c:pt>
                <c:pt idx="23">
                  <c:v>2.2632799999999999E-3</c:v>
                </c:pt>
                <c:pt idx="24">
                  <c:v>2.2948999999999999E-3</c:v>
                </c:pt>
                <c:pt idx="25">
                  <c:v>2.33023E-3</c:v>
                </c:pt>
                <c:pt idx="26">
                  <c:v>2.3632100000000001E-3</c:v>
                </c:pt>
                <c:pt idx="27">
                  <c:v>2.3976599999999998E-3</c:v>
                </c:pt>
                <c:pt idx="28">
                  <c:v>2.4280700000000001E-3</c:v>
                </c:pt>
                <c:pt idx="29">
                  <c:v>2.1409900000000001E-6</c:v>
                </c:pt>
                <c:pt idx="30">
                  <c:v>2.14751E-6</c:v>
                </c:pt>
                <c:pt idx="31">
                  <c:v>2.1385400000000002E-6</c:v>
                </c:pt>
                <c:pt idx="32">
                  <c:v>2.12681E-6</c:v>
                </c:pt>
                <c:pt idx="33">
                  <c:v>2.1201900000000002E-6</c:v>
                </c:pt>
                <c:pt idx="34">
                  <c:v>2.1071999999999999E-6</c:v>
                </c:pt>
                <c:pt idx="35">
                  <c:v>2.1071900000000001E-6</c:v>
                </c:pt>
                <c:pt idx="36">
                  <c:v>2.097E-6</c:v>
                </c:pt>
                <c:pt idx="37">
                  <c:v>2.09315E-6</c:v>
                </c:pt>
                <c:pt idx="38">
                  <c:v>2.0856E-6</c:v>
                </c:pt>
                <c:pt idx="39">
                  <c:v>8.0648000000000004E-4</c:v>
                </c:pt>
                <c:pt idx="40">
                  <c:v>8.3812999999999997E-4</c:v>
                </c:pt>
                <c:pt idx="41">
                  <c:v>8.6188200000000001E-4</c:v>
                </c:pt>
                <c:pt idx="42">
                  <c:v>8.8312700000000004E-4</c:v>
                </c:pt>
                <c:pt idx="43">
                  <c:v>9.0683599999999995E-4</c:v>
                </c:pt>
                <c:pt idx="44">
                  <c:v>9.26705E-4</c:v>
                </c:pt>
                <c:pt idx="45">
                  <c:v>9.4649800000000004E-4</c:v>
                </c:pt>
                <c:pt idx="46">
                  <c:v>9.6124199999999996E-4</c:v>
                </c:pt>
                <c:pt idx="47">
                  <c:v>9.8250300000000002E-4</c:v>
                </c:pt>
                <c:pt idx="48">
                  <c:v>1.00198E-3</c:v>
                </c:pt>
                <c:pt idx="49">
                  <c:v>1.01701E-3</c:v>
                </c:pt>
                <c:pt idx="50">
                  <c:v>1.03783E-3</c:v>
                </c:pt>
                <c:pt idx="51">
                  <c:v>1.05887E-3</c:v>
                </c:pt>
                <c:pt idx="52">
                  <c:v>1.08143E-3</c:v>
                </c:pt>
                <c:pt idx="53">
                  <c:v>1.09713E-3</c:v>
                </c:pt>
                <c:pt idx="54">
                  <c:v>1.11804E-3</c:v>
                </c:pt>
                <c:pt idx="55">
                  <c:v>1.1428300000000001E-3</c:v>
                </c:pt>
                <c:pt idx="56">
                  <c:v>1.1674299999999999E-3</c:v>
                </c:pt>
                <c:pt idx="57">
                  <c:v>1.1924100000000001E-3</c:v>
                </c:pt>
                <c:pt idx="58">
                  <c:v>1.2154399999999999E-3</c:v>
                </c:pt>
                <c:pt idx="59">
                  <c:v>1.2376100000000001E-3</c:v>
                </c:pt>
                <c:pt idx="60">
                  <c:v>1.26151E-3</c:v>
                </c:pt>
                <c:pt idx="61">
                  <c:v>1.2876000000000001E-3</c:v>
                </c:pt>
                <c:pt idx="62">
                  <c:v>1.31369E-3</c:v>
                </c:pt>
                <c:pt idx="63">
                  <c:v>1.3469599999999999E-3</c:v>
                </c:pt>
                <c:pt idx="64">
                  <c:v>1.3754699999999999E-3</c:v>
                </c:pt>
                <c:pt idx="65">
                  <c:v>1.4081499999999999E-3</c:v>
                </c:pt>
                <c:pt idx="66">
                  <c:v>1.43889E-3</c:v>
                </c:pt>
                <c:pt idx="67">
                  <c:v>1.4670600000000001E-3</c:v>
                </c:pt>
                <c:pt idx="68">
                  <c:v>1.9160700000000002E-6</c:v>
                </c:pt>
                <c:pt idx="69">
                  <c:v>1.9146299999999998E-6</c:v>
                </c:pt>
                <c:pt idx="70">
                  <c:v>1.9172800000000001E-6</c:v>
                </c:pt>
                <c:pt idx="71">
                  <c:v>1.9197E-6</c:v>
                </c:pt>
                <c:pt idx="72">
                  <c:v>1.9234800000000002E-6</c:v>
                </c:pt>
                <c:pt idx="73">
                  <c:v>1.92593E-6</c:v>
                </c:pt>
                <c:pt idx="74">
                  <c:v>1.9307999999999998E-6</c:v>
                </c:pt>
                <c:pt idx="75">
                  <c:v>1.9420000000000002E-6</c:v>
                </c:pt>
                <c:pt idx="76">
                  <c:v>1.9435499999999998E-6</c:v>
                </c:pt>
                <c:pt idx="77">
                  <c:v>1.9354999999999999E-6</c:v>
                </c:pt>
                <c:pt idx="78">
                  <c:v>7.6194700000000001E-4</c:v>
                </c:pt>
                <c:pt idx="79">
                  <c:v>7.9724400000000001E-4</c:v>
                </c:pt>
                <c:pt idx="80">
                  <c:v>8.2669000000000004E-4</c:v>
                </c:pt>
                <c:pt idx="81">
                  <c:v>8.5401699999999999E-4</c:v>
                </c:pt>
                <c:pt idx="82">
                  <c:v>8.7517699999999999E-4</c:v>
                </c:pt>
                <c:pt idx="83">
                  <c:v>8.99444E-4</c:v>
                </c:pt>
                <c:pt idx="84">
                  <c:v>9.2140400000000002E-4</c:v>
                </c:pt>
                <c:pt idx="85">
                  <c:v>9.4399299999999996E-4</c:v>
                </c:pt>
                <c:pt idx="86">
                  <c:v>9.6565699999999997E-4</c:v>
                </c:pt>
                <c:pt idx="87">
                  <c:v>9.9002700000000009E-4</c:v>
                </c:pt>
                <c:pt idx="88">
                  <c:v>1.01296E-3</c:v>
                </c:pt>
                <c:pt idx="89">
                  <c:v>1.0300299999999999E-3</c:v>
                </c:pt>
                <c:pt idx="90">
                  <c:v>1.05262E-3</c:v>
                </c:pt>
                <c:pt idx="91">
                  <c:v>1.08183E-3</c:v>
                </c:pt>
                <c:pt idx="92">
                  <c:v>1.1037600000000001E-3</c:v>
                </c:pt>
                <c:pt idx="93">
                  <c:v>1.1256300000000001E-3</c:v>
                </c:pt>
                <c:pt idx="94">
                  <c:v>1.15204E-3</c:v>
                </c:pt>
                <c:pt idx="95">
                  <c:v>1.17588E-3</c:v>
                </c:pt>
                <c:pt idx="96">
                  <c:v>1.20181E-3</c:v>
                </c:pt>
                <c:pt idx="97">
                  <c:v>1.22251E-3</c:v>
                </c:pt>
                <c:pt idx="98">
                  <c:v>1.2477499999999999E-3</c:v>
                </c:pt>
                <c:pt idx="99">
                  <c:v>1.27305E-3</c:v>
                </c:pt>
                <c:pt idx="100">
                  <c:v>1.29546E-3</c:v>
                </c:pt>
                <c:pt idx="101">
                  <c:v>1.32362E-3</c:v>
                </c:pt>
                <c:pt idx="102">
                  <c:v>1.3511599999999999E-3</c:v>
                </c:pt>
                <c:pt idx="103">
                  <c:v>1.3746100000000001E-3</c:v>
                </c:pt>
                <c:pt idx="104">
                  <c:v>1.39404E-3</c:v>
                </c:pt>
                <c:pt idx="105">
                  <c:v>1.42197E-3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F-41CB-82B0-9F7C68225E54}"/>
            </c:ext>
          </c:extLst>
        </c:ser>
        <c:ser>
          <c:idx val="1"/>
          <c:order val="1"/>
          <c:tx>
            <c:strRef>
              <c:f>'1233 P- 24 hpi IPTG'!$G$1:$G$2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 IPTG'!$G$3:$G$116</c:f>
              <c:numCache>
                <c:formatCode>0.00E+00</c:formatCode>
                <c:ptCount val="1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9F-41CB-82B0-9F7C68225E54}"/>
            </c:ext>
          </c:extLst>
        </c:ser>
        <c:ser>
          <c:idx val="2"/>
          <c:order val="2"/>
          <c:tx>
            <c:strRef>
              <c:f>'1233 P- 24 hpi IPTG'!$L$1:$L$2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 IPTG'!$L$3:$L$116</c:f>
              <c:numCache>
                <c:formatCode>0.00E+00</c:formatCode>
                <c:ptCount val="1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9F-41CB-82B0-9F7C68225E54}"/>
            </c:ext>
          </c:extLst>
        </c:ser>
        <c:ser>
          <c:idx val="3"/>
          <c:order val="3"/>
          <c:tx>
            <c:strRef>
              <c:f>'1233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9F-41CB-82B0-9F7C6822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91680"/>
        <c:axId val="1172291264"/>
      </c:scatterChart>
      <c:valAx>
        <c:axId val="117229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264"/>
        <c:crosses val="autoZero"/>
        <c:crossBetween val="midCat"/>
      </c:valAx>
      <c:valAx>
        <c:axId val="11722912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P- 24 hpi IPTG'!$C$1:$C$2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 IPTG'!$C$3:$C$108</c:f>
              <c:numCache>
                <c:formatCode>0.00E+00</c:formatCode>
                <c:ptCount val="106"/>
                <c:pt idx="0">
                  <c:v>2.50058E-4</c:v>
                </c:pt>
                <c:pt idx="1">
                  <c:v>2.51907E-4</c:v>
                </c:pt>
                <c:pt idx="2">
                  <c:v>2.5651800000000001E-4</c:v>
                </c:pt>
                <c:pt idx="3">
                  <c:v>2.6109499999999998E-4</c:v>
                </c:pt>
                <c:pt idx="4">
                  <c:v>2.6415899999999998E-4</c:v>
                </c:pt>
                <c:pt idx="5">
                  <c:v>2.6510599999999998E-4</c:v>
                </c:pt>
                <c:pt idx="6">
                  <c:v>2.7940899999999999E-4</c:v>
                </c:pt>
                <c:pt idx="7">
                  <c:v>2.7851299999999998E-4</c:v>
                </c:pt>
                <c:pt idx="8">
                  <c:v>2.8175299999999998E-4</c:v>
                </c:pt>
                <c:pt idx="9">
                  <c:v>2.82267E-4</c:v>
                </c:pt>
                <c:pt idx="10">
                  <c:v>2.92916E-4</c:v>
                </c:pt>
                <c:pt idx="11">
                  <c:v>2.9427099999999997E-4</c:v>
                </c:pt>
                <c:pt idx="12">
                  <c:v>2.9392099999999999E-4</c:v>
                </c:pt>
                <c:pt idx="13">
                  <c:v>3.0218299999999998E-4</c:v>
                </c:pt>
                <c:pt idx="14">
                  <c:v>3.16342E-4</c:v>
                </c:pt>
                <c:pt idx="15">
                  <c:v>3.16707E-4</c:v>
                </c:pt>
                <c:pt idx="16">
                  <c:v>3.1408599999999999E-4</c:v>
                </c:pt>
                <c:pt idx="17">
                  <c:v>3.1931599999999999E-4</c:v>
                </c:pt>
                <c:pt idx="18">
                  <c:v>3.2517800000000002E-4</c:v>
                </c:pt>
                <c:pt idx="19">
                  <c:v>3.2871199999999999E-4</c:v>
                </c:pt>
                <c:pt idx="20">
                  <c:v>3.3178100000000001E-4</c:v>
                </c:pt>
                <c:pt idx="21">
                  <c:v>3.3386700000000001E-4</c:v>
                </c:pt>
                <c:pt idx="22">
                  <c:v>3.4821199999999998E-4</c:v>
                </c:pt>
                <c:pt idx="23">
                  <c:v>3.4870399999999997E-4</c:v>
                </c:pt>
                <c:pt idx="24">
                  <c:v>3.524E-4</c:v>
                </c:pt>
                <c:pt idx="25">
                  <c:v>3.5227099999999998E-4</c:v>
                </c:pt>
                <c:pt idx="26">
                  <c:v>3.6156799999999999E-4</c:v>
                </c:pt>
                <c:pt idx="27">
                  <c:v>3.6674400000000001E-4</c:v>
                </c:pt>
                <c:pt idx="28">
                  <c:v>3.6769500000000002E-4</c:v>
                </c:pt>
                <c:pt idx="29">
                  <c:v>2.4261400000000001E-5</c:v>
                </c:pt>
                <c:pt idx="30">
                  <c:v>2.4038099999999999E-5</c:v>
                </c:pt>
                <c:pt idx="31">
                  <c:v>2.3856999999999999E-5</c:v>
                </c:pt>
                <c:pt idx="32">
                  <c:v>2.3726600000000001E-5</c:v>
                </c:pt>
                <c:pt idx="33">
                  <c:v>2.3592200000000001E-5</c:v>
                </c:pt>
                <c:pt idx="34">
                  <c:v>2.3476400000000001E-5</c:v>
                </c:pt>
                <c:pt idx="35">
                  <c:v>2.3403700000000001E-5</c:v>
                </c:pt>
                <c:pt idx="36">
                  <c:v>2.33183E-5</c:v>
                </c:pt>
                <c:pt idx="37">
                  <c:v>2.3217299999999999E-5</c:v>
                </c:pt>
                <c:pt idx="38">
                  <c:v>2.3170700000000002E-5</c:v>
                </c:pt>
                <c:pt idx="39">
                  <c:v>2.0368400000000001E-4</c:v>
                </c:pt>
                <c:pt idx="40">
                  <c:v>2.02921E-4</c:v>
                </c:pt>
                <c:pt idx="41">
                  <c:v>2.0262399999999999E-4</c:v>
                </c:pt>
                <c:pt idx="42">
                  <c:v>2.0096900000000001E-4</c:v>
                </c:pt>
                <c:pt idx="43">
                  <c:v>1.9946100000000001E-4</c:v>
                </c:pt>
                <c:pt idx="44">
                  <c:v>2.0425099999999999E-4</c:v>
                </c:pt>
                <c:pt idx="45">
                  <c:v>2.0717399999999999E-4</c:v>
                </c:pt>
                <c:pt idx="46">
                  <c:v>2.1321299999999999E-4</c:v>
                </c:pt>
                <c:pt idx="47">
                  <c:v>2.1581000000000001E-4</c:v>
                </c:pt>
                <c:pt idx="48">
                  <c:v>2.1750099999999999E-4</c:v>
                </c:pt>
                <c:pt idx="49">
                  <c:v>2.2143400000000001E-4</c:v>
                </c:pt>
                <c:pt idx="50">
                  <c:v>2.2505499999999999E-4</c:v>
                </c:pt>
                <c:pt idx="51">
                  <c:v>2.22907E-4</c:v>
                </c:pt>
                <c:pt idx="52">
                  <c:v>2.2380300000000001E-4</c:v>
                </c:pt>
                <c:pt idx="53">
                  <c:v>2.3179099999999999E-4</c:v>
                </c:pt>
                <c:pt idx="54">
                  <c:v>2.3693499999999999E-4</c:v>
                </c:pt>
                <c:pt idx="55">
                  <c:v>2.40528E-4</c:v>
                </c:pt>
                <c:pt idx="56">
                  <c:v>2.3744E-4</c:v>
                </c:pt>
                <c:pt idx="57">
                  <c:v>2.43472E-4</c:v>
                </c:pt>
                <c:pt idx="58">
                  <c:v>2.4996600000000001E-4</c:v>
                </c:pt>
                <c:pt idx="59">
                  <c:v>2.4846500000000001E-4</c:v>
                </c:pt>
                <c:pt idx="60">
                  <c:v>2.5231199999999998E-4</c:v>
                </c:pt>
                <c:pt idx="61">
                  <c:v>2.5534700000000001E-4</c:v>
                </c:pt>
                <c:pt idx="62">
                  <c:v>2.6634899999999998E-4</c:v>
                </c:pt>
                <c:pt idx="63">
                  <c:v>2.6377399999999999E-4</c:v>
                </c:pt>
                <c:pt idx="64">
                  <c:v>2.6762500000000001E-4</c:v>
                </c:pt>
                <c:pt idx="65">
                  <c:v>2.6864100000000002E-4</c:v>
                </c:pt>
                <c:pt idx="66">
                  <c:v>2.7772700000000002E-4</c:v>
                </c:pt>
                <c:pt idx="67">
                  <c:v>2.81375E-4</c:v>
                </c:pt>
                <c:pt idx="68">
                  <c:v>2.1097499999999999E-5</c:v>
                </c:pt>
                <c:pt idx="69">
                  <c:v>2.1238099999999999E-5</c:v>
                </c:pt>
                <c:pt idx="70">
                  <c:v>2.13497E-5</c:v>
                </c:pt>
                <c:pt idx="71">
                  <c:v>2.15273E-5</c:v>
                </c:pt>
                <c:pt idx="72">
                  <c:v>2.1577699999999998E-5</c:v>
                </c:pt>
                <c:pt idx="73">
                  <c:v>2.1648799999999998E-5</c:v>
                </c:pt>
                <c:pt idx="74">
                  <c:v>2.1727899999999999E-5</c:v>
                </c:pt>
                <c:pt idx="75">
                  <c:v>2.1758599999999999E-5</c:v>
                </c:pt>
                <c:pt idx="76">
                  <c:v>2.17996E-5</c:v>
                </c:pt>
                <c:pt idx="77">
                  <c:v>2.18025E-5</c:v>
                </c:pt>
                <c:pt idx="78">
                  <c:v>2.0201299999999999E-4</c:v>
                </c:pt>
                <c:pt idx="79">
                  <c:v>2.0464999999999999E-4</c:v>
                </c:pt>
                <c:pt idx="80">
                  <c:v>2.05854E-4</c:v>
                </c:pt>
                <c:pt idx="81">
                  <c:v>2.0900199999999999E-4</c:v>
                </c:pt>
                <c:pt idx="82">
                  <c:v>2.1003699999999999E-4</c:v>
                </c:pt>
                <c:pt idx="83">
                  <c:v>2.1247200000000001E-4</c:v>
                </c:pt>
                <c:pt idx="84">
                  <c:v>2.15527E-4</c:v>
                </c:pt>
                <c:pt idx="85">
                  <c:v>2.23086E-4</c:v>
                </c:pt>
                <c:pt idx="86">
                  <c:v>2.2435200000000001E-4</c:v>
                </c:pt>
                <c:pt idx="87">
                  <c:v>2.2832399999999999E-4</c:v>
                </c:pt>
                <c:pt idx="88">
                  <c:v>2.3275800000000001E-4</c:v>
                </c:pt>
                <c:pt idx="89">
                  <c:v>2.3351000000000001E-4</c:v>
                </c:pt>
                <c:pt idx="90">
                  <c:v>2.4148E-4</c:v>
                </c:pt>
                <c:pt idx="91">
                  <c:v>2.4623199999999998E-4</c:v>
                </c:pt>
                <c:pt idx="92">
                  <c:v>2.4430200000000001E-4</c:v>
                </c:pt>
                <c:pt idx="93">
                  <c:v>2.5043899999999998E-4</c:v>
                </c:pt>
                <c:pt idx="94">
                  <c:v>2.5375400000000002E-4</c:v>
                </c:pt>
                <c:pt idx="95">
                  <c:v>2.5919000000000002E-4</c:v>
                </c:pt>
                <c:pt idx="96">
                  <c:v>2.59106E-4</c:v>
                </c:pt>
                <c:pt idx="97">
                  <c:v>2.5713800000000002E-4</c:v>
                </c:pt>
                <c:pt idx="98">
                  <c:v>2.6944499999999999E-4</c:v>
                </c:pt>
                <c:pt idx="99">
                  <c:v>2.6986600000000001E-4</c:v>
                </c:pt>
                <c:pt idx="100">
                  <c:v>2.7421999999999999E-4</c:v>
                </c:pt>
                <c:pt idx="101">
                  <c:v>2.7848899999999998E-4</c:v>
                </c:pt>
                <c:pt idx="102">
                  <c:v>2.7931899999999999E-4</c:v>
                </c:pt>
                <c:pt idx="103">
                  <c:v>2.8175699999999999E-4</c:v>
                </c:pt>
                <c:pt idx="104">
                  <c:v>2.9098299999999998E-4</c:v>
                </c:pt>
                <c:pt idx="105">
                  <c:v>2.9155099999999997E-4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F9-4996-9FE5-A604338EB8B3}"/>
            </c:ext>
          </c:extLst>
        </c:ser>
        <c:ser>
          <c:idx val="1"/>
          <c:order val="1"/>
          <c:tx>
            <c:strRef>
              <c:f>'1233 P- 24 hpi IPTG'!$H$1:$H$2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 IPTG'!$H$3:$H$116</c:f>
              <c:numCache>
                <c:formatCode>0.00E+00</c:formatCode>
                <c:ptCount val="1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F9-4996-9FE5-A604338EB8B3}"/>
            </c:ext>
          </c:extLst>
        </c:ser>
        <c:ser>
          <c:idx val="2"/>
          <c:order val="2"/>
          <c:tx>
            <c:strRef>
              <c:f>'1233 P- 24 hpi IPTG'!$M$1:$M$2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P- 24 hpi IPTG'!$M$3:$M$116</c:f>
              <c:numCache>
                <c:formatCode>0.00E+00</c:formatCode>
                <c:ptCount val="1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F9-4996-9FE5-A604338EB8B3}"/>
            </c:ext>
          </c:extLst>
        </c:ser>
        <c:ser>
          <c:idx val="3"/>
          <c:order val="3"/>
          <c:tx>
            <c:strRef>
              <c:f>'1233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P- 24 hpi IPTG'!$A$3:$A$116</c:f>
              <c:numCache>
                <c:formatCode>General</c:formatCode>
                <c:ptCount val="114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F9-4996-9FE5-A604338EB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856384"/>
        <c:axId val="1177859296"/>
      </c:scatterChart>
      <c:valAx>
        <c:axId val="117785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9296"/>
        <c:crosses val="autoZero"/>
        <c:crossBetween val="midCat"/>
      </c:valAx>
      <c:valAx>
        <c:axId val="1177859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P+ 24 hpi'!$Q$1:$Q$2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P+ 24 hpi'!$Q$3:$Q$132</c:f>
              <c:numCache>
                <c:formatCode>General</c:formatCode>
                <c:ptCount val="130"/>
                <c:pt idx="0">
                  <c:v>3.9751499999999998E-4</c:v>
                </c:pt>
                <c:pt idx="1">
                  <c:v>3.9770199999999999E-4</c:v>
                </c:pt>
                <c:pt idx="2">
                  <c:v>3.9857899999999998E-4</c:v>
                </c:pt>
                <c:pt idx="3">
                  <c:v>3.9923699999999999E-4</c:v>
                </c:pt>
                <c:pt idx="4">
                  <c:v>4.0063000000000002E-4</c:v>
                </c:pt>
                <c:pt idx="5">
                  <c:v>3.99851E-4</c:v>
                </c:pt>
                <c:pt idx="6">
                  <c:v>3.9958799999999998E-4</c:v>
                </c:pt>
                <c:pt idx="7">
                  <c:v>4.0073499999999999E-4</c:v>
                </c:pt>
                <c:pt idx="8">
                  <c:v>4.0163999999999998E-4</c:v>
                </c:pt>
                <c:pt idx="9">
                  <c:v>4.0168199999999999E-4</c:v>
                </c:pt>
                <c:pt idx="10">
                  <c:v>4.02051E-4</c:v>
                </c:pt>
                <c:pt idx="11">
                  <c:v>4.0253899999999999E-4</c:v>
                </c:pt>
                <c:pt idx="12">
                  <c:v>4.0297100000000001E-4</c:v>
                </c:pt>
                <c:pt idx="13">
                  <c:v>4.0325400000000003E-4</c:v>
                </c:pt>
                <c:pt idx="14">
                  <c:v>4.03776E-4</c:v>
                </c:pt>
                <c:pt idx="15">
                  <c:v>4.0380599999999999E-4</c:v>
                </c:pt>
                <c:pt idx="16">
                  <c:v>4.0411700000000001E-4</c:v>
                </c:pt>
                <c:pt idx="17">
                  <c:v>4.04337E-4</c:v>
                </c:pt>
                <c:pt idx="18">
                  <c:v>4.0462400000000002E-4</c:v>
                </c:pt>
                <c:pt idx="19">
                  <c:v>4.0481700000000002E-4</c:v>
                </c:pt>
                <c:pt idx="20">
                  <c:v>4.0493799999999998E-4</c:v>
                </c:pt>
                <c:pt idx="21">
                  <c:v>4.0497200000000003E-4</c:v>
                </c:pt>
                <c:pt idx="22">
                  <c:v>4.0548500000000003E-4</c:v>
                </c:pt>
                <c:pt idx="23">
                  <c:v>4.0566199999999999E-4</c:v>
                </c:pt>
                <c:pt idx="24">
                  <c:v>4.0537499999999997E-4</c:v>
                </c:pt>
                <c:pt idx="25">
                  <c:v>4.0559999999999999E-4</c:v>
                </c:pt>
                <c:pt idx="26">
                  <c:v>4.05511E-4</c:v>
                </c:pt>
                <c:pt idx="27">
                  <c:v>4.0597300000000001E-4</c:v>
                </c:pt>
                <c:pt idx="28">
                  <c:v>4.0628099999999998E-4</c:v>
                </c:pt>
                <c:pt idx="29">
                  <c:v>6.1311800000000001E-6</c:v>
                </c:pt>
                <c:pt idx="30">
                  <c:v>5.9267899999999999E-6</c:v>
                </c:pt>
                <c:pt idx="31">
                  <c:v>5.7553800000000003E-6</c:v>
                </c:pt>
                <c:pt idx="32">
                  <c:v>5.61704E-6</c:v>
                </c:pt>
                <c:pt idx="33">
                  <c:v>5.5116400000000001E-6</c:v>
                </c:pt>
                <c:pt idx="34">
                  <c:v>5.4158199999999996E-6</c:v>
                </c:pt>
                <c:pt idx="35">
                  <c:v>5.31896E-6</c:v>
                </c:pt>
                <c:pt idx="36">
                  <c:v>5.2391999999999997E-6</c:v>
                </c:pt>
                <c:pt idx="37">
                  <c:v>5.1698900000000004E-6</c:v>
                </c:pt>
                <c:pt idx="38">
                  <c:v>5.10025E-6</c:v>
                </c:pt>
                <c:pt idx="39">
                  <c:v>2.6853100000000002E-4</c:v>
                </c:pt>
                <c:pt idx="40">
                  <c:v>2.78924E-4</c:v>
                </c:pt>
                <c:pt idx="41">
                  <c:v>2.8627999999999998E-4</c:v>
                </c:pt>
                <c:pt idx="42">
                  <c:v>2.92744E-4</c:v>
                </c:pt>
                <c:pt idx="43">
                  <c:v>2.9770699999999997E-4</c:v>
                </c:pt>
                <c:pt idx="44">
                  <c:v>3.0167900000000001E-4</c:v>
                </c:pt>
                <c:pt idx="45">
                  <c:v>3.0447500000000001E-4</c:v>
                </c:pt>
                <c:pt idx="46">
                  <c:v>3.0646999999999998E-4</c:v>
                </c:pt>
                <c:pt idx="47">
                  <c:v>3.08113E-4</c:v>
                </c:pt>
                <c:pt idx="48">
                  <c:v>3.0947E-4</c:v>
                </c:pt>
                <c:pt idx="49">
                  <c:v>3.1054599999999998E-4</c:v>
                </c:pt>
                <c:pt idx="50">
                  <c:v>3.1218199999999999E-4</c:v>
                </c:pt>
                <c:pt idx="51">
                  <c:v>3.1289099999999998E-4</c:v>
                </c:pt>
                <c:pt idx="52">
                  <c:v>3.1436799999999998E-4</c:v>
                </c:pt>
                <c:pt idx="53">
                  <c:v>3.1628100000000002E-4</c:v>
                </c:pt>
                <c:pt idx="54">
                  <c:v>3.1728099999999999E-4</c:v>
                </c:pt>
                <c:pt idx="55">
                  <c:v>3.1806899999999998E-4</c:v>
                </c:pt>
                <c:pt idx="56">
                  <c:v>3.1847000000000001E-4</c:v>
                </c:pt>
                <c:pt idx="57">
                  <c:v>3.1917399999999998E-4</c:v>
                </c:pt>
                <c:pt idx="58">
                  <c:v>3.1971199999999999E-4</c:v>
                </c:pt>
                <c:pt idx="59">
                  <c:v>3.2044199999999999E-4</c:v>
                </c:pt>
                <c:pt idx="60">
                  <c:v>3.2115099999999999E-4</c:v>
                </c:pt>
                <c:pt idx="61">
                  <c:v>3.21365E-4</c:v>
                </c:pt>
                <c:pt idx="62">
                  <c:v>3.2234199999999998E-4</c:v>
                </c:pt>
                <c:pt idx="63">
                  <c:v>3.2339400000000001E-4</c:v>
                </c:pt>
                <c:pt idx="64">
                  <c:v>3.2394699999999999E-4</c:v>
                </c:pt>
                <c:pt idx="65">
                  <c:v>3.2383899999999997E-4</c:v>
                </c:pt>
                <c:pt idx="66">
                  <c:v>3.2356399999999998E-4</c:v>
                </c:pt>
                <c:pt idx="67">
                  <c:v>3.2442300000000001E-4</c:v>
                </c:pt>
                <c:pt idx="68">
                  <c:v>5.0123999999999996E-6</c:v>
                </c:pt>
                <c:pt idx="69">
                  <c:v>4.9231200000000001E-6</c:v>
                </c:pt>
                <c:pt idx="70">
                  <c:v>4.8554299999999997E-6</c:v>
                </c:pt>
                <c:pt idx="71">
                  <c:v>4.7981099999999997E-6</c:v>
                </c:pt>
                <c:pt idx="72">
                  <c:v>4.7473399999999997E-6</c:v>
                </c:pt>
                <c:pt idx="73">
                  <c:v>4.6953900000000001E-6</c:v>
                </c:pt>
                <c:pt idx="74">
                  <c:v>4.6567599999999998E-6</c:v>
                </c:pt>
                <c:pt idx="75">
                  <c:v>4.6181400000000001E-6</c:v>
                </c:pt>
                <c:pt idx="76">
                  <c:v>4.5783800000000004E-6</c:v>
                </c:pt>
                <c:pt idx="77">
                  <c:v>4.5368999999999997E-6</c:v>
                </c:pt>
                <c:pt idx="78">
                  <c:v>2.6444199999999999E-4</c:v>
                </c:pt>
                <c:pt idx="79">
                  <c:v>2.7347E-4</c:v>
                </c:pt>
                <c:pt idx="80">
                  <c:v>2.7997699999999999E-4</c:v>
                </c:pt>
                <c:pt idx="81">
                  <c:v>2.8581899999999998E-4</c:v>
                </c:pt>
                <c:pt idx="82">
                  <c:v>2.8981100000000001E-4</c:v>
                </c:pt>
                <c:pt idx="83">
                  <c:v>2.9320799999999999E-4</c:v>
                </c:pt>
                <c:pt idx="84">
                  <c:v>2.95908E-4</c:v>
                </c:pt>
                <c:pt idx="85">
                  <c:v>2.9773400000000002E-4</c:v>
                </c:pt>
                <c:pt idx="86">
                  <c:v>2.9938499999999999E-4</c:v>
                </c:pt>
                <c:pt idx="87">
                  <c:v>3.00883E-4</c:v>
                </c:pt>
                <c:pt idx="88">
                  <c:v>3.0247299999999999E-4</c:v>
                </c:pt>
                <c:pt idx="89">
                  <c:v>3.0413499999999997E-4</c:v>
                </c:pt>
                <c:pt idx="90">
                  <c:v>3.0523699999999998E-4</c:v>
                </c:pt>
                <c:pt idx="91">
                  <c:v>3.0685100000000002E-4</c:v>
                </c:pt>
                <c:pt idx="92">
                  <c:v>3.0815299999999998E-4</c:v>
                </c:pt>
                <c:pt idx="93">
                  <c:v>3.09294E-4</c:v>
                </c:pt>
                <c:pt idx="94">
                  <c:v>3.0993399999999999E-4</c:v>
                </c:pt>
                <c:pt idx="95">
                  <c:v>3.1108600000000002E-4</c:v>
                </c:pt>
                <c:pt idx="96">
                  <c:v>3.1143399999999997E-4</c:v>
                </c:pt>
                <c:pt idx="97">
                  <c:v>3.1245699999999998E-4</c:v>
                </c:pt>
                <c:pt idx="98">
                  <c:v>3.1315E-4</c:v>
                </c:pt>
                <c:pt idx="99">
                  <c:v>3.1363000000000002E-4</c:v>
                </c:pt>
                <c:pt idx="100">
                  <c:v>3.1472100000000001E-4</c:v>
                </c:pt>
                <c:pt idx="101">
                  <c:v>3.1617100000000002E-4</c:v>
                </c:pt>
                <c:pt idx="102">
                  <c:v>3.1690700000000001E-4</c:v>
                </c:pt>
                <c:pt idx="103">
                  <c:v>3.1731000000000001E-4</c:v>
                </c:pt>
                <c:pt idx="104">
                  <c:v>3.1794400000000002E-4</c:v>
                </c:pt>
                <c:pt idx="105">
                  <c:v>3.1853600000000001E-4</c:v>
                </c:pt>
                <c:pt idx="106">
                  <c:v>3.1924399999999999E-4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7-49CB-9835-C088CB61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298768"/>
        <c:axId val="2049692512"/>
      </c:scatterChart>
      <c:valAx>
        <c:axId val="204929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92512"/>
        <c:crosses val="autoZero"/>
        <c:crossBetween val="midCat"/>
      </c:valAx>
      <c:valAx>
        <c:axId val="2049692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9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P+ 24 hpi'!$R$1:$R$2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P+ 24 hpi'!$R$3:$R$132</c:f>
              <c:numCache>
                <c:formatCode>General</c:formatCode>
                <c:ptCount val="130"/>
                <c:pt idx="0">
                  <c:v>9.6845300000000006E-5</c:v>
                </c:pt>
                <c:pt idx="1">
                  <c:v>9.6373700000000002E-5</c:v>
                </c:pt>
                <c:pt idx="2">
                  <c:v>9.6118299999999998E-5</c:v>
                </c:pt>
                <c:pt idx="3">
                  <c:v>9.6280599999999994E-5</c:v>
                </c:pt>
                <c:pt idx="4">
                  <c:v>9.4895400000000006E-5</c:v>
                </c:pt>
                <c:pt idx="5">
                  <c:v>9.6006000000000002E-5</c:v>
                </c:pt>
                <c:pt idx="6">
                  <c:v>9.6232500000000004E-5</c:v>
                </c:pt>
                <c:pt idx="7">
                  <c:v>9.5811700000000003E-5</c:v>
                </c:pt>
                <c:pt idx="8">
                  <c:v>9.5553100000000005E-5</c:v>
                </c:pt>
                <c:pt idx="9">
                  <c:v>9.5574600000000005E-5</c:v>
                </c:pt>
                <c:pt idx="10">
                  <c:v>9.5442500000000006E-5</c:v>
                </c:pt>
                <c:pt idx="11">
                  <c:v>9.5275399999999999E-5</c:v>
                </c:pt>
                <c:pt idx="12">
                  <c:v>9.5118999999999995E-5</c:v>
                </c:pt>
                <c:pt idx="13">
                  <c:v>9.5349599999999999E-5</c:v>
                </c:pt>
                <c:pt idx="14">
                  <c:v>9.5126100000000004E-5</c:v>
                </c:pt>
                <c:pt idx="15">
                  <c:v>9.5242300000000001E-5</c:v>
                </c:pt>
                <c:pt idx="16">
                  <c:v>9.4810300000000003E-5</c:v>
                </c:pt>
                <c:pt idx="17">
                  <c:v>9.4794400000000002E-5</c:v>
                </c:pt>
                <c:pt idx="18">
                  <c:v>9.4825499999999995E-5</c:v>
                </c:pt>
                <c:pt idx="19">
                  <c:v>9.4643900000000004E-5</c:v>
                </c:pt>
                <c:pt idx="20">
                  <c:v>9.4698999999999996E-5</c:v>
                </c:pt>
                <c:pt idx="21">
                  <c:v>9.4741599999999994E-5</c:v>
                </c:pt>
                <c:pt idx="22">
                  <c:v>9.4609299999999996E-5</c:v>
                </c:pt>
                <c:pt idx="23">
                  <c:v>9.4818499999999994E-5</c:v>
                </c:pt>
                <c:pt idx="24">
                  <c:v>9.4157299999999994E-5</c:v>
                </c:pt>
                <c:pt idx="25">
                  <c:v>9.4064600000000001E-5</c:v>
                </c:pt>
                <c:pt idx="26">
                  <c:v>9.4497899999999995E-5</c:v>
                </c:pt>
                <c:pt idx="27">
                  <c:v>9.4171499999999998E-5</c:v>
                </c:pt>
                <c:pt idx="28">
                  <c:v>9.4262299999999994E-5</c:v>
                </c:pt>
                <c:pt idx="29">
                  <c:v>1.96207E-5</c:v>
                </c:pt>
                <c:pt idx="30">
                  <c:v>1.9366999999999999E-5</c:v>
                </c:pt>
                <c:pt idx="31">
                  <c:v>1.91647E-5</c:v>
                </c:pt>
                <c:pt idx="32">
                  <c:v>1.8972400000000002E-5</c:v>
                </c:pt>
                <c:pt idx="33">
                  <c:v>1.8818199999999999E-5</c:v>
                </c:pt>
                <c:pt idx="34">
                  <c:v>1.86736E-5</c:v>
                </c:pt>
                <c:pt idx="35">
                  <c:v>1.8563299999999999E-5</c:v>
                </c:pt>
                <c:pt idx="36">
                  <c:v>1.84527E-5</c:v>
                </c:pt>
                <c:pt idx="37">
                  <c:v>1.83645E-5</c:v>
                </c:pt>
                <c:pt idx="38">
                  <c:v>1.8285299999999999E-5</c:v>
                </c:pt>
                <c:pt idx="39">
                  <c:v>9.6651199999999994E-5</c:v>
                </c:pt>
                <c:pt idx="40">
                  <c:v>9.4536899999999999E-5</c:v>
                </c:pt>
                <c:pt idx="41">
                  <c:v>9.1399300000000004E-5</c:v>
                </c:pt>
                <c:pt idx="42">
                  <c:v>8.9471399999999999E-5</c:v>
                </c:pt>
                <c:pt idx="43">
                  <c:v>8.8393999999999994E-5</c:v>
                </c:pt>
                <c:pt idx="44">
                  <c:v>8.8272100000000005E-5</c:v>
                </c:pt>
                <c:pt idx="45">
                  <c:v>8.8385699999999996E-5</c:v>
                </c:pt>
                <c:pt idx="46">
                  <c:v>8.8777700000000002E-5</c:v>
                </c:pt>
                <c:pt idx="47">
                  <c:v>8.7988300000000006E-5</c:v>
                </c:pt>
                <c:pt idx="48">
                  <c:v>8.7988399999999999E-5</c:v>
                </c:pt>
                <c:pt idx="49">
                  <c:v>8.8034499999999999E-5</c:v>
                </c:pt>
                <c:pt idx="50">
                  <c:v>8.7308300000000006E-5</c:v>
                </c:pt>
                <c:pt idx="51">
                  <c:v>8.7139100000000001E-5</c:v>
                </c:pt>
                <c:pt idx="52">
                  <c:v>8.6578300000000004E-5</c:v>
                </c:pt>
                <c:pt idx="53">
                  <c:v>8.6826700000000007E-5</c:v>
                </c:pt>
                <c:pt idx="54">
                  <c:v>8.6918700000000005E-5</c:v>
                </c:pt>
                <c:pt idx="55">
                  <c:v>8.6914800000000003E-5</c:v>
                </c:pt>
                <c:pt idx="56">
                  <c:v>8.7049499999999994E-5</c:v>
                </c:pt>
                <c:pt idx="57">
                  <c:v>8.7382700000000006E-5</c:v>
                </c:pt>
                <c:pt idx="58">
                  <c:v>8.6902499999999997E-5</c:v>
                </c:pt>
                <c:pt idx="59">
                  <c:v>8.6562099999999996E-5</c:v>
                </c:pt>
                <c:pt idx="60">
                  <c:v>8.6701300000000003E-5</c:v>
                </c:pt>
                <c:pt idx="61">
                  <c:v>8.6792600000000007E-5</c:v>
                </c:pt>
                <c:pt idx="62">
                  <c:v>8.6494000000000002E-5</c:v>
                </c:pt>
                <c:pt idx="63">
                  <c:v>8.6655699999999998E-5</c:v>
                </c:pt>
                <c:pt idx="64">
                  <c:v>8.7550800000000002E-5</c:v>
                </c:pt>
                <c:pt idx="65">
                  <c:v>8.7300700000000003E-5</c:v>
                </c:pt>
                <c:pt idx="66">
                  <c:v>8.7250999999999995E-5</c:v>
                </c:pt>
                <c:pt idx="67">
                  <c:v>8.6946299999999998E-5</c:v>
                </c:pt>
                <c:pt idx="68">
                  <c:v>1.81683E-5</c:v>
                </c:pt>
                <c:pt idx="69">
                  <c:v>1.8081099999999999E-5</c:v>
                </c:pt>
                <c:pt idx="70">
                  <c:v>1.79952E-5</c:v>
                </c:pt>
                <c:pt idx="71">
                  <c:v>1.7946300000000001E-5</c:v>
                </c:pt>
                <c:pt idx="72">
                  <c:v>1.7895100000000001E-5</c:v>
                </c:pt>
                <c:pt idx="73">
                  <c:v>1.7847500000000001E-5</c:v>
                </c:pt>
                <c:pt idx="74">
                  <c:v>1.7817800000000001E-5</c:v>
                </c:pt>
                <c:pt idx="75">
                  <c:v>1.7785500000000001E-5</c:v>
                </c:pt>
                <c:pt idx="76">
                  <c:v>1.77418E-5</c:v>
                </c:pt>
                <c:pt idx="77">
                  <c:v>1.76985E-5</c:v>
                </c:pt>
                <c:pt idx="78">
                  <c:v>9.3803300000000004E-5</c:v>
                </c:pt>
                <c:pt idx="79">
                  <c:v>9.1720500000000004E-5</c:v>
                </c:pt>
                <c:pt idx="80">
                  <c:v>8.9595300000000006E-5</c:v>
                </c:pt>
                <c:pt idx="81">
                  <c:v>8.8205600000000001E-5</c:v>
                </c:pt>
                <c:pt idx="82">
                  <c:v>8.70089E-5</c:v>
                </c:pt>
                <c:pt idx="83">
                  <c:v>8.7078999999999998E-5</c:v>
                </c:pt>
                <c:pt idx="84">
                  <c:v>8.6801399999999999E-5</c:v>
                </c:pt>
                <c:pt idx="85">
                  <c:v>8.7199699999999998E-5</c:v>
                </c:pt>
                <c:pt idx="86">
                  <c:v>8.7641900000000005E-5</c:v>
                </c:pt>
                <c:pt idx="87">
                  <c:v>8.7578199999999994E-5</c:v>
                </c:pt>
                <c:pt idx="88">
                  <c:v>8.7162800000000005E-5</c:v>
                </c:pt>
                <c:pt idx="89">
                  <c:v>8.7108999999999996E-5</c:v>
                </c:pt>
                <c:pt idx="90">
                  <c:v>8.6693999999999994E-5</c:v>
                </c:pt>
                <c:pt idx="91">
                  <c:v>8.6465599999999994E-5</c:v>
                </c:pt>
                <c:pt idx="92">
                  <c:v>8.6440200000000006E-5</c:v>
                </c:pt>
                <c:pt idx="93">
                  <c:v>8.6361599999999997E-5</c:v>
                </c:pt>
                <c:pt idx="94">
                  <c:v>8.7040799999999995E-5</c:v>
                </c:pt>
                <c:pt idx="95">
                  <c:v>8.7143800000000004E-5</c:v>
                </c:pt>
                <c:pt idx="96">
                  <c:v>8.7269500000000002E-5</c:v>
                </c:pt>
                <c:pt idx="97">
                  <c:v>8.7095599999999993E-5</c:v>
                </c:pt>
                <c:pt idx="98">
                  <c:v>8.6662299999999999E-5</c:v>
                </c:pt>
                <c:pt idx="99">
                  <c:v>8.7087499999999996E-5</c:v>
                </c:pt>
                <c:pt idx="100">
                  <c:v>8.6855399999999995E-5</c:v>
                </c:pt>
                <c:pt idx="101">
                  <c:v>8.6627900000000005E-5</c:v>
                </c:pt>
                <c:pt idx="102">
                  <c:v>8.6900199999999999E-5</c:v>
                </c:pt>
                <c:pt idx="103">
                  <c:v>8.7231900000000001E-5</c:v>
                </c:pt>
                <c:pt idx="104">
                  <c:v>8.7366699999999998E-5</c:v>
                </c:pt>
                <c:pt idx="105">
                  <c:v>8.7279099999999996E-5</c:v>
                </c:pt>
                <c:pt idx="106">
                  <c:v>8.7273600000000004E-5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D-48D3-8902-CC942F2A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245056"/>
        <c:axId val="2024240288"/>
      </c:scatterChart>
      <c:valAx>
        <c:axId val="202424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0288"/>
        <c:crosses val="autoZero"/>
        <c:crossBetween val="midCat"/>
      </c:valAx>
      <c:valAx>
        <c:axId val="20242402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4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P+ 24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P+ 24 hpi'!$B$3:$B$116</c:f>
              <c:numCache>
                <c:formatCode>General</c:formatCode>
                <c:ptCount val="114"/>
                <c:pt idx="0">
                  <c:v>3.9751499999999998E-4</c:v>
                </c:pt>
                <c:pt idx="1">
                  <c:v>3.9770199999999999E-4</c:v>
                </c:pt>
                <c:pt idx="2">
                  <c:v>3.9857899999999998E-4</c:v>
                </c:pt>
                <c:pt idx="3">
                  <c:v>3.9923699999999999E-4</c:v>
                </c:pt>
                <c:pt idx="4">
                  <c:v>4.0063000000000002E-4</c:v>
                </c:pt>
                <c:pt idx="5">
                  <c:v>3.99851E-4</c:v>
                </c:pt>
                <c:pt idx="6">
                  <c:v>3.9958799999999998E-4</c:v>
                </c:pt>
                <c:pt idx="7">
                  <c:v>4.0073499999999999E-4</c:v>
                </c:pt>
                <c:pt idx="8">
                  <c:v>4.0163999999999998E-4</c:v>
                </c:pt>
                <c:pt idx="9">
                  <c:v>4.0168199999999999E-4</c:v>
                </c:pt>
                <c:pt idx="10">
                  <c:v>4.02051E-4</c:v>
                </c:pt>
                <c:pt idx="11">
                  <c:v>4.0253899999999999E-4</c:v>
                </c:pt>
                <c:pt idx="12">
                  <c:v>4.0297100000000001E-4</c:v>
                </c:pt>
                <c:pt idx="13">
                  <c:v>4.0325400000000003E-4</c:v>
                </c:pt>
                <c:pt idx="14">
                  <c:v>4.03776E-4</c:v>
                </c:pt>
                <c:pt idx="15">
                  <c:v>4.0380599999999999E-4</c:v>
                </c:pt>
                <c:pt idx="16">
                  <c:v>4.0411700000000001E-4</c:v>
                </c:pt>
                <c:pt idx="17">
                  <c:v>4.04337E-4</c:v>
                </c:pt>
                <c:pt idx="18">
                  <c:v>4.0462400000000002E-4</c:v>
                </c:pt>
                <c:pt idx="19">
                  <c:v>4.0481700000000002E-4</c:v>
                </c:pt>
                <c:pt idx="20">
                  <c:v>4.0493799999999998E-4</c:v>
                </c:pt>
                <c:pt idx="21">
                  <c:v>4.0497200000000003E-4</c:v>
                </c:pt>
                <c:pt idx="22">
                  <c:v>4.0548500000000003E-4</c:v>
                </c:pt>
                <c:pt idx="23">
                  <c:v>4.0566199999999999E-4</c:v>
                </c:pt>
                <c:pt idx="24">
                  <c:v>4.0537499999999997E-4</c:v>
                </c:pt>
                <c:pt idx="25">
                  <c:v>4.0559999999999999E-4</c:v>
                </c:pt>
                <c:pt idx="26">
                  <c:v>4.05511E-4</c:v>
                </c:pt>
                <c:pt idx="27">
                  <c:v>4.0597300000000001E-4</c:v>
                </c:pt>
                <c:pt idx="28">
                  <c:v>4.0628099999999998E-4</c:v>
                </c:pt>
                <c:pt idx="29">
                  <c:v>6.1311800000000001E-6</c:v>
                </c:pt>
                <c:pt idx="30">
                  <c:v>5.9267899999999999E-6</c:v>
                </c:pt>
                <c:pt idx="31">
                  <c:v>5.7553800000000003E-6</c:v>
                </c:pt>
                <c:pt idx="32">
                  <c:v>5.61704E-6</c:v>
                </c:pt>
                <c:pt idx="33">
                  <c:v>5.5116400000000001E-6</c:v>
                </c:pt>
                <c:pt idx="34">
                  <c:v>5.4158199999999996E-6</c:v>
                </c:pt>
                <c:pt idx="35">
                  <c:v>5.31896E-6</c:v>
                </c:pt>
                <c:pt idx="36">
                  <c:v>5.2391999999999997E-6</c:v>
                </c:pt>
                <c:pt idx="37">
                  <c:v>5.1698900000000004E-6</c:v>
                </c:pt>
                <c:pt idx="38">
                  <c:v>5.10025E-6</c:v>
                </c:pt>
                <c:pt idx="39">
                  <c:v>2.6853100000000002E-4</c:v>
                </c:pt>
                <c:pt idx="40">
                  <c:v>2.78924E-4</c:v>
                </c:pt>
                <c:pt idx="41">
                  <c:v>2.8627999999999998E-4</c:v>
                </c:pt>
                <c:pt idx="42">
                  <c:v>2.92744E-4</c:v>
                </c:pt>
                <c:pt idx="43">
                  <c:v>2.9770699999999997E-4</c:v>
                </c:pt>
                <c:pt idx="44">
                  <c:v>3.0167900000000001E-4</c:v>
                </c:pt>
                <c:pt idx="45">
                  <c:v>3.0447500000000001E-4</c:v>
                </c:pt>
                <c:pt idx="46">
                  <c:v>3.0646999999999998E-4</c:v>
                </c:pt>
                <c:pt idx="47">
                  <c:v>3.08113E-4</c:v>
                </c:pt>
                <c:pt idx="48">
                  <c:v>3.0947E-4</c:v>
                </c:pt>
                <c:pt idx="49">
                  <c:v>3.1054599999999998E-4</c:v>
                </c:pt>
                <c:pt idx="50">
                  <c:v>3.1218199999999999E-4</c:v>
                </c:pt>
                <c:pt idx="51">
                  <c:v>3.1289099999999998E-4</c:v>
                </c:pt>
                <c:pt idx="52">
                  <c:v>3.1436799999999998E-4</c:v>
                </c:pt>
                <c:pt idx="53">
                  <c:v>3.1628100000000002E-4</c:v>
                </c:pt>
                <c:pt idx="54">
                  <c:v>3.1728099999999999E-4</c:v>
                </c:pt>
                <c:pt idx="55">
                  <c:v>3.1806899999999998E-4</c:v>
                </c:pt>
                <c:pt idx="56">
                  <c:v>3.1847000000000001E-4</c:v>
                </c:pt>
                <c:pt idx="57">
                  <c:v>3.1917399999999998E-4</c:v>
                </c:pt>
                <c:pt idx="58">
                  <c:v>3.1971199999999999E-4</c:v>
                </c:pt>
                <c:pt idx="59">
                  <c:v>3.2044199999999999E-4</c:v>
                </c:pt>
                <c:pt idx="60">
                  <c:v>3.2115099999999999E-4</c:v>
                </c:pt>
                <c:pt idx="61">
                  <c:v>3.21365E-4</c:v>
                </c:pt>
                <c:pt idx="62">
                  <c:v>3.2234199999999998E-4</c:v>
                </c:pt>
                <c:pt idx="63">
                  <c:v>3.2339400000000001E-4</c:v>
                </c:pt>
                <c:pt idx="64">
                  <c:v>3.2394699999999999E-4</c:v>
                </c:pt>
                <c:pt idx="65">
                  <c:v>3.2383899999999997E-4</c:v>
                </c:pt>
                <c:pt idx="66">
                  <c:v>3.2356399999999998E-4</c:v>
                </c:pt>
                <c:pt idx="67">
                  <c:v>3.2442300000000001E-4</c:v>
                </c:pt>
                <c:pt idx="68">
                  <c:v>5.0123999999999996E-6</c:v>
                </c:pt>
                <c:pt idx="69">
                  <c:v>4.9231200000000001E-6</c:v>
                </c:pt>
                <c:pt idx="70">
                  <c:v>4.8554299999999997E-6</c:v>
                </c:pt>
                <c:pt idx="71">
                  <c:v>4.7981099999999997E-6</c:v>
                </c:pt>
                <c:pt idx="72">
                  <c:v>4.7473399999999997E-6</c:v>
                </c:pt>
                <c:pt idx="73">
                  <c:v>4.6953900000000001E-6</c:v>
                </c:pt>
                <c:pt idx="74">
                  <c:v>4.6567599999999998E-6</c:v>
                </c:pt>
                <c:pt idx="75">
                  <c:v>4.6181400000000001E-6</c:v>
                </c:pt>
                <c:pt idx="76">
                  <c:v>4.5783800000000004E-6</c:v>
                </c:pt>
                <c:pt idx="77">
                  <c:v>4.5368999999999997E-6</c:v>
                </c:pt>
                <c:pt idx="78">
                  <c:v>2.6444199999999999E-4</c:v>
                </c:pt>
                <c:pt idx="79">
                  <c:v>2.7347E-4</c:v>
                </c:pt>
                <c:pt idx="80">
                  <c:v>2.7997699999999999E-4</c:v>
                </c:pt>
                <c:pt idx="81">
                  <c:v>2.8581899999999998E-4</c:v>
                </c:pt>
                <c:pt idx="82">
                  <c:v>2.8981100000000001E-4</c:v>
                </c:pt>
                <c:pt idx="83">
                  <c:v>2.9320799999999999E-4</c:v>
                </c:pt>
                <c:pt idx="84">
                  <c:v>2.95908E-4</c:v>
                </c:pt>
                <c:pt idx="85">
                  <c:v>2.9773400000000002E-4</c:v>
                </c:pt>
                <c:pt idx="86">
                  <c:v>2.9938499999999999E-4</c:v>
                </c:pt>
                <c:pt idx="87">
                  <c:v>3.00883E-4</c:v>
                </c:pt>
                <c:pt idx="88">
                  <c:v>3.0247299999999999E-4</c:v>
                </c:pt>
                <c:pt idx="89">
                  <c:v>3.0413499999999997E-4</c:v>
                </c:pt>
                <c:pt idx="90">
                  <c:v>3.0523699999999998E-4</c:v>
                </c:pt>
                <c:pt idx="91">
                  <c:v>3.0685100000000002E-4</c:v>
                </c:pt>
                <c:pt idx="92">
                  <c:v>3.0815299999999998E-4</c:v>
                </c:pt>
                <c:pt idx="93">
                  <c:v>3.09294E-4</c:v>
                </c:pt>
                <c:pt idx="94">
                  <c:v>3.0993399999999999E-4</c:v>
                </c:pt>
                <c:pt idx="95">
                  <c:v>3.1108600000000002E-4</c:v>
                </c:pt>
                <c:pt idx="96">
                  <c:v>3.1143399999999997E-4</c:v>
                </c:pt>
                <c:pt idx="97">
                  <c:v>3.1245699999999998E-4</c:v>
                </c:pt>
                <c:pt idx="98">
                  <c:v>3.1315E-4</c:v>
                </c:pt>
                <c:pt idx="99">
                  <c:v>3.1363000000000002E-4</c:v>
                </c:pt>
                <c:pt idx="100">
                  <c:v>3.1472100000000001E-4</c:v>
                </c:pt>
                <c:pt idx="101">
                  <c:v>3.1617100000000002E-4</c:v>
                </c:pt>
                <c:pt idx="102">
                  <c:v>3.1690700000000001E-4</c:v>
                </c:pt>
                <c:pt idx="103">
                  <c:v>3.1731000000000001E-4</c:v>
                </c:pt>
                <c:pt idx="104">
                  <c:v>3.1794400000000002E-4</c:v>
                </c:pt>
                <c:pt idx="105">
                  <c:v>3.1853600000000001E-4</c:v>
                </c:pt>
                <c:pt idx="106">
                  <c:v>3.1924399999999999E-4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8-41C5-B3AD-8FC93EFE1CDD}"/>
            </c:ext>
          </c:extLst>
        </c:ser>
        <c:ser>
          <c:idx val="1"/>
          <c:order val="1"/>
          <c:tx>
            <c:strRef>
              <c:f>'1233 P+ 24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P+ 24 hpi'!$G$3:$G$132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08-41C5-B3AD-8FC93EFE1CDD}"/>
            </c:ext>
          </c:extLst>
        </c:ser>
        <c:ser>
          <c:idx val="2"/>
          <c:order val="2"/>
          <c:tx>
            <c:strRef>
              <c:f>'1233 P+ 24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P+ 24 hpi'!$L$3:$L$132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08-41C5-B3AD-8FC93EFE1CDD}"/>
            </c:ext>
          </c:extLst>
        </c:ser>
        <c:ser>
          <c:idx val="3"/>
          <c:order val="3"/>
          <c:tx>
            <c:strRef>
              <c:f>'1233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08-41C5-B3AD-8FC93EFE1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291680"/>
        <c:axId val="1172291264"/>
      </c:scatterChart>
      <c:valAx>
        <c:axId val="117229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264"/>
        <c:crosses val="autoZero"/>
        <c:crossBetween val="midCat"/>
      </c:valAx>
      <c:valAx>
        <c:axId val="11722912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'1233 P+ 24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P+ 24 hpi'!$C$3:$C$116</c:f>
              <c:numCache>
                <c:formatCode>General</c:formatCode>
                <c:ptCount val="114"/>
                <c:pt idx="0">
                  <c:v>9.6845300000000006E-5</c:v>
                </c:pt>
                <c:pt idx="1">
                  <c:v>9.6373700000000002E-5</c:v>
                </c:pt>
                <c:pt idx="2">
                  <c:v>9.6118299999999998E-5</c:v>
                </c:pt>
                <c:pt idx="3">
                  <c:v>9.6280599999999994E-5</c:v>
                </c:pt>
                <c:pt idx="4">
                  <c:v>9.4895400000000006E-5</c:v>
                </c:pt>
                <c:pt idx="5">
                  <c:v>9.6006000000000002E-5</c:v>
                </c:pt>
                <c:pt idx="6">
                  <c:v>9.6232500000000004E-5</c:v>
                </c:pt>
                <c:pt idx="7">
                  <c:v>9.5811700000000003E-5</c:v>
                </c:pt>
                <c:pt idx="8">
                  <c:v>9.5553100000000005E-5</c:v>
                </c:pt>
                <c:pt idx="9">
                  <c:v>9.5574600000000005E-5</c:v>
                </c:pt>
                <c:pt idx="10">
                  <c:v>9.5442500000000006E-5</c:v>
                </c:pt>
                <c:pt idx="11">
                  <c:v>9.5275399999999999E-5</c:v>
                </c:pt>
                <c:pt idx="12">
                  <c:v>9.5118999999999995E-5</c:v>
                </c:pt>
                <c:pt idx="13">
                  <c:v>9.5349599999999999E-5</c:v>
                </c:pt>
                <c:pt idx="14">
                  <c:v>9.5126100000000004E-5</c:v>
                </c:pt>
                <c:pt idx="15">
                  <c:v>9.5242300000000001E-5</c:v>
                </c:pt>
                <c:pt idx="16">
                  <c:v>9.4810300000000003E-5</c:v>
                </c:pt>
                <c:pt idx="17">
                  <c:v>9.4794400000000002E-5</c:v>
                </c:pt>
                <c:pt idx="18">
                  <c:v>9.4825499999999995E-5</c:v>
                </c:pt>
                <c:pt idx="19">
                  <c:v>9.4643900000000004E-5</c:v>
                </c:pt>
                <c:pt idx="20">
                  <c:v>9.4698999999999996E-5</c:v>
                </c:pt>
                <c:pt idx="21">
                  <c:v>9.4741599999999994E-5</c:v>
                </c:pt>
                <c:pt idx="22">
                  <c:v>9.4609299999999996E-5</c:v>
                </c:pt>
                <c:pt idx="23">
                  <c:v>9.4818499999999994E-5</c:v>
                </c:pt>
                <c:pt idx="24">
                  <c:v>9.4157299999999994E-5</c:v>
                </c:pt>
                <c:pt idx="25">
                  <c:v>9.4064600000000001E-5</c:v>
                </c:pt>
                <c:pt idx="26">
                  <c:v>9.4497899999999995E-5</c:v>
                </c:pt>
                <c:pt idx="27">
                  <c:v>9.4171499999999998E-5</c:v>
                </c:pt>
                <c:pt idx="28">
                  <c:v>9.4262299999999994E-5</c:v>
                </c:pt>
                <c:pt idx="29">
                  <c:v>1.96207E-5</c:v>
                </c:pt>
                <c:pt idx="30">
                  <c:v>1.9366999999999999E-5</c:v>
                </c:pt>
                <c:pt idx="31">
                  <c:v>1.91647E-5</c:v>
                </c:pt>
                <c:pt idx="32">
                  <c:v>1.8972400000000002E-5</c:v>
                </c:pt>
                <c:pt idx="33">
                  <c:v>1.8818199999999999E-5</c:v>
                </c:pt>
                <c:pt idx="34">
                  <c:v>1.86736E-5</c:v>
                </c:pt>
                <c:pt idx="35">
                  <c:v>1.8563299999999999E-5</c:v>
                </c:pt>
                <c:pt idx="36">
                  <c:v>1.84527E-5</c:v>
                </c:pt>
                <c:pt idx="37">
                  <c:v>1.83645E-5</c:v>
                </c:pt>
                <c:pt idx="38">
                  <c:v>1.8285299999999999E-5</c:v>
                </c:pt>
                <c:pt idx="39">
                  <c:v>9.6651199999999994E-5</c:v>
                </c:pt>
                <c:pt idx="40">
                  <c:v>9.4536899999999999E-5</c:v>
                </c:pt>
                <c:pt idx="41">
                  <c:v>9.1399300000000004E-5</c:v>
                </c:pt>
                <c:pt idx="42">
                  <c:v>8.9471399999999999E-5</c:v>
                </c:pt>
                <c:pt idx="43">
                  <c:v>8.8393999999999994E-5</c:v>
                </c:pt>
                <c:pt idx="44">
                  <c:v>8.8272100000000005E-5</c:v>
                </c:pt>
                <c:pt idx="45">
                  <c:v>8.8385699999999996E-5</c:v>
                </c:pt>
                <c:pt idx="46">
                  <c:v>8.8777700000000002E-5</c:v>
                </c:pt>
                <c:pt idx="47">
                  <c:v>8.7988300000000006E-5</c:v>
                </c:pt>
                <c:pt idx="48">
                  <c:v>8.7988399999999999E-5</c:v>
                </c:pt>
                <c:pt idx="49">
                  <c:v>8.8034499999999999E-5</c:v>
                </c:pt>
                <c:pt idx="50">
                  <c:v>8.7308300000000006E-5</c:v>
                </c:pt>
                <c:pt idx="51">
                  <c:v>8.7139100000000001E-5</c:v>
                </c:pt>
                <c:pt idx="52">
                  <c:v>8.6578300000000004E-5</c:v>
                </c:pt>
                <c:pt idx="53">
                  <c:v>8.6826700000000007E-5</c:v>
                </c:pt>
                <c:pt idx="54">
                  <c:v>8.6918700000000005E-5</c:v>
                </c:pt>
                <c:pt idx="55">
                  <c:v>8.6914800000000003E-5</c:v>
                </c:pt>
                <c:pt idx="56">
                  <c:v>8.7049499999999994E-5</c:v>
                </c:pt>
                <c:pt idx="57">
                  <c:v>8.7382700000000006E-5</c:v>
                </c:pt>
                <c:pt idx="58">
                  <c:v>8.6902499999999997E-5</c:v>
                </c:pt>
                <c:pt idx="59">
                  <c:v>8.6562099999999996E-5</c:v>
                </c:pt>
                <c:pt idx="60">
                  <c:v>8.6701300000000003E-5</c:v>
                </c:pt>
                <c:pt idx="61">
                  <c:v>8.6792600000000007E-5</c:v>
                </c:pt>
                <c:pt idx="62">
                  <c:v>8.6494000000000002E-5</c:v>
                </c:pt>
                <c:pt idx="63">
                  <c:v>8.6655699999999998E-5</c:v>
                </c:pt>
                <c:pt idx="64">
                  <c:v>8.7550800000000002E-5</c:v>
                </c:pt>
                <c:pt idx="65">
                  <c:v>8.7300700000000003E-5</c:v>
                </c:pt>
                <c:pt idx="66">
                  <c:v>8.7250999999999995E-5</c:v>
                </c:pt>
                <c:pt idx="67">
                  <c:v>8.6946299999999998E-5</c:v>
                </c:pt>
                <c:pt idx="68">
                  <c:v>1.81683E-5</c:v>
                </c:pt>
                <c:pt idx="69">
                  <c:v>1.8081099999999999E-5</c:v>
                </c:pt>
                <c:pt idx="70">
                  <c:v>1.79952E-5</c:v>
                </c:pt>
                <c:pt idx="71">
                  <c:v>1.7946300000000001E-5</c:v>
                </c:pt>
                <c:pt idx="72">
                  <c:v>1.7895100000000001E-5</c:v>
                </c:pt>
                <c:pt idx="73">
                  <c:v>1.7847500000000001E-5</c:v>
                </c:pt>
                <c:pt idx="74">
                  <c:v>1.7817800000000001E-5</c:v>
                </c:pt>
                <c:pt idx="75">
                  <c:v>1.7785500000000001E-5</c:v>
                </c:pt>
                <c:pt idx="76">
                  <c:v>1.77418E-5</c:v>
                </c:pt>
                <c:pt idx="77">
                  <c:v>1.76985E-5</c:v>
                </c:pt>
                <c:pt idx="78">
                  <c:v>9.3803300000000004E-5</c:v>
                </c:pt>
                <c:pt idx="79">
                  <c:v>9.1720500000000004E-5</c:v>
                </c:pt>
                <c:pt idx="80">
                  <c:v>8.9595300000000006E-5</c:v>
                </c:pt>
                <c:pt idx="81">
                  <c:v>8.8205600000000001E-5</c:v>
                </c:pt>
                <c:pt idx="82">
                  <c:v>8.70089E-5</c:v>
                </c:pt>
                <c:pt idx="83">
                  <c:v>8.7078999999999998E-5</c:v>
                </c:pt>
                <c:pt idx="84">
                  <c:v>8.6801399999999999E-5</c:v>
                </c:pt>
                <c:pt idx="85">
                  <c:v>8.7199699999999998E-5</c:v>
                </c:pt>
                <c:pt idx="86">
                  <c:v>8.7641900000000005E-5</c:v>
                </c:pt>
                <c:pt idx="87">
                  <c:v>8.7578199999999994E-5</c:v>
                </c:pt>
                <c:pt idx="88">
                  <c:v>8.7162800000000005E-5</c:v>
                </c:pt>
                <c:pt idx="89">
                  <c:v>8.7108999999999996E-5</c:v>
                </c:pt>
                <c:pt idx="90">
                  <c:v>8.6693999999999994E-5</c:v>
                </c:pt>
                <c:pt idx="91">
                  <c:v>8.6465599999999994E-5</c:v>
                </c:pt>
                <c:pt idx="92">
                  <c:v>8.6440200000000006E-5</c:v>
                </c:pt>
                <c:pt idx="93">
                  <c:v>8.6361599999999997E-5</c:v>
                </c:pt>
                <c:pt idx="94">
                  <c:v>8.7040799999999995E-5</c:v>
                </c:pt>
                <c:pt idx="95">
                  <c:v>8.7143800000000004E-5</c:v>
                </c:pt>
                <c:pt idx="96">
                  <c:v>8.7269500000000002E-5</c:v>
                </c:pt>
                <c:pt idx="97">
                  <c:v>8.7095599999999993E-5</c:v>
                </c:pt>
                <c:pt idx="98">
                  <c:v>8.6662299999999999E-5</c:v>
                </c:pt>
                <c:pt idx="99">
                  <c:v>8.7087499999999996E-5</c:v>
                </c:pt>
                <c:pt idx="100">
                  <c:v>8.6855399999999995E-5</c:v>
                </c:pt>
                <c:pt idx="101">
                  <c:v>8.6627900000000005E-5</c:v>
                </c:pt>
                <c:pt idx="102">
                  <c:v>8.6900199999999999E-5</c:v>
                </c:pt>
                <c:pt idx="103">
                  <c:v>8.7231900000000001E-5</c:v>
                </c:pt>
                <c:pt idx="104">
                  <c:v>8.7366699999999998E-5</c:v>
                </c:pt>
                <c:pt idx="105">
                  <c:v>8.7279099999999996E-5</c:v>
                </c:pt>
                <c:pt idx="106">
                  <c:v>8.7273600000000004E-5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6-4901-8960-A8769F8C8FAF}"/>
            </c:ext>
          </c:extLst>
        </c:ser>
        <c:ser>
          <c:idx val="1"/>
          <c:order val="1"/>
          <c:tx>
            <c:strRef>
              <c:f>'1233 P+ 24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P+ 24 hpi'!$H$3:$H$132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A6-4901-8960-A8769F8C8FAF}"/>
            </c:ext>
          </c:extLst>
        </c:ser>
        <c:ser>
          <c:idx val="2"/>
          <c:order val="2"/>
          <c:tx>
            <c:strRef>
              <c:f>'1233 P+ 24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P+ 24 hpi'!$M$3:$M$132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A6-4901-8960-A8769F8C8FAF}"/>
            </c:ext>
          </c:extLst>
        </c:ser>
        <c:ser>
          <c:idx val="3"/>
          <c:order val="3"/>
          <c:tx>
            <c:strRef>
              <c:f>'1233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'1233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A6-4901-8960-A8769F8C8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856384"/>
        <c:axId val="1177859296"/>
      </c:scatterChart>
      <c:valAx>
        <c:axId val="117785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9296"/>
        <c:crosses val="autoZero"/>
        <c:crossBetween val="midCat"/>
      </c:valAx>
      <c:valAx>
        <c:axId val="1177859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5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P- 24 hpi'!$Q$1:$Q$2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P- 24 hpi'!$Q$3:$Q$132</c:f>
              <c:numCache>
                <c:formatCode>General</c:formatCode>
                <c:ptCount val="130"/>
                <c:pt idx="0">
                  <c:v>1.5675200000000002E-3</c:v>
                </c:pt>
                <c:pt idx="1">
                  <c:v>1.5661123333333335E-3</c:v>
                </c:pt>
                <c:pt idx="2">
                  <c:v>1.5707036666666666E-3</c:v>
                </c:pt>
                <c:pt idx="3">
                  <c:v>1.5702003333333333E-3</c:v>
                </c:pt>
                <c:pt idx="4">
                  <c:v>1.5709853333333334E-3</c:v>
                </c:pt>
                <c:pt idx="5">
                  <c:v>1.5717236666666669E-3</c:v>
                </c:pt>
                <c:pt idx="6">
                  <c:v>1.5722546666666667E-3</c:v>
                </c:pt>
                <c:pt idx="7">
                  <c:v>1.5742566666666668E-3</c:v>
                </c:pt>
                <c:pt idx="8">
                  <c:v>1.5727900000000001E-3</c:v>
                </c:pt>
                <c:pt idx="9">
                  <c:v>1.5724779999999998E-3</c:v>
                </c:pt>
                <c:pt idx="10">
                  <c:v>1.5723946666666665E-3</c:v>
                </c:pt>
                <c:pt idx="11">
                  <c:v>1.5716793333333332E-3</c:v>
                </c:pt>
                <c:pt idx="12">
                  <c:v>1.5721293333333334E-3</c:v>
                </c:pt>
                <c:pt idx="13">
                  <c:v>1.572871E-3</c:v>
                </c:pt>
                <c:pt idx="14">
                  <c:v>1.5721950000000002E-3</c:v>
                </c:pt>
                <c:pt idx="15">
                  <c:v>1.5720993333333334E-3</c:v>
                </c:pt>
                <c:pt idx="16">
                  <c:v>1.5724059999999999E-3</c:v>
                </c:pt>
                <c:pt idx="17">
                  <c:v>1.5702096666666667E-3</c:v>
                </c:pt>
                <c:pt idx="18">
                  <c:v>1.5718033333333332E-3</c:v>
                </c:pt>
                <c:pt idx="19">
                  <c:v>1.5732000000000001E-3</c:v>
                </c:pt>
                <c:pt idx="20">
                  <c:v>1.5740736666666666E-3</c:v>
                </c:pt>
                <c:pt idx="21">
                  <c:v>1.5745969999999998E-3</c:v>
                </c:pt>
                <c:pt idx="22">
                  <c:v>1.5759803333333332E-3</c:v>
                </c:pt>
                <c:pt idx="23">
                  <c:v>1.5760413333333334E-3</c:v>
                </c:pt>
                <c:pt idx="24">
                  <c:v>1.5771163333333333E-3</c:v>
                </c:pt>
                <c:pt idx="25">
                  <c:v>1.57906E-3</c:v>
                </c:pt>
                <c:pt idx="26">
                  <c:v>1.5801176666666668E-3</c:v>
                </c:pt>
                <c:pt idx="27">
                  <c:v>1.5819186666666668E-3</c:v>
                </c:pt>
                <c:pt idx="28">
                  <c:v>1.5832283333333331E-3</c:v>
                </c:pt>
                <c:pt idx="29">
                  <c:v>5.324920000000001E-6</c:v>
                </c:pt>
                <c:pt idx="30">
                  <c:v>5.2480699999999994E-6</c:v>
                </c:pt>
                <c:pt idx="31">
                  <c:v>5.12558E-6</c:v>
                </c:pt>
                <c:pt idx="32">
                  <c:v>5.0506733333333341E-6</c:v>
                </c:pt>
                <c:pt idx="33">
                  <c:v>4.9730700000000003E-6</c:v>
                </c:pt>
                <c:pt idx="34">
                  <c:v>4.9048466666666663E-6</c:v>
                </c:pt>
                <c:pt idx="35">
                  <c:v>4.8410166666666666E-6</c:v>
                </c:pt>
                <c:pt idx="36">
                  <c:v>4.7949799999999993E-6</c:v>
                </c:pt>
                <c:pt idx="37">
                  <c:v>4.7378066666666666E-6</c:v>
                </c:pt>
                <c:pt idx="38">
                  <c:v>4.7030399999999991E-6</c:v>
                </c:pt>
                <c:pt idx="39">
                  <c:v>1.02739E-3</c:v>
                </c:pt>
                <c:pt idx="40">
                  <c:v>1.0479256666666666E-3</c:v>
                </c:pt>
                <c:pt idx="41">
                  <c:v>1.0608886666666668E-3</c:v>
                </c:pt>
                <c:pt idx="42">
                  <c:v>1.0694836666666667E-3</c:v>
                </c:pt>
                <c:pt idx="43">
                  <c:v>1.076406E-3</c:v>
                </c:pt>
                <c:pt idx="44">
                  <c:v>1.0821703333333333E-3</c:v>
                </c:pt>
                <c:pt idx="45">
                  <c:v>1.0868289999999999E-3</c:v>
                </c:pt>
                <c:pt idx="46">
                  <c:v>1.0907526666666667E-3</c:v>
                </c:pt>
                <c:pt idx="47">
                  <c:v>1.0938106666666667E-3</c:v>
                </c:pt>
                <c:pt idx="48">
                  <c:v>1.0977203333333333E-3</c:v>
                </c:pt>
                <c:pt idx="49">
                  <c:v>1.0969723333333333E-3</c:v>
                </c:pt>
                <c:pt idx="50">
                  <c:v>1.1013679999999999E-3</c:v>
                </c:pt>
                <c:pt idx="51">
                  <c:v>1.1040290000000001E-3</c:v>
                </c:pt>
                <c:pt idx="52">
                  <c:v>1.1060289999999999E-3</c:v>
                </c:pt>
                <c:pt idx="53">
                  <c:v>1.1095576666666667E-3</c:v>
                </c:pt>
                <c:pt idx="54">
                  <c:v>1.113108E-3</c:v>
                </c:pt>
                <c:pt idx="55">
                  <c:v>1.1148803333333333E-3</c:v>
                </c:pt>
                <c:pt idx="56">
                  <c:v>1.1165983333333333E-3</c:v>
                </c:pt>
                <c:pt idx="57">
                  <c:v>1.1193456666666666E-3</c:v>
                </c:pt>
                <c:pt idx="58">
                  <c:v>1.1223383333333334E-3</c:v>
                </c:pt>
                <c:pt idx="59">
                  <c:v>1.1251343333333332E-3</c:v>
                </c:pt>
                <c:pt idx="60">
                  <c:v>1.1282156666666667E-3</c:v>
                </c:pt>
                <c:pt idx="61">
                  <c:v>1.1313406666666665E-3</c:v>
                </c:pt>
                <c:pt idx="62">
                  <c:v>1.1341406666666668E-3</c:v>
                </c:pt>
                <c:pt idx="63">
                  <c:v>1.1366213333333334E-3</c:v>
                </c:pt>
                <c:pt idx="64">
                  <c:v>1.1387993333333334E-3</c:v>
                </c:pt>
                <c:pt idx="65">
                  <c:v>1.1403959999999999E-3</c:v>
                </c:pt>
                <c:pt idx="66">
                  <c:v>1.1451269999999999E-3</c:v>
                </c:pt>
                <c:pt idx="67">
                  <c:v>1.1486163333333332E-3</c:v>
                </c:pt>
                <c:pt idx="68">
                  <c:v>4.6567133333333335E-6</c:v>
                </c:pt>
                <c:pt idx="69">
                  <c:v>4.6231799999999995E-6</c:v>
                </c:pt>
                <c:pt idx="70">
                  <c:v>4.5774500000000005E-6</c:v>
                </c:pt>
                <c:pt idx="71">
                  <c:v>4.5394599999999992E-6</c:v>
                </c:pt>
                <c:pt idx="72">
                  <c:v>4.5192599999999998E-6</c:v>
                </c:pt>
                <c:pt idx="73">
                  <c:v>4.4942900000000005E-6</c:v>
                </c:pt>
                <c:pt idx="74">
                  <c:v>4.4714599999999992E-6</c:v>
                </c:pt>
                <c:pt idx="75">
                  <c:v>4.4469166666666664E-6</c:v>
                </c:pt>
                <c:pt idx="76">
                  <c:v>4.4243133333333338E-6</c:v>
                </c:pt>
                <c:pt idx="77">
                  <c:v>4.4026733333333337E-6</c:v>
                </c:pt>
                <c:pt idx="78">
                  <c:v>1.0659386666666667E-3</c:v>
                </c:pt>
                <c:pt idx="79">
                  <c:v>1.0864166666666667E-3</c:v>
                </c:pt>
                <c:pt idx="80">
                  <c:v>1.1010670000000001E-3</c:v>
                </c:pt>
                <c:pt idx="81">
                  <c:v>1.1113690000000001E-3</c:v>
                </c:pt>
                <c:pt idx="82">
                  <c:v>1.1188260000000001E-3</c:v>
                </c:pt>
                <c:pt idx="83">
                  <c:v>1.1269030000000001E-3</c:v>
                </c:pt>
                <c:pt idx="84">
                  <c:v>1.1333026666666666E-3</c:v>
                </c:pt>
                <c:pt idx="85">
                  <c:v>1.137926E-3</c:v>
                </c:pt>
                <c:pt idx="86">
                  <c:v>1.1425486666666667E-3</c:v>
                </c:pt>
                <c:pt idx="87">
                  <c:v>1.1458696666666668E-3</c:v>
                </c:pt>
                <c:pt idx="88">
                  <c:v>1.15084E-3</c:v>
                </c:pt>
                <c:pt idx="89">
                  <c:v>1.1533076666666666E-3</c:v>
                </c:pt>
                <c:pt idx="90">
                  <c:v>1.1583446666666665E-3</c:v>
                </c:pt>
                <c:pt idx="91">
                  <c:v>1.1622433333333332E-3</c:v>
                </c:pt>
                <c:pt idx="92">
                  <c:v>1.1682253333333333E-3</c:v>
                </c:pt>
                <c:pt idx="93">
                  <c:v>1.1688986666666668E-3</c:v>
                </c:pt>
                <c:pt idx="94">
                  <c:v>1.1735419999999999E-3</c:v>
                </c:pt>
                <c:pt idx="95">
                  <c:v>1.1783623333333334E-3</c:v>
                </c:pt>
                <c:pt idx="96">
                  <c:v>1.1800133333333333E-3</c:v>
                </c:pt>
                <c:pt idx="97">
                  <c:v>1.185139E-3</c:v>
                </c:pt>
                <c:pt idx="98">
                  <c:v>1.1893746666666665E-3</c:v>
                </c:pt>
                <c:pt idx="99">
                  <c:v>1.1942656666666667E-3</c:v>
                </c:pt>
                <c:pt idx="100">
                  <c:v>1.1994043333333332E-3</c:v>
                </c:pt>
                <c:pt idx="101">
                  <c:v>1.2023336666666666E-3</c:v>
                </c:pt>
                <c:pt idx="102">
                  <c:v>1.2072353333333332E-3</c:v>
                </c:pt>
                <c:pt idx="103">
                  <c:v>1.211672E-3</c:v>
                </c:pt>
                <c:pt idx="104">
                  <c:v>1.2148096666666666E-3</c:v>
                </c:pt>
                <c:pt idx="105">
                  <c:v>1.2208270000000001E-3</c:v>
                </c:pt>
                <c:pt idx="106">
                  <c:v>1.2255916666666666E-3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5-A249-9395-FA8D32893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876272"/>
        <c:axId val="2047713872"/>
      </c:scatterChart>
      <c:valAx>
        <c:axId val="204687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13872"/>
        <c:crosses val="autoZero"/>
        <c:crossBetween val="midCat"/>
      </c:valAx>
      <c:valAx>
        <c:axId val="2047713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7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P- 24 hpi'!$R$1:$R$2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P- 24 hpi'!$R$3:$R$132</c:f>
              <c:numCache>
                <c:formatCode>General</c:formatCode>
                <c:ptCount val="130"/>
                <c:pt idx="0">
                  <c:v>1.8666766666666668E-4</c:v>
                </c:pt>
                <c:pt idx="1">
                  <c:v>1.8779766666666669E-4</c:v>
                </c:pt>
                <c:pt idx="2">
                  <c:v>1.84365E-4</c:v>
                </c:pt>
                <c:pt idx="3">
                  <c:v>1.8349333333333333E-4</c:v>
                </c:pt>
                <c:pt idx="4">
                  <c:v>1.8227833333333331E-4</c:v>
                </c:pt>
                <c:pt idx="5">
                  <c:v>1.8100366666666667E-4</c:v>
                </c:pt>
                <c:pt idx="6">
                  <c:v>1.7960166666666669E-4</c:v>
                </c:pt>
                <c:pt idx="7">
                  <c:v>1.811946666666667E-4</c:v>
                </c:pt>
                <c:pt idx="8">
                  <c:v>1.7779300000000001E-4</c:v>
                </c:pt>
                <c:pt idx="9">
                  <c:v>1.7759966666666669E-4</c:v>
                </c:pt>
                <c:pt idx="10">
                  <c:v>1.7666466666666666E-4</c:v>
                </c:pt>
                <c:pt idx="11">
                  <c:v>1.7560399999999999E-4</c:v>
                </c:pt>
                <c:pt idx="12">
                  <c:v>1.7462533333333332E-4</c:v>
                </c:pt>
                <c:pt idx="13">
                  <c:v>1.7502633333333335E-4</c:v>
                </c:pt>
                <c:pt idx="14">
                  <c:v>1.744003333333333E-4</c:v>
                </c:pt>
                <c:pt idx="15">
                  <c:v>1.7330666666666667E-4</c:v>
                </c:pt>
                <c:pt idx="16">
                  <c:v>1.7355300000000001E-4</c:v>
                </c:pt>
                <c:pt idx="17">
                  <c:v>1.7481766666666669E-4</c:v>
                </c:pt>
                <c:pt idx="18">
                  <c:v>1.7360966666666667E-4</c:v>
                </c:pt>
                <c:pt idx="19">
                  <c:v>1.7322266666666664E-4</c:v>
                </c:pt>
                <c:pt idx="20">
                  <c:v>1.7372133333333335E-4</c:v>
                </c:pt>
                <c:pt idx="21">
                  <c:v>1.7317099999999999E-4</c:v>
                </c:pt>
                <c:pt idx="22">
                  <c:v>1.7267766666666665E-4</c:v>
                </c:pt>
                <c:pt idx="23">
                  <c:v>1.7243533333333335E-4</c:v>
                </c:pt>
                <c:pt idx="24">
                  <c:v>1.7157033333333331E-4</c:v>
                </c:pt>
                <c:pt idx="25">
                  <c:v>1.7221700000000001E-4</c:v>
                </c:pt>
                <c:pt idx="26">
                  <c:v>1.7315433333333331E-4</c:v>
                </c:pt>
                <c:pt idx="27">
                  <c:v>1.7274433333333333E-4</c:v>
                </c:pt>
                <c:pt idx="28">
                  <c:v>1.7297699999999997E-4</c:v>
                </c:pt>
                <c:pt idx="29">
                  <c:v>3.4212499999999998E-5</c:v>
                </c:pt>
                <c:pt idx="30">
                  <c:v>3.38022E-5</c:v>
                </c:pt>
                <c:pt idx="31">
                  <c:v>3.3379E-5</c:v>
                </c:pt>
                <c:pt idx="32">
                  <c:v>3.3124266666666664E-5</c:v>
                </c:pt>
                <c:pt idx="33">
                  <c:v>3.29E-5</c:v>
                </c:pt>
                <c:pt idx="34">
                  <c:v>3.2704266666666664E-5</c:v>
                </c:pt>
                <c:pt idx="35">
                  <c:v>3.2566833333333335E-5</c:v>
                </c:pt>
                <c:pt idx="36">
                  <c:v>3.2443966666666663E-5</c:v>
                </c:pt>
                <c:pt idx="37">
                  <c:v>3.2316400000000001E-5</c:v>
                </c:pt>
                <c:pt idx="38">
                  <c:v>3.22075E-5</c:v>
                </c:pt>
                <c:pt idx="39">
                  <c:v>1.61578E-4</c:v>
                </c:pt>
                <c:pt idx="40">
                  <c:v>1.5568299999999999E-4</c:v>
                </c:pt>
                <c:pt idx="41">
                  <c:v>1.5179433333333337E-4</c:v>
                </c:pt>
                <c:pt idx="42">
                  <c:v>1.4771733333333333E-4</c:v>
                </c:pt>
                <c:pt idx="43">
                  <c:v>1.4561066666666665E-4</c:v>
                </c:pt>
                <c:pt idx="44">
                  <c:v>1.4408833333333333E-4</c:v>
                </c:pt>
                <c:pt idx="45">
                  <c:v>1.4327733333333332E-4</c:v>
                </c:pt>
                <c:pt idx="46">
                  <c:v>1.4195366666666667E-4</c:v>
                </c:pt>
                <c:pt idx="47">
                  <c:v>1.4117933333333333E-4</c:v>
                </c:pt>
                <c:pt idx="48">
                  <c:v>1.4091699999999998E-4</c:v>
                </c:pt>
                <c:pt idx="49">
                  <c:v>1.4274199999999998E-4</c:v>
                </c:pt>
                <c:pt idx="50">
                  <c:v>1.4076033333333335E-4</c:v>
                </c:pt>
                <c:pt idx="51">
                  <c:v>1.4047966666666666E-4</c:v>
                </c:pt>
                <c:pt idx="52">
                  <c:v>1.4022733333333333E-4</c:v>
                </c:pt>
                <c:pt idx="53">
                  <c:v>1.4066866666666666E-4</c:v>
                </c:pt>
                <c:pt idx="54">
                  <c:v>1.4167400000000003E-4</c:v>
                </c:pt>
                <c:pt idx="55">
                  <c:v>1.4079866666666667E-4</c:v>
                </c:pt>
                <c:pt idx="56">
                  <c:v>1.4173833333333335E-4</c:v>
                </c:pt>
                <c:pt idx="57">
                  <c:v>1.4131033333333333E-4</c:v>
                </c:pt>
                <c:pt idx="58">
                  <c:v>1.41061E-4</c:v>
                </c:pt>
                <c:pt idx="59">
                  <c:v>1.4043700000000001E-4</c:v>
                </c:pt>
                <c:pt idx="60">
                  <c:v>1.4103E-4</c:v>
                </c:pt>
                <c:pt idx="61">
                  <c:v>1.4131566666666665E-4</c:v>
                </c:pt>
                <c:pt idx="62">
                  <c:v>1.4203866666666665E-4</c:v>
                </c:pt>
                <c:pt idx="63">
                  <c:v>1.4195899999999999E-4</c:v>
                </c:pt>
                <c:pt idx="64">
                  <c:v>1.4354533333333332E-4</c:v>
                </c:pt>
                <c:pt idx="65">
                  <c:v>1.4489133333333334E-4</c:v>
                </c:pt>
                <c:pt idx="66">
                  <c:v>1.4365433333333332E-4</c:v>
                </c:pt>
                <c:pt idx="67">
                  <c:v>1.4404399999999999E-4</c:v>
                </c:pt>
                <c:pt idx="68">
                  <c:v>3.2319599999999995E-5</c:v>
                </c:pt>
                <c:pt idx="69">
                  <c:v>3.2276166666666668E-5</c:v>
                </c:pt>
                <c:pt idx="70">
                  <c:v>3.2168233333333335E-5</c:v>
                </c:pt>
                <c:pt idx="71">
                  <c:v>3.2079433333333337E-5</c:v>
                </c:pt>
                <c:pt idx="72">
                  <c:v>3.2028133333333333E-5</c:v>
                </c:pt>
                <c:pt idx="73">
                  <c:v>3.1975700000000006E-5</c:v>
                </c:pt>
                <c:pt idx="74">
                  <c:v>3.1918633333333336E-5</c:v>
                </c:pt>
                <c:pt idx="75">
                  <c:v>3.1864466666666666E-5</c:v>
                </c:pt>
                <c:pt idx="76">
                  <c:v>3.1835399999999997E-5</c:v>
                </c:pt>
                <c:pt idx="77">
                  <c:v>3.1786599999999998E-5</c:v>
                </c:pt>
                <c:pt idx="78">
                  <c:v>1.6720966666666665E-4</c:v>
                </c:pt>
                <c:pt idx="79">
                  <c:v>1.6205200000000001E-4</c:v>
                </c:pt>
                <c:pt idx="80">
                  <c:v>1.5703333333333332E-4</c:v>
                </c:pt>
                <c:pt idx="81">
                  <c:v>1.5466199999999999E-4</c:v>
                </c:pt>
                <c:pt idx="82">
                  <c:v>1.53058E-4</c:v>
                </c:pt>
                <c:pt idx="83">
                  <c:v>1.5180300000000002E-4</c:v>
                </c:pt>
                <c:pt idx="84">
                  <c:v>1.5094366666666668E-4</c:v>
                </c:pt>
                <c:pt idx="85">
                  <c:v>1.5044899999999998E-4</c:v>
                </c:pt>
                <c:pt idx="86">
                  <c:v>1.51144E-4</c:v>
                </c:pt>
                <c:pt idx="87">
                  <c:v>1.5093333333333333E-4</c:v>
                </c:pt>
                <c:pt idx="88">
                  <c:v>1.50636E-4</c:v>
                </c:pt>
                <c:pt idx="89">
                  <c:v>1.5050233333333332E-4</c:v>
                </c:pt>
                <c:pt idx="90">
                  <c:v>1.5009233333333335E-4</c:v>
                </c:pt>
                <c:pt idx="91">
                  <c:v>1.5042133333333332E-4</c:v>
                </c:pt>
                <c:pt idx="92">
                  <c:v>1.5076733333333335E-4</c:v>
                </c:pt>
                <c:pt idx="93">
                  <c:v>1.5088100000000001E-4</c:v>
                </c:pt>
                <c:pt idx="94">
                  <c:v>1.5157699999999999E-4</c:v>
                </c:pt>
                <c:pt idx="95">
                  <c:v>1.51724E-4</c:v>
                </c:pt>
                <c:pt idx="96">
                  <c:v>1.5221033333333333E-4</c:v>
                </c:pt>
                <c:pt idx="97">
                  <c:v>1.5268233333333331E-4</c:v>
                </c:pt>
                <c:pt idx="98">
                  <c:v>1.5298866666666667E-4</c:v>
                </c:pt>
                <c:pt idx="99">
                  <c:v>1.5239599999999998E-4</c:v>
                </c:pt>
                <c:pt idx="100">
                  <c:v>1.52375E-4</c:v>
                </c:pt>
                <c:pt idx="101">
                  <c:v>1.54439E-4</c:v>
                </c:pt>
                <c:pt idx="102">
                  <c:v>1.5505433333333336E-4</c:v>
                </c:pt>
                <c:pt idx="103">
                  <c:v>1.5530233333333333E-4</c:v>
                </c:pt>
                <c:pt idx="104">
                  <c:v>1.5650699999999998E-4</c:v>
                </c:pt>
                <c:pt idx="105">
                  <c:v>1.5671166666666667E-4</c:v>
                </c:pt>
                <c:pt idx="106">
                  <c:v>1.5685533333333331E-4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7-4847-A321-A136CDCC1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995664"/>
        <c:axId val="27980975"/>
      </c:scatterChart>
      <c:valAx>
        <c:axId val="203599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0975"/>
        <c:crosses val="autoZero"/>
        <c:crossBetween val="midCat"/>
      </c:valAx>
      <c:valAx>
        <c:axId val="279809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99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P- 24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P- 24 hpi'!$B$3:$B$116</c:f>
              <c:numCache>
                <c:formatCode>General</c:formatCode>
                <c:ptCount val="114"/>
                <c:pt idx="0">
                  <c:v>3.3224600000000002E-3</c:v>
                </c:pt>
                <c:pt idx="1">
                  <c:v>3.3146299999999998E-3</c:v>
                </c:pt>
                <c:pt idx="2">
                  <c:v>3.32628E-3</c:v>
                </c:pt>
                <c:pt idx="3">
                  <c:v>3.3215200000000001E-3</c:v>
                </c:pt>
                <c:pt idx="4">
                  <c:v>3.3225899999999998E-3</c:v>
                </c:pt>
                <c:pt idx="5">
                  <c:v>3.3242100000000002E-3</c:v>
                </c:pt>
                <c:pt idx="6">
                  <c:v>3.3245900000000001E-3</c:v>
                </c:pt>
                <c:pt idx="7">
                  <c:v>3.3303400000000002E-3</c:v>
                </c:pt>
                <c:pt idx="8">
                  <c:v>3.3255400000000001E-3</c:v>
                </c:pt>
                <c:pt idx="9">
                  <c:v>3.32556E-3</c:v>
                </c:pt>
                <c:pt idx="10">
                  <c:v>3.3246299999999999E-3</c:v>
                </c:pt>
                <c:pt idx="11">
                  <c:v>3.3224800000000001E-3</c:v>
                </c:pt>
                <c:pt idx="12">
                  <c:v>3.3241299999999998E-3</c:v>
                </c:pt>
                <c:pt idx="13">
                  <c:v>3.3256900000000001E-3</c:v>
                </c:pt>
                <c:pt idx="14">
                  <c:v>3.3232800000000001E-3</c:v>
                </c:pt>
                <c:pt idx="15">
                  <c:v>3.3230299999999998E-3</c:v>
                </c:pt>
                <c:pt idx="16">
                  <c:v>3.3238999999999999E-3</c:v>
                </c:pt>
                <c:pt idx="17">
                  <c:v>3.3170299999999999E-3</c:v>
                </c:pt>
                <c:pt idx="18">
                  <c:v>3.3211899999999999E-3</c:v>
                </c:pt>
                <c:pt idx="19">
                  <c:v>3.3245000000000002E-3</c:v>
                </c:pt>
                <c:pt idx="20">
                  <c:v>3.3267499999999998E-3</c:v>
                </c:pt>
                <c:pt idx="21">
                  <c:v>3.3263799999999999E-3</c:v>
                </c:pt>
                <c:pt idx="22">
                  <c:v>3.3272499999999999E-3</c:v>
                </c:pt>
                <c:pt idx="23">
                  <c:v>3.32614E-3</c:v>
                </c:pt>
                <c:pt idx="24">
                  <c:v>3.3278600000000002E-3</c:v>
                </c:pt>
                <c:pt idx="25">
                  <c:v>3.3312400000000001E-3</c:v>
                </c:pt>
                <c:pt idx="26">
                  <c:v>3.33089E-3</c:v>
                </c:pt>
                <c:pt idx="27">
                  <c:v>3.3337599999999998E-3</c:v>
                </c:pt>
                <c:pt idx="28">
                  <c:v>3.3344199999999998E-3</c:v>
                </c:pt>
                <c:pt idx="29">
                  <c:v>5.0660600000000002E-6</c:v>
                </c:pt>
                <c:pt idx="30">
                  <c:v>5.17773E-6</c:v>
                </c:pt>
                <c:pt idx="31">
                  <c:v>5.1494899999999997E-6</c:v>
                </c:pt>
                <c:pt idx="32">
                  <c:v>5.1809400000000001E-6</c:v>
                </c:pt>
                <c:pt idx="33">
                  <c:v>5.1469200000000004E-6</c:v>
                </c:pt>
                <c:pt idx="34">
                  <c:v>5.1298100000000003E-6</c:v>
                </c:pt>
                <c:pt idx="35">
                  <c:v>5.0898099999999998E-6</c:v>
                </c:pt>
                <c:pt idx="36">
                  <c:v>5.0941000000000001E-6</c:v>
                </c:pt>
                <c:pt idx="37">
                  <c:v>5.0550199999999996E-6</c:v>
                </c:pt>
                <c:pt idx="38">
                  <c:v>5.0606999999999997E-6</c:v>
                </c:pt>
                <c:pt idx="39">
                  <c:v>2.1636699999999999E-3</c:v>
                </c:pt>
                <c:pt idx="40">
                  <c:v>2.1980400000000001E-3</c:v>
                </c:pt>
                <c:pt idx="41">
                  <c:v>2.2196400000000002E-3</c:v>
                </c:pt>
                <c:pt idx="42">
                  <c:v>2.2318199999999998E-3</c:v>
                </c:pt>
                <c:pt idx="43">
                  <c:v>2.2422700000000002E-3</c:v>
                </c:pt>
                <c:pt idx="44">
                  <c:v>2.2513799999999999E-3</c:v>
                </c:pt>
                <c:pt idx="45">
                  <c:v>2.2586199999999998E-3</c:v>
                </c:pt>
                <c:pt idx="46">
                  <c:v>2.26552E-3</c:v>
                </c:pt>
                <c:pt idx="47">
                  <c:v>2.2704700000000001E-3</c:v>
                </c:pt>
                <c:pt idx="48">
                  <c:v>2.2783E-3</c:v>
                </c:pt>
                <c:pt idx="49">
                  <c:v>2.27327E-3</c:v>
                </c:pt>
                <c:pt idx="50">
                  <c:v>2.28269E-3</c:v>
                </c:pt>
                <c:pt idx="51">
                  <c:v>2.28751E-3</c:v>
                </c:pt>
                <c:pt idx="52">
                  <c:v>2.2892199999999998E-3</c:v>
                </c:pt>
                <c:pt idx="53">
                  <c:v>2.2977700000000002E-3</c:v>
                </c:pt>
                <c:pt idx="54">
                  <c:v>2.3051899999999999E-3</c:v>
                </c:pt>
                <c:pt idx="55">
                  <c:v>2.30745E-3</c:v>
                </c:pt>
                <c:pt idx="56">
                  <c:v>2.31132E-3</c:v>
                </c:pt>
                <c:pt idx="57">
                  <c:v>2.3176400000000002E-3</c:v>
                </c:pt>
                <c:pt idx="58">
                  <c:v>2.3246500000000002E-3</c:v>
                </c:pt>
                <c:pt idx="59">
                  <c:v>2.3291900000000001E-3</c:v>
                </c:pt>
                <c:pt idx="60">
                  <c:v>2.33577E-3</c:v>
                </c:pt>
                <c:pt idx="61">
                  <c:v>2.3432499999999998E-3</c:v>
                </c:pt>
                <c:pt idx="62">
                  <c:v>2.3484600000000001E-3</c:v>
                </c:pt>
                <c:pt idx="63">
                  <c:v>2.3538600000000002E-3</c:v>
                </c:pt>
                <c:pt idx="64">
                  <c:v>2.3585099999999999E-3</c:v>
                </c:pt>
                <c:pt idx="65">
                  <c:v>2.3612500000000001E-3</c:v>
                </c:pt>
                <c:pt idx="66">
                  <c:v>2.3734099999999998E-3</c:v>
                </c:pt>
                <c:pt idx="67">
                  <c:v>2.38047E-3</c:v>
                </c:pt>
                <c:pt idx="68">
                  <c:v>5.4027500000000001E-6</c:v>
                </c:pt>
                <c:pt idx="69">
                  <c:v>5.4107499999999998E-6</c:v>
                </c:pt>
                <c:pt idx="70">
                  <c:v>5.3782100000000003E-6</c:v>
                </c:pt>
                <c:pt idx="71">
                  <c:v>5.3503799999999999E-6</c:v>
                </c:pt>
                <c:pt idx="72">
                  <c:v>5.3716999999999997E-6</c:v>
                </c:pt>
                <c:pt idx="73">
                  <c:v>5.3655800000000002E-6</c:v>
                </c:pt>
                <c:pt idx="74">
                  <c:v>5.3711600000000001E-6</c:v>
                </c:pt>
                <c:pt idx="75">
                  <c:v>5.3595500000000002E-6</c:v>
                </c:pt>
                <c:pt idx="76">
                  <c:v>5.3514000000000001E-6</c:v>
                </c:pt>
                <c:pt idx="77">
                  <c:v>5.3377700000000004E-6</c:v>
                </c:pt>
                <c:pt idx="78">
                  <c:v>2.3012699999999998E-3</c:v>
                </c:pt>
                <c:pt idx="79">
                  <c:v>2.3374200000000002E-3</c:v>
                </c:pt>
                <c:pt idx="80">
                  <c:v>2.3620799999999999E-3</c:v>
                </c:pt>
                <c:pt idx="81">
                  <c:v>2.3784399999999999E-3</c:v>
                </c:pt>
                <c:pt idx="82">
                  <c:v>2.3898000000000001E-3</c:v>
                </c:pt>
                <c:pt idx="83">
                  <c:v>2.4025299999999999E-3</c:v>
                </c:pt>
                <c:pt idx="84">
                  <c:v>2.4140799999999999E-3</c:v>
                </c:pt>
                <c:pt idx="85">
                  <c:v>2.42304E-3</c:v>
                </c:pt>
                <c:pt idx="86">
                  <c:v>2.4316300000000002E-3</c:v>
                </c:pt>
                <c:pt idx="87">
                  <c:v>2.4364999999999999E-3</c:v>
                </c:pt>
                <c:pt idx="88">
                  <c:v>2.4463699999999998E-3</c:v>
                </c:pt>
                <c:pt idx="89">
                  <c:v>2.4507700000000001E-3</c:v>
                </c:pt>
                <c:pt idx="90">
                  <c:v>2.4591399999999999E-3</c:v>
                </c:pt>
                <c:pt idx="91">
                  <c:v>2.4647200000000001E-3</c:v>
                </c:pt>
                <c:pt idx="92">
                  <c:v>2.4776099999999999E-3</c:v>
                </c:pt>
                <c:pt idx="93">
                  <c:v>2.47599E-3</c:v>
                </c:pt>
                <c:pt idx="94">
                  <c:v>2.4866799999999998E-3</c:v>
                </c:pt>
                <c:pt idx="95">
                  <c:v>2.4948700000000002E-3</c:v>
                </c:pt>
                <c:pt idx="96">
                  <c:v>2.49607E-3</c:v>
                </c:pt>
                <c:pt idx="97">
                  <c:v>2.5084199999999999E-3</c:v>
                </c:pt>
                <c:pt idx="98">
                  <c:v>2.5154399999999999E-3</c:v>
                </c:pt>
                <c:pt idx="99">
                  <c:v>2.5229800000000002E-3</c:v>
                </c:pt>
                <c:pt idx="100">
                  <c:v>2.5338299999999999E-3</c:v>
                </c:pt>
                <c:pt idx="101">
                  <c:v>2.5364699999999999E-3</c:v>
                </c:pt>
                <c:pt idx="102">
                  <c:v>2.5443499999999999E-3</c:v>
                </c:pt>
                <c:pt idx="103">
                  <c:v>2.5513699999999999E-3</c:v>
                </c:pt>
                <c:pt idx="104">
                  <c:v>2.5565399999999999E-3</c:v>
                </c:pt>
                <c:pt idx="105">
                  <c:v>2.5666199999999999E-3</c:v>
                </c:pt>
                <c:pt idx="106">
                  <c:v>2.5726999999999998E-3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8-4D57-A491-70029CF71EF5}"/>
            </c:ext>
          </c:extLst>
        </c:ser>
        <c:ser>
          <c:idx val="1"/>
          <c:order val="1"/>
          <c:tx>
            <c:strRef>
              <c:f>'1234 P- 24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P- 24 hpi'!$G$3:$G$124</c:f>
              <c:numCache>
                <c:formatCode>0.00E+00</c:formatCode>
                <c:ptCount val="122"/>
                <c:pt idx="0">
                  <c:v>6.1274500000000004E-4</c:v>
                </c:pt>
                <c:pt idx="1">
                  <c:v>6.1414599999999998E-4</c:v>
                </c:pt>
                <c:pt idx="2">
                  <c:v>6.1477000000000005E-4</c:v>
                </c:pt>
                <c:pt idx="3">
                  <c:v>6.1546099999999998E-4</c:v>
                </c:pt>
                <c:pt idx="4">
                  <c:v>6.1547100000000003E-4</c:v>
                </c:pt>
                <c:pt idx="5">
                  <c:v>6.1479199999999996E-4</c:v>
                </c:pt>
                <c:pt idx="6">
                  <c:v>6.156E-4</c:v>
                </c:pt>
                <c:pt idx="7">
                  <c:v>6.1520900000000002E-4</c:v>
                </c:pt>
                <c:pt idx="8">
                  <c:v>6.1446600000000004E-4</c:v>
                </c:pt>
                <c:pt idx="9">
                  <c:v>6.1413500000000003E-4</c:v>
                </c:pt>
                <c:pt idx="10">
                  <c:v>6.1418400000000004E-4</c:v>
                </c:pt>
                <c:pt idx="11">
                  <c:v>6.1367099999999999E-4</c:v>
                </c:pt>
                <c:pt idx="12">
                  <c:v>6.13018E-4</c:v>
                </c:pt>
                <c:pt idx="13">
                  <c:v>6.1271999999999997E-4</c:v>
                </c:pt>
                <c:pt idx="14">
                  <c:v>6.1226E-4</c:v>
                </c:pt>
                <c:pt idx="15">
                  <c:v>6.1159599999999995E-4</c:v>
                </c:pt>
                <c:pt idx="16">
                  <c:v>6.1132299999999999E-4</c:v>
                </c:pt>
                <c:pt idx="17">
                  <c:v>6.1103700000000004E-4</c:v>
                </c:pt>
                <c:pt idx="18">
                  <c:v>6.1084400000000004E-4</c:v>
                </c:pt>
                <c:pt idx="19">
                  <c:v>6.1009499999999995E-4</c:v>
                </c:pt>
                <c:pt idx="20">
                  <c:v>6.1003700000000001E-4</c:v>
                </c:pt>
                <c:pt idx="21">
                  <c:v>6.0989699999999998E-4</c:v>
                </c:pt>
                <c:pt idx="22">
                  <c:v>6.1101899999999997E-4</c:v>
                </c:pt>
                <c:pt idx="23">
                  <c:v>6.1047E-4</c:v>
                </c:pt>
                <c:pt idx="24">
                  <c:v>6.1059199999999997E-4</c:v>
                </c:pt>
                <c:pt idx="25">
                  <c:v>6.1006400000000001E-4</c:v>
                </c:pt>
                <c:pt idx="26">
                  <c:v>6.1104799999999999E-4</c:v>
                </c:pt>
                <c:pt idx="27">
                  <c:v>6.1133300000000004E-4</c:v>
                </c:pt>
                <c:pt idx="28">
                  <c:v>6.1198299999999997E-4</c:v>
                </c:pt>
                <c:pt idx="29">
                  <c:v>6.19942E-6</c:v>
                </c:pt>
                <c:pt idx="30">
                  <c:v>5.9694099999999998E-6</c:v>
                </c:pt>
                <c:pt idx="31">
                  <c:v>5.7564200000000002E-6</c:v>
                </c:pt>
                <c:pt idx="32">
                  <c:v>5.5940500000000003E-6</c:v>
                </c:pt>
                <c:pt idx="33">
                  <c:v>5.4649099999999998E-6</c:v>
                </c:pt>
                <c:pt idx="34">
                  <c:v>5.3359099999999999E-6</c:v>
                </c:pt>
                <c:pt idx="35">
                  <c:v>5.2349499999999997E-6</c:v>
                </c:pt>
                <c:pt idx="36">
                  <c:v>5.1505299999999996E-6</c:v>
                </c:pt>
                <c:pt idx="37">
                  <c:v>5.0613400000000004E-6</c:v>
                </c:pt>
                <c:pt idx="38">
                  <c:v>4.9865700000000003E-6</c:v>
                </c:pt>
                <c:pt idx="39">
                  <c:v>3.9666000000000001E-4</c:v>
                </c:pt>
                <c:pt idx="40">
                  <c:v>4.0889099999999999E-4</c:v>
                </c:pt>
                <c:pt idx="41">
                  <c:v>4.1728199999999999E-4</c:v>
                </c:pt>
                <c:pt idx="42">
                  <c:v>4.23263E-4</c:v>
                </c:pt>
                <c:pt idx="43">
                  <c:v>4.2788800000000002E-4</c:v>
                </c:pt>
                <c:pt idx="44">
                  <c:v>4.31292E-4</c:v>
                </c:pt>
                <c:pt idx="45">
                  <c:v>4.35024E-4</c:v>
                </c:pt>
                <c:pt idx="46">
                  <c:v>4.3720100000000002E-4</c:v>
                </c:pt>
                <c:pt idx="47">
                  <c:v>4.3861799999999999E-4</c:v>
                </c:pt>
                <c:pt idx="48">
                  <c:v>4.4065E-4</c:v>
                </c:pt>
                <c:pt idx="49">
                  <c:v>4.4163699999999999E-4</c:v>
                </c:pt>
                <c:pt idx="50">
                  <c:v>4.4352299999999997E-4</c:v>
                </c:pt>
                <c:pt idx="51">
                  <c:v>4.4460700000000002E-4</c:v>
                </c:pt>
                <c:pt idx="52">
                  <c:v>4.46623E-4</c:v>
                </c:pt>
                <c:pt idx="53">
                  <c:v>4.4711499999999999E-4</c:v>
                </c:pt>
                <c:pt idx="54">
                  <c:v>4.4833500000000001E-4</c:v>
                </c:pt>
                <c:pt idx="55">
                  <c:v>4.4951300000000002E-4</c:v>
                </c:pt>
                <c:pt idx="56">
                  <c:v>4.5027400000000002E-4</c:v>
                </c:pt>
                <c:pt idx="57">
                  <c:v>4.5092199999999998E-4</c:v>
                </c:pt>
                <c:pt idx="58">
                  <c:v>4.5137600000000002E-4</c:v>
                </c:pt>
                <c:pt idx="59">
                  <c:v>4.5276499999999999E-4</c:v>
                </c:pt>
                <c:pt idx="60">
                  <c:v>4.53919E-4</c:v>
                </c:pt>
                <c:pt idx="61">
                  <c:v>4.5475000000000002E-4</c:v>
                </c:pt>
                <c:pt idx="62">
                  <c:v>4.55561E-4</c:v>
                </c:pt>
                <c:pt idx="63">
                  <c:v>4.5585500000000002E-4</c:v>
                </c:pt>
                <c:pt idx="64">
                  <c:v>4.5653399999999998E-4</c:v>
                </c:pt>
                <c:pt idx="65">
                  <c:v>4.5738499999999999E-4</c:v>
                </c:pt>
                <c:pt idx="66">
                  <c:v>4.5774200000000002E-4</c:v>
                </c:pt>
                <c:pt idx="67">
                  <c:v>4.5859900000000002E-4</c:v>
                </c:pt>
                <c:pt idx="68">
                  <c:v>4.7246599999999996E-6</c:v>
                </c:pt>
                <c:pt idx="69">
                  <c:v>4.6621099999999997E-6</c:v>
                </c:pt>
                <c:pt idx="70">
                  <c:v>4.5971000000000004E-6</c:v>
                </c:pt>
                <c:pt idx="71">
                  <c:v>4.5383199999999999E-6</c:v>
                </c:pt>
                <c:pt idx="72">
                  <c:v>4.4896000000000002E-6</c:v>
                </c:pt>
                <c:pt idx="73">
                  <c:v>4.4464000000000003E-6</c:v>
                </c:pt>
                <c:pt idx="74">
                  <c:v>4.4050299999999997E-6</c:v>
                </c:pt>
                <c:pt idx="75">
                  <c:v>4.36469E-6</c:v>
                </c:pt>
                <c:pt idx="76">
                  <c:v>4.3245099999999997E-6</c:v>
                </c:pt>
                <c:pt idx="77">
                  <c:v>4.2924800000000003E-6</c:v>
                </c:pt>
                <c:pt idx="78">
                  <c:v>3.87122E-4</c:v>
                </c:pt>
                <c:pt idx="79">
                  <c:v>3.9844499999999998E-4</c:v>
                </c:pt>
                <c:pt idx="80">
                  <c:v>4.0707699999999999E-4</c:v>
                </c:pt>
                <c:pt idx="81">
                  <c:v>4.1357200000000002E-4</c:v>
                </c:pt>
                <c:pt idx="82">
                  <c:v>4.1878599999999998E-4</c:v>
                </c:pt>
                <c:pt idx="83">
                  <c:v>4.2278500000000001E-4</c:v>
                </c:pt>
                <c:pt idx="84">
                  <c:v>4.2603399999999999E-4</c:v>
                </c:pt>
                <c:pt idx="85">
                  <c:v>4.2850000000000001E-4</c:v>
                </c:pt>
                <c:pt idx="86">
                  <c:v>4.3049899999999999E-4</c:v>
                </c:pt>
                <c:pt idx="87">
                  <c:v>4.3226099999999997E-4</c:v>
                </c:pt>
                <c:pt idx="88">
                  <c:v>4.3394700000000001E-4</c:v>
                </c:pt>
                <c:pt idx="89">
                  <c:v>4.35902E-4</c:v>
                </c:pt>
                <c:pt idx="90">
                  <c:v>4.3765999999999998E-4</c:v>
                </c:pt>
                <c:pt idx="91">
                  <c:v>4.3954999999999998E-4</c:v>
                </c:pt>
                <c:pt idx="92">
                  <c:v>4.4089800000000001E-4</c:v>
                </c:pt>
                <c:pt idx="93">
                  <c:v>4.4309699999999999E-4</c:v>
                </c:pt>
                <c:pt idx="94">
                  <c:v>4.4399100000000003E-4</c:v>
                </c:pt>
                <c:pt idx="95">
                  <c:v>4.4498200000000002E-4</c:v>
                </c:pt>
                <c:pt idx="96">
                  <c:v>4.4568E-4</c:v>
                </c:pt>
                <c:pt idx="97">
                  <c:v>4.4729900000000001E-4</c:v>
                </c:pt>
                <c:pt idx="98">
                  <c:v>4.48682E-4</c:v>
                </c:pt>
                <c:pt idx="99">
                  <c:v>4.50183E-4</c:v>
                </c:pt>
                <c:pt idx="100">
                  <c:v>4.50941E-4</c:v>
                </c:pt>
                <c:pt idx="101">
                  <c:v>4.5283600000000003E-4</c:v>
                </c:pt>
                <c:pt idx="102">
                  <c:v>4.5366699999999999E-4</c:v>
                </c:pt>
                <c:pt idx="103">
                  <c:v>4.5448500000000002E-4</c:v>
                </c:pt>
                <c:pt idx="104">
                  <c:v>4.5495000000000003E-4</c:v>
                </c:pt>
                <c:pt idx="105">
                  <c:v>4.5706799999999998E-4</c:v>
                </c:pt>
                <c:pt idx="106">
                  <c:v>4.5816599999999998E-4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8-4D57-A491-70029CF71EF5}"/>
            </c:ext>
          </c:extLst>
        </c:ser>
        <c:ser>
          <c:idx val="2"/>
          <c:order val="2"/>
          <c:tx>
            <c:strRef>
              <c:f>'1234 P- 24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P- 24 hpi'!$L$3:$L$124</c:f>
              <c:numCache>
                <c:formatCode>0.00E+00</c:formatCode>
                <c:ptCount val="122"/>
                <c:pt idx="0">
                  <c:v>7.6735499999999995E-4</c:v>
                </c:pt>
                <c:pt idx="1">
                  <c:v>7.6956099999999999E-4</c:v>
                </c:pt>
                <c:pt idx="2">
                  <c:v>7.7106099999999997E-4</c:v>
                </c:pt>
                <c:pt idx="3">
                  <c:v>7.7362000000000004E-4</c:v>
                </c:pt>
                <c:pt idx="4">
                  <c:v>7.7489499999999995E-4</c:v>
                </c:pt>
                <c:pt idx="5">
                  <c:v>7.7616899999999995E-4</c:v>
                </c:pt>
                <c:pt idx="6">
                  <c:v>7.7657400000000004E-4</c:v>
                </c:pt>
                <c:pt idx="7">
                  <c:v>7.7722100000000003E-4</c:v>
                </c:pt>
                <c:pt idx="8">
                  <c:v>7.7836400000000003E-4</c:v>
                </c:pt>
                <c:pt idx="9">
                  <c:v>7.7773899999999995E-4</c:v>
                </c:pt>
                <c:pt idx="10">
                  <c:v>7.7837000000000002E-4</c:v>
                </c:pt>
                <c:pt idx="11">
                  <c:v>7.7888700000000003E-4</c:v>
                </c:pt>
                <c:pt idx="12">
                  <c:v>7.7924000000000005E-4</c:v>
                </c:pt>
                <c:pt idx="13">
                  <c:v>7.8020300000000004E-4</c:v>
                </c:pt>
                <c:pt idx="14">
                  <c:v>7.8104499999999996E-4</c:v>
                </c:pt>
                <c:pt idx="15">
                  <c:v>7.8167199999999997E-4</c:v>
                </c:pt>
                <c:pt idx="16">
                  <c:v>7.8199499999999996E-4</c:v>
                </c:pt>
                <c:pt idx="17">
                  <c:v>7.8256199999999999E-4</c:v>
                </c:pt>
                <c:pt idx="18">
                  <c:v>7.8337600000000002E-4</c:v>
                </c:pt>
                <c:pt idx="19">
                  <c:v>7.8500499999999997E-4</c:v>
                </c:pt>
                <c:pt idx="20">
                  <c:v>7.85434E-4</c:v>
                </c:pt>
                <c:pt idx="21">
                  <c:v>7.8751400000000001E-4</c:v>
                </c:pt>
                <c:pt idx="22">
                  <c:v>7.8967200000000005E-4</c:v>
                </c:pt>
                <c:pt idx="23">
                  <c:v>7.91514E-4</c:v>
                </c:pt>
                <c:pt idx="24">
                  <c:v>7.9289699999999998E-4</c:v>
                </c:pt>
                <c:pt idx="25">
                  <c:v>7.9587600000000005E-4</c:v>
                </c:pt>
                <c:pt idx="26">
                  <c:v>7.9841500000000002E-4</c:v>
                </c:pt>
                <c:pt idx="27">
                  <c:v>8.0066299999999996E-4</c:v>
                </c:pt>
                <c:pt idx="28">
                  <c:v>8.03282E-4</c:v>
                </c:pt>
                <c:pt idx="29">
                  <c:v>4.7092800000000003E-6</c:v>
                </c:pt>
                <c:pt idx="30">
                  <c:v>4.59707E-6</c:v>
                </c:pt>
                <c:pt idx="31">
                  <c:v>4.47083E-6</c:v>
                </c:pt>
                <c:pt idx="32">
                  <c:v>4.3770300000000002E-6</c:v>
                </c:pt>
                <c:pt idx="33">
                  <c:v>4.3073799999999999E-6</c:v>
                </c:pt>
                <c:pt idx="34">
                  <c:v>4.2488199999999996E-6</c:v>
                </c:pt>
                <c:pt idx="35">
                  <c:v>4.1982900000000003E-6</c:v>
                </c:pt>
                <c:pt idx="36">
                  <c:v>4.1403099999999998E-6</c:v>
                </c:pt>
                <c:pt idx="37">
                  <c:v>4.0970599999999999E-6</c:v>
                </c:pt>
                <c:pt idx="38">
                  <c:v>4.0618499999999999E-6</c:v>
                </c:pt>
                <c:pt idx="39">
                  <c:v>5.2183999999999998E-4</c:v>
                </c:pt>
                <c:pt idx="40">
                  <c:v>5.36846E-4</c:v>
                </c:pt>
                <c:pt idx="41">
                  <c:v>5.4574400000000003E-4</c:v>
                </c:pt>
                <c:pt idx="42">
                  <c:v>5.5336800000000005E-4</c:v>
                </c:pt>
                <c:pt idx="43">
                  <c:v>5.5906E-4</c:v>
                </c:pt>
                <c:pt idx="44">
                  <c:v>5.6383900000000001E-4</c:v>
                </c:pt>
                <c:pt idx="45">
                  <c:v>5.6684300000000003E-4</c:v>
                </c:pt>
                <c:pt idx="46">
                  <c:v>5.6953699999999995E-4</c:v>
                </c:pt>
                <c:pt idx="47">
                  <c:v>5.7234400000000002E-4</c:v>
                </c:pt>
                <c:pt idx="48">
                  <c:v>5.7421100000000004E-4</c:v>
                </c:pt>
                <c:pt idx="49">
                  <c:v>5.7600999999999996E-4</c:v>
                </c:pt>
                <c:pt idx="50">
                  <c:v>5.7789099999999997E-4</c:v>
                </c:pt>
                <c:pt idx="51">
                  <c:v>5.7996999999999996E-4</c:v>
                </c:pt>
                <c:pt idx="52">
                  <c:v>5.8224399999999999E-4</c:v>
                </c:pt>
                <c:pt idx="53">
                  <c:v>5.8378800000000002E-4</c:v>
                </c:pt>
                <c:pt idx="54">
                  <c:v>5.8579900000000002E-4</c:v>
                </c:pt>
                <c:pt idx="55">
                  <c:v>5.8767800000000001E-4</c:v>
                </c:pt>
                <c:pt idx="56">
                  <c:v>5.88201E-4</c:v>
                </c:pt>
                <c:pt idx="57">
                  <c:v>5.89475E-4</c:v>
                </c:pt>
                <c:pt idx="58">
                  <c:v>5.9098899999999999E-4</c:v>
                </c:pt>
                <c:pt idx="59">
                  <c:v>5.93448E-4</c:v>
                </c:pt>
                <c:pt idx="60">
                  <c:v>5.9495800000000003E-4</c:v>
                </c:pt>
                <c:pt idx="61">
                  <c:v>5.9602199999999998E-4</c:v>
                </c:pt>
                <c:pt idx="62">
                  <c:v>5.9840100000000003E-4</c:v>
                </c:pt>
                <c:pt idx="63">
                  <c:v>6.0014900000000002E-4</c:v>
                </c:pt>
                <c:pt idx="64">
                  <c:v>6.0135400000000002E-4</c:v>
                </c:pt>
                <c:pt idx="65">
                  <c:v>6.0255300000000003E-4</c:v>
                </c:pt>
                <c:pt idx="66">
                  <c:v>6.0422899999999996E-4</c:v>
                </c:pt>
                <c:pt idx="67">
                  <c:v>6.0678000000000001E-4</c:v>
                </c:pt>
                <c:pt idx="68">
                  <c:v>3.8427300000000001E-6</c:v>
                </c:pt>
                <c:pt idx="69">
                  <c:v>3.7966799999999999E-6</c:v>
                </c:pt>
                <c:pt idx="70">
                  <c:v>3.75704E-6</c:v>
                </c:pt>
                <c:pt idx="71">
                  <c:v>3.7296799999999999E-6</c:v>
                </c:pt>
                <c:pt idx="72">
                  <c:v>3.69648E-6</c:v>
                </c:pt>
                <c:pt idx="73">
                  <c:v>3.67089E-6</c:v>
                </c:pt>
                <c:pt idx="74">
                  <c:v>3.6381899999999999E-6</c:v>
                </c:pt>
                <c:pt idx="75">
                  <c:v>3.6165099999999999E-6</c:v>
                </c:pt>
                <c:pt idx="76">
                  <c:v>3.59703E-6</c:v>
                </c:pt>
                <c:pt idx="77">
                  <c:v>3.5777699999999999E-6</c:v>
                </c:pt>
                <c:pt idx="78">
                  <c:v>5.0942399999999997E-4</c:v>
                </c:pt>
                <c:pt idx="79">
                  <c:v>5.2338500000000002E-4</c:v>
                </c:pt>
                <c:pt idx="80">
                  <c:v>5.3404400000000001E-4</c:v>
                </c:pt>
                <c:pt idx="81">
                  <c:v>5.4209500000000003E-4</c:v>
                </c:pt>
                <c:pt idx="82">
                  <c:v>5.4789200000000002E-4</c:v>
                </c:pt>
                <c:pt idx="83">
                  <c:v>5.5539399999999996E-4</c:v>
                </c:pt>
                <c:pt idx="84">
                  <c:v>5.5979399999999996E-4</c:v>
                </c:pt>
                <c:pt idx="85">
                  <c:v>5.6223799999999995E-4</c:v>
                </c:pt>
                <c:pt idx="86">
                  <c:v>5.6551699999999997E-4</c:v>
                </c:pt>
                <c:pt idx="87">
                  <c:v>5.6884800000000005E-4</c:v>
                </c:pt>
                <c:pt idx="88">
                  <c:v>5.7220299999999997E-4</c:v>
                </c:pt>
                <c:pt idx="89">
                  <c:v>5.7325099999999999E-4</c:v>
                </c:pt>
                <c:pt idx="90">
                  <c:v>5.7823399999999995E-4</c:v>
                </c:pt>
                <c:pt idx="91">
                  <c:v>5.8246000000000003E-4</c:v>
                </c:pt>
                <c:pt idx="92">
                  <c:v>5.8616799999999998E-4</c:v>
                </c:pt>
                <c:pt idx="93">
                  <c:v>5.87609E-4</c:v>
                </c:pt>
                <c:pt idx="94">
                  <c:v>5.8995499999999997E-4</c:v>
                </c:pt>
                <c:pt idx="95">
                  <c:v>5.9523499999999995E-4</c:v>
                </c:pt>
                <c:pt idx="96">
                  <c:v>5.9829000000000002E-4</c:v>
                </c:pt>
                <c:pt idx="97">
                  <c:v>5.9969799999999996E-4</c:v>
                </c:pt>
                <c:pt idx="98">
                  <c:v>6.0400199999999997E-4</c:v>
                </c:pt>
                <c:pt idx="99">
                  <c:v>6.0963399999999996E-4</c:v>
                </c:pt>
                <c:pt idx="100">
                  <c:v>6.1344199999999996E-4</c:v>
                </c:pt>
                <c:pt idx="101">
                  <c:v>6.1769500000000003E-4</c:v>
                </c:pt>
                <c:pt idx="102">
                  <c:v>6.2368899999999997E-4</c:v>
                </c:pt>
                <c:pt idx="103">
                  <c:v>6.2916100000000004E-4</c:v>
                </c:pt>
                <c:pt idx="104">
                  <c:v>6.3293900000000001E-4</c:v>
                </c:pt>
                <c:pt idx="105">
                  <c:v>6.3879300000000002E-4</c:v>
                </c:pt>
                <c:pt idx="106">
                  <c:v>6.4590899999999996E-4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D8-4D57-A491-70029CF71EF5}"/>
            </c:ext>
          </c:extLst>
        </c:ser>
        <c:ser>
          <c:idx val="3"/>
          <c:order val="3"/>
          <c:tx>
            <c:strRef>
              <c:f>'1234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D8-4D57-A491-70029CF71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61952"/>
        <c:axId val="604863200"/>
      </c:scatterChart>
      <c:valAx>
        <c:axId val="60486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63200"/>
        <c:crosses val="autoZero"/>
        <c:crossBetween val="midCat"/>
      </c:valAx>
      <c:valAx>
        <c:axId val="6048632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6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P- 24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P- 24 hpi'!$C$3:$C$116</c:f>
              <c:numCache>
                <c:formatCode>General</c:formatCode>
                <c:ptCount val="114"/>
                <c:pt idx="0">
                  <c:v>2.7827700000000001E-4</c:v>
                </c:pt>
                <c:pt idx="1">
                  <c:v>2.8272099999999999E-4</c:v>
                </c:pt>
                <c:pt idx="2">
                  <c:v>2.7398800000000002E-4</c:v>
                </c:pt>
                <c:pt idx="3">
                  <c:v>2.7154399999999997E-4</c:v>
                </c:pt>
                <c:pt idx="4">
                  <c:v>2.69177E-4</c:v>
                </c:pt>
                <c:pt idx="5">
                  <c:v>2.6552900000000003E-4</c:v>
                </c:pt>
                <c:pt idx="6">
                  <c:v>2.6177399999999999E-4</c:v>
                </c:pt>
                <c:pt idx="7">
                  <c:v>2.6724000000000002E-4</c:v>
                </c:pt>
                <c:pt idx="8">
                  <c:v>2.5750000000000002E-4</c:v>
                </c:pt>
                <c:pt idx="9">
                  <c:v>2.5676200000000001E-4</c:v>
                </c:pt>
                <c:pt idx="10">
                  <c:v>2.5493400000000001E-4</c:v>
                </c:pt>
                <c:pt idx="11">
                  <c:v>2.5256299999999997E-4</c:v>
                </c:pt>
                <c:pt idx="12">
                  <c:v>2.5013699999999999E-4</c:v>
                </c:pt>
                <c:pt idx="13">
                  <c:v>2.5091600000000001E-4</c:v>
                </c:pt>
                <c:pt idx="14">
                  <c:v>2.5018399999999997E-4</c:v>
                </c:pt>
                <c:pt idx="15">
                  <c:v>2.4809499999999999E-4</c:v>
                </c:pt>
                <c:pt idx="16">
                  <c:v>2.4738899999999999E-4</c:v>
                </c:pt>
                <c:pt idx="17">
                  <c:v>2.5196399999999997E-4</c:v>
                </c:pt>
                <c:pt idx="18">
                  <c:v>2.4874199999999998E-4</c:v>
                </c:pt>
                <c:pt idx="19">
                  <c:v>2.4767499999999999E-4</c:v>
                </c:pt>
                <c:pt idx="20">
                  <c:v>2.4877900000000002E-4</c:v>
                </c:pt>
                <c:pt idx="21">
                  <c:v>2.4687999999999999E-4</c:v>
                </c:pt>
                <c:pt idx="22">
                  <c:v>2.4585600000000003E-4</c:v>
                </c:pt>
                <c:pt idx="23">
                  <c:v>2.4472600000000001E-4</c:v>
                </c:pt>
                <c:pt idx="24">
                  <c:v>2.4168799999999999E-4</c:v>
                </c:pt>
                <c:pt idx="25">
                  <c:v>2.4424599999999999E-4</c:v>
                </c:pt>
                <c:pt idx="26">
                  <c:v>2.46557E-4</c:v>
                </c:pt>
                <c:pt idx="27">
                  <c:v>2.45042E-4</c:v>
                </c:pt>
                <c:pt idx="28">
                  <c:v>2.4493699999999998E-4</c:v>
                </c:pt>
                <c:pt idx="29">
                  <c:v>5.3650499999999997E-5</c:v>
                </c:pt>
                <c:pt idx="30">
                  <c:v>5.3242399999999997E-5</c:v>
                </c:pt>
                <c:pt idx="31">
                  <c:v>5.2640399999999998E-5</c:v>
                </c:pt>
                <c:pt idx="32">
                  <c:v>5.2349699999999998E-5</c:v>
                </c:pt>
                <c:pt idx="33">
                  <c:v>5.2025399999999998E-5</c:v>
                </c:pt>
                <c:pt idx="34">
                  <c:v>5.1739800000000002E-5</c:v>
                </c:pt>
                <c:pt idx="35">
                  <c:v>5.1564399999999997E-5</c:v>
                </c:pt>
                <c:pt idx="36">
                  <c:v>5.1416999999999999E-5</c:v>
                </c:pt>
                <c:pt idx="37">
                  <c:v>5.1242100000000002E-5</c:v>
                </c:pt>
                <c:pt idx="38">
                  <c:v>5.1087200000000001E-5</c:v>
                </c:pt>
                <c:pt idx="39">
                  <c:v>2.28042E-4</c:v>
                </c:pt>
                <c:pt idx="40">
                  <c:v>2.1587599999999999E-4</c:v>
                </c:pt>
                <c:pt idx="41">
                  <c:v>2.1133100000000001E-4</c:v>
                </c:pt>
                <c:pt idx="42">
                  <c:v>2.0362900000000001E-4</c:v>
                </c:pt>
                <c:pt idx="43">
                  <c:v>2.0031000000000001E-4</c:v>
                </c:pt>
                <c:pt idx="44">
                  <c:v>1.9698299999999999E-4</c:v>
                </c:pt>
                <c:pt idx="45">
                  <c:v>1.9476300000000001E-4</c:v>
                </c:pt>
                <c:pt idx="46">
                  <c:v>1.90891E-4</c:v>
                </c:pt>
                <c:pt idx="47">
                  <c:v>1.88882E-4</c:v>
                </c:pt>
                <c:pt idx="48">
                  <c:v>1.8904999999999999E-4</c:v>
                </c:pt>
                <c:pt idx="49">
                  <c:v>1.9473299999999999E-4</c:v>
                </c:pt>
                <c:pt idx="50">
                  <c:v>1.9052699999999999E-4</c:v>
                </c:pt>
                <c:pt idx="51">
                  <c:v>1.9091099999999999E-4</c:v>
                </c:pt>
                <c:pt idx="52">
                  <c:v>1.9056800000000001E-4</c:v>
                </c:pt>
                <c:pt idx="53">
                  <c:v>1.8989500000000001E-4</c:v>
                </c:pt>
                <c:pt idx="54">
                  <c:v>1.9259100000000001E-4</c:v>
                </c:pt>
                <c:pt idx="55">
                  <c:v>1.8914600000000001E-4</c:v>
                </c:pt>
                <c:pt idx="56">
                  <c:v>1.9212600000000001E-4</c:v>
                </c:pt>
                <c:pt idx="57">
                  <c:v>1.90731E-4</c:v>
                </c:pt>
                <c:pt idx="58">
                  <c:v>1.9120899999999999E-4</c:v>
                </c:pt>
                <c:pt idx="59">
                  <c:v>1.8939799999999999E-4</c:v>
                </c:pt>
                <c:pt idx="60">
                  <c:v>1.9073399999999999E-4</c:v>
                </c:pt>
                <c:pt idx="61">
                  <c:v>1.9060999999999999E-4</c:v>
                </c:pt>
                <c:pt idx="62">
                  <c:v>1.92256E-4</c:v>
                </c:pt>
                <c:pt idx="63">
                  <c:v>1.9130300000000001E-4</c:v>
                </c:pt>
                <c:pt idx="64">
                  <c:v>1.95179E-4</c:v>
                </c:pt>
                <c:pt idx="65">
                  <c:v>1.9822500000000001E-4</c:v>
                </c:pt>
                <c:pt idx="66">
                  <c:v>1.9470199999999999E-4</c:v>
                </c:pt>
                <c:pt idx="67">
                  <c:v>1.95016E-4</c:v>
                </c:pt>
                <c:pt idx="68">
                  <c:v>5.2206999999999997E-5</c:v>
                </c:pt>
                <c:pt idx="69">
                  <c:v>5.2233500000000001E-5</c:v>
                </c:pt>
                <c:pt idx="70">
                  <c:v>5.2069800000000001E-5</c:v>
                </c:pt>
                <c:pt idx="71">
                  <c:v>5.1912100000000001E-5</c:v>
                </c:pt>
                <c:pt idx="72">
                  <c:v>5.1878500000000001E-5</c:v>
                </c:pt>
                <c:pt idx="73">
                  <c:v>5.1817100000000002E-5</c:v>
                </c:pt>
                <c:pt idx="74">
                  <c:v>5.1773900000000002E-5</c:v>
                </c:pt>
                <c:pt idx="75">
                  <c:v>5.1700199999999997E-5</c:v>
                </c:pt>
                <c:pt idx="76">
                  <c:v>5.1671E-5</c:v>
                </c:pt>
                <c:pt idx="77">
                  <c:v>5.1583499999999998E-5</c:v>
                </c:pt>
                <c:pt idx="78">
                  <c:v>2.4265699999999999E-4</c:v>
                </c:pt>
                <c:pt idx="79">
                  <c:v>2.3207800000000001E-4</c:v>
                </c:pt>
                <c:pt idx="80">
                  <c:v>2.2484999999999999E-4</c:v>
                </c:pt>
                <c:pt idx="81">
                  <c:v>2.2204399999999999E-4</c:v>
                </c:pt>
                <c:pt idx="82">
                  <c:v>2.1897600000000001E-4</c:v>
                </c:pt>
                <c:pt idx="83">
                  <c:v>2.1489999999999999E-4</c:v>
                </c:pt>
                <c:pt idx="84">
                  <c:v>2.1221900000000001E-4</c:v>
                </c:pt>
                <c:pt idx="85">
                  <c:v>2.09583E-4</c:v>
                </c:pt>
                <c:pt idx="86">
                  <c:v>2.1020300000000001E-4</c:v>
                </c:pt>
                <c:pt idx="87">
                  <c:v>2.1099500000000001E-4</c:v>
                </c:pt>
                <c:pt idx="88">
                  <c:v>2.10254E-4</c:v>
                </c:pt>
                <c:pt idx="89">
                  <c:v>2.0988300000000001E-4</c:v>
                </c:pt>
                <c:pt idx="90">
                  <c:v>2.10266E-4</c:v>
                </c:pt>
                <c:pt idx="91">
                  <c:v>2.10929E-4</c:v>
                </c:pt>
                <c:pt idx="92">
                  <c:v>2.0982299999999999E-4</c:v>
                </c:pt>
                <c:pt idx="93">
                  <c:v>2.08147E-4</c:v>
                </c:pt>
                <c:pt idx="94">
                  <c:v>2.08703E-4</c:v>
                </c:pt>
                <c:pt idx="95">
                  <c:v>2.0973000000000001E-4</c:v>
                </c:pt>
                <c:pt idx="96">
                  <c:v>2.10464E-4</c:v>
                </c:pt>
                <c:pt idx="97">
                  <c:v>2.1179799999999999E-4</c:v>
                </c:pt>
                <c:pt idx="98">
                  <c:v>2.1230899999999999E-4</c:v>
                </c:pt>
                <c:pt idx="99">
                  <c:v>2.10686E-4</c:v>
                </c:pt>
                <c:pt idx="100">
                  <c:v>2.09345E-4</c:v>
                </c:pt>
                <c:pt idx="101">
                  <c:v>2.14346E-4</c:v>
                </c:pt>
                <c:pt idx="102">
                  <c:v>2.1445200000000001E-4</c:v>
                </c:pt>
                <c:pt idx="103">
                  <c:v>2.1528899999999999E-4</c:v>
                </c:pt>
                <c:pt idx="104">
                  <c:v>2.1685399999999999E-4</c:v>
                </c:pt>
                <c:pt idx="105">
                  <c:v>2.1696700000000001E-4</c:v>
                </c:pt>
                <c:pt idx="106">
                  <c:v>2.1692599999999999E-4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B-47F7-84BC-D4C1CD5FF1DE}"/>
            </c:ext>
          </c:extLst>
        </c:ser>
        <c:ser>
          <c:idx val="1"/>
          <c:order val="1"/>
          <c:tx>
            <c:strRef>
              <c:f>'1234 P- 24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P- 24 hpi'!$H$3:$H$124</c:f>
              <c:numCache>
                <c:formatCode>0.00E+00</c:formatCode>
                <c:ptCount val="122"/>
                <c:pt idx="0">
                  <c:v>1.27253E-4</c:v>
                </c:pt>
                <c:pt idx="1">
                  <c:v>1.2683200000000001E-4</c:v>
                </c:pt>
                <c:pt idx="2">
                  <c:v>1.2594700000000001E-4</c:v>
                </c:pt>
                <c:pt idx="3">
                  <c:v>1.25833E-4</c:v>
                </c:pt>
                <c:pt idx="4">
                  <c:v>1.2557099999999999E-4</c:v>
                </c:pt>
                <c:pt idx="5">
                  <c:v>1.25129E-4</c:v>
                </c:pt>
                <c:pt idx="6">
                  <c:v>1.2462199999999999E-4</c:v>
                </c:pt>
                <c:pt idx="7">
                  <c:v>1.24766E-4</c:v>
                </c:pt>
                <c:pt idx="8">
                  <c:v>1.2439699999999999E-4</c:v>
                </c:pt>
                <c:pt idx="9">
                  <c:v>1.2407499999999999E-4</c:v>
                </c:pt>
                <c:pt idx="10">
                  <c:v>1.2367199999999999E-4</c:v>
                </c:pt>
                <c:pt idx="11">
                  <c:v>1.2314100000000001E-4</c:v>
                </c:pt>
                <c:pt idx="12">
                  <c:v>1.2277499999999999E-4</c:v>
                </c:pt>
                <c:pt idx="13">
                  <c:v>1.22817E-4</c:v>
                </c:pt>
                <c:pt idx="14">
                  <c:v>1.2236199999999999E-4</c:v>
                </c:pt>
                <c:pt idx="15">
                  <c:v>1.21724E-4</c:v>
                </c:pt>
                <c:pt idx="16">
                  <c:v>1.2211500000000001E-4</c:v>
                </c:pt>
                <c:pt idx="17">
                  <c:v>1.21983E-4</c:v>
                </c:pt>
                <c:pt idx="18">
                  <c:v>1.21663E-4</c:v>
                </c:pt>
                <c:pt idx="19">
                  <c:v>1.21476E-4</c:v>
                </c:pt>
                <c:pt idx="20">
                  <c:v>1.22037E-4</c:v>
                </c:pt>
                <c:pt idx="21">
                  <c:v>1.21441E-4</c:v>
                </c:pt>
                <c:pt idx="22">
                  <c:v>1.21317E-4</c:v>
                </c:pt>
                <c:pt idx="23">
                  <c:v>1.21345E-4</c:v>
                </c:pt>
                <c:pt idx="24">
                  <c:v>1.21422E-4</c:v>
                </c:pt>
                <c:pt idx="25">
                  <c:v>1.20914E-4</c:v>
                </c:pt>
                <c:pt idx="26">
                  <c:v>1.2084299999999999E-4</c:v>
                </c:pt>
                <c:pt idx="27">
                  <c:v>1.20856E-4</c:v>
                </c:pt>
                <c:pt idx="28">
                  <c:v>1.21177E-4</c:v>
                </c:pt>
                <c:pt idx="29">
                  <c:v>2.3779100000000001E-5</c:v>
                </c:pt>
                <c:pt idx="30">
                  <c:v>2.3256099999999999E-5</c:v>
                </c:pt>
                <c:pt idx="31">
                  <c:v>2.2861899999999999E-5</c:v>
                </c:pt>
                <c:pt idx="32">
                  <c:v>2.2600699999999999E-5</c:v>
                </c:pt>
                <c:pt idx="33">
                  <c:v>2.2396799999999999E-5</c:v>
                </c:pt>
                <c:pt idx="34">
                  <c:v>2.2203899999999999E-5</c:v>
                </c:pt>
                <c:pt idx="35">
                  <c:v>2.2074900000000001E-5</c:v>
                </c:pt>
                <c:pt idx="36">
                  <c:v>2.1959000000000001E-5</c:v>
                </c:pt>
                <c:pt idx="37">
                  <c:v>2.18458E-5</c:v>
                </c:pt>
                <c:pt idx="38">
                  <c:v>2.1749699999999999E-5</c:v>
                </c:pt>
                <c:pt idx="39">
                  <c:v>1.15346E-4</c:v>
                </c:pt>
                <c:pt idx="40">
                  <c:v>1.12569E-4</c:v>
                </c:pt>
                <c:pt idx="41">
                  <c:v>1.09196E-4</c:v>
                </c:pt>
                <c:pt idx="42">
                  <c:v>1.0684900000000001E-4</c:v>
                </c:pt>
                <c:pt idx="43">
                  <c:v>1.05747E-4</c:v>
                </c:pt>
                <c:pt idx="44">
                  <c:v>1.0496E-4</c:v>
                </c:pt>
                <c:pt idx="45">
                  <c:v>1.04724E-4</c:v>
                </c:pt>
                <c:pt idx="46">
                  <c:v>1.04314E-4</c:v>
                </c:pt>
                <c:pt idx="47">
                  <c:v>1.0438999999999999E-4</c:v>
                </c:pt>
                <c:pt idx="48">
                  <c:v>1.03917E-4</c:v>
                </c:pt>
                <c:pt idx="49">
                  <c:v>1.03874E-4</c:v>
                </c:pt>
                <c:pt idx="50">
                  <c:v>1.0257200000000001E-4</c:v>
                </c:pt>
                <c:pt idx="51">
                  <c:v>1.01922E-4</c:v>
                </c:pt>
                <c:pt idx="52">
                  <c:v>1.0215199999999999E-4</c:v>
                </c:pt>
                <c:pt idx="53">
                  <c:v>1.02872E-4</c:v>
                </c:pt>
                <c:pt idx="54">
                  <c:v>1.02823E-4</c:v>
                </c:pt>
                <c:pt idx="55">
                  <c:v>1.0283799999999999E-4</c:v>
                </c:pt>
                <c:pt idx="56">
                  <c:v>1.0271E-4</c:v>
                </c:pt>
                <c:pt idx="57">
                  <c:v>1.02711E-4</c:v>
                </c:pt>
                <c:pt idx="58">
                  <c:v>1.02223E-4</c:v>
                </c:pt>
                <c:pt idx="59">
                  <c:v>1.02049E-4</c:v>
                </c:pt>
                <c:pt idx="60">
                  <c:v>1.0206599999999999E-4</c:v>
                </c:pt>
                <c:pt idx="61">
                  <c:v>1.0225699999999999E-4</c:v>
                </c:pt>
                <c:pt idx="62">
                  <c:v>1.0234300000000001E-4</c:v>
                </c:pt>
                <c:pt idx="63">
                  <c:v>1.0252899999999999E-4</c:v>
                </c:pt>
                <c:pt idx="64">
                  <c:v>1.02742E-4</c:v>
                </c:pt>
                <c:pt idx="65">
                  <c:v>1.0268999999999999E-4</c:v>
                </c:pt>
                <c:pt idx="66">
                  <c:v>1.0252299999999999E-4</c:v>
                </c:pt>
                <c:pt idx="67">
                  <c:v>1.0327699999999999E-4</c:v>
                </c:pt>
                <c:pt idx="68">
                  <c:v>2.1384799999999999E-5</c:v>
                </c:pt>
                <c:pt idx="69">
                  <c:v>2.13048E-5</c:v>
                </c:pt>
                <c:pt idx="70">
                  <c:v>2.1212700000000001E-5</c:v>
                </c:pt>
                <c:pt idx="71">
                  <c:v>2.1145299999999999E-5</c:v>
                </c:pt>
                <c:pt idx="72">
                  <c:v>2.10826E-5</c:v>
                </c:pt>
                <c:pt idx="73">
                  <c:v>2.1036400000000001E-5</c:v>
                </c:pt>
                <c:pt idx="74">
                  <c:v>2.0994900000000001E-5</c:v>
                </c:pt>
                <c:pt idx="75">
                  <c:v>2.0951E-5</c:v>
                </c:pt>
                <c:pt idx="76">
                  <c:v>2.0914400000000001E-5</c:v>
                </c:pt>
                <c:pt idx="77">
                  <c:v>2.0873399999999999E-5</c:v>
                </c:pt>
                <c:pt idx="78">
                  <c:v>1.15573E-4</c:v>
                </c:pt>
                <c:pt idx="79">
                  <c:v>1.1285099999999999E-4</c:v>
                </c:pt>
                <c:pt idx="80">
                  <c:v>1.0921699999999999E-4</c:v>
                </c:pt>
                <c:pt idx="81">
                  <c:v>1.07162E-4</c:v>
                </c:pt>
                <c:pt idx="82">
                  <c:v>1.06161E-4</c:v>
                </c:pt>
                <c:pt idx="83">
                  <c:v>1.0626E-4</c:v>
                </c:pt>
                <c:pt idx="84">
                  <c:v>1.05925E-4</c:v>
                </c:pt>
                <c:pt idx="85">
                  <c:v>1.0567E-4</c:v>
                </c:pt>
                <c:pt idx="86">
                  <c:v>1.0610199999999999E-4</c:v>
                </c:pt>
                <c:pt idx="87">
                  <c:v>1.05034E-4</c:v>
                </c:pt>
                <c:pt idx="88">
                  <c:v>1.05265E-4</c:v>
                </c:pt>
                <c:pt idx="89">
                  <c:v>1.0482199999999999E-4</c:v>
                </c:pt>
                <c:pt idx="90">
                  <c:v>1.04038E-4</c:v>
                </c:pt>
                <c:pt idx="91">
                  <c:v>1.04301E-4</c:v>
                </c:pt>
                <c:pt idx="92">
                  <c:v>1.04769E-4</c:v>
                </c:pt>
                <c:pt idx="93">
                  <c:v>1.05228E-4</c:v>
                </c:pt>
                <c:pt idx="94">
                  <c:v>1.05022E-4</c:v>
                </c:pt>
                <c:pt idx="95">
                  <c:v>1.05247E-4</c:v>
                </c:pt>
                <c:pt idx="96">
                  <c:v>1.05376E-4</c:v>
                </c:pt>
                <c:pt idx="97">
                  <c:v>1.0477899999999999E-4</c:v>
                </c:pt>
                <c:pt idx="98">
                  <c:v>1.05046E-4</c:v>
                </c:pt>
                <c:pt idx="99">
                  <c:v>1.0511899999999999E-4</c:v>
                </c:pt>
                <c:pt idx="100">
                  <c:v>1.0576100000000001E-4</c:v>
                </c:pt>
                <c:pt idx="101">
                  <c:v>1.0555700000000001E-4</c:v>
                </c:pt>
                <c:pt idx="102">
                  <c:v>1.0653E-4</c:v>
                </c:pt>
                <c:pt idx="103">
                  <c:v>1.06098E-4</c:v>
                </c:pt>
                <c:pt idx="104">
                  <c:v>1.06718E-4</c:v>
                </c:pt>
                <c:pt idx="105">
                  <c:v>1.06714E-4</c:v>
                </c:pt>
                <c:pt idx="106">
                  <c:v>1.0683699999999999E-4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EB-47F7-84BC-D4C1CD5FF1DE}"/>
            </c:ext>
          </c:extLst>
        </c:ser>
        <c:ser>
          <c:idx val="2"/>
          <c:order val="2"/>
          <c:tx>
            <c:strRef>
              <c:f>'1234 P- 24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P- 24 hpi'!$M$3:$M$124</c:f>
              <c:numCache>
                <c:formatCode>0.00E+00</c:formatCode>
                <c:ptCount val="122"/>
                <c:pt idx="0">
                  <c:v>1.54473E-4</c:v>
                </c:pt>
                <c:pt idx="1">
                  <c:v>1.5384E-4</c:v>
                </c:pt>
                <c:pt idx="2">
                  <c:v>1.5316E-4</c:v>
                </c:pt>
                <c:pt idx="3">
                  <c:v>1.53103E-4</c:v>
                </c:pt>
                <c:pt idx="4">
                  <c:v>1.52087E-4</c:v>
                </c:pt>
                <c:pt idx="5">
                  <c:v>1.5235300000000001E-4</c:v>
                </c:pt>
                <c:pt idx="6">
                  <c:v>1.52409E-4</c:v>
                </c:pt>
                <c:pt idx="7">
                  <c:v>1.51578E-4</c:v>
                </c:pt>
                <c:pt idx="8">
                  <c:v>1.5148200000000001E-4</c:v>
                </c:pt>
                <c:pt idx="9">
                  <c:v>1.5196200000000001E-4</c:v>
                </c:pt>
                <c:pt idx="10">
                  <c:v>1.5138799999999999E-4</c:v>
                </c:pt>
                <c:pt idx="11">
                  <c:v>1.51108E-4</c:v>
                </c:pt>
                <c:pt idx="12">
                  <c:v>1.5096400000000001E-4</c:v>
                </c:pt>
                <c:pt idx="13">
                  <c:v>1.5134600000000001E-4</c:v>
                </c:pt>
                <c:pt idx="14">
                  <c:v>1.50655E-4</c:v>
                </c:pt>
                <c:pt idx="15">
                  <c:v>1.5010100000000001E-4</c:v>
                </c:pt>
                <c:pt idx="16">
                  <c:v>1.5115500000000001E-4</c:v>
                </c:pt>
                <c:pt idx="17">
                  <c:v>1.5050600000000001E-4</c:v>
                </c:pt>
                <c:pt idx="18">
                  <c:v>1.5042399999999999E-4</c:v>
                </c:pt>
                <c:pt idx="19">
                  <c:v>1.50517E-4</c:v>
                </c:pt>
                <c:pt idx="20">
                  <c:v>1.5034799999999999E-4</c:v>
                </c:pt>
                <c:pt idx="21">
                  <c:v>1.51192E-4</c:v>
                </c:pt>
                <c:pt idx="22">
                  <c:v>1.5086E-4</c:v>
                </c:pt>
                <c:pt idx="23">
                  <c:v>1.51235E-4</c:v>
                </c:pt>
                <c:pt idx="24">
                  <c:v>1.5160099999999999E-4</c:v>
                </c:pt>
                <c:pt idx="25">
                  <c:v>1.5149099999999999E-4</c:v>
                </c:pt>
                <c:pt idx="26">
                  <c:v>1.52063E-4</c:v>
                </c:pt>
                <c:pt idx="27">
                  <c:v>1.52335E-4</c:v>
                </c:pt>
                <c:pt idx="28">
                  <c:v>1.52817E-4</c:v>
                </c:pt>
                <c:pt idx="29">
                  <c:v>2.52079E-5</c:v>
                </c:pt>
                <c:pt idx="30">
                  <c:v>2.49081E-5</c:v>
                </c:pt>
                <c:pt idx="31">
                  <c:v>2.46347E-5</c:v>
                </c:pt>
                <c:pt idx="32">
                  <c:v>2.4422399999999998E-5</c:v>
                </c:pt>
                <c:pt idx="33">
                  <c:v>2.42778E-5</c:v>
                </c:pt>
                <c:pt idx="34">
                  <c:v>2.4169099999999999E-5</c:v>
                </c:pt>
                <c:pt idx="35">
                  <c:v>2.4061199999999999E-5</c:v>
                </c:pt>
                <c:pt idx="36">
                  <c:v>2.3955899999999999E-5</c:v>
                </c:pt>
                <c:pt idx="37">
                  <c:v>2.3861300000000001E-5</c:v>
                </c:pt>
                <c:pt idx="38">
                  <c:v>2.3785600000000001E-5</c:v>
                </c:pt>
                <c:pt idx="39">
                  <c:v>1.4134600000000001E-4</c:v>
                </c:pt>
                <c:pt idx="40">
                  <c:v>1.3860399999999999E-4</c:v>
                </c:pt>
                <c:pt idx="41">
                  <c:v>1.3485600000000001E-4</c:v>
                </c:pt>
                <c:pt idx="42">
                  <c:v>1.32674E-4</c:v>
                </c:pt>
                <c:pt idx="43">
                  <c:v>1.3077499999999999E-4</c:v>
                </c:pt>
                <c:pt idx="44">
                  <c:v>1.3032199999999999E-4</c:v>
                </c:pt>
                <c:pt idx="45">
                  <c:v>1.30345E-4</c:v>
                </c:pt>
                <c:pt idx="46">
                  <c:v>1.3065599999999999E-4</c:v>
                </c:pt>
                <c:pt idx="47">
                  <c:v>1.30266E-4</c:v>
                </c:pt>
                <c:pt idx="48">
                  <c:v>1.29784E-4</c:v>
                </c:pt>
                <c:pt idx="49">
                  <c:v>1.2961900000000001E-4</c:v>
                </c:pt>
                <c:pt idx="50">
                  <c:v>1.2918200000000001E-4</c:v>
                </c:pt>
                <c:pt idx="51">
                  <c:v>1.2860599999999999E-4</c:v>
                </c:pt>
                <c:pt idx="52">
                  <c:v>1.2796199999999999E-4</c:v>
                </c:pt>
                <c:pt idx="53">
                  <c:v>1.2923899999999999E-4</c:v>
                </c:pt>
                <c:pt idx="54">
                  <c:v>1.29608E-4</c:v>
                </c:pt>
                <c:pt idx="55">
                  <c:v>1.30412E-4</c:v>
                </c:pt>
                <c:pt idx="56">
                  <c:v>1.3037899999999999E-4</c:v>
                </c:pt>
                <c:pt idx="57">
                  <c:v>1.3048899999999999E-4</c:v>
                </c:pt>
                <c:pt idx="58">
                  <c:v>1.29751E-4</c:v>
                </c:pt>
                <c:pt idx="59">
                  <c:v>1.2986399999999999E-4</c:v>
                </c:pt>
                <c:pt idx="60">
                  <c:v>1.3029E-4</c:v>
                </c:pt>
                <c:pt idx="61">
                  <c:v>1.3108E-4</c:v>
                </c:pt>
                <c:pt idx="62">
                  <c:v>1.3151699999999999E-4</c:v>
                </c:pt>
                <c:pt idx="63">
                  <c:v>1.3204499999999999E-4</c:v>
                </c:pt>
                <c:pt idx="64">
                  <c:v>1.3271499999999999E-4</c:v>
                </c:pt>
                <c:pt idx="65">
                  <c:v>1.33759E-4</c:v>
                </c:pt>
                <c:pt idx="66">
                  <c:v>1.33738E-4</c:v>
                </c:pt>
                <c:pt idx="67">
                  <c:v>1.3383899999999999E-4</c:v>
                </c:pt>
                <c:pt idx="68">
                  <c:v>2.3366999999999998E-5</c:v>
                </c:pt>
                <c:pt idx="69">
                  <c:v>2.3290199999999999E-5</c:v>
                </c:pt>
                <c:pt idx="70">
                  <c:v>2.3222199999999999E-5</c:v>
                </c:pt>
                <c:pt idx="71">
                  <c:v>2.31809E-5</c:v>
                </c:pt>
                <c:pt idx="72">
                  <c:v>2.3123299999999999E-5</c:v>
                </c:pt>
                <c:pt idx="73">
                  <c:v>2.3073599999999999E-5</c:v>
                </c:pt>
                <c:pt idx="74">
                  <c:v>2.2987099999999999E-5</c:v>
                </c:pt>
                <c:pt idx="75">
                  <c:v>2.2942199999999999E-5</c:v>
                </c:pt>
                <c:pt idx="76">
                  <c:v>2.2920799999999999E-5</c:v>
                </c:pt>
                <c:pt idx="77">
                  <c:v>2.2902900000000001E-5</c:v>
                </c:pt>
                <c:pt idx="78">
                  <c:v>1.43399E-4</c:v>
                </c:pt>
                <c:pt idx="79">
                  <c:v>1.4122700000000001E-4</c:v>
                </c:pt>
                <c:pt idx="80">
                  <c:v>1.37033E-4</c:v>
                </c:pt>
                <c:pt idx="81">
                  <c:v>1.3478000000000001E-4</c:v>
                </c:pt>
                <c:pt idx="82">
                  <c:v>1.3403699999999999E-4</c:v>
                </c:pt>
                <c:pt idx="83">
                  <c:v>1.3424899999999999E-4</c:v>
                </c:pt>
                <c:pt idx="84">
                  <c:v>1.3468700000000001E-4</c:v>
                </c:pt>
                <c:pt idx="85">
                  <c:v>1.3609399999999999E-4</c:v>
                </c:pt>
                <c:pt idx="86">
                  <c:v>1.3712699999999999E-4</c:v>
                </c:pt>
                <c:pt idx="87">
                  <c:v>1.36771E-4</c:v>
                </c:pt>
                <c:pt idx="88">
                  <c:v>1.36389E-4</c:v>
                </c:pt>
                <c:pt idx="89">
                  <c:v>1.36802E-4</c:v>
                </c:pt>
                <c:pt idx="90">
                  <c:v>1.3597300000000001E-4</c:v>
                </c:pt>
                <c:pt idx="91">
                  <c:v>1.3603399999999999E-4</c:v>
                </c:pt>
                <c:pt idx="92">
                  <c:v>1.3771000000000001E-4</c:v>
                </c:pt>
                <c:pt idx="93">
                  <c:v>1.3926800000000001E-4</c:v>
                </c:pt>
                <c:pt idx="94">
                  <c:v>1.41006E-4</c:v>
                </c:pt>
                <c:pt idx="95">
                  <c:v>1.40195E-4</c:v>
                </c:pt>
                <c:pt idx="96">
                  <c:v>1.40791E-4</c:v>
                </c:pt>
                <c:pt idx="97">
                  <c:v>1.4147000000000001E-4</c:v>
                </c:pt>
                <c:pt idx="98">
                  <c:v>1.4161100000000001E-4</c:v>
                </c:pt>
                <c:pt idx="99">
                  <c:v>1.41383E-4</c:v>
                </c:pt>
                <c:pt idx="100">
                  <c:v>1.4201900000000001E-4</c:v>
                </c:pt>
                <c:pt idx="101">
                  <c:v>1.4341399999999999E-4</c:v>
                </c:pt>
                <c:pt idx="102">
                  <c:v>1.4418100000000001E-4</c:v>
                </c:pt>
                <c:pt idx="103">
                  <c:v>1.4452000000000001E-4</c:v>
                </c:pt>
                <c:pt idx="104">
                  <c:v>1.4594900000000001E-4</c:v>
                </c:pt>
                <c:pt idx="105">
                  <c:v>1.4645399999999999E-4</c:v>
                </c:pt>
                <c:pt idx="106">
                  <c:v>1.4680300000000001E-4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EB-47F7-84BC-D4C1CD5FF1DE}"/>
            </c:ext>
          </c:extLst>
        </c:ser>
        <c:ser>
          <c:idx val="3"/>
          <c:order val="3"/>
          <c:tx>
            <c:strRef>
              <c:f>'1234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EB-47F7-84BC-D4C1CD5FF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933040"/>
        <c:axId val="1137930960"/>
      </c:scatterChart>
      <c:valAx>
        <c:axId val="11379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0960"/>
        <c:crosses val="autoZero"/>
        <c:crossBetween val="midCat"/>
      </c:valAx>
      <c:valAx>
        <c:axId val="11379309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P+ 24 hpi'!$Q$1:$Q$2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P+ 24 hpi'!$Q$3:$Q$132</c:f>
              <c:numCache>
                <c:formatCode>General</c:formatCode>
                <c:ptCount val="130"/>
                <c:pt idx="0">
                  <c:v>9.1700299999999992E-3</c:v>
                </c:pt>
                <c:pt idx="1">
                  <c:v>9.2079899999999992E-3</c:v>
                </c:pt>
                <c:pt idx="2">
                  <c:v>9.2351199999999994E-3</c:v>
                </c:pt>
                <c:pt idx="3">
                  <c:v>9.2612900000000001E-3</c:v>
                </c:pt>
                <c:pt idx="4">
                  <c:v>9.2872300000000005E-3</c:v>
                </c:pt>
                <c:pt idx="5">
                  <c:v>9.3092499999999998E-3</c:v>
                </c:pt>
                <c:pt idx="6">
                  <c:v>9.3253499999999996E-3</c:v>
                </c:pt>
                <c:pt idx="7">
                  <c:v>9.3390999999999995E-3</c:v>
                </c:pt>
                <c:pt idx="8">
                  <c:v>9.3541400000000004E-3</c:v>
                </c:pt>
                <c:pt idx="9">
                  <c:v>9.3671399999999995E-3</c:v>
                </c:pt>
                <c:pt idx="10">
                  <c:v>9.4013599999999992E-3</c:v>
                </c:pt>
                <c:pt idx="11">
                  <c:v>9.3961500000000007E-3</c:v>
                </c:pt>
                <c:pt idx="12">
                  <c:v>9.4093900000000001E-3</c:v>
                </c:pt>
                <c:pt idx="13">
                  <c:v>9.4185499999999995E-3</c:v>
                </c:pt>
                <c:pt idx="14">
                  <c:v>9.4337299999999995E-3</c:v>
                </c:pt>
                <c:pt idx="15">
                  <c:v>9.4475199999999992E-3</c:v>
                </c:pt>
                <c:pt idx="16">
                  <c:v>9.4596599999999999E-3</c:v>
                </c:pt>
                <c:pt idx="17">
                  <c:v>9.4699499999999995E-3</c:v>
                </c:pt>
                <c:pt idx="18">
                  <c:v>9.4842899999999994E-3</c:v>
                </c:pt>
                <c:pt idx="19">
                  <c:v>9.4955999999999999E-3</c:v>
                </c:pt>
                <c:pt idx="20">
                  <c:v>9.5055999999999995E-3</c:v>
                </c:pt>
                <c:pt idx="21">
                  <c:v>9.5188800000000004E-3</c:v>
                </c:pt>
                <c:pt idx="22">
                  <c:v>9.5281600000000008E-3</c:v>
                </c:pt>
                <c:pt idx="23">
                  <c:v>9.5415900000000008E-3</c:v>
                </c:pt>
                <c:pt idx="24">
                  <c:v>9.5528899999999996E-3</c:v>
                </c:pt>
                <c:pt idx="25">
                  <c:v>9.5660599999999995E-3</c:v>
                </c:pt>
                <c:pt idx="26">
                  <c:v>9.5780899999999992E-3</c:v>
                </c:pt>
                <c:pt idx="27">
                  <c:v>9.5965200000000007E-3</c:v>
                </c:pt>
                <c:pt idx="28">
                  <c:v>9.6044300000000006E-3</c:v>
                </c:pt>
                <c:pt idx="29">
                  <c:v>5.5746699999999998E-6</c:v>
                </c:pt>
                <c:pt idx="30">
                  <c:v>5.5821299999999999E-6</c:v>
                </c:pt>
                <c:pt idx="31">
                  <c:v>5.55007E-6</c:v>
                </c:pt>
                <c:pt idx="32">
                  <c:v>5.5126200000000001E-6</c:v>
                </c:pt>
                <c:pt idx="33">
                  <c:v>5.5434600000000001E-6</c:v>
                </c:pt>
                <c:pt idx="34">
                  <c:v>5.6305700000000004E-6</c:v>
                </c:pt>
                <c:pt idx="35">
                  <c:v>5.5120400000000002E-6</c:v>
                </c:pt>
                <c:pt idx="36">
                  <c:v>5.6186699999999997E-6</c:v>
                </c:pt>
                <c:pt idx="37">
                  <c:v>5.6888800000000002E-6</c:v>
                </c:pt>
                <c:pt idx="38">
                  <c:v>5.6763600000000001E-6</c:v>
                </c:pt>
                <c:pt idx="39">
                  <c:v>5.5480199999999999E-3</c:v>
                </c:pt>
                <c:pt idx="40">
                  <c:v>5.68002E-3</c:v>
                </c:pt>
                <c:pt idx="41">
                  <c:v>5.7608499999999997E-3</c:v>
                </c:pt>
                <c:pt idx="42">
                  <c:v>5.8275100000000002E-3</c:v>
                </c:pt>
                <c:pt idx="43">
                  <c:v>5.8853600000000001E-3</c:v>
                </c:pt>
                <c:pt idx="44">
                  <c:v>5.9390099999999998E-3</c:v>
                </c:pt>
                <c:pt idx="45">
                  <c:v>5.9849999999999999E-3</c:v>
                </c:pt>
                <c:pt idx="46">
                  <c:v>6.0246099999999997E-3</c:v>
                </c:pt>
                <c:pt idx="47">
                  <c:v>6.06647E-3</c:v>
                </c:pt>
                <c:pt idx="48">
                  <c:v>6.1004900000000001E-3</c:v>
                </c:pt>
                <c:pt idx="49">
                  <c:v>6.1349300000000002E-3</c:v>
                </c:pt>
                <c:pt idx="50">
                  <c:v>6.1703000000000001E-3</c:v>
                </c:pt>
                <c:pt idx="51">
                  <c:v>6.1981800000000002E-3</c:v>
                </c:pt>
                <c:pt idx="52">
                  <c:v>6.2370699999999999E-3</c:v>
                </c:pt>
                <c:pt idx="53">
                  <c:v>6.2669700000000002E-3</c:v>
                </c:pt>
                <c:pt idx="54">
                  <c:v>6.2955499999999996E-3</c:v>
                </c:pt>
                <c:pt idx="55">
                  <c:v>6.3331500000000001E-3</c:v>
                </c:pt>
                <c:pt idx="56">
                  <c:v>6.3624600000000003E-3</c:v>
                </c:pt>
                <c:pt idx="57">
                  <c:v>6.3825399999999999E-3</c:v>
                </c:pt>
                <c:pt idx="58">
                  <c:v>6.4209000000000002E-3</c:v>
                </c:pt>
                <c:pt idx="59">
                  <c:v>6.4533699999999999E-3</c:v>
                </c:pt>
                <c:pt idx="60">
                  <c:v>6.4394300000000003E-3</c:v>
                </c:pt>
                <c:pt idx="61">
                  <c:v>6.4807199999999997E-3</c:v>
                </c:pt>
                <c:pt idx="62">
                  <c:v>6.5135699999999998E-3</c:v>
                </c:pt>
                <c:pt idx="63">
                  <c:v>6.5477299999999999E-3</c:v>
                </c:pt>
                <c:pt idx="64">
                  <c:v>6.58436E-3</c:v>
                </c:pt>
                <c:pt idx="65">
                  <c:v>6.6203499999999997E-3</c:v>
                </c:pt>
                <c:pt idx="66">
                  <c:v>6.6485600000000004E-3</c:v>
                </c:pt>
                <c:pt idx="67">
                  <c:v>6.6865300000000004E-3</c:v>
                </c:pt>
                <c:pt idx="68">
                  <c:v>6.7717900000000003E-6</c:v>
                </c:pt>
                <c:pt idx="69">
                  <c:v>6.5958700000000003E-6</c:v>
                </c:pt>
                <c:pt idx="70">
                  <c:v>6.6440500000000004E-6</c:v>
                </c:pt>
                <c:pt idx="71">
                  <c:v>6.4255800000000002E-6</c:v>
                </c:pt>
                <c:pt idx="72">
                  <c:v>6.5550799999999996E-6</c:v>
                </c:pt>
                <c:pt idx="73">
                  <c:v>6.61444E-6</c:v>
                </c:pt>
                <c:pt idx="74">
                  <c:v>6.6032900000000001E-6</c:v>
                </c:pt>
                <c:pt idx="75">
                  <c:v>6.6609500000000002E-6</c:v>
                </c:pt>
                <c:pt idx="76">
                  <c:v>6.7984E-6</c:v>
                </c:pt>
                <c:pt idx="77">
                  <c:v>6.7344100000000001E-6</c:v>
                </c:pt>
                <c:pt idx="78">
                  <c:v>5.2126200000000003E-3</c:v>
                </c:pt>
                <c:pt idx="79">
                  <c:v>5.3314499999999997E-3</c:v>
                </c:pt>
                <c:pt idx="80">
                  <c:v>5.4016699999999999E-3</c:v>
                </c:pt>
                <c:pt idx="81">
                  <c:v>5.4695200000000003E-3</c:v>
                </c:pt>
                <c:pt idx="82">
                  <c:v>5.51631E-3</c:v>
                </c:pt>
                <c:pt idx="83">
                  <c:v>5.5579699999999998E-3</c:v>
                </c:pt>
                <c:pt idx="84">
                  <c:v>5.6021700000000001E-3</c:v>
                </c:pt>
                <c:pt idx="85">
                  <c:v>5.6414000000000004E-3</c:v>
                </c:pt>
                <c:pt idx="86">
                  <c:v>5.6812900000000003E-3</c:v>
                </c:pt>
                <c:pt idx="87">
                  <c:v>5.7171100000000001E-3</c:v>
                </c:pt>
                <c:pt idx="88">
                  <c:v>5.7521999999999998E-3</c:v>
                </c:pt>
                <c:pt idx="89">
                  <c:v>5.7817900000000002E-3</c:v>
                </c:pt>
                <c:pt idx="90">
                  <c:v>5.8033399999999997E-3</c:v>
                </c:pt>
                <c:pt idx="91">
                  <c:v>5.8389499999999999E-3</c:v>
                </c:pt>
                <c:pt idx="92">
                  <c:v>5.8674399999999998E-3</c:v>
                </c:pt>
                <c:pt idx="93">
                  <c:v>5.8973799999999998E-3</c:v>
                </c:pt>
                <c:pt idx="94">
                  <c:v>5.9294400000000002E-3</c:v>
                </c:pt>
                <c:pt idx="95">
                  <c:v>5.9536499999999996E-3</c:v>
                </c:pt>
                <c:pt idx="96">
                  <c:v>5.9871600000000001E-3</c:v>
                </c:pt>
                <c:pt idx="97">
                  <c:v>6.0104900000000003E-3</c:v>
                </c:pt>
                <c:pt idx="98">
                  <c:v>6.0410699999999999E-3</c:v>
                </c:pt>
                <c:pt idx="99">
                  <c:v>6.06823E-3</c:v>
                </c:pt>
                <c:pt idx="100">
                  <c:v>6.0969199999999996E-3</c:v>
                </c:pt>
                <c:pt idx="101">
                  <c:v>6.1095400000000001E-3</c:v>
                </c:pt>
                <c:pt idx="102">
                  <c:v>6.1398499999999996E-3</c:v>
                </c:pt>
                <c:pt idx="103">
                  <c:v>6.1705800000000002E-3</c:v>
                </c:pt>
                <c:pt idx="104">
                  <c:v>6.1991399999999997E-3</c:v>
                </c:pt>
                <c:pt idx="105">
                  <c:v>6.2239799999999996E-3</c:v>
                </c:pt>
                <c:pt idx="106">
                  <c:v>6.2475899999999999E-3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B-4955-80F6-B7C58720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876272"/>
        <c:axId val="2047713872"/>
      </c:scatterChart>
      <c:valAx>
        <c:axId val="204687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13872"/>
        <c:crosses val="autoZero"/>
        <c:crossBetween val="midCat"/>
      </c:valAx>
      <c:valAx>
        <c:axId val="20477138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7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P+ 24 hpi'!$R$1:$R$2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P+ 24 hpi'!$R$3:$R$132</c:f>
              <c:numCache>
                <c:formatCode>General</c:formatCode>
                <c:ptCount val="130"/>
                <c:pt idx="0">
                  <c:v>1.1245300000000001E-3</c:v>
                </c:pt>
                <c:pt idx="1">
                  <c:v>1.09516E-3</c:v>
                </c:pt>
                <c:pt idx="2">
                  <c:v>1.07884E-3</c:v>
                </c:pt>
                <c:pt idx="3">
                  <c:v>1.0650499999999999E-3</c:v>
                </c:pt>
                <c:pt idx="4">
                  <c:v>1.05367E-3</c:v>
                </c:pt>
                <c:pt idx="5">
                  <c:v>1.04448E-3</c:v>
                </c:pt>
                <c:pt idx="6">
                  <c:v>1.03714E-3</c:v>
                </c:pt>
                <c:pt idx="7">
                  <c:v>1.0309E-3</c:v>
                </c:pt>
                <c:pt idx="8">
                  <c:v>1.0202799999999999E-3</c:v>
                </c:pt>
                <c:pt idx="9">
                  <c:v>1.01869E-3</c:v>
                </c:pt>
                <c:pt idx="10">
                  <c:v>1.0141900000000001E-3</c:v>
                </c:pt>
                <c:pt idx="11">
                  <c:v>1.0085000000000001E-3</c:v>
                </c:pt>
                <c:pt idx="12">
                  <c:v>1.0026200000000001E-3</c:v>
                </c:pt>
                <c:pt idx="13">
                  <c:v>1.0013699999999999E-3</c:v>
                </c:pt>
                <c:pt idx="14">
                  <c:v>9.9667000000000006E-4</c:v>
                </c:pt>
                <c:pt idx="15">
                  <c:v>9.955840000000001E-4</c:v>
                </c:pt>
                <c:pt idx="16">
                  <c:v>9.8947399999999995E-4</c:v>
                </c:pt>
                <c:pt idx="17">
                  <c:v>9.9066400000000004E-4</c:v>
                </c:pt>
                <c:pt idx="18">
                  <c:v>9.892849999999999E-4</c:v>
                </c:pt>
                <c:pt idx="19">
                  <c:v>9.8852100000000002E-4</c:v>
                </c:pt>
                <c:pt idx="20">
                  <c:v>9.8804699999999993E-4</c:v>
                </c:pt>
                <c:pt idx="21">
                  <c:v>9.8457899999999997E-4</c:v>
                </c:pt>
                <c:pt idx="22">
                  <c:v>9.8292200000000001E-4</c:v>
                </c:pt>
                <c:pt idx="23">
                  <c:v>9.80236E-4</c:v>
                </c:pt>
                <c:pt idx="24">
                  <c:v>9.8136899999999995E-4</c:v>
                </c:pt>
                <c:pt idx="25">
                  <c:v>9.7929000000000006E-4</c:v>
                </c:pt>
                <c:pt idx="26">
                  <c:v>9.8076400000000007E-4</c:v>
                </c:pt>
                <c:pt idx="27">
                  <c:v>9.8379000000000001E-4</c:v>
                </c:pt>
                <c:pt idx="28">
                  <c:v>9.8114699999999992E-4</c:v>
                </c:pt>
                <c:pt idx="29">
                  <c:v>1.09671E-4</c:v>
                </c:pt>
                <c:pt idx="30">
                  <c:v>1.08631E-4</c:v>
                </c:pt>
                <c:pt idx="31">
                  <c:v>1.07271E-4</c:v>
                </c:pt>
                <c:pt idx="32">
                  <c:v>1.06457E-4</c:v>
                </c:pt>
                <c:pt idx="33">
                  <c:v>1.05864E-4</c:v>
                </c:pt>
                <c:pt idx="34">
                  <c:v>1.05246E-4</c:v>
                </c:pt>
                <c:pt idx="35">
                  <c:v>1.04418E-4</c:v>
                </c:pt>
                <c:pt idx="36">
                  <c:v>1.04293E-4</c:v>
                </c:pt>
                <c:pt idx="37">
                  <c:v>1.03992E-4</c:v>
                </c:pt>
                <c:pt idx="38">
                  <c:v>1.03392E-4</c:v>
                </c:pt>
                <c:pt idx="39">
                  <c:v>8.4899300000000003E-4</c:v>
                </c:pt>
                <c:pt idx="40">
                  <c:v>8.1171800000000001E-4</c:v>
                </c:pt>
                <c:pt idx="41">
                  <c:v>7.9270499999999999E-4</c:v>
                </c:pt>
                <c:pt idx="42">
                  <c:v>7.8001600000000002E-4</c:v>
                </c:pt>
                <c:pt idx="43">
                  <c:v>7.6999700000000002E-4</c:v>
                </c:pt>
                <c:pt idx="44">
                  <c:v>7.62621E-4</c:v>
                </c:pt>
                <c:pt idx="45">
                  <c:v>7.5489600000000002E-4</c:v>
                </c:pt>
                <c:pt idx="46">
                  <c:v>7.4906099999999998E-4</c:v>
                </c:pt>
                <c:pt idx="47">
                  <c:v>7.4749199999999999E-4</c:v>
                </c:pt>
                <c:pt idx="48">
                  <c:v>7.4517599999999995E-4</c:v>
                </c:pt>
                <c:pt idx="49">
                  <c:v>7.4368999999999998E-4</c:v>
                </c:pt>
                <c:pt idx="50">
                  <c:v>7.4127899999999996E-4</c:v>
                </c:pt>
                <c:pt idx="51">
                  <c:v>7.3870900000000005E-4</c:v>
                </c:pt>
                <c:pt idx="52">
                  <c:v>7.3679599999999996E-4</c:v>
                </c:pt>
                <c:pt idx="53">
                  <c:v>7.3893899999999998E-4</c:v>
                </c:pt>
                <c:pt idx="54">
                  <c:v>7.3832300000000004E-4</c:v>
                </c:pt>
                <c:pt idx="55">
                  <c:v>7.3824700000000004E-4</c:v>
                </c:pt>
                <c:pt idx="56">
                  <c:v>7.4008699999999995E-4</c:v>
                </c:pt>
                <c:pt idx="57">
                  <c:v>7.4069800000000003E-4</c:v>
                </c:pt>
                <c:pt idx="58">
                  <c:v>7.3996499999999998E-4</c:v>
                </c:pt>
                <c:pt idx="59">
                  <c:v>7.4271899999999997E-4</c:v>
                </c:pt>
                <c:pt idx="60">
                  <c:v>7.58627E-4</c:v>
                </c:pt>
                <c:pt idx="61">
                  <c:v>7.4956000000000003E-4</c:v>
                </c:pt>
                <c:pt idx="62">
                  <c:v>7.5195500000000001E-4</c:v>
                </c:pt>
                <c:pt idx="63">
                  <c:v>7.5206700000000003E-4</c:v>
                </c:pt>
                <c:pt idx="64">
                  <c:v>7.52223E-4</c:v>
                </c:pt>
                <c:pt idx="65">
                  <c:v>7.5296300000000005E-4</c:v>
                </c:pt>
                <c:pt idx="66">
                  <c:v>7.56093E-4</c:v>
                </c:pt>
                <c:pt idx="67">
                  <c:v>7.56775E-4</c:v>
                </c:pt>
                <c:pt idx="68">
                  <c:v>1.07705E-4</c:v>
                </c:pt>
                <c:pt idx="69">
                  <c:v>1.08118E-4</c:v>
                </c:pt>
                <c:pt idx="70">
                  <c:v>1.07409E-4</c:v>
                </c:pt>
                <c:pt idx="71">
                  <c:v>1.06337E-4</c:v>
                </c:pt>
                <c:pt idx="72">
                  <c:v>1.0592899999999999E-4</c:v>
                </c:pt>
                <c:pt idx="73">
                  <c:v>1.0547700000000001E-4</c:v>
                </c:pt>
                <c:pt idx="74">
                  <c:v>1.05028E-4</c:v>
                </c:pt>
                <c:pt idx="75">
                  <c:v>1.04802E-4</c:v>
                </c:pt>
                <c:pt idx="76">
                  <c:v>1.04417E-4</c:v>
                </c:pt>
                <c:pt idx="77">
                  <c:v>1.03984E-4</c:v>
                </c:pt>
                <c:pt idx="78">
                  <c:v>8.1124799999999998E-4</c:v>
                </c:pt>
                <c:pt idx="79">
                  <c:v>7.7975099999999997E-4</c:v>
                </c:pt>
                <c:pt idx="80">
                  <c:v>7.6178499999999996E-4</c:v>
                </c:pt>
                <c:pt idx="81">
                  <c:v>7.5451399999999997E-4</c:v>
                </c:pt>
                <c:pt idx="82">
                  <c:v>7.4477600000000005E-4</c:v>
                </c:pt>
                <c:pt idx="83">
                  <c:v>7.3750599999999997E-4</c:v>
                </c:pt>
                <c:pt idx="84">
                  <c:v>7.3061600000000001E-4</c:v>
                </c:pt>
                <c:pt idx="85">
                  <c:v>7.2526899999999996E-4</c:v>
                </c:pt>
                <c:pt idx="86">
                  <c:v>7.2050499999999997E-4</c:v>
                </c:pt>
                <c:pt idx="87">
                  <c:v>7.0750800000000003E-4</c:v>
                </c:pt>
                <c:pt idx="88">
                  <c:v>7.1864599999999998E-4</c:v>
                </c:pt>
                <c:pt idx="89">
                  <c:v>7.1881799999999997E-4</c:v>
                </c:pt>
                <c:pt idx="90">
                  <c:v>7.17346E-4</c:v>
                </c:pt>
                <c:pt idx="91">
                  <c:v>7.1699399999999999E-4</c:v>
                </c:pt>
                <c:pt idx="92">
                  <c:v>7.1624899999999997E-4</c:v>
                </c:pt>
                <c:pt idx="93">
                  <c:v>7.1573999999999997E-4</c:v>
                </c:pt>
                <c:pt idx="94">
                  <c:v>7.1700900000000001E-4</c:v>
                </c:pt>
                <c:pt idx="95">
                  <c:v>7.1621599999999999E-4</c:v>
                </c:pt>
                <c:pt idx="96">
                  <c:v>7.1573199999999996E-4</c:v>
                </c:pt>
                <c:pt idx="97">
                  <c:v>7.1459500000000005E-4</c:v>
                </c:pt>
                <c:pt idx="98">
                  <c:v>7.1797099999999997E-4</c:v>
                </c:pt>
                <c:pt idx="99">
                  <c:v>7.1898299999999997E-4</c:v>
                </c:pt>
                <c:pt idx="100">
                  <c:v>7.1967099999999996E-4</c:v>
                </c:pt>
                <c:pt idx="101">
                  <c:v>7.2610100000000005E-4</c:v>
                </c:pt>
                <c:pt idx="102">
                  <c:v>7.2016099999999998E-4</c:v>
                </c:pt>
                <c:pt idx="103">
                  <c:v>7.2362200000000005E-4</c:v>
                </c:pt>
                <c:pt idx="104">
                  <c:v>7.2967300000000002E-4</c:v>
                </c:pt>
                <c:pt idx="105">
                  <c:v>7.2880700000000004E-4</c:v>
                </c:pt>
                <c:pt idx="106">
                  <c:v>7.2679099999999996E-4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67-4C0E-B855-25F52F35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995664"/>
        <c:axId val="27980975"/>
      </c:scatterChart>
      <c:valAx>
        <c:axId val="203599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0975"/>
        <c:crosses val="autoZero"/>
        <c:crossBetween val="midCat"/>
      </c:valAx>
      <c:valAx>
        <c:axId val="279809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99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P+ 24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P+ 24 hpi'!$B$3:$B$116</c:f>
              <c:numCache>
                <c:formatCode>General</c:formatCode>
                <c:ptCount val="114"/>
                <c:pt idx="0">
                  <c:v>9.1700299999999992E-3</c:v>
                </c:pt>
                <c:pt idx="1">
                  <c:v>9.2079899999999992E-3</c:v>
                </c:pt>
                <c:pt idx="2">
                  <c:v>9.2351199999999994E-3</c:v>
                </c:pt>
                <c:pt idx="3">
                  <c:v>9.2612900000000001E-3</c:v>
                </c:pt>
                <c:pt idx="4">
                  <c:v>9.2872300000000005E-3</c:v>
                </c:pt>
                <c:pt idx="5">
                  <c:v>9.3092499999999998E-3</c:v>
                </c:pt>
                <c:pt idx="6">
                  <c:v>9.3253499999999996E-3</c:v>
                </c:pt>
                <c:pt idx="7">
                  <c:v>9.3390999999999995E-3</c:v>
                </c:pt>
                <c:pt idx="8">
                  <c:v>9.3541400000000004E-3</c:v>
                </c:pt>
                <c:pt idx="9">
                  <c:v>9.3671399999999995E-3</c:v>
                </c:pt>
                <c:pt idx="10">
                  <c:v>9.4013599999999992E-3</c:v>
                </c:pt>
                <c:pt idx="11">
                  <c:v>9.3961500000000007E-3</c:v>
                </c:pt>
                <c:pt idx="12">
                  <c:v>9.4093900000000001E-3</c:v>
                </c:pt>
                <c:pt idx="13">
                  <c:v>9.4185499999999995E-3</c:v>
                </c:pt>
                <c:pt idx="14">
                  <c:v>9.4337299999999995E-3</c:v>
                </c:pt>
                <c:pt idx="15">
                  <c:v>9.4475199999999992E-3</c:v>
                </c:pt>
                <c:pt idx="16">
                  <c:v>9.4596599999999999E-3</c:v>
                </c:pt>
                <c:pt idx="17">
                  <c:v>9.4699499999999995E-3</c:v>
                </c:pt>
                <c:pt idx="18">
                  <c:v>9.4842899999999994E-3</c:v>
                </c:pt>
                <c:pt idx="19">
                  <c:v>9.4955999999999999E-3</c:v>
                </c:pt>
                <c:pt idx="20">
                  <c:v>9.5055999999999995E-3</c:v>
                </c:pt>
                <c:pt idx="21">
                  <c:v>9.5188800000000004E-3</c:v>
                </c:pt>
                <c:pt idx="22">
                  <c:v>9.5281600000000008E-3</c:v>
                </c:pt>
                <c:pt idx="23">
                  <c:v>9.5415900000000008E-3</c:v>
                </c:pt>
                <c:pt idx="24">
                  <c:v>9.5528899999999996E-3</c:v>
                </c:pt>
                <c:pt idx="25">
                  <c:v>9.5660599999999995E-3</c:v>
                </c:pt>
                <c:pt idx="26">
                  <c:v>9.5780899999999992E-3</c:v>
                </c:pt>
                <c:pt idx="27">
                  <c:v>9.5965200000000007E-3</c:v>
                </c:pt>
                <c:pt idx="28">
                  <c:v>9.6044300000000006E-3</c:v>
                </c:pt>
                <c:pt idx="29">
                  <c:v>5.5746699999999998E-6</c:v>
                </c:pt>
                <c:pt idx="30">
                  <c:v>5.5821299999999999E-6</c:v>
                </c:pt>
                <c:pt idx="31">
                  <c:v>5.55007E-6</c:v>
                </c:pt>
                <c:pt idx="32">
                  <c:v>5.5126200000000001E-6</c:v>
                </c:pt>
                <c:pt idx="33">
                  <c:v>5.5434600000000001E-6</c:v>
                </c:pt>
                <c:pt idx="34">
                  <c:v>5.6305700000000004E-6</c:v>
                </c:pt>
                <c:pt idx="35">
                  <c:v>5.5120400000000002E-6</c:v>
                </c:pt>
                <c:pt idx="36">
                  <c:v>5.6186699999999997E-6</c:v>
                </c:pt>
                <c:pt idx="37">
                  <c:v>5.6888800000000002E-6</c:v>
                </c:pt>
                <c:pt idx="38">
                  <c:v>5.6763600000000001E-6</c:v>
                </c:pt>
                <c:pt idx="39">
                  <c:v>5.5480199999999999E-3</c:v>
                </c:pt>
                <c:pt idx="40">
                  <c:v>5.68002E-3</c:v>
                </c:pt>
                <c:pt idx="41">
                  <c:v>5.7608499999999997E-3</c:v>
                </c:pt>
                <c:pt idx="42">
                  <c:v>5.8275100000000002E-3</c:v>
                </c:pt>
                <c:pt idx="43">
                  <c:v>5.8853600000000001E-3</c:v>
                </c:pt>
                <c:pt idx="44">
                  <c:v>5.9390099999999998E-3</c:v>
                </c:pt>
                <c:pt idx="45">
                  <c:v>5.9849999999999999E-3</c:v>
                </c:pt>
                <c:pt idx="46">
                  <c:v>6.0246099999999997E-3</c:v>
                </c:pt>
                <c:pt idx="47">
                  <c:v>6.06647E-3</c:v>
                </c:pt>
                <c:pt idx="48">
                  <c:v>6.1004900000000001E-3</c:v>
                </c:pt>
                <c:pt idx="49">
                  <c:v>6.1349300000000002E-3</c:v>
                </c:pt>
                <c:pt idx="50">
                  <c:v>6.1703000000000001E-3</c:v>
                </c:pt>
                <c:pt idx="51">
                  <c:v>6.1981800000000002E-3</c:v>
                </c:pt>
                <c:pt idx="52">
                  <c:v>6.2370699999999999E-3</c:v>
                </c:pt>
                <c:pt idx="53">
                  <c:v>6.2669700000000002E-3</c:v>
                </c:pt>
                <c:pt idx="54">
                  <c:v>6.2955499999999996E-3</c:v>
                </c:pt>
                <c:pt idx="55">
                  <c:v>6.3331500000000001E-3</c:v>
                </c:pt>
                <c:pt idx="56">
                  <c:v>6.3624600000000003E-3</c:v>
                </c:pt>
                <c:pt idx="57">
                  <c:v>6.3825399999999999E-3</c:v>
                </c:pt>
                <c:pt idx="58">
                  <c:v>6.4209000000000002E-3</c:v>
                </c:pt>
                <c:pt idx="59">
                  <c:v>6.4533699999999999E-3</c:v>
                </c:pt>
                <c:pt idx="60">
                  <c:v>6.4394300000000003E-3</c:v>
                </c:pt>
                <c:pt idx="61">
                  <c:v>6.4807199999999997E-3</c:v>
                </c:pt>
                <c:pt idx="62">
                  <c:v>6.5135699999999998E-3</c:v>
                </c:pt>
                <c:pt idx="63">
                  <c:v>6.5477299999999999E-3</c:v>
                </c:pt>
                <c:pt idx="64">
                  <c:v>6.58436E-3</c:v>
                </c:pt>
                <c:pt idx="65">
                  <c:v>6.6203499999999997E-3</c:v>
                </c:pt>
                <c:pt idx="66">
                  <c:v>6.6485600000000004E-3</c:v>
                </c:pt>
                <c:pt idx="67">
                  <c:v>6.6865300000000004E-3</c:v>
                </c:pt>
                <c:pt idx="68">
                  <c:v>6.7717900000000003E-6</c:v>
                </c:pt>
                <c:pt idx="69">
                  <c:v>6.5958700000000003E-6</c:v>
                </c:pt>
                <c:pt idx="70">
                  <c:v>6.6440500000000004E-6</c:v>
                </c:pt>
                <c:pt idx="71">
                  <c:v>6.4255800000000002E-6</c:v>
                </c:pt>
                <c:pt idx="72">
                  <c:v>6.5550799999999996E-6</c:v>
                </c:pt>
                <c:pt idx="73">
                  <c:v>6.61444E-6</c:v>
                </c:pt>
                <c:pt idx="74">
                  <c:v>6.6032900000000001E-6</c:v>
                </c:pt>
                <c:pt idx="75">
                  <c:v>6.6609500000000002E-6</c:v>
                </c:pt>
                <c:pt idx="76">
                  <c:v>6.7984E-6</c:v>
                </c:pt>
                <c:pt idx="77">
                  <c:v>6.7344100000000001E-6</c:v>
                </c:pt>
                <c:pt idx="78">
                  <c:v>5.2126200000000003E-3</c:v>
                </c:pt>
                <c:pt idx="79">
                  <c:v>5.3314499999999997E-3</c:v>
                </c:pt>
                <c:pt idx="80">
                  <c:v>5.4016699999999999E-3</c:v>
                </c:pt>
                <c:pt idx="81">
                  <c:v>5.4695200000000003E-3</c:v>
                </c:pt>
                <c:pt idx="82">
                  <c:v>5.51631E-3</c:v>
                </c:pt>
                <c:pt idx="83">
                  <c:v>5.5579699999999998E-3</c:v>
                </c:pt>
                <c:pt idx="84">
                  <c:v>5.6021700000000001E-3</c:v>
                </c:pt>
                <c:pt idx="85">
                  <c:v>5.6414000000000004E-3</c:v>
                </c:pt>
                <c:pt idx="86">
                  <c:v>5.6812900000000003E-3</c:v>
                </c:pt>
                <c:pt idx="87">
                  <c:v>5.7171100000000001E-3</c:v>
                </c:pt>
                <c:pt idx="88">
                  <c:v>5.7521999999999998E-3</c:v>
                </c:pt>
                <c:pt idx="89">
                  <c:v>5.7817900000000002E-3</c:v>
                </c:pt>
                <c:pt idx="90">
                  <c:v>5.8033399999999997E-3</c:v>
                </c:pt>
                <c:pt idx="91">
                  <c:v>5.8389499999999999E-3</c:v>
                </c:pt>
                <c:pt idx="92">
                  <c:v>5.8674399999999998E-3</c:v>
                </c:pt>
                <c:pt idx="93">
                  <c:v>5.8973799999999998E-3</c:v>
                </c:pt>
                <c:pt idx="94">
                  <c:v>5.9294400000000002E-3</c:v>
                </c:pt>
                <c:pt idx="95">
                  <c:v>5.9536499999999996E-3</c:v>
                </c:pt>
                <c:pt idx="96">
                  <c:v>5.9871600000000001E-3</c:v>
                </c:pt>
                <c:pt idx="97">
                  <c:v>6.0104900000000003E-3</c:v>
                </c:pt>
                <c:pt idx="98">
                  <c:v>6.0410699999999999E-3</c:v>
                </c:pt>
                <c:pt idx="99">
                  <c:v>6.06823E-3</c:v>
                </c:pt>
                <c:pt idx="100">
                  <c:v>6.0969199999999996E-3</c:v>
                </c:pt>
                <c:pt idx="101">
                  <c:v>6.1095400000000001E-3</c:v>
                </c:pt>
                <c:pt idx="102">
                  <c:v>6.1398499999999996E-3</c:v>
                </c:pt>
                <c:pt idx="103">
                  <c:v>6.1705800000000002E-3</c:v>
                </c:pt>
                <c:pt idx="104">
                  <c:v>6.1991399999999997E-3</c:v>
                </c:pt>
                <c:pt idx="105">
                  <c:v>6.2239799999999996E-3</c:v>
                </c:pt>
                <c:pt idx="106">
                  <c:v>6.2475899999999999E-3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2-479E-9119-DDAF52582E1A}"/>
            </c:ext>
          </c:extLst>
        </c:ser>
        <c:ser>
          <c:idx val="1"/>
          <c:order val="1"/>
          <c:tx>
            <c:strRef>
              <c:f>'1234 P+ 24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P+ 24 hpi'!$G$3:$G$132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02-479E-9119-DDAF52582E1A}"/>
            </c:ext>
          </c:extLst>
        </c:ser>
        <c:ser>
          <c:idx val="2"/>
          <c:order val="2"/>
          <c:tx>
            <c:strRef>
              <c:f>'1234 P+ 24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P+ 24 hpi'!$L$3:$L$132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02-479E-9119-DDAF52582E1A}"/>
            </c:ext>
          </c:extLst>
        </c:ser>
        <c:ser>
          <c:idx val="3"/>
          <c:order val="3"/>
          <c:tx>
            <c:strRef>
              <c:f>'1234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02-479E-9119-DDAF52582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61952"/>
        <c:axId val="604863200"/>
      </c:scatterChart>
      <c:valAx>
        <c:axId val="60486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63200"/>
        <c:crosses val="autoZero"/>
        <c:crossBetween val="midCat"/>
      </c:valAx>
      <c:valAx>
        <c:axId val="6048632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6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'1234 P+ 24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P+ 24 hpi'!$C$3:$C$116</c:f>
              <c:numCache>
                <c:formatCode>General</c:formatCode>
                <c:ptCount val="114"/>
                <c:pt idx="0">
                  <c:v>1.1245300000000001E-3</c:v>
                </c:pt>
                <c:pt idx="1">
                  <c:v>1.09516E-3</c:v>
                </c:pt>
                <c:pt idx="2">
                  <c:v>1.07884E-3</c:v>
                </c:pt>
                <c:pt idx="3">
                  <c:v>1.0650499999999999E-3</c:v>
                </c:pt>
                <c:pt idx="4">
                  <c:v>1.05367E-3</c:v>
                </c:pt>
                <c:pt idx="5">
                  <c:v>1.04448E-3</c:v>
                </c:pt>
                <c:pt idx="6">
                  <c:v>1.03714E-3</c:v>
                </c:pt>
                <c:pt idx="7">
                  <c:v>1.0309E-3</c:v>
                </c:pt>
                <c:pt idx="8">
                  <c:v>1.0202799999999999E-3</c:v>
                </c:pt>
                <c:pt idx="9">
                  <c:v>1.01869E-3</c:v>
                </c:pt>
                <c:pt idx="10">
                  <c:v>1.0141900000000001E-3</c:v>
                </c:pt>
                <c:pt idx="11">
                  <c:v>1.0085000000000001E-3</c:v>
                </c:pt>
                <c:pt idx="12">
                  <c:v>1.0026200000000001E-3</c:v>
                </c:pt>
                <c:pt idx="13">
                  <c:v>1.0013699999999999E-3</c:v>
                </c:pt>
                <c:pt idx="14">
                  <c:v>9.9667000000000006E-4</c:v>
                </c:pt>
                <c:pt idx="15">
                  <c:v>9.955840000000001E-4</c:v>
                </c:pt>
                <c:pt idx="16">
                  <c:v>9.8947399999999995E-4</c:v>
                </c:pt>
                <c:pt idx="17">
                  <c:v>9.9066400000000004E-4</c:v>
                </c:pt>
                <c:pt idx="18">
                  <c:v>9.892849999999999E-4</c:v>
                </c:pt>
                <c:pt idx="19">
                  <c:v>9.8852100000000002E-4</c:v>
                </c:pt>
                <c:pt idx="20">
                  <c:v>9.8804699999999993E-4</c:v>
                </c:pt>
                <c:pt idx="21">
                  <c:v>9.8457899999999997E-4</c:v>
                </c:pt>
                <c:pt idx="22">
                  <c:v>9.8292200000000001E-4</c:v>
                </c:pt>
                <c:pt idx="23">
                  <c:v>9.80236E-4</c:v>
                </c:pt>
                <c:pt idx="24">
                  <c:v>9.8136899999999995E-4</c:v>
                </c:pt>
                <c:pt idx="25">
                  <c:v>9.7929000000000006E-4</c:v>
                </c:pt>
                <c:pt idx="26">
                  <c:v>9.8076400000000007E-4</c:v>
                </c:pt>
                <c:pt idx="27">
                  <c:v>9.8379000000000001E-4</c:v>
                </c:pt>
                <c:pt idx="28">
                  <c:v>9.8114699999999992E-4</c:v>
                </c:pt>
                <c:pt idx="29">
                  <c:v>1.09671E-4</c:v>
                </c:pt>
                <c:pt idx="30">
                  <c:v>1.08631E-4</c:v>
                </c:pt>
                <c:pt idx="31">
                  <c:v>1.07271E-4</c:v>
                </c:pt>
                <c:pt idx="32">
                  <c:v>1.06457E-4</c:v>
                </c:pt>
                <c:pt idx="33">
                  <c:v>1.05864E-4</c:v>
                </c:pt>
                <c:pt idx="34">
                  <c:v>1.05246E-4</c:v>
                </c:pt>
                <c:pt idx="35">
                  <c:v>1.04418E-4</c:v>
                </c:pt>
                <c:pt idx="36">
                  <c:v>1.04293E-4</c:v>
                </c:pt>
                <c:pt idx="37">
                  <c:v>1.03992E-4</c:v>
                </c:pt>
                <c:pt idx="38">
                  <c:v>1.03392E-4</c:v>
                </c:pt>
                <c:pt idx="39">
                  <c:v>8.4899300000000003E-4</c:v>
                </c:pt>
                <c:pt idx="40">
                  <c:v>8.1171800000000001E-4</c:v>
                </c:pt>
                <c:pt idx="41">
                  <c:v>7.9270499999999999E-4</c:v>
                </c:pt>
                <c:pt idx="42">
                  <c:v>7.8001600000000002E-4</c:v>
                </c:pt>
                <c:pt idx="43">
                  <c:v>7.6999700000000002E-4</c:v>
                </c:pt>
                <c:pt idx="44">
                  <c:v>7.62621E-4</c:v>
                </c:pt>
                <c:pt idx="45">
                  <c:v>7.5489600000000002E-4</c:v>
                </c:pt>
                <c:pt idx="46">
                  <c:v>7.4906099999999998E-4</c:v>
                </c:pt>
                <c:pt idx="47">
                  <c:v>7.4749199999999999E-4</c:v>
                </c:pt>
                <c:pt idx="48">
                  <c:v>7.4517599999999995E-4</c:v>
                </c:pt>
                <c:pt idx="49">
                  <c:v>7.4368999999999998E-4</c:v>
                </c:pt>
                <c:pt idx="50">
                  <c:v>7.4127899999999996E-4</c:v>
                </c:pt>
                <c:pt idx="51">
                  <c:v>7.3870900000000005E-4</c:v>
                </c:pt>
                <c:pt idx="52">
                  <c:v>7.3679599999999996E-4</c:v>
                </c:pt>
                <c:pt idx="53">
                  <c:v>7.3893899999999998E-4</c:v>
                </c:pt>
                <c:pt idx="54">
                  <c:v>7.3832300000000004E-4</c:v>
                </c:pt>
                <c:pt idx="55">
                  <c:v>7.3824700000000004E-4</c:v>
                </c:pt>
                <c:pt idx="56">
                  <c:v>7.4008699999999995E-4</c:v>
                </c:pt>
                <c:pt idx="57">
                  <c:v>7.4069800000000003E-4</c:v>
                </c:pt>
                <c:pt idx="58">
                  <c:v>7.3996499999999998E-4</c:v>
                </c:pt>
                <c:pt idx="59">
                  <c:v>7.4271899999999997E-4</c:v>
                </c:pt>
                <c:pt idx="60">
                  <c:v>7.58627E-4</c:v>
                </c:pt>
                <c:pt idx="61">
                  <c:v>7.4956000000000003E-4</c:v>
                </c:pt>
                <c:pt idx="62">
                  <c:v>7.5195500000000001E-4</c:v>
                </c:pt>
                <c:pt idx="63">
                  <c:v>7.5206700000000003E-4</c:v>
                </c:pt>
                <c:pt idx="64">
                  <c:v>7.52223E-4</c:v>
                </c:pt>
                <c:pt idx="65">
                  <c:v>7.5296300000000005E-4</c:v>
                </c:pt>
                <c:pt idx="66">
                  <c:v>7.56093E-4</c:v>
                </c:pt>
                <c:pt idx="67">
                  <c:v>7.56775E-4</c:v>
                </c:pt>
                <c:pt idx="68">
                  <c:v>1.07705E-4</c:v>
                </c:pt>
                <c:pt idx="69">
                  <c:v>1.08118E-4</c:v>
                </c:pt>
                <c:pt idx="70">
                  <c:v>1.07409E-4</c:v>
                </c:pt>
                <c:pt idx="71">
                  <c:v>1.06337E-4</c:v>
                </c:pt>
                <c:pt idx="72">
                  <c:v>1.0592899999999999E-4</c:v>
                </c:pt>
                <c:pt idx="73">
                  <c:v>1.0547700000000001E-4</c:v>
                </c:pt>
                <c:pt idx="74">
                  <c:v>1.05028E-4</c:v>
                </c:pt>
                <c:pt idx="75">
                  <c:v>1.04802E-4</c:v>
                </c:pt>
                <c:pt idx="76">
                  <c:v>1.04417E-4</c:v>
                </c:pt>
                <c:pt idx="77">
                  <c:v>1.03984E-4</c:v>
                </c:pt>
                <c:pt idx="78">
                  <c:v>8.1124799999999998E-4</c:v>
                </c:pt>
                <c:pt idx="79">
                  <c:v>7.7975099999999997E-4</c:v>
                </c:pt>
                <c:pt idx="80">
                  <c:v>7.6178499999999996E-4</c:v>
                </c:pt>
                <c:pt idx="81">
                  <c:v>7.5451399999999997E-4</c:v>
                </c:pt>
                <c:pt idx="82">
                  <c:v>7.4477600000000005E-4</c:v>
                </c:pt>
                <c:pt idx="83">
                  <c:v>7.3750599999999997E-4</c:v>
                </c:pt>
                <c:pt idx="84">
                  <c:v>7.3061600000000001E-4</c:v>
                </c:pt>
                <c:pt idx="85">
                  <c:v>7.2526899999999996E-4</c:v>
                </c:pt>
                <c:pt idx="86">
                  <c:v>7.2050499999999997E-4</c:v>
                </c:pt>
                <c:pt idx="87">
                  <c:v>7.0750800000000003E-4</c:v>
                </c:pt>
                <c:pt idx="88">
                  <c:v>7.1864599999999998E-4</c:v>
                </c:pt>
                <c:pt idx="89">
                  <c:v>7.1881799999999997E-4</c:v>
                </c:pt>
                <c:pt idx="90">
                  <c:v>7.17346E-4</c:v>
                </c:pt>
                <c:pt idx="91">
                  <c:v>7.1699399999999999E-4</c:v>
                </c:pt>
                <c:pt idx="92">
                  <c:v>7.1624899999999997E-4</c:v>
                </c:pt>
                <c:pt idx="93">
                  <c:v>7.1573999999999997E-4</c:v>
                </c:pt>
                <c:pt idx="94">
                  <c:v>7.1700900000000001E-4</c:v>
                </c:pt>
                <c:pt idx="95">
                  <c:v>7.1621599999999999E-4</c:v>
                </c:pt>
                <c:pt idx="96">
                  <c:v>7.1573199999999996E-4</c:v>
                </c:pt>
                <c:pt idx="97">
                  <c:v>7.1459500000000005E-4</c:v>
                </c:pt>
                <c:pt idx="98">
                  <c:v>7.1797099999999997E-4</c:v>
                </c:pt>
                <c:pt idx="99">
                  <c:v>7.1898299999999997E-4</c:v>
                </c:pt>
                <c:pt idx="100">
                  <c:v>7.1967099999999996E-4</c:v>
                </c:pt>
                <c:pt idx="101">
                  <c:v>7.2610100000000005E-4</c:v>
                </c:pt>
                <c:pt idx="102">
                  <c:v>7.2016099999999998E-4</c:v>
                </c:pt>
                <c:pt idx="103">
                  <c:v>7.2362200000000005E-4</c:v>
                </c:pt>
                <c:pt idx="104">
                  <c:v>7.2967300000000002E-4</c:v>
                </c:pt>
                <c:pt idx="105">
                  <c:v>7.2880700000000004E-4</c:v>
                </c:pt>
                <c:pt idx="106">
                  <c:v>7.2679099999999996E-4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2-40C0-B651-67D3EB12712A}"/>
            </c:ext>
          </c:extLst>
        </c:ser>
        <c:ser>
          <c:idx val="1"/>
          <c:order val="1"/>
          <c:tx>
            <c:strRef>
              <c:f>'1234 P+ 24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P+ 24 hpi'!$H$3:$H$132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2-40C0-B651-67D3EB12712A}"/>
            </c:ext>
          </c:extLst>
        </c:ser>
        <c:ser>
          <c:idx val="2"/>
          <c:order val="2"/>
          <c:tx>
            <c:strRef>
              <c:f>'1234 P+ 24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P+ 24 hpi'!$M$3:$M$132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C2-40C0-B651-67D3EB12712A}"/>
            </c:ext>
          </c:extLst>
        </c:ser>
        <c:ser>
          <c:idx val="3"/>
          <c:order val="3"/>
          <c:tx>
            <c:strRef>
              <c:f>'1234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'1234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'1234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C2-40C0-B651-67D3EB127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933040"/>
        <c:axId val="1137930960"/>
      </c:scatterChart>
      <c:valAx>
        <c:axId val="11379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0960"/>
        <c:crosses val="autoZero"/>
        <c:crossBetween val="midCat"/>
      </c:valAx>
      <c:valAx>
        <c:axId val="11379309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3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P- 24 hpi'!$AA$1:$AA$2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hpi'!$AA$3:$AA$132</c:f>
              <c:numCache>
                <c:formatCode>0.00E+00</c:formatCode>
                <c:ptCount val="130"/>
                <c:pt idx="0">
                  <c:v>1.7011959999999999E-3</c:v>
                </c:pt>
                <c:pt idx="1">
                  <c:v>1.7278160000000001E-3</c:v>
                </c:pt>
                <c:pt idx="2">
                  <c:v>1.7549039999999998E-3</c:v>
                </c:pt>
                <c:pt idx="3">
                  <c:v>1.7840379999999999E-3</c:v>
                </c:pt>
                <c:pt idx="4">
                  <c:v>1.815152E-3</c:v>
                </c:pt>
                <c:pt idx="5">
                  <c:v>1.842104E-3</c:v>
                </c:pt>
                <c:pt idx="6">
                  <c:v>1.8697760000000001E-3</c:v>
                </c:pt>
                <c:pt idx="7">
                  <c:v>1.9011879999999998E-3</c:v>
                </c:pt>
                <c:pt idx="8">
                  <c:v>1.9310219999999997E-3</c:v>
                </c:pt>
                <c:pt idx="9">
                  <c:v>1.960912E-3</c:v>
                </c:pt>
                <c:pt idx="10">
                  <c:v>1.9901040000000004E-3</c:v>
                </c:pt>
                <c:pt idx="11">
                  <c:v>2.0240620000000001E-3</c:v>
                </c:pt>
                <c:pt idx="12">
                  <c:v>2.056544E-3</c:v>
                </c:pt>
                <c:pt idx="13">
                  <c:v>2.090026E-3</c:v>
                </c:pt>
                <c:pt idx="14">
                  <c:v>2.1235399999999997E-3</c:v>
                </c:pt>
                <c:pt idx="15">
                  <c:v>2.16527E-3</c:v>
                </c:pt>
                <c:pt idx="16">
                  <c:v>2.2016479999999996E-3</c:v>
                </c:pt>
                <c:pt idx="17">
                  <c:v>2.2372059999999998E-3</c:v>
                </c:pt>
                <c:pt idx="18">
                  <c:v>2.2763760000000001E-3</c:v>
                </c:pt>
                <c:pt idx="19">
                  <c:v>2.3106860000000002E-3</c:v>
                </c:pt>
                <c:pt idx="20">
                  <c:v>2.3470000000000001E-3</c:v>
                </c:pt>
                <c:pt idx="21">
                  <c:v>2.3865620000000001E-3</c:v>
                </c:pt>
                <c:pt idx="22">
                  <c:v>2.4240980000000004E-3</c:v>
                </c:pt>
                <c:pt idx="23">
                  <c:v>2.464904E-3</c:v>
                </c:pt>
                <c:pt idx="24">
                  <c:v>2.5038920000000002E-3</c:v>
                </c:pt>
                <c:pt idx="25">
                  <c:v>2.542196E-3</c:v>
                </c:pt>
                <c:pt idx="26">
                  <c:v>2.5779940000000001E-3</c:v>
                </c:pt>
                <c:pt idx="27">
                  <c:v>2.6190900000000001E-3</c:v>
                </c:pt>
                <c:pt idx="28">
                  <c:v>2.6551299999999999E-3</c:v>
                </c:pt>
                <c:pt idx="29">
                  <c:v>2.3009919999999999E-6</c:v>
                </c:pt>
                <c:pt idx="30">
                  <c:v>2.3358160000000002E-6</c:v>
                </c:pt>
                <c:pt idx="31">
                  <c:v>2.3136199999999999E-6</c:v>
                </c:pt>
                <c:pt idx="32">
                  <c:v>2.2898559999999999E-6</c:v>
                </c:pt>
                <c:pt idx="33">
                  <c:v>2.2862699999999996E-6</c:v>
                </c:pt>
                <c:pt idx="34">
                  <c:v>2.2700999999999997E-6</c:v>
                </c:pt>
                <c:pt idx="35">
                  <c:v>2.262286E-6</c:v>
                </c:pt>
                <c:pt idx="36">
                  <c:v>2.2528179999999999E-6</c:v>
                </c:pt>
                <c:pt idx="37">
                  <c:v>2.2444320000000001E-6</c:v>
                </c:pt>
                <c:pt idx="38">
                  <c:v>2.2356500000000004E-6</c:v>
                </c:pt>
                <c:pt idx="39">
                  <c:v>1.061408E-3</c:v>
                </c:pt>
                <c:pt idx="40">
                  <c:v>1.1234639999999998E-3</c:v>
                </c:pt>
                <c:pt idx="41">
                  <c:v>1.1693020000000001E-3</c:v>
                </c:pt>
                <c:pt idx="42">
                  <c:v>1.208066E-3</c:v>
                </c:pt>
                <c:pt idx="43">
                  <c:v>1.24259E-3</c:v>
                </c:pt>
                <c:pt idx="44">
                  <c:v>1.2780859999999999E-3</c:v>
                </c:pt>
                <c:pt idx="45">
                  <c:v>1.310882E-3</c:v>
                </c:pt>
                <c:pt idx="46">
                  <c:v>1.345326E-3</c:v>
                </c:pt>
                <c:pt idx="47">
                  <c:v>1.3776560000000001E-3</c:v>
                </c:pt>
                <c:pt idx="48">
                  <c:v>1.410908E-3</c:v>
                </c:pt>
                <c:pt idx="49">
                  <c:v>1.4442679999999999E-3</c:v>
                </c:pt>
                <c:pt idx="50">
                  <c:v>1.4787379999999998E-3</c:v>
                </c:pt>
                <c:pt idx="51">
                  <c:v>1.5116020000000001E-3</c:v>
                </c:pt>
                <c:pt idx="52">
                  <c:v>1.5470880000000001E-3</c:v>
                </c:pt>
                <c:pt idx="53">
                  <c:v>1.5796339999999999E-3</c:v>
                </c:pt>
                <c:pt idx="54">
                  <c:v>1.612968E-3</c:v>
                </c:pt>
                <c:pt idx="55">
                  <c:v>1.646114E-3</c:v>
                </c:pt>
                <c:pt idx="56">
                  <c:v>1.6824740000000002E-3</c:v>
                </c:pt>
                <c:pt idx="57">
                  <c:v>1.7175240000000002E-3</c:v>
                </c:pt>
                <c:pt idx="58">
                  <c:v>1.7532139999999999E-3</c:v>
                </c:pt>
                <c:pt idx="59">
                  <c:v>1.788628E-3</c:v>
                </c:pt>
                <c:pt idx="60">
                  <c:v>1.825798E-3</c:v>
                </c:pt>
                <c:pt idx="61">
                  <c:v>1.8615220000000002E-3</c:v>
                </c:pt>
                <c:pt idx="62">
                  <c:v>1.8965539999999999E-3</c:v>
                </c:pt>
                <c:pt idx="63">
                  <c:v>1.9327719999999999E-3</c:v>
                </c:pt>
                <c:pt idx="64">
                  <c:v>1.970842E-3</c:v>
                </c:pt>
                <c:pt idx="65">
                  <c:v>2.0101580000000002E-3</c:v>
                </c:pt>
                <c:pt idx="66">
                  <c:v>2.0481899999999996E-3</c:v>
                </c:pt>
                <c:pt idx="67">
                  <c:v>2.0838619999999997E-3</c:v>
                </c:pt>
                <c:pt idx="68">
                  <c:v>2.1602619999999997E-6</c:v>
                </c:pt>
                <c:pt idx="69">
                  <c:v>2.1949300000000003E-6</c:v>
                </c:pt>
                <c:pt idx="70">
                  <c:v>2.1852540000000001E-6</c:v>
                </c:pt>
                <c:pt idx="71">
                  <c:v>2.1843380000000002E-6</c:v>
                </c:pt>
                <c:pt idx="72">
                  <c:v>2.1826560000000004E-6</c:v>
                </c:pt>
                <c:pt idx="73">
                  <c:v>2.1874419999999999E-6</c:v>
                </c:pt>
                <c:pt idx="74">
                  <c:v>2.1923440000000001E-6</c:v>
                </c:pt>
                <c:pt idx="75">
                  <c:v>2.195502E-6</c:v>
                </c:pt>
                <c:pt idx="76">
                  <c:v>2.1972359999999996E-6</c:v>
                </c:pt>
                <c:pt idx="77">
                  <c:v>2.198568E-6</c:v>
                </c:pt>
                <c:pt idx="78">
                  <c:v>1.0641646E-3</c:v>
                </c:pt>
                <c:pt idx="79">
                  <c:v>1.1203204000000001E-3</c:v>
                </c:pt>
                <c:pt idx="80">
                  <c:v>1.1631654E-3</c:v>
                </c:pt>
                <c:pt idx="81">
                  <c:v>1.2009659999999999E-3</c:v>
                </c:pt>
                <c:pt idx="82">
                  <c:v>1.2361399999999999E-3</c:v>
                </c:pt>
                <c:pt idx="83">
                  <c:v>1.27056E-3</c:v>
                </c:pt>
                <c:pt idx="84">
                  <c:v>1.3026839999999999E-3</c:v>
                </c:pt>
                <c:pt idx="85">
                  <c:v>1.3313259999999999E-3</c:v>
                </c:pt>
                <c:pt idx="86">
                  <c:v>1.36129E-3</c:v>
                </c:pt>
                <c:pt idx="87">
                  <c:v>1.3876819999999999E-3</c:v>
                </c:pt>
                <c:pt idx="88">
                  <c:v>1.4152959999999999E-3</c:v>
                </c:pt>
                <c:pt idx="89">
                  <c:v>1.4451199999999998E-3</c:v>
                </c:pt>
                <c:pt idx="90">
                  <c:v>1.472456E-3</c:v>
                </c:pt>
                <c:pt idx="91">
                  <c:v>1.4994300000000002E-3</c:v>
                </c:pt>
                <c:pt idx="92">
                  <c:v>1.5259280000000002E-3</c:v>
                </c:pt>
                <c:pt idx="93">
                  <c:v>1.5546239999999999E-3</c:v>
                </c:pt>
                <c:pt idx="94">
                  <c:v>1.582232E-3</c:v>
                </c:pt>
                <c:pt idx="95">
                  <c:v>1.606484E-3</c:v>
                </c:pt>
                <c:pt idx="96">
                  <c:v>1.6361500000000001E-3</c:v>
                </c:pt>
                <c:pt idx="97">
                  <c:v>1.6639299999999999E-3</c:v>
                </c:pt>
                <c:pt idx="98">
                  <c:v>1.6890399999999999E-3</c:v>
                </c:pt>
                <c:pt idx="99">
                  <c:v>1.7164840000000001E-3</c:v>
                </c:pt>
                <c:pt idx="100">
                  <c:v>1.7455419999999999E-3</c:v>
                </c:pt>
                <c:pt idx="101">
                  <c:v>1.772006E-3</c:v>
                </c:pt>
                <c:pt idx="102">
                  <c:v>1.8001320000000001E-3</c:v>
                </c:pt>
                <c:pt idx="103">
                  <c:v>1.8255380000000002E-3</c:v>
                </c:pt>
                <c:pt idx="104">
                  <c:v>1.8560159999999998E-3</c:v>
                </c:pt>
                <c:pt idx="105">
                  <c:v>1.8846900000000003E-3</c:v>
                </c:pt>
                <c:pt idx="106">
                  <c:v>1.912616E-3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CA-5741-9949-081F4C50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404944"/>
        <c:axId val="2036370864"/>
      </c:scatterChart>
      <c:valAx>
        <c:axId val="20534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70864"/>
        <c:crosses val="autoZero"/>
        <c:crossBetween val="midCat"/>
      </c:valAx>
      <c:valAx>
        <c:axId val="2036370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0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P- 24 hpi'!$AB$1:$AB$2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hpi'!$AB$3:$AB$132</c:f>
              <c:numCache>
                <c:formatCode>0.00E+00</c:formatCode>
                <c:ptCount val="130"/>
                <c:pt idx="0">
                  <c:v>2.5644159999999993E-4</c:v>
                </c:pt>
                <c:pt idx="1">
                  <c:v>2.5992119999999999E-4</c:v>
                </c:pt>
                <c:pt idx="2">
                  <c:v>2.6192939999999997E-4</c:v>
                </c:pt>
                <c:pt idx="3">
                  <c:v>2.6452319999999997E-4</c:v>
                </c:pt>
                <c:pt idx="4">
                  <c:v>2.6832860000000001E-4</c:v>
                </c:pt>
                <c:pt idx="5">
                  <c:v>2.7081380000000001E-4</c:v>
                </c:pt>
                <c:pt idx="6">
                  <c:v>2.7294E-4</c:v>
                </c:pt>
                <c:pt idx="7">
                  <c:v>2.772044E-4</c:v>
                </c:pt>
                <c:pt idx="8">
                  <c:v>2.8069799999999996E-4</c:v>
                </c:pt>
                <c:pt idx="9">
                  <c:v>2.8371639999999997E-4</c:v>
                </c:pt>
                <c:pt idx="10">
                  <c:v>2.8762679999999998E-4</c:v>
                </c:pt>
                <c:pt idx="11">
                  <c:v>2.91401E-4</c:v>
                </c:pt>
                <c:pt idx="12">
                  <c:v>2.9445699999999998E-4</c:v>
                </c:pt>
                <c:pt idx="13">
                  <c:v>2.9961359999999999E-4</c:v>
                </c:pt>
                <c:pt idx="14">
                  <c:v>3.0410080000000002E-4</c:v>
                </c:pt>
                <c:pt idx="15">
                  <c:v>3.0868379999999997E-4</c:v>
                </c:pt>
                <c:pt idx="16">
                  <c:v>3.149928E-4</c:v>
                </c:pt>
                <c:pt idx="17">
                  <c:v>3.211E-4</c:v>
                </c:pt>
                <c:pt idx="18">
                  <c:v>3.20236E-4</c:v>
                </c:pt>
                <c:pt idx="19">
                  <c:v>3.2644819999999998E-4</c:v>
                </c:pt>
                <c:pt idx="20">
                  <c:v>3.3047480000000004E-4</c:v>
                </c:pt>
                <c:pt idx="21">
                  <c:v>3.3240420000000003E-4</c:v>
                </c:pt>
                <c:pt idx="22">
                  <c:v>3.3717179999999999E-4</c:v>
                </c:pt>
                <c:pt idx="23">
                  <c:v>3.4093060000000002E-4</c:v>
                </c:pt>
                <c:pt idx="24">
                  <c:v>3.4611019999999996E-4</c:v>
                </c:pt>
                <c:pt idx="25">
                  <c:v>3.4964420000000004E-4</c:v>
                </c:pt>
                <c:pt idx="26">
                  <c:v>3.5489959999999998E-4</c:v>
                </c:pt>
                <c:pt idx="27">
                  <c:v>3.56883E-4</c:v>
                </c:pt>
                <c:pt idx="28">
                  <c:v>3.6140560000000001E-4</c:v>
                </c:pt>
                <c:pt idx="29">
                  <c:v>2.7701000000000001E-5</c:v>
                </c:pt>
                <c:pt idx="30">
                  <c:v>2.7270860000000001E-5</c:v>
                </c:pt>
                <c:pt idx="31">
                  <c:v>2.6667520000000003E-5</c:v>
                </c:pt>
                <c:pt idx="32">
                  <c:v>2.6340020000000003E-5</c:v>
                </c:pt>
                <c:pt idx="33">
                  <c:v>2.6183060000000001E-5</c:v>
                </c:pt>
                <c:pt idx="34">
                  <c:v>2.6023820000000001E-5</c:v>
                </c:pt>
                <c:pt idx="35">
                  <c:v>2.589216E-5</c:v>
                </c:pt>
                <c:pt idx="36">
                  <c:v>2.5815479999999996E-5</c:v>
                </c:pt>
                <c:pt idx="37">
                  <c:v>2.572982E-5</c:v>
                </c:pt>
                <c:pt idx="38">
                  <c:v>2.5640279999999998E-5</c:v>
                </c:pt>
                <c:pt idx="39">
                  <c:v>2.1016820000000001E-4</c:v>
                </c:pt>
                <c:pt idx="40">
                  <c:v>2.1053780000000001E-4</c:v>
                </c:pt>
                <c:pt idx="41">
                  <c:v>2.123696E-4</c:v>
                </c:pt>
                <c:pt idx="42">
                  <c:v>2.1338659999999999E-4</c:v>
                </c:pt>
                <c:pt idx="43">
                  <c:v>2.1580980000000002E-4</c:v>
                </c:pt>
                <c:pt idx="44">
                  <c:v>2.1859359999999999E-4</c:v>
                </c:pt>
                <c:pt idx="45">
                  <c:v>2.2213660000000002E-4</c:v>
                </c:pt>
                <c:pt idx="46">
                  <c:v>2.2573219999999999E-4</c:v>
                </c:pt>
                <c:pt idx="47">
                  <c:v>2.2965139999999999E-4</c:v>
                </c:pt>
                <c:pt idx="48">
                  <c:v>2.338114E-4</c:v>
                </c:pt>
                <c:pt idx="49">
                  <c:v>2.3630819999999997E-4</c:v>
                </c:pt>
                <c:pt idx="50">
                  <c:v>2.385396E-4</c:v>
                </c:pt>
                <c:pt idx="51">
                  <c:v>2.44236E-4</c:v>
                </c:pt>
                <c:pt idx="52">
                  <c:v>2.4747380000000001E-4</c:v>
                </c:pt>
                <c:pt idx="53">
                  <c:v>2.5219320000000002E-4</c:v>
                </c:pt>
                <c:pt idx="54">
                  <c:v>2.5550540000000003E-4</c:v>
                </c:pt>
                <c:pt idx="55">
                  <c:v>2.6161299999999995E-4</c:v>
                </c:pt>
                <c:pt idx="56">
                  <c:v>2.649994E-4</c:v>
                </c:pt>
                <c:pt idx="57">
                  <c:v>2.69156E-4</c:v>
                </c:pt>
                <c:pt idx="58">
                  <c:v>2.7434679999999997E-4</c:v>
                </c:pt>
                <c:pt idx="59">
                  <c:v>2.8043499999999999E-4</c:v>
                </c:pt>
                <c:pt idx="60">
                  <c:v>2.840858E-4</c:v>
                </c:pt>
                <c:pt idx="61">
                  <c:v>2.8892680000000006E-4</c:v>
                </c:pt>
                <c:pt idx="62">
                  <c:v>2.9317239999999999E-4</c:v>
                </c:pt>
                <c:pt idx="63">
                  <c:v>2.9866239999999997E-4</c:v>
                </c:pt>
                <c:pt idx="64">
                  <c:v>3.0529480000000001E-4</c:v>
                </c:pt>
                <c:pt idx="65">
                  <c:v>3.0906180000000002E-4</c:v>
                </c:pt>
                <c:pt idx="66">
                  <c:v>3.1288000000000003E-4</c:v>
                </c:pt>
                <c:pt idx="67">
                  <c:v>3.1854499999999999E-4</c:v>
                </c:pt>
                <c:pt idx="68">
                  <c:v>2.6187859999999998E-5</c:v>
                </c:pt>
                <c:pt idx="69">
                  <c:v>2.6068919999999998E-5</c:v>
                </c:pt>
                <c:pt idx="70">
                  <c:v>2.5838559999999997E-5</c:v>
                </c:pt>
                <c:pt idx="71">
                  <c:v>2.5780019999999999E-5</c:v>
                </c:pt>
                <c:pt idx="72">
                  <c:v>2.5794700000000002E-5</c:v>
                </c:pt>
                <c:pt idx="73">
                  <c:v>2.5786859999999996E-5</c:v>
                </c:pt>
                <c:pt idx="74">
                  <c:v>2.5799579999999995E-5</c:v>
                </c:pt>
                <c:pt idx="75">
                  <c:v>2.5832759999999998E-5</c:v>
                </c:pt>
                <c:pt idx="76">
                  <c:v>2.5868080000000003E-5</c:v>
                </c:pt>
                <c:pt idx="77">
                  <c:v>2.5903279999999998E-5</c:v>
                </c:pt>
                <c:pt idx="78">
                  <c:v>2.144774E-4</c:v>
                </c:pt>
                <c:pt idx="79">
                  <c:v>2.1695960000000001E-4</c:v>
                </c:pt>
                <c:pt idx="80">
                  <c:v>2.1760120000000001E-4</c:v>
                </c:pt>
                <c:pt idx="81">
                  <c:v>2.1926600000000002E-4</c:v>
                </c:pt>
                <c:pt idx="82">
                  <c:v>2.2253379999999999E-4</c:v>
                </c:pt>
                <c:pt idx="83">
                  <c:v>2.2526379999999999E-4</c:v>
                </c:pt>
                <c:pt idx="84">
                  <c:v>2.2992160000000002E-4</c:v>
                </c:pt>
                <c:pt idx="85">
                  <c:v>2.3417940000000002E-4</c:v>
                </c:pt>
                <c:pt idx="86">
                  <c:v>2.373896E-4</c:v>
                </c:pt>
                <c:pt idx="87">
                  <c:v>2.4233839999999998E-4</c:v>
                </c:pt>
                <c:pt idx="88">
                  <c:v>2.4620580000000005E-4</c:v>
                </c:pt>
                <c:pt idx="89">
                  <c:v>2.4873000000000001E-4</c:v>
                </c:pt>
                <c:pt idx="90">
                  <c:v>2.5259760000000001E-4</c:v>
                </c:pt>
                <c:pt idx="91">
                  <c:v>2.5760859999999998E-4</c:v>
                </c:pt>
                <c:pt idx="92">
                  <c:v>2.629264E-4</c:v>
                </c:pt>
                <c:pt idx="93">
                  <c:v>2.6551639999999996E-4</c:v>
                </c:pt>
                <c:pt idx="94">
                  <c:v>2.6819039999999999E-4</c:v>
                </c:pt>
                <c:pt idx="95">
                  <c:v>2.740156E-4</c:v>
                </c:pt>
                <c:pt idx="96">
                  <c:v>2.7374140000000001E-4</c:v>
                </c:pt>
                <c:pt idx="97">
                  <c:v>2.773578E-4</c:v>
                </c:pt>
                <c:pt idx="98">
                  <c:v>2.8126440000000006E-4</c:v>
                </c:pt>
                <c:pt idx="99">
                  <c:v>2.8498959999999997E-4</c:v>
                </c:pt>
                <c:pt idx="100">
                  <c:v>2.8672660000000005E-4</c:v>
                </c:pt>
                <c:pt idx="101">
                  <c:v>2.9069520000000001E-4</c:v>
                </c:pt>
                <c:pt idx="102">
                  <c:v>2.922256E-4</c:v>
                </c:pt>
                <c:pt idx="103">
                  <c:v>2.9816939999999996E-4</c:v>
                </c:pt>
                <c:pt idx="104">
                  <c:v>2.9893539999999998E-4</c:v>
                </c:pt>
                <c:pt idx="105">
                  <c:v>3.0248060000000003E-4</c:v>
                </c:pt>
                <c:pt idx="106">
                  <c:v>3.0588039999999999E-4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1-2146-A8E6-90F4ADC93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770064"/>
        <c:axId val="2047414592"/>
      </c:scatterChart>
      <c:valAx>
        <c:axId val="204777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14592"/>
        <c:crosses val="autoZero"/>
        <c:crossBetween val="midCat"/>
      </c:valAx>
      <c:valAx>
        <c:axId val="2047414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7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P- 24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hpi'!$B$3:$B$109</c:f>
              <c:numCache>
                <c:formatCode>General</c:formatCode>
                <c:ptCount val="107"/>
                <c:pt idx="0">
                  <c:v>1.74361E-3</c:v>
                </c:pt>
                <c:pt idx="1">
                  <c:v>1.74599E-3</c:v>
                </c:pt>
                <c:pt idx="2">
                  <c:v>1.75022E-3</c:v>
                </c:pt>
                <c:pt idx="3">
                  <c:v>1.7535000000000001E-3</c:v>
                </c:pt>
                <c:pt idx="4">
                  <c:v>1.7583200000000001E-3</c:v>
                </c:pt>
                <c:pt idx="5">
                  <c:v>1.76199E-3</c:v>
                </c:pt>
                <c:pt idx="6">
                  <c:v>1.7604700000000001E-3</c:v>
                </c:pt>
                <c:pt idx="7">
                  <c:v>1.7627400000000001E-3</c:v>
                </c:pt>
                <c:pt idx="8">
                  <c:v>1.7650299999999999E-3</c:v>
                </c:pt>
                <c:pt idx="9">
                  <c:v>1.76604E-3</c:v>
                </c:pt>
                <c:pt idx="10">
                  <c:v>1.76439E-3</c:v>
                </c:pt>
                <c:pt idx="11">
                  <c:v>1.7638199999999999E-3</c:v>
                </c:pt>
                <c:pt idx="12">
                  <c:v>1.7621500000000001E-3</c:v>
                </c:pt>
                <c:pt idx="13">
                  <c:v>1.7633600000000001E-3</c:v>
                </c:pt>
                <c:pt idx="14">
                  <c:v>1.7645499999999999E-3</c:v>
                </c:pt>
                <c:pt idx="15">
                  <c:v>1.76494E-3</c:v>
                </c:pt>
                <c:pt idx="16">
                  <c:v>1.76403E-3</c:v>
                </c:pt>
                <c:pt idx="17">
                  <c:v>1.76603E-3</c:v>
                </c:pt>
                <c:pt idx="18">
                  <c:v>1.76618E-3</c:v>
                </c:pt>
                <c:pt idx="19">
                  <c:v>1.76743E-3</c:v>
                </c:pt>
                <c:pt idx="20">
                  <c:v>1.7722700000000001E-3</c:v>
                </c:pt>
                <c:pt idx="21">
                  <c:v>1.7750000000000001E-3</c:v>
                </c:pt>
                <c:pt idx="22">
                  <c:v>1.77754E-3</c:v>
                </c:pt>
                <c:pt idx="23">
                  <c:v>1.78028E-3</c:v>
                </c:pt>
                <c:pt idx="24">
                  <c:v>1.7878E-3</c:v>
                </c:pt>
                <c:pt idx="25">
                  <c:v>1.79499E-3</c:v>
                </c:pt>
                <c:pt idx="26">
                  <c:v>1.79944E-3</c:v>
                </c:pt>
                <c:pt idx="27">
                  <c:v>1.80697E-3</c:v>
                </c:pt>
                <c:pt idx="28">
                  <c:v>1.81145E-3</c:v>
                </c:pt>
                <c:pt idx="29">
                  <c:v>4.0172899999999998E-6</c:v>
                </c:pt>
                <c:pt idx="30">
                  <c:v>3.9768699999999996E-6</c:v>
                </c:pt>
                <c:pt idx="31">
                  <c:v>3.8693499999999996E-6</c:v>
                </c:pt>
                <c:pt idx="32">
                  <c:v>3.7873999999999999E-6</c:v>
                </c:pt>
                <c:pt idx="33">
                  <c:v>3.7452199999999999E-6</c:v>
                </c:pt>
                <c:pt idx="34">
                  <c:v>3.70363E-6</c:v>
                </c:pt>
                <c:pt idx="35">
                  <c:v>3.6481899999999998E-6</c:v>
                </c:pt>
                <c:pt idx="36">
                  <c:v>3.6237000000000001E-6</c:v>
                </c:pt>
                <c:pt idx="37">
                  <c:v>3.59479E-6</c:v>
                </c:pt>
                <c:pt idx="38">
                  <c:v>3.54261E-6</c:v>
                </c:pt>
                <c:pt idx="39">
                  <c:v>9.8215999999999993E-4</c:v>
                </c:pt>
                <c:pt idx="40">
                  <c:v>1.0106099999999999E-3</c:v>
                </c:pt>
                <c:pt idx="41">
                  <c:v>1.0290399999999999E-3</c:v>
                </c:pt>
                <c:pt idx="42">
                  <c:v>1.0398899999999999E-3</c:v>
                </c:pt>
                <c:pt idx="43">
                  <c:v>1.0486E-3</c:v>
                </c:pt>
                <c:pt idx="44">
                  <c:v>1.0554E-3</c:v>
                </c:pt>
                <c:pt idx="45">
                  <c:v>1.06044E-3</c:v>
                </c:pt>
                <c:pt idx="46">
                  <c:v>1.0665099999999999E-3</c:v>
                </c:pt>
                <c:pt idx="47">
                  <c:v>1.0706400000000001E-3</c:v>
                </c:pt>
                <c:pt idx="48">
                  <c:v>1.07446E-3</c:v>
                </c:pt>
                <c:pt idx="49">
                  <c:v>1.07756E-3</c:v>
                </c:pt>
                <c:pt idx="50">
                  <c:v>1.08099E-3</c:v>
                </c:pt>
                <c:pt idx="51">
                  <c:v>1.08412E-3</c:v>
                </c:pt>
                <c:pt idx="52">
                  <c:v>1.0867800000000001E-3</c:v>
                </c:pt>
                <c:pt idx="53">
                  <c:v>1.0881300000000001E-3</c:v>
                </c:pt>
                <c:pt idx="54">
                  <c:v>1.0914500000000001E-3</c:v>
                </c:pt>
                <c:pt idx="55">
                  <c:v>1.0942899999999999E-3</c:v>
                </c:pt>
                <c:pt idx="56">
                  <c:v>1.0966800000000001E-3</c:v>
                </c:pt>
                <c:pt idx="57">
                  <c:v>1.09903E-3</c:v>
                </c:pt>
                <c:pt idx="58">
                  <c:v>1.10264E-3</c:v>
                </c:pt>
                <c:pt idx="59">
                  <c:v>1.10366E-3</c:v>
                </c:pt>
                <c:pt idx="60">
                  <c:v>1.10501E-3</c:v>
                </c:pt>
                <c:pt idx="61">
                  <c:v>1.10794E-3</c:v>
                </c:pt>
                <c:pt idx="62">
                  <c:v>1.1102099999999999E-3</c:v>
                </c:pt>
                <c:pt idx="63">
                  <c:v>1.1111599999999999E-3</c:v>
                </c:pt>
                <c:pt idx="64">
                  <c:v>1.1135800000000001E-3</c:v>
                </c:pt>
                <c:pt idx="65">
                  <c:v>1.1167099999999999E-3</c:v>
                </c:pt>
                <c:pt idx="66">
                  <c:v>1.11944E-3</c:v>
                </c:pt>
                <c:pt idx="67">
                  <c:v>1.12104E-3</c:v>
                </c:pt>
                <c:pt idx="68">
                  <c:v>3.4176499999999998E-6</c:v>
                </c:pt>
                <c:pt idx="69">
                  <c:v>3.4440800000000001E-6</c:v>
                </c:pt>
                <c:pt idx="70">
                  <c:v>3.4247800000000001E-6</c:v>
                </c:pt>
                <c:pt idx="71">
                  <c:v>3.4081999999999998E-6</c:v>
                </c:pt>
                <c:pt idx="72">
                  <c:v>3.39027E-6</c:v>
                </c:pt>
                <c:pt idx="73">
                  <c:v>3.3808400000000001E-6</c:v>
                </c:pt>
                <c:pt idx="74">
                  <c:v>3.3745699999999999E-6</c:v>
                </c:pt>
                <c:pt idx="75">
                  <c:v>3.3708899999999999E-6</c:v>
                </c:pt>
                <c:pt idx="76">
                  <c:v>3.3634299999999998E-6</c:v>
                </c:pt>
                <c:pt idx="77">
                  <c:v>3.3503100000000002E-6</c:v>
                </c:pt>
                <c:pt idx="78">
                  <c:v>9.4989399999999996E-4</c:v>
                </c:pt>
                <c:pt idx="79">
                  <c:v>9.7780200000000005E-4</c:v>
                </c:pt>
                <c:pt idx="80">
                  <c:v>9.94497E-4</c:v>
                </c:pt>
                <c:pt idx="81">
                  <c:v>1.0073E-3</c:v>
                </c:pt>
                <c:pt idx="82">
                  <c:v>1.0187E-3</c:v>
                </c:pt>
                <c:pt idx="83">
                  <c:v>1.02688E-3</c:v>
                </c:pt>
                <c:pt idx="84">
                  <c:v>1.0348E-3</c:v>
                </c:pt>
                <c:pt idx="85">
                  <c:v>1.0398300000000001E-3</c:v>
                </c:pt>
                <c:pt idx="86">
                  <c:v>1.04528E-3</c:v>
                </c:pt>
                <c:pt idx="87">
                  <c:v>1.04874E-3</c:v>
                </c:pt>
                <c:pt idx="88">
                  <c:v>1.0539900000000001E-3</c:v>
                </c:pt>
                <c:pt idx="89">
                  <c:v>1.0579700000000001E-3</c:v>
                </c:pt>
                <c:pt idx="90">
                  <c:v>1.0627099999999999E-3</c:v>
                </c:pt>
                <c:pt idx="91">
                  <c:v>1.06656E-3</c:v>
                </c:pt>
                <c:pt idx="92">
                  <c:v>1.0693600000000001E-3</c:v>
                </c:pt>
                <c:pt idx="93">
                  <c:v>1.0729100000000001E-3</c:v>
                </c:pt>
                <c:pt idx="94">
                  <c:v>1.0756100000000001E-3</c:v>
                </c:pt>
                <c:pt idx="95">
                  <c:v>1.07818E-3</c:v>
                </c:pt>
                <c:pt idx="96">
                  <c:v>1.07941E-3</c:v>
                </c:pt>
                <c:pt idx="97">
                  <c:v>1.0827E-3</c:v>
                </c:pt>
                <c:pt idx="98">
                  <c:v>1.08624E-3</c:v>
                </c:pt>
                <c:pt idx="99">
                  <c:v>1.08964E-3</c:v>
                </c:pt>
                <c:pt idx="100">
                  <c:v>1.0922200000000001E-3</c:v>
                </c:pt>
                <c:pt idx="101">
                  <c:v>1.09341E-3</c:v>
                </c:pt>
                <c:pt idx="102">
                  <c:v>1.09662E-3</c:v>
                </c:pt>
                <c:pt idx="103">
                  <c:v>1.0985000000000001E-3</c:v>
                </c:pt>
                <c:pt idx="104">
                  <c:v>1.0993800000000001E-3</c:v>
                </c:pt>
                <c:pt idx="105">
                  <c:v>1.10279E-3</c:v>
                </c:pt>
                <c:pt idx="106">
                  <c:v>1.10615E-3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1F-4DEF-A515-A0F76FFC6173}"/>
            </c:ext>
          </c:extLst>
        </c:ser>
        <c:ser>
          <c:idx val="1"/>
          <c:order val="1"/>
          <c:tx>
            <c:strRef>
              <c:f>'1250 P- 24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hpi'!$G$3:$G$109</c:f>
              <c:numCache>
                <c:formatCode>0.00E+00</c:formatCode>
                <c:ptCount val="107"/>
                <c:pt idx="0">
                  <c:v>1.8047E-3</c:v>
                </c:pt>
                <c:pt idx="1">
                  <c:v>1.84078E-3</c:v>
                </c:pt>
                <c:pt idx="2">
                  <c:v>1.87484E-3</c:v>
                </c:pt>
                <c:pt idx="3">
                  <c:v>1.92738E-3</c:v>
                </c:pt>
                <c:pt idx="4">
                  <c:v>1.9805600000000001E-3</c:v>
                </c:pt>
                <c:pt idx="5">
                  <c:v>2.01922E-3</c:v>
                </c:pt>
                <c:pt idx="6">
                  <c:v>2.06383E-3</c:v>
                </c:pt>
                <c:pt idx="7">
                  <c:v>2.1300899999999998E-3</c:v>
                </c:pt>
                <c:pt idx="8">
                  <c:v>2.1865700000000001E-3</c:v>
                </c:pt>
                <c:pt idx="9">
                  <c:v>2.2375099999999998E-3</c:v>
                </c:pt>
                <c:pt idx="10">
                  <c:v>2.2903300000000001E-3</c:v>
                </c:pt>
                <c:pt idx="11">
                  <c:v>2.3636500000000001E-3</c:v>
                </c:pt>
                <c:pt idx="12">
                  <c:v>2.4222900000000001E-3</c:v>
                </c:pt>
                <c:pt idx="13">
                  <c:v>2.4785800000000002E-3</c:v>
                </c:pt>
                <c:pt idx="14">
                  <c:v>2.5403399999999999E-3</c:v>
                </c:pt>
                <c:pt idx="15">
                  <c:v>2.6329299999999999E-3</c:v>
                </c:pt>
                <c:pt idx="16">
                  <c:v>2.70499E-3</c:v>
                </c:pt>
                <c:pt idx="17">
                  <c:v>2.7609800000000001E-3</c:v>
                </c:pt>
                <c:pt idx="18">
                  <c:v>2.8314500000000001E-3</c:v>
                </c:pt>
                <c:pt idx="19">
                  <c:v>2.8892700000000002E-3</c:v>
                </c:pt>
                <c:pt idx="20">
                  <c:v>2.9433100000000002E-3</c:v>
                </c:pt>
                <c:pt idx="21">
                  <c:v>3.0041500000000001E-3</c:v>
                </c:pt>
                <c:pt idx="22">
                  <c:v>3.0667200000000002E-3</c:v>
                </c:pt>
                <c:pt idx="23">
                  <c:v>3.14636E-3</c:v>
                </c:pt>
                <c:pt idx="24">
                  <c:v>3.2111399999999999E-3</c:v>
                </c:pt>
                <c:pt idx="25">
                  <c:v>3.2724799999999999E-3</c:v>
                </c:pt>
                <c:pt idx="26">
                  <c:v>3.3364200000000001E-3</c:v>
                </c:pt>
                <c:pt idx="27">
                  <c:v>3.4042299999999998E-3</c:v>
                </c:pt>
                <c:pt idx="28">
                  <c:v>3.4561100000000001E-3</c:v>
                </c:pt>
                <c:pt idx="29">
                  <c:v>1.72918E-6</c:v>
                </c:pt>
                <c:pt idx="30">
                  <c:v>1.84514E-6</c:v>
                </c:pt>
                <c:pt idx="31">
                  <c:v>1.8663499999999999E-6</c:v>
                </c:pt>
                <c:pt idx="32">
                  <c:v>1.8787900000000001E-6</c:v>
                </c:pt>
                <c:pt idx="33">
                  <c:v>1.8891400000000001E-6</c:v>
                </c:pt>
                <c:pt idx="34">
                  <c:v>1.8901600000000001E-6</c:v>
                </c:pt>
                <c:pt idx="35">
                  <c:v>1.9100200000000001E-6</c:v>
                </c:pt>
                <c:pt idx="36">
                  <c:v>1.9116699999999999E-6</c:v>
                </c:pt>
                <c:pt idx="37">
                  <c:v>1.9166699999999998E-6</c:v>
                </c:pt>
                <c:pt idx="38">
                  <c:v>1.9167499999999999E-6</c:v>
                </c:pt>
                <c:pt idx="39">
                  <c:v>1.14606E-3</c:v>
                </c:pt>
                <c:pt idx="40">
                  <c:v>1.2540800000000001E-3</c:v>
                </c:pt>
                <c:pt idx="41">
                  <c:v>1.33522E-3</c:v>
                </c:pt>
                <c:pt idx="42">
                  <c:v>1.4042799999999999E-3</c:v>
                </c:pt>
                <c:pt idx="43">
                  <c:v>1.4646800000000001E-3</c:v>
                </c:pt>
                <c:pt idx="44">
                  <c:v>1.52629E-3</c:v>
                </c:pt>
                <c:pt idx="45">
                  <c:v>1.57639E-3</c:v>
                </c:pt>
                <c:pt idx="46">
                  <c:v>1.6328600000000001E-3</c:v>
                </c:pt>
                <c:pt idx="47">
                  <c:v>1.6869000000000001E-3</c:v>
                </c:pt>
                <c:pt idx="48">
                  <c:v>1.74653E-3</c:v>
                </c:pt>
                <c:pt idx="49">
                  <c:v>1.7966900000000001E-3</c:v>
                </c:pt>
                <c:pt idx="50">
                  <c:v>1.8458400000000001E-3</c:v>
                </c:pt>
                <c:pt idx="51">
                  <c:v>1.8958200000000001E-3</c:v>
                </c:pt>
                <c:pt idx="52">
                  <c:v>1.9508800000000001E-3</c:v>
                </c:pt>
                <c:pt idx="53">
                  <c:v>1.99628E-3</c:v>
                </c:pt>
                <c:pt idx="54">
                  <c:v>2.0453099999999998E-3</c:v>
                </c:pt>
                <c:pt idx="55">
                  <c:v>2.09034E-3</c:v>
                </c:pt>
                <c:pt idx="56">
                  <c:v>2.1431000000000002E-3</c:v>
                </c:pt>
                <c:pt idx="57">
                  <c:v>2.2002200000000001E-3</c:v>
                </c:pt>
                <c:pt idx="58">
                  <c:v>2.2451699999999999E-3</c:v>
                </c:pt>
                <c:pt idx="59">
                  <c:v>2.3013500000000002E-3</c:v>
                </c:pt>
                <c:pt idx="60">
                  <c:v>2.36565E-3</c:v>
                </c:pt>
                <c:pt idx="61">
                  <c:v>2.41953E-3</c:v>
                </c:pt>
                <c:pt idx="62">
                  <c:v>2.46933E-3</c:v>
                </c:pt>
                <c:pt idx="63">
                  <c:v>2.53082E-3</c:v>
                </c:pt>
                <c:pt idx="64">
                  <c:v>2.5829300000000002E-3</c:v>
                </c:pt>
                <c:pt idx="65">
                  <c:v>2.6380700000000002E-3</c:v>
                </c:pt>
                <c:pt idx="66">
                  <c:v>2.6919999999999999E-3</c:v>
                </c:pt>
                <c:pt idx="67">
                  <c:v>2.74683E-3</c:v>
                </c:pt>
                <c:pt idx="68">
                  <c:v>1.8049099999999999E-6</c:v>
                </c:pt>
                <c:pt idx="69">
                  <c:v>1.85147E-6</c:v>
                </c:pt>
                <c:pt idx="70">
                  <c:v>1.8601500000000001E-6</c:v>
                </c:pt>
                <c:pt idx="71">
                  <c:v>1.8628199999999999E-6</c:v>
                </c:pt>
                <c:pt idx="72">
                  <c:v>1.8717E-6</c:v>
                </c:pt>
                <c:pt idx="73">
                  <c:v>1.87565E-6</c:v>
                </c:pt>
                <c:pt idx="74">
                  <c:v>1.8976700000000001E-6</c:v>
                </c:pt>
                <c:pt idx="75">
                  <c:v>1.9141E-6</c:v>
                </c:pt>
                <c:pt idx="76">
                  <c:v>1.9218399999999998E-6</c:v>
                </c:pt>
                <c:pt idx="77">
                  <c:v>1.9389000000000002E-6</c:v>
                </c:pt>
                <c:pt idx="78">
                  <c:v>1.11955E-3</c:v>
                </c:pt>
                <c:pt idx="79">
                  <c:v>1.1920100000000001E-3</c:v>
                </c:pt>
                <c:pt idx="80">
                  <c:v>1.2493999999999999E-3</c:v>
                </c:pt>
                <c:pt idx="81">
                  <c:v>1.2971300000000001E-3</c:v>
                </c:pt>
                <c:pt idx="82">
                  <c:v>1.34413E-3</c:v>
                </c:pt>
                <c:pt idx="83">
                  <c:v>1.3913E-3</c:v>
                </c:pt>
                <c:pt idx="84">
                  <c:v>1.4352E-3</c:v>
                </c:pt>
                <c:pt idx="85">
                  <c:v>1.4696799999999999E-3</c:v>
                </c:pt>
                <c:pt idx="86">
                  <c:v>1.5073E-3</c:v>
                </c:pt>
                <c:pt idx="87">
                  <c:v>1.5397399999999999E-3</c:v>
                </c:pt>
                <c:pt idx="88">
                  <c:v>1.5732599999999999E-3</c:v>
                </c:pt>
                <c:pt idx="89">
                  <c:v>1.61429E-3</c:v>
                </c:pt>
                <c:pt idx="90">
                  <c:v>1.6515799999999999E-3</c:v>
                </c:pt>
                <c:pt idx="91">
                  <c:v>1.68677E-3</c:v>
                </c:pt>
                <c:pt idx="92">
                  <c:v>1.7261100000000001E-3</c:v>
                </c:pt>
                <c:pt idx="93">
                  <c:v>1.76425E-3</c:v>
                </c:pt>
                <c:pt idx="94">
                  <c:v>1.80203E-3</c:v>
                </c:pt>
                <c:pt idx="95">
                  <c:v>1.8370000000000001E-3</c:v>
                </c:pt>
                <c:pt idx="96">
                  <c:v>1.8742100000000001E-3</c:v>
                </c:pt>
                <c:pt idx="97">
                  <c:v>1.9098800000000001E-3</c:v>
                </c:pt>
                <c:pt idx="98">
                  <c:v>1.94433E-3</c:v>
                </c:pt>
                <c:pt idx="99">
                  <c:v>1.9822099999999999E-3</c:v>
                </c:pt>
                <c:pt idx="100">
                  <c:v>2.0194800000000001E-3</c:v>
                </c:pt>
                <c:pt idx="101">
                  <c:v>2.0533299999999999E-3</c:v>
                </c:pt>
                <c:pt idx="102">
                  <c:v>2.0868499999999999E-3</c:v>
                </c:pt>
                <c:pt idx="103">
                  <c:v>2.1231900000000001E-3</c:v>
                </c:pt>
                <c:pt idx="104">
                  <c:v>2.1652899999999998E-3</c:v>
                </c:pt>
                <c:pt idx="105">
                  <c:v>2.2067900000000001E-3</c:v>
                </c:pt>
                <c:pt idx="106">
                  <c:v>2.24829E-3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1F-4DEF-A515-A0F76FFC6173}"/>
            </c:ext>
          </c:extLst>
        </c:ser>
        <c:ser>
          <c:idx val="2"/>
          <c:order val="2"/>
          <c:tx>
            <c:strRef>
              <c:f>'1250 P- 24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hpi'!$L$3:$L$109</c:f>
              <c:numCache>
                <c:formatCode>0.00E+00</c:formatCode>
                <c:ptCount val="107"/>
                <c:pt idx="0">
                  <c:v>1.6979300000000001E-3</c:v>
                </c:pt>
                <c:pt idx="1">
                  <c:v>1.7416300000000001E-3</c:v>
                </c:pt>
                <c:pt idx="2">
                  <c:v>1.7817499999999999E-3</c:v>
                </c:pt>
                <c:pt idx="3">
                  <c:v>1.8232999999999999E-3</c:v>
                </c:pt>
                <c:pt idx="4">
                  <c:v>1.86494E-3</c:v>
                </c:pt>
                <c:pt idx="5">
                  <c:v>1.9032999999999999E-3</c:v>
                </c:pt>
                <c:pt idx="6">
                  <c:v>1.9473299999999999E-3</c:v>
                </c:pt>
                <c:pt idx="7">
                  <c:v>1.9872599999999998E-3</c:v>
                </c:pt>
                <c:pt idx="8">
                  <c:v>2.0276299999999999E-3</c:v>
                </c:pt>
                <c:pt idx="9">
                  <c:v>2.0718099999999999E-3</c:v>
                </c:pt>
                <c:pt idx="10">
                  <c:v>2.1114599999999999E-3</c:v>
                </c:pt>
                <c:pt idx="11">
                  <c:v>2.1565600000000001E-3</c:v>
                </c:pt>
                <c:pt idx="12">
                  <c:v>2.2052299999999999E-3</c:v>
                </c:pt>
                <c:pt idx="13">
                  <c:v>2.2515500000000002E-3</c:v>
                </c:pt>
                <c:pt idx="14">
                  <c:v>2.2966499999999999E-3</c:v>
                </c:pt>
                <c:pt idx="15">
                  <c:v>2.3449999999999999E-3</c:v>
                </c:pt>
                <c:pt idx="16">
                  <c:v>2.3971499999999998E-3</c:v>
                </c:pt>
                <c:pt idx="17">
                  <c:v>2.4509699999999998E-3</c:v>
                </c:pt>
                <c:pt idx="18">
                  <c:v>2.50278E-3</c:v>
                </c:pt>
                <c:pt idx="19">
                  <c:v>2.55047E-3</c:v>
                </c:pt>
                <c:pt idx="20">
                  <c:v>2.6086400000000002E-3</c:v>
                </c:pt>
                <c:pt idx="21">
                  <c:v>2.66366E-3</c:v>
                </c:pt>
                <c:pt idx="22">
                  <c:v>2.7180300000000002E-3</c:v>
                </c:pt>
                <c:pt idx="23">
                  <c:v>2.7700200000000002E-3</c:v>
                </c:pt>
                <c:pt idx="24">
                  <c:v>2.8218900000000001E-3</c:v>
                </c:pt>
                <c:pt idx="25">
                  <c:v>2.8801199999999999E-3</c:v>
                </c:pt>
                <c:pt idx="26">
                  <c:v>2.9284699999999999E-3</c:v>
                </c:pt>
                <c:pt idx="27">
                  <c:v>2.9837900000000001E-3</c:v>
                </c:pt>
                <c:pt idx="28">
                  <c:v>3.0438900000000001E-3</c:v>
                </c:pt>
                <c:pt idx="29">
                  <c:v>2.1525300000000001E-6</c:v>
                </c:pt>
                <c:pt idx="30">
                  <c:v>2.1766200000000002E-6</c:v>
                </c:pt>
                <c:pt idx="31">
                  <c:v>2.1545100000000001E-6</c:v>
                </c:pt>
                <c:pt idx="32">
                  <c:v>2.1389399999999998E-6</c:v>
                </c:pt>
                <c:pt idx="33">
                  <c:v>2.15837E-6</c:v>
                </c:pt>
                <c:pt idx="34">
                  <c:v>2.1120599999999998E-6</c:v>
                </c:pt>
                <c:pt idx="35">
                  <c:v>2.1067600000000001E-6</c:v>
                </c:pt>
                <c:pt idx="36">
                  <c:v>2.0847199999999998E-6</c:v>
                </c:pt>
                <c:pt idx="37">
                  <c:v>2.0686E-6</c:v>
                </c:pt>
                <c:pt idx="38">
                  <c:v>2.0703899999999998E-6</c:v>
                </c:pt>
                <c:pt idx="39">
                  <c:v>1.03213E-3</c:v>
                </c:pt>
                <c:pt idx="40">
                  <c:v>1.08395E-3</c:v>
                </c:pt>
                <c:pt idx="41">
                  <c:v>1.12367E-3</c:v>
                </c:pt>
                <c:pt idx="42">
                  <c:v>1.1576900000000001E-3</c:v>
                </c:pt>
                <c:pt idx="43">
                  <c:v>1.19118E-3</c:v>
                </c:pt>
                <c:pt idx="44">
                  <c:v>1.22576E-3</c:v>
                </c:pt>
                <c:pt idx="45">
                  <c:v>1.2626600000000001E-3</c:v>
                </c:pt>
                <c:pt idx="46">
                  <c:v>1.2953800000000001E-3</c:v>
                </c:pt>
                <c:pt idx="47">
                  <c:v>1.3268100000000001E-3</c:v>
                </c:pt>
                <c:pt idx="48">
                  <c:v>1.36012E-3</c:v>
                </c:pt>
                <c:pt idx="49">
                  <c:v>1.3961399999999999E-3</c:v>
                </c:pt>
                <c:pt idx="50">
                  <c:v>1.4320299999999999E-3</c:v>
                </c:pt>
                <c:pt idx="51">
                  <c:v>1.4652999999999999E-3</c:v>
                </c:pt>
                <c:pt idx="52">
                  <c:v>1.5037099999999999E-3</c:v>
                </c:pt>
                <c:pt idx="53">
                  <c:v>1.54068E-3</c:v>
                </c:pt>
                <c:pt idx="54">
                  <c:v>1.57566E-3</c:v>
                </c:pt>
                <c:pt idx="55">
                  <c:v>1.61589E-3</c:v>
                </c:pt>
                <c:pt idx="56">
                  <c:v>1.66015E-3</c:v>
                </c:pt>
                <c:pt idx="57">
                  <c:v>1.69977E-3</c:v>
                </c:pt>
                <c:pt idx="58">
                  <c:v>1.7401999999999999E-3</c:v>
                </c:pt>
                <c:pt idx="59">
                  <c:v>1.77484E-3</c:v>
                </c:pt>
                <c:pt idx="60">
                  <c:v>1.8178599999999999E-3</c:v>
                </c:pt>
                <c:pt idx="61">
                  <c:v>1.86042E-3</c:v>
                </c:pt>
                <c:pt idx="62">
                  <c:v>1.8978599999999999E-3</c:v>
                </c:pt>
                <c:pt idx="63">
                  <c:v>1.9379E-3</c:v>
                </c:pt>
                <c:pt idx="64">
                  <c:v>1.9790599999999999E-3</c:v>
                </c:pt>
                <c:pt idx="65">
                  <c:v>2.0204699999999999E-3</c:v>
                </c:pt>
                <c:pt idx="66">
                  <c:v>2.0592900000000001E-3</c:v>
                </c:pt>
                <c:pt idx="67">
                  <c:v>2.0939000000000001E-3</c:v>
                </c:pt>
                <c:pt idx="68">
                  <c:v>2.07377E-6</c:v>
                </c:pt>
                <c:pt idx="69">
                  <c:v>2.08439E-6</c:v>
                </c:pt>
                <c:pt idx="70">
                  <c:v>2.0416999999999999E-6</c:v>
                </c:pt>
                <c:pt idx="71">
                  <c:v>2.0436199999999999E-6</c:v>
                </c:pt>
                <c:pt idx="72">
                  <c:v>2.04066E-6</c:v>
                </c:pt>
                <c:pt idx="73">
                  <c:v>2.0443200000000002E-6</c:v>
                </c:pt>
                <c:pt idx="74">
                  <c:v>2.0555000000000001E-6</c:v>
                </c:pt>
                <c:pt idx="75">
                  <c:v>2.0544900000000001E-6</c:v>
                </c:pt>
                <c:pt idx="76">
                  <c:v>2.0598799999999998E-6</c:v>
                </c:pt>
                <c:pt idx="77">
                  <c:v>2.04574E-6</c:v>
                </c:pt>
                <c:pt idx="78">
                  <c:v>1.0782000000000001E-3</c:v>
                </c:pt>
                <c:pt idx="79">
                  <c:v>1.1200299999999999E-3</c:v>
                </c:pt>
                <c:pt idx="80">
                  <c:v>1.15256E-3</c:v>
                </c:pt>
                <c:pt idx="81">
                  <c:v>1.1822200000000001E-3</c:v>
                </c:pt>
                <c:pt idx="82">
                  <c:v>1.2099599999999999E-3</c:v>
                </c:pt>
                <c:pt idx="83">
                  <c:v>1.23824E-3</c:v>
                </c:pt>
                <c:pt idx="84">
                  <c:v>1.2641E-3</c:v>
                </c:pt>
                <c:pt idx="85">
                  <c:v>1.2899599999999999E-3</c:v>
                </c:pt>
                <c:pt idx="86">
                  <c:v>1.3142900000000001E-3</c:v>
                </c:pt>
                <c:pt idx="87">
                  <c:v>1.3406799999999999E-3</c:v>
                </c:pt>
                <c:pt idx="88">
                  <c:v>1.36462E-3</c:v>
                </c:pt>
                <c:pt idx="89">
                  <c:v>1.3897099999999999E-3</c:v>
                </c:pt>
                <c:pt idx="90">
                  <c:v>1.4154599999999999E-3</c:v>
                </c:pt>
                <c:pt idx="91">
                  <c:v>1.4411999999999999E-3</c:v>
                </c:pt>
                <c:pt idx="92">
                  <c:v>1.4692100000000001E-3</c:v>
                </c:pt>
                <c:pt idx="93">
                  <c:v>1.4950899999999999E-3</c:v>
                </c:pt>
                <c:pt idx="94">
                  <c:v>1.5235800000000001E-3</c:v>
                </c:pt>
                <c:pt idx="95">
                  <c:v>1.53999E-3</c:v>
                </c:pt>
                <c:pt idx="96">
                  <c:v>1.5776799999999999E-3</c:v>
                </c:pt>
                <c:pt idx="97">
                  <c:v>1.61068E-3</c:v>
                </c:pt>
                <c:pt idx="98">
                  <c:v>1.6376299999999999E-3</c:v>
                </c:pt>
                <c:pt idx="99">
                  <c:v>1.6682699999999999E-3</c:v>
                </c:pt>
                <c:pt idx="100">
                  <c:v>1.69776E-3</c:v>
                </c:pt>
                <c:pt idx="101">
                  <c:v>1.7292799999999999E-3</c:v>
                </c:pt>
                <c:pt idx="102">
                  <c:v>1.7597800000000001E-3</c:v>
                </c:pt>
                <c:pt idx="103">
                  <c:v>1.7916500000000001E-3</c:v>
                </c:pt>
                <c:pt idx="104">
                  <c:v>1.8225699999999999E-3</c:v>
                </c:pt>
                <c:pt idx="105">
                  <c:v>1.85494E-3</c:v>
                </c:pt>
                <c:pt idx="106">
                  <c:v>1.8837299999999999E-3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1F-4DEF-A515-A0F76FFC6173}"/>
            </c:ext>
          </c:extLst>
        </c:ser>
        <c:ser>
          <c:idx val="3"/>
          <c:order val="3"/>
          <c:tx>
            <c:strRef>
              <c:f>'1250 P- 24 hpi'!$Q$1:$Q$2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hpi'!$Q$3:$Q$109</c:f>
              <c:numCache>
                <c:formatCode>0.00E+00</c:formatCode>
                <c:ptCount val="107"/>
                <c:pt idx="0">
                  <c:v>1.7693100000000001E-3</c:v>
                </c:pt>
                <c:pt idx="1">
                  <c:v>1.80583E-3</c:v>
                </c:pt>
                <c:pt idx="2">
                  <c:v>1.8488599999999999E-3</c:v>
                </c:pt>
                <c:pt idx="3">
                  <c:v>1.8854E-3</c:v>
                </c:pt>
                <c:pt idx="4">
                  <c:v>1.92301E-3</c:v>
                </c:pt>
                <c:pt idx="5">
                  <c:v>1.9640600000000001E-3</c:v>
                </c:pt>
                <c:pt idx="6">
                  <c:v>2.00308E-3</c:v>
                </c:pt>
                <c:pt idx="7">
                  <c:v>2.0389900000000001E-3</c:v>
                </c:pt>
                <c:pt idx="8">
                  <c:v>2.0747700000000001E-3</c:v>
                </c:pt>
                <c:pt idx="9">
                  <c:v>2.1207800000000001E-3</c:v>
                </c:pt>
                <c:pt idx="10">
                  <c:v>2.1594600000000002E-3</c:v>
                </c:pt>
                <c:pt idx="11">
                  <c:v>2.1948900000000001E-3</c:v>
                </c:pt>
                <c:pt idx="12">
                  <c:v>2.2355999999999999E-3</c:v>
                </c:pt>
                <c:pt idx="13">
                  <c:v>2.2875199999999999E-3</c:v>
                </c:pt>
                <c:pt idx="14">
                  <c:v>2.34008E-3</c:v>
                </c:pt>
                <c:pt idx="15">
                  <c:v>2.3856300000000001E-3</c:v>
                </c:pt>
                <c:pt idx="16">
                  <c:v>2.4291099999999999E-3</c:v>
                </c:pt>
                <c:pt idx="17">
                  <c:v>2.4805700000000001E-3</c:v>
                </c:pt>
                <c:pt idx="18">
                  <c:v>2.5333199999999999E-3</c:v>
                </c:pt>
                <c:pt idx="19">
                  <c:v>2.5754100000000002E-3</c:v>
                </c:pt>
                <c:pt idx="20">
                  <c:v>2.6198599999999999E-3</c:v>
                </c:pt>
                <c:pt idx="21">
                  <c:v>2.6708600000000002E-3</c:v>
                </c:pt>
                <c:pt idx="22">
                  <c:v>2.7158500000000001E-3</c:v>
                </c:pt>
                <c:pt idx="23">
                  <c:v>2.75816E-3</c:v>
                </c:pt>
                <c:pt idx="24">
                  <c:v>2.7991800000000001E-3</c:v>
                </c:pt>
                <c:pt idx="25">
                  <c:v>2.84016E-3</c:v>
                </c:pt>
                <c:pt idx="26">
                  <c:v>2.8786200000000001E-3</c:v>
                </c:pt>
                <c:pt idx="27">
                  <c:v>2.9183299999999998E-3</c:v>
                </c:pt>
                <c:pt idx="28">
                  <c:v>2.9529199999999999E-3</c:v>
                </c:pt>
                <c:pt idx="29">
                  <c:v>1.60443E-6</c:v>
                </c:pt>
                <c:pt idx="30">
                  <c:v>1.62594E-6</c:v>
                </c:pt>
                <c:pt idx="31">
                  <c:v>1.61526E-6</c:v>
                </c:pt>
                <c:pt idx="32">
                  <c:v>1.5762099999999999E-6</c:v>
                </c:pt>
                <c:pt idx="33">
                  <c:v>1.5709799999999999E-6</c:v>
                </c:pt>
                <c:pt idx="34">
                  <c:v>1.56687E-6</c:v>
                </c:pt>
                <c:pt idx="35">
                  <c:v>1.56094E-6</c:v>
                </c:pt>
                <c:pt idx="36">
                  <c:v>1.56021E-6</c:v>
                </c:pt>
                <c:pt idx="37">
                  <c:v>1.5601300000000001E-6</c:v>
                </c:pt>
                <c:pt idx="38">
                  <c:v>1.5634600000000001E-6</c:v>
                </c:pt>
                <c:pt idx="39">
                  <c:v>1.1043400000000001E-3</c:v>
                </c:pt>
                <c:pt idx="40">
                  <c:v>1.16848E-3</c:v>
                </c:pt>
                <c:pt idx="41">
                  <c:v>1.2167199999999999E-3</c:v>
                </c:pt>
                <c:pt idx="42">
                  <c:v>1.25724E-3</c:v>
                </c:pt>
                <c:pt idx="43">
                  <c:v>1.2950500000000001E-3</c:v>
                </c:pt>
                <c:pt idx="44">
                  <c:v>1.33175E-3</c:v>
                </c:pt>
                <c:pt idx="45">
                  <c:v>1.3655E-3</c:v>
                </c:pt>
                <c:pt idx="46">
                  <c:v>1.4060100000000001E-3</c:v>
                </c:pt>
                <c:pt idx="47">
                  <c:v>1.4425799999999999E-3</c:v>
                </c:pt>
                <c:pt idx="48">
                  <c:v>1.4769200000000001E-3</c:v>
                </c:pt>
                <c:pt idx="49">
                  <c:v>1.5137499999999999E-3</c:v>
                </c:pt>
                <c:pt idx="50">
                  <c:v>1.5591699999999999E-3</c:v>
                </c:pt>
                <c:pt idx="51">
                  <c:v>1.60013E-3</c:v>
                </c:pt>
                <c:pt idx="52">
                  <c:v>1.63649E-3</c:v>
                </c:pt>
                <c:pt idx="53">
                  <c:v>1.67493E-3</c:v>
                </c:pt>
                <c:pt idx="54">
                  <c:v>1.7146399999999999E-3</c:v>
                </c:pt>
                <c:pt idx="55">
                  <c:v>1.7539400000000001E-3</c:v>
                </c:pt>
                <c:pt idx="56">
                  <c:v>1.7902899999999999E-3</c:v>
                </c:pt>
                <c:pt idx="57">
                  <c:v>1.82909E-3</c:v>
                </c:pt>
                <c:pt idx="58">
                  <c:v>1.8727699999999999E-3</c:v>
                </c:pt>
                <c:pt idx="59">
                  <c:v>1.91822E-3</c:v>
                </c:pt>
                <c:pt idx="60">
                  <c:v>1.95327E-3</c:v>
                </c:pt>
                <c:pt idx="61">
                  <c:v>1.9915900000000001E-3</c:v>
                </c:pt>
                <c:pt idx="62">
                  <c:v>2.0308399999999999E-3</c:v>
                </c:pt>
                <c:pt idx="63">
                  <c:v>2.06676E-3</c:v>
                </c:pt>
                <c:pt idx="64">
                  <c:v>2.1036200000000001E-3</c:v>
                </c:pt>
                <c:pt idx="65">
                  <c:v>2.1415399999999999E-3</c:v>
                </c:pt>
                <c:pt idx="66">
                  <c:v>2.1825899999999999E-3</c:v>
                </c:pt>
                <c:pt idx="67">
                  <c:v>2.21616E-3</c:v>
                </c:pt>
                <c:pt idx="68">
                  <c:v>1.52005E-6</c:v>
                </c:pt>
                <c:pt idx="69">
                  <c:v>1.55791E-6</c:v>
                </c:pt>
                <c:pt idx="70">
                  <c:v>1.5552900000000001E-6</c:v>
                </c:pt>
                <c:pt idx="71">
                  <c:v>1.55511E-6</c:v>
                </c:pt>
                <c:pt idx="72">
                  <c:v>1.5535799999999999E-6</c:v>
                </c:pt>
                <c:pt idx="73">
                  <c:v>1.57576E-6</c:v>
                </c:pt>
                <c:pt idx="74">
                  <c:v>1.5652700000000001E-6</c:v>
                </c:pt>
                <c:pt idx="75">
                  <c:v>1.5655000000000001E-6</c:v>
                </c:pt>
                <c:pt idx="76">
                  <c:v>1.56312E-6</c:v>
                </c:pt>
                <c:pt idx="77">
                  <c:v>1.5763000000000001E-6</c:v>
                </c:pt>
                <c:pt idx="78">
                  <c:v>1.2172000000000001E-3</c:v>
                </c:pt>
                <c:pt idx="79">
                  <c:v>1.2829E-3</c:v>
                </c:pt>
                <c:pt idx="80">
                  <c:v>1.3290000000000001E-3</c:v>
                </c:pt>
                <c:pt idx="81">
                  <c:v>1.3687700000000001E-3</c:v>
                </c:pt>
                <c:pt idx="82">
                  <c:v>1.4070899999999999E-3</c:v>
                </c:pt>
                <c:pt idx="83">
                  <c:v>1.4460600000000001E-3</c:v>
                </c:pt>
                <c:pt idx="84">
                  <c:v>1.48207E-3</c:v>
                </c:pt>
                <c:pt idx="85">
                  <c:v>1.51418E-3</c:v>
                </c:pt>
                <c:pt idx="86">
                  <c:v>1.5466099999999999E-3</c:v>
                </c:pt>
                <c:pt idx="87">
                  <c:v>1.5775699999999999E-3</c:v>
                </c:pt>
                <c:pt idx="88">
                  <c:v>1.6067200000000001E-3</c:v>
                </c:pt>
                <c:pt idx="89">
                  <c:v>1.63765E-3</c:v>
                </c:pt>
                <c:pt idx="90">
                  <c:v>1.6672799999999999E-3</c:v>
                </c:pt>
                <c:pt idx="91">
                  <c:v>1.69644E-3</c:v>
                </c:pt>
                <c:pt idx="92">
                  <c:v>1.72336E-3</c:v>
                </c:pt>
                <c:pt idx="93">
                  <c:v>1.74552E-3</c:v>
                </c:pt>
                <c:pt idx="94">
                  <c:v>1.7734199999999999E-3</c:v>
                </c:pt>
                <c:pt idx="95">
                  <c:v>1.7978099999999999E-3</c:v>
                </c:pt>
                <c:pt idx="96">
                  <c:v>1.82544E-3</c:v>
                </c:pt>
                <c:pt idx="97">
                  <c:v>1.8494E-3</c:v>
                </c:pt>
                <c:pt idx="98">
                  <c:v>1.8734400000000001E-3</c:v>
                </c:pt>
                <c:pt idx="99">
                  <c:v>1.90165E-3</c:v>
                </c:pt>
                <c:pt idx="100">
                  <c:v>1.9277999999999999E-3</c:v>
                </c:pt>
                <c:pt idx="101">
                  <c:v>1.95236E-3</c:v>
                </c:pt>
                <c:pt idx="102">
                  <c:v>1.9833099999999998E-3</c:v>
                </c:pt>
                <c:pt idx="103">
                  <c:v>2.0087500000000001E-3</c:v>
                </c:pt>
                <c:pt idx="104">
                  <c:v>2.0340699999999998E-3</c:v>
                </c:pt>
                <c:pt idx="105">
                  <c:v>2.06244E-3</c:v>
                </c:pt>
                <c:pt idx="106">
                  <c:v>2.0833100000000001E-3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1F-4DEF-A515-A0F76FFC6173}"/>
            </c:ext>
          </c:extLst>
        </c:ser>
        <c:ser>
          <c:idx val="4"/>
          <c:order val="4"/>
          <c:tx>
            <c:strRef>
              <c:f>'1250 P- 24 hpi'!$V$1:$V$2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hpi'!$V$3:$V$109</c:f>
              <c:numCache>
                <c:formatCode>0.00E+00</c:formatCode>
                <c:ptCount val="107"/>
                <c:pt idx="0">
                  <c:v>1.4904300000000001E-3</c:v>
                </c:pt>
                <c:pt idx="1">
                  <c:v>1.5048500000000001E-3</c:v>
                </c:pt>
                <c:pt idx="2">
                  <c:v>1.51885E-3</c:v>
                </c:pt>
                <c:pt idx="3">
                  <c:v>1.53061E-3</c:v>
                </c:pt>
                <c:pt idx="4">
                  <c:v>1.54893E-3</c:v>
                </c:pt>
                <c:pt idx="5">
                  <c:v>1.5619500000000001E-3</c:v>
                </c:pt>
                <c:pt idx="6">
                  <c:v>1.57417E-3</c:v>
                </c:pt>
                <c:pt idx="7">
                  <c:v>1.5868600000000001E-3</c:v>
                </c:pt>
                <c:pt idx="8">
                  <c:v>1.60111E-3</c:v>
                </c:pt>
                <c:pt idx="9">
                  <c:v>1.6084199999999999E-3</c:v>
                </c:pt>
                <c:pt idx="10">
                  <c:v>1.62488E-3</c:v>
                </c:pt>
                <c:pt idx="11">
                  <c:v>1.6413899999999999E-3</c:v>
                </c:pt>
                <c:pt idx="12">
                  <c:v>1.65745E-3</c:v>
                </c:pt>
                <c:pt idx="13">
                  <c:v>1.6691200000000001E-3</c:v>
                </c:pt>
                <c:pt idx="14">
                  <c:v>1.6760799999999999E-3</c:v>
                </c:pt>
                <c:pt idx="15">
                  <c:v>1.6978500000000001E-3</c:v>
                </c:pt>
                <c:pt idx="16">
                  <c:v>1.7129599999999999E-3</c:v>
                </c:pt>
                <c:pt idx="17">
                  <c:v>1.72748E-3</c:v>
                </c:pt>
                <c:pt idx="18">
                  <c:v>1.74815E-3</c:v>
                </c:pt>
                <c:pt idx="19">
                  <c:v>1.77085E-3</c:v>
                </c:pt>
                <c:pt idx="20">
                  <c:v>1.7909200000000001E-3</c:v>
                </c:pt>
                <c:pt idx="21">
                  <c:v>1.8191399999999999E-3</c:v>
                </c:pt>
                <c:pt idx="22">
                  <c:v>1.84235E-3</c:v>
                </c:pt>
                <c:pt idx="23">
                  <c:v>1.8697E-3</c:v>
                </c:pt>
                <c:pt idx="24">
                  <c:v>1.89945E-3</c:v>
                </c:pt>
                <c:pt idx="25">
                  <c:v>1.9232299999999999E-3</c:v>
                </c:pt>
                <c:pt idx="26">
                  <c:v>1.94702E-3</c:v>
                </c:pt>
                <c:pt idx="27">
                  <c:v>1.9821299999999999E-3</c:v>
                </c:pt>
                <c:pt idx="28">
                  <c:v>2.0112799999999998E-3</c:v>
                </c:pt>
                <c:pt idx="29">
                  <c:v>2.0015299999999998E-6</c:v>
                </c:pt>
                <c:pt idx="30">
                  <c:v>2.0545099999999998E-6</c:v>
                </c:pt>
                <c:pt idx="31">
                  <c:v>2.0626299999999999E-6</c:v>
                </c:pt>
                <c:pt idx="32">
                  <c:v>2.06794E-6</c:v>
                </c:pt>
                <c:pt idx="33">
                  <c:v>2.0676400000000002E-6</c:v>
                </c:pt>
                <c:pt idx="34">
                  <c:v>2.0777800000000001E-6</c:v>
                </c:pt>
                <c:pt idx="35">
                  <c:v>2.0855199999999999E-6</c:v>
                </c:pt>
                <c:pt idx="36">
                  <c:v>2.08379E-6</c:v>
                </c:pt>
                <c:pt idx="37">
                  <c:v>2.0819700000000002E-6</c:v>
                </c:pt>
                <c:pt idx="38">
                  <c:v>2.0850400000000002E-6</c:v>
                </c:pt>
                <c:pt idx="39">
                  <c:v>1.04235E-3</c:v>
                </c:pt>
                <c:pt idx="40">
                  <c:v>1.1002E-3</c:v>
                </c:pt>
                <c:pt idx="41">
                  <c:v>1.14186E-3</c:v>
                </c:pt>
                <c:pt idx="42">
                  <c:v>1.1812299999999999E-3</c:v>
                </c:pt>
                <c:pt idx="43">
                  <c:v>1.2134400000000001E-3</c:v>
                </c:pt>
                <c:pt idx="44">
                  <c:v>1.2512300000000001E-3</c:v>
                </c:pt>
                <c:pt idx="45">
                  <c:v>1.2894200000000001E-3</c:v>
                </c:pt>
                <c:pt idx="46">
                  <c:v>1.32587E-3</c:v>
                </c:pt>
                <c:pt idx="47">
                  <c:v>1.3613500000000001E-3</c:v>
                </c:pt>
                <c:pt idx="48">
                  <c:v>1.3965099999999999E-3</c:v>
                </c:pt>
                <c:pt idx="49">
                  <c:v>1.4372E-3</c:v>
                </c:pt>
                <c:pt idx="50">
                  <c:v>1.4756599999999999E-3</c:v>
                </c:pt>
                <c:pt idx="51">
                  <c:v>1.51264E-3</c:v>
                </c:pt>
                <c:pt idx="52">
                  <c:v>1.55758E-3</c:v>
                </c:pt>
                <c:pt idx="53">
                  <c:v>1.59815E-3</c:v>
                </c:pt>
                <c:pt idx="54">
                  <c:v>1.6377799999999999E-3</c:v>
                </c:pt>
                <c:pt idx="55">
                  <c:v>1.67611E-3</c:v>
                </c:pt>
                <c:pt idx="56">
                  <c:v>1.72215E-3</c:v>
                </c:pt>
                <c:pt idx="57">
                  <c:v>1.7595099999999999E-3</c:v>
                </c:pt>
                <c:pt idx="58">
                  <c:v>1.80529E-3</c:v>
                </c:pt>
                <c:pt idx="59">
                  <c:v>1.8450700000000001E-3</c:v>
                </c:pt>
                <c:pt idx="60">
                  <c:v>1.8871999999999999E-3</c:v>
                </c:pt>
                <c:pt idx="61">
                  <c:v>1.9281299999999999E-3</c:v>
                </c:pt>
                <c:pt idx="62">
                  <c:v>1.9745299999999999E-3</c:v>
                </c:pt>
                <c:pt idx="63">
                  <c:v>2.0172200000000001E-3</c:v>
                </c:pt>
                <c:pt idx="64">
                  <c:v>2.0750199999999999E-3</c:v>
                </c:pt>
                <c:pt idx="65">
                  <c:v>2.134E-3</c:v>
                </c:pt>
                <c:pt idx="66">
                  <c:v>2.1876299999999999E-3</c:v>
                </c:pt>
                <c:pt idx="67">
                  <c:v>2.2413799999999998E-3</c:v>
                </c:pt>
                <c:pt idx="68">
                  <c:v>1.9849299999999998E-6</c:v>
                </c:pt>
                <c:pt idx="69">
                  <c:v>2.0368000000000001E-6</c:v>
                </c:pt>
                <c:pt idx="70">
                  <c:v>2.0443500000000002E-6</c:v>
                </c:pt>
                <c:pt idx="71">
                  <c:v>2.05194E-6</c:v>
                </c:pt>
                <c:pt idx="72">
                  <c:v>2.0570700000000002E-6</c:v>
                </c:pt>
                <c:pt idx="73">
                  <c:v>2.0606400000000001E-6</c:v>
                </c:pt>
                <c:pt idx="74">
                  <c:v>2.0687100000000001E-6</c:v>
                </c:pt>
                <c:pt idx="75">
                  <c:v>2.07253E-6</c:v>
                </c:pt>
                <c:pt idx="76">
                  <c:v>2.0779099999999999E-6</c:v>
                </c:pt>
                <c:pt idx="77">
                  <c:v>2.0815899999999998E-6</c:v>
                </c:pt>
                <c:pt idx="78">
                  <c:v>9.5597900000000003E-4</c:v>
                </c:pt>
                <c:pt idx="79">
                  <c:v>1.0288599999999999E-3</c:v>
                </c:pt>
                <c:pt idx="80">
                  <c:v>1.09037E-3</c:v>
                </c:pt>
                <c:pt idx="81">
                  <c:v>1.14941E-3</c:v>
                </c:pt>
                <c:pt idx="82">
                  <c:v>1.20082E-3</c:v>
                </c:pt>
                <c:pt idx="83">
                  <c:v>1.2503200000000001E-3</c:v>
                </c:pt>
                <c:pt idx="84">
                  <c:v>1.29725E-3</c:v>
                </c:pt>
                <c:pt idx="85">
                  <c:v>1.3429799999999999E-3</c:v>
                </c:pt>
                <c:pt idx="86">
                  <c:v>1.3929700000000001E-3</c:v>
                </c:pt>
                <c:pt idx="87">
                  <c:v>1.4316800000000001E-3</c:v>
                </c:pt>
                <c:pt idx="88">
                  <c:v>1.4778899999999999E-3</c:v>
                </c:pt>
                <c:pt idx="89">
                  <c:v>1.5259799999999999E-3</c:v>
                </c:pt>
                <c:pt idx="90">
                  <c:v>1.56525E-3</c:v>
                </c:pt>
                <c:pt idx="91">
                  <c:v>1.60618E-3</c:v>
                </c:pt>
                <c:pt idx="92">
                  <c:v>1.6416E-3</c:v>
                </c:pt>
                <c:pt idx="93">
                  <c:v>1.69535E-3</c:v>
                </c:pt>
                <c:pt idx="94">
                  <c:v>1.7365200000000001E-3</c:v>
                </c:pt>
                <c:pt idx="95">
                  <c:v>1.77944E-3</c:v>
                </c:pt>
                <c:pt idx="96">
                  <c:v>1.82401E-3</c:v>
                </c:pt>
                <c:pt idx="97">
                  <c:v>1.86699E-3</c:v>
                </c:pt>
                <c:pt idx="98">
                  <c:v>1.9035600000000001E-3</c:v>
                </c:pt>
                <c:pt idx="99">
                  <c:v>1.9406499999999999E-3</c:v>
                </c:pt>
                <c:pt idx="100">
                  <c:v>1.9904499999999999E-3</c:v>
                </c:pt>
                <c:pt idx="101">
                  <c:v>2.0316499999999999E-3</c:v>
                </c:pt>
                <c:pt idx="102">
                  <c:v>2.0741000000000002E-3</c:v>
                </c:pt>
                <c:pt idx="103">
                  <c:v>2.1056E-3</c:v>
                </c:pt>
                <c:pt idx="104">
                  <c:v>2.15877E-3</c:v>
                </c:pt>
                <c:pt idx="105">
                  <c:v>2.1964900000000002E-3</c:v>
                </c:pt>
                <c:pt idx="106">
                  <c:v>2.2415999999999998E-3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1F-4DEF-A515-A0F76FFC6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181664"/>
        <c:axId val="561187072"/>
      </c:scatterChart>
      <c:valAx>
        <c:axId val="56118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87072"/>
        <c:crosses val="autoZero"/>
        <c:crossBetween val="midCat"/>
      </c:valAx>
      <c:valAx>
        <c:axId val="5611870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8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P- 24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hpi'!$C$3:$C$109</c:f>
              <c:numCache>
                <c:formatCode>General</c:formatCode>
                <c:ptCount val="107"/>
                <c:pt idx="0">
                  <c:v>2.66529E-4</c:v>
                </c:pt>
                <c:pt idx="1">
                  <c:v>2.6546099999999998E-4</c:v>
                </c:pt>
                <c:pt idx="2">
                  <c:v>2.6397200000000001E-4</c:v>
                </c:pt>
                <c:pt idx="3">
                  <c:v>2.6169099999999999E-4</c:v>
                </c:pt>
                <c:pt idx="4">
                  <c:v>2.6179399999999998E-4</c:v>
                </c:pt>
                <c:pt idx="5">
                  <c:v>2.6123800000000001E-4</c:v>
                </c:pt>
                <c:pt idx="6">
                  <c:v>2.6051699999999999E-4</c:v>
                </c:pt>
                <c:pt idx="7">
                  <c:v>2.6015000000000001E-4</c:v>
                </c:pt>
                <c:pt idx="8">
                  <c:v>2.5931400000000002E-4</c:v>
                </c:pt>
                <c:pt idx="9">
                  <c:v>2.5842299999999998E-4</c:v>
                </c:pt>
                <c:pt idx="10">
                  <c:v>2.5951499999999998E-4</c:v>
                </c:pt>
                <c:pt idx="11">
                  <c:v>2.5869499999999998E-4</c:v>
                </c:pt>
                <c:pt idx="12">
                  <c:v>2.5768399999999999E-4</c:v>
                </c:pt>
                <c:pt idx="13">
                  <c:v>2.5938600000000001E-4</c:v>
                </c:pt>
                <c:pt idx="14">
                  <c:v>2.5757200000000002E-4</c:v>
                </c:pt>
                <c:pt idx="15">
                  <c:v>2.5781699999999997E-4</c:v>
                </c:pt>
                <c:pt idx="16">
                  <c:v>2.5616400000000002E-4</c:v>
                </c:pt>
                <c:pt idx="17">
                  <c:v>2.5700000000000001E-4</c:v>
                </c:pt>
                <c:pt idx="18">
                  <c:v>2.5772499999999999E-4</c:v>
                </c:pt>
                <c:pt idx="19">
                  <c:v>2.5745299999999999E-4</c:v>
                </c:pt>
                <c:pt idx="20">
                  <c:v>2.5828E-4</c:v>
                </c:pt>
                <c:pt idx="21">
                  <c:v>2.57199E-4</c:v>
                </c:pt>
                <c:pt idx="22">
                  <c:v>2.5875699999999998E-4</c:v>
                </c:pt>
                <c:pt idx="23">
                  <c:v>2.5884500000000001E-4</c:v>
                </c:pt>
                <c:pt idx="24">
                  <c:v>2.5901500000000003E-4</c:v>
                </c:pt>
                <c:pt idx="25">
                  <c:v>2.6067400000000002E-4</c:v>
                </c:pt>
                <c:pt idx="26">
                  <c:v>2.6077499999999998E-4</c:v>
                </c:pt>
                <c:pt idx="27">
                  <c:v>2.61096E-4</c:v>
                </c:pt>
                <c:pt idx="28">
                  <c:v>2.6157600000000002E-4</c:v>
                </c:pt>
                <c:pt idx="29">
                  <c:v>3.6486699999999997E-5</c:v>
                </c:pt>
                <c:pt idx="30">
                  <c:v>3.6071600000000002E-5</c:v>
                </c:pt>
                <c:pt idx="31">
                  <c:v>3.53815E-5</c:v>
                </c:pt>
                <c:pt idx="32">
                  <c:v>3.4763700000000001E-5</c:v>
                </c:pt>
                <c:pt idx="33">
                  <c:v>3.4301999999999998E-5</c:v>
                </c:pt>
                <c:pt idx="34">
                  <c:v>3.3957900000000002E-5</c:v>
                </c:pt>
                <c:pt idx="35">
                  <c:v>3.3483799999999999E-5</c:v>
                </c:pt>
                <c:pt idx="36">
                  <c:v>3.32832E-5</c:v>
                </c:pt>
                <c:pt idx="37">
                  <c:v>3.3052300000000002E-5</c:v>
                </c:pt>
                <c:pt idx="38">
                  <c:v>3.2707399999999998E-5</c:v>
                </c:pt>
                <c:pt idx="39">
                  <c:v>2.0976400000000001E-4</c:v>
                </c:pt>
                <c:pt idx="40">
                  <c:v>1.9914100000000001E-4</c:v>
                </c:pt>
                <c:pt idx="41">
                  <c:v>1.9707899999999999E-4</c:v>
                </c:pt>
                <c:pt idx="42">
                  <c:v>1.95262E-4</c:v>
                </c:pt>
                <c:pt idx="43">
                  <c:v>1.9416E-4</c:v>
                </c:pt>
                <c:pt idx="44">
                  <c:v>1.92924E-4</c:v>
                </c:pt>
                <c:pt idx="45">
                  <c:v>1.9180099999999999E-4</c:v>
                </c:pt>
                <c:pt idx="46">
                  <c:v>1.91125E-4</c:v>
                </c:pt>
                <c:pt idx="47">
                  <c:v>1.9032399999999999E-4</c:v>
                </c:pt>
                <c:pt idx="48">
                  <c:v>1.9163599999999999E-4</c:v>
                </c:pt>
                <c:pt idx="49">
                  <c:v>1.9015699999999999E-4</c:v>
                </c:pt>
                <c:pt idx="50">
                  <c:v>1.8944200000000001E-4</c:v>
                </c:pt>
                <c:pt idx="51">
                  <c:v>1.9060600000000001E-4</c:v>
                </c:pt>
                <c:pt idx="52">
                  <c:v>1.90266E-4</c:v>
                </c:pt>
                <c:pt idx="53">
                  <c:v>1.9122900000000001E-4</c:v>
                </c:pt>
                <c:pt idx="54">
                  <c:v>1.9101599999999999E-4</c:v>
                </c:pt>
                <c:pt idx="55">
                  <c:v>1.90538E-4</c:v>
                </c:pt>
                <c:pt idx="56">
                  <c:v>1.9017599999999999E-4</c:v>
                </c:pt>
                <c:pt idx="57">
                  <c:v>1.9044999999999999E-4</c:v>
                </c:pt>
                <c:pt idx="58">
                  <c:v>1.9117099999999999E-4</c:v>
                </c:pt>
                <c:pt idx="59">
                  <c:v>1.9190599999999999E-4</c:v>
                </c:pt>
                <c:pt idx="60">
                  <c:v>1.92692E-4</c:v>
                </c:pt>
                <c:pt idx="61">
                  <c:v>1.9236399999999999E-4</c:v>
                </c:pt>
                <c:pt idx="62">
                  <c:v>1.9241000000000001E-4</c:v>
                </c:pt>
                <c:pt idx="63">
                  <c:v>1.9159900000000001E-4</c:v>
                </c:pt>
                <c:pt idx="64">
                  <c:v>1.9260699999999999E-4</c:v>
                </c:pt>
                <c:pt idx="65">
                  <c:v>1.92898E-4</c:v>
                </c:pt>
                <c:pt idx="66">
                  <c:v>1.9340500000000001E-4</c:v>
                </c:pt>
                <c:pt idx="67">
                  <c:v>1.9313300000000001E-4</c:v>
                </c:pt>
                <c:pt idx="68">
                  <c:v>3.1720800000000003E-5</c:v>
                </c:pt>
                <c:pt idx="69">
                  <c:v>3.1800100000000001E-5</c:v>
                </c:pt>
                <c:pt idx="70">
                  <c:v>3.1681299999999998E-5</c:v>
                </c:pt>
                <c:pt idx="71">
                  <c:v>3.1585000000000003E-5</c:v>
                </c:pt>
                <c:pt idx="72">
                  <c:v>3.1514399999999998E-5</c:v>
                </c:pt>
                <c:pt idx="73">
                  <c:v>3.1458399999999997E-5</c:v>
                </c:pt>
                <c:pt idx="74">
                  <c:v>3.14504E-5</c:v>
                </c:pt>
                <c:pt idx="75">
                  <c:v>3.1428099999999998E-5</c:v>
                </c:pt>
                <c:pt idx="76">
                  <c:v>3.1418899999999998E-5</c:v>
                </c:pt>
                <c:pt idx="77">
                  <c:v>3.1390599999999997E-5</c:v>
                </c:pt>
                <c:pt idx="78">
                  <c:v>1.95918E-4</c:v>
                </c:pt>
                <c:pt idx="79">
                  <c:v>1.9673100000000001E-4</c:v>
                </c:pt>
                <c:pt idx="80">
                  <c:v>1.94181E-4</c:v>
                </c:pt>
                <c:pt idx="81">
                  <c:v>1.9318300000000001E-4</c:v>
                </c:pt>
                <c:pt idx="82">
                  <c:v>1.91652E-4</c:v>
                </c:pt>
                <c:pt idx="83">
                  <c:v>1.9238E-4</c:v>
                </c:pt>
                <c:pt idx="84">
                  <c:v>1.92478E-4</c:v>
                </c:pt>
                <c:pt idx="85">
                  <c:v>1.9393899999999999E-4</c:v>
                </c:pt>
                <c:pt idx="86">
                  <c:v>1.93501E-4</c:v>
                </c:pt>
                <c:pt idx="87">
                  <c:v>1.9348E-4</c:v>
                </c:pt>
                <c:pt idx="88">
                  <c:v>1.9173399999999999E-4</c:v>
                </c:pt>
                <c:pt idx="89">
                  <c:v>1.9174200000000001E-4</c:v>
                </c:pt>
                <c:pt idx="90">
                  <c:v>1.9144999999999999E-4</c:v>
                </c:pt>
                <c:pt idx="91">
                  <c:v>1.91182E-4</c:v>
                </c:pt>
                <c:pt idx="92">
                  <c:v>1.9301100000000001E-4</c:v>
                </c:pt>
                <c:pt idx="93">
                  <c:v>1.93649E-4</c:v>
                </c:pt>
                <c:pt idx="94">
                  <c:v>1.9502000000000001E-4</c:v>
                </c:pt>
                <c:pt idx="95">
                  <c:v>1.9387199999999999E-4</c:v>
                </c:pt>
                <c:pt idx="96">
                  <c:v>1.9379799999999999E-4</c:v>
                </c:pt>
                <c:pt idx="97">
                  <c:v>1.93062E-4</c:v>
                </c:pt>
                <c:pt idx="98">
                  <c:v>1.9241000000000001E-4</c:v>
                </c:pt>
                <c:pt idx="99">
                  <c:v>1.9413699999999999E-4</c:v>
                </c:pt>
                <c:pt idx="100">
                  <c:v>1.9413399999999999E-4</c:v>
                </c:pt>
                <c:pt idx="101">
                  <c:v>1.9532499999999999E-4</c:v>
                </c:pt>
                <c:pt idx="102">
                  <c:v>1.96486E-4</c:v>
                </c:pt>
                <c:pt idx="103">
                  <c:v>1.9633500000000001E-4</c:v>
                </c:pt>
                <c:pt idx="104">
                  <c:v>1.9652499999999999E-4</c:v>
                </c:pt>
                <c:pt idx="105">
                  <c:v>1.96472E-4</c:v>
                </c:pt>
                <c:pt idx="106">
                  <c:v>1.95E-4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D-46E7-B992-24A84460C506}"/>
            </c:ext>
          </c:extLst>
        </c:ser>
        <c:ser>
          <c:idx val="1"/>
          <c:order val="1"/>
          <c:tx>
            <c:strRef>
              <c:f>'1250 P- 24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hpi'!$H$3:$H$109</c:f>
              <c:numCache>
                <c:formatCode>0.00E+00</c:formatCode>
                <c:ptCount val="107"/>
                <c:pt idx="0">
                  <c:v>2.7780699999999998E-4</c:v>
                </c:pt>
                <c:pt idx="1">
                  <c:v>2.8409000000000003E-4</c:v>
                </c:pt>
                <c:pt idx="2">
                  <c:v>2.8951699999999999E-4</c:v>
                </c:pt>
                <c:pt idx="3">
                  <c:v>2.9811799999999999E-4</c:v>
                </c:pt>
                <c:pt idx="4">
                  <c:v>3.0705800000000003E-4</c:v>
                </c:pt>
                <c:pt idx="5">
                  <c:v>3.13553E-4</c:v>
                </c:pt>
                <c:pt idx="6">
                  <c:v>3.1783799999999997E-4</c:v>
                </c:pt>
                <c:pt idx="7">
                  <c:v>3.2922600000000001E-4</c:v>
                </c:pt>
                <c:pt idx="8">
                  <c:v>3.3976999999999998E-4</c:v>
                </c:pt>
                <c:pt idx="9">
                  <c:v>3.4611599999999999E-4</c:v>
                </c:pt>
                <c:pt idx="10">
                  <c:v>3.5420200000000002E-4</c:v>
                </c:pt>
                <c:pt idx="11">
                  <c:v>3.6650099999999998E-4</c:v>
                </c:pt>
                <c:pt idx="12">
                  <c:v>3.75103E-4</c:v>
                </c:pt>
                <c:pt idx="13">
                  <c:v>3.8333399999999999E-4</c:v>
                </c:pt>
                <c:pt idx="14">
                  <c:v>3.95082E-4</c:v>
                </c:pt>
                <c:pt idx="15">
                  <c:v>4.0932700000000002E-4</c:v>
                </c:pt>
                <c:pt idx="16">
                  <c:v>4.2443500000000002E-4</c:v>
                </c:pt>
                <c:pt idx="17">
                  <c:v>4.37231E-4</c:v>
                </c:pt>
                <c:pt idx="18">
                  <c:v>4.3068099999999998E-4</c:v>
                </c:pt>
                <c:pt idx="19">
                  <c:v>4.42378E-4</c:v>
                </c:pt>
                <c:pt idx="20">
                  <c:v>4.4881700000000001E-4</c:v>
                </c:pt>
                <c:pt idx="21">
                  <c:v>4.5023699999999998E-4</c:v>
                </c:pt>
                <c:pt idx="22">
                  <c:v>4.6609599999999999E-4</c:v>
                </c:pt>
                <c:pt idx="23">
                  <c:v>4.7460100000000001E-4</c:v>
                </c:pt>
                <c:pt idx="24">
                  <c:v>4.8288299999999998E-4</c:v>
                </c:pt>
                <c:pt idx="25">
                  <c:v>4.8967300000000004E-4</c:v>
                </c:pt>
                <c:pt idx="26">
                  <c:v>4.9625799999999996E-4</c:v>
                </c:pt>
                <c:pt idx="27">
                  <c:v>4.9898800000000001E-4</c:v>
                </c:pt>
                <c:pt idx="28">
                  <c:v>5.0814399999999998E-4</c:v>
                </c:pt>
                <c:pt idx="29">
                  <c:v>2.3373199999999998E-5</c:v>
                </c:pt>
                <c:pt idx="30">
                  <c:v>2.30185E-5</c:v>
                </c:pt>
                <c:pt idx="31">
                  <c:v>2.2903200000000001E-5</c:v>
                </c:pt>
                <c:pt idx="32">
                  <c:v>2.2771900000000001E-5</c:v>
                </c:pt>
                <c:pt idx="33">
                  <c:v>2.27495E-5</c:v>
                </c:pt>
                <c:pt idx="34">
                  <c:v>2.2466599999999999E-5</c:v>
                </c:pt>
                <c:pt idx="35">
                  <c:v>2.23508E-5</c:v>
                </c:pt>
                <c:pt idx="36">
                  <c:v>2.23063E-5</c:v>
                </c:pt>
                <c:pt idx="37">
                  <c:v>2.21779E-5</c:v>
                </c:pt>
                <c:pt idx="38">
                  <c:v>2.2133E-5</c:v>
                </c:pt>
                <c:pt idx="39">
                  <c:v>2.24007E-4</c:v>
                </c:pt>
                <c:pt idx="40">
                  <c:v>2.3431799999999999E-4</c:v>
                </c:pt>
                <c:pt idx="41">
                  <c:v>2.4142400000000001E-4</c:v>
                </c:pt>
                <c:pt idx="42">
                  <c:v>2.4515399999999998E-4</c:v>
                </c:pt>
                <c:pt idx="43">
                  <c:v>2.5119500000000001E-4</c:v>
                </c:pt>
                <c:pt idx="44">
                  <c:v>2.5685999999999998E-4</c:v>
                </c:pt>
                <c:pt idx="45">
                  <c:v>2.6457999999999999E-4</c:v>
                </c:pt>
                <c:pt idx="46">
                  <c:v>2.7272800000000002E-4</c:v>
                </c:pt>
                <c:pt idx="47">
                  <c:v>2.82694E-4</c:v>
                </c:pt>
                <c:pt idx="48">
                  <c:v>2.8623199999999998E-4</c:v>
                </c:pt>
                <c:pt idx="49">
                  <c:v>2.8987400000000002E-4</c:v>
                </c:pt>
                <c:pt idx="50">
                  <c:v>2.9192500000000001E-4</c:v>
                </c:pt>
                <c:pt idx="51">
                  <c:v>3.0304300000000002E-4</c:v>
                </c:pt>
                <c:pt idx="52">
                  <c:v>3.07056E-4</c:v>
                </c:pt>
                <c:pt idx="53">
                  <c:v>3.1581799999999999E-4</c:v>
                </c:pt>
                <c:pt idx="54">
                  <c:v>3.20508E-4</c:v>
                </c:pt>
                <c:pt idx="55">
                  <c:v>3.3225699999999997E-4</c:v>
                </c:pt>
                <c:pt idx="56">
                  <c:v>3.4261600000000001E-4</c:v>
                </c:pt>
                <c:pt idx="57">
                  <c:v>3.4457800000000001E-4</c:v>
                </c:pt>
                <c:pt idx="58">
                  <c:v>3.6195599999999997E-4</c:v>
                </c:pt>
                <c:pt idx="59">
                  <c:v>3.7415499999999998E-4</c:v>
                </c:pt>
                <c:pt idx="60">
                  <c:v>3.74951E-4</c:v>
                </c:pt>
                <c:pt idx="61">
                  <c:v>3.8588700000000001E-4</c:v>
                </c:pt>
                <c:pt idx="62">
                  <c:v>3.9650299999999998E-4</c:v>
                </c:pt>
                <c:pt idx="63">
                  <c:v>4.02595E-4</c:v>
                </c:pt>
                <c:pt idx="64">
                  <c:v>4.1256799999999998E-4</c:v>
                </c:pt>
                <c:pt idx="65">
                  <c:v>4.1830300000000002E-4</c:v>
                </c:pt>
                <c:pt idx="66">
                  <c:v>4.2479099999999999E-4</c:v>
                </c:pt>
                <c:pt idx="67">
                  <c:v>4.3324299999999999E-4</c:v>
                </c:pt>
                <c:pt idx="68">
                  <c:v>2.1969600000000001E-5</c:v>
                </c:pt>
                <c:pt idx="69">
                  <c:v>2.1781400000000001E-5</c:v>
                </c:pt>
                <c:pt idx="70">
                  <c:v>2.1620999999999998E-5</c:v>
                </c:pt>
                <c:pt idx="71">
                  <c:v>2.1565299999999998E-5</c:v>
                </c:pt>
                <c:pt idx="72">
                  <c:v>2.1738200000000001E-5</c:v>
                </c:pt>
                <c:pt idx="73">
                  <c:v>2.18443E-5</c:v>
                </c:pt>
                <c:pt idx="74">
                  <c:v>2.1841999999999999E-5</c:v>
                </c:pt>
                <c:pt idx="75">
                  <c:v>2.19864E-5</c:v>
                </c:pt>
                <c:pt idx="76">
                  <c:v>2.2078200000000001E-5</c:v>
                </c:pt>
                <c:pt idx="77">
                  <c:v>2.20745E-5</c:v>
                </c:pt>
                <c:pt idx="78">
                  <c:v>2.3162399999999999E-4</c:v>
                </c:pt>
                <c:pt idx="79">
                  <c:v>2.40268E-4</c:v>
                </c:pt>
                <c:pt idx="80">
                  <c:v>2.42024E-4</c:v>
                </c:pt>
                <c:pt idx="81">
                  <c:v>2.4505300000000001E-4</c:v>
                </c:pt>
                <c:pt idx="82">
                  <c:v>2.5103300000000001E-4</c:v>
                </c:pt>
                <c:pt idx="83">
                  <c:v>2.55147E-4</c:v>
                </c:pt>
                <c:pt idx="84">
                  <c:v>2.6189300000000002E-4</c:v>
                </c:pt>
                <c:pt idx="85">
                  <c:v>2.6772100000000001E-4</c:v>
                </c:pt>
                <c:pt idx="86">
                  <c:v>2.7368100000000001E-4</c:v>
                </c:pt>
                <c:pt idx="87">
                  <c:v>2.7966999999999998E-4</c:v>
                </c:pt>
                <c:pt idx="88">
                  <c:v>2.8668200000000002E-4</c:v>
                </c:pt>
                <c:pt idx="89">
                  <c:v>2.8726400000000002E-4</c:v>
                </c:pt>
                <c:pt idx="90">
                  <c:v>2.8878900000000002E-4</c:v>
                </c:pt>
                <c:pt idx="91">
                  <c:v>2.9767299999999998E-4</c:v>
                </c:pt>
                <c:pt idx="92">
                  <c:v>3.0371700000000001E-4</c:v>
                </c:pt>
                <c:pt idx="93">
                  <c:v>3.0397099999999999E-4</c:v>
                </c:pt>
                <c:pt idx="94">
                  <c:v>3.0694400000000002E-4</c:v>
                </c:pt>
                <c:pt idx="95">
                  <c:v>3.1253200000000002E-4</c:v>
                </c:pt>
                <c:pt idx="96">
                  <c:v>3.1650800000000001E-4</c:v>
                </c:pt>
                <c:pt idx="97">
                  <c:v>3.1848599999999999E-4</c:v>
                </c:pt>
                <c:pt idx="98">
                  <c:v>3.2442199999999999E-4</c:v>
                </c:pt>
                <c:pt idx="99">
                  <c:v>3.2689600000000002E-4</c:v>
                </c:pt>
                <c:pt idx="100">
                  <c:v>3.2868699999999998E-4</c:v>
                </c:pt>
                <c:pt idx="101">
                  <c:v>3.3621299999999997E-4</c:v>
                </c:pt>
                <c:pt idx="102">
                  <c:v>3.4044099999999997E-4</c:v>
                </c:pt>
                <c:pt idx="103">
                  <c:v>3.5241999999999999E-4</c:v>
                </c:pt>
                <c:pt idx="104">
                  <c:v>3.5669400000000001E-4</c:v>
                </c:pt>
                <c:pt idx="105">
                  <c:v>3.5837599999999999E-4</c:v>
                </c:pt>
                <c:pt idx="106">
                  <c:v>3.6271099999999999E-4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7D-46E7-B992-24A84460C506}"/>
            </c:ext>
          </c:extLst>
        </c:ser>
        <c:ser>
          <c:idx val="2"/>
          <c:order val="2"/>
          <c:tx>
            <c:strRef>
              <c:f>'1250 P- 24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hpi'!$M$3:$M$109</c:f>
              <c:numCache>
                <c:formatCode>0.00E+00</c:formatCode>
                <c:ptCount val="107"/>
                <c:pt idx="0">
                  <c:v>2.3485499999999999E-4</c:v>
                </c:pt>
                <c:pt idx="1">
                  <c:v>2.38581E-4</c:v>
                </c:pt>
                <c:pt idx="2">
                  <c:v>2.4228800000000001E-4</c:v>
                </c:pt>
                <c:pt idx="3">
                  <c:v>2.43417E-4</c:v>
                </c:pt>
                <c:pt idx="4">
                  <c:v>2.4745399999999998E-4</c:v>
                </c:pt>
                <c:pt idx="5">
                  <c:v>2.5273899999999998E-4</c:v>
                </c:pt>
                <c:pt idx="6">
                  <c:v>2.54245E-4</c:v>
                </c:pt>
                <c:pt idx="7">
                  <c:v>2.5841500000000001E-4</c:v>
                </c:pt>
                <c:pt idx="8">
                  <c:v>2.6268899999999998E-4</c:v>
                </c:pt>
                <c:pt idx="9">
                  <c:v>2.63355E-4</c:v>
                </c:pt>
                <c:pt idx="10">
                  <c:v>2.6966499999999999E-4</c:v>
                </c:pt>
                <c:pt idx="11">
                  <c:v>2.69456E-4</c:v>
                </c:pt>
                <c:pt idx="12">
                  <c:v>2.7556400000000001E-4</c:v>
                </c:pt>
                <c:pt idx="13">
                  <c:v>2.8241300000000002E-4</c:v>
                </c:pt>
                <c:pt idx="14">
                  <c:v>2.8583599999999998E-4</c:v>
                </c:pt>
                <c:pt idx="15">
                  <c:v>2.8720200000000002E-4</c:v>
                </c:pt>
                <c:pt idx="16">
                  <c:v>2.97695E-4</c:v>
                </c:pt>
                <c:pt idx="17">
                  <c:v>3.0102999999999998E-4</c:v>
                </c:pt>
                <c:pt idx="18">
                  <c:v>3.0190700000000002E-4</c:v>
                </c:pt>
                <c:pt idx="19">
                  <c:v>3.1316699999999999E-4</c:v>
                </c:pt>
                <c:pt idx="20">
                  <c:v>3.1761300000000001E-4</c:v>
                </c:pt>
                <c:pt idx="21">
                  <c:v>3.2117199999999999E-4</c:v>
                </c:pt>
                <c:pt idx="22">
                  <c:v>3.2218900000000001E-4</c:v>
                </c:pt>
                <c:pt idx="23">
                  <c:v>3.2600000000000001E-4</c:v>
                </c:pt>
                <c:pt idx="24">
                  <c:v>3.3585199999999998E-4</c:v>
                </c:pt>
                <c:pt idx="25">
                  <c:v>3.3570900000000001E-4</c:v>
                </c:pt>
                <c:pt idx="26">
                  <c:v>3.46354E-4</c:v>
                </c:pt>
                <c:pt idx="27">
                  <c:v>3.5125500000000002E-4</c:v>
                </c:pt>
                <c:pt idx="28">
                  <c:v>3.5108200000000001E-4</c:v>
                </c:pt>
                <c:pt idx="29">
                  <c:v>2.8556700000000001E-5</c:v>
                </c:pt>
                <c:pt idx="30">
                  <c:v>2.81145E-5</c:v>
                </c:pt>
                <c:pt idx="31">
                  <c:v>2.6956100000000001E-5</c:v>
                </c:pt>
                <c:pt idx="32">
                  <c:v>2.6528799999999999E-5</c:v>
                </c:pt>
                <c:pt idx="33">
                  <c:v>2.64397E-5</c:v>
                </c:pt>
                <c:pt idx="34">
                  <c:v>2.63191E-5</c:v>
                </c:pt>
                <c:pt idx="35">
                  <c:v>2.6261000000000001E-5</c:v>
                </c:pt>
                <c:pt idx="36">
                  <c:v>2.6089400000000001E-5</c:v>
                </c:pt>
                <c:pt idx="37">
                  <c:v>2.60237E-5</c:v>
                </c:pt>
                <c:pt idx="38">
                  <c:v>2.5939400000000001E-5</c:v>
                </c:pt>
                <c:pt idx="39">
                  <c:v>1.8117400000000001E-4</c:v>
                </c:pt>
                <c:pt idx="40">
                  <c:v>1.8069700000000001E-4</c:v>
                </c:pt>
                <c:pt idx="41">
                  <c:v>1.80385E-4</c:v>
                </c:pt>
                <c:pt idx="42">
                  <c:v>1.7992600000000001E-4</c:v>
                </c:pt>
                <c:pt idx="43">
                  <c:v>1.8207E-4</c:v>
                </c:pt>
                <c:pt idx="44">
                  <c:v>1.8690100000000001E-4</c:v>
                </c:pt>
                <c:pt idx="45">
                  <c:v>1.9054200000000001E-4</c:v>
                </c:pt>
                <c:pt idx="46">
                  <c:v>1.929E-4</c:v>
                </c:pt>
                <c:pt idx="47">
                  <c:v>1.94947E-4</c:v>
                </c:pt>
                <c:pt idx="48">
                  <c:v>2.0171499999999999E-4</c:v>
                </c:pt>
                <c:pt idx="49">
                  <c:v>2.0376300000000001E-4</c:v>
                </c:pt>
                <c:pt idx="50">
                  <c:v>2.05069E-4</c:v>
                </c:pt>
                <c:pt idx="51">
                  <c:v>2.1078500000000001E-4</c:v>
                </c:pt>
                <c:pt idx="52">
                  <c:v>2.16453E-4</c:v>
                </c:pt>
                <c:pt idx="53">
                  <c:v>2.1956499999999999E-4</c:v>
                </c:pt>
                <c:pt idx="54">
                  <c:v>2.2567900000000001E-4</c:v>
                </c:pt>
                <c:pt idx="55">
                  <c:v>2.3349199999999999E-4</c:v>
                </c:pt>
                <c:pt idx="56">
                  <c:v>2.3442600000000001E-4</c:v>
                </c:pt>
                <c:pt idx="57">
                  <c:v>2.3687400000000001E-4</c:v>
                </c:pt>
                <c:pt idx="58">
                  <c:v>2.38373E-4</c:v>
                </c:pt>
                <c:pt idx="59">
                  <c:v>2.4709299999999999E-4</c:v>
                </c:pt>
                <c:pt idx="60">
                  <c:v>2.5006300000000002E-4</c:v>
                </c:pt>
                <c:pt idx="61">
                  <c:v>2.5228199999999999E-4</c:v>
                </c:pt>
                <c:pt idx="62">
                  <c:v>2.5801399999999999E-4</c:v>
                </c:pt>
                <c:pt idx="63">
                  <c:v>2.60807E-4</c:v>
                </c:pt>
                <c:pt idx="64">
                  <c:v>2.6677299999999999E-4</c:v>
                </c:pt>
                <c:pt idx="65">
                  <c:v>2.6788400000000003E-4</c:v>
                </c:pt>
                <c:pt idx="66">
                  <c:v>2.7170200000000002E-4</c:v>
                </c:pt>
                <c:pt idx="67">
                  <c:v>2.8159799999999998E-4</c:v>
                </c:pt>
                <c:pt idx="68">
                  <c:v>2.7559299999999999E-5</c:v>
                </c:pt>
                <c:pt idx="69">
                  <c:v>2.74873E-5</c:v>
                </c:pt>
                <c:pt idx="70">
                  <c:v>2.68212E-5</c:v>
                </c:pt>
                <c:pt idx="71">
                  <c:v>2.67687E-5</c:v>
                </c:pt>
                <c:pt idx="72">
                  <c:v>2.6851000000000001E-5</c:v>
                </c:pt>
                <c:pt idx="73">
                  <c:v>2.68274E-5</c:v>
                </c:pt>
                <c:pt idx="74">
                  <c:v>2.6902000000000001E-5</c:v>
                </c:pt>
                <c:pt idx="75">
                  <c:v>2.6928300000000001E-5</c:v>
                </c:pt>
                <c:pt idx="76">
                  <c:v>2.7018399999999999E-5</c:v>
                </c:pt>
                <c:pt idx="77">
                  <c:v>2.7089599999999999E-5</c:v>
                </c:pt>
                <c:pt idx="78">
                  <c:v>1.9274799999999999E-4</c:v>
                </c:pt>
                <c:pt idx="79">
                  <c:v>1.9167000000000001E-4</c:v>
                </c:pt>
                <c:pt idx="80">
                  <c:v>1.8933200000000001E-4</c:v>
                </c:pt>
                <c:pt idx="81">
                  <c:v>1.8893100000000001E-4</c:v>
                </c:pt>
                <c:pt idx="82">
                  <c:v>1.9033599999999999E-4</c:v>
                </c:pt>
                <c:pt idx="83">
                  <c:v>1.9148799999999999E-4</c:v>
                </c:pt>
                <c:pt idx="84">
                  <c:v>1.9542499999999999E-4</c:v>
                </c:pt>
                <c:pt idx="85">
                  <c:v>1.98183E-4</c:v>
                </c:pt>
                <c:pt idx="86">
                  <c:v>1.99815E-4</c:v>
                </c:pt>
                <c:pt idx="87">
                  <c:v>2.0252200000000001E-4</c:v>
                </c:pt>
                <c:pt idx="88">
                  <c:v>2.05634E-4</c:v>
                </c:pt>
                <c:pt idx="89">
                  <c:v>2.0913E-4</c:v>
                </c:pt>
                <c:pt idx="90">
                  <c:v>2.12418E-4</c:v>
                </c:pt>
                <c:pt idx="91">
                  <c:v>2.1602599999999999E-4</c:v>
                </c:pt>
                <c:pt idx="92">
                  <c:v>2.18032E-4</c:v>
                </c:pt>
                <c:pt idx="93">
                  <c:v>2.2377000000000001E-4</c:v>
                </c:pt>
                <c:pt idx="94">
                  <c:v>2.2342E-4</c:v>
                </c:pt>
                <c:pt idx="95">
                  <c:v>2.3783300000000001E-4</c:v>
                </c:pt>
                <c:pt idx="96">
                  <c:v>2.2796599999999999E-4</c:v>
                </c:pt>
                <c:pt idx="97">
                  <c:v>2.3167199999999999E-4</c:v>
                </c:pt>
                <c:pt idx="98">
                  <c:v>2.3684300000000001E-4</c:v>
                </c:pt>
                <c:pt idx="99">
                  <c:v>2.39022E-4</c:v>
                </c:pt>
                <c:pt idx="100">
                  <c:v>2.43768E-4</c:v>
                </c:pt>
                <c:pt idx="101">
                  <c:v>2.47438E-4</c:v>
                </c:pt>
                <c:pt idx="102">
                  <c:v>2.5169199999999997E-4</c:v>
                </c:pt>
                <c:pt idx="103">
                  <c:v>2.5176099999999998E-4</c:v>
                </c:pt>
                <c:pt idx="104">
                  <c:v>2.54913E-4</c:v>
                </c:pt>
                <c:pt idx="105">
                  <c:v>2.5530600000000001E-4</c:v>
                </c:pt>
                <c:pt idx="106">
                  <c:v>2.5964500000000003E-4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7D-46E7-B992-24A84460C506}"/>
            </c:ext>
          </c:extLst>
        </c:ser>
        <c:ser>
          <c:idx val="3"/>
          <c:order val="3"/>
          <c:tx>
            <c:strRef>
              <c:f>'1250 P- 24 hpi'!$R$1:$R$2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hpi'!$R$3:$R$109</c:f>
              <c:numCache>
                <c:formatCode>0.00E+00</c:formatCode>
                <c:ptCount val="107"/>
                <c:pt idx="0">
                  <c:v>2.7343799999999998E-4</c:v>
                </c:pt>
                <c:pt idx="1">
                  <c:v>2.8088000000000001E-4</c:v>
                </c:pt>
                <c:pt idx="2">
                  <c:v>2.83823E-4</c:v>
                </c:pt>
                <c:pt idx="3">
                  <c:v>2.8946499999999998E-4</c:v>
                </c:pt>
                <c:pt idx="4">
                  <c:v>2.9347299999999999E-4</c:v>
                </c:pt>
                <c:pt idx="5">
                  <c:v>2.9392600000000002E-4</c:v>
                </c:pt>
                <c:pt idx="6">
                  <c:v>2.9817100000000002E-4</c:v>
                </c:pt>
                <c:pt idx="7">
                  <c:v>3.0092600000000003E-4</c:v>
                </c:pt>
                <c:pt idx="8">
                  <c:v>3.0540899999999998E-4</c:v>
                </c:pt>
                <c:pt idx="9">
                  <c:v>3.0886999999999999E-4</c:v>
                </c:pt>
                <c:pt idx="10">
                  <c:v>3.1287699999999998E-4</c:v>
                </c:pt>
                <c:pt idx="11">
                  <c:v>3.16865E-4</c:v>
                </c:pt>
                <c:pt idx="12">
                  <c:v>3.1749700000000003E-4</c:v>
                </c:pt>
                <c:pt idx="13">
                  <c:v>3.2411799999999998E-4</c:v>
                </c:pt>
                <c:pt idx="14">
                  <c:v>3.3104E-4</c:v>
                </c:pt>
                <c:pt idx="15">
                  <c:v>3.3382600000000001E-4</c:v>
                </c:pt>
                <c:pt idx="16">
                  <c:v>3.3880599999999998E-4</c:v>
                </c:pt>
                <c:pt idx="17">
                  <c:v>3.4657399999999999E-4</c:v>
                </c:pt>
                <c:pt idx="18">
                  <c:v>3.4790199999999998E-4</c:v>
                </c:pt>
                <c:pt idx="19">
                  <c:v>3.53901E-4</c:v>
                </c:pt>
                <c:pt idx="20">
                  <c:v>3.57654E-4</c:v>
                </c:pt>
                <c:pt idx="21">
                  <c:v>3.6204500000000002E-4</c:v>
                </c:pt>
                <c:pt idx="22">
                  <c:v>3.65421E-4</c:v>
                </c:pt>
                <c:pt idx="23">
                  <c:v>3.6665899999999997E-4</c:v>
                </c:pt>
                <c:pt idx="24">
                  <c:v>3.7172399999999998E-4</c:v>
                </c:pt>
                <c:pt idx="25">
                  <c:v>3.7424499999999999E-4</c:v>
                </c:pt>
                <c:pt idx="26">
                  <c:v>3.7920500000000003E-4</c:v>
                </c:pt>
                <c:pt idx="27">
                  <c:v>3.7784599999999999E-4</c:v>
                </c:pt>
                <c:pt idx="28">
                  <c:v>3.81314E-4</c:v>
                </c:pt>
                <c:pt idx="29">
                  <c:v>2.6998199999999998E-5</c:v>
                </c:pt>
                <c:pt idx="30">
                  <c:v>2.6224299999999999E-5</c:v>
                </c:pt>
                <c:pt idx="31">
                  <c:v>2.5286499999999999E-5</c:v>
                </c:pt>
                <c:pt idx="32">
                  <c:v>2.4823700000000001E-5</c:v>
                </c:pt>
                <c:pt idx="33">
                  <c:v>2.4638400000000001E-5</c:v>
                </c:pt>
                <c:pt idx="34">
                  <c:v>2.4592699999999999E-5</c:v>
                </c:pt>
                <c:pt idx="35">
                  <c:v>2.4542999999999999E-5</c:v>
                </c:pt>
                <c:pt idx="36">
                  <c:v>2.4539E-5</c:v>
                </c:pt>
                <c:pt idx="37">
                  <c:v>2.4515299999999999E-5</c:v>
                </c:pt>
                <c:pt idx="38">
                  <c:v>2.45114E-5</c:v>
                </c:pt>
                <c:pt idx="39">
                  <c:v>2.3047899999999999E-4</c:v>
                </c:pt>
                <c:pt idx="40">
                  <c:v>2.3195999999999999E-4</c:v>
                </c:pt>
                <c:pt idx="41">
                  <c:v>2.33336E-4</c:v>
                </c:pt>
                <c:pt idx="42">
                  <c:v>2.3586200000000001E-4</c:v>
                </c:pt>
                <c:pt idx="43">
                  <c:v>2.3777800000000001E-4</c:v>
                </c:pt>
                <c:pt idx="44">
                  <c:v>2.3831500000000001E-4</c:v>
                </c:pt>
                <c:pt idx="45">
                  <c:v>2.41995E-4</c:v>
                </c:pt>
                <c:pt idx="46">
                  <c:v>2.4474099999999998E-4</c:v>
                </c:pt>
                <c:pt idx="47">
                  <c:v>2.4769000000000001E-4</c:v>
                </c:pt>
                <c:pt idx="48">
                  <c:v>2.4997799999999998E-4</c:v>
                </c:pt>
                <c:pt idx="49">
                  <c:v>2.57295E-4</c:v>
                </c:pt>
                <c:pt idx="50">
                  <c:v>2.6271200000000001E-4</c:v>
                </c:pt>
                <c:pt idx="51">
                  <c:v>2.6509400000000001E-4</c:v>
                </c:pt>
                <c:pt idx="52">
                  <c:v>2.6895899999999998E-4</c:v>
                </c:pt>
                <c:pt idx="53">
                  <c:v>2.7187400000000002E-4</c:v>
                </c:pt>
                <c:pt idx="54">
                  <c:v>2.7553899999999999E-4</c:v>
                </c:pt>
                <c:pt idx="55">
                  <c:v>2.77605E-4</c:v>
                </c:pt>
                <c:pt idx="56">
                  <c:v>2.8214000000000001E-4</c:v>
                </c:pt>
                <c:pt idx="57">
                  <c:v>2.9004600000000002E-4</c:v>
                </c:pt>
                <c:pt idx="58">
                  <c:v>2.9441599999999998E-4</c:v>
                </c:pt>
                <c:pt idx="59">
                  <c:v>2.94231E-4</c:v>
                </c:pt>
                <c:pt idx="60">
                  <c:v>3.0152100000000002E-4</c:v>
                </c:pt>
                <c:pt idx="61">
                  <c:v>3.06316E-4</c:v>
                </c:pt>
                <c:pt idx="62">
                  <c:v>3.1117900000000002E-4</c:v>
                </c:pt>
                <c:pt idx="63">
                  <c:v>3.1533899999999998E-4</c:v>
                </c:pt>
                <c:pt idx="64">
                  <c:v>3.2136300000000002E-4</c:v>
                </c:pt>
                <c:pt idx="65">
                  <c:v>3.27466E-4</c:v>
                </c:pt>
                <c:pt idx="66">
                  <c:v>3.2910600000000002E-4</c:v>
                </c:pt>
                <c:pt idx="67">
                  <c:v>3.3322199999999999E-4</c:v>
                </c:pt>
                <c:pt idx="68">
                  <c:v>2.6105499999999999E-5</c:v>
                </c:pt>
                <c:pt idx="69">
                  <c:v>2.5871999999999999E-5</c:v>
                </c:pt>
                <c:pt idx="70">
                  <c:v>2.5803E-5</c:v>
                </c:pt>
                <c:pt idx="71">
                  <c:v>2.5768499999999999E-5</c:v>
                </c:pt>
                <c:pt idx="72">
                  <c:v>2.5658400000000002E-5</c:v>
                </c:pt>
                <c:pt idx="73">
                  <c:v>2.56207E-5</c:v>
                </c:pt>
                <c:pt idx="74">
                  <c:v>2.5614099999999999E-5</c:v>
                </c:pt>
                <c:pt idx="75">
                  <c:v>2.55837E-5</c:v>
                </c:pt>
                <c:pt idx="76">
                  <c:v>2.5579899999999999E-5</c:v>
                </c:pt>
                <c:pt idx="77">
                  <c:v>2.56934E-5</c:v>
                </c:pt>
                <c:pt idx="78">
                  <c:v>2.53928E-4</c:v>
                </c:pt>
                <c:pt idx="79">
                  <c:v>2.51962E-4</c:v>
                </c:pt>
                <c:pt idx="80">
                  <c:v>2.5059600000000001E-4</c:v>
                </c:pt>
                <c:pt idx="81">
                  <c:v>2.50323E-4</c:v>
                </c:pt>
                <c:pt idx="82">
                  <c:v>2.5413999999999998E-4</c:v>
                </c:pt>
                <c:pt idx="83">
                  <c:v>2.55997E-4</c:v>
                </c:pt>
                <c:pt idx="84">
                  <c:v>2.58793E-4</c:v>
                </c:pt>
                <c:pt idx="85">
                  <c:v>2.6269999999999999E-4</c:v>
                </c:pt>
                <c:pt idx="86">
                  <c:v>2.64226E-4</c:v>
                </c:pt>
                <c:pt idx="87">
                  <c:v>2.6681200000000001E-4</c:v>
                </c:pt>
                <c:pt idx="88">
                  <c:v>2.6860300000000002E-4</c:v>
                </c:pt>
                <c:pt idx="89">
                  <c:v>2.7085599999999998E-4</c:v>
                </c:pt>
                <c:pt idx="90">
                  <c:v>2.72386E-4</c:v>
                </c:pt>
                <c:pt idx="91">
                  <c:v>2.7555199999999998E-4</c:v>
                </c:pt>
                <c:pt idx="92">
                  <c:v>2.7949600000000001E-4</c:v>
                </c:pt>
                <c:pt idx="93">
                  <c:v>2.8633400000000001E-4</c:v>
                </c:pt>
                <c:pt idx="94">
                  <c:v>2.8967899999999999E-4</c:v>
                </c:pt>
                <c:pt idx="95">
                  <c:v>2.9358100000000001E-4</c:v>
                </c:pt>
                <c:pt idx="96">
                  <c:v>2.9362700000000003E-4</c:v>
                </c:pt>
                <c:pt idx="97">
                  <c:v>2.9932E-4</c:v>
                </c:pt>
                <c:pt idx="98">
                  <c:v>3.0321299999999999E-4</c:v>
                </c:pt>
                <c:pt idx="99">
                  <c:v>3.0694400000000002E-4</c:v>
                </c:pt>
                <c:pt idx="100">
                  <c:v>3.1117200000000002E-4</c:v>
                </c:pt>
                <c:pt idx="101">
                  <c:v>3.1435799999999999E-4</c:v>
                </c:pt>
                <c:pt idx="102">
                  <c:v>3.1214300000000002E-4</c:v>
                </c:pt>
                <c:pt idx="103">
                  <c:v>3.1607800000000002E-4</c:v>
                </c:pt>
                <c:pt idx="104">
                  <c:v>3.2001000000000002E-4</c:v>
                </c:pt>
                <c:pt idx="105">
                  <c:v>3.2301299999999998E-4</c:v>
                </c:pt>
                <c:pt idx="106">
                  <c:v>3.31212E-4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7D-46E7-B992-24A84460C506}"/>
            </c:ext>
          </c:extLst>
        </c:ser>
        <c:ser>
          <c:idx val="4"/>
          <c:order val="4"/>
          <c:tx>
            <c:strRef>
              <c:f>'1250 P- 24 hpi'!$W$1:$W$2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'1250 P- 24 hpi'!$A$3:$A$109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P- 24 hpi'!$W$3:$W$109</c:f>
              <c:numCache>
                <c:formatCode>0.00E+00</c:formatCode>
                <c:ptCount val="107"/>
                <c:pt idx="0">
                  <c:v>2.2957899999999999E-4</c:v>
                </c:pt>
                <c:pt idx="1">
                  <c:v>2.3059400000000001E-4</c:v>
                </c:pt>
                <c:pt idx="2">
                  <c:v>2.3004699999999999E-4</c:v>
                </c:pt>
                <c:pt idx="3">
                  <c:v>2.2992499999999999E-4</c:v>
                </c:pt>
                <c:pt idx="4">
                  <c:v>2.31864E-4</c:v>
                </c:pt>
                <c:pt idx="5">
                  <c:v>2.32613E-4</c:v>
                </c:pt>
                <c:pt idx="6">
                  <c:v>2.3392899999999999E-4</c:v>
                </c:pt>
                <c:pt idx="7">
                  <c:v>2.3730499999999999E-4</c:v>
                </c:pt>
                <c:pt idx="8">
                  <c:v>2.3630799999999999E-4</c:v>
                </c:pt>
                <c:pt idx="9">
                  <c:v>2.4181800000000001E-4</c:v>
                </c:pt>
                <c:pt idx="10">
                  <c:v>2.4187500000000001E-4</c:v>
                </c:pt>
                <c:pt idx="11">
                  <c:v>2.4548799999999998E-4</c:v>
                </c:pt>
                <c:pt idx="12">
                  <c:v>2.4643700000000001E-4</c:v>
                </c:pt>
                <c:pt idx="13">
                  <c:v>2.4881700000000003E-4</c:v>
                </c:pt>
                <c:pt idx="14">
                  <c:v>2.50974E-4</c:v>
                </c:pt>
                <c:pt idx="15">
                  <c:v>2.55247E-4</c:v>
                </c:pt>
                <c:pt idx="16">
                  <c:v>2.5786400000000001E-4</c:v>
                </c:pt>
                <c:pt idx="17">
                  <c:v>2.63665E-4</c:v>
                </c:pt>
                <c:pt idx="18">
                  <c:v>2.6296499999999999E-4</c:v>
                </c:pt>
                <c:pt idx="19">
                  <c:v>2.6534200000000001E-4</c:v>
                </c:pt>
                <c:pt idx="20">
                  <c:v>2.7001E-4</c:v>
                </c:pt>
                <c:pt idx="21">
                  <c:v>2.7136800000000002E-4</c:v>
                </c:pt>
                <c:pt idx="22">
                  <c:v>2.7339600000000002E-4</c:v>
                </c:pt>
                <c:pt idx="23">
                  <c:v>2.7854799999999999E-4</c:v>
                </c:pt>
                <c:pt idx="24">
                  <c:v>2.8107700000000002E-4</c:v>
                </c:pt>
                <c:pt idx="25">
                  <c:v>2.8791999999999999E-4</c:v>
                </c:pt>
                <c:pt idx="26">
                  <c:v>2.9190599999999998E-4</c:v>
                </c:pt>
                <c:pt idx="27">
                  <c:v>2.9523E-4</c:v>
                </c:pt>
                <c:pt idx="28">
                  <c:v>3.0491200000000001E-4</c:v>
                </c:pt>
                <c:pt idx="29">
                  <c:v>2.3090200000000001E-5</c:v>
                </c:pt>
                <c:pt idx="30">
                  <c:v>2.2925399999999999E-5</c:v>
                </c:pt>
                <c:pt idx="31">
                  <c:v>2.2810300000000001E-5</c:v>
                </c:pt>
                <c:pt idx="32">
                  <c:v>2.2812000000000001E-5</c:v>
                </c:pt>
                <c:pt idx="33">
                  <c:v>2.2785700000000001E-5</c:v>
                </c:pt>
                <c:pt idx="34">
                  <c:v>2.2782800000000001E-5</c:v>
                </c:pt>
                <c:pt idx="35">
                  <c:v>2.28222E-5</c:v>
                </c:pt>
                <c:pt idx="36">
                  <c:v>2.28595E-5</c:v>
                </c:pt>
                <c:pt idx="37">
                  <c:v>2.2879900000000001E-5</c:v>
                </c:pt>
                <c:pt idx="38">
                  <c:v>2.29102E-5</c:v>
                </c:pt>
                <c:pt idx="39">
                  <c:v>2.05417E-4</c:v>
                </c:pt>
                <c:pt idx="40">
                  <c:v>2.0657299999999999E-4</c:v>
                </c:pt>
                <c:pt idx="41">
                  <c:v>2.09624E-4</c:v>
                </c:pt>
                <c:pt idx="42">
                  <c:v>2.1072899999999999E-4</c:v>
                </c:pt>
                <c:pt idx="43">
                  <c:v>2.1384600000000001E-4</c:v>
                </c:pt>
                <c:pt idx="44">
                  <c:v>2.17968E-4</c:v>
                </c:pt>
                <c:pt idx="45">
                  <c:v>2.2176499999999999E-4</c:v>
                </c:pt>
                <c:pt idx="46">
                  <c:v>2.2716699999999999E-4</c:v>
                </c:pt>
                <c:pt idx="47">
                  <c:v>2.3260199999999999E-4</c:v>
                </c:pt>
                <c:pt idx="48">
                  <c:v>2.3949600000000001E-4</c:v>
                </c:pt>
                <c:pt idx="49">
                  <c:v>2.4045199999999999E-4</c:v>
                </c:pt>
                <c:pt idx="50">
                  <c:v>2.4355000000000001E-4</c:v>
                </c:pt>
                <c:pt idx="51">
                  <c:v>2.51652E-4</c:v>
                </c:pt>
                <c:pt idx="52">
                  <c:v>2.5463500000000002E-4</c:v>
                </c:pt>
                <c:pt idx="53">
                  <c:v>2.6247999999999999E-4</c:v>
                </c:pt>
                <c:pt idx="54">
                  <c:v>2.6478500000000002E-4</c:v>
                </c:pt>
                <c:pt idx="55">
                  <c:v>2.7417300000000001E-4</c:v>
                </c:pt>
                <c:pt idx="56">
                  <c:v>2.7563899999999999E-4</c:v>
                </c:pt>
                <c:pt idx="57">
                  <c:v>2.8383199999999998E-4</c:v>
                </c:pt>
                <c:pt idx="58">
                  <c:v>2.8581800000000002E-4</c:v>
                </c:pt>
                <c:pt idx="59">
                  <c:v>2.9479000000000002E-4</c:v>
                </c:pt>
                <c:pt idx="60">
                  <c:v>3.0120199999999998E-4</c:v>
                </c:pt>
                <c:pt idx="61">
                  <c:v>3.0778499999999998E-4</c:v>
                </c:pt>
                <c:pt idx="62">
                  <c:v>3.0775600000000001E-4</c:v>
                </c:pt>
                <c:pt idx="63">
                  <c:v>3.2297199999999998E-4</c:v>
                </c:pt>
                <c:pt idx="64">
                  <c:v>3.3316299999999998E-4</c:v>
                </c:pt>
                <c:pt idx="65">
                  <c:v>3.3875799999999998E-4</c:v>
                </c:pt>
                <c:pt idx="66">
                  <c:v>3.4539599999999998E-4</c:v>
                </c:pt>
                <c:pt idx="67">
                  <c:v>3.51529E-4</c:v>
                </c:pt>
                <c:pt idx="68">
                  <c:v>2.35841E-5</c:v>
                </c:pt>
                <c:pt idx="69">
                  <c:v>2.3403800000000001E-5</c:v>
                </c:pt>
                <c:pt idx="70">
                  <c:v>2.3266300000000001E-5</c:v>
                </c:pt>
                <c:pt idx="71">
                  <c:v>2.3212599999999999E-5</c:v>
                </c:pt>
                <c:pt idx="72">
                  <c:v>2.32115E-5</c:v>
                </c:pt>
                <c:pt idx="73">
                  <c:v>2.3183499999999999E-5</c:v>
                </c:pt>
                <c:pt idx="74">
                  <c:v>2.3189399999999999E-5</c:v>
                </c:pt>
                <c:pt idx="75">
                  <c:v>2.3237299999999999E-5</c:v>
                </c:pt>
                <c:pt idx="76">
                  <c:v>2.3244999999999999E-5</c:v>
                </c:pt>
                <c:pt idx="77">
                  <c:v>2.3268299999999999E-5</c:v>
                </c:pt>
                <c:pt idx="78">
                  <c:v>1.9816899999999999E-4</c:v>
                </c:pt>
                <c:pt idx="79">
                  <c:v>2.04167E-4</c:v>
                </c:pt>
                <c:pt idx="80">
                  <c:v>2.1187300000000001E-4</c:v>
                </c:pt>
                <c:pt idx="81">
                  <c:v>2.1884000000000001E-4</c:v>
                </c:pt>
                <c:pt idx="82">
                  <c:v>2.25508E-4</c:v>
                </c:pt>
                <c:pt idx="83">
                  <c:v>2.3130700000000001E-4</c:v>
                </c:pt>
                <c:pt idx="84">
                  <c:v>2.41019E-4</c:v>
                </c:pt>
                <c:pt idx="85">
                  <c:v>2.48354E-4</c:v>
                </c:pt>
                <c:pt idx="86">
                  <c:v>2.55725E-4</c:v>
                </c:pt>
                <c:pt idx="87">
                  <c:v>2.69208E-4</c:v>
                </c:pt>
                <c:pt idx="88">
                  <c:v>2.7837599999999999E-4</c:v>
                </c:pt>
                <c:pt idx="89">
                  <c:v>2.8465800000000002E-4</c:v>
                </c:pt>
                <c:pt idx="90">
                  <c:v>2.9794499999999998E-4</c:v>
                </c:pt>
                <c:pt idx="91">
                  <c:v>3.0760999999999999E-4</c:v>
                </c:pt>
                <c:pt idx="92">
                  <c:v>3.2037599999999998E-4</c:v>
                </c:pt>
                <c:pt idx="93">
                  <c:v>3.1985800000000001E-4</c:v>
                </c:pt>
                <c:pt idx="94">
                  <c:v>3.25889E-4</c:v>
                </c:pt>
                <c:pt idx="95">
                  <c:v>3.3226000000000002E-4</c:v>
                </c:pt>
                <c:pt idx="96">
                  <c:v>3.3680800000000002E-4</c:v>
                </c:pt>
                <c:pt idx="97">
                  <c:v>3.4424899999999998E-4</c:v>
                </c:pt>
                <c:pt idx="98">
                  <c:v>3.4943399999999998E-4</c:v>
                </c:pt>
                <c:pt idx="99">
                  <c:v>3.5794899999999998E-4</c:v>
                </c:pt>
                <c:pt idx="100">
                  <c:v>3.5587200000000002E-4</c:v>
                </c:pt>
                <c:pt idx="101">
                  <c:v>3.6014199999999998E-4</c:v>
                </c:pt>
                <c:pt idx="102">
                  <c:v>3.6036599999999998E-4</c:v>
                </c:pt>
                <c:pt idx="103">
                  <c:v>3.7425300000000001E-4</c:v>
                </c:pt>
                <c:pt idx="104">
                  <c:v>3.6653500000000003E-4</c:v>
                </c:pt>
                <c:pt idx="105">
                  <c:v>3.7923600000000003E-4</c:v>
                </c:pt>
                <c:pt idx="106">
                  <c:v>3.8083399999999998E-4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7D-46E7-B992-24A84460C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197056"/>
        <c:axId val="561182496"/>
      </c:scatterChart>
      <c:valAx>
        <c:axId val="56119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82496"/>
        <c:crosses val="autoZero"/>
        <c:crossBetween val="midCat"/>
      </c:valAx>
      <c:valAx>
        <c:axId val="5611824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19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P+ 24 hpi'!$Q$1:$Q$2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P+ 24 hpi'!$Q$3:$Q$132</c:f>
              <c:numCache>
                <c:formatCode>General</c:formatCode>
                <c:ptCount val="130"/>
                <c:pt idx="0">
                  <c:v>1.4816600000000001E-3</c:v>
                </c:pt>
                <c:pt idx="1">
                  <c:v>1.49146E-3</c:v>
                </c:pt>
                <c:pt idx="2">
                  <c:v>1.5011200000000001E-3</c:v>
                </c:pt>
                <c:pt idx="3">
                  <c:v>1.51104E-3</c:v>
                </c:pt>
                <c:pt idx="4">
                  <c:v>1.5208400000000001E-3</c:v>
                </c:pt>
                <c:pt idx="5">
                  <c:v>1.52951E-3</c:v>
                </c:pt>
                <c:pt idx="6">
                  <c:v>1.53706E-3</c:v>
                </c:pt>
                <c:pt idx="7">
                  <c:v>1.54532E-3</c:v>
                </c:pt>
                <c:pt idx="8">
                  <c:v>1.5535799999999999E-3</c:v>
                </c:pt>
                <c:pt idx="9">
                  <c:v>1.5611500000000001E-3</c:v>
                </c:pt>
                <c:pt idx="10">
                  <c:v>1.5679699999999999E-3</c:v>
                </c:pt>
                <c:pt idx="11">
                  <c:v>1.57923E-3</c:v>
                </c:pt>
                <c:pt idx="12">
                  <c:v>1.58793E-3</c:v>
                </c:pt>
                <c:pt idx="13">
                  <c:v>1.5939000000000001E-3</c:v>
                </c:pt>
                <c:pt idx="14">
                  <c:v>1.60001E-3</c:v>
                </c:pt>
                <c:pt idx="15">
                  <c:v>1.6079499999999999E-3</c:v>
                </c:pt>
                <c:pt idx="16">
                  <c:v>1.6158399999999999E-3</c:v>
                </c:pt>
                <c:pt idx="17">
                  <c:v>1.6220500000000001E-3</c:v>
                </c:pt>
                <c:pt idx="18">
                  <c:v>1.6265100000000001E-3</c:v>
                </c:pt>
                <c:pt idx="19">
                  <c:v>1.63459E-3</c:v>
                </c:pt>
                <c:pt idx="20">
                  <c:v>1.64369E-3</c:v>
                </c:pt>
                <c:pt idx="21">
                  <c:v>1.65065E-3</c:v>
                </c:pt>
                <c:pt idx="22">
                  <c:v>1.6581899999999999E-3</c:v>
                </c:pt>
                <c:pt idx="23">
                  <c:v>1.6648399999999999E-3</c:v>
                </c:pt>
                <c:pt idx="24">
                  <c:v>1.67238E-3</c:v>
                </c:pt>
                <c:pt idx="25">
                  <c:v>1.67801E-3</c:v>
                </c:pt>
                <c:pt idx="26">
                  <c:v>1.6867200000000001E-3</c:v>
                </c:pt>
                <c:pt idx="27">
                  <c:v>1.6952200000000001E-3</c:v>
                </c:pt>
                <c:pt idx="28">
                  <c:v>1.7025199999999999E-3</c:v>
                </c:pt>
                <c:pt idx="29">
                  <c:v>3.3998399999999999E-6</c:v>
                </c:pt>
                <c:pt idx="30">
                  <c:v>3.3799200000000002E-6</c:v>
                </c:pt>
                <c:pt idx="31">
                  <c:v>3.30182E-6</c:v>
                </c:pt>
                <c:pt idx="32">
                  <c:v>3.2443699999999998E-6</c:v>
                </c:pt>
                <c:pt idx="33">
                  <c:v>3.2010700000000002E-6</c:v>
                </c:pt>
                <c:pt idx="34">
                  <c:v>3.16949E-6</c:v>
                </c:pt>
                <c:pt idx="35">
                  <c:v>3.1502400000000002E-6</c:v>
                </c:pt>
                <c:pt idx="36">
                  <c:v>3.1228099999999998E-6</c:v>
                </c:pt>
                <c:pt idx="37">
                  <c:v>3.1092600000000002E-6</c:v>
                </c:pt>
                <c:pt idx="38">
                  <c:v>3.0886500000000001E-6</c:v>
                </c:pt>
                <c:pt idx="39">
                  <c:v>9.4102400000000005E-4</c:v>
                </c:pt>
                <c:pt idx="40">
                  <c:v>9.6648800000000005E-4</c:v>
                </c:pt>
                <c:pt idx="41">
                  <c:v>9.8106600000000006E-4</c:v>
                </c:pt>
                <c:pt idx="42">
                  <c:v>9.9332299999999995E-4</c:v>
                </c:pt>
                <c:pt idx="43">
                  <c:v>1.0039000000000001E-3</c:v>
                </c:pt>
                <c:pt idx="44">
                  <c:v>1.0111899999999999E-3</c:v>
                </c:pt>
                <c:pt idx="45">
                  <c:v>1.01844E-3</c:v>
                </c:pt>
                <c:pt idx="46">
                  <c:v>1.0244900000000001E-3</c:v>
                </c:pt>
                <c:pt idx="47">
                  <c:v>1.03034E-3</c:v>
                </c:pt>
                <c:pt idx="48">
                  <c:v>1.0355900000000001E-3</c:v>
                </c:pt>
                <c:pt idx="49">
                  <c:v>1.03958E-3</c:v>
                </c:pt>
                <c:pt idx="50">
                  <c:v>1.0456E-3</c:v>
                </c:pt>
                <c:pt idx="51">
                  <c:v>1.04985E-3</c:v>
                </c:pt>
                <c:pt idx="52">
                  <c:v>1.0551600000000001E-3</c:v>
                </c:pt>
                <c:pt idx="53">
                  <c:v>1.0595299999999999E-3</c:v>
                </c:pt>
                <c:pt idx="54">
                  <c:v>1.0649399999999999E-3</c:v>
                </c:pt>
                <c:pt idx="55">
                  <c:v>1.0691800000000001E-3</c:v>
                </c:pt>
                <c:pt idx="56">
                  <c:v>1.07328E-3</c:v>
                </c:pt>
                <c:pt idx="57">
                  <c:v>1.07771E-3</c:v>
                </c:pt>
                <c:pt idx="58">
                  <c:v>1.08058E-3</c:v>
                </c:pt>
                <c:pt idx="59">
                  <c:v>1.08617E-3</c:v>
                </c:pt>
                <c:pt idx="60">
                  <c:v>1.0917699999999999E-3</c:v>
                </c:pt>
                <c:pt idx="61">
                  <c:v>1.0950300000000001E-3</c:v>
                </c:pt>
                <c:pt idx="62">
                  <c:v>1.1007E-3</c:v>
                </c:pt>
                <c:pt idx="63">
                  <c:v>1.1041200000000001E-3</c:v>
                </c:pt>
                <c:pt idx="64">
                  <c:v>1.1100999999999999E-3</c:v>
                </c:pt>
                <c:pt idx="65">
                  <c:v>1.11523E-3</c:v>
                </c:pt>
                <c:pt idx="66">
                  <c:v>1.1194600000000001E-3</c:v>
                </c:pt>
                <c:pt idx="67">
                  <c:v>1.12655E-3</c:v>
                </c:pt>
                <c:pt idx="68">
                  <c:v>3.0151300000000001E-6</c:v>
                </c:pt>
                <c:pt idx="69">
                  <c:v>3.0369399999999999E-6</c:v>
                </c:pt>
                <c:pt idx="70">
                  <c:v>3.0367800000000002E-6</c:v>
                </c:pt>
                <c:pt idx="71">
                  <c:v>3.0268800000000001E-6</c:v>
                </c:pt>
                <c:pt idx="72">
                  <c:v>3.02482E-6</c:v>
                </c:pt>
                <c:pt idx="73">
                  <c:v>3.0277799999999999E-6</c:v>
                </c:pt>
                <c:pt idx="74">
                  <c:v>3.02545E-6</c:v>
                </c:pt>
                <c:pt idx="75">
                  <c:v>3.0248700000000001E-6</c:v>
                </c:pt>
                <c:pt idx="76">
                  <c:v>3.0190900000000002E-6</c:v>
                </c:pt>
                <c:pt idx="77">
                  <c:v>3.0170500000000002E-6</c:v>
                </c:pt>
                <c:pt idx="78">
                  <c:v>8.04845E-4</c:v>
                </c:pt>
                <c:pt idx="79">
                  <c:v>8.3063099999999997E-4</c:v>
                </c:pt>
                <c:pt idx="80">
                  <c:v>8.4629599999999996E-4</c:v>
                </c:pt>
                <c:pt idx="81">
                  <c:v>8.6045900000000005E-4</c:v>
                </c:pt>
                <c:pt idx="82">
                  <c:v>8.7184399999999998E-4</c:v>
                </c:pt>
                <c:pt idx="83">
                  <c:v>8.7839400000000001E-4</c:v>
                </c:pt>
                <c:pt idx="84">
                  <c:v>8.9024799999999995E-4</c:v>
                </c:pt>
                <c:pt idx="85">
                  <c:v>8.9752500000000004E-4</c:v>
                </c:pt>
                <c:pt idx="86">
                  <c:v>9.0500200000000002E-4</c:v>
                </c:pt>
                <c:pt idx="87">
                  <c:v>9.1212599999999997E-4</c:v>
                </c:pt>
                <c:pt idx="88">
                  <c:v>9.1891499999999997E-4</c:v>
                </c:pt>
                <c:pt idx="89">
                  <c:v>9.2563900000000002E-4</c:v>
                </c:pt>
                <c:pt idx="90">
                  <c:v>9.3204200000000001E-4</c:v>
                </c:pt>
                <c:pt idx="91">
                  <c:v>9.3791700000000003E-4</c:v>
                </c:pt>
                <c:pt idx="92">
                  <c:v>9.4537600000000005E-4</c:v>
                </c:pt>
                <c:pt idx="93">
                  <c:v>9.5145799999999997E-4</c:v>
                </c:pt>
                <c:pt idx="94">
                  <c:v>9.5789099999999999E-4</c:v>
                </c:pt>
                <c:pt idx="95">
                  <c:v>9.6438399999999999E-4</c:v>
                </c:pt>
                <c:pt idx="96">
                  <c:v>9.7015999999999997E-4</c:v>
                </c:pt>
                <c:pt idx="97">
                  <c:v>9.7703799999999995E-4</c:v>
                </c:pt>
                <c:pt idx="98">
                  <c:v>9.8314400000000003E-4</c:v>
                </c:pt>
                <c:pt idx="99">
                  <c:v>9.8994899999999995E-4</c:v>
                </c:pt>
                <c:pt idx="100">
                  <c:v>9.9695199999999995E-4</c:v>
                </c:pt>
                <c:pt idx="101">
                  <c:v>1.00366E-3</c:v>
                </c:pt>
                <c:pt idx="102">
                  <c:v>1.0100300000000001E-3</c:v>
                </c:pt>
                <c:pt idx="103">
                  <c:v>1.0160799999999999E-3</c:v>
                </c:pt>
                <c:pt idx="104">
                  <c:v>1.0233099999999999E-3</c:v>
                </c:pt>
                <c:pt idx="105">
                  <c:v>1.0314199999999999E-3</c:v>
                </c:pt>
                <c:pt idx="106">
                  <c:v>1.03611E-3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D-4B1F-90CF-976ED841A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404944"/>
        <c:axId val="2036370864"/>
      </c:scatterChart>
      <c:valAx>
        <c:axId val="20534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70864"/>
        <c:crosses val="autoZero"/>
        <c:crossBetween val="midCat"/>
      </c:valAx>
      <c:valAx>
        <c:axId val="20363708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0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P+ 24 hpi'!$R$1:$R$2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P+ 24 hpi'!$R$3:$R$132</c:f>
              <c:numCache>
                <c:formatCode>General</c:formatCode>
                <c:ptCount val="130"/>
                <c:pt idx="0">
                  <c:v>2.30831E-4</c:v>
                </c:pt>
                <c:pt idx="1">
                  <c:v>2.29428E-4</c:v>
                </c:pt>
                <c:pt idx="2">
                  <c:v>2.2936300000000001E-4</c:v>
                </c:pt>
                <c:pt idx="3">
                  <c:v>2.29311E-4</c:v>
                </c:pt>
                <c:pt idx="4">
                  <c:v>2.3028299999999999E-4</c:v>
                </c:pt>
                <c:pt idx="5">
                  <c:v>2.3105900000000001E-4</c:v>
                </c:pt>
                <c:pt idx="6">
                  <c:v>2.3168900000000001E-4</c:v>
                </c:pt>
                <c:pt idx="7">
                  <c:v>2.3232799999999999E-4</c:v>
                </c:pt>
                <c:pt idx="8">
                  <c:v>2.33114E-4</c:v>
                </c:pt>
                <c:pt idx="9">
                  <c:v>2.3320099999999999E-4</c:v>
                </c:pt>
                <c:pt idx="10">
                  <c:v>2.3394E-4</c:v>
                </c:pt>
                <c:pt idx="11">
                  <c:v>2.3435400000000001E-4</c:v>
                </c:pt>
                <c:pt idx="12">
                  <c:v>2.3468999999999999E-4</c:v>
                </c:pt>
                <c:pt idx="13">
                  <c:v>2.3551999999999999E-4</c:v>
                </c:pt>
                <c:pt idx="14">
                  <c:v>2.3577200000000001E-4</c:v>
                </c:pt>
                <c:pt idx="15">
                  <c:v>2.35696E-4</c:v>
                </c:pt>
                <c:pt idx="16">
                  <c:v>2.37834E-4</c:v>
                </c:pt>
                <c:pt idx="17">
                  <c:v>2.3844299999999999E-4</c:v>
                </c:pt>
                <c:pt idx="18">
                  <c:v>2.3898499999999999E-4</c:v>
                </c:pt>
                <c:pt idx="19">
                  <c:v>2.3875E-4</c:v>
                </c:pt>
                <c:pt idx="20">
                  <c:v>2.3957399999999999E-4</c:v>
                </c:pt>
                <c:pt idx="21">
                  <c:v>2.4071800000000001E-4</c:v>
                </c:pt>
                <c:pt idx="22">
                  <c:v>2.40468E-4</c:v>
                </c:pt>
                <c:pt idx="23">
                  <c:v>2.4174299999999999E-4</c:v>
                </c:pt>
                <c:pt idx="24">
                  <c:v>2.4327300000000001E-4</c:v>
                </c:pt>
                <c:pt idx="25">
                  <c:v>2.4509899999999998E-4</c:v>
                </c:pt>
                <c:pt idx="26">
                  <c:v>2.4341599999999999E-4</c:v>
                </c:pt>
                <c:pt idx="27">
                  <c:v>2.4514300000000002E-4</c:v>
                </c:pt>
                <c:pt idx="28">
                  <c:v>2.4565500000000001E-4</c:v>
                </c:pt>
                <c:pt idx="29">
                  <c:v>3.2589599999999997E-5</c:v>
                </c:pt>
                <c:pt idx="30">
                  <c:v>3.2175200000000003E-5</c:v>
                </c:pt>
                <c:pt idx="31">
                  <c:v>3.15307E-5</c:v>
                </c:pt>
                <c:pt idx="32">
                  <c:v>3.1065500000000003E-5</c:v>
                </c:pt>
                <c:pt idx="33">
                  <c:v>3.0741499999999997E-5</c:v>
                </c:pt>
                <c:pt idx="34">
                  <c:v>3.0448200000000001E-5</c:v>
                </c:pt>
                <c:pt idx="35">
                  <c:v>3.0257399999999999E-5</c:v>
                </c:pt>
                <c:pt idx="36">
                  <c:v>3.0170300000000001E-5</c:v>
                </c:pt>
                <c:pt idx="37">
                  <c:v>3.0062599999999999E-5</c:v>
                </c:pt>
                <c:pt idx="38">
                  <c:v>2.9955999999999999E-5</c:v>
                </c:pt>
                <c:pt idx="39">
                  <c:v>1.8825100000000001E-4</c:v>
                </c:pt>
                <c:pt idx="40">
                  <c:v>1.8792799999999999E-4</c:v>
                </c:pt>
                <c:pt idx="41">
                  <c:v>1.8536599999999999E-4</c:v>
                </c:pt>
                <c:pt idx="42">
                  <c:v>1.8296600000000001E-4</c:v>
                </c:pt>
                <c:pt idx="43">
                  <c:v>1.8290299999999999E-4</c:v>
                </c:pt>
                <c:pt idx="44">
                  <c:v>1.83019E-4</c:v>
                </c:pt>
                <c:pt idx="45">
                  <c:v>1.8186600000000001E-4</c:v>
                </c:pt>
                <c:pt idx="46">
                  <c:v>1.8153700000000001E-4</c:v>
                </c:pt>
                <c:pt idx="47">
                  <c:v>1.8243600000000001E-4</c:v>
                </c:pt>
                <c:pt idx="48">
                  <c:v>1.8221200000000001E-4</c:v>
                </c:pt>
                <c:pt idx="49">
                  <c:v>1.81516E-4</c:v>
                </c:pt>
                <c:pt idx="50">
                  <c:v>1.8165400000000001E-4</c:v>
                </c:pt>
                <c:pt idx="51">
                  <c:v>1.8165E-4</c:v>
                </c:pt>
                <c:pt idx="52">
                  <c:v>1.8231399999999999E-4</c:v>
                </c:pt>
                <c:pt idx="53">
                  <c:v>1.83179E-4</c:v>
                </c:pt>
                <c:pt idx="54">
                  <c:v>1.8406799999999999E-4</c:v>
                </c:pt>
                <c:pt idx="55">
                  <c:v>1.8306600000000001E-4</c:v>
                </c:pt>
                <c:pt idx="56">
                  <c:v>1.8366500000000001E-4</c:v>
                </c:pt>
                <c:pt idx="57">
                  <c:v>1.8433600000000001E-4</c:v>
                </c:pt>
                <c:pt idx="58">
                  <c:v>1.8432400000000001E-4</c:v>
                </c:pt>
                <c:pt idx="59">
                  <c:v>1.8516999999999999E-4</c:v>
                </c:pt>
                <c:pt idx="60">
                  <c:v>1.85403E-4</c:v>
                </c:pt>
                <c:pt idx="61">
                  <c:v>1.8601699999999999E-4</c:v>
                </c:pt>
                <c:pt idx="62">
                  <c:v>1.8706199999999999E-4</c:v>
                </c:pt>
                <c:pt idx="63">
                  <c:v>1.8782200000000001E-4</c:v>
                </c:pt>
                <c:pt idx="64">
                  <c:v>1.8847199999999999E-4</c:v>
                </c:pt>
                <c:pt idx="65">
                  <c:v>1.8947199999999999E-4</c:v>
                </c:pt>
                <c:pt idx="66">
                  <c:v>1.90101E-4</c:v>
                </c:pt>
                <c:pt idx="67">
                  <c:v>1.9140199999999999E-4</c:v>
                </c:pt>
                <c:pt idx="68">
                  <c:v>2.99315E-5</c:v>
                </c:pt>
                <c:pt idx="69">
                  <c:v>2.9983000000000001E-5</c:v>
                </c:pt>
                <c:pt idx="70">
                  <c:v>2.99331E-5</c:v>
                </c:pt>
                <c:pt idx="71">
                  <c:v>2.9903199999999999E-5</c:v>
                </c:pt>
                <c:pt idx="72">
                  <c:v>2.98824E-5</c:v>
                </c:pt>
                <c:pt idx="73">
                  <c:v>2.9856799999999998E-5</c:v>
                </c:pt>
                <c:pt idx="74">
                  <c:v>2.9857099999999999E-5</c:v>
                </c:pt>
                <c:pt idx="75">
                  <c:v>2.98512E-5</c:v>
                </c:pt>
                <c:pt idx="76">
                  <c:v>2.9858399999999999E-5</c:v>
                </c:pt>
                <c:pt idx="77">
                  <c:v>2.98774E-5</c:v>
                </c:pt>
                <c:pt idx="78">
                  <c:v>1.6712199999999999E-4</c:v>
                </c:pt>
                <c:pt idx="79">
                  <c:v>1.6744700000000001E-4</c:v>
                </c:pt>
                <c:pt idx="80">
                  <c:v>1.6688599999999999E-4</c:v>
                </c:pt>
                <c:pt idx="81">
                  <c:v>1.6741999999999999E-4</c:v>
                </c:pt>
                <c:pt idx="82">
                  <c:v>1.6579600000000001E-4</c:v>
                </c:pt>
                <c:pt idx="83">
                  <c:v>1.6799E-4</c:v>
                </c:pt>
                <c:pt idx="84">
                  <c:v>1.6779100000000001E-4</c:v>
                </c:pt>
                <c:pt idx="85">
                  <c:v>1.6714E-4</c:v>
                </c:pt>
                <c:pt idx="86">
                  <c:v>1.6667299999999999E-4</c:v>
                </c:pt>
                <c:pt idx="87">
                  <c:v>1.6814600000000001E-4</c:v>
                </c:pt>
                <c:pt idx="88">
                  <c:v>1.68343E-4</c:v>
                </c:pt>
                <c:pt idx="89">
                  <c:v>1.6893100000000001E-4</c:v>
                </c:pt>
                <c:pt idx="90">
                  <c:v>1.6933399999999999E-4</c:v>
                </c:pt>
                <c:pt idx="91">
                  <c:v>1.7070599999999999E-4</c:v>
                </c:pt>
                <c:pt idx="92">
                  <c:v>1.7126199999999999E-4</c:v>
                </c:pt>
                <c:pt idx="93">
                  <c:v>1.7147399999999999E-4</c:v>
                </c:pt>
                <c:pt idx="94">
                  <c:v>1.7291E-4</c:v>
                </c:pt>
                <c:pt idx="95">
                  <c:v>1.7248E-4</c:v>
                </c:pt>
                <c:pt idx="96">
                  <c:v>1.7479999999999999E-4</c:v>
                </c:pt>
                <c:pt idx="97">
                  <c:v>1.7520799999999999E-4</c:v>
                </c:pt>
                <c:pt idx="98">
                  <c:v>1.7634500000000001E-4</c:v>
                </c:pt>
                <c:pt idx="99">
                  <c:v>1.7641E-4</c:v>
                </c:pt>
                <c:pt idx="100">
                  <c:v>1.7836600000000001E-4</c:v>
                </c:pt>
                <c:pt idx="101">
                  <c:v>1.7899100000000001E-4</c:v>
                </c:pt>
                <c:pt idx="102">
                  <c:v>1.78961E-4</c:v>
                </c:pt>
                <c:pt idx="103">
                  <c:v>1.8264400000000001E-4</c:v>
                </c:pt>
                <c:pt idx="104">
                  <c:v>1.8208699999999999E-4</c:v>
                </c:pt>
                <c:pt idx="105">
                  <c:v>1.8317999999999999E-4</c:v>
                </c:pt>
                <c:pt idx="106">
                  <c:v>1.8312600000000001E-4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D-4175-85D0-DC54524C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770064"/>
        <c:axId val="2047414592"/>
      </c:scatterChart>
      <c:valAx>
        <c:axId val="204777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14592"/>
        <c:crosses val="autoZero"/>
        <c:crossBetween val="midCat"/>
      </c:valAx>
      <c:valAx>
        <c:axId val="2047414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7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P+ 24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P+ 24 hpi'!$B$3:$B$116</c:f>
              <c:numCache>
                <c:formatCode>General</c:formatCode>
                <c:ptCount val="114"/>
                <c:pt idx="0">
                  <c:v>1.4816600000000001E-3</c:v>
                </c:pt>
                <c:pt idx="1">
                  <c:v>1.49146E-3</c:v>
                </c:pt>
                <c:pt idx="2">
                  <c:v>1.5011200000000001E-3</c:v>
                </c:pt>
                <c:pt idx="3">
                  <c:v>1.51104E-3</c:v>
                </c:pt>
                <c:pt idx="4">
                  <c:v>1.5208400000000001E-3</c:v>
                </c:pt>
                <c:pt idx="5">
                  <c:v>1.52951E-3</c:v>
                </c:pt>
                <c:pt idx="6">
                  <c:v>1.53706E-3</c:v>
                </c:pt>
                <c:pt idx="7">
                  <c:v>1.54532E-3</c:v>
                </c:pt>
                <c:pt idx="8">
                  <c:v>1.5535799999999999E-3</c:v>
                </c:pt>
                <c:pt idx="9">
                  <c:v>1.5611500000000001E-3</c:v>
                </c:pt>
                <c:pt idx="10">
                  <c:v>1.5679699999999999E-3</c:v>
                </c:pt>
                <c:pt idx="11">
                  <c:v>1.57923E-3</c:v>
                </c:pt>
                <c:pt idx="12">
                  <c:v>1.58793E-3</c:v>
                </c:pt>
                <c:pt idx="13">
                  <c:v>1.5939000000000001E-3</c:v>
                </c:pt>
                <c:pt idx="14">
                  <c:v>1.60001E-3</c:v>
                </c:pt>
                <c:pt idx="15">
                  <c:v>1.6079499999999999E-3</c:v>
                </c:pt>
                <c:pt idx="16">
                  <c:v>1.6158399999999999E-3</c:v>
                </c:pt>
                <c:pt idx="17">
                  <c:v>1.6220500000000001E-3</c:v>
                </c:pt>
                <c:pt idx="18">
                  <c:v>1.6265100000000001E-3</c:v>
                </c:pt>
                <c:pt idx="19">
                  <c:v>1.63459E-3</c:v>
                </c:pt>
                <c:pt idx="20">
                  <c:v>1.64369E-3</c:v>
                </c:pt>
                <c:pt idx="21">
                  <c:v>1.65065E-3</c:v>
                </c:pt>
                <c:pt idx="22">
                  <c:v>1.6581899999999999E-3</c:v>
                </c:pt>
                <c:pt idx="23">
                  <c:v>1.6648399999999999E-3</c:v>
                </c:pt>
                <c:pt idx="24">
                  <c:v>1.67238E-3</c:v>
                </c:pt>
                <c:pt idx="25">
                  <c:v>1.67801E-3</c:v>
                </c:pt>
                <c:pt idx="26">
                  <c:v>1.6867200000000001E-3</c:v>
                </c:pt>
                <c:pt idx="27">
                  <c:v>1.6952200000000001E-3</c:v>
                </c:pt>
                <c:pt idx="28">
                  <c:v>1.7025199999999999E-3</c:v>
                </c:pt>
                <c:pt idx="29">
                  <c:v>3.3998399999999999E-6</c:v>
                </c:pt>
                <c:pt idx="30">
                  <c:v>3.3799200000000002E-6</c:v>
                </c:pt>
                <c:pt idx="31">
                  <c:v>3.30182E-6</c:v>
                </c:pt>
                <c:pt idx="32">
                  <c:v>3.2443699999999998E-6</c:v>
                </c:pt>
                <c:pt idx="33">
                  <c:v>3.2010700000000002E-6</c:v>
                </c:pt>
                <c:pt idx="34">
                  <c:v>3.16949E-6</c:v>
                </c:pt>
                <c:pt idx="35">
                  <c:v>3.1502400000000002E-6</c:v>
                </c:pt>
                <c:pt idx="36">
                  <c:v>3.1228099999999998E-6</c:v>
                </c:pt>
                <c:pt idx="37">
                  <c:v>3.1092600000000002E-6</c:v>
                </c:pt>
                <c:pt idx="38">
                  <c:v>3.0886500000000001E-6</c:v>
                </c:pt>
                <c:pt idx="39">
                  <c:v>9.4102400000000005E-4</c:v>
                </c:pt>
                <c:pt idx="40">
                  <c:v>9.6648800000000005E-4</c:v>
                </c:pt>
                <c:pt idx="41">
                  <c:v>9.8106600000000006E-4</c:v>
                </c:pt>
                <c:pt idx="42">
                  <c:v>9.9332299999999995E-4</c:v>
                </c:pt>
                <c:pt idx="43">
                  <c:v>1.0039000000000001E-3</c:v>
                </c:pt>
                <c:pt idx="44">
                  <c:v>1.0111899999999999E-3</c:v>
                </c:pt>
                <c:pt idx="45">
                  <c:v>1.01844E-3</c:v>
                </c:pt>
                <c:pt idx="46">
                  <c:v>1.0244900000000001E-3</c:v>
                </c:pt>
                <c:pt idx="47">
                  <c:v>1.03034E-3</c:v>
                </c:pt>
                <c:pt idx="48">
                  <c:v>1.0355900000000001E-3</c:v>
                </c:pt>
                <c:pt idx="49">
                  <c:v>1.03958E-3</c:v>
                </c:pt>
                <c:pt idx="50">
                  <c:v>1.0456E-3</c:v>
                </c:pt>
                <c:pt idx="51">
                  <c:v>1.04985E-3</c:v>
                </c:pt>
                <c:pt idx="52">
                  <c:v>1.0551600000000001E-3</c:v>
                </c:pt>
                <c:pt idx="53">
                  <c:v>1.0595299999999999E-3</c:v>
                </c:pt>
                <c:pt idx="54">
                  <c:v>1.0649399999999999E-3</c:v>
                </c:pt>
                <c:pt idx="55">
                  <c:v>1.0691800000000001E-3</c:v>
                </c:pt>
                <c:pt idx="56">
                  <c:v>1.07328E-3</c:v>
                </c:pt>
                <c:pt idx="57">
                  <c:v>1.07771E-3</c:v>
                </c:pt>
                <c:pt idx="58">
                  <c:v>1.08058E-3</c:v>
                </c:pt>
                <c:pt idx="59">
                  <c:v>1.08617E-3</c:v>
                </c:pt>
                <c:pt idx="60">
                  <c:v>1.0917699999999999E-3</c:v>
                </c:pt>
                <c:pt idx="61">
                  <c:v>1.0950300000000001E-3</c:v>
                </c:pt>
                <c:pt idx="62">
                  <c:v>1.1007E-3</c:v>
                </c:pt>
                <c:pt idx="63">
                  <c:v>1.1041200000000001E-3</c:v>
                </c:pt>
                <c:pt idx="64">
                  <c:v>1.1100999999999999E-3</c:v>
                </c:pt>
                <c:pt idx="65">
                  <c:v>1.11523E-3</c:v>
                </c:pt>
                <c:pt idx="66">
                  <c:v>1.1194600000000001E-3</c:v>
                </c:pt>
                <c:pt idx="67">
                  <c:v>1.12655E-3</c:v>
                </c:pt>
                <c:pt idx="68">
                  <c:v>3.0151300000000001E-6</c:v>
                </c:pt>
                <c:pt idx="69">
                  <c:v>3.0369399999999999E-6</c:v>
                </c:pt>
                <c:pt idx="70">
                  <c:v>3.0367800000000002E-6</c:v>
                </c:pt>
                <c:pt idx="71">
                  <c:v>3.0268800000000001E-6</c:v>
                </c:pt>
                <c:pt idx="72">
                  <c:v>3.02482E-6</c:v>
                </c:pt>
                <c:pt idx="73">
                  <c:v>3.0277799999999999E-6</c:v>
                </c:pt>
                <c:pt idx="74">
                  <c:v>3.02545E-6</c:v>
                </c:pt>
                <c:pt idx="75">
                  <c:v>3.0248700000000001E-6</c:v>
                </c:pt>
                <c:pt idx="76">
                  <c:v>3.0190900000000002E-6</c:v>
                </c:pt>
                <c:pt idx="77">
                  <c:v>3.0170500000000002E-6</c:v>
                </c:pt>
                <c:pt idx="78">
                  <c:v>8.04845E-4</c:v>
                </c:pt>
                <c:pt idx="79">
                  <c:v>8.3063099999999997E-4</c:v>
                </c:pt>
                <c:pt idx="80">
                  <c:v>8.4629599999999996E-4</c:v>
                </c:pt>
                <c:pt idx="81">
                  <c:v>8.6045900000000005E-4</c:v>
                </c:pt>
                <c:pt idx="82">
                  <c:v>8.7184399999999998E-4</c:v>
                </c:pt>
                <c:pt idx="83">
                  <c:v>8.7839400000000001E-4</c:v>
                </c:pt>
                <c:pt idx="84">
                  <c:v>8.9024799999999995E-4</c:v>
                </c:pt>
                <c:pt idx="85">
                  <c:v>8.9752500000000004E-4</c:v>
                </c:pt>
                <c:pt idx="86">
                  <c:v>9.0500200000000002E-4</c:v>
                </c:pt>
                <c:pt idx="87">
                  <c:v>9.1212599999999997E-4</c:v>
                </c:pt>
                <c:pt idx="88">
                  <c:v>9.1891499999999997E-4</c:v>
                </c:pt>
                <c:pt idx="89">
                  <c:v>9.2563900000000002E-4</c:v>
                </c:pt>
                <c:pt idx="90">
                  <c:v>9.3204200000000001E-4</c:v>
                </c:pt>
                <c:pt idx="91">
                  <c:v>9.3791700000000003E-4</c:v>
                </c:pt>
                <c:pt idx="92">
                  <c:v>9.4537600000000005E-4</c:v>
                </c:pt>
                <c:pt idx="93">
                  <c:v>9.5145799999999997E-4</c:v>
                </c:pt>
                <c:pt idx="94">
                  <c:v>9.5789099999999999E-4</c:v>
                </c:pt>
                <c:pt idx="95">
                  <c:v>9.6438399999999999E-4</c:v>
                </c:pt>
                <c:pt idx="96">
                  <c:v>9.7015999999999997E-4</c:v>
                </c:pt>
                <c:pt idx="97">
                  <c:v>9.7703799999999995E-4</c:v>
                </c:pt>
                <c:pt idx="98">
                  <c:v>9.8314400000000003E-4</c:v>
                </c:pt>
                <c:pt idx="99">
                  <c:v>9.8994899999999995E-4</c:v>
                </c:pt>
                <c:pt idx="100">
                  <c:v>9.9695199999999995E-4</c:v>
                </c:pt>
                <c:pt idx="101">
                  <c:v>1.00366E-3</c:v>
                </c:pt>
                <c:pt idx="102">
                  <c:v>1.0100300000000001E-3</c:v>
                </c:pt>
                <c:pt idx="103">
                  <c:v>1.0160799999999999E-3</c:v>
                </c:pt>
                <c:pt idx="104">
                  <c:v>1.0233099999999999E-3</c:v>
                </c:pt>
                <c:pt idx="105">
                  <c:v>1.0314199999999999E-3</c:v>
                </c:pt>
                <c:pt idx="106">
                  <c:v>1.03611E-3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B-4C7A-8E00-016999CC48AD}"/>
            </c:ext>
          </c:extLst>
        </c:ser>
        <c:ser>
          <c:idx val="1"/>
          <c:order val="1"/>
          <c:tx>
            <c:strRef>
              <c:f>'1250 P+ 24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P+ 24 hpi'!$G$3:$G$132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B-4C7A-8E00-016999CC48AD}"/>
            </c:ext>
          </c:extLst>
        </c:ser>
        <c:ser>
          <c:idx val="2"/>
          <c:order val="2"/>
          <c:tx>
            <c:strRef>
              <c:f>'1250 P+ 24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P+ 24 hpi'!$L$3:$L$132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B-4C7A-8E00-016999CC48AD}"/>
            </c:ext>
          </c:extLst>
        </c:ser>
        <c:ser>
          <c:idx val="3"/>
          <c:order val="3"/>
          <c:tx>
            <c:strRef>
              <c:f>'1250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CB-4C7A-8E00-016999CC4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456496"/>
        <c:axId val="834454000"/>
      </c:scatterChart>
      <c:valAx>
        <c:axId val="83445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54000"/>
        <c:crosses val="autoZero"/>
        <c:crossBetween val="midCat"/>
      </c:valAx>
      <c:valAx>
        <c:axId val="83445400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56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'1250 P+ 24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P+ 24 hpi'!$C$3:$C$116</c:f>
              <c:numCache>
                <c:formatCode>General</c:formatCode>
                <c:ptCount val="114"/>
                <c:pt idx="0">
                  <c:v>2.30831E-4</c:v>
                </c:pt>
                <c:pt idx="1">
                  <c:v>2.29428E-4</c:v>
                </c:pt>
                <c:pt idx="2">
                  <c:v>2.2936300000000001E-4</c:v>
                </c:pt>
                <c:pt idx="3">
                  <c:v>2.29311E-4</c:v>
                </c:pt>
                <c:pt idx="4">
                  <c:v>2.3028299999999999E-4</c:v>
                </c:pt>
                <c:pt idx="5">
                  <c:v>2.3105900000000001E-4</c:v>
                </c:pt>
                <c:pt idx="6">
                  <c:v>2.3168900000000001E-4</c:v>
                </c:pt>
                <c:pt idx="7">
                  <c:v>2.3232799999999999E-4</c:v>
                </c:pt>
                <c:pt idx="8">
                  <c:v>2.33114E-4</c:v>
                </c:pt>
                <c:pt idx="9">
                  <c:v>2.3320099999999999E-4</c:v>
                </c:pt>
                <c:pt idx="10">
                  <c:v>2.3394E-4</c:v>
                </c:pt>
                <c:pt idx="11">
                  <c:v>2.3435400000000001E-4</c:v>
                </c:pt>
                <c:pt idx="12">
                  <c:v>2.3468999999999999E-4</c:v>
                </c:pt>
                <c:pt idx="13">
                  <c:v>2.3551999999999999E-4</c:v>
                </c:pt>
                <c:pt idx="14">
                  <c:v>2.3577200000000001E-4</c:v>
                </c:pt>
                <c:pt idx="15">
                  <c:v>2.35696E-4</c:v>
                </c:pt>
                <c:pt idx="16">
                  <c:v>2.37834E-4</c:v>
                </c:pt>
                <c:pt idx="17">
                  <c:v>2.3844299999999999E-4</c:v>
                </c:pt>
                <c:pt idx="18">
                  <c:v>2.3898499999999999E-4</c:v>
                </c:pt>
                <c:pt idx="19">
                  <c:v>2.3875E-4</c:v>
                </c:pt>
                <c:pt idx="20">
                  <c:v>2.3957399999999999E-4</c:v>
                </c:pt>
                <c:pt idx="21">
                  <c:v>2.4071800000000001E-4</c:v>
                </c:pt>
                <c:pt idx="22">
                  <c:v>2.40468E-4</c:v>
                </c:pt>
                <c:pt idx="23">
                  <c:v>2.4174299999999999E-4</c:v>
                </c:pt>
                <c:pt idx="24">
                  <c:v>2.4327300000000001E-4</c:v>
                </c:pt>
                <c:pt idx="25">
                  <c:v>2.4509899999999998E-4</c:v>
                </c:pt>
                <c:pt idx="26">
                  <c:v>2.4341599999999999E-4</c:v>
                </c:pt>
                <c:pt idx="27">
                  <c:v>2.4514300000000002E-4</c:v>
                </c:pt>
                <c:pt idx="28">
                  <c:v>2.4565500000000001E-4</c:v>
                </c:pt>
                <c:pt idx="29">
                  <c:v>3.2589599999999997E-5</c:v>
                </c:pt>
                <c:pt idx="30">
                  <c:v>3.2175200000000003E-5</c:v>
                </c:pt>
                <c:pt idx="31">
                  <c:v>3.15307E-5</c:v>
                </c:pt>
                <c:pt idx="32">
                  <c:v>3.1065500000000003E-5</c:v>
                </c:pt>
                <c:pt idx="33">
                  <c:v>3.0741499999999997E-5</c:v>
                </c:pt>
                <c:pt idx="34">
                  <c:v>3.0448200000000001E-5</c:v>
                </c:pt>
                <c:pt idx="35">
                  <c:v>3.0257399999999999E-5</c:v>
                </c:pt>
                <c:pt idx="36">
                  <c:v>3.0170300000000001E-5</c:v>
                </c:pt>
                <c:pt idx="37">
                  <c:v>3.0062599999999999E-5</c:v>
                </c:pt>
                <c:pt idx="38">
                  <c:v>2.9955999999999999E-5</c:v>
                </c:pt>
                <c:pt idx="39">
                  <c:v>1.8825100000000001E-4</c:v>
                </c:pt>
                <c:pt idx="40">
                  <c:v>1.8792799999999999E-4</c:v>
                </c:pt>
                <c:pt idx="41">
                  <c:v>1.8536599999999999E-4</c:v>
                </c:pt>
                <c:pt idx="42">
                  <c:v>1.8296600000000001E-4</c:v>
                </c:pt>
                <c:pt idx="43">
                  <c:v>1.8290299999999999E-4</c:v>
                </c:pt>
                <c:pt idx="44">
                  <c:v>1.83019E-4</c:v>
                </c:pt>
                <c:pt idx="45">
                  <c:v>1.8186600000000001E-4</c:v>
                </c:pt>
                <c:pt idx="46">
                  <c:v>1.8153700000000001E-4</c:v>
                </c:pt>
                <c:pt idx="47">
                  <c:v>1.8243600000000001E-4</c:v>
                </c:pt>
                <c:pt idx="48">
                  <c:v>1.8221200000000001E-4</c:v>
                </c:pt>
                <c:pt idx="49">
                  <c:v>1.81516E-4</c:v>
                </c:pt>
                <c:pt idx="50">
                  <c:v>1.8165400000000001E-4</c:v>
                </c:pt>
                <c:pt idx="51">
                  <c:v>1.8165E-4</c:v>
                </c:pt>
                <c:pt idx="52">
                  <c:v>1.8231399999999999E-4</c:v>
                </c:pt>
                <c:pt idx="53">
                  <c:v>1.83179E-4</c:v>
                </c:pt>
                <c:pt idx="54">
                  <c:v>1.8406799999999999E-4</c:v>
                </c:pt>
                <c:pt idx="55">
                  <c:v>1.8306600000000001E-4</c:v>
                </c:pt>
                <c:pt idx="56">
                  <c:v>1.8366500000000001E-4</c:v>
                </c:pt>
                <c:pt idx="57">
                  <c:v>1.8433600000000001E-4</c:v>
                </c:pt>
                <c:pt idx="58">
                  <c:v>1.8432400000000001E-4</c:v>
                </c:pt>
                <c:pt idx="59">
                  <c:v>1.8516999999999999E-4</c:v>
                </c:pt>
                <c:pt idx="60">
                  <c:v>1.85403E-4</c:v>
                </c:pt>
                <c:pt idx="61">
                  <c:v>1.8601699999999999E-4</c:v>
                </c:pt>
                <c:pt idx="62">
                  <c:v>1.8706199999999999E-4</c:v>
                </c:pt>
                <c:pt idx="63">
                  <c:v>1.8782200000000001E-4</c:v>
                </c:pt>
                <c:pt idx="64">
                  <c:v>1.8847199999999999E-4</c:v>
                </c:pt>
                <c:pt idx="65">
                  <c:v>1.8947199999999999E-4</c:v>
                </c:pt>
                <c:pt idx="66">
                  <c:v>1.90101E-4</c:v>
                </c:pt>
                <c:pt idx="67">
                  <c:v>1.9140199999999999E-4</c:v>
                </c:pt>
                <c:pt idx="68">
                  <c:v>2.99315E-5</c:v>
                </c:pt>
                <c:pt idx="69">
                  <c:v>2.9983000000000001E-5</c:v>
                </c:pt>
                <c:pt idx="70">
                  <c:v>2.99331E-5</c:v>
                </c:pt>
                <c:pt idx="71">
                  <c:v>2.9903199999999999E-5</c:v>
                </c:pt>
                <c:pt idx="72">
                  <c:v>2.98824E-5</c:v>
                </c:pt>
                <c:pt idx="73">
                  <c:v>2.9856799999999998E-5</c:v>
                </c:pt>
                <c:pt idx="74">
                  <c:v>2.9857099999999999E-5</c:v>
                </c:pt>
                <c:pt idx="75">
                  <c:v>2.98512E-5</c:v>
                </c:pt>
                <c:pt idx="76">
                  <c:v>2.9858399999999999E-5</c:v>
                </c:pt>
                <c:pt idx="77">
                  <c:v>2.98774E-5</c:v>
                </c:pt>
                <c:pt idx="78">
                  <c:v>1.6712199999999999E-4</c:v>
                </c:pt>
                <c:pt idx="79">
                  <c:v>1.6744700000000001E-4</c:v>
                </c:pt>
                <c:pt idx="80">
                  <c:v>1.6688599999999999E-4</c:v>
                </c:pt>
                <c:pt idx="81">
                  <c:v>1.6741999999999999E-4</c:v>
                </c:pt>
                <c:pt idx="82">
                  <c:v>1.6579600000000001E-4</c:v>
                </c:pt>
                <c:pt idx="83">
                  <c:v>1.6799E-4</c:v>
                </c:pt>
                <c:pt idx="84">
                  <c:v>1.6779100000000001E-4</c:v>
                </c:pt>
                <c:pt idx="85">
                  <c:v>1.6714E-4</c:v>
                </c:pt>
                <c:pt idx="86">
                  <c:v>1.6667299999999999E-4</c:v>
                </c:pt>
                <c:pt idx="87">
                  <c:v>1.6814600000000001E-4</c:v>
                </c:pt>
                <c:pt idx="88">
                  <c:v>1.68343E-4</c:v>
                </c:pt>
                <c:pt idx="89">
                  <c:v>1.6893100000000001E-4</c:v>
                </c:pt>
                <c:pt idx="90">
                  <c:v>1.6933399999999999E-4</c:v>
                </c:pt>
                <c:pt idx="91">
                  <c:v>1.7070599999999999E-4</c:v>
                </c:pt>
                <c:pt idx="92">
                  <c:v>1.7126199999999999E-4</c:v>
                </c:pt>
                <c:pt idx="93">
                  <c:v>1.7147399999999999E-4</c:v>
                </c:pt>
                <c:pt idx="94">
                  <c:v>1.7291E-4</c:v>
                </c:pt>
                <c:pt idx="95">
                  <c:v>1.7248E-4</c:v>
                </c:pt>
                <c:pt idx="96">
                  <c:v>1.7479999999999999E-4</c:v>
                </c:pt>
                <c:pt idx="97">
                  <c:v>1.7520799999999999E-4</c:v>
                </c:pt>
                <c:pt idx="98">
                  <c:v>1.7634500000000001E-4</c:v>
                </c:pt>
                <c:pt idx="99">
                  <c:v>1.7641E-4</c:v>
                </c:pt>
                <c:pt idx="100">
                  <c:v>1.7836600000000001E-4</c:v>
                </c:pt>
                <c:pt idx="101">
                  <c:v>1.7899100000000001E-4</c:v>
                </c:pt>
                <c:pt idx="102">
                  <c:v>1.78961E-4</c:v>
                </c:pt>
                <c:pt idx="103">
                  <c:v>1.8264400000000001E-4</c:v>
                </c:pt>
                <c:pt idx="104">
                  <c:v>1.8208699999999999E-4</c:v>
                </c:pt>
                <c:pt idx="105">
                  <c:v>1.8317999999999999E-4</c:v>
                </c:pt>
                <c:pt idx="106">
                  <c:v>1.8312600000000001E-4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E-49BF-AB00-0103EB633C8B}"/>
            </c:ext>
          </c:extLst>
        </c:ser>
        <c:ser>
          <c:idx val="1"/>
          <c:order val="1"/>
          <c:tx>
            <c:strRef>
              <c:f>'1250 P+ 24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P+ 24 hpi'!$H$3:$H$132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E-49BF-AB00-0103EB633C8B}"/>
            </c:ext>
          </c:extLst>
        </c:ser>
        <c:ser>
          <c:idx val="2"/>
          <c:order val="2"/>
          <c:tx>
            <c:strRef>
              <c:f>'1250 P+ 24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P+ 24 hpi'!$M$3:$M$132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E-49BF-AB00-0103EB633C8B}"/>
            </c:ext>
          </c:extLst>
        </c:ser>
        <c:ser>
          <c:idx val="3"/>
          <c:order val="3"/>
          <c:tx>
            <c:strRef>
              <c:f>'1250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'1250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'1250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E-49BF-AB00-0103EB633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50992"/>
        <c:axId val="1017155568"/>
      </c:scatterChart>
      <c:valAx>
        <c:axId val="101715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55568"/>
        <c:crosses val="autoZero"/>
        <c:crossBetween val="midCat"/>
      </c:valAx>
      <c:valAx>
        <c:axId val="10171555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5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'1480 P- 24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'1480 P- 24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'1480 P- 24 hpi'!$B$3:$B$108</c:f>
              <c:numCache>
                <c:formatCode>0.00E+00</c:formatCode>
                <c:ptCount val="106"/>
                <c:pt idx="0">
                  <c:v>7.7557799999999997E-4</c:v>
                </c:pt>
                <c:pt idx="1">
                  <c:v>7.9058000000000004E-4</c:v>
                </c:pt>
                <c:pt idx="2">
                  <c:v>8.0926399999999997E-4</c:v>
                </c:pt>
                <c:pt idx="3">
                  <c:v>8.2186E-4</c:v>
                </c:pt>
                <c:pt idx="4">
                  <c:v>8.3539200000000001E-4</c:v>
                </c:pt>
                <c:pt idx="5">
                  <c:v>8.5028999999999997E-4</c:v>
                </c:pt>
                <c:pt idx="6">
                  <c:v>8.6897899999999998E-4</c:v>
                </c:pt>
                <c:pt idx="7">
                  <c:v>8.8430400000000004E-4</c:v>
                </c:pt>
                <c:pt idx="8">
                  <c:v>8.9763099999999997E-4</c:v>
                </c:pt>
                <c:pt idx="9">
                  <c:v>9.17967E-4</c:v>
                </c:pt>
                <c:pt idx="10">
                  <c:v>9.3603999999999996E-4</c:v>
                </c:pt>
                <c:pt idx="11">
                  <c:v>9.5344500000000003E-4</c:v>
                </c:pt>
                <c:pt idx="12">
                  <c:v>9.6948300000000004E-4</c:v>
                </c:pt>
                <c:pt idx="13">
                  <c:v>9.9598400000000011E-4</c:v>
                </c:pt>
                <c:pt idx="14">
                  <c:v>1.0287499999999999E-3</c:v>
                </c:pt>
                <c:pt idx="15">
                  <c:v>1.05207E-3</c:v>
                </c:pt>
                <c:pt idx="16">
                  <c:v>1.0763999999999999E-3</c:v>
                </c:pt>
                <c:pt idx="17">
                  <c:v>1.10884E-3</c:v>
                </c:pt>
                <c:pt idx="18">
                  <c:v>1.13451E-3</c:v>
                </c:pt>
                <c:pt idx="19">
                  <c:v>1.1594999999999999E-3</c:v>
                </c:pt>
                <c:pt idx="20">
                  <c:v>1.1792E-3</c:v>
                </c:pt>
                <c:pt idx="21">
                  <c:v>1.2167300000000001E-3</c:v>
                </c:pt>
                <c:pt idx="22">
                  <c:v>1.2449399999999999E-3</c:v>
                </c:pt>
                <c:pt idx="23">
                  <c:v>1.27002E-3</c:v>
                </c:pt>
                <c:pt idx="24">
                  <c:v>1.3011399999999999E-3</c:v>
                </c:pt>
                <c:pt idx="25">
                  <c:v>1.3397999999999999E-3</c:v>
                </c:pt>
                <c:pt idx="26">
                  <c:v>1.37192E-3</c:v>
                </c:pt>
                <c:pt idx="27">
                  <c:v>1.3997899999999999E-3</c:v>
                </c:pt>
                <c:pt idx="28">
                  <c:v>1.42997E-3</c:v>
                </c:pt>
                <c:pt idx="29">
                  <c:v>4.60988E-6</c:v>
                </c:pt>
                <c:pt idx="30">
                  <c:v>4.4709099999999997E-6</c:v>
                </c:pt>
                <c:pt idx="31">
                  <c:v>4.3378299999999998E-6</c:v>
                </c:pt>
                <c:pt idx="32">
                  <c:v>4.2270200000000001E-6</c:v>
                </c:pt>
                <c:pt idx="33">
                  <c:v>4.14294E-6</c:v>
                </c:pt>
                <c:pt idx="34">
                  <c:v>4.0886400000000004E-6</c:v>
                </c:pt>
                <c:pt idx="35">
                  <c:v>4.0344800000000004E-6</c:v>
                </c:pt>
                <c:pt idx="36">
                  <c:v>3.9724299999999998E-6</c:v>
                </c:pt>
                <c:pt idx="37">
                  <c:v>3.9073099999999997E-6</c:v>
                </c:pt>
                <c:pt idx="38">
                  <c:v>3.85043E-6</c:v>
                </c:pt>
                <c:pt idx="39">
                  <c:v>6.5910399999999998E-4</c:v>
                </c:pt>
                <c:pt idx="40">
                  <c:v>7.0104499999999997E-4</c:v>
                </c:pt>
                <c:pt idx="41">
                  <c:v>7.3596800000000004E-4</c:v>
                </c:pt>
                <c:pt idx="42">
                  <c:v>7.7251900000000005E-4</c:v>
                </c:pt>
                <c:pt idx="43">
                  <c:v>8.0780999999999995E-4</c:v>
                </c:pt>
                <c:pt idx="44">
                  <c:v>8.37464E-4</c:v>
                </c:pt>
                <c:pt idx="45">
                  <c:v>8.6320099999999996E-4</c:v>
                </c:pt>
                <c:pt idx="46">
                  <c:v>8.8706600000000005E-4</c:v>
                </c:pt>
                <c:pt idx="47">
                  <c:v>9.10544E-4</c:v>
                </c:pt>
                <c:pt idx="48">
                  <c:v>9.3287999999999997E-4</c:v>
                </c:pt>
                <c:pt idx="49">
                  <c:v>9.5615000000000001E-4</c:v>
                </c:pt>
                <c:pt idx="50">
                  <c:v>9.8441499999999999E-4</c:v>
                </c:pt>
                <c:pt idx="51">
                  <c:v>1.0153499999999999E-3</c:v>
                </c:pt>
                <c:pt idx="52">
                  <c:v>1.04306E-3</c:v>
                </c:pt>
                <c:pt idx="53">
                  <c:v>1.0656800000000001E-3</c:v>
                </c:pt>
                <c:pt idx="54">
                  <c:v>1.10114E-3</c:v>
                </c:pt>
                <c:pt idx="55">
                  <c:v>1.12907E-3</c:v>
                </c:pt>
                <c:pt idx="56">
                  <c:v>1.1544599999999999E-3</c:v>
                </c:pt>
                <c:pt idx="57">
                  <c:v>1.17836E-3</c:v>
                </c:pt>
                <c:pt idx="58">
                  <c:v>1.2058399999999999E-3</c:v>
                </c:pt>
                <c:pt idx="59">
                  <c:v>1.23117E-3</c:v>
                </c:pt>
                <c:pt idx="60">
                  <c:v>1.2578000000000001E-3</c:v>
                </c:pt>
                <c:pt idx="61">
                  <c:v>1.2803300000000001E-3</c:v>
                </c:pt>
                <c:pt idx="62">
                  <c:v>1.30963E-3</c:v>
                </c:pt>
                <c:pt idx="63">
                  <c:v>1.33741E-3</c:v>
                </c:pt>
                <c:pt idx="64">
                  <c:v>1.3635800000000001E-3</c:v>
                </c:pt>
                <c:pt idx="65">
                  <c:v>1.39701E-3</c:v>
                </c:pt>
                <c:pt idx="66">
                  <c:v>1.4330600000000001E-3</c:v>
                </c:pt>
                <c:pt idx="67">
                  <c:v>1.4665399999999999E-3</c:v>
                </c:pt>
                <c:pt idx="68">
                  <c:v>3.4471099999999998E-6</c:v>
                </c:pt>
                <c:pt idx="69">
                  <c:v>3.4174500000000002E-6</c:v>
                </c:pt>
                <c:pt idx="70">
                  <c:v>3.3558999999999999E-6</c:v>
                </c:pt>
                <c:pt idx="71">
                  <c:v>3.3070799999999999E-6</c:v>
                </c:pt>
                <c:pt idx="72">
                  <c:v>3.28192E-6</c:v>
                </c:pt>
                <c:pt idx="73">
                  <c:v>3.26452E-6</c:v>
                </c:pt>
                <c:pt idx="74">
                  <c:v>3.2379400000000002E-6</c:v>
                </c:pt>
                <c:pt idx="75">
                  <c:v>3.2066700000000002E-6</c:v>
                </c:pt>
                <c:pt idx="76">
                  <c:v>3.1869299999999999E-6</c:v>
                </c:pt>
                <c:pt idx="77">
                  <c:v>3.1662599999999998E-6</c:v>
                </c:pt>
                <c:pt idx="78">
                  <c:v>5.3510999999999999E-4</c:v>
                </c:pt>
                <c:pt idx="79">
                  <c:v>5.5146700000000004E-4</c:v>
                </c:pt>
                <c:pt idx="80">
                  <c:v>5.6405099999999998E-4</c:v>
                </c:pt>
                <c:pt idx="81">
                  <c:v>5.7653200000000004E-4</c:v>
                </c:pt>
                <c:pt idx="82">
                  <c:v>5.9014500000000004E-4</c:v>
                </c:pt>
                <c:pt idx="83">
                  <c:v>5.9945400000000002E-4</c:v>
                </c:pt>
                <c:pt idx="84">
                  <c:v>6.0602900000000001E-4</c:v>
                </c:pt>
                <c:pt idx="85">
                  <c:v>6.1593699999999999E-4</c:v>
                </c:pt>
                <c:pt idx="86">
                  <c:v>6.2595900000000004E-4</c:v>
                </c:pt>
                <c:pt idx="87">
                  <c:v>6.3697199999999997E-4</c:v>
                </c:pt>
                <c:pt idx="88">
                  <c:v>6.4715699999999998E-4</c:v>
                </c:pt>
                <c:pt idx="89">
                  <c:v>6.5883399999999996E-4</c:v>
                </c:pt>
                <c:pt idx="90">
                  <c:v>6.7139999999999995E-4</c:v>
                </c:pt>
                <c:pt idx="91">
                  <c:v>6.8727899999999995E-4</c:v>
                </c:pt>
                <c:pt idx="92">
                  <c:v>7.0020300000000004E-4</c:v>
                </c:pt>
                <c:pt idx="93">
                  <c:v>7.1579499999999997E-4</c:v>
                </c:pt>
                <c:pt idx="94">
                  <c:v>7.3016800000000001E-4</c:v>
                </c:pt>
                <c:pt idx="95">
                  <c:v>7.42762E-4</c:v>
                </c:pt>
                <c:pt idx="96">
                  <c:v>7.5850400000000001E-4</c:v>
                </c:pt>
                <c:pt idx="97">
                  <c:v>7.7659400000000003E-4</c:v>
                </c:pt>
                <c:pt idx="98">
                  <c:v>7.9179000000000001E-4</c:v>
                </c:pt>
                <c:pt idx="99">
                  <c:v>8.0788099999999999E-4</c:v>
                </c:pt>
                <c:pt idx="100">
                  <c:v>8.2340600000000005E-4</c:v>
                </c:pt>
                <c:pt idx="101">
                  <c:v>8.4359599999999995E-4</c:v>
                </c:pt>
                <c:pt idx="102">
                  <c:v>8.6210499999999995E-4</c:v>
                </c:pt>
                <c:pt idx="103">
                  <c:v>8.8461799999999999E-4</c:v>
                </c:pt>
                <c:pt idx="104">
                  <c:v>9.0536499999999999E-4</c:v>
                </c:pt>
                <c:pt idx="105">
                  <c:v>9.2312199999999996E-4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0-2E4A-9C40-B0DA79E132AF}"/>
            </c:ext>
          </c:extLst>
        </c:ser>
        <c:ser>
          <c:idx val="1"/>
          <c:order val="1"/>
          <c:tx>
            <c:strRef>
              <c:f>'1480 P- 24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'1480 P- 24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'1480 P- 24 hpi'!$G$3:$G$116</c:f>
              <c:numCache>
                <c:formatCode>0.00E+00</c:formatCode>
                <c:ptCount val="114"/>
                <c:pt idx="0">
                  <c:v>6.9233100000000002E-4</c:v>
                </c:pt>
                <c:pt idx="1">
                  <c:v>7.1278400000000005E-4</c:v>
                </c:pt>
                <c:pt idx="2">
                  <c:v>7.3182E-4</c:v>
                </c:pt>
                <c:pt idx="3">
                  <c:v>7.5295699999999995E-4</c:v>
                </c:pt>
                <c:pt idx="4">
                  <c:v>7.7565999999999996E-4</c:v>
                </c:pt>
                <c:pt idx="5">
                  <c:v>7.9360599999999998E-4</c:v>
                </c:pt>
                <c:pt idx="6">
                  <c:v>8.1747500000000002E-4</c:v>
                </c:pt>
                <c:pt idx="7">
                  <c:v>8.4311200000000003E-4</c:v>
                </c:pt>
                <c:pt idx="8">
                  <c:v>8.6681699999999998E-4</c:v>
                </c:pt>
                <c:pt idx="9">
                  <c:v>8.8382599999999999E-4</c:v>
                </c:pt>
                <c:pt idx="10">
                  <c:v>9.1107500000000001E-4</c:v>
                </c:pt>
                <c:pt idx="11">
                  <c:v>9.31952E-4</c:v>
                </c:pt>
                <c:pt idx="12">
                  <c:v>9.5385499999999998E-4</c:v>
                </c:pt>
                <c:pt idx="13">
                  <c:v>9.77716E-4</c:v>
                </c:pt>
                <c:pt idx="14">
                  <c:v>1.0039000000000001E-3</c:v>
                </c:pt>
                <c:pt idx="15">
                  <c:v>1.03067E-3</c:v>
                </c:pt>
                <c:pt idx="16">
                  <c:v>1.05536E-3</c:v>
                </c:pt>
                <c:pt idx="17">
                  <c:v>1.08351E-3</c:v>
                </c:pt>
                <c:pt idx="18">
                  <c:v>1.1095899999999999E-3</c:v>
                </c:pt>
                <c:pt idx="19">
                  <c:v>1.1344E-3</c:v>
                </c:pt>
                <c:pt idx="20">
                  <c:v>1.1583699999999999E-3</c:v>
                </c:pt>
                <c:pt idx="21">
                  <c:v>1.18384E-3</c:v>
                </c:pt>
                <c:pt idx="22">
                  <c:v>1.2126000000000001E-3</c:v>
                </c:pt>
                <c:pt idx="23">
                  <c:v>1.2407500000000001E-3</c:v>
                </c:pt>
                <c:pt idx="24">
                  <c:v>1.26687E-3</c:v>
                </c:pt>
                <c:pt idx="25">
                  <c:v>1.2882E-3</c:v>
                </c:pt>
                <c:pt idx="26">
                  <c:v>1.3213299999999999E-3</c:v>
                </c:pt>
                <c:pt idx="27">
                  <c:v>1.3456E-3</c:v>
                </c:pt>
                <c:pt idx="28">
                  <c:v>1.3725300000000001E-3</c:v>
                </c:pt>
                <c:pt idx="29">
                  <c:v>6.4389600000000003E-6</c:v>
                </c:pt>
                <c:pt idx="30">
                  <c:v>6.1189E-6</c:v>
                </c:pt>
                <c:pt idx="31">
                  <c:v>5.8559699999999999E-6</c:v>
                </c:pt>
                <c:pt idx="32">
                  <c:v>5.6802100000000001E-6</c:v>
                </c:pt>
                <c:pt idx="33">
                  <c:v>5.53405E-6</c:v>
                </c:pt>
                <c:pt idx="34">
                  <c:v>5.3975899999999999E-6</c:v>
                </c:pt>
                <c:pt idx="35">
                  <c:v>5.2896500000000003E-6</c:v>
                </c:pt>
                <c:pt idx="36">
                  <c:v>5.1858800000000001E-6</c:v>
                </c:pt>
                <c:pt idx="37">
                  <c:v>5.0801900000000002E-6</c:v>
                </c:pt>
                <c:pt idx="38">
                  <c:v>4.9848199999999998E-6</c:v>
                </c:pt>
                <c:pt idx="39">
                  <c:v>3.7333100000000002E-4</c:v>
                </c:pt>
                <c:pt idx="40">
                  <c:v>3.9820300000000002E-4</c:v>
                </c:pt>
                <c:pt idx="41">
                  <c:v>4.1875000000000001E-4</c:v>
                </c:pt>
                <c:pt idx="42">
                  <c:v>4.38956E-4</c:v>
                </c:pt>
                <c:pt idx="43">
                  <c:v>4.6032799999999997E-4</c:v>
                </c:pt>
                <c:pt idx="44">
                  <c:v>4.8010700000000002E-4</c:v>
                </c:pt>
                <c:pt idx="45">
                  <c:v>5.0044900000000003E-4</c:v>
                </c:pt>
                <c:pt idx="46">
                  <c:v>5.2028600000000001E-4</c:v>
                </c:pt>
                <c:pt idx="47">
                  <c:v>5.4022499999999997E-4</c:v>
                </c:pt>
                <c:pt idx="48">
                  <c:v>5.6102400000000003E-4</c:v>
                </c:pt>
                <c:pt idx="49">
                  <c:v>5.7907399999999995E-4</c:v>
                </c:pt>
                <c:pt idx="50">
                  <c:v>6.0186300000000001E-4</c:v>
                </c:pt>
                <c:pt idx="51">
                  <c:v>6.2156899999999998E-4</c:v>
                </c:pt>
                <c:pt idx="52">
                  <c:v>6.3990599999999998E-4</c:v>
                </c:pt>
                <c:pt idx="53">
                  <c:v>6.6372600000000001E-4</c:v>
                </c:pt>
                <c:pt idx="54">
                  <c:v>6.8271599999999999E-4</c:v>
                </c:pt>
                <c:pt idx="55">
                  <c:v>7.0494500000000001E-4</c:v>
                </c:pt>
                <c:pt idx="56">
                  <c:v>7.2467400000000002E-4</c:v>
                </c:pt>
                <c:pt idx="57">
                  <c:v>7.4766399999999999E-4</c:v>
                </c:pt>
                <c:pt idx="58">
                  <c:v>7.6891500000000001E-4</c:v>
                </c:pt>
                <c:pt idx="59">
                  <c:v>7.9109299999999998E-4</c:v>
                </c:pt>
                <c:pt idx="60">
                  <c:v>8.1534800000000003E-4</c:v>
                </c:pt>
                <c:pt idx="61">
                  <c:v>8.3689599999999995E-4</c:v>
                </c:pt>
                <c:pt idx="62">
                  <c:v>8.6123799999999996E-4</c:v>
                </c:pt>
                <c:pt idx="63">
                  <c:v>8.8365899999999996E-4</c:v>
                </c:pt>
                <c:pt idx="64">
                  <c:v>9.1175499999999999E-4</c:v>
                </c:pt>
                <c:pt idx="65">
                  <c:v>9.3485699999999998E-4</c:v>
                </c:pt>
                <c:pt idx="66">
                  <c:v>9.5967000000000003E-4</c:v>
                </c:pt>
                <c:pt idx="67">
                  <c:v>9.8948999999999999E-4</c:v>
                </c:pt>
                <c:pt idx="68">
                  <c:v>4.4719600000000003E-6</c:v>
                </c:pt>
                <c:pt idx="69">
                  <c:v>4.3949199999999998E-6</c:v>
                </c:pt>
                <c:pt idx="70">
                  <c:v>4.3139000000000003E-6</c:v>
                </c:pt>
                <c:pt idx="71">
                  <c:v>4.2451399999999996E-6</c:v>
                </c:pt>
                <c:pt idx="72">
                  <c:v>4.1830399999999998E-6</c:v>
                </c:pt>
                <c:pt idx="73">
                  <c:v>4.1387200000000004E-6</c:v>
                </c:pt>
                <c:pt idx="74">
                  <c:v>4.0980000000000004E-6</c:v>
                </c:pt>
                <c:pt idx="75">
                  <c:v>4.0567599999999996E-6</c:v>
                </c:pt>
                <c:pt idx="76">
                  <c:v>4.02216E-6</c:v>
                </c:pt>
                <c:pt idx="77">
                  <c:v>3.9842099999999998E-6</c:v>
                </c:pt>
                <c:pt idx="78">
                  <c:v>4.24719E-4</c:v>
                </c:pt>
                <c:pt idx="79">
                  <c:v>4.4125399999999997E-4</c:v>
                </c:pt>
                <c:pt idx="80">
                  <c:v>4.6084400000000002E-4</c:v>
                </c:pt>
                <c:pt idx="81">
                  <c:v>4.7465700000000002E-4</c:v>
                </c:pt>
                <c:pt idx="82">
                  <c:v>4.9234599999999995E-4</c:v>
                </c:pt>
                <c:pt idx="83">
                  <c:v>5.06975E-4</c:v>
                </c:pt>
                <c:pt idx="84">
                  <c:v>5.2354099999999998E-4</c:v>
                </c:pt>
                <c:pt idx="85">
                  <c:v>5.3694799999999998E-4</c:v>
                </c:pt>
                <c:pt idx="86">
                  <c:v>5.5085900000000001E-4</c:v>
                </c:pt>
                <c:pt idx="87">
                  <c:v>5.6716799999999995E-4</c:v>
                </c:pt>
                <c:pt idx="88">
                  <c:v>5.8376499999999998E-4</c:v>
                </c:pt>
                <c:pt idx="89">
                  <c:v>5.9843299999999999E-4</c:v>
                </c:pt>
                <c:pt idx="90">
                  <c:v>6.1568699999999996E-4</c:v>
                </c:pt>
                <c:pt idx="91">
                  <c:v>6.3121100000000001E-4</c:v>
                </c:pt>
                <c:pt idx="92">
                  <c:v>6.4899700000000001E-4</c:v>
                </c:pt>
                <c:pt idx="93">
                  <c:v>6.77683E-4</c:v>
                </c:pt>
                <c:pt idx="94">
                  <c:v>6.9398400000000003E-4</c:v>
                </c:pt>
                <c:pt idx="95">
                  <c:v>7.1633700000000005E-4</c:v>
                </c:pt>
                <c:pt idx="96">
                  <c:v>7.3109399999999995E-4</c:v>
                </c:pt>
                <c:pt idx="97">
                  <c:v>7.57436E-4</c:v>
                </c:pt>
                <c:pt idx="98">
                  <c:v>7.7817499999999998E-4</c:v>
                </c:pt>
                <c:pt idx="99">
                  <c:v>8.0398399999999999E-4</c:v>
                </c:pt>
                <c:pt idx="100">
                  <c:v>8.2381000000000002E-4</c:v>
                </c:pt>
                <c:pt idx="101">
                  <c:v>8.4432699999999997E-4</c:v>
                </c:pt>
                <c:pt idx="102">
                  <c:v>8.6702199999999995E-4</c:v>
                </c:pt>
                <c:pt idx="103">
                  <c:v>8.8866900000000003E-4</c:v>
                </c:pt>
                <c:pt idx="104">
                  <c:v>9.1728399999999998E-4</c:v>
                </c:pt>
                <c:pt idx="105">
                  <c:v>9.3891799999999996E-4</c:v>
                </c:pt>
                <c:pt idx="106">
                  <c:v>9.6263399999999997E-4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00-2E4A-9C40-B0DA79E132AF}"/>
            </c:ext>
          </c:extLst>
        </c:ser>
        <c:ser>
          <c:idx val="2"/>
          <c:order val="2"/>
          <c:tx>
            <c:strRef>
              <c:f>'1480 P- 24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'1480 P- 24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'1480 P- 24 hpi'!$L$3:$L$116</c:f>
              <c:numCache>
                <c:formatCode>0.00E+00</c:formatCode>
                <c:ptCount val="114"/>
                <c:pt idx="0">
                  <c:v>1.13937E-3</c:v>
                </c:pt>
                <c:pt idx="1">
                  <c:v>1.1587699999999999E-3</c:v>
                </c:pt>
                <c:pt idx="2">
                  <c:v>1.1747699999999999E-3</c:v>
                </c:pt>
                <c:pt idx="3">
                  <c:v>1.1983899999999999E-3</c:v>
                </c:pt>
                <c:pt idx="4">
                  <c:v>1.21623E-3</c:v>
                </c:pt>
                <c:pt idx="5">
                  <c:v>1.2322100000000001E-3</c:v>
                </c:pt>
                <c:pt idx="6">
                  <c:v>1.24592E-3</c:v>
                </c:pt>
                <c:pt idx="7">
                  <c:v>1.2621399999999999E-3</c:v>
                </c:pt>
                <c:pt idx="8">
                  <c:v>1.2787E-3</c:v>
                </c:pt>
                <c:pt idx="9">
                  <c:v>1.2926599999999999E-3</c:v>
                </c:pt>
                <c:pt idx="10">
                  <c:v>1.30678E-3</c:v>
                </c:pt>
                <c:pt idx="11">
                  <c:v>1.3231E-3</c:v>
                </c:pt>
                <c:pt idx="12">
                  <c:v>1.3327899999999999E-3</c:v>
                </c:pt>
                <c:pt idx="13">
                  <c:v>1.34534E-3</c:v>
                </c:pt>
                <c:pt idx="14">
                  <c:v>1.35505E-3</c:v>
                </c:pt>
                <c:pt idx="15">
                  <c:v>1.3664599999999999E-3</c:v>
                </c:pt>
                <c:pt idx="16">
                  <c:v>1.3743799999999999E-3</c:v>
                </c:pt>
                <c:pt idx="17">
                  <c:v>1.3853800000000001E-3</c:v>
                </c:pt>
                <c:pt idx="18">
                  <c:v>1.39467E-3</c:v>
                </c:pt>
                <c:pt idx="19">
                  <c:v>1.40873E-3</c:v>
                </c:pt>
                <c:pt idx="20">
                  <c:v>1.4183900000000001E-3</c:v>
                </c:pt>
                <c:pt idx="21">
                  <c:v>1.4274800000000001E-3</c:v>
                </c:pt>
                <c:pt idx="22">
                  <c:v>1.4466699999999999E-3</c:v>
                </c:pt>
                <c:pt idx="23">
                  <c:v>1.45729E-3</c:v>
                </c:pt>
                <c:pt idx="24">
                  <c:v>1.4714999999999999E-3</c:v>
                </c:pt>
                <c:pt idx="25">
                  <c:v>1.48386E-3</c:v>
                </c:pt>
                <c:pt idx="26">
                  <c:v>1.5050899999999999E-3</c:v>
                </c:pt>
                <c:pt idx="27">
                  <c:v>1.52133E-3</c:v>
                </c:pt>
                <c:pt idx="28">
                  <c:v>1.53816E-3</c:v>
                </c:pt>
                <c:pt idx="29">
                  <c:v>6.5864500000000003E-6</c:v>
                </c:pt>
                <c:pt idx="30">
                  <c:v>6.3969999999999999E-6</c:v>
                </c:pt>
                <c:pt idx="31">
                  <c:v>6.27954E-6</c:v>
                </c:pt>
                <c:pt idx="32">
                  <c:v>6.1707899999999996E-6</c:v>
                </c:pt>
                <c:pt idx="33">
                  <c:v>6.1036700000000001E-6</c:v>
                </c:pt>
                <c:pt idx="34">
                  <c:v>6.0401500000000001E-6</c:v>
                </c:pt>
                <c:pt idx="35">
                  <c:v>5.9611200000000001E-6</c:v>
                </c:pt>
                <c:pt idx="36">
                  <c:v>5.9204799999999998E-6</c:v>
                </c:pt>
                <c:pt idx="37">
                  <c:v>5.86527E-6</c:v>
                </c:pt>
                <c:pt idx="38">
                  <c:v>5.8259200000000001E-6</c:v>
                </c:pt>
                <c:pt idx="39">
                  <c:v>6.1868100000000005E-4</c:v>
                </c:pt>
                <c:pt idx="40">
                  <c:v>6.4003900000000002E-4</c:v>
                </c:pt>
                <c:pt idx="41">
                  <c:v>6.5303699999999998E-4</c:v>
                </c:pt>
                <c:pt idx="42">
                  <c:v>6.68525E-4</c:v>
                </c:pt>
                <c:pt idx="43">
                  <c:v>6.7738399999999995E-4</c:v>
                </c:pt>
                <c:pt idx="44">
                  <c:v>7.0124300000000005E-4</c:v>
                </c:pt>
                <c:pt idx="45">
                  <c:v>7.1158400000000002E-4</c:v>
                </c:pt>
                <c:pt idx="46">
                  <c:v>7.3024400000000001E-4</c:v>
                </c:pt>
                <c:pt idx="47">
                  <c:v>7.4123500000000003E-4</c:v>
                </c:pt>
                <c:pt idx="48">
                  <c:v>7.5532699999999997E-4</c:v>
                </c:pt>
                <c:pt idx="49">
                  <c:v>7.7003800000000002E-4</c:v>
                </c:pt>
                <c:pt idx="50">
                  <c:v>7.8506599999999995E-4</c:v>
                </c:pt>
                <c:pt idx="51">
                  <c:v>7.9959499999999995E-4</c:v>
                </c:pt>
                <c:pt idx="52">
                  <c:v>8.1562599999999996E-4</c:v>
                </c:pt>
                <c:pt idx="53">
                  <c:v>8.3454000000000004E-4</c:v>
                </c:pt>
                <c:pt idx="54">
                  <c:v>8.4556300000000002E-4</c:v>
                </c:pt>
                <c:pt idx="55">
                  <c:v>8.6682999999999997E-4</c:v>
                </c:pt>
                <c:pt idx="56">
                  <c:v>8.8033100000000004E-4</c:v>
                </c:pt>
                <c:pt idx="57">
                  <c:v>9.0020900000000001E-4</c:v>
                </c:pt>
                <c:pt idx="58">
                  <c:v>9.1289099999999998E-4</c:v>
                </c:pt>
                <c:pt idx="59">
                  <c:v>9.3311499999999999E-4</c:v>
                </c:pt>
                <c:pt idx="60">
                  <c:v>9.5004400000000004E-4</c:v>
                </c:pt>
                <c:pt idx="61">
                  <c:v>9.68096E-4</c:v>
                </c:pt>
                <c:pt idx="62">
                  <c:v>9.8400399999999991E-4</c:v>
                </c:pt>
                <c:pt idx="63">
                  <c:v>9.9891900000000002E-4</c:v>
                </c:pt>
                <c:pt idx="64">
                  <c:v>1.01906E-3</c:v>
                </c:pt>
                <c:pt idx="65">
                  <c:v>1.0338599999999999E-3</c:v>
                </c:pt>
                <c:pt idx="66">
                  <c:v>1.0494300000000001E-3</c:v>
                </c:pt>
                <c:pt idx="67">
                  <c:v>1.06766E-3</c:v>
                </c:pt>
                <c:pt idx="68">
                  <c:v>5.43032E-6</c:v>
                </c:pt>
                <c:pt idx="69">
                  <c:v>5.3944600000000004E-6</c:v>
                </c:pt>
                <c:pt idx="70">
                  <c:v>5.3654899999999999E-6</c:v>
                </c:pt>
                <c:pt idx="71">
                  <c:v>5.3375799999999998E-6</c:v>
                </c:pt>
                <c:pt idx="72">
                  <c:v>5.3091499999999998E-6</c:v>
                </c:pt>
                <c:pt idx="73">
                  <c:v>5.2803899999999996E-6</c:v>
                </c:pt>
                <c:pt idx="74">
                  <c:v>5.2595100000000001E-6</c:v>
                </c:pt>
                <c:pt idx="75">
                  <c:v>5.2358900000000003E-6</c:v>
                </c:pt>
                <c:pt idx="76">
                  <c:v>5.2122699999999996E-6</c:v>
                </c:pt>
                <c:pt idx="77">
                  <c:v>5.1925599999999998E-6</c:v>
                </c:pt>
                <c:pt idx="78">
                  <c:v>5.7719200000000003E-4</c:v>
                </c:pt>
                <c:pt idx="79">
                  <c:v>5.94412E-4</c:v>
                </c:pt>
                <c:pt idx="80">
                  <c:v>6.03412E-4</c:v>
                </c:pt>
                <c:pt idx="81">
                  <c:v>6.1585999999999998E-4</c:v>
                </c:pt>
                <c:pt idx="82">
                  <c:v>6.2567299999999998E-4</c:v>
                </c:pt>
                <c:pt idx="83">
                  <c:v>6.3670299999999997E-4</c:v>
                </c:pt>
                <c:pt idx="84">
                  <c:v>6.4813200000000005E-4</c:v>
                </c:pt>
                <c:pt idx="85">
                  <c:v>6.5930199999999996E-4</c:v>
                </c:pt>
                <c:pt idx="86">
                  <c:v>6.6785800000000002E-4</c:v>
                </c:pt>
                <c:pt idx="87">
                  <c:v>6.7620199999999999E-4</c:v>
                </c:pt>
                <c:pt idx="88">
                  <c:v>6.89458E-4</c:v>
                </c:pt>
                <c:pt idx="89">
                  <c:v>7.0231000000000004E-4</c:v>
                </c:pt>
                <c:pt idx="90">
                  <c:v>7.1313799999999999E-4</c:v>
                </c:pt>
                <c:pt idx="91">
                  <c:v>7.2648899999999998E-4</c:v>
                </c:pt>
                <c:pt idx="92">
                  <c:v>7.41715E-4</c:v>
                </c:pt>
                <c:pt idx="93">
                  <c:v>7.5246000000000004E-4</c:v>
                </c:pt>
                <c:pt idx="94">
                  <c:v>7.6702900000000002E-4</c:v>
                </c:pt>
                <c:pt idx="95">
                  <c:v>7.7947100000000001E-4</c:v>
                </c:pt>
                <c:pt idx="96">
                  <c:v>7.9113700000000003E-4</c:v>
                </c:pt>
                <c:pt idx="97">
                  <c:v>8.0896400000000002E-4</c:v>
                </c:pt>
                <c:pt idx="98">
                  <c:v>8.1488000000000003E-4</c:v>
                </c:pt>
                <c:pt idx="99">
                  <c:v>8.298E-4</c:v>
                </c:pt>
                <c:pt idx="100">
                  <c:v>8.45706E-4</c:v>
                </c:pt>
                <c:pt idx="101">
                  <c:v>8.5835200000000005E-4</c:v>
                </c:pt>
                <c:pt idx="102">
                  <c:v>8.69263E-4</c:v>
                </c:pt>
                <c:pt idx="103">
                  <c:v>8.8534300000000002E-4</c:v>
                </c:pt>
                <c:pt idx="104">
                  <c:v>9.0114399999999999E-4</c:v>
                </c:pt>
                <c:pt idx="105">
                  <c:v>9.1111399999999998E-4</c:v>
                </c:pt>
                <c:pt idx="106">
                  <c:v>9.25686E-4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00-2E4A-9C40-B0DA79E13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33648"/>
        <c:axId val="1157486640"/>
      </c:scatterChart>
      <c:valAx>
        <c:axId val="116713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86640"/>
        <c:crosses val="autoZero"/>
        <c:crossBetween val="midCat"/>
      </c:valAx>
      <c:valAx>
        <c:axId val="1157486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'1480 P- 24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'1480 P- 24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'1480 P- 24 hpi'!$C$3:$C$108</c:f>
              <c:numCache>
                <c:formatCode>0.00E+00</c:formatCode>
                <c:ptCount val="106"/>
                <c:pt idx="0">
                  <c:v>1.8880599999999999E-4</c:v>
                </c:pt>
                <c:pt idx="1">
                  <c:v>1.8767799999999999E-4</c:v>
                </c:pt>
                <c:pt idx="2">
                  <c:v>1.87216E-4</c:v>
                </c:pt>
                <c:pt idx="3">
                  <c:v>1.9059799999999999E-4</c:v>
                </c:pt>
                <c:pt idx="4">
                  <c:v>1.92172E-4</c:v>
                </c:pt>
                <c:pt idx="5">
                  <c:v>1.93931E-4</c:v>
                </c:pt>
                <c:pt idx="6">
                  <c:v>1.9551700000000001E-4</c:v>
                </c:pt>
                <c:pt idx="7">
                  <c:v>1.97553E-4</c:v>
                </c:pt>
                <c:pt idx="8">
                  <c:v>1.9856999999999999E-4</c:v>
                </c:pt>
                <c:pt idx="9">
                  <c:v>2.0174200000000001E-4</c:v>
                </c:pt>
                <c:pt idx="10">
                  <c:v>2.0394099999999999E-4</c:v>
                </c:pt>
                <c:pt idx="11">
                  <c:v>2.05575E-4</c:v>
                </c:pt>
                <c:pt idx="12">
                  <c:v>2.0654399999999999E-4</c:v>
                </c:pt>
                <c:pt idx="13">
                  <c:v>2.12454E-4</c:v>
                </c:pt>
                <c:pt idx="14">
                  <c:v>2.1576599999999999E-4</c:v>
                </c:pt>
                <c:pt idx="15">
                  <c:v>2.1698799999999999E-4</c:v>
                </c:pt>
                <c:pt idx="16">
                  <c:v>2.2240399999999999E-4</c:v>
                </c:pt>
                <c:pt idx="17">
                  <c:v>2.2593400000000001E-4</c:v>
                </c:pt>
                <c:pt idx="18">
                  <c:v>2.2888100000000001E-4</c:v>
                </c:pt>
                <c:pt idx="19">
                  <c:v>2.3274600000000001E-4</c:v>
                </c:pt>
                <c:pt idx="20">
                  <c:v>2.3730299999999999E-4</c:v>
                </c:pt>
                <c:pt idx="21">
                  <c:v>2.3762699999999999E-4</c:v>
                </c:pt>
                <c:pt idx="22">
                  <c:v>2.4386699999999999E-4</c:v>
                </c:pt>
                <c:pt idx="23">
                  <c:v>2.4947899999999999E-4</c:v>
                </c:pt>
                <c:pt idx="24">
                  <c:v>2.52895E-4</c:v>
                </c:pt>
                <c:pt idx="25">
                  <c:v>2.5487600000000002E-4</c:v>
                </c:pt>
                <c:pt idx="26">
                  <c:v>2.6247100000000002E-4</c:v>
                </c:pt>
                <c:pt idx="27">
                  <c:v>2.64608E-4</c:v>
                </c:pt>
                <c:pt idx="28">
                  <c:v>2.7181699999999999E-4</c:v>
                </c:pt>
                <c:pt idx="29">
                  <c:v>2.2801699999999999E-5</c:v>
                </c:pt>
                <c:pt idx="30">
                  <c:v>2.2441699999999999E-5</c:v>
                </c:pt>
                <c:pt idx="31">
                  <c:v>2.2101499999999998E-5</c:v>
                </c:pt>
                <c:pt idx="32">
                  <c:v>2.1877499999999998E-5</c:v>
                </c:pt>
                <c:pt idx="33">
                  <c:v>2.1548399999999999E-5</c:v>
                </c:pt>
                <c:pt idx="34">
                  <c:v>2.15365E-5</c:v>
                </c:pt>
                <c:pt idx="35">
                  <c:v>2.1434399999999999E-5</c:v>
                </c:pt>
                <c:pt idx="36">
                  <c:v>2.1208300000000002E-5</c:v>
                </c:pt>
                <c:pt idx="37">
                  <c:v>2.1071900000000001E-5</c:v>
                </c:pt>
                <c:pt idx="38">
                  <c:v>2.0794299999999998E-5</c:v>
                </c:pt>
                <c:pt idx="39">
                  <c:v>1.8090599999999999E-4</c:v>
                </c:pt>
                <c:pt idx="40">
                  <c:v>1.8097100000000001E-4</c:v>
                </c:pt>
                <c:pt idx="41">
                  <c:v>1.7990500000000001E-4</c:v>
                </c:pt>
                <c:pt idx="42">
                  <c:v>1.8411999999999999E-4</c:v>
                </c:pt>
                <c:pt idx="43">
                  <c:v>1.8581000000000001E-4</c:v>
                </c:pt>
                <c:pt idx="44">
                  <c:v>1.87493E-4</c:v>
                </c:pt>
                <c:pt idx="45">
                  <c:v>1.92881E-4</c:v>
                </c:pt>
                <c:pt idx="46">
                  <c:v>1.9612000000000001E-4</c:v>
                </c:pt>
                <c:pt idx="47">
                  <c:v>2.00779E-4</c:v>
                </c:pt>
                <c:pt idx="48">
                  <c:v>2.0163900000000001E-4</c:v>
                </c:pt>
                <c:pt idx="49">
                  <c:v>2.0311600000000001E-4</c:v>
                </c:pt>
                <c:pt idx="50">
                  <c:v>2.0783800000000001E-4</c:v>
                </c:pt>
                <c:pt idx="51">
                  <c:v>2.0961999999999999E-4</c:v>
                </c:pt>
                <c:pt idx="52">
                  <c:v>2.1489799999999999E-4</c:v>
                </c:pt>
                <c:pt idx="53">
                  <c:v>2.2153799999999999E-4</c:v>
                </c:pt>
                <c:pt idx="54">
                  <c:v>2.2639700000000001E-4</c:v>
                </c:pt>
                <c:pt idx="55">
                  <c:v>2.3242799999999999E-4</c:v>
                </c:pt>
                <c:pt idx="56">
                  <c:v>2.34081E-4</c:v>
                </c:pt>
                <c:pt idx="57">
                  <c:v>2.3412800000000001E-4</c:v>
                </c:pt>
                <c:pt idx="58">
                  <c:v>2.36748E-4</c:v>
                </c:pt>
                <c:pt idx="59">
                  <c:v>2.3706899999999999E-4</c:v>
                </c:pt>
                <c:pt idx="60">
                  <c:v>2.4126700000000001E-4</c:v>
                </c:pt>
                <c:pt idx="61">
                  <c:v>2.4650900000000001E-4</c:v>
                </c:pt>
                <c:pt idx="62">
                  <c:v>2.5000499999999998E-4</c:v>
                </c:pt>
                <c:pt idx="63">
                  <c:v>2.54028E-4</c:v>
                </c:pt>
                <c:pt idx="64">
                  <c:v>2.5960499999999999E-4</c:v>
                </c:pt>
                <c:pt idx="65">
                  <c:v>2.6224899999999999E-4</c:v>
                </c:pt>
                <c:pt idx="66">
                  <c:v>2.6832499999999998E-4</c:v>
                </c:pt>
                <c:pt idx="67">
                  <c:v>2.6990599999999999E-4</c:v>
                </c:pt>
                <c:pt idx="68">
                  <c:v>2.0382700000000001E-5</c:v>
                </c:pt>
                <c:pt idx="69">
                  <c:v>2.0023499999999999E-5</c:v>
                </c:pt>
                <c:pt idx="70">
                  <c:v>1.9904000000000001E-5</c:v>
                </c:pt>
                <c:pt idx="71">
                  <c:v>1.94629E-5</c:v>
                </c:pt>
                <c:pt idx="72">
                  <c:v>1.9318600000000002E-5</c:v>
                </c:pt>
                <c:pt idx="73">
                  <c:v>1.9210799999999999E-5</c:v>
                </c:pt>
                <c:pt idx="74">
                  <c:v>1.91461E-5</c:v>
                </c:pt>
                <c:pt idx="75">
                  <c:v>1.90828E-5</c:v>
                </c:pt>
                <c:pt idx="76">
                  <c:v>1.9054899999999999E-5</c:v>
                </c:pt>
                <c:pt idx="77">
                  <c:v>1.9013199999999999E-5</c:v>
                </c:pt>
                <c:pt idx="78">
                  <c:v>1.7574100000000001E-4</c:v>
                </c:pt>
                <c:pt idx="79">
                  <c:v>1.7144099999999999E-4</c:v>
                </c:pt>
                <c:pt idx="80">
                  <c:v>1.70085E-4</c:v>
                </c:pt>
                <c:pt idx="81">
                  <c:v>1.6901000000000001E-4</c:v>
                </c:pt>
                <c:pt idx="82">
                  <c:v>1.7017200000000001E-4</c:v>
                </c:pt>
                <c:pt idx="83">
                  <c:v>1.7067300000000001E-4</c:v>
                </c:pt>
                <c:pt idx="84">
                  <c:v>1.7287699999999999E-4</c:v>
                </c:pt>
                <c:pt idx="85">
                  <c:v>1.7605100000000001E-4</c:v>
                </c:pt>
                <c:pt idx="86">
                  <c:v>1.7762999999999999E-4</c:v>
                </c:pt>
                <c:pt idx="87">
                  <c:v>1.8016000000000001E-4</c:v>
                </c:pt>
                <c:pt idx="88">
                  <c:v>1.8093100000000001E-4</c:v>
                </c:pt>
                <c:pt idx="89">
                  <c:v>1.8242099999999999E-4</c:v>
                </c:pt>
                <c:pt idx="90">
                  <c:v>1.8596199999999999E-4</c:v>
                </c:pt>
                <c:pt idx="91">
                  <c:v>1.86429E-4</c:v>
                </c:pt>
                <c:pt idx="92">
                  <c:v>1.9014300000000001E-4</c:v>
                </c:pt>
                <c:pt idx="93">
                  <c:v>1.9010699999999999E-4</c:v>
                </c:pt>
                <c:pt idx="94">
                  <c:v>1.93141E-4</c:v>
                </c:pt>
                <c:pt idx="95">
                  <c:v>1.97126E-4</c:v>
                </c:pt>
                <c:pt idx="96">
                  <c:v>1.98786E-4</c:v>
                </c:pt>
                <c:pt idx="97">
                  <c:v>1.99013E-4</c:v>
                </c:pt>
                <c:pt idx="98">
                  <c:v>2.0305E-4</c:v>
                </c:pt>
                <c:pt idx="99">
                  <c:v>2.05856E-4</c:v>
                </c:pt>
                <c:pt idx="100">
                  <c:v>2.1172199999999999E-4</c:v>
                </c:pt>
                <c:pt idx="101">
                  <c:v>2.11607E-4</c:v>
                </c:pt>
                <c:pt idx="102">
                  <c:v>2.14119E-4</c:v>
                </c:pt>
                <c:pt idx="103">
                  <c:v>2.14935E-4</c:v>
                </c:pt>
                <c:pt idx="104">
                  <c:v>2.18426E-4</c:v>
                </c:pt>
                <c:pt idx="105">
                  <c:v>2.2276699999999999E-4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29-6947-A3CB-765301FAC095}"/>
            </c:ext>
          </c:extLst>
        </c:ser>
        <c:ser>
          <c:idx val="1"/>
          <c:order val="1"/>
          <c:tx>
            <c:strRef>
              <c:f>'1480 P- 24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'1480 P- 24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'1480 P- 24 hpi'!$H$3:$H$116</c:f>
              <c:numCache>
                <c:formatCode>0.00E+00</c:formatCode>
                <c:ptCount val="114"/>
                <c:pt idx="0">
                  <c:v>1.6295799999999999E-4</c:v>
                </c:pt>
                <c:pt idx="1">
                  <c:v>1.6596199999999999E-4</c:v>
                </c:pt>
                <c:pt idx="2">
                  <c:v>1.69586E-4</c:v>
                </c:pt>
                <c:pt idx="3">
                  <c:v>1.6829E-4</c:v>
                </c:pt>
                <c:pt idx="4">
                  <c:v>1.74866E-4</c:v>
                </c:pt>
                <c:pt idx="5">
                  <c:v>1.7909600000000001E-4</c:v>
                </c:pt>
                <c:pt idx="6">
                  <c:v>1.8073699999999999E-4</c:v>
                </c:pt>
                <c:pt idx="7">
                  <c:v>1.85434E-4</c:v>
                </c:pt>
                <c:pt idx="8">
                  <c:v>1.8889800000000001E-4</c:v>
                </c:pt>
                <c:pt idx="9">
                  <c:v>1.9267899999999999E-4</c:v>
                </c:pt>
                <c:pt idx="10">
                  <c:v>1.9401499999999999E-4</c:v>
                </c:pt>
                <c:pt idx="11">
                  <c:v>1.9959599999999999E-4</c:v>
                </c:pt>
                <c:pt idx="12">
                  <c:v>2.0087499999999999E-4</c:v>
                </c:pt>
                <c:pt idx="13">
                  <c:v>2.04546E-4</c:v>
                </c:pt>
                <c:pt idx="14">
                  <c:v>2.0690300000000001E-4</c:v>
                </c:pt>
                <c:pt idx="15">
                  <c:v>2.0720800000000001E-4</c:v>
                </c:pt>
                <c:pt idx="16">
                  <c:v>2.1524000000000001E-4</c:v>
                </c:pt>
                <c:pt idx="17">
                  <c:v>2.17469E-4</c:v>
                </c:pt>
                <c:pt idx="18">
                  <c:v>2.2029699999999999E-4</c:v>
                </c:pt>
                <c:pt idx="19">
                  <c:v>2.2442600000000001E-4</c:v>
                </c:pt>
                <c:pt idx="20">
                  <c:v>2.2809699999999999E-4</c:v>
                </c:pt>
                <c:pt idx="21">
                  <c:v>2.3304200000000001E-4</c:v>
                </c:pt>
                <c:pt idx="22">
                  <c:v>2.36231E-4</c:v>
                </c:pt>
                <c:pt idx="23">
                  <c:v>2.3873300000000001E-4</c:v>
                </c:pt>
                <c:pt idx="24">
                  <c:v>2.4324599999999999E-4</c:v>
                </c:pt>
                <c:pt idx="25">
                  <c:v>2.42921E-4</c:v>
                </c:pt>
                <c:pt idx="26">
                  <c:v>2.4449399999999999E-4</c:v>
                </c:pt>
                <c:pt idx="27">
                  <c:v>2.5275900000000002E-4</c:v>
                </c:pt>
                <c:pt idx="28">
                  <c:v>2.5490400000000002E-4</c:v>
                </c:pt>
                <c:pt idx="29">
                  <c:v>2.0338799999999999E-5</c:v>
                </c:pt>
                <c:pt idx="30">
                  <c:v>1.9726699999999999E-5</c:v>
                </c:pt>
                <c:pt idx="31">
                  <c:v>1.9122599999999999E-5</c:v>
                </c:pt>
                <c:pt idx="32">
                  <c:v>1.8882500000000001E-5</c:v>
                </c:pt>
                <c:pt idx="33">
                  <c:v>1.86598E-5</c:v>
                </c:pt>
                <c:pt idx="34">
                  <c:v>1.8477900000000001E-5</c:v>
                </c:pt>
                <c:pt idx="35">
                  <c:v>1.83197E-5</c:v>
                </c:pt>
                <c:pt idx="36">
                  <c:v>1.82484E-5</c:v>
                </c:pt>
                <c:pt idx="37">
                  <c:v>1.8071300000000001E-5</c:v>
                </c:pt>
                <c:pt idx="38">
                  <c:v>1.7997999999999999E-5</c:v>
                </c:pt>
                <c:pt idx="39">
                  <c:v>1.3579099999999999E-4</c:v>
                </c:pt>
                <c:pt idx="40">
                  <c:v>1.3685600000000001E-4</c:v>
                </c:pt>
                <c:pt idx="41">
                  <c:v>1.4002700000000001E-4</c:v>
                </c:pt>
                <c:pt idx="42">
                  <c:v>1.42452E-4</c:v>
                </c:pt>
                <c:pt idx="43">
                  <c:v>1.4731400000000001E-4</c:v>
                </c:pt>
                <c:pt idx="44">
                  <c:v>1.50168E-4</c:v>
                </c:pt>
                <c:pt idx="45">
                  <c:v>1.5315000000000001E-4</c:v>
                </c:pt>
                <c:pt idx="46">
                  <c:v>1.5472199999999999E-4</c:v>
                </c:pt>
                <c:pt idx="47">
                  <c:v>1.5937500000000001E-4</c:v>
                </c:pt>
                <c:pt idx="48">
                  <c:v>1.6331599999999999E-4</c:v>
                </c:pt>
                <c:pt idx="49">
                  <c:v>1.6828200000000001E-4</c:v>
                </c:pt>
                <c:pt idx="50">
                  <c:v>1.7177699999999999E-4</c:v>
                </c:pt>
                <c:pt idx="51">
                  <c:v>1.7243599999999999E-4</c:v>
                </c:pt>
                <c:pt idx="52">
                  <c:v>1.7663499999999999E-4</c:v>
                </c:pt>
                <c:pt idx="53">
                  <c:v>1.8153000000000001E-4</c:v>
                </c:pt>
                <c:pt idx="54">
                  <c:v>1.84265E-4</c:v>
                </c:pt>
                <c:pt idx="55">
                  <c:v>1.8787799999999999E-4</c:v>
                </c:pt>
                <c:pt idx="56">
                  <c:v>1.9123999999999999E-4</c:v>
                </c:pt>
                <c:pt idx="57">
                  <c:v>1.9496300000000001E-4</c:v>
                </c:pt>
                <c:pt idx="58">
                  <c:v>1.9654500000000001E-4</c:v>
                </c:pt>
                <c:pt idx="59">
                  <c:v>2.0042899999999999E-4</c:v>
                </c:pt>
                <c:pt idx="60">
                  <c:v>2.04988E-4</c:v>
                </c:pt>
                <c:pt idx="61">
                  <c:v>2.0783999999999999E-4</c:v>
                </c:pt>
                <c:pt idx="62">
                  <c:v>2.1219399999999999E-4</c:v>
                </c:pt>
                <c:pt idx="63">
                  <c:v>2.1438300000000001E-4</c:v>
                </c:pt>
                <c:pt idx="64">
                  <c:v>2.1839599999999999E-4</c:v>
                </c:pt>
                <c:pt idx="65">
                  <c:v>2.21528E-4</c:v>
                </c:pt>
                <c:pt idx="66">
                  <c:v>2.2224199999999999E-4</c:v>
                </c:pt>
                <c:pt idx="67">
                  <c:v>2.31986E-4</c:v>
                </c:pt>
                <c:pt idx="68">
                  <c:v>1.7934000000000001E-5</c:v>
                </c:pt>
                <c:pt idx="69">
                  <c:v>1.7635500000000001E-5</c:v>
                </c:pt>
                <c:pt idx="70">
                  <c:v>1.7394700000000001E-5</c:v>
                </c:pt>
                <c:pt idx="71">
                  <c:v>1.7249400000000001E-5</c:v>
                </c:pt>
                <c:pt idx="72">
                  <c:v>1.71189E-5</c:v>
                </c:pt>
                <c:pt idx="73">
                  <c:v>1.70217E-5</c:v>
                </c:pt>
                <c:pt idx="74">
                  <c:v>1.6943799999999999E-5</c:v>
                </c:pt>
                <c:pt idx="75">
                  <c:v>1.68998E-5</c:v>
                </c:pt>
                <c:pt idx="76">
                  <c:v>1.6847E-5</c:v>
                </c:pt>
                <c:pt idx="77">
                  <c:v>1.6815599999999999E-5</c:v>
                </c:pt>
                <c:pt idx="78">
                  <c:v>1.6445300000000001E-4</c:v>
                </c:pt>
                <c:pt idx="79">
                  <c:v>1.6676000000000001E-4</c:v>
                </c:pt>
                <c:pt idx="80">
                  <c:v>1.6786899999999999E-4</c:v>
                </c:pt>
                <c:pt idx="81">
                  <c:v>1.68689E-4</c:v>
                </c:pt>
                <c:pt idx="82">
                  <c:v>1.7212600000000001E-4</c:v>
                </c:pt>
                <c:pt idx="83">
                  <c:v>1.75811E-4</c:v>
                </c:pt>
                <c:pt idx="84">
                  <c:v>1.7968699999999999E-4</c:v>
                </c:pt>
                <c:pt idx="85">
                  <c:v>1.8362700000000001E-4</c:v>
                </c:pt>
                <c:pt idx="86">
                  <c:v>1.84334E-4</c:v>
                </c:pt>
                <c:pt idx="87">
                  <c:v>1.8315399999999999E-4</c:v>
                </c:pt>
                <c:pt idx="88">
                  <c:v>1.8469100000000001E-4</c:v>
                </c:pt>
                <c:pt idx="89">
                  <c:v>1.81275E-4</c:v>
                </c:pt>
                <c:pt idx="90">
                  <c:v>1.8707700000000001E-4</c:v>
                </c:pt>
                <c:pt idx="91">
                  <c:v>1.8510799999999999E-4</c:v>
                </c:pt>
                <c:pt idx="92">
                  <c:v>1.86684E-4</c:v>
                </c:pt>
                <c:pt idx="93">
                  <c:v>2.0331700000000001E-4</c:v>
                </c:pt>
                <c:pt idx="94">
                  <c:v>2.0300900000000001E-4</c:v>
                </c:pt>
                <c:pt idx="95">
                  <c:v>2.0714900000000001E-4</c:v>
                </c:pt>
                <c:pt idx="96">
                  <c:v>1.98813E-4</c:v>
                </c:pt>
                <c:pt idx="97">
                  <c:v>2.06892E-4</c:v>
                </c:pt>
                <c:pt idx="98">
                  <c:v>2.10843E-4</c:v>
                </c:pt>
                <c:pt idx="99">
                  <c:v>2.15367E-4</c:v>
                </c:pt>
                <c:pt idx="100">
                  <c:v>2.21015E-4</c:v>
                </c:pt>
                <c:pt idx="101">
                  <c:v>2.2346000000000001E-4</c:v>
                </c:pt>
                <c:pt idx="102">
                  <c:v>2.20826E-4</c:v>
                </c:pt>
                <c:pt idx="103">
                  <c:v>2.2035499999999999E-4</c:v>
                </c:pt>
                <c:pt idx="104">
                  <c:v>2.3343100000000001E-4</c:v>
                </c:pt>
                <c:pt idx="105">
                  <c:v>2.3723900000000001E-4</c:v>
                </c:pt>
                <c:pt idx="106">
                  <c:v>2.4220099999999999E-4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29-6947-A3CB-765301FAC095}"/>
            </c:ext>
          </c:extLst>
        </c:ser>
        <c:ser>
          <c:idx val="2"/>
          <c:order val="2"/>
          <c:tx>
            <c:strRef>
              <c:f>'1480 P- 24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'1480 P- 24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'1480 P- 24 hpi'!$M$3:$M$116</c:f>
              <c:numCache>
                <c:formatCode>0.00E+00</c:formatCode>
                <c:ptCount val="114"/>
                <c:pt idx="0">
                  <c:v>1.96376E-4</c:v>
                </c:pt>
                <c:pt idx="1">
                  <c:v>1.9643899999999999E-4</c:v>
                </c:pt>
                <c:pt idx="2">
                  <c:v>1.9943200000000001E-4</c:v>
                </c:pt>
                <c:pt idx="3">
                  <c:v>2.00621E-4</c:v>
                </c:pt>
                <c:pt idx="4">
                  <c:v>2.0504900000000001E-4</c:v>
                </c:pt>
                <c:pt idx="5">
                  <c:v>2.0470500000000001E-4</c:v>
                </c:pt>
                <c:pt idx="6">
                  <c:v>2.0666200000000001E-4</c:v>
                </c:pt>
                <c:pt idx="7">
                  <c:v>2.0910300000000001E-4</c:v>
                </c:pt>
                <c:pt idx="8">
                  <c:v>2.14203E-4</c:v>
                </c:pt>
                <c:pt idx="9">
                  <c:v>2.07999E-4</c:v>
                </c:pt>
                <c:pt idx="10">
                  <c:v>2.13594E-4</c:v>
                </c:pt>
                <c:pt idx="11">
                  <c:v>2.17765E-4</c:v>
                </c:pt>
                <c:pt idx="12">
                  <c:v>2.1228600000000001E-4</c:v>
                </c:pt>
                <c:pt idx="13">
                  <c:v>2.1346000000000001E-4</c:v>
                </c:pt>
                <c:pt idx="14">
                  <c:v>2.15837E-4</c:v>
                </c:pt>
                <c:pt idx="15">
                  <c:v>2.1481699999999999E-4</c:v>
                </c:pt>
                <c:pt idx="16">
                  <c:v>2.11771E-4</c:v>
                </c:pt>
                <c:pt idx="17">
                  <c:v>2.18643E-4</c:v>
                </c:pt>
                <c:pt idx="18">
                  <c:v>2.1429899999999999E-4</c:v>
                </c:pt>
                <c:pt idx="19">
                  <c:v>2.1911899999999999E-4</c:v>
                </c:pt>
                <c:pt idx="20">
                  <c:v>2.1957899999999999E-4</c:v>
                </c:pt>
                <c:pt idx="21">
                  <c:v>2.20017E-4</c:v>
                </c:pt>
                <c:pt idx="22">
                  <c:v>2.23797E-4</c:v>
                </c:pt>
                <c:pt idx="23">
                  <c:v>2.2236099999999999E-4</c:v>
                </c:pt>
                <c:pt idx="24">
                  <c:v>2.25431E-4</c:v>
                </c:pt>
                <c:pt idx="25">
                  <c:v>2.2356000000000001E-4</c:v>
                </c:pt>
                <c:pt idx="26">
                  <c:v>2.3221900000000001E-4</c:v>
                </c:pt>
                <c:pt idx="27">
                  <c:v>2.28559E-4</c:v>
                </c:pt>
                <c:pt idx="28">
                  <c:v>2.3221400000000001E-4</c:v>
                </c:pt>
                <c:pt idx="29">
                  <c:v>2.18441E-5</c:v>
                </c:pt>
                <c:pt idx="30">
                  <c:v>2.1096700000000001E-5</c:v>
                </c:pt>
                <c:pt idx="31">
                  <c:v>2.0693400000000001E-5</c:v>
                </c:pt>
                <c:pt idx="32">
                  <c:v>2.0396700000000001E-5</c:v>
                </c:pt>
                <c:pt idx="33">
                  <c:v>2.0218299999999999E-5</c:v>
                </c:pt>
                <c:pt idx="34">
                  <c:v>2.0103999999999999E-5</c:v>
                </c:pt>
                <c:pt idx="35">
                  <c:v>1.9922700000000002E-5</c:v>
                </c:pt>
                <c:pt idx="36">
                  <c:v>1.9774100000000001E-5</c:v>
                </c:pt>
                <c:pt idx="37">
                  <c:v>1.9617900000000001E-5</c:v>
                </c:pt>
                <c:pt idx="38">
                  <c:v>1.95108E-5</c:v>
                </c:pt>
                <c:pt idx="39">
                  <c:v>1.6611299999999999E-4</c:v>
                </c:pt>
                <c:pt idx="40">
                  <c:v>1.6558799999999999E-4</c:v>
                </c:pt>
                <c:pt idx="41">
                  <c:v>1.62106E-4</c:v>
                </c:pt>
                <c:pt idx="42">
                  <c:v>1.6730799999999999E-4</c:v>
                </c:pt>
                <c:pt idx="43">
                  <c:v>1.6356699999999999E-4</c:v>
                </c:pt>
                <c:pt idx="44">
                  <c:v>1.7293199999999999E-4</c:v>
                </c:pt>
                <c:pt idx="45">
                  <c:v>1.6843000000000001E-4</c:v>
                </c:pt>
                <c:pt idx="46">
                  <c:v>1.7382500000000001E-4</c:v>
                </c:pt>
                <c:pt idx="47">
                  <c:v>1.7566000000000001E-4</c:v>
                </c:pt>
                <c:pt idx="48">
                  <c:v>1.7902799999999999E-4</c:v>
                </c:pt>
                <c:pt idx="49">
                  <c:v>1.7351500000000001E-4</c:v>
                </c:pt>
                <c:pt idx="50">
                  <c:v>1.7743899999999999E-4</c:v>
                </c:pt>
                <c:pt idx="51">
                  <c:v>1.7661700000000001E-4</c:v>
                </c:pt>
                <c:pt idx="52">
                  <c:v>1.7780000000000001E-4</c:v>
                </c:pt>
                <c:pt idx="53">
                  <c:v>1.8596199999999999E-4</c:v>
                </c:pt>
                <c:pt idx="54">
                  <c:v>1.8362399999999999E-4</c:v>
                </c:pt>
                <c:pt idx="55">
                  <c:v>1.9118E-4</c:v>
                </c:pt>
                <c:pt idx="56">
                  <c:v>1.8886E-4</c:v>
                </c:pt>
                <c:pt idx="57">
                  <c:v>1.9418300000000001E-4</c:v>
                </c:pt>
                <c:pt idx="58">
                  <c:v>1.9184900000000001E-4</c:v>
                </c:pt>
                <c:pt idx="59">
                  <c:v>1.9321E-4</c:v>
                </c:pt>
                <c:pt idx="60">
                  <c:v>1.95708E-4</c:v>
                </c:pt>
                <c:pt idx="61">
                  <c:v>2.00108E-4</c:v>
                </c:pt>
                <c:pt idx="62">
                  <c:v>1.9916700000000001E-4</c:v>
                </c:pt>
                <c:pt idx="63">
                  <c:v>1.97424E-4</c:v>
                </c:pt>
                <c:pt idx="64">
                  <c:v>2.0377500000000001E-4</c:v>
                </c:pt>
                <c:pt idx="65">
                  <c:v>2.0125899999999999E-4</c:v>
                </c:pt>
                <c:pt idx="66">
                  <c:v>1.9914600000000001E-4</c:v>
                </c:pt>
                <c:pt idx="67">
                  <c:v>2.01239E-4</c:v>
                </c:pt>
                <c:pt idx="68">
                  <c:v>1.90244E-5</c:v>
                </c:pt>
                <c:pt idx="69">
                  <c:v>1.8836799999999999E-5</c:v>
                </c:pt>
                <c:pt idx="70">
                  <c:v>1.87507E-5</c:v>
                </c:pt>
                <c:pt idx="71">
                  <c:v>1.86458E-5</c:v>
                </c:pt>
                <c:pt idx="72">
                  <c:v>1.8562800000000001E-5</c:v>
                </c:pt>
                <c:pt idx="73">
                  <c:v>1.84852E-5</c:v>
                </c:pt>
                <c:pt idx="74">
                  <c:v>1.84203E-5</c:v>
                </c:pt>
                <c:pt idx="75">
                  <c:v>1.8339199999999999E-5</c:v>
                </c:pt>
                <c:pt idx="76">
                  <c:v>1.8267E-5</c:v>
                </c:pt>
                <c:pt idx="77">
                  <c:v>1.82098E-5</c:v>
                </c:pt>
                <c:pt idx="78">
                  <c:v>1.53487E-4</c:v>
                </c:pt>
                <c:pt idx="79">
                  <c:v>1.54773E-4</c:v>
                </c:pt>
                <c:pt idx="80">
                  <c:v>1.5419000000000001E-4</c:v>
                </c:pt>
                <c:pt idx="81">
                  <c:v>1.52349E-4</c:v>
                </c:pt>
                <c:pt idx="82">
                  <c:v>1.49183E-4</c:v>
                </c:pt>
                <c:pt idx="83">
                  <c:v>1.5291600000000001E-4</c:v>
                </c:pt>
                <c:pt idx="84">
                  <c:v>1.5410599999999999E-4</c:v>
                </c:pt>
                <c:pt idx="85">
                  <c:v>1.5386600000000001E-4</c:v>
                </c:pt>
                <c:pt idx="86">
                  <c:v>1.5336599999999999E-4</c:v>
                </c:pt>
                <c:pt idx="87">
                  <c:v>1.49114E-4</c:v>
                </c:pt>
                <c:pt idx="88">
                  <c:v>1.53344E-4</c:v>
                </c:pt>
                <c:pt idx="89">
                  <c:v>1.5202999999999999E-4</c:v>
                </c:pt>
                <c:pt idx="90">
                  <c:v>1.52402E-4</c:v>
                </c:pt>
                <c:pt idx="91">
                  <c:v>1.5636900000000001E-4</c:v>
                </c:pt>
                <c:pt idx="92">
                  <c:v>1.5809999999999999E-4</c:v>
                </c:pt>
                <c:pt idx="93">
                  <c:v>1.5656200000000001E-4</c:v>
                </c:pt>
                <c:pt idx="94">
                  <c:v>1.6096099999999999E-4</c:v>
                </c:pt>
                <c:pt idx="95">
                  <c:v>1.6190399999999999E-4</c:v>
                </c:pt>
                <c:pt idx="96">
                  <c:v>1.6227599999999999E-4</c:v>
                </c:pt>
                <c:pt idx="97">
                  <c:v>1.71717E-4</c:v>
                </c:pt>
                <c:pt idx="98">
                  <c:v>1.6437099999999999E-4</c:v>
                </c:pt>
                <c:pt idx="99">
                  <c:v>1.67011E-4</c:v>
                </c:pt>
                <c:pt idx="100">
                  <c:v>1.6898999999999999E-4</c:v>
                </c:pt>
                <c:pt idx="101">
                  <c:v>1.71263E-4</c:v>
                </c:pt>
                <c:pt idx="102">
                  <c:v>1.74938E-4</c:v>
                </c:pt>
                <c:pt idx="103">
                  <c:v>1.72726E-4</c:v>
                </c:pt>
                <c:pt idx="104">
                  <c:v>1.7848000000000001E-4</c:v>
                </c:pt>
                <c:pt idx="105">
                  <c:v>1.8188699999999999E-4</c:v>
                </c:pt>
                <c:pt idx="106">
                  <c:v>1.86558E-4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29-6947-A3CB-765301FAC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33552"/>
        <c:axId val="1130063696"/>
      </c:scatterChart>
      <c:valAx>
        <c:axId val="11295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3696"/>
        <c:crosses val="autoZero"/>
        <c:crossBetween val="midCat"/>
      </c:valAx>
      <c:valAx>
        <c:axId val="1130063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'1480 P- 24 hpi'!$Q$1:$Q$2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'1480 P- 24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'1480 P- 24 hpi'!$Q$3:$Q$132</c:f>
              <c:numCache>
                <c:formatCode>General</c:formatCode>
                <c:ptCount val="130"/>
                <c:pt idx="0">
                  <c:v>8.6909299999999993E-4</c:v>
                </c:pt>
                <c:pt idx="1">
                  <c:v>8.8737799999999997E-4</c:v>
                </c:pt>
                <c:pt idx="2">
                  <c:v>9.0528466666666655E-4</c:v>
                </c:pt>
                <c:pt idx="3">
                  <c:v>9.2440233333333322E-4</c:v>
                </c:pt>
                <c:pt idx="4">
                  <c:v>9.4242733333333329E-4</c:v>
                </c:pt>
                <c:pt idx="5">
                  <c:v>9.5870199999999997E-4</c:v>
                </c:pt>
                <c:pt idx="6">
                  <c:v>9.7745799999999984E-4</c:v>
                </c:pt>
                <c:pt idx="7">
                  <c:v>9.9651866666666659E-4</c:v>
                </c:pt>
                <c:pt idx="8">
                  <c:v>1.0143826666666666E-3</c:v>
                </c:pt>
                <c:pt idx="9">
                  <c:v>1.0314843333333332E-3</c:v>
                </c:pt>
                <c:pt idx="10">
                  <c:v>1.0512983333333334E-3</c:v>
                </c:pt>
                <c:pt idx="11">
                  <c:v>1.069499E-3</c:v>
                </c:pt>
                <c:pt idx="12">
                  <c:v>1.0853760000000001E-3</c:v>
                </c:pt>
                <c:pt idx="13">
                  <c:v>1.1063466666666668E-3</c:v>
                </c:pt>
                <c:pt idx="14">
                  <c:v>1.1292333333333333E-3</c:v>
                </c:pt>
                <c:pt idx="15">
                  <c:v>1.1497333333333334E-3</c:v>
                </c:pt>
                <c:pt idx="16">
                  <c:v>1.1687133333333332E-3</c:v>
                </c:pt>
                <c:pt idx="17">
                  <c:v>1.1925766666666668E-3</c:v>
                </c:pt>
                <c:pt idx="18">
                  <c:v>1.2129233333333332E-3</c:v>
                </c:pt>
                <c:pt idx="19">
                  <c:v>1.2342099999999999E-3</c:v>
                </c:pt>
                <c:pt idx="20">
                  <c:v>1.2519866666666666E-3</c:v>
                </c:pt>
                <c:pt idx="21">
                  <c:v>1.2760166666666668E-3</c:v>
                </c:pt>
                <c:pt idx="22">
                  <c:v>1.3014033333333334E-3</c:v>
                </c:pt>
                <c:pt idx="23">
                  <c:v>1.3226866666666665E-3</c:v>
                </c:pt>
                <c:pt idx="24">
                  <c:v>1.3465033333333331E-3</c:v>
                </c:pt>
                <c:pt idx="25">
                  <c:v>1.3706200000000001E-3</c:v>
                </c:pt>
                <c:pt idx="26">
                  <c:v>1.3994466666666667E-3</c:v>
                </c:pt>
                <c:pt idx="27">
                  <c:v>1.42224E-3</c:v>
                </c:pt>
                <c:pt idx="28">
                  <c:v>1.4468866666666668E-3</c:v>
                </c:pt>
                <c:pt idx="29">
                  <c:v>5.8784300000000007E-6</c:v>
                </c:pt>
                <c:pt idx="30">
                  <c:v>5.6622699999999996E-6</c:v>
                </c:pt>
                <c:pt idx="31">
                  <c:v>5.4911133333333335E-6</c:v>
                </c:pt>
                <c:pt idx="32">
                  <c:v>5.3593399999999999E-6</c:v>
                </c:pt>
                <c:pt idx="33">
                  <c:v>5.2602199999999998E-6</c:v>
                </c:pt>
                <c:pt idx="34">
                  <c:v>5.1754599999999996E-6</c:v>
                </c:pt>
                <c:pt idx="35">
                  <c:v>5.0950833333333339E-6</c:v>
                </c:pt>
                <c:pt idx="36">
                  <c:v>5.0262633333333341E-6</c:v>
                </c:pt>
                <c:pt idx="37">
                  <c:v>4.950923333333333E-6</c:v>
                </c:pt>
                <c:pt idx="38">
                  <c:v>4.8870566666666661E-6</c:v>
                </c:pt>
                <c:pt idx="39">
                  <c:v>5.5037200000000004E-4</c:v>
                </c:pt>
                <c:pt idx="40">
                  <c:v>5.7976233333333332E-4</c:v>
                </c:pt>
                <c:pt idx="41">
                  <c:v>6.0258499999999999E-4</c:v>
                </c:pt>
                <c:pt idx="42">
                  <c:v>6.2666666666666676E-4</c:v>
                </c:pt>
                <c:pt idx="43">
                  <c:v>6.4850733333333326E-4</c:v>
                </c:pt>
                <c:pt idx="44">
                  <c:v>6.7293799999999999E-4</c:v>
                </c:pt>
                <c:pt idx="45">
                  <c:v>6.9174466666666664E-4</c:v>
                </c:pt>
                <c:pt idx="46">
                  <c:v>7.125320000000001E-4</c:v>
                </c:pt>
                <c:pt idx="47">
                  <c:v>7.3066799999999996E-4</c:v>
                </c:pt>
                <c:pt idx="48">
                  <c:v>7.4974366666666662E-4</c:v>
                </c:pt>
                <c:pt idx="49">
                  <c:v>7.6842066666666655E-4</c:v>
                </c:pt>
                <c:pt idx="50">
                  <c:v>7.9044800000000002E-4</c:v>
                </c:pt>
                <c:pt idx="51">
                  <c:v>8.1217133333333325E-4</c:v>
                </c:pt>
                <c:pt idx="52">
                  <c:v>8.32864E-4</c:v>
                </c:pt>
                <c:pt idx="53">
                  <c:v>8.546486666666667E-4</c:v>
                </c:pt>
                <c:pt idx="54">
                  <c:v>8.7647300000000001E-4</c:v>
                </c:pt>
                <c:pt idx="55">
                  <c:v>9.002816666666666E-4</c:v>
                </c:pt>
                <c:pt idx="56">
                  <c:v>9.1982166666666667E-4</c:v>
                </c:pt>
                <c:pt idx="57">
                  <c:v>9.4207766666666668E-4</c:v>
                </c:pt>
                <c:pt idx="58">
                  <c:v>9.6254866666666656E-4</c:v>
                </c:pt>
                <c:pt idx="59">
                  <c:v>9.8512600000000001E-4</c:v>
                </c:pt>
                <c:pt idx="60">
                  <c:v>1.0077306666666668E-3</c:v>
                </c:pt>
                <c:pt idx="61">
                  <c:v>1.0284406666666666E-3</c:v>
                </c:pt>
                <c:pt idx="62">
                  <c:v>1.0516239999999999E-3</c:v>
                </c:pt>
                <c:pt idx="63">
                  <c:v>1.0733293333333334E-3</c:v>
                </c:pt>
                <c:pt idx="64">
                  <c:v>1.0981316666666666E-3</c:v>
                </c:pt>
                <c:pt idx="65">
                  <c:v>1.1219089999999999E-3</c:v>
                </c:pt>
                <c:pt idx="66">
                  <c:v>1.1473866666666668E-3</c:v>
                </c:pt>
                <c:pt idx="67">
                  <c:v>1.1745633333333332E-3</c:v>
                </c:pt>
                <c:pt idx="68">
                  <c:v>4.4497966666666672E-6</c:v>
                </c:pt>
                <c:pt idx="69">
                  <c:v>4.4022766666666666E-6</c:v>
                </c:pt>
                <c:pt idx="70">
                  <c:v>4.3450966666666663E-6</c:v>
                </c:pt>
                <c:pt idx="71">
                  <c:v>4.2965999999999997E-6</c:v>
                </c:pt>
                <c:pt idx="72">
                  <c:v>4.2580366666666661E-6</c:v>
                </c:pt>
                <c:pt idx="73">
                  <c:v>4.2278766666666671E-6</c:v>
                </c:pt>
                <c:pt idx="74">
                  <c:v>4.1984833333333338E-6</c:v>
                </c:pt>
                <c:pt idx="75">
                  <c:v>4.1664399999999999E-6</c:v>
                </c:pt>
                <c:pt idx="76">
                  <c:v>4.1404533333333333E-6</c:v>
                </c:pt>
                <c:pt idx="77">
                  <c:v>4.114343333333333E-6</c:v>
                </c:pt>
                <c:pt idx="78">
                  <c:v>5.1234033333333328E-4</c:v>
                </c:pt>
                <c:pt idx="79">
                  <c:v>5.2904433333333337E-4</c:v>
                </c:pt>
                <c:pt idx="80">
                  <c:v>5.4276900000000002E-4</c:v>
                </c:pt>
                <c:pt idx="81">
                  <c:v>5.5568300000000007E-4</c:v>
                </c:pt>
                <c:pt idx="82">
                  <c:v>5.6938799999999999E-4</c:v>
                </c:pt>
                <c:pt idx="83">
                  <c:v>5.8104399999999996E-4</c:v>
                </c:pt>
                <c:pt idx="84">
                  <c:v>5.9256733333333327E-4</c:v>
                </c:pt>
                <c:pt idx="85">
                  <c:v>6.0406233333333331E-4</c:v>
                </c:pt>
                <c:pt idx="86">
                  <c:v>6.1489200000000002E-4</c:v>
                </c:pt>
                <c:pt idx="87">
                  <c:v>6.267806666666666E-4</c:v>
                </c:pt>
                <c:pt idx="88">
                  <c:v>6.4012666666666662E-4</c:v>
                </c:pt>
                <c:pt idx="89">
                  <c:v>6.5319233333333319E-4</c:v>
                </c:pt>
                <c:pt idx="90">
                  <c:v>6.6674166666666663E-4</c:v>
                </c:pt>
                <c:pt idx="91">
                  <c:v>6.8165966666666657E-4</c:v>
                </c:pt>
                <c:pt idx="92">
                  <c:v>6.9697166666666665E-4</c:v>
                </c:pt>
                <c:pt idx="93">
                  <c:v>7.1531266666666671E-4</c:v>
                </c:pt>
                <c:pt idx="94">
                  <c:v>7.3039366666666683E-4</c:v>
                </c:pt>
                <c:pt idx="95">
                  <c:v>7.4618999999999998E-4</c:v>
                </c:pt>
                <c:pt idx="96">
                  <c:v>7.60245E-4</c:v>
                </c:pt>
                <c:pt idx="97">
                  <c:v>7.8099800000000009E-4</c:v>
                </c:pt>
                <c:pt idx="98">
                  <c:v>7.9494833333333334E-4</c:v>
                </c:pt>
                <c:pt idx="99">
                  <c:v>8.1388833333333329E-4</c:v>
                </c:pt>
                <c:pt idx="100">
                  <c:v>8.3097399999999995E-4</c:v>
                </c:pt>
                <c:pt idx="101">
                  <c:v>8.487583333333334E-4</c:v>
                </c:pt>
                <c:pt idx="102">
                  <c:v>8.6613E-4</c:v>
                </c:pt>
                <c:pt idx="103">
                  <c:v>8.8621000000000012E-4</c:v>
                </c:pt>
                <c:pt idx="104">
                  <c:v>9.0793099999999995E-4</c:v>
                </c:pt>
                <c:pt idx="105">
                  <c:v>9.2438466666666663E-4</c:v>
                </c:pt>
                <c:pt idx="106">
                  <c:v>9.4273299999999996E-4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E6-554D-8F72-8B6B5090F05B}"/>
            </c:ext>
          </c:extLst>
        </c:ser>
        <c:ser>
          <c:idx val="1"/>
          <c:order val="1"/>
          <c:tx>
            <c:strRef>
              <c:f>'1480 P- 24 hpi'!$R$1:$R$2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'1480 P- 24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'1480 P- 24 hpi'!$R$3:$R$132</c:f>
              <c:numCache>
                <c:formatCode>General</c:formatCode>
                <c:ptCount val="130"/>
                <c:pt idx="0">
                  <c:v>1.827133333333333E-4</c:v>
                </c:pt>
                <c:pt idx="1">
                  <c:v>1.8335966666666666E-4</c:v>
                </c:pt>
                <c:pt idx="2">
                  <c:v>1.8541133333333337E-4</c:v>
                </c:pt>
                <c:pt idx="3">
                  <c:v>1.86503E-4</c:v>
                </c:pt>
                <c:pt idx="4">
                  <c:v>1.9069566666666667E-4</c:v>
                </c:pt>
                <c:pt idx="5">
                  <c:v>1.9257733333333336E-4</c:v>
                </c:pt>
                <c:pt idx="6">
                  <c:v>1.9430533333333335E-4</c:v>
                </c:pt>
                <c:pt idx="7">
                  <c:v>1.9736333333333333E-4</c:v>
                </c:pt>
                <c:pt idx="8">
                  <c:v>2.00557E-4</c:v>
                </c:pt>
                <c:pt idx="9">
                  <c:v>2.0080666666666666E-4</c:v>
                </c:pt>
                <c:pt idx="10">
                  <c:v>2.0384999999999999E-4</c:v>
                </c:pt>
                <c:pt idx="11">
                  <c:v>2.076453333333333E-4</c:v>
                </c:pt>
                <c:pt idx="12">
                  <c:v>2.0656833333333334E-4</c:v>
                </c:pt>
                <c:pt idx="13">
                  <c:v>2.1015333333333333E-4</c:v>
                </c:pt>
                <c:pt idx="14">
                  <c:v>2.1283533333333332E-4</c:v>
                </c:pt>
                <c:pt idx="15">
                  <c:v>2.1300433333333333E-4</c:v>
                </c:pt>
                <c:pt idx="16">
                  <c:v>2.1647166666666665E-4</c:v>
                </c:pt>
                <c:pt idx="17">
                  <c:v>2.2068200000000001E-4</c:v>
                </c:pt>
                <c:pt idx="18">
                  <c:v>2.2115899999999999E-4</c:v>
                </c:pt>
                <c:pt idx="19">
                  <c:v>2.2543033333333336E-4</c:v>
                </c:pt>
                <c:pt idx="20">
                  <c:v>2.2832633333333332E-4</c:v>
                </c:pt>
                <c:pt idx="21">
                  <c:v>2.3022866666666669E-4</c:v>
                </c:pt>
                <c:pt idx="22">
                  <c:v>2.3463166666666665E-4</c:v>
                </c:pt>
                <c:pt idx="23">
                  <c:v>2.3685766666666668E-4</c:v>
                </c:pt>
                <c:pt idx="24">
                  <c:v>2.4052399999999999E-4</c:v>
                </c:pt>
                <c:pt idx="25">
                  <c:v>2.4045233333333334E-4</c:v>
                </c:pt>
                <c:pt idx="26">
                  <c:v>2.4639466666666668E-4</c:v>
                </c:pt>
                <c:pt idx="27">
                  <c:v>2.4864200000000004E-4</c:v>
                </c:pt>
                <c:pt idx="28">
                  <c:v>2.5297833333333332E-4</c:v>
                </c:pt>
                <c:pt idx="29">
                  <c:v>2.1661533333333333E-5</c:v>
                </c:pt>
                <c:pt idx="30">
                  <c:v>2.1088366666666663E-5</c:v>
                </c:pt>
                <c:pt idx="31">
                  <c:v>2.0639166666666664E-5</c:v>
                </c:pt>
                <c:pt idx="32">
                  <c:v>2.0385566666666667E-5</c:v>
                </c:pt>
                <c:pt idx="33">
                  <c:v>2.0142166666666668E-5</c:v>
                </c:pt>
                <c:pt idx="34">
                  <c:v>2.0039466666666667E-5</c:v>
                </c:pt>
                <c:pt idx="35">
                  <c:v>1.9892266666666669E-5</c:v>
                </c:pt>
                <c:pt idx="36">
                  <c:v>1.9743600000000002E-5</c:v>
                </c:pt>
                <c:pt idx="37">
                  <c:v>1.9587033333333334E-5</c:v>
                </c:pt>
                <c:pt idx="38">
                  <c:v>1.9434366666666665E-5</c:v>
                </c:pt>
                <c:pt idx="39">
                  <c:v>1.6093666666666665E-4</c:v>
                </c:pt>
                <c:pt idx="40">
                  <c:v>1.6113833333333334E-4</c:v>
                </c:pt>
                <c:pt idx="41">
                  <c:v>1.6067933333333332E-4</c:v>
                </c:pt>
                <c:pt idx="42">
                  <c:v>1.6462666666666669E-4</c:v>
                </c:pt>
                <c:pt idx="43">
                  <c:v>1.655636666666667E-4</c:v>
                </c:pt>
                <c:pt idx="44">
                  <c:v>1.7019766666666664E-4</c:v>
                </c:pt>
                <c:pt idx="45">
                  <c:v>1.7148700000000001E-4</c:v>
                </c:pt>
                <c:pt idx="46">
                  <c:v>1.7488899999999999E-4</c:v>
                </c:pt>
                <c:pt idx="47">
                  <c:v>1.7860466666666668E-4</c:v>
                </c:pt>
                <c:pt idx="48">
                  <c:v>1.8132766666666668E-4</c:v>
                </c:pt>
                <c:pt idx="49">
                  <c:v>1.8163766666666665E-4</c:v>
                </c:pt>
                <c:pt idx="50">
                  <c:v>1.8568466666666665E-4</c:v>
                </c:pt>
                <c:pt idx="51">
                  <c:v>1.8622433333333332E-4</c:v>
                </c:pt>
                <c:pt idx="52">
                  <c:v>1.8977766666666666E-4</c:v>
                </c:pt>
                <c:pt idx="53">
                  <c:v>1.9634333333333335E-4</c:v>
                </c:pt>
                <c:pt idx="54">
                  <c:v>1.9809533333333331E-4</c:v>
                </c:pt>
                <c:pt idx="55">
                  <c:v>2.0382866666666664E-4</c:v>
                </c:pt>
                <c:pt idx="56">
                  <c:v>2.0472700000000001E-4</c:v>
                </c:pt>
                <c:pt idx="57">
                  <c:v>2.0775800000000003E-4</c:v>
                </c:pt>
                <c:pt idx="58">
                  <c:v>2.0838066666666665E-4</c:v>
                </c:pt>
                <c:pt idx="59">
                  <c:v>2.1023600000000001E-4</c:v>
                </c:pt>
                <c:pt idx="60">
                  <c:v>2.1398766666666665E-4</c:v>
                </c:pt>
                <c:pt idx="61">
                  <c:v>2.1815233333333334E-4</c:v>
                </c:pt>
                <c:pt idx="62">
                  <c:v>2.2045533333333331E-4</c:v>
                </c:pt>
                <c:pt idx="63">
                  <c:v>2.21945E-4</c:v>
                </c:pt>
                <c:pt idx="64">
                  <c:v>2.2725866666666668E-4</c:v>
                </c:pt>
                <c:pt idx="65">
                  <c:v>2.2834533333333332E-4</c:v>
                </c:pt>
                <c:pt idx="66">
                  <c:v>2.2990433333333331E-4</c:v>
                </c:pt>
                <c:pt idx="67">
                  <c:v>2.34377E-4</c:v>
                </c:pt>
                <c:pt idx="68">
                  <c:v>1.91137E-5</c:v>
                </c:pt>
                <c:pt idx="69">
                  <c:v>1.8831933333333332E-5</c:v>
                </c:pt>
                <c:pt idx="70">
                  <c:v>1.8683133333333334E-5</c:v>
                </c:pt>
                <c:pt idx="71">
                  <c:v>1.84527E-5</c:v>
                </c:pt>
                <c:pt idx="72">
                  <c:v>1.8333433333333333E-5</c:v>
                </c:pt>
                <c:pt idx="73">
                  <c:v>1.823923333333333E-5</c:v>
                </c:pt>
                <c:pt idx="74">
                  <c:v>1.8170066666666664E-5</c:v>
                </c:pt>
                <c:pt idx="75">
                  <c:v>1.8107266666666665E-5</c:v>
                </c:pt>
                <c:pt idx="76">
                  <c:v>1.8056300000000002E-5</c:v>
                </c:pt>
                <c:pt idx="77">
                  <c:v>1.8012866666666668E-5</c:v>
                </c:pt>
                <c:pt idx="78">
                  <c:v>1.6456033333333336E-4</c:v>
                </c:pt>
                <c:pt idx="79">
                  <c:v>1.6432466666666665E-4</c:v>
                </c:pt>
                <c:pt idx="80">
                  <c:v>1.64048E-4</c:v>
                </c:pt>
                <c:pt idx="81">
                  <c:v>1.6334933333333332E-4</c:v>
                </c:pt>
                <c:pt idx="82">
                  <c:v>1.6382699999999999E-4</c:v>
                </c:pt>
                <c:pt idx="83">
                  <c:v>1.6646666666666666E-4</c:v>
                </c:pt>
                <c:pt idx="84">
                  <c:v>1.6888999999999999E-4</c:v>
                </c:pt>
                <c:pt idx="85">
                  <c:v>1.7118133333333333E-4</c:v>
                </c:pt>
                <c:pt idx="86">
                  <c:v>1.7177666666666667E-4</c:v>
                </c:pt>
                <c:pt idx="87">
                  <c:v>1.7080933333333333E-4</c:v>
                </c:pt>
                <c:pt idx="88">
                  <c:v>1.7298866666666667E-4</c:v>
                </c:pt>
                <c:pt idx="89">
                  <c:v>1.7190866666666666E-4</c:v>
                </c:pt>
                <c:pt idx="90">
                  <c:v>1.7514699999999998E-4</c:v>
                </c:pt>
                <c:pt idx="91">
                  <c:v>1.759686666666667E-4</c:v>
                </c:pt>
                <c:pt idx="92">
                  <c:v>1.78309E-4</c:v>
                </c:pt>
                <c:pt idx="93">
                  <c:v>1.8332866666666663E-4</c:v>
                </c:pt>
                <c:pt idx="94">
                  <c:v>1.8570366666666668E-4</c:v>
                </c:pt>
                <c:pt idx="95">
                  <c:v>1.8872633333333333E-4</c:v>
                </c:pt>
                <c:pt idx="96">
                  <c:v>1.8662500000000002E-4</c:v>
                </c:pt>
                <c:pt idx="97">
                  <c:v>1.9254066666666669E-4</c:v>
                </c:pt>
                <c:pt idx="98">
                  <c:v>1.9275466666666667E-4</c:v>
                </c:pt>
                <c:pt idx="99">
                  <c:v>1.96078E-4</c:v>
                </c:pt>
                <c:pt idx="100">
                  <c:v>2.0057566666666668E-4</c:v>
                </c:pt>
                <c:pt idx="101">
                  <c:v>2.0211E-4</c:v>
                </c:pt>
                <c:pt idx="102">
                  <c:v>2.0329433333333332E-4</c:v>
                </c:pt>
                <c:pt idx="103">
                  <c:v>2.0267199999999999E-4</c:v>
                </c:pt>
                <c:pt idx="104">
                  <c:v>2.1011233333333333E-4</c:v>
                </c:pt>
                <c:pt idx="105">
                  <c:v>2.1396433333333332E-4</c:v>
                </c:pt>
                <c:pt idx="106">
                  <c:v>2.1821566666666665E-4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E6-554D-8F72-8B6B5090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08720"/>
        <c:axId val="1129758512"/>
      </c:scatterChart>
      <c:valAx>
        <c:axId val="11279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58512"/>
        <c:crosses val="autoZero"/>
        <c:crossBetween val="midCat"/>
      </c:valAx>
      <c:valAx>
        <c:axId val="1129758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'1009 24 hpi'!$B$1:$B$2</c:f>
              <c:strCache>
                <c:ptCount val="2"/>
                <c:pt idx="0">
                  <c:v>10 mM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'1009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'1009 24 hpi'!$B$3:$B$109</c:f>
              <c:numCache>
                <c:formatCode>0.00E+00</c:formatCode>
                <c:ptCount val="107"/>
                <c:pt idx="0">
                  <c:v>3.1956699999999998E-3</c:v>
                </c:pt>
                <c:pt idx="1">
                  <c:v>3.2139299999999998E-3</c:v>
                </c:pt>
                <c:pt idx="2">
                  <c:v>3.2391899999999999E-3</c:v>
                </c:pt>
                <c:pt idx="3">
                  <c:v>3.2587200000000001E-3</c:v>
                </c:pt>
                <c:pt idx="4">
                  <c:v>3.2752699999999998E-3</c:v>
                </c:pt>
                <c:pt idx="5">
                  <c:v>3.2910000000000001E-3</c:v>
                </c:pt>
                <c:pt idx="6">
                  <c:v>3.3148100000000001E-3</c:v>
                </c:pt>
                <c:pt idx="7">
                  <c:v>3.3291900000000001E-3</c:v>
                </c:pt>
                <c:pt idx="8">
                  <c:v>3.3523899999999998E-3</c:v>
                </c:pt>
                <c:pt idx="9">
                  <c:v>3.3744600000000001E-3</c:v>
                </c:pt>
                <c:pt idx="10">
                  <c:v>3.38975E-3</c:v>
                </c:pt>
                <c:pt idx="11">
                  <c:v>3.41034E-3</c:v>
                </c:pt>
                <c:pt idx="12">
                  <c:v>3.42121E-3</c:v>
                </c:pt>
                <c:pt idx="13">
                  <c:v>3.4399999999999999E-3</c:v>
                </c:pt>
                <c:pt idx="14">
                  <c:v>3.4620300000000001E-3</c:v>
                </c:pt>
                <c:pt idx="15">
                  <c:v>3.4785200000000001E-3</c:v>
                </c:pt>
                <c:pt idx="16">
                  <c:v>3.49162E-3</c:v>
                </c:pt>
                <c:pt idx="17">
                  <c:v>3.5122E-3</c:v>
                </c:pt>
                <c:pt idx="18">
                  <c:v>3.5219600000000002E-3</c:v>
                </c:pt>
                <c:pt idx="19">
                  <c:v>3.5460399999999999E-3</c:v>
                </c:pt>
                <c:pt idx="20">
                  <c:v>3.5626E-3</c:v>
                </c:pt>
                <c:pt idx="21">
                  <c:v>3.5856899999999999E-3</c:v>
                </c:pt>
                <c:pt idx="22">
                  <c:v>3.6059999999999998E-3</c:v>
                </c:pt>
                <c:pt idx="23">
                  <c:v>3.62701E-3</c:v>
                </c:pt>
                <c:pt idx="24">
                  <c:v>3.6429000000000001E-3</c:v>
                </c:pt>
                <c:pt idx="25">
                  <c:v>3.6583800000000001E-3</c:v>
                </c:pt>
                <c:pt idx="26">
                  <c:v>3.6693300000000002E-3</c:v>
                </c:pt>
                <c:pt idx="27">
                  <c:v>3.6835499999999998E-3</c:v>
                </c:pt>
                <c:pt idx="28">
                  <c:v>3.7115E-3</c:v>
                </c:pt>
                <c:pt idx="29">
                  <c:v>2.6846399999999999E-6</c:v>
                </c:pt>
                <c:pt idx="30">
                  <c:v>2.71269E-6</c:v>
                </c:pt>
                <c:pt idx="31">
                  <c:v>2.6612200000000002E-6</c:v>
                </c:pt>
                <c:pt idx="32">
                  <c:v>2.6504000000000001E-6</c:v>
                </c:pt>
                <c:pt idx="33">
                  <c:v>2.6248799999999999E-6</c:v>
                </c:pt>
                <c:pt idx="34">
                  <c:v>2.5962900000000002E-6</c:v>
                </c:pt>
                <c:pt idx="35">
                  <c:v>2.5842199999999999E-6</c:v>
                </c:pt>
                <c:pt idx="36">
                  <c:v>2.5906900000000002E-6</c:v>
                </c:pt>
                <c:pt idx="37">
                  <c:v>2.5823400000000001E-6</c:v>
                </c:pt>
                <c:pt idx="38">
                  <c:v>2.58806E-6</c:v>
                </c:pt>
                <c:pt idx="39">
                  <c:v>2.4960199999999998E-3</c:v>
                </c:pt>
                <c:pt idx="40">
                  <c:v>2.5707199999999999E-3</c:v>
                </c:pt>
                <c:pt idx="41">
                  <c:v>2.6254099999999999E-3</c:v>
                </c:pt>
                <c:pt idx="42">
                  <c:v>2.6734200000000001E-3</c:v>
                </c:pt>
                <c:pt idx="43">
                  <c:v>2.70659E-3</c:v>
                </c:pt>
                <c:pt idx="44">
                  <c:v>2.73726E-3</c:v>
                </c:pt>
                <c:pt idx="45">
                  <c:v>2.76231E-3</c:v>
                </c:pt>
                <c:pt idx="46">
                  <c:v>2.7930699999999999E-3</c:v>
                </c:pt>
                <c:pt idx="47">
                  <c:v>2.81233E-3</c:v>
                </c:pt>
                <c:pt idx="48">
                  <c:v>2.83096E-3</c:v>
                </c:pt>
                <c:pt idx="49">
                  <c:v>2.8497499999999999E-3</c:v>
                </c:pt>
                <c:pt idx="50">
                  <c:v>2.8694599999999999E-3</c:v>
                </c:pt>
                <c:pt idx="51">
                  <c:v>2.8879800000000001E-3</c:v>
                </c:pt>
                <c:pt idx="52">
                  <c:v>2.9035799999999998E-3</c:v>
                </c:pt>
                <c:pt idx="53">
                  <c:v>2.92099E-3</c:v>
                </c:pt>
                <c:pt idx="54">
                  <c:v>2.9457200000000002E-3</c:v>
                </c:pt>
                <c:pt idx="55">
                  <c:v>2.9576400000000001E-3</c:v>
                </c:pt>
                <c:pt idx="56">
                  <c:v>2.9697299999999999E-3</c:v>
                </c:pt>
                <c:pt idx="57">
                  <c:v>2.9846299999999998E-3</c:v>
                </c:pt>
                <c:pt idx="58">
                  <c:v>2.9966400000000001E-3</c:v>
                </c:pt>
                <c:pt idx="59">
                  <c:v>3.01491E-3</c:v>
                </c:pt>
                <c:pt idx="60">
                  <c:v>3.02871E-3</c:v>
                </c:pt>
                <c:pt idx="61">
                  <c:v>3.0440599999999999E-3</c:v>
                </c:pt>
                <c:pt idx="62">
                  <c:v>3.05134E-3</c:v>
                </c:pt>
                <c:pt idx="63">
                  <c:v>3.0643100000000002E-3</c:v>
                </c:pt>
                <c:pt idx="64">
                  <c:v>3.0806599999999998E-3</c:v>
                </c:pt>
                <c:pt idx="65">
                  <c:v>3.0890399999999999E-3</c:v>
                </c:pt>
                <c:pt idx="66">
                  <c:v>3.0971000000000002E-3</c:v>
                </c:pt>
                <c:pt idx="67">
                  <c:v>3.1095300000000001E-3</c:v>
                </c:pt>
                <c:pt idx="68">
                  <c:v>2.8508599999999998E-6</c:v>
                </c:pt>
                <c:pt idx="69">
                  <c:v>2.8898100000000001E-6</c:v>
                </c:pt>
                <c:pt idx="70">
                  <c:v>2.8536500000000002E-6</c:v>
                </c:pt>
                <c:pt idx="71">
                  <c:v>2.8431700000000002E-6</c:v>
                </c:pt>
                <c:pt idx="72">
                  <c:v>2.8269E-6</c:v>
                </c:pt>
                <c:pt idx="73">
                  <c:v>2.8039599999999999E-6</c:v>
                </c:pt>
                <c:pt idx="74">
                  <c:v>2.7978900000000001E-6</c:v>
                </c:pt>
                <c:pt idx="75">
                  <c:v>2.7912800000000001E-6</c:v>
                </c:pt>
                <c:pt idx="76">
                  <c:v>2.7895999999999999E-6</c:v>
                </c:pt>
                <c:pt idx="77">
                  <c:v>2.78902E-6</c:v>
                </c:pt>
                <c:pt idx="78">
                  <c:v>2.61159E-3</c:v>
                </c:pt>
                <c:pt idx="79">
                  <c:v>2.6948900000000001E-3</c:v>
                </c:pt>
                <c:pt idx="80">
                  <c:v>2.7458399999999998E-3</c:v>
                </c:pt>
                <c:pt idx="81">
                  <c:v>2.7927099999999999E-3</c:v>
                </c:pt>
                <c:pt idx="82">
                  <c:v>2.8286499999999998E-3</c:v>
                </c:pt>
                <c:pt idx="83">
                  <c:v>2.8631799999999999E-3</c:v>
                </c:pt>
                <c:pt idx="84">
                  <c:v>2.8885299999999998E-3</c:v>
                </c:pt>
                <c:pt idx="85">
                  <c:v>2.9078799999999998E-3</c:v>
                </c:pt>
                <c:pt idx="86">
                  <c:v>2.9275600000000001E-3</c:v>
                </c:pt>
                <c:pt idx="87">
                  <c:v>2.94305E-3</c:v>
                </c:pt>
                <c:pt idx="88">
                  <c:v>2.9589199999999999E-3</c:v>
                </c:pt>
                <c:pt idx="89">
                  <c:v>2.9760400000000001E-3</c:v>
                </c:pt>
                <c:pt idx="90">
                  <c:v>2.99438E-3</c:v>
                </c:pt>
                <c:pt idx="91">
                  <c:v>3.0050300000000001E-3</c:v>
                </c:pt>
                <c:pt idx="92">
                  <c:v>3.0272300000000001E-3</c:v>
                </c:pt>
                <c:pt idx="93">
                  <c:v>3.02995E-3</c:v>
                </c:pt>
                <c:pt idx="94">
                  <c:v>3.05902E-3</c:v>
                </c:pt>
                <c:pt idx="95">
                  <c:v>3.0571999999999999E-3</c:v>
                </c:pt>
                <c:pt idx="96">
                  <c:v>3.0831999999999999E-3</c:v>
                </c:pt>
                <c:pt idx="97">
                  <c:v>3.0808400000000001E-3</c:v>
                </c:pt>
                <c:pt idx="98">
                  <c:v>3.1035099999999999E-3</c:v>
                </c:pt>
                <c:pt idx="99">
                  <c:v>3.10078E-3</c:v>
                </c:pt>
                <c:pt idx="100">
                  <c:v>3.1224600000000001E-3</c:v>
                </c:pt>
                <c:pt idx="101">
                  <c:v>3.1219400000000001E-3</c:v>
                </c:pt>
                <c:pt idx="102">
                  <c:v>3.1348999999999999E-3</c:v>
                </c:pt>
                <c:pt idx="103">
                  <c:v>3.14928E-3</c:v>
                </c:pt>
                <c:pt idx="104">
                  <c:v>3.15022E-3</c:v>
                </c:pt>
                <c:pt idx="105">
                  <c:v>3.16235E-3</c:v>
                </c:pt>
                <c:pt idx="106">
                  <c:v>3.1578800000000001E-3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B-4E03-B6E7-6C50EF6E94F5}"/>
            </c:ext>
          </c:extLst>
        </c:ser>
        <c:ser>
          <c:idx val="1"/>
          <c:order val="1"/>
          <c:tx>
            <c:strRef>
              <c:f>'1009 24 hpi'!$G$1:$G$2</c:f>
              <c:strCache>
                <c:ptCount val="2"/>
                <c:pt idx="0">
                  <c:v>1 mM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'1009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'1009 24 hpi'!$G$3:$G$109</c:f>
              <c:numCache>
                <c:formatCode>0.00E+00</c:formatCode>
                <c:ptCount val="107"/>
                <c:pt idx="0">
                  <c:v>1.4404999999999999E-3</c:v>
                </c:pt>
                <c:pt idx="1">
                  <c:v>1.4603000000000001E-3</c:v>
                </c:pt>
                <c:pt idx="2">
                  <c:v>1.4829800000000001E-3</c:v>
                </c:pt>
                <c:pt idx="3">
                  <c:v>1.4998500000000001E-3</c:v>
                </c:pt>
                <c:pt idx="4">
                  <c:v>1.5137799999999999E-3</c:v>
                </c:pt>
                <c:pt idx="5">
                  <c:v>1.5290099999999999E-3</c:v>
                </c:pt>
                <c:pt idx="6">
                  <c:v>1.54517E-3</c:v>
                </c:pt>
                <c:pt idx="7">
                  <c:v>1.56153E-3</c:v>
                </c:pt>
                <c:pt idx="8">
                  <c:v>1.57782E-3</c:v>
                </c:pt>
                <c:pt idx="9">
                  <c:v>1.58993E-3</c:v>
                </c:pt>
                <c:pt idx="10">
                  <c:v>1.6034199999999999E-3</c:v>
                </c:pt>
                <c:pt idx="11">
                  <c:v>1.6079E-3</c:v>
                </c:pt>
                <c:pt idx="12">
                  <c:v>1.61545E-3</c:v>
                </c:pt>
                <c:pt idx="13">
                  <c:v>1.6298199999999999E-3</c:v>
                </c:pt>
                <c:pt idx="14">
                  <c:v>1.6464800000000001E-3</c:v>
                </c:pt>
                <c:pt idx="15">
                  <c:v>1.6536999999999999E-3</c:v>
                </c:pt>
                <c:pt idx="16">
                  <c:v>1.6658300000000001E-3</c:v>
                </c:pt>
                <c:pt idx="17">
                  <c:v>1.6785999999999999E-3</c:v>
                </c:pt>
                <c:pt idx="18">
                  <c:v>1.6883200000000001E-3</c:v>
                </c:pt>
                <c:pt idx="19">
                  <c:v>1.6999999999999999E-3</c:v>
                </c:pt>
                <c:pt idx="20">
                  <c:v>1.71463E-3</c:v>
                </c:pt>
                <c:pt idx="21">
                  <c:v>1.7318699999999999E-3</c:v>
                </c:pt>
                <c:pt idx="22">
                  <c:v>1.7460500000000001E-3</c:v>
                </c:pt>
                <c:pt idx="23">
                  <c:v>1.7585999999999999E-3</c:v>
                </c:pt>
                <c:pt idx="24">
                  <c:v>1.7716400000000001E-3</c:v>
                </c:pt>
                <c:pt idx="25">
                  <c:v>1.78769E-3</c:v>
                </c:pt>
                <c:pt idx="26">
                  <c:v>1.80495E-3</c:v>
                </c:pt>
                <c:pt idx="27">
                  <c:v>1.80755E-3</c:v>
                </c:pt>
                <c:pt idx="28">
                  <c:v>1.8185600000000001E-3</c:v>
                </c:pt>
                <c:pt idx="29">
                  <c:v>1.87068E-6</c:v>
                </c:pt>
                <c:pt idx="30">
                  <c:v>1.8564900000000001E-6</c:v>
                </c:pt>
                <c:pt idx="31">
                  <c:v>1.84255E-6</c:v>
                </c:pt>
                <c:pt idx="32">
                  <c:v>1.82795E-6</c:v>
                </c:pt>
                <c:pt idx="33">
                  <c:v>1.8258200000000001E-6</c:v>
                </c:pt>
                <c:pt idx="34">
                  <c:v>1.8132799999999999E-6</c:v>
                </c:pt>
                <c:pt idx="35">
                  <c:v>1.79929E-6</c:v>
                </c:pt>
                <c:pt idx="36">
                  <c:v>1.79154E-6</c:v>
                </c:pt>
                <c:pt idx="37">
                  <c:v>1.7895500000000001E-6</c:v>
                </c:pt>
                <c:pt idx="38">
                  <c:v>1.77991E-6</c:v>
                </c:pt>
                <c:pt idx="39">
                  <c:v>1.0762499999999999E-3</c:v>
                </c:pt>
                <c:pt idx="40">
                  <c:v>1.11174E-3</c:v>
                </c:pt>
                <c:pt idx="41">
                  <c:v>1.1314000000000001E-3</c:v>
                </c:pt>
                <c:pt idx="42">
                  <c:v>1.16434E-3</c:v>
                </c:pt>
                <c:pt idx="43">
                  <c:v>1.16613E-3</c:v>
                </c:pt>
                <c:pt idx="44">
                  <c:v>1.18301E-3</c:v>
                </c:pt>
                <c:pt idx="45">
                  <c:v>1.19987E-3</c:v>
                </c:pt>
                <c:pt idx="46">
                  <c:v>1.2041899999999999E-3</c:v>
                </c:pt>
                <c:pt idx="47">
                  <c:v>1.2074500000000001E-3</c:v>
                </c:pt>
                <c:pt idx="48">
                  <c:v>1.21346E-3</c:v>
                </c:pt>
                <c:pt idx="49">
                  <c:v>1.2284799999999999E-3</c:v>
                </c:pt>
                <c:pt idx="50">
                  <c:v>1.2348400000000001E-3</c:v>
                </c:pt>
                <c:pt idx="51">
                  <c:v>1.23591E-3</c:v>
                </c:pt>
                <c:pt idx="52">
                  <c:v>1.24103E-3</c:v>
                </c:pt>
                <c:pt idx="53">
                  <c:v>1.2471100000000001E-3</c:v>
                </c:pt>
                <c:pt idx="54">
                  <c:v>1.2490800000000001E-3</c:v>
                </c:pt>
                <c:pt idx="55">
                  <c:v>1.26198E-3</c:v>
                </c:pt>
                <c:pt idx="56">
                  <c:v>1.2752900000000001E-3</c:v>
                </c:pt>
                <c:pt idx="57">
                  <c:v>1.28063E-3</c:v>
                </c:pt>
                <c:pt idx="58">
                  <c:v>1.2858699999999999E-3</c:v>
                </c:pt>
                <c:pt idx="59">
                  <c:v>1.29918E-3</c:v>
                </c:pt>
                <c:pt idx="60">
                  <c:v>1.2953000000000001E-3</c:v>
                </c:pt>
                <c:pt idx="61">
                  <c:v>1.2904100000000001E-3</c:v>
                </c:pt>
                <c:pt idx="62">
                  <c:v>1.2976999999999999E-3</c:v>
                </c:pt>
                <c:pt idx="63">
                  <c:v>1.30667E-3</c:v>
                </c:pt>
                <c:pt idx="64">
                  <c:v>1.3130800000000001E-3</c:v>
                </c:pt>
                <c:pt idx="65">
                  <c:v>1.3168699999999999E-3</c:v>
                </c:pt>
                <c:pt idx="66">
                  <c:v>1.31361E-3</c:v>
                </c:pt>
                <c:pt idx="67">
                  <c:v>1.31726E-3</c:v>
                </c:pt>
                <c:pt idx="68">
                  <c:v>1.8266100000000001E-6</c:v>
                </c:pt>
                <c:pt idx="69">
                  <c:v>1.8266E-6</c:v>
                </c:pt>
                <c:pt idx="70">
                  <c:v>1.8204200000000001E-6</c:v>
                </c:pt>
                <c:pt idx="71">
                  <c:v>1.8206800000000001E-6</c:v>
                </c:pt>
                <c:pt idx="72">
                  <c:v>1.81912E-6</c:v>
                </c:pt>
                <c:pt idx="73">
                  <c:v>1.8203599999999999E-6</c:v>
                </c:pt>
                <c:pt idx="74">
                  <c:v>1.8095199999999999E-6</c:v>
                </c:pt>
                <c:pt idx="75">
                  <c:v>1.8119299999999999E-6</c:v>
                </c:pt>
                <c:pt idx="76">
                  <c:v>1.812E-6</c:v>
                </c:pt>
                <c:pt idx="77">
                  <c:v>1.8115900000000001E-6</c:v>
                </c:pt>
                <c:pt idx="78">
                  <c:v>1.07701E-3</c:v>
                </c:pt>
                <c:pt idx="79">
                  <c:v>1.1151100000000001E-3</c:v>
                </c:pt>
                <c:pt idx="80">
                  <c:v>1.13137E-3</c:v>
                </c:pt>
                <c:pt idx="81">
                  <c:v>1.1518800000000001E-3</c:v>
                </c:pt>
                <c:pt idx="82">
                  <c:v>1.1632999999999999E-3</c:v>
                </c:pt>
                <c:pt idx="83">
                  <c:v>1.1789700000000001E-3</c:v>
                </c:pt>
                <c:pt idx="84">
                  <c:v>1.1869999999999999E-3</c:v>
                </c:pt>
                <c:pt idx="85">
                  <c:v>1.1948900000000001E-3</c:v>
                </c:pt>
                <c:pt idx="86">
                  <c:v>1.2065699999999999E-3</c:v>
                </c:pt>
                <c:pt idx="87">
                  <c:v>1.2161299999999999E-3</c:v>
                </c:pt>
                <c:pt idx="88">
                  <c:v>1.2142500000000001E-3</c:v>
                </c:pt>
                <c:pt idx="89">
                  <c:v>1.2163600000000001E-3</c:v>
                </c:pt>
                <c:pt idx="90">
                  <c:v>1.2228199999999999E-3</c:v>
                </c:pt>
                <c:pt idx="91">
                  <c:v>1.2360800000000001E-3</c:v>
                </c:pt>
                <c:pt idx="92">
                  <c:v>1.24197E-3</c:v>
                </c:pt>
                <c:pt idx="93">
                  <c:v>1.24295E-3</c:v>
                </c:pt>
                <c:pt idx="94">
                  <c:v>1.24095E-3</c:v>
                </c:pt>
                <c:pt idx="95">
                  <c:v>1.25267E-3</c:v>
                </c:pt>
                <c:pt idx="96">
                  <c:v>1.2551299999999999E-3</c:v>
                </c:pt>
                <c:pt idx="97">
                  <c:v>1.2511600000000001E-3</c:v>
                </c:pt>
                <c:pt idx="98">
                  <c:v>1.2622499999999999E-3</c:v>
                </c:pt>
                <c:pt idx="99">
                  <c:v>1.2663100000000001E-3</c:v>
                </c:pt>
                <c:pt idx="100">
                  <c:v>1.26403E-3</c:v>
                </c:pt>
                <c:pt idx="101">
                  <c:v>1.27137E-3</c:v>
                </c:pt>
                <c:pt idx="102">
                  <c:v>1.2774500000000001E-3</c:v>
                </c:pt>
                <c:pt idx="103">
                  <c:v>1.27042E-3</c:v>
                </c:pt>
                <c:pt idx="104">
                  <c:v>1.2814600000000001E-3</c:v>
                </c:pt>
                <c:pt idx="105">
                  <c:v>1.2828200000000001E-3</c:v>
                </c:pt>
                <c:pt idx="106">
                  <c:v>1.29072E-3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DB-4E03-B6E7-6C50EF6E94F5}"/>
            </c:ext>
          </c:extLst>
        </c:ser>
        <c:ser>
          <c:idx val="2"/>
          <c:order val="2"/>
          <c:tx>
            <c:strRef>
              <c:f>'1009 24 hpi'!$L$1:$L$2</c:f>
              <c:strCache>
                <c:ptCount val="2"/>
                <c:pt idx="0">
                  <c:v>0 mM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'1009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'1009 24 hpi'!$L$3:$L$109</c:f>
              <c:numCache>
                <c:formatCode>0.00E+00</c:formatCode>
                <c:ptCount val="107"/>
                <c:pt idx="0">
                  <c:v>3.8714499999999998E-3</c:v>
                </c:pt>
                <c:pt idx="1">
                  <c:v>3.9399700000000001E-3</c:v>
                </c:pt>
                <c:pt idx="2">
                  <c:v>4.0021700000000002E-3</c:v>
                </c:pt>
                <c:pt idx="3">
                  <c:v>4.0523399999999998E-3</c:v>
                </c:pt>
                <c:pt idx="4">
                  <c:v>4.1017600000000003E-3</c:v>
                </c:pt>
                <c:pt idx="5">
                  <c:v>4.1602999999999996E-3</c:v>
                </c:pt>
                <c:pt idx="6">
                  <c:v>4.1932799999999998E-3</c:v>
                </c:pt>
                <c:pt idx="7">
                  <c:v>4.2376799999999997E-3</c:v>
                </c:pt>
                <c:pt idx="8">
                  <c:v>4.27912E-3</c:v>
                </c:pt>
                <c:pt idx="9">
                  <c:v>4.3345099999999998E-3</c:v>
                </c:pt>
                <c:pt idx="10">
                  <c:v>4.3664300000000001E-3</c:v>
                </c:pt>
                <c:pt idx="11">
                  <c:v>4.4090900000000001E-3</c:v>
                </c:pt>
                <c:pt idx="12">
                  <c:v>4.4498799999999998E-3</c:v>
                </c:pt>
                <c:pt idx="13">
                  <c:v>4.4986499999999999E-3</c:v>
                </c:pt>
                <c:pt idx="14">
                  <c:v>4.5445499999999996E-3</c:v>
                </c:pt>
                <c:pt idx="15">
                  <c:v>4.5841800000000002E-3</c:v>
                </c:pt>
                <c:pt idx="16">
                  <c:v>4.6351700000000001E-3</c:v>
                </c:pt>
                <c:pt idx="17">
                  <c:v>4.6994100000000002E-3</c:v>
                </c:pt>
                <c:pt idx="18">
                  <c:v>4.7348199999999998E-3</c:v>
                </c:pt>
                <c:pt idx="19">
                  <c:v>4.7792700000000004E-3</c:v>
                </c:pt>
                <c:pt idx="20">
                  <c:v>4.8295999999999999E-3</c:v>
                </c:pt>
                <c:pt idx="21">
                  <c:v>4.8887799999999997E-3</c:v>
                </c:pt>
                <c:pt idx="22">
                  <c:v>4.9389799999999999E-3</c:v>
                </c:pt>
                <c:pt idx="23">
                  <c:v>4.9801200000000002E-3</c:v>
                </c:pt>
                <c:pt idx="24">
                  <c:v>5.0180199999999998E-3</c:v>
                </c:pt>
                <c:pt idx="25">
                  <c:v>5.06531E-3</c:v>
                </c:pt>
                <c:pt idx="26">
                  <c:v>5.10897E-3</c:v>
                </c:pt>
                <c:pt idx="27">
                  <c:v>5.1449900000000003E-3</c:v>
                </c:pt>
                <c:pt idx="28">
                  <c:v>5.2038400000000004E-3</c:v>
                </c:pt>
                <c:pt idx="29">
                  <c:v>5.1094900000000001E-6</c:v>
                </c:pt>
                <c:pt idx="30">
                  <c:v>5.0693699999999997E-6</c:v>
                </c:pt>
                <c:pt idx="31">
                  <c:v>4.8361600000000001E-6</c:v>
                </c:pt>
                <c:pt idx="32">
                  <c:v>4.7465299999999998E-6</c:v>
                </c:pt>
                <c:pt idx="33">
                  <c:v>4.6260399999999997E-6</c:v>
                </c:pt>
                <c:pt idx="34">
                  <c:v>4.5497400000000001E-6</c:v>
                </c:pt>
                <c:pt idx="35">
                  <c:v>4.4758700000000002E-6</c:v>
                </c:pt>
                <c:pt idx="36">
                  <c:v>4.4368200000000002E-6</c:v>
                </c:pt>
                <c:pt idx="37">
                  <c:v>4.3373599999999999E-6</c:v>
                </c:pt>
                <c:pt idx="38">
                  <c:v>4.3111799999999998E-6</c:v>
                </c:pt>
                <c:pt idx="39">
                  <c:v>1.6741200000000001E-3</c:v>
                </c:pt>
                <c:pt idx="40">
                  <c:v>1.71773E-3</c:v>
                </c:pt>
                <c:pt idx="41">
                  <c:v>1.75935E-3</c:v>
                </c:pt>
                <c:pt idx="42">
                  <c:v>1.79144E-3</c:v>
                </c:pt>
                <c:pt idx="43">
                  <c:v>1.80762E-3</c:v>
                </c:pt>
                <c:pt idx="44">
                  <c:v>1.82927E-3</c:v>
                </c:pt>
                <c:pt idx="45">
                  <c:v>1.8522199999999999E-3</c:v>
                </c:pt>
                <c:pt idx="46">
                  <c:v>1.8764400000000001E-3</c:v>
                </c:pt>
                <c:pt idx="47">
                  <c:v>1.89996E-3</c:v>
                </c:pt>
                <c:pt idx="48">
                  <c:v>1.92136E-3</c:v>
                </c:pt>
                <c:pt idx="49">
                  <c:v>1.94488E-3</c:v>
                </c:pt>
                <c:pt idx="50">
                  <c:v>1.96971E-3</c:v>
                </c:pt>
                <c:pt idx="51">
                  <c:v>1.9887099999999999E-3</c:v>
                </c:pt>
                <c:pt idx="52">
                  <c:v>2.0121599999999998E-3</c:v>
                </c:pt>
                <c:pt idx="53">
                  <c:v>2.0444999999999999E-3</c:v>
                </c:pt>
                <c:pt idx="54">
                  <c:v>2.0704999999999999E-3</c:v>
                </c:pt>
                <c:pt idx="55">
                  <c:v>2.0911599999999999E-3</c:v>
                </c:pt>
                <c:pt idx="56">
                  <c:v>2.1247699999999998E-3</c:v>
                </c:pt>
                <c:pt idx="57">
                  <c:v>2.1434800000000001E-3</c:v>
                </c:pt>
                <c:pt idx="58">
                  <c:v>2.1751000000000001E-3</c:v>
                </c:pt>
                <c:pt idx="59">
                  <c:v>2.2018599999999999E-3</c:v>
                </c:pt>
                <c:pt idx="60">
                  <c:v>2.2261999999999998E-3</c:v>
                </c:pt>
                <c:pt idx="61">
                  <c:v>2.25187E-3</c:v>
                </c:pt>
                <c:pt idx="62">
                  <c:v>2.2723299999999999E-3</c:v>
                </c:pt>
                <c:pt idx="63">
                  <c:v>2.2944599999999999E-3</c:v>
                </c:pt>
                <c:pt idx="64">
                  <c:v>2.33008E-3</c:v>
                </c:pt>
                <c:pt idx="65">
                  <c:v>2.35017E-3</c:v>
                </c:pt>
                <c:pt idx="66">
                  <c:v>2.3761799999999999E-3</c:v>
                </c:pt>
                <c:pt idx="67">
                  <c:v>2.4021699999999999E-3</c:v>
                </c:pt>
                <c:pt idx="68">
                  <c:v>3.8644200000000003E-6</c:v>
                </c:pt>
                <c:pt idx="69">
                  <c:v>3.8743000000000003E-6</c:v>
                </c:pt>
                <c:pt idx="70">
                  <c:v>3.8226999999999998E-6</c:v>
                </c:pt>
                <c:pt idx="71">
                  <c:v>3.7930899999999999E-6</c:v>
                </c:pt>
                <c:pt idx="72">
                  <c:v>3.7706700000000002E-6</c:v>
                </c:pt>
                <c:pt idx="73">
                  <c:v>3.75239E-6</c:v>
                </c:pt>
                <c:pt idx="74">
                  <c:v>3.7360100000000002E-6</c:v>
                </c:pt>
                <c:pt idx="75">
                  <c:v>3.7183200000000002E-6</c:v>
                </c:pt>
                <c:pt idx="76">
                  <c:v>3.6953999999999998E-6</c:v>
                </c:pt>
                <c:pt idx="77">
                  <c:v>3.6716199999999998E-6</c:v>
                </c:pt>
                <c:pt idx="78">
                  <c:v>1.4084900000000001E-3</c:v>
                </c:pt>
                <c:pt idx="79">
                  <c:v>1.4522300000000001E-3</c:v>
                </c:pt>
                <c:pt idx="80">
                  <c:v>1.4818699999999999E-3</c:v>
                </c:pt>
                <c:pt idx="81">
                  <c:v>1.50961E-3</c:v>
                </c:pt>
                <c:pt idx="82">
                  <c:v>1.52925E-3</c:v>
                </c:pt>
                <c:pt idx="83">
                  <c:v>1.5548199999999999E-3</c:v>
                </c:pt>
                <c:pt idx="84">
                  <c:v>1.57183E-3</c:v>
                </c:pt>
                <c:pt idx="85">
                  <c:v>1.58979E-3</c:v>
                </c:pt>
                <c:pt idx="86">
                  <c:v>1.6083200000000001E-3</c:v>
                </c:pt>
                <c:pt idx="87">
                  <c:v>1.63145E-3</c:v>
                </c:pt>
                <c:pt idx="88">
                  <c:v>1.6440300000000001E-3</c:v>
                </c:pt>
                <c:pt idx="89">
                  <c:v>1.65555E-3</c:v>
                </c:pt>
                <c:pt idx="90">
                  <c:v>1.67654E-3</c:v>
                </c:pt>
                <c:pt idx="91">
                  <c:v>1.69272E-3</c:v>
                </c:pt>
                <c:pt idx="92">
                  <c:v>1.7064999999999999E-3</c:v>
                </c:pt>
                <c:pt idx="93">
                  <c:v>1.7250799999999999E-3</c:v>
                </c:pt>
                <c:pt idx="94">
                  <c:v>1.7447299999999999E-3</c:v>
                </c:pt>
                <c:pt idx="95">
                  <c:v>1.7611E-3</c:v>
                </c:pt>
                <c:pt idx="96">
                  <c:v>1.78324E-3</c:v>
                </c:pt>
                <c:pt idx="97">
                  <c:v>1.79594E-3</c:v>
                </c:pt>
                <c:pt idx="98">
                  <c:v>1.81026E-3</c:v>
                </c:pt>
                <c:pt idx="99">
                  <c:v>1.8233500000000001E-3</c:v>
                </c:pt>
                <c:pt idx="100">
                  <c:v>1.8439999999999999E-3</c:v>
                </c:pt>
                <c:pt idx="101">
                  <c:v>1.8625200000000001E-3</c:v>
                </c:pt>
                <c:pt idx="102">
                  <c:v>1.87992E-3</c:v>
                </c:pt>
                <c:pt idx="103">
                  <c:v>1.8962499999999999E-3</c:v>
                </c:pt>
                <c:pt idx="104">
                  <c:v>1.92705E-3</c:v>
                </c:pt>
                <c:pt idx="105">
                  <c:v>1.93541E-3</c:v>
                </c:pt>
                <c:pt idx="106">
                  <c:v>1.94988E-3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DB-4E03-B6E7-6C50EF6E9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33648"/>
        <c:axId val="1157486640"/>
      </c:scatterChart>
      <c:valAx>
        <c:axId val="116713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86640"/>
        <c:crosses val="autoZero"/>
        <c:crossBetween val="midCat"/>
      </c:valAx>
      <c:valAx>
        <c:axId val="1157486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'1009 24 hpi'!$C$1:$C$2</c:f>
              <c:strCache>
                <c:ptCount val="2"/>
                <c:pt idx="0">
                  <c:v>10 mM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'1009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'1009 24 hpi'!$C$3:$C$109</c:f>
              <c:numCache>
                <c:formatCode>0.00E+00</c:formatCode>
                <c:ptCount val="107"/>
                <c:pt idx="0">
                  <c:v>6.1170099999999998E-4</c:v>
                </c:pt>
                <c:pt idx="1">
                  <c:v>5.9907700000000005E-4</c:v>
                </c:pt>
                <c:pt idx="2">
                  <c:v>6.0298199999999995E-4</c:v>
                </c:pt>
                <c:pt idx="3">
                  <c:v>6.0231599999999998E-4</c:v>
                </c:pt>
                <c:pt idx="4">
                  <c:v>5.9357699999999997E-4</c:v>
                </c:pt>
                <c:pt idx="5">
                  <c:v>6.1000599999999996E-4</c:v>
                </c:pt>
                <c:pt idx="6">
                  <c:v>6.1065499999999999E-4</c:v>
                </c:pt>
                <c:pt idx="7">
                  <c:v>5.8959400000000003E-4</c:v>
                </c:pt>
                <c:pt idx="8">
                  <c:v>6.0601999999999997E-4</c:v>
                </c:pt>
                <c:pt idx="9">
                  <c:v>6.0368800000000001E-4</c:v>
                </c:pt>
                <c:pt idx="10">
                  <c:v>5.9724099999999998E-4</c:v>
                </c:pt>
                <c:pt idx="11">
                  <c:v>6.0612600000000002E-4</c:v>
                </c:pt>
                <c:pt idx="12">
                  <c:v>5.9435399999999995E-4</c:v>
                </c:pt>
                <c:pt idx="13">
                  <c:v>6.0300000000000002E-4</c:v>
                </c:pt>
                <c:pt idx="14">
                  <c:v>6.1536499999999999E-4</c:v>
                </c:pt>
                <c:pt idx="15">
                  <c:v>6.1303400000000004E-4</c:v>
                </c:pt>
                <c:pt idx="16">
                  <c:v>6.0524299999999999E-4</c:v>
                </c:pt>
                <c:pt idx="17">
                  <c:v>6.0600900000000002E-4</c:v>
                </c:pt>
                <c:pt idx="18">
                  <c:v>6.0347099999999996E-4</c:v>
                </c:pt>
                <c:pt idx="19">
                  <c:v>6.0711900000000004E-4</c:v>
                </c:pt>
                <c:pt idx="20">
                  <c:v>6.0792400000000003E-4</c:v>
                </c:pt>
                <c:pt idx="21">
                  <c:v>6.1605799999999995E-4</c:v>
                </c:pt>
                <c:pt idx="22">
                  <c:v>6.1627100000000005E-4</c:v>
                </c:pt>
                <c:pt idx="23">
                  <c:v>6.1771000000000005E-4</c:v>
                </c:pt>
                <c:pt idx="24">
                  <c:v>6.2272599999999999E-4</c:v>
                </c:pt>
                <c:pt idx="25">
                  <c:v>6.1762799999999995E-4</c:v>
                </c:pt>
                <c:pt idx="26">
                  <c:v>6.1051599999999997E-4</c:v>
                </c:pt>
                <c:pt idx="27">
                  <c:v>6.1544900000000001E-4</c:v>
                </c:pt>
                <c:pt idx="28">
                  <c:v>6.3034300000000001E-4</c:v>
                </c:pt>
                <c:pt idx="29">
                  <c:v>5.3882599999999998E-5</c:v>
                </c:pt>
                <c:pt idx="30">
                  <c:v>5.3793599999999999E-5</c:v>
                </c:pt>
                <c:pt idx="31">
                  <c:v>5.3535899999999997E-5</c:v>
                </c:pt>
                <c:pt idx="32">
                  <c:v>5.3402500000000002E-5</c:v>
                </c:pt>
                <c:pt idx="33">
                  <c:v>5.3248000000000002E-5</c:v>
                </c:pt>
                <c:pt idx="34">
                  <c:v>5.3180599999999997E-5</c:v>
                </c:pt>
                <c:pt idx="35">
                  <c:v>5.3128899999999999E-5</c:v>
                </c:pt>
                <c:pt idx="36">
                  <c:v>5.3133000000000001E-5</c:v>
                </c:pt>
                <c:pt idx="37">
                  <c:v>5.3057799999999999E-5</c:v>
                </c:pt>
                <c:pt idx="38">
                  <c:v>5.3058800000000001E-5</c:v>
                </c:pt>
                <c:pt idx="39">
                  <c:v>5.5487600000000005E-4</c:v>
                </c:pt>
                <c:pt idx="40">
                  <c:v>5.3876399999999995E-4</c:v>
                </c:pt>
                <c:pt idx="41">
                  <c:v>5.3451499999999995E-4</c:v>
                </c:pt>
                <c:pt idx="42">
                  <c:v>5.3138800000000004E-4</c:v>
                </c:pt>
                <c:pt idx="43">
                  <c:v>5.2211200000000003E-4</c:v>
                </c:pt>
                <c:pt idx="44">
                  <c:v>5.1698200000000003E-4</c:v>
                </c:pt>
                <c:pt idx="45">
                  <c:v>5.0957400000000005E-4</c:v>
                </c:pt>
                <c:pt idx="46">
                  <c:v>5.2023E-4</c:v>
                </c:pt>
                <c:pt idx="47">
                  <c:v>5.1100500000000003E-4</c:v>
                </c:pt>
                <c:pt idx="48">
                  <c:v>5.00991E-4</c:v>
                </c:pt>
                <c:pt idx="49">
                  <c:v>5.0400800000000002E-4</c:v>
                </c:pt>
                <c:pt idx="50">
                  <c:v>5.0300500000000005E-4</c:v>
                </c:pt>
                <c:pt idx="51">
                  <c:v>5.0270200000000005E-4</c:v>
                </c:pt>
                <c:pt idx="52">
                  <c:v>5.02182E-4</c:v>
                </c:pt>
                <c:pt idx="53">
                  <c:v>5.0538899999999997E-4</c:v>
                </c:pt>
                <c:pt idx="54">
                  <c:v>5.1406900000000003E-4</c:v>
                </c:pt>
                <c:pt idx="55">
                  <c:v>5.1060099999999996E-4</c:v>
                </c:pt>
                <c:pt idx="56">
                  <c:v>5.0515300000000005E-4</c:v>
                </c:pt>
                <c:pt idx="57">
                  <c:v>5.0024599999999998E-4</c:v>
                </c:pt>
                <c:pt idx="58">
                  <c:v>5.0650200000000004E-4</c:v>
                </c:pt>
                <c:pt idx="59">
                  <c:v>5.13186E-4</c:v>
                </c:pt>
                <c:pt idx="60">
                  <c:v>5.1584099999999996E-4</c:v>
                </c:pt>
                <c:pt idx="61">
                  <c:v>5.0652599999999998E-4</c:v>
                </c:pt>
                <c:pt idx="62">
                  <c:v>5.0657499999999999E-4</c:v>
                </c:pt>
                <c:pt idx="63">
                  <c:v>5.1338899999999995E-4</c:v>
                </c:pt>
                <c:pt idx="64">
                  <c:v>5.2207600000000001E-4</c:v>
                </c:pt>
                <c:pt idx="65">
                  <c:v>5.1315200000000001E-4</c:v>
                </c:pt>
                <c:pt idx="66">
                  <c:v>5.0699100000000004E-4</c:v>
                </c:pt>
                <c:pt idx="67">
                  <c:v>5.1205599999999999E-4</c:v>
                </c:pt>
                <c:pt idx="68">
                  <c:v>5.5365399999999997E-5</c:v>
                </c:pt>
                <c:pt idx="69">
                  <c:v>5.5655400000000002E-5</c:v>
                </c:pt>
                <c:pt idx="70">
                  <c:v>5.5460700000000002E-5</c:v>
                </c:pt>
                <c:pt idx="71">
                  <c:v>5.54534E-5</c:v>
                </c:pt>
                <c:pt idx="72">
                  <c:v>5.5392900000000003E-5</c:v>
                </c:pt>
                <c:pt idx="73">
                  <c:v>5.5238699999999997E-5</c:v>
                </c:pt>
                <c:pt idx="74">
                  <c:v>5.5214099999999997E-5</c:v>
                </c:pt>
                <c:pt idx="75">
                  <c:v>5.51845E-5</c:v>
                </c:pt>
                <c:pt idx="76">
                  <c:v>5.5071600000000003E-5</c:v>
                </c:pt>
                <c:pt idx="77">
                  <c:v>5.4958399999999999E-5</c:v>
                </c:pt>
                <c:pt idx="78">
                  <c:v>6.0457499999999999E-4</c:v>
                </c:pt>
                <c:pt idx="79">
                  <c:v>5.8776E-4</c:v>
                </c:pt>
                <c:pt idx="80">
                  <c:v>5.7618000000000003E-4</c:v>
                </c:pt>
                <c:pt idx="81">
                  <c:v>5.73272E-4</c:v>
                </c:pt>
                <c:pt idx="82">
                  <c:v>5.7213900000000005E-4</c:v>
                </c:pt>
                <c:pt idx="83">
                  <c:v>5.7112600000000003E-4</c:v>
                </c:pt>
                <c:pt idx="84">
                  <c:v>5.7223099999999998E-4</c:v>
                </c:pt>
                <c:pt idx="85">
                  <c:v>5.6435399999999998E-4</c:v>
                </c:pt>
                <c:pt idx="86">
                  <c:v>5.6592600000000002E-4</c:v>
                </c:pt>
                <c:pt idx="87">
                  <c:v>5.6024299999999998E-4</c:v>
                </c:pt>
                <c:pt idx="88">
                  <c:v>5.5528399999999996E-4</c:v>
                </c:pt>
                <c:pt idx="89">
                  <c:v>5.5986399999999998E-4</c:v>
                </c:pt>
                <c:pt idx="90">
                  <c:v>5.6031600000000005E-4</c:v>
                </c:pt>
                <c:pt idx="91">
                  <c:v>5.5886499999999997E-4</c:v>
                </c:pt>
                <c:pt idx="92">
                  <c:v>5.6711499999999998E-4</c:v>
                </c:pt>
                <c:pt idx="93">
                  <c:v>5.5412199999999999E-4</c:v>
                </c:pt>
                <c:pt idx="94">
                  <c:v>5.6841300000000003E-4</c:v>
                </c:pt>
                <c:pt idx="95">
                  <c:v>5.5575299999999998E-4</c:v>
                </c:pt>
                <c:pt idx="96">
                  <c:v>5.6855000000000002E-4</c:v>
                </c:pt>
                <c:pt idx="97">
                  <c:v>5.5661899999999995E-4</c:v>
                </c:pt>
                <c:pt idx="98">
                  <c:v>5.6789099999999995E-4</c:v>
                </c:pt>
                <c:pt idx="99">
                  <c:v>5.58605E-4</c:v>
                </c:pt>
                <c:pt idx="100">
                  <c:v>5.7185099999999996E-4</c:v>
                </c:pt>
                <c:pt idx="101">
                  <c:v>5.6172700000000004E-4</c:v>
                </c:pt>
                <c:pt idx="102">
                  <c:v>5.66958E-4</c:v>
                </c:pt>
                <c:pt idx="103">
                  <c:v>5.6234600000000003E-4</c:v>
                </c:pt>
                <c:pt idx="104">
                  <c:v>5.6072100000000003E-4</c:v>
                </c:pt>
                <c:pt idx="105">
                  <c:v>5.7295299999999996E-4</c:v>
                </c:pt>
                <c:pt idx="106">
                  <c:v>5.60912E-4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A-4996-AEC9-560D020EB37C}"/>
            </c:ext>
          </c:extLst>
        </c:ser>
        <c:ser>
          <c:idx val="1"/>
          <c:order val="1"/>
          <c:tx>
            <c:strRef>
              <c:f>'1009 24 hpi'!$H$1:$H$2</c:f>
              <c:strCache>
                <c:ptCount val="2"/>
                <c:pt idx="0">
                  <c:v>1 mM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'1009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'1009 24 hpi'!$H$3:$H$109</c:f>
              <c:numCache>
                <c:formatCode>0.00E+00</c:formatCode>
                <c:ptCount val="107"/>
                <c:pt idx="0">
                  <c:v>3.37509E-4</c:v>
                </c:pt>
                <c:pt idx="1">
                  <c:v>3.4436200000000002E-4</c:v>
                </c:pt>
                <c:pt idx="2">
                  <c:v>3.4570199999999998E-4</c:v>
                </c:pt>
                <c:pt idx="3">
                  <c:v>3.4853E-4</c:v>
                </c:pt>
                <c:pt idx="4">
                  <c:v>3.4631100000000003E-4</c:v>
                </c:pt>
                <c:pt idx="5">
                  <c:v>3.4712099999999999E-4</c:v>
                </c:pt>
                <c:pt idx="6">
                  <c:v>3.5145400000000001E-4</c:v>
                </c:pt>
                <c:pt idx="7">
                  <c:v>3.5696700000000003E-4</c:v>
                </c:pt>
                <c:pt idx="8">
                  <c:v>3.57134E-4</c:v>
                </c:pt>
                <c:pt idx="9">
                  <c:v>3.5611799999999999E-4</c:v>
                </c:pt>
                <c:pt idx="10">
                  <c:v>3.5923699999999999E-4</c:v>
                </c:pt>
                <c:pt idx="11">
                  <c:v>3.54304E-4</c:v>
                </c:pt>
                <c:pt idx="12">
                  <c:v>3.50117E-4</c:v>
                </c:pt>
                <c:pt idx="13">
                  <c:v>3.5258499999999999E-4</c:v>
                </c:pt>
                <c:pt idx="14">
                  <c:v>3.6015599999999999E-4</c:v>
                </c:pt>
                <c:pt idx="15">
                  <c:v>3.5952199999999998E-4</c:v>
                </c:pt>
                <c:pt idx="16">
                  <c:v>3.6172800000000002E-4</c:v>
                </c:pt>
                <c:pt idx="17">
                  <c:v>3.6433800000000002E-4</c:v>
                </c:pt>
                <c:pt idx="18">
                  <c:v>3.6559199999999998E-4</c:v>
                </c:pt>
                <c:pt idx="19">
                  <c:v>3.68193E-4</c:v>
                </c:pt>
                <c:pt idx="20">
                  <c:v>3.6923799999999998E-4</c:v>
                </c:pt>
                <c:pt idx="21">
                  <c:v>3.7858899999999998E-4</c:v>
                </c:pt>
                <c:pt idx="22">
                  <c:v>3.8343999999999997E-4</c:v>
                </c:pt>
                <c:pt idx="23">
                  <c:v>3.8246599999999998E-4</c:v>
                </c:pt>
                <c:pt idx="24">
                  <c:v>3.8767000000000001E-4</c:v>
                </c:pt>
                <c:pt idx="25">
                  <c:v>3.8900099999999998E-4</c:v>
                </c:pt>
                <c:pt idx="26">
                  <c:v>3.8623800000000001E-4</c:v>
                </c:pt>
                <c:pt idx="27">
                  <c:v>3.8715199999999998E-4</c:v>
                </c:pt>
                <c:pt idx="28">
                  <c:v>3.8797700000000002E-4</c:v>
                </c:pt>
                <c:pt idx="29">
                  <c:v>2.87636E-5</c:v>
                </c:pt>
                <c:pt idx="30">
                  <c:v>2.8637400000000001E-5</c:v>
                </c:pt>
                <c:pt idx="31">
                  <c:v>2.8458100000000001E-5</c:v>
                </c:pt>
                <c:pt idx="32">
                  <c:v>2.8381299999999999E-5</c:v>
                </c:pt>
                <c:pt idx="33">
                  <c:v>2.8357700000000001E-5</c:v>
                </c:pt>
                <c:pt idx="34">
                  <c:v>2.8299100000000002E-5</c:v>
                </c:pt>
                <c:pt idx="35">
                  <c:v>2.82228E-5</c:v>
                </c:pt>
                <c:pt idx="36">
                  <c:v>2.8182199999999999E-5</c:v>
                </c:pt>
                <c:pt idx="37">
                  <c:v>2.8182900000000001E-5</c:v>
                </c:pt>
                <c:pt idx="38">
                  <c:v>2.81812E-5</c:v>
                </c:pt>
                <c:pt idx="39">
                  <c:v>3.5756900000000002E-4</c:v>
                </c:pt>
                <c:pt idx="40">
                  <c:v>3.4710900000000001E-4</c:v>
                </c:pt>
                <c:pt idx="41">
                  <c:v>3.31746E-4</c:v>
                </c:pt>
                <c:pt idx="42">
                  <c:v>3.4046599999999999E-4</c:v>
                </c:pt>
                <c:pt idx="43">
                  <c:v>3.2602800000000002E-4</c:v>
                </c:pt>
                <c:pt idx="44">
                  <c:v>3.29959E-4</c:v>
                </c:pt>
                <c:pt idx="45">
                  <c:v>3.321E-4</c:v>
                </c:pt>
                <c:pt idx="46">
                  <c:v>3.2669900000000001E-4</c:v>
                </c:pt>
                <c:pt idx="47">
                  <c:v>3.1812799999999999E-4</c:v>
                </c:pt>
                <c:pt idx="48">
                  <c:v>3.2016400000000001E-4</c:v>
                </c:pt>
                <c:pt idx="49">
                  <c:v>3.2612100000000002E-4</c:v>
                </c:pt>
                <c:pt idx="50">
                  <c:v>3.2546099999999998E-4</c:v>
                </c:pt>
                <c:pt idx="51">
                  <c:v>3.2216999999999999E-4</c:v>
                </c:pt>
                <c:pt idx="52">
                  <c:v>3.1889599999999999E-4</c:v>
                </c:pt>
                <c:pt idx="53">
                  <c:v>3.1651500000000001E-4</c:v>
                </c:pt>
                <c:pt idx="54">
                  <c:v>3.1699099999999997E-4</c:v>
                </c:pt>
                <c:pt idx="55">
                  <c:v>3.2158499999999999E-4</c:v>
                </c:pt>
                <c:pt idx="56">
                  <c:v>3.3030199999999998E-4</c:v>
                </c:pt>
                <c:pt idx="57">
                  <c:v>3.3266300000000002E-4</c:v>
                </c:pt>
                <c:pt idx="58">
                  <c:v>3.34414E-4</c:v>
                </c:pt>
                <c:pt idx="59">
                  <c:v>3.3647700000000001E-4</c:v>
                </c:pt>
                <c:pt idx="60">
                  <c:v>3.3169599999999998E-4</c:v>
                </c:pt>
                <c:pt idx="61">
                  <c:v>3.2758700000000001E-4</c:v>
                </c:pt>
                <c:pt idx="62">
                  <c:v>3.2736199999999999E-4</c:v>
                </c:pt>
                <c:pt idx="63">
                  <c:v>3.3141600000000001E-4</c:v>
                </c:pt>
                <c:pt idx="64">
                  <c:v>3.3580099999999999E-4</c:v>
                </c:pt>
                <c:pt idx="65">
                  <c:v>3.35464E-4</c:v>
                </c:pt>
                <c:pt idx="66">
                  <c:v>3.2387900000000001E-4</c:v>
                </c:pt>
                <c:pt idx="67">
                  <c:v>3.2460799999999999E-4</c:v>
                </c:pt>
                <c:pt idx="68">
                  <c:v>2.82751E-5</c:v>
                </c:pt>
                <c:pt idx="69">
                  <c:v>2.8268699999999999E-5</c:v>
                </c:pt>
                <c:pt idx="70">
                  <c:v>2.82551E-5</c:v>
                </c:pt>
                <c:pt idx="71">
                  <c:v>2.8294400000000001E-5</c:v>
                </c:pt>
                <c:pt idx="72">
                  <c:v>2.83477E-5</c:v>
                </c:pt>
                <c:pt idx="73">
                  <c:v>2.8350000000000001E-5</c:v>
                </c:pt>
                <c:pt idx="74">
                  <c:v>2.83647E-5</c:v>
                </c:pt>
                <c:pt idx="75">
                  <c:v>2.8358399999999999E-5</c:v>
                </c:pt>
                <c:pt idx="76">
                  <c:v>2.8399999999999999E-5</c:v>
                </c:pt>
                <c:pt idx="77">
                  <c:v>2.84188E-5</c:v>
                </c:pt>
                <c:pt idx="78">
                  <c:v>3.5555E-4</c:v>
                </c:pt>
                <c:pt idx="79">
                  <c:v>3.4399099999999998E-4</c:v>
                </c:pt>
                <c:pt idx="80">
                  <c:v>3.3440400000000001E-4</c:v>
                </c:pt>
                <c:pt idx="81">
                  <c:v>3.3073299999999999E-4</c:v>
                </c:pt>
                <c:pt idx="82">
                  <c:v>3.3183699999999997E-4</c:v>
                </c:pt>
                <c:pt idx="83">
                  <c:v>3.3201299999999998E-4</c:v>
                </c:pt>
                <c:pt idx="84">
                  <c:v>3.3048300000000001E-4</c:v>
                </c:pt>
                <c:pt idx="85">
                  <c:v>3.3035300000000003E-4</c:v>
                </c:pt>
                <c:pt idx="86">
                  <c:v>3.3908799999999998E-4</c:v>
                </c:pt>
                <c:pt idx="87">
                  <c:v>3.4062799999999999E-4</c:v>
                </c:pt>
                <c:pt idx="88">
                  <c:v>3.3536999999999998E-4</c:v>
                </c:pt>
                <c:pt idx="89">
                  <c:v>3.3040400000000002E-4</c:v>
                </c:pt>
                <c:pt idx="90">
                  <c:v>3.3416300000000001E-4</c:v>
                </c:pt>
                <c:pt idx="91">
                  <c:v>3.3797900000000002E-4</c:v>
                </c:pt>
                <c:pt idx="92">
                  <c:v>3.3931599999999999E-4</c:v>
                </c:pt>
                <c:pt idx="93">
                  <c:v>3.3693200000000002E-4</c:v>
                </c:pt>
                <c:pt idx="94">
                  <c:v>3.30871E-4</c:v>
                </c:pt>
                <c:pt idx="95">
                  <c:v>3.3772899999999999E-4</c:v>
                </c:pt>
                <c:pt idx="96">
                  <c:v>3.3844399999999997E-4</c:v>
                </c:pt>
                <c:pt idx="97">
                  <c:v>3.2860399999999997E-4</c:v>
                </c:pt>
                <c:pt idx="98">
                  <c:v>3.3375599999999999E-4</c:v>
                </c:pt>
                <c:pt idx="99">
                  <c:v>3.3658100000000002E-4</c:v>
                </c:pt>
                <c:pt idx="100">
                  <c:v>3.2700600000000002E-4</c:v>
                </c:pt>
                <c:pt idx="101">
                  <c:v>3.34249E-4</c:v>
                </c:pt>
                <c:pt idx="102">
                  <c:v>3.3627800000000002E-4</c:v>
                </c:pt>
                <c:pt idx="103">
                  <c:v>3.26371E-4</c:v>
                </c:pt>
                <c:pt idx="104">
                  <c:v>3.34531E-4</c:v>
                </c:pt>
                <c:pt idx="105">
                  <c:v>3.3678400000000002E-4</c:v>
                </c:pt>
                <c:pt idx="106">
                  <c:v>3.3470499999999997E-4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4A-4996-AEC9-560D020EB37C}"/>
            </c:ext>
          </c:extLst>
        </c:ser>
        <c:ser>
          <c:idx val="2"/>
          <c:order val="2"/>
          <c:tx>
            <c:strRef>
              <c:f>'1009 24 hpi'!$M$1:$M$2</c:f>
              <c:strCache>
                <c:ptCount val="2"/>
                <c:pt idx="0">
                  <c:v>0 mM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'1009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'1009 24 hpi'!$M$3:$M$109</c:f>
              <c:numCache>
                <c:formatCode>0.00E+00</c:formatCode>
                <c:ptCount val="107"/>
                <c:pt idx="0">
                  <c:v>5.4529600000000002E-4</c:v>
                </c:pt>
                <c:pt idx="1">
                  <c:v>5.3495599999999995E-4</c:v>
                </c:pt>
                <c:pt idx="2">
                  <c:v>5.53861E-4</c:v>
                </c:pt>
                <c:pt idx="3">
                  <c:v>5.5186799999999995E-4</c:v>
                </c:pt>
                <c:pt idx="4">
                  <c:v>5.5570299999999995E-4</c:v>
                </c:pt>
                <c:pt idx="5">
                  <c:v>5.57958E-4</c:v>
                </c:pt>
                <c:pt idx="6">
                  <c:v>5.5702099999999999E-4</c:v>
                </c:pt>
                <c:pt idx="7">
                  <c:v>5.7561999999999999E-4</c:v>
                </c:pt>
                <c:pt idx="8">
                  <c:v>5.7262899999999995E-4</c:v>
                </c:pt>
                <c:pt idx="9">
                  <c:v>5.8416900000000005E-4</c:v>
                </c:pt>
                <c:pt idx="10">
                  <c:v>5.8108300000000003E-4</c:v>
                </c:pt>
                <c:pt idx="11">
                  <c:v>6.1438300000000003E-4</c:v>
                </c:pt>
                <c:pt idx="12">
                  <c:v>6.0875999999999997E-4</c:v>
                </c:pt>
                <c:pt idx="13">
                  <c:v>6.3212399999999997E-4</c:v>
                </c:pt>
                <c:pt idx="14">
                  <c:v>6.2015499999999995E-4</c:v>
                </c:pt>
                <c:pt idx="15">
                  <c:v>6.4941499999999997E-4</c:v>
                </c:pt>
                <c:pt idx="16">
                  <c:v>6.5075199999999999E-4</c:v>
                </c:pt>
                <c:pt idx="17">
                  <c:v>6.5187999999999997E-4</c:v>
                </c:pt>
                <c:pt idx="18">
                  <c:v>6.4608199999999997E-4</c:v>
                </c:pt>
                <c:pt idx="19">
                  <c:v>6.7320499999999996E-4</c:v>
                </c:pt>
                <c:pt idx="20">
                  <c:v>6.5529800000000001E-4</c:v>
                </c:pt>
                <c:pt idx="21">
                  <c:v>6.6681499999999996E-4</c:v>
                </c:pt>
                <c:pt idx="22">
                  <c:v>6.5309899999999998E-4</c:v>
                </c:pt>
                <c:pt idx="23">
                  <c:v>6.7893200000000004E-4</c:v>
                </c:pt>
                <c:pt idx="24">
                  <c:v>6.7490400000000004E-4</c:v>
                </c:pt>
                <c:pt idx="25">
                  <c:v>6.8468800000000003E-4</c:v>
                </c:pt>
                <c:pt idx="26">
                  <c:v>6.8971600000000005E-4</c:v>
                </c:pt>
                <c:pt idx="27">
                  <c:v>6.9619199999999999E-4</c:v>
                </c:pt>
                <c:pt idx="28">
                  <c:v>7.0838599999999998E-4</c:v>
                </c:pt>
                <c:pt idx="29">
                  <c:v>4.9970799999999999E-5</c:v>
                </c:pt>
                <c:pt idx="30">
                  <c:v>4.9120599999999999E-5</c:v>
                </c:pt>
                <c:pt idx="31">
                  <c:v>4.7975800000000002E-5</c:v>
                </c:pt>
                <c:pt idx="32">
                  <c:v>4.7695799999999998E-5</c:v>
                </c:pt>
                <c:pt idx="33">
                  <c:v>4.7261500000000001E-5</c:v>
                </c:pt>
                <c:pt idx="34">
                  <c:v>4.6773200000000001E-5</c:v>
                </c:pt>
                <c:pt idx="35">
                  <c:v>4.6360699999999998E-5</c:v>
                </c:pt>
                <c:pt idx="36">
                  <c:v>4.6280699999999999E-5</c:v>
                </c:pt>
                <c:pt idx="37">
                  <c:v>4.5606899999999999E-5</c:v>
                </c:pt>
                <c:pt idx="38">
                  <c:v>4.5280200000000001E-5</c:v>
                </c:pt>
                <c:pt idx="39">
                  <c:v>3.6687599999999998E-4</c:v>
                </c:pt>
                <c:pt idx="40">
                  <c:v>3.5761099999999997E-4</c:v>
                </c:pt>
                <c:pt idx="41">
                  <c:v>3.6200700000000002E-4</c:v>
                </c:pt>
                <c:pt idx="42">
                  <c:v>3.6412199999999998E-4</c:v>
                </c:pt>
                <c:pt idx="43">
                  <c:v>3.64963E-4</c:v>
                </c:pt>
                <c:pt idx="44">
                  <c:v>3.6399099999999998E-4</c:v>
                </c:pt>
                <c:pt idx="45">
                  <c:v>3.6027999999999999E-4</c:v>
                </c:pt>
                <c:pt idx="46">
                  <c:v>3.6094099999999999E-4</c:v>
                </c:pt>
                <c:pt idx="47">
                  <c:v>3.6000000000000002E-4</c:v>
                </c:pt>
                <c:pt idx="48">
                  <c:v>3.6319899999999998E-4</c:v>
                </c:pt>
                <c:pt idx="49">
                  <c:v>3.6740699999999999E-4</c:v>
                </c:pt>
                <c:pt idx="50">
                  <c:v>3.6706899999999998E-4</c:v>
                </c:pt>
                <c:pt idx="51">
                  <c:v>3.7114299999999999E-4</c:v>
                </c:pt>
                <c:pt idx="52">
                  <c:v>3.7512400000000001E-4</c:v>
                </c:pt>
                <c:pt idx="53">
                  <c:v>3.7995599999999998E-4</c:v>
                </c:pt>
                <c:pt idx="54">
                  <c:v>3.8473400000000002E-4</c:v>
                </c:pt>
                <c:pt idx="55">
                  <c:v>3.89873E-4</c:v>
                </c:pt>
                <c:pt idx="56">
                  <c:v>3.8972099999999999E-4</c:v>
                </c:pt>
                <c:pt idx="57">
                  <c:v>3.9767300000000003E-4</c:v>
                </c:pt>
                <c:pt idx="58">
                  <c:v>4.0221199999999999E-4</c:v>
                </c:pt>
                <c:pt idx="59">
                  <c:v>4.0778400000000001E-4</c:v>
                </c:pt>
                <c:pt idx="60">
                  <c:v>4.14342E-4</c:v>
                </c:pt>
                <c:pt idx="61">
                  <c:v>4.1129099999999999E-4</c:v>
                </c:pt>
                <c:pt idx="62">
                  <c:v>4.0936400000000001E-4</c:v>
                </c:pt>
                <c:pt idx="63">
                  <c:v>4.0966599999999999E-4</c:v>
                </c:pt>
                <c:pt idx="64">
                  <c:v>4.1964500000000001E-4</c:v>
                </c:pt>
                <c:pt idx="65">
                  <c:v>4.2140899999999998E-4</c:v>
                </c:pt>
                <c:pt idx="66">
                  <c:v>4.1937099999999998E-4</c:v>
                </c:pt>
                <c:pt idx="67">
                  <c:v>4.2791900000000002E-4</c:v>
                </c:pt>
                <c:pt idx="68">
                  <c:v>4.0529199999999998E-5</c:v>
                </c:pt>
                <c:pt idx="69">
                  <c:v>4.0485699999999998E-5</c:v>
                </c:pt>
                <c:pt idx="70">
                  <c:v>4.0266999999999999E-5</c:v>
                </c:pt>
                <c:pt idx="71">
                  <c:v>4.0133099999999997E-5</c:v>
                </c:pt>
                <c:pt idx="72">
                  <c:v>4.0000999999999999E-5</c:v>
                </c:pt>
                <c:pt idx="73">
                  <c:v>3.9901000000000003E-5</c:v>
                </c:pt>
                <c:pt idx="74">
                  <c:v>3.9830799999999998E-5</c:v>
                </c:pt>
                <c:pt idx="75">
                  <c:v>3.9756799999999999E-5</c:v>
                </c:pt>
                <c:pt idx="76">
                  <c:v>3.9704199999999998E-5</c:v>
                </c:pt>
                <c:pt idx="77">
                  <c:v>3.9637500000000001E-5</c:v>
                </c:pt>
                <c:pt idx="78">
                  <c:v>3.09728E-4</c:v>
                </c:pt>
                <c:pt idx="79">
                  <c:v>3.0691300000000002E-4</c:v>
                </c:pt>
                <c:pt idx="80">
                  <c:v>3.0362800000000001E-4</c:v>
                </c:pt>
                <c:pt idx="81">
                  <c:v>3.0521200000000002E-4</c:v>
                </c:pt>
                <c:pt idx="82">
                  <c:v>3.06464E-4</c:v>
                </c:pt>
                <c:pt idx="83">
                  <c:v>3.1079700000000003E-4</c:v>
                </c:pt>
                <c:pt idx="84">
                  <c:v>3.0779199999999998E-4</c:v>
                </c:pt>
                <c:pt idx="85">
                  <c:v>3.05524E-4</c:v>
                </c:pt>
                <c:pt idx="86">
                  <c:v>3.0997899999999999E-4</c:v>
                </c:pt>
                <c:pt idx="87">
                  <c:v>3.1797800000000001E-4</c:v>
                </c:pt>
                <c:pt idx="88">
                  <c:v>3.1968300000000002E-4</c:v>
                </c:pt>
                <c:pt idx="89">
                  <c:v>3.1422999999999998E-4</c:v>
                </c:pt>
                <c:pt idx="90">
                  <c:v>3.2487599999999998E-4</c:v>
                </c:pt>
                <c:pt idx="91">
                  <c:v>3.2762500000000001E-4</c:v>
                </c:pt>
                <c:pt idx="92">
                  <c:v>3.2461399999999998E-4</c:v>
                </c:pt>
                <c:pt idx="93">
                  <c:v>3.2294399999999998E-4</c:v>
                </c:pt>
                <c:pt idx="94">
                  <c:v>3.3275699999999999E-4</c:v>
                </c:pt>
                <c:pt idx="95">
                  <c:v>3.3384099999999998E-4</c:v>
                </c:pt>
                <c:pt idx="96">
                  <c:v>3.41682E-4</c:v>
                </c:pt>
                <c:pt idx="97">
                  <c:v>3.4240900000000001E-4</c:v>
                </c:pt>
                <c:pt idx="98">
                  <c:v>3.3426199999999999E-4</c:v>
                </c:pt>
                <c:pt idx="99">
                  <c:v>3.36266E-4</c:v>
                </c:pt>
                <c:pt idx="100">
                  <c:v>3.42498E-4</c:v>
                </c:pt>
                <c:pt idx="101">
                  <c:v>3.4692300000000001E-4</c:v>
                </c:pt>
                <c:pt idx="102">
                  <c:v>3.3945999999999998E-4</c:v>
                </c:pt>
                <c:pt idx="103">
                  <c:v>3.4392599999999999E-4</c:v>
                </c:pt>
                <c:pt idx="104">
                  <c:v>3.5479499999999998E-4</c:v>
                </c:pt>
                <c:pt idx="105">
                  <c:v>3.4672400000000002E-4</c:v>
                </c:pt>
                <c:pt idx="106">
                  <c:v>3.49725E-4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4A-4996-AEC9-560D020EB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33552"/>
        <c:axId val="1130063696"/>
      </c:scatterChart>
      <c:valAx>
        <c:axId val="11295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3696"/>
        <c:crosses val="autoZero"/>
        <c:crossBetween val="midCat"/>
      </c:valAx>
      <c:valAx>
        <c:axId val="1130063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'1009 24 hpi'!$Q$1:$Q$2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'1009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'1009 24 hpi'!$Q$3:$Q$132</c:f>
              <c:numCache>
                <c:formatCode>General</c:formatCode>
                <c:ptCount val="130"/>
                <c:pt idx="0">
                  <c:v>2.8358733333333336E-3</c:v>
                </c:pt>
                <c:pt idx="1">
                  <c:v>2.8713999999999996E-3</c:v>
                </c:pt>
                <c:pt idx="2">
                  <c:v>2.9081133333333335E-3</c:v>
                </c:pt>
                <c:pt idx="3">
                  <c:v>2.9369700000000001E-3</c:v>
                </c:pt>
                <c:pt idx="4">
                  <c:v>2.9636033333333331E-3</c:v>
                </c:pt>
                <c:pt idx="5">
                  <c:v>2.9934366666666662E-3</c:v>
                </c:pt>
                <c:pt idx="6">
                  <c:v>3.0177533333333333E-3</c:v>
                </c:pt>
                <c:pt idx="7">
                  <c:v>3.0428E-3</c:v>
                </c:pt>
                <c:pt idx="8">
                  <c:v>3.0697766666666665E-3</c:v>
                </c:pt>
                <c:pt idx="9">
                  <c:v>3.0996333333333328E-3</c:v>
                </c:pt>
                <c:pt idx="10">
                  <c:v>3.1198666666666665E-3</c:v>
                </c:pt>
                <c:pt idx="11">
                  <c:v>3.1424433333333336E-3</c:v>
                </c:pt>
                <c:pt idx="12">
                  <c:v>3.1621800000000001E-3</c:v>
                </c:pt>
                <c:pt idx="13">
                  <c:v>3.1894899999999997E-3</c:v>
                </c:pt>
                <c:pt idx="14">
                  <c:v>3.2176866666666667E-3</c:v>
                </c:pt>
                <c:pt idx="15">
                  <c:v>3.2388E-3</c:v>
                </c:pt>
                <c:pt idx="16">
                  <c:v>3.2642066666666667E-3</c:v>
                </c:pt>
                <c:pt idx="17">
                  <c:v>3.2967366666666665E-3</c:v>
                </c:pt>
                <c:pt idx="18">
                  <c:v>3.3150333333333334E-3</c:v>
                </c:pt>
                <c:pt idx="19">
                  <c:v>3.3417699999999995E-3</c:v>
                </c:pt>
                <c:pt idx="20">
                  <c:v>3.3689433333333337E-3</c:v>
                </c:pt>
                <c:pt idx="21">
                  <c:v>3.4021133333333332E-3</c:v>
                </c:pt>
                <c:pt idx="22">
                  <c:v>3.4303433333333334E-3</c:v>
                </c:pt>
                <c:pt idx="23">
                  <c:v>3.4552433333333334E-3</c:v>
                </c:pt>
                <c:pt idx="24">
                  <c:v>3.47752E-3</c:v>
                </c:pt>
                <c:pt idx="25">
                  <c:v>3.5037933333333334E-3</c:v>
                </c:pt>
                <c:pt idx="26">
                  <c:v>3.5277499999999996E-3</c:v>
                </c:pt>
                <c:pt idx="27">
                  <c:v>3.5453633333333338E-3</c:v>
                </c:pt>
                <c:pt idx="28">
                  <c:v>3.5779666666666669E-3</c:v>
                </c:pt>
                <c:pt idx="29">
                  <c:v>3.2216033333333332E-6</c:v>
                </c:pt>
                <c:pt idx="30">
                  <c:v>3.2128499999999997E-6</c:v>
                </c:pt>
                <c:pt idx="31">
                  <c:v>3.1133100000000002E-6</c:v>
                </c:pt>
                <c:pt idx="32">
                  <c:v>3.0749599999999995E-6</c:v>
                </c:pt>
                <c:pt idx="33">
                  <c:v>3.0255800000000002E-6</c:v>
                </c:pt>
                <c:pt idx="34">
                  <c:v>2.9864366666666672E-6</c:v>
                </c:pt>
                <c:pt idx="35">
                  <c:v>2.9531266666666667E-6</c:v>
                </c:pt>
                <c:pt idx="36">
                  <c:v>2.9396833333333337E-6</c:v>
                </c:pt>
                <c:pt idx="37">
                  <c:v>2.9030833333333339E-6</c:v>
                </c:pt>
                <c:pt idx="38">
                  <c:v>2.8930499999999998E-6</c:v>
                </c:pt>
                <c:pt idx="39">
                  <c:v>1.7487966666666667E-3</c:v>
                </c:pt>
                <c:pt idx="40">
                  <c:v>1.8000633333333333E-3</c:v>
                </c:pt>
                <c:pt idx="41">
                  <c:v>1.8387200000000001E-3</c:v>
                </c:pt>
                <c:pt idx="42">
                  <c:v>1.8764000000000001E-3</c:v>
                </c:pt>
                <c:pt idx="43">
                  <c:v>1.8934466666666666E-3</c:v>
                </c:pt>
                <c:pt idx="44">
                  <c:v>1.9165133333333333E-3</c:v>
                </c:pt>
                <c:pt idx="45">
                  <c:v>1.9381333333333332E-3</c:v>
                </c:pt>
                <c:pt idx="46">
                  <c:v>1.9578999999999998E-3</c:v>
                </c:pt>
                <c:pt idx="47">
                  <c:v>1.9732466666666669E-3</c:v>
                </c:pt>
                <c:pt idx="48">
                  <c:v>1.9885933333333335E-3</c:v>
                </c:pt>
                <c:pt idx="49">
                  <c:v>2.0077033333333332E-3</c:v>
                </c:pt>
                <c:pt idx="50">
                  <c:v>2.0246699999999997E-3</c:v>
                </c:pt>
                <c:pt idx="51">
                  <c:v>2.037533333333333E-3</c:v>
                </c:pt>
                <c:pt idx="52">
                  <c:v>2.0522566666666664E-3</c:v>
                </c:pt>
                <c:pt idx="53">
                  <c:v>2.0708666666666669E-3</c:v>
                </c:pt>
                <c:pt idx="54">
                  <c:v>2.0884333333333334E-3</c:v>
                </c:pt>
                <c:pt idx="55">
                  <c:v>2.1035933333333335E-3</c:v>
                </c:pt>
                <c:pt idx="56">
                  <c:v>2.1232633333333334E-3</c:v>
                </c:pt>
                <c:pt idx="57">
                  <c:v>2.1362466666666664E-3</c:v>
                </c:pt>
                <c:pt idx="58">
                  <c:v>2.1525366666666668E-3</c:v>
                </c:pt>
                <c:pt idx="59">
                  <c:v>2.1719833333333333E-3</c:v>
                </c:pt>
                <c:pt idx="60">
                  <c:v>2.1834033333333332E-3</c:v>
                </c:pt>
                <c:pt idx="61">
                  <c:v>2.1954466666666665E-3</c:v>
                </c:pt>
                <c:pt idx="62">
                  <c:v>2.2071233333333332E-3</c:v>
                </c:pt>
                <c:pt idx="63">
                  <c:v>2.2218133333333332E-3</c:v>
                </c:pt>
                <c:pt idx="64">
                  <c:v>2.2412733333333334E-3</c:v>
                </c:pt>
                <c:pt idx="65">
                  <c:v>2.2520266666666666E-3</c:v>
                </c:pt>
                <c:pt idx="66">
                  <c:v>2.2622966666666668E-3</c:v>
                </c:pt>
                <c:pt idx="67">
                  <c:v>2.2763200000000001E-3</c:v>
                </c:pt>
                <c:pt idx="68">
                  <c:v>2.8472966666666664E-6</c:v>
                </c:pt>
                <c:pt idx="69">
                  <c:v>2.86357E-6</c:v>
                </c:pt>
                <c:pt idx="70">
                  <c:v>2.8322566666666671E-6</c:v>
                </c:pt>
                <c:pt idx="71">
                  <c:v>2.8189799999999999E-6</c:v>
                </c:pt>
                <c:pt idx="72">
                  <c:v>2.805563333333333E-6</c:v>
                </c:pt>
                <c:pt idx="73">
                  <c:v>2.7922366666666665E-6</c:v>
                </c:pt>
                <c:pt idx="74">
                  <c:v>2.7811400000000002E-6</c:v>
                </c:pt>
                <c:pt idx="75">
                  <c:v>2.7738433333333333E-6</c:v>
                </c:pt>
                <c:pt idx="76">
                  <c:v>2.7656666666666666E-6</c:v>
                </c:pt>
                <c:pt idx="77">
                  <c:v>2.7574100000000003E-6</c:v>
                </c:pt>
                <c:pt idx="78">
                  <c:v>1.69903E-3</c:v>
                </c:pt>
                <c:pt idx="79">
                  <c:v>1.7540766666666666E-3</c:v>
                </c:pt>
                <c:pt idx="80">
                  <c:v>1.7863599999999999E-3</c:v>
                </c:pt>
                <c:pt idx="81">
                  <c:v>1.8180666666666664E-3</c:v>
                </c:pt>
                <c:pt idx="82">
                  <c:v>1.8403999999999998E-3</c:v>
                </c:pt>
                <c:pt idx="83">
                  <c:v>1.8656566666666666E-3</c:v>
                </c:pt>
                <c:pt idx="84">
                  <c:v>1.8824533333333332E-3</c:v>
                </c:pt>
                <c:pt idx="85">
                  <c:v>1.89752E-3</c:v>
                </c:pt>
                <c:pt idx="86">
                  <c:v>1.9141499999999999E-3</c:v>
                </c:pt>
                <c:pt idx="87">
                  <c:v>1.9302099999999999E-3</c:v>
                </c:pt>
                <c:pt idx="88">
                  <c:v>1.9390666666666669E-3</c:v>
                </c:pt>
                <c:pt idx="89">
                  <c:v>1.9493166666666669E-3</c:v>
                </c:pt>
                <c:pt idx="90">
                  <c:v>1.9645800000000001E-3</c:v>
                </c:pt>
                <c:pt idx="91">
                  <c:v>1.9779433333333334E-3</c:v>
                </c:pt>
                <c:pt idx="92">
                  <c:v>1.9919E-3</c:v>
                </c:pt>
                <c:pt idx="93">
                  <c:v>1.9993266666666668E-3</c:v>
                </c:pt>
                <c:pt idx="94">
                  <c:v>2.0149E-3</c:v>
                </c:pt>
                <c:pt idx="95">
                  <c:v>2.0236566666666667E-3</c:v>
                </c:pt>
                <c:pt idx="96">
                  <c:v>2.0405233333333334E-3</c:v>
                </c:pt>
                <c:pt idx="97">
                  <c:v>2.0426466666666667E-3</c:v>
                </c:pt>
                <c:pt idx="98">
                  <c:v>2.0586733333333332E-3</c:v>
                </c:pt>
                <c:pt idx="99">
                  <c:v>2.0634799999999999E-3</c:v>
                </c:pt>
                <c:pt idx="100">
                  <c:v>2.07683E-3</c:v>
                </c:pt>
                <c:pt idx="101">
                  <c:v>2.0852766666666668E-3</c:v>
                </c:pt>
                <c:pt idx="102">
                  <c:v>2.0974233333333333E-3</c:v>
                </c:pt>
                <c:pt idx="103">
                  <c:v>2.1053166666666671E-3</c:v>
                </c:pt>
                <c:pt idx="104">
                  <c:v>2.1195766666666665E-3</c:v>
                </c:pt>
                <c:pt idx="105">
                  <c:v>2.1268599999999999E-3</c:v>
                </c:pt>
                <c:pt idx="106">
                  <c:v>2.1328266666666667E-3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CF-4F1C-8CE0-3719B339F3E4}"/>
            </c:ext>
          </c:extLst>
        </c:ser>
        <c:ser>
          <c:idx val="1"/>
          <c:order val="1"/>
          <c:tx>
            <c:strRef>
              <c:f>'1009 24 hpi'!$R$1:$R$2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'1009 24 hpi'!$A$3:$A$124</c:f>
              <c:numCache>
                <c:formatCode>General</c:formatCode>
                <c:ptCount val="122"/>
                <c:pt idx="0">
                  <c:v>6.1608999999999998</c:v>
                </c:pt>
                <c:pt idx="1">
                  <c:v>12.3779</c:v>
                </c:pt>
                <c:pt idx="2">
                  <c:v>18.584199999999999</c:v>
                </c:pt>
                <c:pt idx="3">
                  <c:v>24.814599999999999</c:v>
                </c:pt>
                <c:pt idx="4">
                  <c:v>30.955500000000001</c:v>
                </c:pt>
                <c:pt idx="5">
                  <c:v>37.193899999999999</c:v>
                </c:pt>
                <c:pt idx="6">
                  <c:v>43.328000000000003</c:v>
                </c:pt>
                <c:pt idx="7">
                  <c:v>49.5092</c:v>
                </c:pt>
                <c:pt idx="8">
                  <c:v>55.8187</c:v>
                </c:pt>
                <c:pt idx="9">
                  <c:v>61.948399999999999</c:v>
                </c:pt>
                <c:pt idx="10">
                  <c:v>68.294600000000003</c:v>
                </c:pt>
                <c:pt idx="11">
                  <c:v>74.376800000000003</c:v>
                </c:pt>
                <c:pt idx="12">
                  <c:v>80.591399999999993</c:v>
                </c:pt>
                <c:pt idx="13">
                  <c:v>86.865200000000002</c:v>
                </c:pt>
                <c:pt idx="14">
                  <c:v>93.009600000000006</c:v>
                </c:pt>
                <c:pt idx="15">
                  <c:v>99.231399999999994</c:v>
                </c:pt>
                <c:pt idx="16">
                  <c:v>105.389</c:v>
                </c:pt>
                <c:pt idx="17">
                  <c:v>111.69199999999999</c:v>
                </c:pt>
                <c:pt idx="18">
                  <c:v>117.926</c:v>
                </c:pt>
                <c:pt idx="19">
                  <c:v>124.08</c:v>
                </c:pt>
                <c:pt idx="20">
                  <c:v>130.351</c:v>
                </c:pt>
                <c:pt idx="21">
                  <c:v>136.554</c:v>
                </c:pt>
                <c:pt idx="22">
                  <c:v>142.69399999999999</c:v>
                </c:pt>
                <c:pt idx="23">
                  <c:v>148.88</c:v>
                </c:pt>
                <c:pt idx="24">
                  <c:v>155.18199999999999</c:v>
                </c:pt>
                <c:pt idx="25">
                  <c:v>161.405</c:v>
                </c:pt>
                <c:pt idx="26">
                  <c:v>167.61699999999999</c:v>
                </c:pt>
                <c:pt idx="27">
                  <c:v>173.82300000000001</c:v>
                </c:pt>
                <c:pt idx="28">
                  <c:v>179.99</c:v>
                </c:pt>
                <c:pt idx="29">
                  <c:v>193.21799999999999</c:v>
                </c:pt>
                <c:pt idx="30">
                  <c:v>199.43700000000001</c:v>
                </c:pt>
                <c:pt idx="31">
                  <c:v>205.559</c:v>
                </c:pt>
                <c:pt idx="32">
                  <c:v>211.792</c:v>
                </c:pt>
                <c:pt idx="33">
                  <c:v>218.12700000000001</c:v>
                </c:pt>
                <c:pt idx="34">
                  <c:v>224.291</c:v>
                </c:pt>
                <c:pt idx="35">
                  <c:v>230.49600000000001</c:v>
                </c:pt>
                <c:pt idx="36">
                  <c:v>236.65600000000001</c:v>
                </c:pt>
                <c:pt idx="37">
                  <c:v>242.97800000000001</c:v>
                </c:pt>
                <c:pt idx="38">
                  <c:v>249.12200000000001</c:v>
                </c:pt>
                <c:pt idx="39">
                  <c:v>262.39</c:v>
                </c:pt>
                <c:pt idx="40">
                  <c:v>268.47800000000001</c:v>
                </c:pt>
                <c:pt idx="41">
                  <c:v>274.68700000000001</c:v>
                </c:pt>
                <c:pt idx="42">
                  <c:v>280.96300000000002</c:v>
                </c:pt>
                <c:pt idx="43">
                  <c:v>287.22800000000001</c:v>
                </c:pt>
                <c:pt idx="44">
                  <c:v>293.29300000000001</c:v>
                </c:pt>
                <c:pt idx="45">
                  <c:v>299.63400000000001</c:v>
                </c:pt>
                <c:pt idx="46">
                  <c:v>305.762</c:v>
                </c:pt>
                <c:pt idx="47">
                  <c:v>312.01600000000002</c:v>
                </c:pt>
                <c:pt idx="48">
                  <c:v>318.25299999999999</c:v>
                </c:pt>
                <c:pt idx="49">
                  <c:v>324.49900000000002</c:v>
                </c:pt>
                <c:pt idx="50">
                  <c:v>330.63499999999999</c:v>
                </c:pt>
                <c:pt idx="51">
                  <c:v>336.85700000000003</c:v>
                </c:pt>
                <c:pt idx="52">
                  <c:v>343.11</c:v>
                </c:pt>
                <c:pt idx="53">
                  <c:v>349.24900000000002</c:v>
                </c:pt>
                <c:pt idx="54">
                  <c:v>355.43799999999999</c:v>
                </c:pt>
                <c:pt idx="55">
                  <c:v>361.74700000000001</c:v>
                </c:pt>
                <c:pt idx="56">
                  <c:v>367.81400000000002</c:v>
                </c:pt>
                <c:pt idx="57">
                  <c:v>374.17599999999999</c:v>
                </c:pt>
                <c:pt idx="58">
                  <c:v>380.25700000000001</c:v>
                </c:pt>
                <c:pt idx="59">
                  <c:v>386.47300000000001</c:v>
                </c:pt>
                <c:pt idx="60">
                  <c:v>392.72</c:v>
                </c:pt>
                <c:pt idx="61">
                  <c:v>398.84699999999998</c:v>
                </c:pt>
                <c:pt idx="62">
                  <c:v>405.13499999999999</c:v>
                </c:pt>
                <c:pt idx="63">
                  <c:v>411.31299999999999</c:v>
                </c:pt>
                <c:pt idx="64">
                  <c:v>417.62599999999998</c:v>
                </c:pt>
                <c:pt idx="65">
                  <c:v>423.83800000000002</c:v>
                </c:pt>
                <c:pt idx="66">
                  <c:v>430.04700000000003</c:v>
                </c:pt>
                <c:pt idx="67">
                  <c:v>436.12299999999999</c:v>
                </c:pt>
                <c:pt idx="68">
                  <c:v>449.61900000000003</c:v>
                </c:pt>
                <c:pt idx="69">
                  <c:v>455.80900000000003</c:v>
                </c:pt>
                <c:pt idx="70">
                  <c:v>461.90699999999998</c:v>
                </c:pt>
                <c:pt idx="71">
                  <c:v>468.21</c:v>
                </c:pt>
                <c:pt idx="72">
                  <c:v>474.33100000000002</c:v>
                </c:pt>
                <c:pt idx="73">
                  <c:v>480.59800000000001</c:v>
                </c:pt>
                <c:pt idx="74">
                  <c:v>486.89699999999999</c:v>
                </c:pt>
                <c:pt idx="75">
                  <c:v>493.065</c:v>
                </c:pt>
                <c:pt idx="76">
                  <c:v>499.24</c:v>
                </c:pt>
                <c:pt idx="77">
                  <c:v>505.44499999999999</c:v>
                </c:pt>
                <c:pt idx="78">
                  <c:v>518.74199999999996</c:v>
                </c:pt>
                <c:pt idx="79">
                  <c:v>524.84299999999996</c:v>
                </c:pt>
                <c:pt idx="80">
                  <c:v>531.19500000000005</c:v>
                </c:pt>
                <c:pt idx="81">
                  <c:v>537.27599999999995</c:v>
                </c:pt>
                <c:pt idx="82">
                  <c:v>543.59</c:v>
                </c:pt>
                <c:pt idx="83">
                  <c:v>549.702</c:v>
                </c:pt>
                <c:pt idx="84">
                  <c:v>555.89599999999996</c:v>
                </c:pt>
                <c:pt idx="85">
                  <c:v>562.15099999999995</c:v>
                </c:pt>
                <c:pt idx="86">
                  <c:v>568.41300000000001</c:v>
                </c:pt>
                <c:pt idx="87">
                  <c:v>574.63900000000001</c:v>
                </c:pt>
                <c:pt idx="88">
                  <c:v>580.71900000000005</c:v>
                </c:pt>
                <c:pt idx="89">
                  <c:v>586.93899999999996</c:v>
                </c:pt>
                <c:pt idx="90">
                  <c:v>593.14800000000002</c:v>
                </c:pt>
                <c:pt idx="91">
                  <c:v>599.39499999999998</c:v>
                </c:pt>
                <c:pt idx="92">
                  <c:v>605.68200000000002</c:v>
                </c:pt>
                <c:pt idx="93">
                  <c:v>611.80899999999997</c:v>
                </c:pt>
                <c:pt idx="94">
                  <c:v>618.17399999999998</c:v>
                </c:pt>
                <c:pt idx="95">
                  <c:v>624.24699999999996</c:v>
                </c:pt>
                <c:pt idx="96">
                  <c:v>630.44299999999998</c:v>
                </c:pt>
                <c:pt idx="97">
                  <c:v>636.67100000000005</c:v>
                </c:pt>
                <c:pt idx="98">
                  <c:v>642.96100000000001</c:v>
                </c:pt>
                <c:pt idx="99">
                  <c:v>649.13499999999999</c:v>
                </c:pt>
                <c:pt idx="100">
                  <c:v>655.32600000000002</c:v>
                </c:pt>
                <c:pt idx="101">
                  <c:v>661.65899999999999</c:v>
                </c:pt>
                <c:pt idx="102">
                  <c:v>667.80399999999997</c:v>
                </c:pt>
                <c:pt idx="103">
                  <c:v>674.029</c:v>
                </c:pt>
                <c:pt idx="104">
                  <c:v>680.11099999999999</c:v>
                </c:pt>
                <c:pt idx="105">
                  <c:v>686.43799999999999</c:v>
                </c:pt>
                <c:pt idx="106">
                  <c:v>692.55399999999997</c:v>
                </c:pt>
              </c:numCache>
            </c:numRef>
          </c:xVal>
          <c:yVal>
            <c:numRef>
              <c:f>'1009 24 hpi'!$R$3:$R$132</c:f>
              <c:numCache>
                <c:formatCode>General</c:formatCode>
                <c:ptCount val="130"/>
                <c:pt idx="0">
                  <c:v>4.9816866666666665E-4</c:v>
                </c:pt>
                <c:pt idx="1">
                  <c:v>4.9279833333333329E-4</c:v>
                </c:pt>
                <c:pt idx="2">
                  <c:v>5.008483333333334E-4</c:v>
                </c:pt>
                <c:pt idx="3">
                  <c:v>5.0090466666666668E-4</c:v>
                </c:pt>
                <c:pt idx="4">
                  <c:v>4.9853033333333333E-4</c:v>
                </c:pt>
                <c:pt idx="5">
                  <c:v>5.050283333333333E-4</c:v>
                </c:pt>
                <c:pt idx="6">
                  <c:v>5.0637666666666665E-4</c:v>
                </c:pt>
                <c:pt idx="7">
                  <c:v>5.0739366666666672E-4</c:v>
                </c:pt>
                <c:pt idx="8">
                  <c:v>5.1192766666666655E-4</c:v>
                </c:pt>
                <c:pt idx="9">
                  <c:v>5.1465833333333335E-4</c:v>
                </c:pt>
                <c:pt idx="10">
                  <c:v>5.125203333333333E-4</c:v>
                </c:pt>
                <c:pt idx="11">
                  <c:v>5.249376666666667E-4</c:v>
                </c:pt>
                <c:pt idx="12">
                  <c:v>5.1774366666666662E-4</c:v>
                </c:pt>
                <c:pt idx="13">
                  <c:v>5.2923633333333336E-4</c:v>
                </c:pt>
                <c:pt idx="14">
                  <c:v>5.3189199999999996E-4</c:v>
                </c:pt>
                <c:pt idx="15">
                  <c:v>5.4065700000000005E-4</c:v>
                </c:pt>
                <c:pt idx="16">
                  <c:v>5.3924100000000009E-4</c:v>
                </c:pt>
                <c:pt idx="17">
                  <c:v>5.4074233333333336E-4</c:v>
                </c:pt>
                <c:pt idx="18">
                  <c:v>5.3838166666666664E-4</c:v>
                </c:pt>
                <c:pt idx="19">
                  <c:v>5.4950566666666669E-4</c:v>
                </c:pt>
                <c:pt idx="20">
                  <c:v>5.4415333333333339E-4</c:v>
                </c:pt>
                <c:pt idx="21">
                  <c:v>5.5382066666666665E-4</c:v>
                </c:pt>
                <c:pt idx="22">
                  <c:v>5.5093666666666656E-4</c:v>
                </c:pt>
                <c:pt idx="23">
                  <c:v>5.5970266666666667E-4</c:v>
                </c:pt>
                <c:pt idx="24">
                  <c:v>5.6176666666666664E-4</c:v>
                </c:pt>
                <c:pt idx="25">
                  <c:v>5.637723333333333E-4</c:v>
                </c:pt>
                <c:pt idx="26">
                  <c:v>5.621566666666666E-4</c:v>
                </c:pt>
                <c:pt idx="27">
                  <c:v>5.662643333333334E-4</c:v>
                </c:pt>
                <c:pt idx="28">
                  <c:v>5.7556866666666668E-4</c:v>
                </c:pt>
                <c:pt idx="29">
                  <c:v>4.4205666666666662E-5</c:v>
                </c:pt>
                <c:pt idx="30">
                  <c:v>4.3850533333333336E-5</c:v>
                </c:pt>
                <c:pt idx="31">
                  <c:v>4.3323266666666672E-5</c:v>
                </c:pt>
                <c:pt idx="32">
                  <c:v>4.315986666666666E-5</c:v>
                </c:pt>
                <c:pt idx="33">
                  <c:v>4.2955733333333333E-5</c:v>
                </c:pt>
                <c:pt idx="34">
                  <c:v>4.2750966666666664E-5</c:v>
                </c:pt>
                <c:pt idx="35">
                  <c:v>4.2570799999999996E-5</c:v>
                </c:pt>
                <c:pt idx="36">
                  <c:v>4.2531966666666665E-5</c:v>
                </c:pt>
                <c:pt idx="37">
                  <c:v>4.2282533333333327E-5</c:v>
                </c:pt>
                <c:pt idx="38">
                  <c:v>4.2173399999999998E-5</c:v>
                </c:pt>
                <c:pt idx="39">
                  <c:v>4.2644033333333331E-4</c:v>
                </c:pt>
                <c:pt idx="40">
                  <c:v>4.1449466666666665E-4</c:v>
                </c:pt>
                <c:pt idx="41">
                  <c:v>4.0942266666666658E-4</c:v>
                </c:pt>
                <c:pt idx="42">
                  <c:v>4.1199199999999997E-4</c:v>
                </c:pt>
                <c:pt idx="43">
                  <c:v>4.0436766666666668E-4</c:v>
                </c:pt>
                <c:pt idx="44">
                  <c:v>4.0364400000000004E-4</c:v>
                </c:pt>
                <c:pt idx="45">
                  <c:v>4.0065133333333334E-4</c:v>
                </c:pt>
                <c:pt idx="46">
                  <c:v>4.0262333333333333E-4</c:v>
                </c:pt>
                <c:pt idx="47">
                  <c:v>3.9637766666666664E-4</c:v>
                </c:pt>
                <c:pt idx="48">
                  <c:v>3.9478466666666672E-4</c:v>
                </c:pt>
                <c:pt idx="49">
                  <c:v>3.9917866666666662E-4</c:v>
                </c:pt>
                <c:pt idx="50">
                  <c:v>3.9851166666666663E-4</c:v>
                </c:pt>
                <c:pt idx="51">
                  <c:v>3.9867166666666666E-4</c:v>
                </c:pt>
                <c:pt idx="52">
                  <c:v>3.9873399999999998E-4</c:v>
                </c:pt>
                <c:pt idx="53">
                  <c:v>4.0061999999999997E-4</c:v>
                </c:pt>
                <c:pt idx="54">
                  <c:v>4.0526466666666671E-4</c:v>
                </c:pt>
                <c:pt idx="55">
                  <c:v>4.07353E-4</c:v>
                </c:pt>
                <c:pt idx="56">
                  <c:v>4.0839200000000004E-4</c:v>
                </c:pt>
                <c:pt idx="57">
                  <c:v>4.1019400000000001E-4</c:v>
                </c:pt>
                <c:pt idx="58">
                  <c:v>4.1437599999999999E-4</c:v>
                </c:pt>
                <c:pt idx="59">
                  <c:v>4.1914900000000001E-4</c:v>
                </c:pt>
                <c:pt idx="60">
                  <c:v>4.2062633333333333E-4</c:v>
                </c:pt>
                <c:pt idx="61">
                  <c:v>4.151346666666667E-4</c:v>
                </c:pt>
                <c:pt idx="62">
                  <c:v>4.1443366666666666E-4</c:v>
                </c:pt>
                <c:pt idx="63">
                  <c:v>4.1815699999999995E-4</c:v>
                </c:pt>
                <c:pt idx="64">
                  <c:v>4.2584066666666662E-4</c:v>
                </c:pt>
                <c:pt idx="65">
                  <c:v>4.2334166666666663E-4</c:v>
                </c:pt>
                <c:pt idx="66">
                  <c:v>4.1674700000000003E-4</c:v>
                </c:pt>
                <c:pt idx="67">
                  <c:v>4.2152766666666669E-4</c:v>
                </c:pt>
                <c:pt idx="68">
                  <c:v>4.1389900000000002E-5</c:v>
                </c:pt>
                <c:pt idx="69">
                  <c:v>4.1469933333333334E-5</c:v>
                </c:pt>
                <c:pt idx="70">
                  <c:v>4.1327600000000001E-5</c:v>
                </c:pt>
                <c:pt idx="71">
                  <c:v>4.1293633333333334E-5</c:v>
                </c:pt>
                <c:pt idx="72">
                  <c:v>4.12472E-5</c:v>
                </c:pt>
                <c:pt idx="73">
                  <c:v>4.1163233333333333E-5</c:v>
                </c:pt>
                <c:pt idx="74">
                  <c:v>4.1136533333333328E-5</c:v>
                </c:pt>
                <c:pt idx="75">
                  <c:v>4.1099899999999996E-5</c:v>
                </c:pt>
                <c:pt idx="76">
                  <c:v>4.10586E-5</c:v>
                </c:pt>
                <c:pt idx="77">
                  <c:v>4.1004900000000004E-5</c:v>
                </c:pt>
                <c:pt idx="78">
                  <c:v>4.2328433333333333E-4</c:v>
                </c:pt>
                <c:pt idx="79">
                  <c:v>4.1288799999999998E-4</c:v>
                </c:pt>
                <c:pt idx="80">
                  <c:v>4.0473733333333339E-4</c:v>
                </c:pt>
                <c:pt idx="81">
                  <c:v>4.0307233333333335E-4</c:v>
                </c:pt>
                <c:pt idx="82">
                  <c:v>4.0348000000000006E-4</c:v>
                </c:pt>
                <c:pt idx="83">
                  <c:v>4.0464533333333335E-4</c:v>
                </c:pt>
                <c:pt idx="84">
                  <c:v>4.0350200000000003E-4</c:v>
                </c:pt>
                <c:pt idx="85">
                  <c:v>4.0007699999999998E-4</c:v>
                </c:pt>
                <c:pt idx="86">
                  <c:v>4.0499766666666663E-4</c:v>
                </c:pt>
                <c:pt idx="87">
                  <c:v>4.0628299999999996E-4</c:v>
                </c:pt>
                <c:pt idx="88">
                  <c:v>4.0344566666666664E-4</c:v>
                </c:pt>
                <c:pt idx="89">
                  <c:v>4.0149933333333336E-4</c:v>
                </c:pt>
                <c:pt idx="90">
                  <c:v>4.064516666666667E-4</c:v>
                </c:pt>
                <c:pt idx="91">
                  <c:v>4.0815633333333333E-4</c:v>
                </c:pt>
                <c:pt idx="92">
                  <c:v>4.1034833333333337E-4</c:v>
                </c:pt>
                <c:pt idx="93">
                  <c:v>4.0466599999999998E-4</c:v>
                </c:pt>
                <c:pt idx="94">
                  <c:v>4.1068033333333328E-4</c:v>
                </c:pt>
                <c:pt idx="95">
                  <c:v>4.0910766666666661E-4</c:v>
                </c:pt>
                <c:pt idx="96">
                  <c:v>4.1622533333333331E-4</c:v>
                </c:pt>
                <c:pt idx="97">
                  <c:v>4.0921066666666661E-4</c:v>
                </c:pt>
                <c:pt idx="98">
                  <c:v>4.1196966666666663E-4</c:v>
                </c:pt>
                <c:pt idx="99">
                  <c:v>4.1048400000000002E-4</c:v>
                </c:pt>
                <c:pt idx="100">
                  <c:v>4.1378500000000001E-4</c:v>
                </c:pt>
                <c:pt idx="101">
                  <c:v>4.1429966666666667E-4</c:v>
                </c:pt>
                <c:pt idx="102">
                  <c:v>4.14232E-4</c:v>
                </c:pt>
                <c:pt idx="103">
                  <c:v>4.1088100000000004E-4</c:v>
                </c:pt>
                <c:pt idx="104">
                  <c:v>4.1668233333333335E-4</c:v>
                </c:pt>
                <c:pt idx="105">
                  <c:v>4.188203333333333E-4</c:v>
                </c:pt>
                <c:pt idx="106">
                  <c:v>4.1511400000000001E-4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CF-4F1C-8CE0-3719B339F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08720"/>
        <c:axId val="1129758512"/>
      </c:scatterChart>
      <c:valAx>
        <c:axId val="11279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58512"/>
        <c:crosses val="autoZero"/>
        <c:crossBetween val="midCat"/>
      </c:valAx>
      <c:valAx>
        <c:axId val="1129758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P- 24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P- 24 hpi'!$B$3:$B$116</c:f>
              <c:numCache>
                <c:formatCode>General</c:formatCode>
                <c:ptCount val="114"/>
                <c:pt idx="0">
                  <c:v>1.1006E-3</c:v>
                </c:pt>
                <c:pt idx="1">
                  <c:v>1.1028399999999999E-3</c:v>
                </c:pt>
                <c:pt idx="2">
                  <c:v>1.1052099999999999E-3</c:v>
                </c:pt>
                <c:pt idx="3">
                  <c:v>1.1068899999999999E-3</c:v>
                </c:pt>
                <c:pt idx="4">
                  <c:v>1.10844E-3</c:v>
                </c:pt>
                <c:pt idx="5">
                  <c:v>1.1091199999999999E-3</c:v>
                </c:pt>
                <c:pt idx="6">
                  <c:v>1.10933E-3</c:v>
                </c:pt>
                <c:pt idx="7">
                  <c:v>1.1103E-3</c:v>
                </c:pt>
                <c:pt idx="8">
                  <c:v>1.11067E-3</c:v>
                </c:pt>
                <c:pt idx="9">
                  <c:v>1.1120399999999999E-3</c:v>
                </c:pt>
                <c:pt idx="10">
                  <c:v>1.10962E-3</c:v>
                </c:pt>
                <c:pt idx="11">
                  <c:v>1.10943E-3</c:v>
                </c:pt>
                <c:pt idx="12">
                  <c:v>1.10979E-3</c:v>
                </c:pt>
                <c:pt idx="13">
                  <c:v>1.1111599999999999E-3</c:v>
                </c:pt>
                <c:pt idx="14">
                  <c:v>1.1100400000000001E-3</c:v>
                </c:pt>
                <c:pt idx="15">
                  <c:v>1.10794E-3</c:v>
                </c:pt>
                <c:pt idx="16">
                  <c:v>1.1084999999999999E-3</c:v>
                </c:pt>
                <c:pt idx="17">
                  <c:v>1.1091199999999999E-3</c:v>
                </c:pt>
                <c:pt idx="18">
                  <c:v>1.1079600000000001E-3</c:v>
                </c:pt>
                <c:pt idx="19">
                  <c:v>1.1090500000000001E-3</c:v>
                </c:pt>
                <c:pt idx="20">
                  <c:v>1.10914E-3</c:v>
                </c:pt>
                <c:pt idx="21">
                  <c:v>1.10867E-3</c:v>
                </c:pt>
                <c:pt idx="22">
                  <c:v>1.11082E-3</c:v>
                </c:pt>
                <c:pt idx="23">
                  <c:v>1.10852E-3</c:v>
                </c:pt>
                <c:pt idx="24">
                  <c:v>1.1113200000000001E-3</c:v>
                </c:pt>
                <c:pt idx="25">
                  <c:v>1.11199E-3</c:v>
                </c:pt>
                <c:pt idx="26">
                  <c:v>1.1124100000000001E-3</c:v>
                </c:pt>
                <c:pt idx="27">
                  <c:v>1.1139699999999999E-3</c:v>
                </c:pt>
                <c:pt idx="28">
                  <c:v>1.1150800000000001E-3</c:v>
                </c:pt>
                <c:pt idx="29">
                  <c:v>3.4242199999999999E-6</c:v>
                </c:pt>
                <c:pt idx="30">
                  <c:v>3.3844300000000001E-6</c:v>
                </c:pt>
                <c:pt idx="31">
                  <c:v>3.31971E-6</c:v>
                </c:pt>
                <c:pt idx="32">
                  <c:v>3.2630299999999999E-6</c:v>
                </c:pt>
                <c:pt idx="33">
                  <c:v>3.22041E-6</c:v>
                </c:pt>
                <c:pt idx="34">
                  <c:v>3.19241E-6</c:v>
                </c:pt>
                <c:pt idx="35">
                  <c:v>3.1591399999999998E-6</c:v>
                </c:pt>
                <c:pt idx="36">
                  <c:v>3.1308300000000001E-6</c:v>
                </c:pt>
                <c:pt idx="37">
                  <c:v>3.10517E-6</c:v>
                </c:pt>
                <c:pt idx="38">
                  <c:v>3.0837900000000002E-6</c:v>
                </c:pt>
                <c:pt idx="39">
                  <c:v>7.5606700000000002E-4</c:v>
                </c:pt>
                <c:pt idx="40">
                  <c:v>7.7899700000000002E-4</c:v>
                </c:pt>
                <c:pt idx="41">
                  <c:v>7.9126200000000004E-4</c:v>
                </c:pt>
                <c:pt idx="42">
                  <c:v>8.0140400000000003E-4</c:v>
                </c:pt>
                <c:pt idx="43">
                  <c:v>8.1024299999999999E-4</c:v>
                </c:pt>
                <c:pt idx="44">
                  <c:v>8.1743300000000001E-4</c:v>
                </c:pt>
                <c:pt idx="45">
                  <c:v>8.2275600000000001E-4</c:v>
                </c:pt>
                <c:pt idx="46">
                  <c:v>8.2655200000000004E-4</c:v>
                </c:pt>
                <c:pt idx="47">
                  <c:v>8.2900200000000002E-4</c:v>
                </c:pt>
                <c:pt idx="48">
                  <c:v>8.31459E-4</c:v>
                </c:pt>
                <c:pt idx="49">
                  <c:v>8.3348899999999997E-4</c:v>
                </c:pt>
                <c:pt idx="50">
                  <c:v>8.3728100000000005E-4</c:v>
                </c:pt>
                <c:pt idx="51">
                  <c:v>8.3980800000000005E-4</c:v>
                </c:pt>
                <c:pt idx="52">
                  <c:v>8.4319899999999999E-4</c:v>
                </c:pt>
                <c:pt idx="53">
                  <c:v>8.4607699999999998E-4</c:v>
                </c:pt>
                <c:pt idx="54">
                  <c:v>8.47228E-4</c:v>
                </c:pt>
                <c:pt idx="55">
                  <c:v>8.4966499999999999E-4</c:v>
                </c:pt>
                <c:pt idx="56">
                  <c:v>8.51435E-4</c:v>
                </c:pt>
                <c:pt idx="57">
                  <c:v>8.5270699999999997E-4</c:v>
                </c:pt>
                <c:pt idx="58">
                  <c:v>8.5471400000000002E-4</c:v>
                </c:pt>
                <c:pt idx="59">
                  <c:v>8.5587300000000005E-4</c:v>
                </c:pt>
                <c:pt idx="60">
                  <c:v>8.5858799999999997E-4</c:v>
                </c:pt>
                <c:pt idx="61">
                  <c:v>8.6090899999999998E-4</c:v>
                </c:pt>
                <c:pt idx="62">
                  <c:v>8.6260600000000003E-4</c:v>
                </c:pt>
                <c:pt idx="63">
                  <c:v>8.6428000000000004E-4</c:v>
                </c:pt>
                <c:pt idx="64">
                  <c:v>8.6553200000000002E-4</c:v>
                </c:pt>
                <c:pt idx="65">
                  <c:v>8.66557E-4</c:v>
                </c:pt>
                <c:pt idx="66">
                  <c:v>8.6751999999999999E-4</c:v>
                </c:pt>
                <c:pt idx="67">
                  <c:v>8.6953499999999995E-4</c:v>
                </c:pt>
                <c:pt idx="68">
                  <c:v>2.9617599999999999E-6</c:v>
                </c:pt>
                <c:pt idx="69">
                  <c:v>2.9661799999999999E-6</c:v>
                </c:pt>
                <c:pt idx="70">
                  <c:v>2.9456600000000002E-6</c:v>
                </c:pt>
                <c:pt idx="71">
                  <c:v>2.93416E-6</c:v>
                </c:pt>
                <c:pt idx="72">
                  <c:v>2.9241399999999999E-6</c:v>
                </c:pt>
                <c:pt idx="73">
                  <c:v>2.9158499999999998E-6</c:v>
                </c:pt>
                <c:pt idx="74">
                  <c:v>2.9035799999999999E-6</c:v>
                </c:pt>
                <c:pt idx="75">
                  <c:v>2.8949200000000001E-6</c:v>
                </c:pt>
                <c:pt idx="76">
                  <c:v>2.88755E-6</c:v>
                </c:pt>
                <c:pt idx="77">
                  <c:v>2.8825299999999999E-6</c:v>
                </c:pt>
                <c:pt idx="78">
                  <c:v>7.1454500000000002E-4</c:v>
                </c:pt>
                <c:pt idx="79">
                  <c:v>7.3632199999999997E-4</c:v>
                </c:pt>
                <c:pt idx="80">
                  <c:v>7.5117800000000002E-4</c:v>
                </c:pt>
                <c:pt idx="81">
                  <c:v>7.6088800000000004E-4</c:v>
                </c:pt>
                <c:pt idx="82">
                  <c:v>7.6800999999999996E-4</c:v>
                </c:pt>
                <c:pt idx="83">
                  <c:v>7.7534399999999997E-4</c:v>
                </c:pt>
                <c:pt idx="84">
                  <c:v>7.8110500000000004E-4</c:v>
                </c:pt>
                <c:pt idx="85">
                  <c:v>7.8641500000000005E-4</c:v>
                </c:pt>
                <c:pt idx="86">
                  <c:v>7.9042000000000001E-4</c:v>
                </c:pt>
                <c:pt idx="87">
                  <c:v>7.9356900000000005E-4</c:v>
                </c:pt>
                <c:pt idx="88">
                  <c:v>7.9682799999999997E-4</c:v>
                </c:pt>
                <c:pt idx="89">
                  <c:v>8.00507E-4</c:v>
                </c:pt>
                <c:pt idx="90">
                  <c:v>8.0421799999999999E-4</c:v>
                </c:pt>
                <c:pt idx="91">
                  <c:v>8.0658100000000001E-4</c:v>
                </c:pt>
                <c:pt idx="92">
                  <c:v>8.1021299999999995E-4</c:v>
                </c:pt>
                <c:pt idx="93">
                  <c:v>8.1491099999999998E-4</c:v>
                </c:pt>
                <c:pt idx="94">
                  <c:v>8.1602699999999999E-4</c:v>
                </c:pt>
                <c:pt idx="95">
                  <c:v>8.1630099999999996E-4</c:v>
                </c:pt>
                <c:pt idx="96">
                  <c:v>8.1881E-4</c:v>
                </c:pt>
                <c:pt idx="97">
                  <c:v>8.2232599999999996E-4</c:v>
                </c:pt>
                <c:pt idx="98">
                  <c:v>8.2377700000000004E-4</c:v>
                </c:pt>
                <c:pt idx="99">
                  <c:v>8.2309899999999999E-4</c:v>
                </c:pt>
                <c:pt idx="100">
                  <c:v>8.2542499999999997E-4</c:v>
                </c:pt>
                <c:pt idx="101">
                  <c:v>8.3065000000000005E-4</c:v>
                </c:pt>
                <c:pt idx="102">
                  <c:v>8.3159900000000003E-4</c:v>
                </c:pt>
                <c:pt idx="103">
                  <c:v>8.3275700000000005E-4</c:v>
                </c:pt>
                <c:pt idx="104">
                  <c:v>8.3470300000000001E-4</c:v>
                </c:pt>
                <c:pt idx="105">
                  <c:v>8.3639700000000001E-4</c:v>
                </c:pt>
                <c:pt idx="106">
                  <c:v>8.37223E-4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C-4C39-B7AD-C53098032927}"/>
            </c:ext>
          </c:extLst>
        </c:ser>
        <c:ser>
          <c:idx val="1"/>
          <c:order val="1"/>
          <c:tx>
            <c:strRef>
              <c:f>'NAD003 P- 24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P- 24 hpi'!$G$3:$G$124</c:f>
              <c:numCache>
                <c:formatCode>0.00E+00</c:formatCode>
                <c:ptCount val="122"/>
                <c:pt idx="0">
                  <c:v>9.9540200000000005E-4</c:v>
                </c:pt>
                <c:pt idx="1">
                  <c:v>1.0010900000000001E-3</c:v>
                </c:pt>
                <c:pt idx="2">
                  <c:v>1.00398E-3</c:v>
                </c:pt>
                <c:pt idx="3">
                  <c:v>1.0077899999999999E-3</c:v>
                </c:pt>
                <c:pt idx="4">
                  <c:v>1.01067E-3</c:v>
                </c:pt>
                <c:pt idx="5">
                  <c:v>1.01359E-3</c:v>
                </c:pt>
                <c:pt idx="6">
                  <c:v>1.01596E-3</c:v>
                </c:pt>
                <c:pt idx="7">
                  <c:v>1.01786E-3</c:v>
                </c:pt>
                <c:pt idx="8">
                  <c:v>1.01928E-3</c:v>
                </c:pt>
                <c:pt idx="9">
                  <c:v>1.02111E-3</c:v>
                </c:pt>
                <c:pt idx="10">
                  <c:v>1.02315E-3</c:v>
                </c:pt>
                <c:pt idx="11">
                  <c:v>1.0235299999999999E-3</c:v>
                </c:pt>
                <c:pt idx="12">
                  <c:v>1.02451E-3</c:v>
                </c:pt>
                <c:pt idx="13">
                  <c:v>1.02614E-3</c:v>
                </c:pt>
                <c:pt idx="14">
                  <c:v>1.0267E-3</c:v>
                </c:pt>
                <c:pt idx="15">
                  <c:v>1.02921E-3</c:v>
                </c:pt>
                <c:pt idx="16">
                  <c:v>1.0317900000000001E-3</c:v>
                </c:pt>
                <c:pt idx="17">
                  <c:v>1.03377E-3</c:v>
                </c:pt>
                <c:pt idx="18">
                  <c:v>1.0365999999999999E-3</c:v>
                </c:pt>
                <c:pt idx="19">
                  <c:v>1.0397399999999999E-3</c:v>
                </c:pt>
                <c:pt idx="20">
                  <c:v>1.0420799999999999E-3</c:v>
                </c:pt>
                <c:pt idx="21">
                  <c:v>1.0474E-3</c:v>
                </c:pt>
                <c:pt idx="22">
                  <c:v>1.05123E-3</c:v>
                </c:pt>
                <c:pt idx="23">
                  <c:v>1.0568299999999999E-3</c:v>
                </c:pt>
                <c:pt idx="24">
                  <c:v>1.06167E-3</c:v>
                </c:pt>
                <c:pt idx="25">
                  <c:v>1.0678E-3</c:v>
                </c:pt>
                <c:pt idx="26">
                  <c:v>1.0711399999999999E-3</c:v>
                </c:pt>
                <c:pt idx="27">
                  <c:v>1.0800899999999999E-3</c:v>
                </c:pt>
                <c:pt idx="28">
                  <c:v>1.0875500000000001E-3</c:v>
                </c:pt>
                <c:pt idx="29">
                  <c:v>6.0126300000000002E-6</c:v>
                </c:pt>
                <c:pt idx="30">
                  <c:v>5.8337900000000001E-6</c:v>
                </c:pt>
                <c:pt idx="31">
                  <c:v>5.6497000000000003E-6</c:v>
                </c:pt>
                <c:pt idx="32">
                  <c:v>5.4643700000000002E-6</c:v>
                </c:pt>
                <c:pt idx="33">
                  <c:v>5.3455599999999999E-6</c:v>
                </c:pt>
                <c:pt idx="34">
                  <c:v>5.1955100000000003E-6</c:v>
                </c:pt>
                <c:pt idx="35">
                  <c:v>5.0907399999999996E-6</c:v>
                </c:pt>
                <c:pt idx="36">
                  <c:v>4.9941500000000003E-6</c:v>
                </c:pt>
                <c:pt idx="37">
                  <c:v>4.9175400000000002E-6</c:v>
                </c:pt>
                <c:pt idx="38">
                  <c:v>4.8456900000000002E-6</c:v>
                </c:pt>
                <c:pt idx="39">
                  <c:v>6.3441599999999995E-4</c:v>
                </c:pt>
                <c:pt idx="40">
                  <c:v>6.5101500000000001E-4</c:v>
                </c:pt>
                <c:pt idx="41">
                  <c:v>6.6231700000000005E-4</c:v>
                </c:pt>
                <c:pt idx="42">
                  <c:v>6.69654E-4</c:v>
                </c:pt>
                <c:pt idx="43">
                  <c:v>6.7532599999999996E-4</c:v>
                </c:pt>
                <c:pt idx="44">
                  <c:v>6.8015600000000001E-4</c:v>
                </c:pt>
                <c:pt idx="45">
                  <c:v>6.8484100000000005E-4</c:v>
                </c:pt>
                <c:pt idx="46">
                  <c:v>6.8815300000000005E-4</c:v>
                </c:pt>
                <c:pt idx="47">
                  <c:v>6.9087800000000002E-4</c:v>
                </c:pt>
                <c:pt idx="48">
                  <c:v>6.9446299999999998E-4</c:v>
                </c:pt>
                <c:pt idx="49">
                  <c:v>6.98775E-4</c:v>
                </c:pt>
                <c:pt idx="50">
                  <c:v>6.9984599999999995E-4</c:v>
                </c:pt>
                <c:pt idx="51">
                  <c:v>7.0359700000000003E-4</c:v>
                </c:pt>
                <c:pt idx="52">
                  <c:v>7.0728700000000002E-4</c:v>
                </c:pt>
                <c:pt idx="53">
                  <c:v>7.1214100000000001E-4</c:v>
                </c:pt>
                <c:pt idx="54">
                  <c:v>7.1344300000000002E-4</c:v>
                </c:pt>
                <c:pt idx="55">
                  <c:v>7.16802E-4</c:v>
                </c:pt>
                <c:pt idx="56">
                  <c:v>7.2009400000000001E-4</c:v>
                </c:pt>
                <c:pt idx="57">
                  <c:v>7.2292500000000002E-4</c:v>
                </c:pt>
                <c:pt idx="58">
                  <c:v>7.2677600000000005E-4</c:v>
                </c:pt>
                <c:pt idx="59">
                  <c:v>7.2767999999999997E-4</c:v>
                </c:pt>
                <c:pt idx="60">
                  <c:v>7.3367199999999999E-4</c:v>
                </c:pt>
                <c:pt idx="61">
                  <c:v>7.3829600000000005E-4</c:v>
                </c:pt>
                <c:pt idx="62">
                  <c:v>7.42535E-4</c:v>
                </c:pt>
                <c:pt idx="63">
                  <c:v>7.4474299999999997E-4</c:v>
                </c:pt>
                <c:pt idx="64">
                  <c:v>7.48539E-4</c:v>
                </c:pt>
                <c:pt idx="65">
                  <c:v>7.5346300000000001E-4</c:v>
                </c:pt>
                <c:pt idx="66">
                  <c:v>7.5572900000000001E-4</c:v>
                </c:pt>
                <c:pt idx="67">
                  <c:v>7.6038500000000003E-4</c:v>
                </c:pt>
                <c:pt idx="68">
                  <c:v>4.4916000000000003E-6</c:v>
                </c:pt>
                <c:pt idx="69">
                  <c:v>4.4557000000000004E-6</c:v>
                </c:pt>
                <c:pt idx="70">
                  <c:v>4.41133E-6</c:v>
                </c:pt>
                <c:pt idx="71">
                  <c:v>4.3425700000000002E-6</c:v>
                </c:pt>
                <c:pt idx="72">
                  <c:v>4.3156400000000001E-6</c:v>
                </c:pt>
                <c:pt idx="73">
                  <c:v>4.28647E-6</c:v>
                </c:pt>
                <c:pt idx="74">
                  <c:v>4.2567399999999997E-6</c:v>
                </c:pt>
                <c:pt idx="75">
                  <c:v>4.22059E-6</c:v>
                </c:pt>
                <c:pt idx="76">
                  <c:v>4.1923200000000002E-6</c:v>
                </c:pt>
                <c:pt idx="77">
                  <c:v>4.1762300000000003E-6</c:v>
                </c:pt>
                <c:pt idx="78">
                  <c:v>6.3184700000000005E-4</c:v>
                </c:pt>
                <c:pt idx="79">
                  <c:v>6.5139699999999996E-4</c:v>
                </c:pt>
                <c:pt idx="80">
                  <c:v>6.64703E-4</c:v>
                </c:pt>
                <c:pt idx="81">
                  <c:v>6.7675199999999997E-4</c:v>
                </c:pt>
                <c:pt idx="82">
                  <c:v>6.8892200000000002E-4</c:v>
                </c:pt>
                <c:pt idx="83">
                  <c:v>6.9755499999999998E-4</c:v>
                </c:pt>
                <c:pt idx="84">
                  <c:v>7.05144E-4</c:v>
                </c:pt>
                <c:pt idx="85">
                  <c:v>7.1551099999999995E-4</c:v>
                </c:pt>
                <c:pt idx="86">
                  <c:v>7.2111199999999999E-4</c:v>
                </c:pt>
                <c:pt idx="87">
                  <c:v>7.2587200000000002E-4</c:v>
                </c:pt>
                <c:pt idx="88">
                  <c:v>7.3241799999999998E-4</c:v>
                </c:pt>
                <c:pt idx="89">
                  <c:v>7.4312200000000003E-4</c:v>
                </c:pt>
                <c:pt idx="90">
                  <c:v>7.5260799999999999E-4</c:v>
                </c:pt>
                <c:pt idx="91">
                  <c:v>7.6311599999999999E-4</c:v>
                </c:pt>
                <c:pt idx="92">
                  <c:v>7.7452599999999999E-4</c:v>
                </c:pt>
                <c:pt idx="93">
                  <c:v>7.8618299999999998E-4</c:v>
                </c:pt>
                <c:pt idx="94">
                  <c:v>7.9745200000000003E-4</c:v>
                </c:pt>
                <c:pt idx="95">
                  <c:v>8.0684599999999995E-4</c:v>
                </c:pt>
                <c:pt idx="96">
                  <c:v>8.2104900000000002E-4</c:v>
                </c:pt>
                <c:pt idx="97">
                  <c:v>8.3364400000000003E-4</c:v>
                </c:pt>
                <c:pt idx="98">
                  <c:v>8.4579499999999999E-4</c:v>
                </c:pt>
                <c:pt idx="99">
                  <c:v>8.58383E-4</c:v>
                </c:pt>
                <c:pt idx="100">
                  <c:v>8.7213799999999995E-4</c:v>
                </c:pt>
                <c:pt idx="101">
                  <c:v>8.8656399999999995E-4</c:v>
                </c:pt>
                <c:pt idx="102">
                  <c:v>8.9975500000000002E-4</c:v>
                </c:pt>
                <c:pt idx="103">
                  <c:v>9.1207599999999995E-4</c:v>
                </c:pt>
                <c:pt idx="104">
                  <c:v>9.29563E-4</c:v>
                </c:pt>
                <c:pt idx="105">
                  <c:v>9.4393199999999997E-4</c:v>
                </c:pt>
                <c:pt idx="106">
                  <c:v>9.5949499999999999E-4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CC-4C39-B7AD-C53098032927}"/>
            </c:ext>
          </c:extLst>
        </c:ser>
        <c:ser>
          <c:idx val="2"/>
          <c:order val="2"/>
          <c:tx>
            <c:strRef>
              <c:f>'NAD003 P- 24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P- 24 hpi'!$L$3:$L$124</c:f>
              <c:numCache>
                <c:formatCode>0.00E+00</c:formatCode>
                <c:ptCount val="122"/>
                <c:pt idx="0">
                  <c:v>5.1416700000000005E-4</c:v>
                </c:pt>
                <c:pt idx="1">
                  <c:v>5.1563499999999996E-4</c:v>
                </c:pt>
                <c:pt idx="2">
                  <c:v>5.1691900000000002E-4</c:v>
                </c:pt>
                <c:pt idx="3">
                  <c:v>5.1880100000000005E-4</c:v>
                </c:pt>
                <c:pt idx="4">
                  <c:v>5.2002400000000001E-4</c:v>
                </c:pt>
                <c:pt idx="5">
                  <c:v>5.2127E-4</c:v>
                </c:pt>
                <c:pt idx="6">
                  <c:v>5.2239099999999998E-4</c:v>
                </c:pt>
                <c:pt idx="7">
                  <c:v>5.2340700000000004E-4</c:v>
                </c:pt>
                <c:pt idx="8">
                  <c:v>5.2450900000000004E-4</c:v>
                </c:pt>
                <c:pt idx="9">
                  <c:v>5.2542300000000001E-4</c:v>
                </c:pt>
                <c:pt idx="10">
                  <c:v>5.2684100000000001E-4</c:v>
                </c:pt>
                <c:pt idx="11">
                  <c:v>5.2788800000000001E-4</c:v>
                </c:pt>
                <c:pt idx="12">
                  <c:v>5.2903399999999995E-4</c:v>
                </c:pt>
                <c:pt idx="13">
                  <c:v>5.3087399999999997E-4</c:v>
                </c:pt>
                <c:pt idx="14">
                  <c:v>5.3221400000000004E-4</c:v>
                </c:pt>
                <c:pt idx="15">
                  <c:v>5.3342600000000004E-4</c:v>
                </c:pt>
                <c:pt idx="16">
                  <c:v>5.3504799999999999E-4</c:v>
                </c:pt>
                <c:pt idx="17">
                  <c:v>5.3719599999999998E-4</c:v>
                </c:pt>
                <c:pt idx="18">
                  <c:v>5.3878400000000005E-4</c:v>
                </c:pt>
                <c:pt idx="19">
                  <c:v>5.3969399999999996E-4</c:v>
                </c:pt>
                <c:pt idx="20">
                  <c:v>5.4238599999999995E-4</c:v>
                </c:pt>
                <c:pt idx="21">
                  <c:v>5.4426099999999999E-4</c:v>
                </c:pt>
                <c:pt idx="22">
                  <c:v>5.4630100000000001E-4</c:v>
                </c:pt>
                <c:pt idx="23">
                  <c:v>5.4896700000000003E-4</c:v>
                </c:pt>
                <c:pt idx="24">
                  <c:v>5.5196100000000001E-4</c:v>
                </c:pt>
                <c:pt idx="25">
                  <c:v>5.5526299999999996E-4</c:v>
                </c:pt>
                <c:pt idx="26">
                  <c:v>5.5802399999999995E-4</c:v>
                </c:pt>
                <c:pt idx="27">
                  <c:v>5.6116100000000002E-4</c:v>
                </c:pt>
                <c:pt idx="28">
                  <c:v>5.6639099999999996E-4</c:v>
                </c:pt>
                <c:pt idx="29">
                  <c:v>6.02838E-6</c:v>
                </c:pt>
                <c:pt idx="30">
                  <c:v>5.8752199999999998E-6</c:v>
                </c:pt>
                <c:pt idx="31">
                  <c:v>5.7078200000000004E-6</c:v>
                </c:pt>
                <c:pt idx="32">
                  <c:v>5.5704099999999999E-6</c:v>
                </c:pt>
                <c:pt idx="33">
                  <c:v>5.4623000000000002E-6</c:v>
                </c:pt>
                <c:pt idx="34">
                  <c:v>5.3602900000000003E-6</c:v>
                </c:pt>
                <c:pt idx="35">
                  <c:v>5.2712600000000004E-6</c:v>
                </c:pt>
                <c:pt idx="36">
                  <c:v>5.1993600000000003E-6</c:v>
                </c:pt>
                <c:pt idx="37">
                  <c:v>5.1229200000000002E-6</c:v>
                </c:pt>
                <c:pt idx="38">
                  <c:v>5.0519699999999997E-6</c:v>
                </c:pt>
                <c:pt idx="39">
                  <c:v>3.5077399999999999E-4</c:v>
                </c:pt>
                <c:pt idx="40">
                  <c:v>3.6317499999999998E-4</c:v>
                </c:pt>
                <c:pt idx="41">
                  <c:v>3.7172000000000003E-4</c:v>
                </c:pt>
                <c:pt idx="42">
                  <c:v>3.7825800000000002E-4</c:v>
                </c:pt>
                <c:pt idx="43">
                  <c:v>3.8416500000000001E-4</c:v>
                </c:pt>
                <c:pt idx="44">
                  <c:v>3.8901499999999999E-4</c:v>
                </c:pt>
                <c:pt idx="45">
                  <c:v>3.92576E-4</c:v>
                </c:pt>
                <c:pt idx="46">
                  <c:v>3.95585E-4</c:v>
                </c:pt>
                <c:pt idx="47">
                  <c:v>3.98773E-4</c:v>
                </c:pt>
                <c:pt idx="48">
                  <c:v>4.0101399999999999E-4</c:v>
                </c:pt>
                <c:pt idx="49">
                  <c:v>4.0453899999999998E-4</c:v>
                </c:pt>
                <c:pt idx="50">
                  <c:v>4.0783099999999999E-4</c:v>
                </c:pt>
                <c:pt idx="51">
                  <c:v>4.1102700000000001E-4</c:v>
                </c:pt>
                <c:pt idx="52">
                  <c:v>4.1352700000000001E-4</c:v>
                </c:pt>
                <c:pt idx="53">
                  <c:v>4.1675000000000002E-4</c:v>
                </c:pt>
                <c:pt idx="54">
                  <c:v>4.2024100000000002E-4</c:v>
                </c:pt>
                <c:pt idx="55">
                  <c:v>4.2307400000000001E-4</c:v>
                </c:pt>
                <c:pt idx="56">
                  <c:v>4.2565000000000002E-4</c:v>
                </c:pt>
                <c:pt idx="57">
                  <c:v>4.2859799999999998E-4</c:v>
                </c:pt>
                <c:pt idx="58">
                  <c:v>4.3186599999999999E-4</c:v>
                </c:pt>
                <c:pt idx="59">
                  <c:v>4.3490500000000002E-4</c:v>
                </c:pt>
                <c:pt idx="60">
                  <c:v>4.3811499999999999E-4</c:v>
                </c:pt>
                <c:pt idx="61">
                  <c:v>4.4162999999999998E-4</c:v>
                </c:pt>
                <c:pt idx="62">
                  <c:v>4.4562999999999997E-4</c:v>
                </c:pt>
                <c:pt idx="63">
                  <c:v>4.4907500000000001E-4</c:v>
                </c:pt>
                <c:pt idx="64">
                  <c:v>4.5204700000000002E-4</c:v>
                </c:pt>
                <c:pt idx="65">
                  <c:v>4.5654700000000002E-4</c:v>
                </c:pt>
                <c:pt idx="66">
                  <c:v>4.6098999999999999E-4</c:v>
                </c:pt>
                <c:pt idx="67">
                  <c:v>4.6500900000000001E-4</c:v>
                </c:pt>
                <c:pt idx="68">
                  <c:v>4.8138000000000004E-6</c:v>
                </c:pt>
                <c:pt idx="69">
                  <c:v>4.7526E-6</c:v>
                </c:pt>
                <c:pt idx="70">
                  <c:v>4.69965E-6</c:v>
                </c:pt>
                <c:pt idx="71">
                  <c:v>4.64819E-6</c:v>
                </c:pt>
                <c:pt idx="72">
                  <c:v>4.6070199999999998E-6</c:v>
                </c:pt>
                <c:pt idx="73">
                  <c:v>4.5694900000000002E-6</c:v>
                </c:pt>
                <c:pt idx="74">
                  <c:v>4.53372E-6</c:v>
                </c:pt>
                <c:pt idx="75">
                  <c:v>4.5058299999999997E-6</c:v>
                </c:pt>
                <c:pt idx="76">
                  <c:v>4.4770999999999999E-6</c:v>
                </c:pt>
                <c:pt idx="77">
                  <c:v>4.4427699999999996E-6</c:v>
                </c:pt>
                <c:pt idx="78">
                  <c:v>3.6032300000000001E-4</c:v>
                </c:pt>
                <c:pt idx="79">
                  <c:v>3.74321E-4</c:v>
                </c:pt>
                <c:pt idx="80">
                  <c:v>3.8261099999999999E-4</c:v>
                </c:pt>
                <c:pt idx="81">
                  <c:v>3.9017400000000002E-4</c:v>
                </c:pt>
                <c:pt idx="82">
                  <c:v>3.9891900000000002E-4</c:v>
                </c:pt>
                <c:pt idx="83">
                  <c:v>4.0694100000000002E-4</c:v>
                </c:pt>
                <c:pt idx="84">
                  <c:v>4.1140099999999999E-4</c:v>
                </c:pt>
                <c:pt idx="85">
                  <c:v>4.1614499999999998E-4</c:v>
                </c:pt>
                <c:pt idx="86">
                  <c:v>4.2087E-4</c:v>
                </c:pt>
                <c:pt idx="87">
                  <c:v>4.2661400000000002E-4</c:v>
                </c:pt>
                <c:pt idx="88">
                  <c:v>4.30624E-4</c:v>
                </c:pt>
                <c:pt idx="89">
                  <c:v>4.3662799999999999E-4</c:v>
                </c:pt>
                <c:pt idx="90">
                  <c:v>4.4424800000000001E-4</c:v>
                </c:pt>
                <c:pt idx="91">
                  <c:v>4.51629E-4</c:v>
                </c:pt>
                <c:pt idx="92">
                  <c:v>4.5686099999999998E-4</c:v>
                </c:pt>
                <c:pt idx="93">
                  <c:v>4.6509600000000002E-4</c:v>
                </c:pt>
                <c:pt idx="94">
                  <c:v>4.7576500000000001E-4</c:v>
                </c:pt>
                <c:pt idx="95">
                  <c:v>4.8339100000000001E-4</c:v>
                </c:pt>
                <c:pt idx="96">
                  <c:v>4.9223400000000003E-4</c:v>
                </c:pt>
                <c:pt idx="97">
                  <c:v>5.0139399999999995E-4</c:v>
                </c:pt>
                <c:pt idx="98">
                  <c:v>5.1041400000000005E-4</c:v>
                </c:pt>
                <c:pt idx="99">
                  <c:v>5.1956799999999998E-4</c:v>
                </c:pt>
                <c:pt idx="100">
                  <c:v>5.2865099999999999E-4</c:v>
                </c:pt>
                <c:pt idx="101">
                  <c:v>5.3922900000000001E-4</c:v>
                </c:pt>
                <c:pt idx="102">
                  <c:v>5.5067699999999996E-4</c:v>
                </c:pt>
                <c:pt idx="103">
                  <c:v>5.5827299999999997E-4</c:v>
                </c:pt>
                <c:pt idx="104">
                  <c:v>5.6913500000000002E-4</c:v>
                </c:pt>
                <c:pt idx="105">
                  <c:v>5.8230399999999996E-4</c:v>
                </c:pt>
                <c:pt idx="106">
                  <c:v>5.9547400000000002E-4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CC-4C39-B7AD-C53098032927}"/>
            </c:ext>
          </c:extLst>
        </c:ser>
        <c:ser>
          <c:idx val="3"/>
          <c:order val="3"/>
          <c:tx>
            <c:strRef>
              <c:f>'NAD003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CC-4C39-B7AD-C53098032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33648"/>
        <c:axId val="1157486640"/>
      </c:scatterChart>
      <c:valAx>
        <c:axId val="116713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86640"/>
        <c:crosses val="autoZero"/>
        <c:crossBetween val="midCat"/>
      </c:valAx>
      <c:valAx>
        <c:axId val="1157486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P- 24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P- 24 hpi'!$C$3:$C$116</c:f>
              <c:numCache>
                <c:formatCode>General</c:formatCode>
                <c:ptCount val="114"/>
                <c:pt idx="0">
                  <c:v>1.96584E-4</c:v>
                </c:pt>
                <c:pt idx="1">
                  <c:v>1.9512800000000001E-4</c:v>
                </c:pt>
                <c:pt idx="2">
                  <c:v>1.94907E-4</c:v>
                </c:pt>
                <c:pt idx="3">
                  <c:v>1.9502399999999999E-4</c:v>
                </c:pt>
                <c:pt idx="4">
                  <c:v>1.93955E-4</c:v>
                </c:pt>
                <c:pt idx="5">
                  <c:v>1.9398500000000001E-4</c:v>
                </c:pt>
                <c:pt idx="6">
                  <c:v>1.9336399999999999E-4</c:v>
                </c:pt>
                <c:pt idx="7">
                  <c:v>1.9295099999999999E-4</c:v>
                </c:pt>
                <c:pt idx="8">
                  <c:v>1.92451E-4</c:v>
                </c:pt>
                <c:pt idx="9">
                  <c:v>1.9275999999999999E-4</c:v>
                </c:pt>
                <c:pt idx="10">
                  <c:v>1.9290999999999999E-4</c:v>
                </c:pt>
                <c:pt idx="11">
                  <c:v>1.9263400000000001E-4</c:v>
                </c:pt>
                <c:pt idx="12">
                  <c:v>1.9262899999999999E-4</c:v>
                </c:pt>
                <c:pt idx="13">
                  <c:v>1.9134100000000001E-4</c:v>
                </c:pt>
                <c:pt idx="14">
                  <c:v>1.9203800000000001E-4</c:v>
                </c:pt>
                <c:pt idx="15">
                  <c:v>1.9001599999999999E-4</c:v>
                </c:pt>
                <c:pt idx="16">
                  <c:v>1.92139E-4</c:v>
                </c:pt>
                <c:pt idx="17">
                  <c:v>1.9138299999999999E-4</c:v>
                </c:pt>
                <c:pt idx="18">
                  <c:v>1.91819E-4</c:v>
                </c:pt>
                <c:pt idx="19">
                  <c:v>1.91437E-4</c:v>
                </c:pt>
                <c:pt idx="20">
                  <c:v>1.91666E-4</c:v>
                </c:pt>
                <c:pt idx="21">
                  <c:v>1.91404E-4</c:v>
                </c:pt>
                <c:pt idx="22">
                  <c:v>1.9102999999999999E-4</c:v>
                </c:pt>
                <c:pt idx="23">
                  <c:v>1.90741E-4</c:v>
                </c:pt>
                <c:pt idx="24">
                  <c:v>1.9221E-4</c:v>
                </c:pt>
                <c:pt idx="25">
                  <c:v>1.9158900000000001E-4</c:v>
                </c:pt>
                <c:pt idx="26">
                  <c:v>1.9193500000000001E-4</c:v>
                </c:pt>
                <c:pt idx="27">
                  <c:v>1.92349E-4</c:v>
                </c:pt>
                <c:pt idx="28">
                  <c:v>1.9192999999999999E-4</c:v>
                </c:pt>
                <c:pt idx="29">
                  <c:v>2.8894099999999998E-5</c:v>
                </c:pt>
                <c:pt idx="30">
                  <c:v>2.8668799999999999E-5</c:v>
                </c:pt>
                <c:pt idx="31">
                  <c:v>2.83709E-5</c:v>
                </c:pt>
                <c:pt idx="32">
                  <c:v>2.8170500000000001E-5</c:v>
                </c:pt>
                <c:pt idx="33">
                  <c:v>2.79846E-5</c:v>
                </c:pt>
                <c:pt idx="34">
                  <c:v>2.7843599999999999E-5</c:v>
                </c:pt>
                <c:pt idx="35">
                  <c:v>2.76943E-5</c:v>
                </c:pt>
                <c:pt idx="36">
                  <c:v>2.75828E-5</c:v>
                </c:pt>
                <c:pt idx="37">
                  <c:v>2.7488399999999999E-5</c:v>
                </c:pt>
                <c:pt idx="38">
                  <c:v>2.73882E-5</c:v>
                </c:pt>
                <c:pt idx="39">
                  <c:v>1.76062E-4</c:v>
                </c:pt>
                <c:pt idx="40">
                  <c:v>1.7728700000000001E-4</c:v>
                </c:pt>
                <c:pt idx="41">
                  <c:v>1.7407800000000001E-4</c:v>
                </c:pt>
                <c:pt idx="42">
                  <c:v>1.7236399999999999E-4</c:v>
                </c:pt>
                <c:pt idx="43">
                  <c:v>1.6969700000000001E-4</c:v>
                </c:pt>
                <c:pt idx="44">
                  <c:v>1.69791E-4</c:v>
                </c:pt>
                <c:pt idx="45">
                  <c:v>1.69853E-4</c:v>
                </c:pt>
                <c:pt idx="46">
                  <c:v>1.7107E-4</c:v>
                </c:pt>
                <c:pt idx="47">
                  <c:v>1.7143E-4</c:v>
                </c:pt>
                <c:pt idx="48">
                  <c:v>1.7132000000000001E-4</c:v>
                </c:pt>
                <c:pt idx="49">
                  <c:v>1.7012900000000001E-4</c:v>
                </c:pt>
                <c:pt idx="50">
                  <c:v>1.6917399999999999E-4</c:v>
                </c:pt>
                <c:pt idx="51">
                  <c:v>1.67768E-4</c:v>
                </c:pt>
                <c:pt idx="52">
                  <c:v>1.68417E-4</c:v>
                </c:pt>
                <c:pt idx="53">
                  <c:v>1.68634E-4</c:v>
                </c:pt>
                <c:pt idx="54">
                  <c:v>1.6978699999999999E-4</c:v>
                </c:pt>
                <c:pt idx="55">
                  <c:v>1.7088499999999999E-4</c:v>
                </c:pt>
                <c:pt idx="56">
                  <c:v>1.7060600000000001E-4</c:v>
                </c:pt>
                <c:pt idx="57">
                  <c:v>1.7070400000000001E-4</c:v>
                </c:pt>
                <c:pt idx="58">
                  <c:v>1.6996099999999999E-4</c:v>
                </c:pt>
                <c:pt idx="59">
                  <c:v>1.6993999999999999E-4</c:v>
                </c:pt>
                <c:pt idx="60">
                  <c:v>1.6961600000000001E-4</c:v>
                </c:pt>
                <c:pt idx="61">
                  <c:v>1.6944E-4</c:v>
                </c:pt>
                <c:pt idx="62">
                  <c:v>1.7044099999999999E-4</c:v>
                </c:pt>
                <c:pt idx="63">
                  <c:v>1.7161800000000001E-4</c:v>
                </c:pt>
                <c:pt idx="64">
                  <c:v>1.72378E-4</c:v>
                </c:pt>
                <c:pt idx="65">
                  <c:v>1.73559E-4</c:v>
                </c:pt>
                <c:pt idx="66">
                  <c:v>1.72189E-4</c:v>
                </c:pt>
                <c:pt idx="67">
                  <c:v>1.7240300000000001E-4</c:v>
                </c:pt>
                <c:pt idx="68">
                  <c:v>2.6967699999999999E-5</c:v>
                </c:pt>
                <c:pt idx="69">
                  <c:v>2.70315E-5</c:v>
                </c:pt>
                <c:pt idx="70">
                  <c:v>2.6997600000000001E-5</c:v>
                </c:pt>
                <c:pt idx="71">
                  <c:v>2.69758E-5</c:v>
                </c:pt>
                <c:pt idx="72">
                  <c:v>2.6950699999999999E-5</c:v>
                </c:pt>
                <c:pt idx="73">
                  <c:v>2.69449E-5</c:v>
                </c:pt>
                <c:pt idx="74">
                  <c:v>2.69278E-5</c:v>
                </c:pt>
                <c:pt idx="75">
                  <c:v>2.6921199999999999E-5</c:v>
                </c:pt>
                <c:pt idx="76">
                  <c:v>2.69076E-5</c:v>
                </c:pt>
                <c:pt idx="77">
                  <c:v>2.6882299999999998E-5</c:v>
                </c:pt>
                <c:pt idx="78">
                  <c:v>1.6684600000000001E-4</c:v>
                </c:pt>
                <c:pt idx="79">
                  <c:v>1.68827E-4</c:v>
                </c:pt>
                <c:pt idx="80">
                  <c:v>1.6837800000000001E-4</c:v>
                </c:pt>
                <c:pt idx="81">
                  <c:v>1.6866099999999999E-4</c:v>
                </c:pt>
                <c:pt idx="82">
                  <c:v>1.6683400000000001E-4</c:v>
                </c:pt>
                <c:pt idx="83">
                  <c:v>1.6647499999999999E-4</c:v>
                </c:pt>
                <c:pt idx="84">
                  <c:v>1.66856E-4</c:v>
                </c:pt>
                <c:pt idx="85">
                  <c:v>1.6672900000000001E-4</c:v>
                </c:pt>
                <c:pt idx="86">
                  <c:v>1.6744000000000001E-4</c:v>
                </c:pt>
                <c:pt idx="87">
                  <c:v>1.67987E-4</c:v>
                </c:pt>
                <c:pt idx="88">
                  <c:v>1.67761E-4</c:v>
                </c:pt>
                <c:pt idx="89">
                  <c:v>1.6712199999999999E-4</c:v>
                </c:pt>
                <c:pt idx="90">
                  <c:v>1.6805499999999999E-4</c:v>
                </c:pt>
                <c:pt idx="91">
                  <c:v>1.66751E-4</c:v>
                </c:pt>
                <c:pt idx="92">
                  <c:v>1.6745200000000001E-4</c:v>
                </c:pt>
                <c:pt idx="93">
                  <c:v>1.6823399999999999E-4</c:v>
                </c:pt>
                <c:pt idx="94">
                  <c:v>1.69104E-4</c:v>
                </c:pt>
                <c:pt idx="95">
                  <c:v>1.6945E-4</c:v>
                </c:pt>
                <c:pt idx="96">
                  <c:v>1.6933200000000001E-4</c:v>
                </c:pt>
                <c:pt idx="97">
                  <c:v>1.6929400000000001E-4</c:v>
                </c:pt>
                <c:pt idx="98">
                  <c:v>1.6944400000000001E-4</c:v>
                </c:pt>
                <c:pt idx="99">
                  <c:v>1.7028900000000001E-4</c:v>
                </c:pt>
                <c:pt idx="100">
                  <c:v>1.7138400000000001E-4</c:v>
                </c:pt>
                <c:pt idx="101">
                  <c:v>1.7027700000000001E-4</c:v>
                </c:pt>
                <c:pt idx="102">
                  <c:v>1.70769E-4</c:v>
                </c:pt>
                <c:pt idx="103">
                  <c:v>1.7095000000000001E-4</c:v>
                </c:pt>
                <c:pt idx="104">
                  <c:v>1.7179599999999999E-4</c:v>
                </c:pt>
                <c:pt idx="105">
                  <c:v>1.7194500000000001E-4</c:v>
                </c:pt>
                <c:pt idx="106">
                  <c:v>1.7222900000000001E-4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4-4DC3-90BD-A330B5F26CB6}"/>
            </c:ext>
          </c:extLst>
        </c:ser>
        <c:ser>
          <c:idx val="1"/>
          <c:order val="1"/>
          <c:tx>
            <c:strRef>
              <c:f>'NAD003 P- 24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P- 24 hpi'!$H$3:$H$124</c:f>
              <c:numCache>
                <c:formatCode>0.00E+00</c:formatCode>
                <c:ptCount val="122"/>
                <c:pt idx="0">
                  <c:v>1.6934200000000001E-4</c:v>
                </c:pt>
                <c:pt idx="1">
                  <c:v>1.6848399999999999E-4</c:v>
                </c:pt>
                <c:pt idx="2">
                  <c:v>1.6778799999999999E-4</c:v>
                </c:pt>
                <c:pt idx="3">
                  <c:v>1.66902E-4</c:v>
                </c:pt>
                <c:pt idx="4">
                  <c:v>1.6666599999999999E-4</c:v>
                </c:pt>
                <c:pt idx="5">
                  <c:v>1.6577900000000001E-4</c:v>
                </c:pt>
                <c:pt idx="6">
                  <c:v>1.6513699999999999E-4</c:v>
                </c:pt>
                <c:pt idx="7">
                  <c:v>1.64926E-4</c:v>
                </c:pt>
                <c:pt idx="8">
                  <c:v>1.6518300000000001E-4</c:v>
                </c:pt>
                <c:pt idx="9">
                  <c:v>1.6464299999999999E-4</c:v>
                </c:pt>
                <c:pt idx="10">
                  <c:v>1.6485999999999999E-4</c:v>
                </c:pt>
                <c:pt idx="11">
                  <c:v>1.6499799999999999E-4</c:v>
                </c:pt>
                <c:pt idx="12">
                  <c:v>1.6469600000000001E-4</c:v>
                </c:pt>
                <c:pt idx="13">
                  <c:v>1.64487E-4</c:v>
                </c:pt>
                <c:pt idx="14">
                  <c:v>1.6396999999999999E-4</c:v>
                </c:pt>
                <c:pt idx="15">
                  <c:v>1.6499200000000001E-4</c:v>
                </c:pt>
                <c:pt idx="16">
                  <c:v>1.64034E-4</c:v>
                </c:pt>
                <c:pt idx="17">
                  <c:v>1.64177E-4</c:v>
                </c:pt>
                <c:pt idx="18">
                  <c:v>1.64671E-4</c:v>
                </c:pt>
                <c:pt idx="19">
                  <c:v>1.65833E-4</c:v>
                </c:pt>
                <c:pt idx="20">
                  <c:v>1.64993E-4</c:v>
                </c:pt>
                <c:pt idx="21">
                  <c:v>1.65038E-4</c:v>
                </c:pt>
                <c:pt idx="22">
                  <c:v>1.65768E-4</c:v>
                </c:pt>
                <c:pt idx="23">
                  <c:v>1.6674800000000001E-4</c:v>
                </c:pt>
                <c:pt idx="24">
                  <c:v>1.6622300000000001E-4</c:v>
                </c:pt>
                <c:pt idx="25">
                  <c:v>1.6712300000000001E-4</c:v>
                </c:pt>
                <c:pt idx="26">
                  <c:v>1.68529E-4</c:v>
                </c:pt>
                <c:pt idx="27">
                  <c:v>1.68918E-4</c:v>
                </c:pt>
                <c:pt idx="28">
                  <c:v>1.6978699999999999E-4</c:v>
                </c:pt>
                <c:pt idx="29">
                  <c:v>2.9859500000000001E-5</c:v>
                </c:pt>
                <c:pt idx="30">
                  <c:v>2.94726E-5</c:v>
                </c:pt>
                <c:pt idx="31">
                  <c:v>2.9016499999999999E-5</c:v>
                </c:pt>
                <c:pt idx="32">
                  <c:v>2.8629800000000002E-5</c:v>
                </c:pt>
                <c:pt idx="33">
                  <c:v>2.83588E-5</c:v>
                </c:pt>
                <c:pt idx="34">
                  <c:v>2.7842299999999999E-5</c:v>
                </c:pt>
                <c:pt idx="35">
                  <c:v>2.75321E-5</c:v>
                </c:pt>
                <c:pt idx="36">
                  <c:v>2.72663E-5</c:v>
                </c:pt>
                <c:pt idx="37">
                  <c:v>2.71424E-5</c:v>
                </c:pt>
                <c:pt idx="38">
                  <c:v>2.7001499999999999E-5</c:v>
                </c:pt>
                <c:pt idx="39">
                  <c:v>1.42571E-4</c:v>
                </c:pt>
                <c:pt idx="40">
                  <c:v>1.4075399999999999E-4</c:v>
                </c:pt>
                <c:pt idx="41">
                  <c:v>1.3779299999999999E-4</c:v>
                </c:pt>
                <c:pt idx="42">
                  <c:v>1.34599E-4</c:v>
                </c:pt>
                <c:pt idx="43">
                  <c:v>1.3397100000000001E-4</c:v>
                </c:pt>
                <c:pt idx="44">
                  <c:v>1.3254E-4</c:v>
                </c:pt>
                <c:pt idx="45">
                  <c:v>1.3286299999999999E-4</c:v>
                </c:pt>
                <c:pt idx="46">
                  <c:v>1.3374200000000001E-4</c:v>
                </c:pt>
                <c:pt idx="47">
                  <c:v>1.3317599999999999E-4</c:v>
                </c:pt>
                <c:pt idx="48">
                  <c:v>1.3300700000000001E-4</c:v>
                </c:pt>
                <c:pt idx="49">
                  <c:v>1.3284700000000001E-4</c:v>
                </c:pt>
                <c:pt idx="50">
                  <c:v>1.3274200000000001E-4</c:v>
                </c:pt>
                <c:pt idx="51">
                  <c:v>1.3304899999999999E-4</c:v>
                </c:pt>
                <c:pt idx="52">
                  <c:v>1.3327900000000001E-4</c:v>
                </c:pt>
                <c:pt idx="53">
                  <c:v>1.34041E-4</c:v>
                </c:pt>
                <c:pt idx="54">
                  <c:v>1.3390099999999999E-4</c:v>
                </c:pt>
                <c:pt idx="55">
                  <c:v>1.3510099999999999E-4</c:v>
                </c:pt>
                <c:pt idx="56">
                  <c:v>1.36596E-4</c:v>
                </c:pt>
                <c:pt idx="57">
                  <c:v>1.3645700000000001E-4</c:v>
                </c:pt>
                <c:pt idx="58">
                  <c:v>1.3651200000000001E-4</c:v>
                </c:pt>
                <c:pt idx="59">
                  <c:v>1.3662599999999999E-4</c:v>
                </c:pt>
                <c:pt idx="60">
                  <c:v>1.3726499999999999E-4</c:v>
                </c:pt>
                <c:pt idx="61">
                  <c:v>1.37553E-4</c:v>
                </c:pt>
                <c:pt idx="62">
                  <c:v>1.3905100000000001E-4</c:v>
                </c:pt>
                <c:pt idx="63">
                  <c:v>1.404E-4</c:v>
                </c:pt>
                <c:pt idx="64">
                  <c:v>1.3987599999999999E-4</c:v>
                </c:pt>
                <c:pt idx="65">
                  <c:v>1.4027399999999999E-4</c:v>
                </c:pt>
                <c:pt idx="66">
                  <c:v>1.41173E-4</c:v>
                </c:pt>
                <c:pt idx="67">
                  <c:v>1.41576E-4</c:v>
                </c:pt>
                <c:pt idx="68">
                  <c:v>2.6194E-5</c:v>
                </c:pt>
                <c:pt idx="69">
                  <c:v>2.6174899999999999E-5</c:v>
                </c:pt>
                <c:pt idx="70">
                  <c:v>2.63701E-5</c:v>
                </c:pt>
                <c:pt idx="71">
                  <c:v>2.6091299999999999E-5</c:v>
                </c:pt>
                <c:pt idx="72">
                  <c:v>2.60379E-5</c:v>
                </c:pt>
                <c:pt idx="73">
                  <c:v>2.5983499999999999E-5</c:v>
                </c:pt>
                <c:pt idx="74">
                  <c:v>2.5933500000000002E-5</c:v>
                </c:pt>
                <c:pt idx="75">
                  <c:v>2.58726E-5</c:v>
                </c:pt>
                <c:pt idx="76">
                  <c:v>2.5818800000000001E-5</c:v>
                </c:pt>
                <c:pt idx="77">
                  <c:v>2.58044E-5</c:v>
                </c:pt>
                <c:pt idx="78">
                  <c:v>1.50116E-4</c:v>
                </c:pt>
                <c:pt idx="79">
                  <c:v>1.4948000000000001E-4</c:v>
                </c:pt>
                <c:pt idx="80">
                  <c:v>1.47925E-4</c:v>
                </c:pt>
                <c:pt idx="81">
                  <c:v>1.4569299999999999E-4</c:v>
                </c:pt>
                <c:pt idx="82">
                  <c:v>1.4405200000000001E-4</c:v>
                </c:pt>
                <c:pt idx="83">
                  <c:v>1.45914E-4</c:v>
                </c:pt>
                <c:pt idx="84">
                  <c:v>1.4730099999999999E-4</c:v>
                </c:pt>
                <c:pt idx="85">
                  <c:v>1.4803099999999999E-4</c:v>
                </c:pt>
                <c:pt idx="86">
                  <c:v>1.4981E-4</c:v>
                </c:pt>
                <c:pt idx="87">
                  <c:v>1.5060099999999999E-4</c:v>
                </c:pt>
                <c:pt idx="88">
                  <c:v>1.5108499999999999E-4</c:v>
                </c:pt>
                <c:pt idx="89">
                  <c:v>1.49541E-4</c:v>
                </c:pt>
                <c:pt idx="90">
                  <c:v>1.49672E-4</c:v>
                </c:pt>
                <c:pt idx="91">
                  <c:v>1.5189500000000001E-4</c:v>
                </c:pt>
                <c:pt idx="92">
                  <c:v>1.5334100000000001E-4</c:v>
                </c:pt>
                <c:pt idx="93">
                  <c:v>1.5378500000000001E-4</c:v>
                </c:pt>
                <c:pt idx="94">
                  <c:v>1.5508300000000001E-4</c:v>
                </c:pt>
                <c:pt idx="95">
                  <c:v>1.5658499999999999E-4</c:v>
                </c:pt>
                <c:pt idx="96">
                  <c:v>1.5877600000000001E-4</c:v>
                </c:pt>
                <c:pt idx="97">
                  <c:v>1.59462E-4</c:v>
                </c:pt>
                <c:pt idx="98">
                  <c:v>1.6002E-4</c:v>
                </c:pt>
                <c:pt idx="99">
                  <c:v>1.6298699999999999E-4</c:v>
                </c:pt>
                <c:pt idx="100">
                  <c:v>1.64788E-4</c:v>
                </c:pt>
                <c:pt idx="101">
                  <c:v>1.6521400000000001E-4</c:v>
                </c:pt>
                <c:pt idx="102">
                  <c:v>1.6778499999999999E-4</c:v>
                </c:pt>
                <c:pt idx="103">
                  <c:v>1.6917599999999999E-4</c:v>
                </c:pt>
                <c:pt idx="104">
                  <c:v>1.7173899999999999E-4</c:v>
                </c:pt>
                <c:pt idx="105">
                  <c:v>1.7349800000000001E-4</c:v>
                </c:pt>
                <c:pt idx="106">
                  <c:v>1.74289E-4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94-4DC3-90BD-A330B5F26CB6}"/>
            </c:ext>
          </c:extLst>
        </c:ser>
        <c:ser>
          <c:idx val="2"/>
          <c:order val="2"/>
          <c:tx>
            <c:strRef>
              <c:f>'NAD003 P- 24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P- 24 hpi'!$M$3:$M$124</c:f>
              <c:numCache>
                <c:formatCode>0.00E+00</c:formatCode>
                <c:ptCount val="122"/>
                <c:pt idx="0">
                  <c:v>1.0382699999999999E-4</c:v>
                </c:pt>
                <c:pt idx="1">
                  <c:v>1.0381E-4</c:v>
                </c:pt>
                <c:pt idx="2">
                  <c:v>1.03698E-4</c:v>
                </c:pt>
                <c:pt idx="3">
                  <c:v>1.0326E-4</c:v>
                </c:pt>
                <c:pt idx="4">
                  <c:v>1.03189E-4</c:v>
                </c:pt>
                <c:pt idx="5">
                  <c:v>1.0309100000000001E-4</c:v>
                </c:pt>
                <c:pt idx="6">
                  <c:v>1.02969E-4</c:v>
                </c:pt>
                <c:pt idx="7">
                  <c:v>1.0276999999999999E-4</c:v>
                </c:pt>
                <c:pt idx="8">
                  <c:v>1.02709E-4</c:v>
                </c:pt>
                <c:pt idx="9">
                  <c:v>1.03173E-4</c:v>
                </c:pt>
                <c:pt idx="10">
                  <c:v>1.0296700000000001E-4</c:v>
                </c:pt>
                <c:pt idx="11">
                  <c:v>1.03053E-4</c:v>
                </c:pt>
                <c:pt idx="12">
                  <c:v>1.0297399999999999E-4</c:v>
                </c:pt>
                <c:pt idx="13">
                  <c:v>1.02873E-4</c:v>
                </c:pt>
                <c:pt idx="14">
                  <c:v>1.03275E-4</c:v>
                </c:pt>
                <c:pt idx="15">
                  <c:v>1.03293E-4</c:v>
                </c:pt>
                <c:pt idx="16">
                  <c:v>1.0369000000000001E-4</c:v>
                </c:pt>
                <c:pt idx="17">
                  <c:v>1.0293600000000001E-4</c:v>
                </c:pt>
                <c:pt idx="18">
                  <c:v>1.03414E-4</c:v>
                </c:pt>
                <c:pt idx="19">
                  <c:v>1.03418E-4</c:v>
                </c:pt>
                <c:pt idx="20">
                  <c:v>1.03764E-4</c:v>
                </c:pt>
                <c:pt idx="21">
                  <c:v>1.04517E-4</c:v>
                </c:pt>
                <c:pt idx="22">
                  <c:v>1.04672E-4</c:v>
                </c:pt>
                <c:pt idx="23">
                  <c:v>1.04613E-4</c:v>
                </c:pt>
                <c:pt idx="24">
                  <c:v>1.04942E-4</c:v>
                </c:pt>
                <c:pt idx="25">
                  <c:v>1.0563799999999999E-4</c:v>
                </c:pt>
                <c:pt idx="26">
                  <c:v>1.0579899999999999E-4</c:v>
                </c:pt>
                <c:pt idx="27">
                  <c:v>1.0641600000000001E-4</c:v>
                </c:pt>
                <c:pt idx="28">
                  <c:v>1.0756600000000001E-4</c:v>
                </c:pt>
                <c:pt idx="29">
                  <c:v>2.1939699999999999E-5</c:v>
                </c:pt>
                <c:pt idx="30">
                  <c:v>2.1589800000000001E-5</c:v>
                </c:pt>
                <c:pt idx="31">
                  <c:v>2.1288600000000001E-5</c:v>
                </c:pt>
                <c:pt idx="32">
                  <c:v>2.10745E-5</c:v>
                </c:pt>
                <c:pt idx="33">
                  <c:v>2.0907299999999999E-5</c:v>
                </c:pt>
                <c:pt idx="34">
                  <c:v>2.07531E-5</c:v>
                </c:pt>
                <c:pt idx="35">
                  <c:v>2.0628600000000001E-5</c:v>
                </c:pt>
                <c:pt idx="36">
                  <c:v>2.0525100000000001E-5</c:v>
                </c:pt>
                <c:pt idx="37">
                  <c:v>2.0433700000000001E-5</c:v>
                </c:pt>
                <c:pt idx="38">
                  <c:v>2.03485E-5</c:v>
                </c:pt>
                <c:pt idx="39">
                  <c:v>1.0129899999999999E-4</c:v>
                </c:pt>
                <c:pt idx="40">
                  <c:v>9.9547099999999994E-5</c:v>
                </c:pt>
                <c:pt idx="41">
                  <c:v>9.6777300000000006E-5</c:v>
                </c:pt>
                <c:pt idx="42">
                  <c:v>9.4707600000000001E-5</c:v>
                </c:pt>
                <c:pt idx="43">
                  <c:v>9.2996699999999997E-5</c:v>
                </c:pt>
                <c:pt idx="44">
                  <c:v>9.2595499999999998E-5</c:v>
                </c:pt>
                <c:pt idx="45">
                  <c:v>9.2908500000000007E-5</c:v>
                </c:pt>
                <c:pt idx="46">
                  <c:v>9.2670400000000006E-5</c:v>
                </c:pt>
                <c:pt idx="47">
                  <c:v>9.3037199999999998E-5</c:v>
                </c:pt>
                <c:pt idx="48">
                  <c:v>9.3171999999999995E-5</c:v>
                </c:pt>
                <c:pt idx="49">
                  <c:v>9.31806E-5</c:v>
                </c:pt>
                <c:pt idx="50">
                  <c:v>9.2634999999999997E-5</c:v>
                </c:pt>
                <c:pt idx="51">
                  <c:v>9.2914100000000005E-5</c:v>
                </c:pt>
                <c:pt idx="52">
                  <c:v>9.3265399999999996E-5</c:v>
                </c:pt>
                <c:pt idx="53">
                  <c:v>9.4199999999999999E-5</c:v>
                </c:pt>
                <c:pt idx="54">
                  <c:v>9.4362499999999997E-5</c:v>
                </c:pt>
                <c:pt idx="55">
                  <c:v>9.5051300000000003E-5</c:v>
                </c:pt>
                <c:pt idx="56">
                  <c:v>9.59773E-5</c:v>
                </c:pt>
                <c:pt idx="57">
                  <c:v>9.6127300000000004E-5</c:v>
                </c:pt>
                <c:pt idx="58">
                  <c:v>9.5884299999999999E-5</c:v>
                </c:pt>
                <c:pt idx="59">
                  <c:v>9.5916700000000003E-5</c:v>
                </c:pt>
                <c:pt idx="60">
                  <c:v>9.7151799999999994E-5</c:v>
                </c:pt>
                <c:pt idx="61">
                  <c:v>9.7282199999999995E-5</c:v>
                </c:pt>
                <c:pt idx="62">
                  <c:v>9.7969700000000005E-5</c:v>
                </c:pt>
                <c:pt idx="63">
                  <c:v>9.8260799999999999E-5</c:v>
                </c:pt>
                <c:pt idx="64">
                  <c:v>9.9995100000000001E-5</c:v>
                </c:pt>
                <c:pt idx="65">
                  <c:v>1.00531E-4</c:v>
                </c:pt>
                <c:pt idx="66">
                  <c:v>1.00484E-4</c:v>
                </c:pt>
                <c:pt idx="67">
                  <c:v>1.01105E-4</c:v>
                </c:pt>
                <c:pt idx="68">
                  <c:v>2.0239599999999998E-5</c:v>
                </c:pt>
                <c:pt idx="69">
                  <c:v>2.01601E-5</c:v>
                </c:pt>
                <c:pt idx="70">
                  <c:v>2.0090700000000001E-5</c:v>
                </c:pt>
                <c:pt idx="71">
                  <c:v>2.0051399999999999E-5</c:v>
                </c:pt>
                <c:pt idx="72">
                  <c:v>2.0012799999999999E-5</c:v>
                </c:pt>
                <c:pt idx="73">
                  <c:v>1.9979E-5</c:v>
                </c:pt>
                <c:pt idx="74">
                  <c:v>1.99326E-5</c:v>
                </c:pt>
                <c:pt idx="75">
                  <c:v>1.99284E-5</c:v>
                </c:pt>
                <c:pt idx="76">
                  <c:v>1.9906299999999999E-5</c:v>
                </c:pt>
                <c:pt idx="77">
                  <c:v>1.98882E-5</c:v>
                </c:pt>
                <c:pt idx="78">
                  <c:v>1.07648E-4</c:v>
                </c:pt>
                <c:pt idx="79">
                  <c:v>1.05868E-4</c:v>
                </c:pt>
                <c:pt idx="80">
                  <c:v>1.03453E-4</c:v>
                </c:pt>
                <c:pt idx="81">
                  <c:v>1.01813E-4</c:v>
                </c:pt>
                <c:pt idx="82">
                  <c:v>1.01345E-4</c:v>
                </c:pt>
                <c:pt idx="83">
                  <c:v>1.0155E-4</c:v>
                </c:pt>
                <c:pt idx="84">
                  <c:v>1.03137E-4</c:v>
                </c:pt>
                <c:pt idx="85">
                  <c:v>1.05561E-4</c:v>
                </c:pt>
                <c:pt idx="86">
                  <c:v>1.05424E-4</c:v>
                </c:pt>
                <c:pt idx="87">
                  <c:v>1.05025E-4</c:v>
                </c:pt>
                <c:pt idx="88">
                  <c:v>1.04737E-4</c:v>
                </c:pt>
                <c:pt idx="89">
                  <c:v>1.05054E-4</c:v>
                </c:pt>
                <c:pt idx="90">
                  <c:v>1.04965E-4</c:v>
                </c:pt>
                <c:pt idx="91">
                  <c:v>1.04695E-4</c:v>
                </c:pt>
                <c:pt idx="92">
                  <c:v>1.06857E-4</c:v>
                </c:pt>
                <c:pt idx="93">
                  <c:v>1.08702E-4</c:v>
                </c:pt>
                <c:pt idx="94">
                  <c:v>1.09165E-4</c:v>
                </c:pt>
                <c:pt idx="95">
                  <c:v>1.10048E-4</c:v>
                </c:pt>
                <c:pt idx="96">
                  <c:v>1.10282E-4</c:v>
                </c:pt>
                <c:pt idx="97">
                  <c:v>1.12129E-4</c:v>
                </c:pt>
                <c:pt idx="98">
                  <c:v>1.12895E-4</c:v>
                </c:pt>
                <c:pt idx="99">
                  <c:v>1.13293E-4</c:v>
                </c:pt>
                <c:pt idx="100">
                  <c:v>1.15986E-4</c:v>
                </c:pt>
                <c:pt idx="101">
                  <c:v>1.1616E-4</c:v>
                </c:pt>
                <c:pt idx="102">
                  <c:v>1.16537E-4</c:v>
                </c:pt>
                <c:pt idx="103">
                  <c:v>1.17922E-4</c:v>
                </c:pt>
                <c:pt idx="104">
                  <c:v>1.19911E-4</c:v>
                </c:pt>
                <c:pt idx="105">
                  <c:v>1.22872E-4</c:v>
                </c:pt>
                <c:pt idx="106">
                  <c:v>1.2326000000000001E-4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94-4DC3-90BD-A330B5F26CB6}"/>
            </c:ext>
          </c:extLst>
        </c:ser>
        <c:ser>
          <c:idx val="3"/>
          <c:order val="3"/>
          <c:tx>
            <c:strRef>
              <c:f>'NAD003 P- 72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94-4DC3-90BD-A330B5F26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33552"/>
        <c:axId val="1130063696"/>
      </c:scatterChart>
      <c:valAx>
        <c:axId val="11295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3696"/>
        <c:crosses val="autoZero"/>
        <c:crossBetween val="midCat"/>
      </c:valAx>
      <c:valAx>
        <c:axId val="1130063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P- 24 hpi'!$Q$1:$Q$2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P- 24 hpi'!$Q$3:$Q$132</c:f>
              <c:numCache>
                <c:formatCode>General</c:formatCode>
                <c:ptCount val="130"/>
                <c:pt idx="0">
                  <c:v>8.7005633333333329E-4</c:v>
                </c:pt>
                <c:pt idx="1">
                  <c:v>8.7318833333333327E-4</c:v>
                </c:pt>
                <c:pt idx="2">
                  <c:v>8.7536966666666661E-4</c:v>
                </c:pt>
                <c:pt idx="3">
                  <c:v>8.7782699999999997E-4</c:v>
                </c:pt>
                <c:pt idx="4">
                  <c:v>8.797113333333333E-4</c:v>
                </c:pt>
                <c:pt idx="5">
                  <c:v>8.8132666666666663E-4</c:v>
                </c:pt>
                <c:pt idx="6">
                  <c:v>8.8256033333333338E-4</c:v>
                </c:pt>
                <c:pt idx="7">
                  <c:v>8.8385566666666665E-4</c:v>
                </c:pt>
                <c:pt idx="8">
                  <c:v>8.8481966666666687E-4</c:v>
                </c:pt>
                <c:pt idx="9">
                  <c:v>8.8619100000000004E-4</c:v>
                </c:pt>
                <c:pt idx="10">
                  <c:v>8.8653700000000007E-4</c:v>
                </c:pt>
                <c:pt idx="11">
                  <c:v>8.8694933333333321E-4</c:v>
                </c:pt>
                <c:pt idx="12">
                  <c:v>8.8777799999999998E-4</c:v>
                </c:pt>
                <c:pt idx="13">
                  <c:v>8.8939133333333328E-4</c:v>
                </c:pt>
                <c:pt idx="14">
                  <c:v>8.8965133333333325E-4</c:v>
                </c:pt>
                <c:pt idx="15">
                  <c:v>8.9019200000000004E-4</c:v>
                </c:pt>
                <c:pt idx="16">
                  <c:v>8.9177933333333336E-4</c:v>
                </c:pt>
                <c:pt idx="17">
                  <c:v>8.9336199999999998E-4</c:v>
                </c:pt>
                <c:pt idx="18">
                  <c:v>8.9444800000000005E-4</c:v>
                </c:pt>
                <c:pt idx="19">
                  <c:v>8.961613333333334E-4</c:v>
                </c:pt>
                <c:pt idx="20">
                  <c:v>8.9786866666666644E-4</c:v>
                </c:pt>
                <c:pt idx="21">
                  <c:v>9.0011033333333324E-4</c:v>
                </c:pt>
                <c:pt idx="22">
                  <c:v>9.0278366666666663E-4</c:v>
                </c:pt>
                <c:pt idx="23">
                  <c:v>9.0477233333333335E-4</c:v>
                </c:pt>
                <c:pt idx="24">
                  <c:v>9.0831700000000007E-4</c:v>
                </c:pt>
                <c:pt idx="25">
                  <c:v>9.1168433333333333E-4</c:v>
                </c:pt>
                <c:pt idx="26">
                  <c:v>9.1385800000000003E-4</c:v>
                </c:pt>
                <c:pt idx="27">
                  <c:v>9.1840699999999999E-4</c:v>
                </c:pt>
                <c:pt idx="28">
                  <c:v>9.2300699999999999E-4</c:v>
                </c:pt>
                <c:pt idx="29">
                  <c:v>5.1550766666666673E-6</c:v>
                </c:pt>
                <c:pt idx="30">
                  <c:v>5.0311466666666663E-6</c:v>
                </c:pt>
                <c:pt idx="31">
                  <c:v>4.8924100000000006E-6</c:v>
                </c:pt>
                <c:pt idx="32">
                  <c:v>4.7659366666666668E-6</c:v>
                </c:pt>
                <c:pt idx="33">
                  <c:v>4.6760900000000002E-6</c:v>
                </c:pt>
                <c:pt idx="34">
                  <c:v>4.5827366666666666E-6</c:v>
                </c:pt>
                <c:pt idx="35">
                  <c:v>4.5070466666666665E-6</c:v>
                </c:pt>
                <c:pt idx="36">
                  <c:v>4.4414466666666666E-6</c:v>
                </c:pt>
                <c:pt idx="37">
                  <c:v>4.3818766666666668E-6</c:v>
                </c:pt>
                <c:pt idx="38">
                  <c:v>4.3271500000000006E-6</c:v>
                </c:pt>
                <c:pt idx="39">
                  <c:v>5.8041899999999999E-4</c:v>
                </c:pt>
                <c:pt idx="40">
                  <c:v>5.9772899999999997E-4</c:v>
                </c:pt>
                <c:pt idx="41">
                  <c:v>6.0843300000000002E-4</c:v>
                </c:pt>
                <c:pt idx="42">
                  <c:v>6.1643866666666661E-4</c:v>
                </c:pt>
                <c:pt idx="43">
                  <c:v>6.2324466666666665E-4</c:v>
                </c:pt>
                <c:pt idx="44">
                  <c:v>6.2886799999999998E-4</c:v>
                </c:pt>
                <c:pt idx="45">
                  <c:v>6.3339099999999997E-4</c:v>
                </c:pt>
                <c:pt idx="46">
                  <c:v>6.3676333333333331E-4</c:v>
                </c:pt>
                <c:pt idx="47">
                  <c:v>6.3955100000000003E-4</c:v>
                </c:pt>
                <c:pt idx="48">
                  <c:v>6.4231199999999992E-4</c:v>
                </c:pt>
                <c:pt idx="49">
                  <c:v>6.4560099999999999E-4</c:v>
                </c:pt>
                <c:pt idx="50">
                  <c:v>6.4831933333333333E-4</c:v>
                </c:pt>
                <c:pt idx="51">
                  <c:v>6.5147733333333329E-4</c:v>
                </c:pt>
                <c:pt idx="52">
                  <c:v>6.5467100000000001E-4</c:v>
                </c:pt>
                <c:pt idx="53">
                  <c:v>6.5832266666666667E-4</c:v>
                </c:pt>
                <c:pt idx="54">
                  <c:v>6.6030400000000001E-4</c:v>
                </c:pt>
                <c:pt idx="55">
                  <c:v>6.6318033333333335E-4</c:v>
                </c:pt>
                <c:pt idx="56">
                  <c:v>6.6572633333333332E-4</c:v>
                </c:pt>
                <c:pt idx="57">
                  <c:v>6.6807666666666673E-4</c:v>
                </c:pt>
                <c:pt idx="58">
                  <c:v>6.711186666666667E-4</c:v>
                </c:pt>
                <c:pt idx="59">
                  <c:v>6.7281933333333344E-4</c:v>
                </c:pt>
                <c:pt idx="60">
                  <c:v>6.7679166666666669E-4</c:v>
                </c:pt>
                <c:pt idx="61">
                  <c:v>6.8027833333333336E-4</c:v>
                </c:pt>
                <c:pt idx="62">
                  <c:v>6.8359033333333325E-4</c:v>
                </c:pt>
                <c:pt idx="63">
                  <c:v>6.8603266666666669E-4</c:v>
                </c:pt>
                <c:pt idx="64">
                  <c:v>6.8870599999999998E-4</c:v>
                </c:pt>
                <c:pt idx="65">
                  <c:v>6.9218900000000006E-4</c:v>
                </c:pt>
                <c:pt idx="66">
                  <c:v>6.9474633333333326E-4</c:v>
                </c:pt>
                <c:pt idx="67">
                  <c:v>6.9830966666666668E-4</c:v>
                </c:pt>
                <c:pt idx="68">
                  <c:v>4.0890533333333333E-6</c:v>
                </c:pt>
                <c:pt idx="69">
                  <c:v>4.0581600000000001E-6</c:v>
                </c:pt>
                <c:pt idx="70">
                  <c:v>4.0188800000000001E-6</c:v>
                </c:pt>
                <c:pt idx="71">
                  <c:v>3.9749733333333335E-6</c:v>
                </c:pt>
                <c:pt idx="72">
                  <c:v>3.948933333333333E-6</c:v>
                </c:pt>
                <c:pt idx="73">
                  <c:v>3.9239366666666671E-6</c:v>
                </c:pt>
                <c:pt idx="74">
                  <c:v>3.8980133333333335E-6</c:v>
                </c:pt>
                <c:pt idx="75">
                  <c:v>3.8737799999999995E-6</c:v>
                </c:pt>
                <c:pt idx="76">
                  <c:v>3.8523233333333331E-6</c:v>
                </c:pt>
                <c:pt idx="77">
                  <c:v>3.8338433333333337E-6</c:v>
                </c:pt>
                <c:pt idx="78">
                  <c:v>5.6890500000000008E-4</c:v>
                </c:pt>
                <c:pt idx="79">
                  <c:v>5.8734666666666662E-4</c:v>
                </c:pt>
                <c:pt idx="80">
                  <c:v>5.9949733333333332E-4</c:v>
                </c:pt>
                <c:pt idx="81">
                  <c:v>6.0927133333333336E-4</c:v>
                </c:pt>
                <c:pt idx="82">
                  <c:v>6.1861700000000002E-4</c:v>
                </c:pt>
                <c:pt idx="83">
                  <c:v>6.2661333333333331E-4</c:v>
                </c:pt>
                <c:pt idx="84">
                  <c:v>6.3255000000000006E-4</c:v>
                </c:pt>
                <c:pt idx="85">
                  <c:v>6.3935700000000001E-4</c:v>
                </c:pt>
                <c:pt idx="86">
                  <c:v>6.4413399999999998E-4</c:v>
                </c:pt>
                <c:pt idx="87">
                  <c:v>6.4868500000000008E-4</c:v>
                </c:pt>
                <c:pt idx="88">
                  <c:v>6.5328999999999995E-4</c:v>
                </c:pt>
                <c:pt idx="89">
                  <c:v>6.6008566666666667E-4</c:v>
                </c:pt>
                <c:pt idx="90">
                  <c:v>6.6702466666666664E-4</c:v>
                </c:pt>
                <c:pt idx="91">
                  <c:v>6.7377533333333331E-4</c:v>
                </c:pt>
                <c:pt idx="92">
                  <c:v>6.8053333333333325E-4</c:v>
                </c:pt>
                <c:pt idx="93">
                  <c:v>6.8872999999999992E-4</c:v>
                </c:pt>
                <c:pt idx="94">
                  <c:v>6.9641466666666666E-4</c:v>
                </c:pt>
                <c:pt idx="95">
                  <c:v>7.0217933333333331E-4</c:v>
                </c:pt>
                <c:pt idx="96">
                  <c:v>7.1069766666666658E-4</c:v>
                </c:pt>
                <c:pt idx="97">
                  <c:v>7.1912133333333335E-4</c:v>
                </c:pt>
                <c:pt idx="98">
                  <c:v>7.2666199999999999E-4</c:v>
                </c:pt>
                <c:pt idx="99">
                  <c:v>7.3368333333333332E-4</c:v>
                </c:pt>
                <c:pt idx="100">
                  <c:v>7.4207133333333323E-4</c:v>
                </c:pt>
                <c:pt idx="101">
                  <c:v>7.5214766666666663E-4</c:v>
                </c:pt>
                <c:pt idx="102">
                  <c:v>7.6067699999999997E-4</c:v>
                </c:pt>
                <c:pt idx="103">
                  <c:v>7.6770199999999999E-4</c:v>
                </c:pt>
                <c:pt idx="104">
                  <c:v>7.7780033333333342E-4</c:v>
                </c:pt>
                <c:pt idx="105">
                  <c:v>7.8754433333333331E-4</c:v>
                </c:pt>
                <c:pt idx="106">
                  <c:v>7.973973333333333E-4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E-4493-8C74-4747AD6C8997}"/>
            </c:ext>
          </c:extLst>
        </c:ser>
        <c:ser>
          <c:idx val="1"/>
          <c:order val="1"/>
          <c:tx>
            <c:strRef>
              <c:f>'NAD003 P- 24 hpi'!$R$1:$R$2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P- 24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P- 24 hpi'!$R$3:$R$132</c:f>
              <c:numCache>
                <c:formatCode>General</c:formatCode>
                <c:ptCount val="130"/>
                <c:pt idx="0">
                  <c:v>1.5658433333333335E-4</c:v>
                </c:pt>
                <c:pt idx="1">
                  <c:v>1.5580733333333334E-4</c:v>
                </c:pt>
                <c:pt idx="2">
                  <c:v>1.5546433333333334E-4</c:v>
                </c:pt>
                <c:pt idx="3">
                  <c:v>1.55062E-4</c:v>
                </c:pt>
                <c:pt idx="4">
                  <c:v>1.5460333333333333E-4</c:v>
                </c:pt>
                <c:pt idx="5">
                  <c:v>1.5428500000000002E-4</c:v>
                </c:pt>
                <c:pt idx="6">
                  <c:v>1.5382333333333333E-4</c:v>
                </c:pt>
                <c:pt idx="7">
                  <c:v>1.53549E-4</c:v>
                </c:pt>
                <c:pt idx="8">
                  <c:v>1.5344766666666666E-4</c:v>
                </c:pt>
                <c:pt idx="9">
                  <c:v>1.5352533333333333E-4</c:v>
                </c:pt>
                <c:pt idx="10">
                  <c:v>1.5357900000000001E-4</c:v>
                </c:pt>
                <c:pt idx="11">
                  <c:v>1.5356166666666664E-4</c:v>
                </c:pt>
                <c:pt idx="12">
                  <c:v>1.5343299999999999E-4</c:v>
                </c:pt>
                <c:pt idx="13">
                  <c:v>1.5290033333333332E-4</c:v>
                </c:pt>
                <c:pt idx="14">
                  <c:v>1.5309433333333334E-4</c:v>
                </c:pt>
                <c:pt idx="15">
                  <c:v>1.52767E-4</c:v>
                </c:pt>
                <c:pt idx="16">
                  <c:v>1.5328766666666667E-4</c:v>
                </c:pt>
                <c:pt idx="17">
                  <c:v>1.5283199999999999E-4</c:v>
                </c:pt>
                <c:pt idx="18">
                  <c:v>1.5330133333333335E-4</c:v>
                </c:pt>
                <c:pt idx="19">
                  <c:v>1.5356266666666666E-4</c:v>
                </c:pt>
                <c:pt idx="20">
                  <c:v>1.5347433333333334E-4</c:v>
                </c:pt>
                <c:pt idx="21">
                  <c:v>1.5365299999999999E-4</c:v>
                </c:pt>
                <c:pt idx="22">
                  <c:v>1.5382333333333333E-4</c:v>
                </c:pt>
                <c:pt idx="23">
                  <c:v>1.54034E-4</c:v>
                </c:pt>
                <c:pt idx="24">
                  <c:v>1.5445833333333335E-4</c:v>
                </c:pt>
                <c:pt idx="25">
                  <c:v>1.5478333333333332E-4</c:v>
                </c:pt>
                <c:pt idx="26">
                  <c:v>1.5542100000000002E-4</c:v>
                </c:pt>
                <c:pt idx="27">
                  <c:v>1.5589433333333333E-4</c:v>
                </c:pt>
                <c:pt idx="28">
                  <c:v>1.5642766666666667E-4</c:v>
                </c:pt>
                <c:pt idx="29">
                  <c:v>2.6897766666666668E-5</c:v>
                </c:pt>
                <c:pt idx="30">
                  <c:v>2.6577066666666667E-5</c:v>
                </c:pt>
                <c:pt idx="31">
                  <c:v>2.6225333333333335E-5</c:v>
                </c:pt>
                <c:pt idx="32">
                  <c:v>2.5958266666666668E-5</c:v>
                </c:pt>
                <c:pt idx="33">
                  <c:v>2.5750233333333333E-5</c:v>
                </c:pt>
                <c:pt idx="34">
                  <c:v>2.5479666666666669E-5</c:v>
                </c:pt>
                <c:pt idx="35">
                  <c:v>2.5284999999999999E-5</c:v>
                </c:pt>
                <c:pt idx="36">
                  <c:v>2.5124733333333334E-5</c:v>
                </c:pt>
                <c:pt idx="37">
                  <c:v>2.5021499999999998E-5</c:v>
                </c:pt>
                <c:pt idx="38">
                  <c:v>2.4912733333333333E-5</c:v>
                </c:pt>
                <c:pt idx="39">
                  <c:v>1.3997733333333335E-4</c:v>
                </c:pt>
                <c:pt idx="40">
                  <c:v>1.3919603333333334E-4</c:v>
                </c:pt>
                <c:pt idx="41">
                  <c:v>1.3621610000000002E-4</c:v>
                </c:pt>
                <c:pt idx="42">
                  <c:v>1.3389019999999999E-4</c:v>
                </c:pt>
                <c:pt idx="43">
                  <c:v>1.3222156666666665E-4</c:v>
                </c:pt>
                <c:pt idx="44">
                  <c:v>1.3164216666666667E-4</c:v>
                </c:pt>
                <c:pt idx="45">
                  <c:v>1.3187483333333333E-4</c:v>
                </c:pt>
                <c:pt idx="46">
                  <c:v>1.3249413333333334E-4</c:v>
                </c:pt>
                <c:pt idx="47">
                  <c:v>1.3254773333333332E-4</c:v>
                </c:pt>
                <c:pt idx="48">
                  <c:v>1.3249966666666667E-4</c:v>
                </c:pt>
                <c:pt idx="49">
                  <c:v>1.320522E-4</c:v>
                </c:pt>
                <c:pt idx="50">
                  <c:v>1.3151699999999999E-4</c:v>
                </c:pt>
                <c:pt idx="51">
                  <c:v>1.3124370000000001E-4</c:v>
                </c:pt>
                <c:pt idx="52">
                  <c:v>1.316538E-4</c:v>
                </c:pt>
                <c:pt idx="53">
                  <c:v>1.3229166666666665E-4</c:v>
                </c:pt>
                <c:pt idx="54">
                  <c:v>1.3268350000000001E-4</c:v>
                </c:pt>
                <c:pt idx="55">
                  <c:v>1.336791E-4</c:v>
                </c:pt>
                <c:pt idx="56">
                  <c:v>1.3439310000000002E-4</c:v>
                </c:pt>
                <c:pt idx="57">
                  <c:v>1.3442943333333334E-4</c:v>
                </c:pt>
                <c:pt idx="58">
                  <c:v>1.3411910000000001E-4</c:v>
                </c:pt>
                <c:pt idx="59">
                  <c:v>1.3416089999999998E-4</c:v>
                </c:pt>
                <c:pt idx="60">
                  <c:v>1.346776E-4</c:v>
                </c:pt>
                <c:pt idx="61">
                  <c:v>1.3475839999999999E-4</c:v>
                </c:pt>
                <c:pt idx="62">
                  <c:v>1.3582056666666667E-4</c:v>
                </c:pt>
                <c:pt idx="63">
                  <c:v>1.3675959999999998E-4</c:v>
                </c:pt>
                <c:pt idx="64">
                  <c:v>1.3741636666666666E-4</c:v>
                </c:pt>
                <c:pt idx="65">
                  <c:v>1.3812133333333335E-4</c:v>
                </c:pt>
                <c:pt idx="66">
                  <c:v>1.3794866666666666E-4</c:v>
                </c:pt>
                <c:pt idx="67">
                  <c:v>1.3836133333333333E-4</c:v>
                </c:pt>
                <c:pt idx="68">
                  <c:v>2.4467099999999998E-5</c:v>
                </c:pt>
                <c:pt idx="69">
                  <c:v>2.44555E-5</c:v>
                </c:pt>
                <c:pt idx="70">
                  <c:v>2.4486133333333333E-5</c:v>
                </c:pt>
                <c:pt idx="71">
                  <c:v>2.4372833333333332E-5</c:v>
                </c:pt>
                <c:pt idx="72">
                  <c:v>2.4333800000000001E-5</c:v>
                </c:pt>
                <c:pt idx="73">
                  <c:v>2.4302466666666666E-5</c:v>
                </c:pt>
                <c:pt idx="74">
                  <c:v>2.4264633333333335E-5</c:v>
                </c:pt>
                <c:pt idx="75">
                  <c:v>2.4240733333333333E-5</c:v>
                </c:pt>
                <c:pt idx="76">
                  <c:v>2.4210899999999999E-5</c:v>
                </c:pt>
                <c:pt idx="77">
                  <c:v>2.4191633333333331E-5</c:v>
                </c:pt>
                <c:pt idx="78">
                  <c:v>1.4153666666666666E-4</c:v>
                </c:pt>
                <c:pt idx="79">
                  <c:v>1.4139166666666666E-4</c:v>
                </c:pt>
                <c:pt idx="80">
                  <c:v>1.3991866666666667E-4</c:v>
                </c:pt>
                <c:pt idx="81">
                  <c:v>1.3872233333333332E-4</c:v>
                </c:pt>
                <c:pt idx="82">
                  <c:v>1.3741033333333332E-4</c:v>
                </c:pt>
                <c:pt idx="83">
                  <c:v>1.3797966666666666E-4</c:v>
                </c:pt>
                <c:pt idx="84">
                  <c:v>1.3909800000000002E-4</c:v>
                </c:pt>
                <c:pt idx="85">
                  <c:v>1.4010699999999999E-4</c:v>
                </c:pt>
                <c:pt idx="86">
                  <c:v>1.4089133333333335E-4</c:v>
                </c:pt>
                <c:pt idx="87">
                  <c:v>1.4120433333333332E-4</c:v>
                </c:pt>
                <c:pt idx="88">
                  <c:v>1.4119433333333332E-4</c:v>
                </c:pt>
                <c:pt idx="89">
                  <c:v>1.4057233333333334E-4</c:v>
                </c:pt>
                <c:pt idx="90">
                  <c:v>1.4089733333333331E-4</c:v>
                </c:pt>
                <c:pt idx="91">
                  <c:v>1.4111366666666667E-4</c:v>
                </c:pt>
                <c:pt idx="92">
                  <c:v>1.4255E-4</c:v>
                </c:pt>
                <c:pt idx="93">
                  <c:v>1.4357366666666667E-4</c:v>
                </c:pt>
                <c:pt idx="94">
                  <c:v>1.4445066666666666E-4</c:v>
                </c:pt>
                <c:pt idx="95">
                  <c:v>1.4536100000000002E-4</c:v>
                </c:pt>
                <c:pt idx="96">
                  <c:v>1.4613000000000001E-4</c:v>
                </c:pt>
                <c:pt idx="97">
                  <c:v>1.4696166666666667E-4</c:v>
                </c:pt>
                <c:pt idx="98">
                  <c:v>1.47453E-4</c:v>
                </c:pt>
                <c:pt idx="99">
                  <c:v>1.4885633333333332E-4</c:v>
                </c:pt>
                <c:pt idx="100">
                  <c:v>1.5071933333333335E-4</c:v>
                </c:pt>
                <c:pt idx="101">
                  <c:v>1.5055033333333335E-4</c:v>
                </c:pt>
                <c:pt idx="102">
                  <c:v>1.5169700000000001E-4</c:v>
                </c:pt>
                <c:pt idx="103">
                  <c:v>1.5268266666666668E-4</c:v>
                </c:pt>
                <c:pt idx="104">
                  <c:v>1.5448199999999998E-4</c:v>
                </c:pt>
                <c:pt idx="105">
                  <c:v>1.56105E-4</c:v>
                </c:pt>
                <c:pt idx="106">
                  <c:v>1.5659266666666666E-4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E-4493-8C74-4747AD6C8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08720"/>
        <c:axId val="1129758512"/>
      </c:scatterChart>
      <c:valAx>
        <c:axId val="11279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58512"/>
        <c:crosses val="autoZero"/>
        <c:crossBetween val="midCat"/>
      </c:valAx>
      <c:valAx>
        <c:axId val="1129758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P+ 24 hpi'!$B$1:$B$2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P+ 24 hpi'!$B$3:$B$124</c:f>
              <c:numCache>
                <c:formatCode>General</c:formatCode>
                <c:ptCount val="122"/>
                <c:pt idx="0">
                  <c:v>1.02166E-3</c:v>
                </c:pt>
                <c:pt idx="1">
                  <c:v>1.0254299999999999E-3</c:v>
                </c:pt>
                <c:pt idx="2">
                  <c:v>1.0321200000000001E-3</c:v>
                </c:pt>
                <c:pt idx="3">
                  <c:v>1.03607E-3</c:v>
                </c:pt>
                <c:pt idx="4">
                  <c:v>1.04152E-3</c:v>
                </c:pt>
                <c:pt idx="5">
                  <c:v>1.04498E-3</c:v>
                </c:pt>
                <c:pt idx="6">
                  <c:v>1.0506199999999999E-3</c:v>
                </c:pt>
                <c:pt idx="7">
                  <c:v>1.0552000000000001E-3</c:v>
                </c:pt>
                <c:pt idx="8">
                  <c:v>1.05989E-3</c:v>
                </c:pt>
                <c:pt idx="9">
                  <c:v>1.0641400000000001E-3</c:v>
                </c:pt>
                <c:pt idx="10">
                  <c:v>1.0706100000000001E-3</c:v>
                </c:pt>
                <c:pt idx="11">
                  <c:v>1.0747700000000001E-3</c:v>
                </c:pt>
                <c:pt idx="12">
                  <c:v>1.07964E-3</c:v>
                </c:pt>
                <c:pt idx="13">
                  <c:v>1.0858E-3</c:v>
                </c:pt>
                <c:pt idx="14">
                  <c:v>1.09008E-3</c:v>
                </c:pt>
                <c:pt idx="15">
                  <c:v>1.0952399999999999E-3</c:v>
                </c:pt>
                <c:pt idx="16">
                  <c:v>1.09924E-3</c:v>
                </c:pt>
                <c:pt idx="17">
                  <c:v>1.1035000000000001E-3</c:v>
                </c:pt>
                <c:pt idx="18">
                  <c:v>1.10856E-3</c:v>
                </c:pt>
                <c:pt idx="19">
                  <c:v>1.1161299999999999E-3</c:v>
                </c:pt>
                <c:pt idx="20">
                  <c:v>1.12261E-3</c:v>
                </c:pt>
                <c:pt idx="21">
                  <c:v>1.1281500000000001E-3</c:v>
                </c:pt>
                <c:pt idx="22">
                  <c:v>1.13452E-3</c:v>
                </c:pt>
                <c:pt idx="23">
                  <c:v>1.14017E-3</c:v>
                </c:pt>
                <c:pt idx="24">
                  <c:v>1.1470899999999999E-3</c:v>
                </c:pt>
                <c:pt idx="25">
                  <c:v>1.15416E-3</c:v>
                </c:pt>
                <c:pt idx="26">
                  <c:v>1.16025E-3</c:v>
                </c:pt>
                <c:pt idx="27">
                  <c:v>1.1665600000000001E-3</c:v>
                </c:pt>
                <c:pt idx="28">
                  <c:v>1.17472E-3</c:v>
                </c:pt>
                <c:pt idx="29">
                  <c:v>7.19986E-6</c:v>
                </c:pt>
                <c:pt idx="30">
                  <c:v>6.9642199999999999E-6</c:v>
                </c:pt>
                <c:pt idx="31">
                  <c:v>6.6572200000000001E-6</c:v>
                </c:pt>
                <c:pt idx="32">
                  <c:v>6.4360599999999998E-6</c:v>
                </c:pt>
                <c:pt idx="33">
                  <c:v>6.2719500000000001E-6</c:v>
                </c:pt>
                <c:pt idx="34">
                  <c:v>6.1336E-6</c:v>
                </c:pt>
                <c:pt idx="35">
                  <c:v>6.0080099999999998E-6</c:v>
                </c:pt>
                <c:pt idx="36">
                  <c:v>5.9143299999999998E-6</c:v>
                </c:pt>
                <c:pt idx="37">
                  <c:v>5.82386E-6</c:v>
                </c:pt>
                <c:pt idx="38">
                  <c:v>5.7133300000000004E-6</c:v>
                </c:pt>
                <c:pt idx="39">
                  <c:v>6.1892399999999997E-4</c:v>
                </c:pt>
                <c:pt idx="40">
                  <c:v>6.3799099999999997E-4</c:v>
                </c:pt>
                <c:pt idx="41">
                  <c:v>6.4950399999999997E-4</c:v>
                </c:pt>
                <c:pt idx="42">
                  <c:v>6.5751500000000001E-4</c:v>
                </c:pt>
                <c:pt idx="43">
                  <c:v>6.6327300000000003E-4</c:v>
                </c:pt>
                <c:pt idx="44">
                  <c:v>6.6932099999999996E-4</c:v>
                </c:pt>
                <c:pt idx="45">
                  <c:v>6.7402800000000002E-4</c:v>
                </c:pt>
                <c:pt idx="46">
                  <c:v>6.7792899999999997E-4</c:v>
                </c:pt>
                <c:pt idx="47">
                  <c:v>6.8260599999999999E-4</c:v>
                </c:pt>
                <c:pt idx="48">
                  <c:v>6.8640400000000005E-4</c:v>
                </c:pt>
                <c:pt idx="49">
                  <c:v>6.8886399999999997E-4</c:v>
                </c:pt>
                <c:pt idx="50">
                  <c:v>6.9271899999999995E-4</c:v>
                </c:pt>
                <c:pt idx="51">
                  <c:v>6.9519899999999997E-4</c:v>
                </c:pt>
                <c:pt idx="52">
                  <c:v>6.9847500000000005E-4</c:v>
                </c:pt>
                <c:pt idx="53">
                  <c:v>7.0178199999999997E-4</c:v>
                </c:pt>
                <c:pt idx="54">
                  <c:v>7.0388199999999997E-4</c:v>
                </c:pt>
                <c:pt idx="55">
                  <c:v>7.0624299999999995E-4</c:v>
                </c:pt>
                <c:pt idx="56">
                  <c:v>7.0992199999999998E-4</c:v>
                </c:pt>
                <c:pt idx="57">
                  <c:v>7.1326500000000004E-4</c:v>
                </c:pt>
                <c:pt idx="58">
                  <c:v>7.1547400000000001E-4</c:v>
                </c:pt>
                <c:pt idx="59">
                  <c:v>7.1616300000000002E-4</c:v>
                </c:pt>
                <c:pt idx="60">
                  <c:v>7.20362E-4</c:v>
                </c:pt>
                <c:pt idx="61">
                  <c:v>7.2335900000000002E-4</c:v>
                </c:pt>
                <c:pt idx="62">
                  <c:v>7.2620900000000001E-4</c:v>
                </c:pt>
                <c:pt idx="63">
                  <c:v>7.2848200000000002E-4</c:v>
                </c:pt>
                <c:pt idx="64">
                  <c:v>7.3162200000000002E-4</c:v>
                </c:pt>
                <c:pt idx="65">
                  <c:v>7.3481700000000002E-4</c:v>
                </c:pt>
                <c:pt idx="66">
                  <c:v>7.3720700000000003E-4</c:v>
                </c:pt>
                <c:pt idx="67">
                  <c:v>7.3984300000000001E-4</c:v>
                </c:pt>
                <c:pt idx="68">
                  <c:v>5.4653699999999998E-6</c:v>
                </c:pt>
                <c:pt idx="69">
                  <c:v>5.4431999999999998E-6</c:v>
                </c:pt>
                <c:pt idx="70">
                  <c:v>5.3787699999999997E-6</c:v>
                </c:pt>
                <c:pt idx="71">
                  <c:v>5.3293300000000004E-6</c:v>
                </c:pt>
                <c:pt idx="72">
                  <c:v>5.2870700000000002E-6</c:v>
                </c:pt>
                <c:pt idx="73">
                  <c:v>5.2484600000000004E-6</c:v>
                </c:pt>
                <c:pt idx="74">
                  <c:v>5.2136100000000002E-6</c:v>
                </c:pt>
                <c:pt idx="75">
                  <c:v>5.1799799999999998E-6</c:v>
                </c:pt>
                <c:pt idx="76">
                  <c:v>5.1522499999999997E-6</c:v>
                </c:pt>
                <c:pt idx="77">
                  <c:v>5.1373300000000003E-6</c:v>
                </c:pt>
                <c:pt idx="78">
                  <c:v>6.2504200000000002E-4</c:v>
                </c:pt>
                <c:pt idx="79">
                  <c:v>6.4331100000000003E-4</c:v>
                </c:pt>
                <c:pt idx="80">
                  <c:v>6.5525999999999996E-4</c:v>
                </c:pt>
                <c:pt idx="81">
                  <c:v>6.6602199999999995E-4</c:v>
                </c:pt>
                <c:pt idx="82">
                  <c:v>6.7444E-4</c:v>
                </c:pt>
                <c:pt idx="83">
                  <c:v>6.8104099999999996E-4</c:v>
                </c:pt>
                <c:pt idx="84">
                  <c:v>6.8632299999999997E-4</c:v>
                </c:pt>
                <c:pt idx="85">
                  <c:v>6.9170400000000002E-4</c:v>
                </c:pt>
                <c:pt idx="86">
                  <c:v>6.9793700000000004E-4</c:v>
                </c:pt>
                <c:pt idx="87">
                  <c:v>7.0135399999999995E-4</c:v>
                </c:pt>
                <c:pt idx="88">
                  <c:v>7.0605600000000004E-4</c:v>
                </c:pt>
                <c:pt idx="89">
                  <c:v>7.1167500000000005E-4</c:v>
                </c:pt>
                <c:pt idx="90">
                  <c:v>7.1462200000000004E-4</c:v>
                </c:pt>
                <c:pt idx="91">
                  <c:v>7.1694E-4</c:v>
                </c:pt>
                <c:pt idx="92">
                  <c:v>7.2179700000000004E-4</c:v>
                </c:pt>
                <c:pt idx="93">
                  <c:v>7.2574800000000002E-4</c:v>
                </c:pt>
                <c:pt idx="94">
                  <c:v>7.2841699999999998E-4</c:v>
                </c:pt>
                <c:pt idx="95">
                  <c:v>7.3063200000000005E-4</c:v>
                </c:pt>
                <c:pt idx="96">
                  <c:v>7.3371799999999996E-4</c:v>
                </c:pt>
                <c:pt idx="97">
                  <c:v>7.3724200000000004E-4</c:v>
                </c:pt>
                <c:pt idx="98">
                  <c:v>7.4116500000000001E-4</c:v>
                </c:pt>
                <c:pt idx="99">
                  <c:v>7.4582299999999995E-4</c:v>
                </c:pt>
                <c:pt idx="100">
                  <c:v>7.5014700000000005E-4</c:v>
                </c:pt>
                <c:pt idx="101">
                  <c:v>7.5254300000000005E-4</c:v>
                </c:pt>
                <c:pt idx="102">
                  <c:v>7.5828199999999999E-4</c:v>
                </c:pt>
                <c:pt idx="103">
                  <c:v>7.6185999999999995E-4</c:v>
                </c:pt>
                <c:pt idx="104">
                  <c:v>7.6627800000000001E-4</c:v>
                </c:pt>
                <c:pt idx="105">
                  <c:v>7.7146500000000004E-4</c:v>
                </c:pt>
                <c:pt idx="106">
                  <c:v>7.7657799999999999E-4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3-4119-9601-8420761C4F82}"/>
            </c:ext>
          </c:extLst>
        </c:ser>
        <c:ser>
          <c:idx val="1"/>
          <c:order val="1"/>
          <c:tx>
            <c:strRef>
              <c:f>'NAD003 P+ 24 hpi'!$G$1:$G$2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P+ 24 hpi'!$G$3:$G$132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13-4119-9601-8420761C4F82}"/>
            </c:ext>
          </c:extLst>
        </c:ser>
        <c:ser>
          <c:idx val="2"/>
          <c:order val="2"/>
          <c:tx>
            <c:strRef>
              <c:f>'NAD003 P+ 24 hpi'!$L$1:$L$2</c:f>
              <c:strCache>
                <c:ptCount val="2"/>
                <c:pt idx="0">
                  <c:v>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P+ 24 hpi'!$L$3:$L$132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13-4119-9601-8420761C4F82}"/>
            </c:ext>
          </c:extLst>
        </c:ser>
        <c:ser>
          <c:idx val="3"/>
          <c:order val="3"/>
          <c:tx>
            <c:strRef>
              <c:f>'NAD003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13-4119-9601-8420761C4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133648"/>
        <c:axId val="1157486640"/>
      </c:scatterChart>
      <c:valAx>
        <c:axId val="116713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86640"/>
        <c:crosses val="autoZero"/>
        <c:crossBetween val="midCat"/>
      </c:valAx>
      <c:valAx>
        <c:axId val="1157486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P+ 24 hpi'!$C$1:$C$2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P+ 24 hpi'!$C$3:$C$124</c:f>
              <c:numCache>
                <c:formatCode>General</c:formatCode>
                <c:ptCount val="122"/>
                <c:pt idx="0">
                  <c:v>1.7898499999999999E-4</c:v>
                </c:pt>
                <c:pt idx="1">
                  <c:v>1.79023E-4</c:v>
                </c:pt>
                <c:pt idx="2">
                  <c:v>1.7929099999999999E-4</c:v>
                </c:pt>
                <c:pt idx="3">
                  <c:v>1.78457E-4</c:v>
                </c:pt>
                <c:pt idx="4">
                  <c:v>1.77448E-4</c:v>
                </c:pt>
                <c:pt idx="5">
                  <c:v>1.7859700000000001E-4</c:v>
                </c:pt>
                <c:pt idx="6">
                  <c:v>1.7807000000000001E-4</c:v>
                </c:pt>
                <c:pt idx="7">
                  <c:v>1.7806399999999999E-4</c:v>
                </c:pt>
                <c:pt idx="8">
                  <c:v>1.7870900000000001E-4</c:v>
                </c:pt>
                <c:pt idx="9">
                  <c:v>1.79001E-4</c:v>
                </c:pt>
                <c:pt idx="10">
                  <c:v>1.7972299999999999E-4</c:v>
                </c:pt>
                <c:pt idx="11">
                  <c:v>1.8051300000000001E-4</c:v>
                </c:pt>
                <c:pt idx="12">
                  <c:v>1.7947899999999999E-4</c:v>
                </c:pt>
                <c:pt idx="13">
                  <c:v>1.7934400000000001E-4</c:v>
                </c:pt>
                <c:pt idx="14">
                  <c:v>1.80223E-4</c:v>
                </c:pt>
                <c:pt idx="15">
                  <c:v>1.80645E-4</c:v>
                </c:pt>
                <c:pt idx="16">
                  <c:v>1.8123E-4</c:v>
                </c:pt>
                <c:pt idx="17">
                  <c:v>1.81705E-4</c:v>
                </c:pt>
                <c:pt idx="18">
                  <c:v>1.8140499999999999E-4</c:v>
                </c:pt>
                <c:pt idx="19">
                  <c:v>1.82308E-4</c:v>
                </c:pt>
                <c:pt idx="20">
                  <c:v>1.8253E-4</c:v>
                </c:pt>
                <c:pt idx="21">
                  <c:v>1.8367500000000001E-4</c:v>
                </c:pt>
                <c:pt idx="22">
                  <c:v>1.8424700000000001E-4</c:v>
                </c:pt>
                <c:pt idx="23">
                  <c:v>1.85176E-4</c:v>
                </c:pt>
                <c:pt idx="24">
                  <c:v>1.8527100000000001E-4</c:v>
                </c:pt>
                <c:pt idx="25">
                  <c:v>1.8629700000000001E-4</c:v>
                </c:pt>
                <c:pt idx="26">
                  <c:v>1.8739700000000001E-4</c:v>
                </c:pt>
                <c:pt idx="27">
                  <c:v>1.8756299999999999E-4</c:v>
                </c:pt>
                <c:pt idx="28">
                  <c:v>1.89156E-4</c:v>
                </c:pt>
                <c:pt idx="29">
                  <c:v>3.30453E-5</c:v>
                </c:pt>
                <c:pt idx="30">
                  <c:v>3.2151199999999998E-5</c:v>
                </c:pt>
                <c:pt idx="31">
                  <c:v>3.1315000000000001E-5</c:v>
                </c:pt>
                <c:pt idx="32">
                  <c:v>3.0723599999999998E-5</c:v>
                </c:pt>
                <c:pt idx="33">
                  <c:v>3.0323000000000001E-5</c:v>
                </c:pt>
                <c:pt idx="34">
                  <c:v>3.0024800000000001E-5</c:v>
                </c:pt>
                <c:pt idx="35">
                  <c:v>2.96982E-5</c:v>
                </c:pt>
                <c:pt idx="36">
                  <c:v>2.94884E-5</c:v>
                </c:pt>
                <c:pt idx="37">
                  <c:v>2.9272600000000002E-5</c:v>
                </c:pt>
                <c:pt idx="38">
                  <c:v>2.8987800000000001E-5</c:v>
                </c:pt>
                <c:pt idx="39">
                  <c:v>1.4154599999999999E-4</c:v>
                </c:pt>
                <c:pt idx="40">
                  <c:v>1.4205700000000001E-4</c:v>
                </c:pt>
                <c:pt idx="41">
                  <c:v>1.4135999999999999E-4</c:v>
                </c:pt>
                <c:pt idx="42">
                  <c:v>1.4040600000000001E-4</c:v>
                </c:pt>
                <c:pt idx="43">
                  <c:v>1.39534E-4</c:v>
                </c:pt>
                <c:pt idx="44">
                  <c:v>1.3827499999999999E-4</c:v>
                </c:pt>
                <c:pt idx="45">
                  <c:v>1.37813E-4</c:v>
                </c:pt>
                <c:pt idx="46">
                  <c:v>1.3783799999999999E-4</c:v>
                </c:pt>
                <c:pt idx="47">
                  <c:v>1.3758999999999999E-4</c:v>
                </c:pt>
                <c:pt idx="48">
                  <c:v>1.3710600000000001E-4</c:v>
                </c:pt>
                <c:pt idx="49">
                  <c:v>1.3720599999999999E-4</c:v>
                </c:pt>
                <c:pt idx="50">
                  <c:v>1.3696300000000001E-4</c:v>
                </c:pt>
                <c:pt idx="51">
                  <c:v>1.3811100000000001E-4</c:v>
                </c:pt>
                <c:pt idx="52">
                  <c:v>1.37319E-4</c:v>
                </c:pt>
                <c:pt idx="53">
                  <c:v>1.3753699999999999E-4</c:v>
                </c:pt>
                <c:pt idx="54">
                  <c:v>1.3781500000000001E-4</c:v>
                </c:pt>
                <c:pt idx="55">
                  <c:v>1.38703E-4</c:v>
                </c:pt>
                <c:pt idx="56">
                  <c:v>1.3807500000000001E-4</c:v>
                </c:pt>
                <c:pt idx="57">
                  <c:v>1.3863800000000001E-4</c:v>
                </c:pt>
                <c:pt idx="58">
                  <c:v>1.3913099999999999E-4</c:v>
                </c:pt>
                <c:pt idx="59">
                  <c:v>1.3448799999999999E-4</c:v>
                </c:pt>
                <c:pt idx="60">
                  <c:v>1.4024299999999999E-4</c:v>
                </c:pt>
                <c:pt idx="61">
                  <c:v>1.3947800000000001E-4</c:v>
                </c:pt>
                <c:pt idx="62">
                  <c:v>1.4098E-4</c:v>
                </c:pt>
                <c:pt idx="63">
                  <c:v>1.4101900000000001E-4</c:v>
                </c:pt>
                <c:pt idx="64">
                  <c:v>1.4176099999999999E-4</c:v>
                </c:pt>
                <c:pt idx="65">
                  <c:v>1.41342E-4</c:v>
                </c:pt>
                <c:pt idx="66">
                  <c:v>1.4207099999999999E-4</c:v>
                </c:pt>
                <c:pt idx="67">
                  <c:v>1.42452E-4</c:v>
                </c:pt>
                <c:pt idx="68">
                  <c:v>2.8731300000000001E-5</c:v>
                </c:pt>
                <c:pt idx="69">
                  <c:v>2.8690399999999999E-5</c:v>
                </c:pt>
                <c:pt idx="70">
                  <c:v>2.8564600000000001E-5</c:v>
                </c:pt>
                <c:pt idx="71">
                  <c:v>2.8512699999999999E-5</c:v>
                </c:pt>
                <c:pt idx="72">
                  <c:v>2.8479500000000001E-5</c:v>
                </c:pt>
                <c:pt idx="73">
                  <c:v>2.84253E-5</c:v>
                </c:pt>
                <c:pt idx="74">
                  <c:v>2.8416400000000001E-5</c:v>
                </c:pt>
                <c:pt idx="75">
                  <c:v>2.8379599999999998E-5</c:v>
                </c:pt>
                <c:pt idx="76">
                  <c:v>2.8355199999999999E-5</c:v>
                </c:pt>
                <c:pt idx="77">
                  <c:v>2.8365999999999999E-5</c:v>
                </c:pt>
                <c:pt idx="78">
                  <c:v>1.46236E-4</c:v>
                </c:pt>
                <c:pt idx="79">
                  <c:v>1.4683799999999999E-4</c:v>
                </c:pt>
                <c:pt idx="80">
                  <c:v>1.4630200000000001E-4</c:v>
                </c:pt>
                <c:pt idx="81">
                  <c:v>1.45613E-4</c:v>
                </c:pt>
                <c:pt idx="82">
                  <c:v>1.45026E-4</c:v>
                </c:pt>
                <c:pt idx="83">
                  <c:v>1.45191E-4</c:v>
                </c:pt>
                <c:pt idx="84">
                  <c:v>1.45041E-4</c:v>
                </c:pt>
                <c:pt idx="85">
                  <c:v>1.45255E-4</c:v>
                </c:pt>
                <c:pt idx="86">
                  <c:v>1.4551899999999999E-4</c:v>
                </c:pt>
                <c:pt idx="87">
                  <c:v>1.4608199999999999E-4</c:v>
                </c:pt>
                <c:pt idx="88">
                  <c:v>1.4634000000000001E-4</c:v>
                </c:pt>
                <c:pt idx="89">
                  <c:v>1.4721999999999999E-4</c:v>
                </c:pt>
                <c:pt idx="90">
                  <c:v>1.4613000000000001E-4</c:v>
                </c:pt>
                <c:pt idx="91">
                  <c:v>1.47274E-4</c:v>
                </c:pt>
                <c:pt idx="92">
                  <c:v>1.4804299999999999E-4</c:v>
                </c:pt>
                <c:pt idx="93">
                  <c:v>1.48441E-4</c:v>
                </c:pt>
                <c:pt idx="94">
                  <c:v>1.4972799999999999E-4</c:v>
                </c:pt>
                <c:pt idx="95">
                  <c:v>1.5056999999999999E-4</c:v>
                </c:pt>
                <c:pt idx="96">
                  <c:v>1.5002599999999999E-4</c:v>
                </c:pt>
                <c:pt idx="97">
                  <c:v>1.4903299999999999E-4</c:v>
                </c:pt>
                <c:pt idx="98">
                  <c:v>1.4988600000000001E-4</c:v>
                </c:pt>
                <c:pt idx="99">
                  <c:v>1.50311E-4</c:v>
                </c:pt>
                <c:pt idx="100">
                  <c:v>1.5114600000000001E-4</c:v>
                </c:pt>
                <c:pt idx="101">
                  <c:v>1.51442E-4</c:v>
                </c:pt>
                <c:pt idx="102">
                  <c:v>1.5287699999999999E-4</c:v>
                </c:pt>
                <c:pt idx="103">
                  <c:v>1.5341399999999999E-4</c:v>
                </c:pt>
                <c:pt idx="104">
                  <c:v>1.5381300000000001E-4</c:v>
                </c:pt>
                <c:pt idx="105">
                  <c:v>1.5394900000000001E-4</c:v>
                </c:pt>
                <c:pt idx="106">
                  <c:v>1.5441599999999999E-4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A-49AB-969D-C106AA0AD383}"/>
            </c:ext>
          </c:extLst>
        </c:ser>
        <c:ser>
          <c:idx val="1"/>
          <c:order val="1"/>
          <c:tx>
            <c:strRef>
              <c:f>'NAD003 P+ 24 hpi'!$H$1:$H$2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P+ 24 hpi'!$H$3:$H$132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4A-49AB-969D-C106AA0AD383}"/>
            </c:ext>
          </c:extLst>
        </c:ser>
        <c:ser>
          <c:idx val="2"/>
          <c:order val="2"/>
          <c:tx>
            <c:strRef>
              <c:f>'NAD003 P+ 24 hpi'!$M$1:$M$2</c:f>
              <c:strCache>
                <c:ptCount val="2"/>
                <c:pt idx="0">
                  <c:v>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P+ 24 hpi'!$M$3:$M$132</c:f>
              <c:numCache>
                <c:formatCode>General</c:formatCode>
                <c:ptCount val="1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4A-49AB-969D-C106AA0AD383}"/>
            </c:ext>
          </c:extLst>
        </c:ser>
        <c:ser>
          <c:idx val="3"/>
          <c:order val="3"/>
          <c:tx>
            <c:strRef>
              <c:f>'NAD003 P+ 72 hpi'!#REF!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P+ 72 hpi'!#REF!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4A-49AB-969D-C106AA0AD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33552"/>
        <c:axId val="1130063696"/>
      </c:scatterChart>
      <c:valAx>
        <c:axId val="112953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3696"/>
        <c:crosses val="autoZero"/>
        <c:crossBetween val="midCat"/>
      </c:valAx>
      <c:valAx>
        <c:axId val="1130063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'NAD003 P+ 24 hpi'!$Q$1:$Q$2</c:f>
              <c:strCache>
                <c:ptCount val="2"/>
                <c:pt idx="0">
                  <c:v>Average storage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P+ 24 hpi'!$Q$3:$Q$132</c:f>
              <c:numCache>
                <c:formatCode>General</c:formatCode>
                <c:ptCount val="130"/>
                <c:pt idx="0">
                  <c:v>1.02166E-3</c:v>
                </c:pt>
                <c:pt idx="1">
                  <c:v>1.0254299999999999E-3</c:v>
                </c:pt>
                <c:pt idx="2">
                  <c:v>1.0321200000000001E-3</c:v>
                </c:pt>
                <c:pt idx="3">
                  <c:v>1.03607E-3</c:v>
                </c:pt>
                <c:pt idx="4">
                  <c:v>1.04152E-3</c:v>
                </c:pt>
                <c:pt idx="5">
                  <c:v>1.04498E-3</c:v>
                </c:pt>
                <c:pt idx="6">
                  <c:v>1.0506199999999999E-3</c:v>
                </c:pt>
                <c:pt idx="7">
                  <c:v>1.0552000000000001E-3</c:v>
                </c:pt>
                <c:pt idx="8">
                  <c:v>1.05989E-3</c:v>
                </c:pt>
                <c:pt idx="9">
                  <c:v>1.0641400000000001E-3</c:v>
                </c:pt>
                <c:pt idx="10">
                  <c:v>1.0706100000000001E-3</c:v>
                </c:pt>
                <c:pt idx="11">
                  <c:v>1.0747700000000001E-3</c:v>
                </c:pt>
                <c:pt idx="12">
                  <c:v>1.07964E-3</c:v>
                </c:pt>
                <c:pt idx="13">
                  <c:v>1.0858E-3</c:v>
                </c:pt>
                <c:pt idx="14">
                  <c:v>1.09008E-3</c:v>
                </c:pt>
                <c:pt idx="15">
                  <c:v>1.0952399999999999E-3</c:v>
                </c:pt>
                <c:pt idx="16">
                  <c:v>1.09924E-3</c:v>
                </c:pt>
                <c:pt idx="17">
                  <c:v>1.1035000000000001E-3</c:v>
                </c:pt>
                <c:pt idx="18">
                  <c:v>1.10856E-3</c:v>
                </c:pt>
                <c:pt idx="19">
                  <c:v>1.1161299999999999E-3</c:v>
                </c:pt>
                <c:pt idx="20">
                  <c:v>1.12261E-3</c:v>
                </c:pt>
                <c:pt idx="21">
                  <c:v>1.1281500000000001E-3</c:v>
                </c:pt>
                <c:pt idx="22">
                  <c:v>1.13452E-3</c:v>
                </c:pt>
                <c:pt idx="23">
                  <c:v>1.14017E-3</c:v>
                </c:pt>
                <c:pt idx="24">
                  <c:v>1.1470899999999999E-3</c:v>
                </c:pt>
                <c:pt idx="25">
                  <c:v>1.15416E-3</c:v>
                </c:pt>
                <c:pt idx="26">
                  <c:v>1.16025E-3</c:v>
                </c:pt>
                <c:pt idx="27">
                  <c:v>1.1665600000000001E-3</c:v>
                </c:pt>
                <c:pt idx="28">
                  <c:v>1.17472E-3</c:v>
                </c:pt>
                <c:pt idx="29">
                  <c:v>7.19986E-6</c:v>
                </c:pt>
                <c:pt idx="30">
                  <c:v>6.9642199999999999E-6</c:v>
                </c:pt>
                <c:pt idx="31">
                  <c:v>6.6572200000000001E-6</c:v>
                </c:pt>
                <c:pt idx="32">
                  <c:v>6.4360599999999998E-6</c:v>
                </c:pt>
                <c:pt idx="33">
                  <c:v>6.2719500000000001E-6</c:v>
                </c:pt>
                <c:pt idx="34">
                  <c:v>6.1336E-6</c:v>
                </c:pt>
                <c:pt idx="35">
                  <c:v>6.0080099999999998E-6</c:v>
                </c:pt>
                <c:pt idx="36">
                  <c:v>5.9143299999999998E-6</c:v>
                </c:pt>
                <c:pt idx="37">
                  <c:v>5.82386E-6</c:v>
                </c:pt>
                <c:pt idx="38">
                  <c:v>5.7133300000000004E-6</c:v>
                </c:pt>
                <c:pt idx="39">
                  <c:v>6.1892399999999997E-4</c:v>
                </c:pt>
                <c:pt idx="40">
                  <c:v>6.3799099999999997E-4</c:v>
                </c:pt>
                <c:pt idx="41">
                  <c:v>6.4950399999999997E-4</c:v>
                </c:pt>
                <c:pt idx="42">
                  <c:v>6.5751500000000001E-4</c:v>
                </c:pt>
                <c:pt idx="43">
                  <c:v>6.6327300000000003E-4</c:v>
                </c:pt>
                <c:pt idx="44">
                  <c:v>6.6932099999999996E-4</c:v>
                </c:pt>
                <c:pt idx="45">
                  <c:v>6.7402800000000002E-4</c:v>
                </c:pt>
                <c:pt idx="46">
                  <c:v>6.7792899999999997E-4</c:v>
                </c:pt>
                <c:pt idx="47">
                  <c:v>6.8260599999999999E-4</c:v>
                </c:pt>
                <c:pt idx="48">
                  <c:v>6.8640400000000005E-4</c:v>
                </c:pt>
                <c:pt idx="49">
                  <c:v>6.8886399999999997E-4</c:v>
                </c:pt>
                <c:pt idx="50">
                  <c:v>6.9271899999999995E-4</c:v>
                </c:pt>
                <c:pt idx="51">
                  <c:v>6.9519899999999997E-4</c:v>
                </c:pt>
                <c:pt idx="52">
                  <c:v>6.9847500000000005E-4</c:v>
                </c:pt>
                <c:pt idx="53">
                  <c:v>7.0178199999999997E-4</c:v>
                </c:pt>
                <c:pt idx="54">
                  <c:v>7.0388199999999997E-4</c:v>
                </c:pt>
                <c:pt idx="55">
                  <c:v>7.0624299999999995E-4</c:v>
                </c:pt>
                <c:pt idx="56">
                  <c:v>7.0992199999999998E-4</c:v>
                </c:pt>
                <c:pt idx="57">
                  <c:v>7.1326500000000004E-4</c:v>
                </c:pt>
                <c:pt idx="58">
                  <c:v>7.1547400000000001E-4</c:v>
                </c:pt>
                <c:pt idx="59">
                  <c:v>7.1616300000000002E-4</c:v>
                </c:pt>
                <c:pt idx="60">
                  <c:v>7.20362E-4</c:v>
                </c:pt>
                <c:pt idx="61">
                  <c:v>7.2335900000000002E-4</c:v>
                </c:pt>
                <c:pt idx="62">
                  <c:v>7.2620900000000001E-4</c:v>
                </c:pt>
                <c:pt idx="63">
                  <c:v>7.2848200000000002E-4</c:v>
                </c:pt>
                <c:pt idx="64">
                  <c:v>7.3162200000000002E-4</c:v>
                </c:pt>
                <c:pt idx="65">
                  <c:v>7.3481700000000002E-4</c:v>
                </c:pt>
                <c:pt idx="66">
                  <c:v>7.3720700000000003E-4</c:v>
                </c:pt>
                <c:pt idx="67">
                  <c:v>7.3984300000000001E-4</c:v>
                </c:pt>
                <c:pt idx="68">
                  <c:v>5.4653699999999998E-6</c:v>
                </c:pt>
                <c:pt idx="69">
                  <c:v>5.4431999999999998E-6</c:v>
                </c:pt>
                <c:pt idx="70">
                  <c:v>5.3787699999999997E-6</c:v>
                </c:pt>
                <c:pt idx="71">
                  <c:v>5.3293300000000004E-6</c:v>
                </c:pt>
                <c:pt idx="72">
                  <c:v>5.2870700000000002E-6</c:v>
                </c:pt>
                <c:pt idx="73">
                  <c:v>5.2484600000000004E-6</c:v>
                </c:pt>
                <c:pt idx="74">
                  <c:v>5.2136100000000002E-6</c:v>
                </c:pt>
                <c:pt idx="75">
                  <c:v>5.1799799999999998E-6</c:v>
                </c:pt>
                <c:pt idx="76">
                  <c:v>5.1522499999999997E-6</c:v>
                </c:pt>
                <c:pt idx="77">
                  <c:v>5.1373300000000003E-6</c:v>
                </c:pt>
                <c:pt idx="78">
                  <c:v>6.2504200000000002E-4</c:v>
                </c:pt>
                <c:pt idx="79">
                  <c:v>6.4331100000000003E-4</c:v>
                </c:pt>
                <c:pt idx="80">
                  <c:v>6.5525999999999996E-4</c:v>
                </c:pt>
                <c:pt idx="81">
                  <c:v>6.6602199999999995E-4</c:v>
                </c:pt>
                <c:pt idx="82">
                  <c:v>6.7444E-4</c:v>
                </c:pt>
                <c:pt idx="83">
                  <c:v>6.8104099999999996E-4</c:v>
                </c:pt>
                <c:pt idx="84">
                  <c:v>6.8632299999999997E-4</c:v>
                </c:pt>
                <c:pt idx="85">
                  <c:v>6.9170400000000002E-4</c:v>
                </c:pt>
                <c:pt idx="86">
                  <c:v>6.9793700000000004E-4</c:v>
                </c:pt>
                <c:pt idx="87">
                  <c:v>7.0135399999999995E-4</c:v>
                </c:pt>
                <c:pt idx="88">
                  <c:v>7.0605600000000004E-4</c:v>
                </c:pt>
                <c:pt idx="89">
                  <c:v>7.1167500000000005E-4</c:v>
                </c:pt>
                <c:pt idx="90">
                  <c:v>7.1462200000000004E-4</c:v>
                </c:pt>
                <c:pt idx="91">
                  <c:v>7.1694E-4</c:v>
                </c:pt>
                <c:pt idx="92">
                  <c:v>7.2179700000000004E-4</c:v>
                </c:pt>
                <c:pt idx="93">
                  <c:v>7.2574800000000002E-4</c:v>
                </c:pt>
                <c:pt idx="94">
                  <c:v>7.2841699999999998E-4</c:v>
                </c:pt>
                <c:pt idx="95">
                  <c:v>7.3063200000000005E-4</c:v>
                </c:pt>
                <c:pt idx="96">
                  <c:v>7.3371799999999996E-4</c:v>
                </c:pt>
                <c:pt idx="97">
                  <c:v>7.3724200000000004E-4</c:v>
                </c:pt>
                <c:pt idx="98">
                  <c:v>7.4116500000000001E-4</c:v>
                </c:pt>
                <c:pt idx="99">
                  <c:v>7.4582299999999995E-4</c:v>
                </c:pt>
                <c:pt idx="100">
                  <c:v>7.5014700000000005E-4</c:v>
                </c:pt>
                <c:pt idx="101">
                  <c:v>7.5254300000000005E-4</c:v>
                </c:pt>
                <c:pt idx="102">
                  <c:v>7.5828199999999999E-4</c:v>
                </c:pt>
                <c:pt idx="103">
                  <c:v>7.6185999999999995E-4</c:v>
                </c:pt>
                <c:pt idx="104">
                  <c:v>7.6627800000000001E-4</c:v>
                </c:pt>
                <c:pt idx="105">
                  <c:v>7.7146500000000004E-4</c:v>
                </c:pt>
                <c:pt idx="106">
                  <c:v>7.7657799999999999E-4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F0-4055-BE5D-678735D1BF70}"/>
            </c:ext>
          </c:extLst>
        </c:ser>
        <c:ser>
          <c:idx val="1"/>
          <c:order val="1"/>
          <c:tx>
            <c:strRef>
              <c:f>'NAD003 P+ 24 hpi'!$R$1:$R$2</c:f>
              <c:strCache>
                <c:ptCount val="2"/>
                <c:pt idx="0">
                  <c:v>Average loss modulus</c:v>
                </c:pt>
                <c:pt idx="1">
                  <c:v>MPa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'NAD003 P+ 24 hpi'!$A$3:$A$132</c:f>
              <c:numCache>
                <c:formatCode>General</c:formatCode>
                <c:ptCount val="130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'NAD003 P+ 24 hpi'!$R$3:$R$132</c:f>
              <c:numCache>
                <c:formatCode>General</c:formatCode>
                <c:ptCount val="130"/>
                <c:pt idx="0">
                  <c:v>1.7898499999999999E-4</c:v>
                </c:pt>
                <c:pt idx="1">
                  <c:v>1.79023E-4</c:v>
                </c:pt>
                <c:pt idx="2">
                  <c:v>1.7929099999999999E-4</c:v>
                </c:pt>
                <c:pt idx="3">
                  <c:v>1.78457E-4</c:v>
                </c:pt>
                <c:pt idx="4">
                  <c:v>1.77448E-4</c:v>
                </c:pt>
                <c:pt idx="5">
                  <c:v>1.7859700000000001E-4</c:v>
                </c:pt>
                <c:pt idx="6">
                  <c:v>1.7807000000000001E-4</c:v>
                </c:pt>
                <c:pt idx="7">
                  <c:v>1.7806399999999999E-4</c:v>
                </c:pt>
                <c:pt idx="8">
                  <c:v>1.7870900000000001E-4</c:v>
                </c:pt>
                <c:pt idx="9">
                  <c:v>1.79001E-4</c:v>
                </c:pt>
                <c:pt idx="10">
                  <c:v>1.7972299999999999E-4</c:v>
                </c:pt>
                <c:pt idx="11">
                  <c:v>1.8051300000000001E-4</c:v>
                </c:pt>
                <c:pt idx="12">
                  <c:v>1.7947899999999999E-4</c:v>
                </c:pt>
                <c:pt idx="13">
                  <c:v>1.7934400000000001E-4</c:v>
                </c:pt>
                <c:pt idx="14">
                  <c:v>1.80223E-4</c:v>
                </c:pt>
                <c:pt idx="15">
                  <c:v>1.80645E-4</c:v>
                </c:pt>
                <c:pt idx="16">
                  <c:v>1.8123E-4</c:v>
                </c:pt>
                <c:pt idx="17">
                  <c:v>1.81705E-4</c:v>
                </c:pt>
                <c:pt idx="18">
                  <c:v>1.8140499999999999E-4</c:v>
                </c:pt>
                <c:pt idx="19">
                  <c:v>1.82308E-4</c:v>
                </c:pt>
                <c:pt idx="20">
                  <c:v>1.8253E-4</c:v>
                </c:pt>
                <c:pt idx="21">
                  <c:v>1.8367500000000001E-4</c:v>
                </c:pt>
                <c:pt idx="22">
                  <c:v>1.8424700000000001E-4</c:v>
                </c:pt>
                <c:pt idx="23">
                  <c:v>1.85176E-4</c:v>
                </c:pt>
                <c:pt idx="24">
                  <c:v>1.8527100000000001E-4</c:v>
                </c:pt>
                <c:pt idx="25">
                  <c:v>1.8629700000000001E-4</c:v>
                </c:pt>
                <c:pt idx="26">
                  <c:v>1.8739700000000001E-4</c:v>
                </c:pt>
                <c:pt idx="27">
                  <c:v>1.8756299999999999E-4</c:v>
                </c:pt>
                <c:pt idx="28">
                  <c:v>1.89156E-4</c:v>
                </c:pt>
                <c:pt idx="29">
                  <c:v>3.30453E-5</c:v>
                </c:pt>
                <c:pt idx="30">
                  <c:v>3.2151199999999998E-5</c:v>
                </c:pt>
                <c:pt idx="31">
                  <c:v>3.1315000000000001E-5</c:v>
                </c:pt>
                <c:pt idx="32">
                  <c:v>3.0723599999999998E-5</c:v>
                </c:pt>
                <c:pt idx="33">
                  <c:v>3.0323000000000001E-5</c:v>
                </c:pt>
                <c:pt idx="34">
                  <c:v>3.0024800000000001E-5</c:v>
                </c:pt>
                <c:pt idx="35">
                  <c:v>2.96982E-5</c:v>
                </c:pt>
                <c:pt idx="36">
                  <c:v>2.94884E-5</c:v>
                </c:pt>
                <c:pt idx="37">
                  <c:v>2.9272600000000002E-5</c:v>
                </c:pt>
                <c:pt idx="38">
                  <c:v>2.8987800000000001E-5</c:v>
                </c:pt>
                <c:pt idx="39">
                  <c:v>1.4154599999999999E-4</c:v>
                </c:pt>
                <c:pt idx="40">
                  <c:v>1.4205700000000001E-4</c:v>
                </c:pt>
                <c:pt idx="41">
                  <c:v>1.4135999999999999E-4</c:v>
                </c:pt>
                <c:pt idx="42">
                  <c:v>1.4040600000000001E-4</c:v>
                </c:pt>
                <c:pt idx="43">
                  <c:v>1.39534E-4</c:v>
                </c:pt>
                <c:pt idx="44">
                  <c:v>1.3827499999999999E-4</c:v>
                </c:pt>
                <c:pt idx="45">
                  <c:v>1.37813E-4</c:v>
                </c:pt>
                <c:pt idx="46">
                  <c:v>1.3783799999999999E-4</c:v>
                </c:pt>
                <c:pt idx="47">
                  <c:v>1.3758999999999999E-4</c:v>
                </c:pt>
                <c:pt idx="48">
                  <c:v>1.3710600000000001E-4</c:v>
                </c:pt>
                <c:pt idx="49">
                  <c:v>1.3720599999999999E-4</c:v>
                </c:pt>
                <c:pt idx="50">
                  <c:v>1.3696300000000001E-4</c:v>
                </c:pt>
                <c:pt idx="51">
                  <c:v>1.3811100000000001E-4</c:v>
                </c:pt>
                <c:pt idx="52">
                  <c:v>1.37319E-4</c:v>
                </c:pt>
                <c:pt idx="53">
                  <c:v>1.3753699999999999E-4</c:v>
                </c:pt>
                <c:pt idx="54">
                  <c:v>1.3781500000000001E-4</c:v>
                </c:pt>
                <c:pt idx="55">
                  <c:v>1.38703E-4</c:v>
                </c:pt>
                <c:pt idx="56">
                  <c:v>1.3807500000000001E-4</c:v>
                </c:pt>
                <c:pt idx="57">
                  <c:v>1.3863800000000001E-4</c:v>
                </c:pt>
                <c:pt idx="58">
                  <c:v>1.3913099999999999E-4</c:v>
                </c:pt>
                <c:pt idx="59">
                  <c:v>1.3448799999999999E-4</c:v>
                </c:pt>
                <c:pt idx="60">
                  <c:v>1.4024299999999999E-4</c:v>
                </c:pt>
                <c:pt idx="61">
                  <c:v>1.3947800000000001E-4</c:v>
                </c:pt>
                <c:pt idx="62">
                  <c:v>1.4098E-4</c:v>
                </c:pt>
                <c:pt idx="63">
                  <c:v>1.4101900000000001E-4</c:v>
                </c:pt>
                <c:pt idx="64">
                  <c:v>1.4176099999999999E-4</c:v>
                </c:pt>
                <c:pt idx="65">
                  <c:v>1.41342E-4</c:v>
                </c:pt>
                <c:pt idx="66">
                  <c:v>1.4207099999999999E-4</c:v>
                </c:pt>
                <c:pt idx="67">
                  <c:v>1.42452E-4</c:v>
                </c:pt>
                <c:pt idx="68">
                  <c:v>2.8731300000000001E-5</c:v>
                </c:pt>
                <c:pt idx="69">
                  <c:v>2.8690399999999999E-5</c:v>
                </c:pt>
                <c:pt idx="70">
                  <c:v>2.8564600000000001E-5</c:v>
                </c:pt>
                <c:pt idx="71">
                  <c:v>2.8512699999999999E-5</c:v>
                </c:pt>
                <c:pt idx="72">
                  <c:v>2.8479500000000001E-5</c:v>
                </c:pt>
                <c:pt idx="73">
                  <c:v>2.84253E-5</c:v>
                </c:pt>
                <c:pt idx="74">
                  <c:v>2.8416400000000001E-5</c:v>
                </c:pt>
                <c:pt idx="75">
                  <c:v>2.8379599999999998E-5</c:v>
                </c:pt>
                <c:pt idx="76">
                  <c:v>2.8355199999999999E-5</c:v>
                </c:pt>
                <c:pt idx="77">
                  <c:v>2.8365999999999999E-5</c:v>
                </c:pt>
                <c:pt idx="78">
                  <c:v>1.46236E-4</c:v>
                </c:pt>
                <c:pt idx="79">
                  <c:v>1.4683799999999999E-4</c:v>
                </c:pt>
                <c:pt idx="80">
                  <c:v>1.4630200000000001E-4</c:v>
                </c:pt>
                <c:pt idx="81">
                  <c:v>1.45613E-4</c:v>
                </c:pt>
                <c:pt idx="82">
                  <c:v>1.45026E-4</c:v>
                </c:pt>
                <c:pt idx="83">
                  <c:v>1.45191E-4</c:v>
                </c:pt>
                <c:pt idx="84">
                  <c:v>1.45041E-4</c:v>
                </c:pt>
                <c:pt idx="85">
                  <c:v>1.45255E-4</c:v>
                </c:pt>
                <c:pt idx="86">
                  <c:v>1.4551899999999999E-4</c:v>
                </c:pt>
                <c:pt idx="87">
                  <c:v>1.4608199999999999E-4</c:v>
                </c:pt>
                <c:pt idx="88">
                  <c:v>1.4634000000000001E-4</c:v>
                </c:pt>
                <c:pt idx="89">
                  <c:v>1.4721999999999999E-4</c:v>
                </c:pt>
                <c:pt idx="90">
                  <c:v>1.4613000000000001E-4</c:v>
                </c:pt>
                <c:pt idx="91">
                  <c:v>1.47274E-4</c:v>
                </c:pt>
                <c:pt idx="92">
                  <c:v>1.4804299999999999E-4</c:v>
                </c:pt>
                <c:pt idx="93">
                  <c:v>1.48441E-4</c:v>
                </c:pt>
                <c:pt idx="94">
                  <c:v>1.4972799999999999E-4</c:v>
                </c:pt>
                <c:pt idx="95">
                  <c:v>1.5056999999999999E-4</c:v>
                </c:pt>
                <c:pt idx="96">
                  <c:v>1.5002599999999999E-4</c:v>
                </c:pt>
                <c:pt idx="97">
                  <c:v>1.4903299999999999E-4</c:v>
                </c:pt>
                <c:pt idx="98">
                  <c:v>1.4988600000000001E-4</c:v>
                </c:pt>
                <c:pt idx="99">
                  <c:v>1.50311E-4</c:v>
                </c:pt>
                <c:pt idx="100">
                  <c:v>1.5114600000000001E-4</c:v>
                </c:pt>
                <c:pt idx="101">
                  <c:v>1.51442E-4</c:v>
                </c:pt>
                <c:pt idx="102">
                  <c:v>1.5287699999999999E-4</c:v>
                </c:pt>
                <c:pt idx="103">
                  <c:v>1.5341399999999999E-4</c:v>
                </c:pt>
                <c:pt idx="104">
                  <c:v>1.5381300000000001E-4</c:v>
                </c:pt>
                <c:pt idx="105">
                  <c:v>1.5394900000000001E-4</c:v>
                </c:pt>
                <c:pt idx="106">
                  <c:v>1.5441599999999999E-4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F0-4055-BE5D-678735D1B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908720"/>
        <c:axId val="1129758512"/>
      </c:scatterChart>
      <c:valAx>
        <c:axId val="11279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758512"/>
        <c:crosses val="autoZero"/>
        <c:crossBetween val="midCat"/>
      </c:valAx>
      <c:valAx>
        <c:axId val="1129758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0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comparison'!$B$1</c:f>
              <c:strCache>
                <c:ptCount val="1"/>
                <c:pt idx="0">
                  <c:v>WT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comparison'!$B$2:$B$108</c:f>
              <c:numCache>
                <c:formatCode>General</c:formatCode>
                <c:ptCount val="107"/>
                <c:pt idx="0">
                  <c:v>100</c:v>
                </c:pt>
                <c:pt idx="1">
                  <c:v>100.04371105953179</c:v>
                </c:pt>
                <c:pt idx="2">
                  <c:v>100.16667033454756</c:v>
                </c:pt>
                <c:pt idx="3">
                  <c:v>100.3251550320614</c:v>
                </c:pt>
                <c:pt idx="4">
                  <c:v>100.2717153860321</c:v>
                </c:pt>
                <c:pt idx="5">
                  <c:v>100.25350317577288</c:v>
                </c:pt>
                <c:pt idx="6">
                  <c:v>100.33039619156705</c:v>
                </c:pt>
                <c:pt idx="7">
                  <c:v>100.3389549420272</c:v>
                </c:pt>
                <c:pt idx="8">
                  <c:v>100.29126208438765</c:v>
                </c:pt>
                <c:pt idx="9">
                  <c:v>100.29858223852993</c:v>
                </c:pt>
                <c:pt idx="10">
                  <c:v>100.36051075815924</c:v>
                </c:pt>
                <c:pt idx="11">
                  <c:v>100.31134377636359</c:v>
                </c:pt>
                <c:pt idx="12">
                  <c:v>100.33776742710158</c:v>
                </c:pt>
                <c:pt idx="13">
                  <c:v>100.28900723087509</c:v>
                </c:pt>
                <c:pt idx="14">
                  <c:v>100.40404724322069</c:v>
                </c:pt>
                <c:pt idx="15">
                  <c:v>100.51729966596109</c:v>
                </c:pt>
                <c:pt idx="16">
                  <c:v>100.61329115888094</c:v>
                </c:pt>
                <c:pt idx="17">
                  <c:v>100.70008714001483</c:v>
                </c:pt>
                <c:pt idx="18">
                  <c:v>100.81706885460282</c:v>
                </c:pt>
                <c:pt idx="19">
                  <c:v>100.95523808101484</c:v>
                </c:pt>
                <c:pt idx="20">
                  <c:v>101.17196720872683</c:v>
                </c:pt>
                <c:pt idx="21">
                  <c:v>101.39348447087815</c:v>
                </c:pt>
                <c:pt idx="22">
                  <c:v>101.59783708318805</c:v>
                </c:pt>
                <c:pt idx="23">
                  <c:v>101.77508459774326</c:v>
                </c:pt>
                <c:pt idx="24">
                  <c:v>102.05870455562253</c:v>
                </c:pt>
                <c:pt idx="25">
                  <c:v>102.30158372502031</c:v>
                </c:pt>
                <c:pt idx="26">
                  <c:v>102.58236634634761</c:v>
                </c:pt>
                <c:pt idx="27">
                  <c:v>102.89739145936564</c:v>
                </c:pt>
                <c:pt idx="28">
                  <c:v>103.24115509495239</c:v>
                </c:pt>
                <c:pt idx="29">
                  <c:v>0.66399296041515787</c:v>
                </c:pt>
                <c:pt idx="30">
                  <c:v>0.64525953059004371</c:v>
                </c:pt>
                <c:pt idx="31">
                  <c:v>0.62349088093811766</c:v>
                </c:pt>
                <c:pt idx="32">
                  <c:v>0.60607592869074411</c:v>
                </c:pt>
                <c:pt idx="33">
                  <c:v>0.58978031314095836</c:v>
                </c:pt>
                <c:pt idx="34">
                  <c:v>0.57677318634592123</c:v>
                </c:pt>
                <c:pt idx="35">
                  <c:v>0.56411219894019793</c:v>
                </c:pt>
                <c:pt idx="36">
                  <c:v>0.55505363898698767</c:v>
                </c:pt>
                <c:pt idx="37">
                  <c:v>0.54551328684868639</c:v>
                </c:pt>
                <c:pt idx="38">
                  <c:v>0.53768718321375697</c:v>
                </c:pt>
                <c:pt idx="39">
                  <c:v>60.123833089731761</c:v>
                </c:pt>
                <c:pt idx="40">
                  <c:v>61.781687898938664</c:v>
                </c:pt>
                <c:pt idx="41">
                  <c:v>62.829835930826995</c:v>
                </c:pt>
                <c:pt idx="42">
                  <c:v>63.54519125351505</c:v>
                </c:pt>
                <c:pt idx="43">
                  <c:v>64.153729786159332</c:v>
                </c:pt>
                <c:pt idx="44">
                  <c:v>64.635724103190725</c:v>
                </c:pt>
                <c:pt idx="45">
                  <c:v>65.013176611033728</c:v>
                </c:pt>
                <c:pt idx="46">
                  <c:v>65.320612963320528</c:v>
                </c:pt>
                <c:pt idx="47">
                  <c:v>65.603208309412764</c:v>
                </c:pt>
                <c:pt idx="48">
                  <c:v>65.815898190734757</c:v>
                </c:pt>
                <c:pt idx="49">
                  <c:v>66.08845596663248</c:v>
                </c:pt>
                <c:pt idx="50">
                  <c:v>66.316031829663245</c:v>
                </c:pt>
                <c:pt idx="51">
                  <c:v>66.553339184477807</c:v>
                </c:pt>
                <c:pt idx="52">
                  <c:v>66.765494745652873</c:v>
                </c:pt>
                <c:pt idx="53">
                  <c:v>66.999534501886089</c:v>
                </c:pt>
                <c:pt idx="54">
                  <c:v>67.211230319802084</c:v>
                </c:pt>
                <c:pt idx="55">
                  <c:v>67.464549934245824</c:v>
                </c:pt>
                <c:pt idx="56">
                  <c:v>67.590437726706753</c:v>
                </c:pt>
                <c:pt idx="57">
                  <c:v>67.763584049136412</c:v>
                </c:pt>
                <c:pt idx="58">
                  <c:v>68.017784575217902</c:v>
                </c:pt>
                <c:pt idx="59">
                  <c:v>68.223636781213983</c:v>
                </c:pt>
                <c:pt idx="60">
                  <c:v>68.377065521892021</c:v>
                </c:pt>
                <c:pt idx="61">
                  <c:v>68.64145184763828</c:v>
                </c:pt>
                <c:pt idx="62">
                  <c:v>68.862348598995652</c:v>
                </c:pt>
                <c:pt idx="63">
                  <c:v>69.065691377923898</c:v>
                </c:pt>
                <c:pt idx="64">
                  <c:v>69.280794408992321</c:v>
                </c:pt>
                <c:pt idx="65">
                  <c:v>69.499437190871291</c:v>
                </c:pt>
                <c:pt idx="66">
                  <c:v>69.715035647682967</c:v>
                </c:pt>
                <c:pt idx="67">
                  <c:v>69.902632358190274</c:v>
                </c:pt>
                <c:pt idx="68">
                  <c:v>0.51464157982786018</c:v>
                </c:pt>
                <c:pt idx="69">
                  <c:v>0.50885595957457841</c:v>
                </c:pt>
                <c:pt idx="70">
                  <c:v>0.50189874486891872</c:v>
                </c:pt>
                <c:pt idx="71">
                  <c:v>0.49621139271784126</c:v>
                </c:pt>
                <c:pt idx="72">
                  <c:v>0.49211531820362725</c:v>
                </c:pt>
                <c:pt idx="73">
                  <c:v>0.48860971702226114</c:v>
                </c:pt>
                <c:pt idx="74">
                  <c:v>0.4850317608226325</c:v>
                </c:pt>
                <c:pt idx="75">
                  <c:v>0.48061764377249555</c:v>
                </c:pt>
                <c:pt idx="76">
                  <c:v>0.47730605702996193</c:v>
                </c:pt>
                <c:pt idx="77">
                  <c:v>0.47385869576951106</c:v>
                </c:pt>
                <c:pt idx="78">
                  <c:v>59.145001651994612</c:v>
                </c:pt>
                <c:pt idx="79">
                  <c:v>60.954513427351664</c:v>
                </c:pt>
                <c:pt idx="80">
                  <c:v>62.120346712015873</c:v>
                </c:pt>
                <c:pt idx="81">
                  <c:v>63.015276394837798</c:v>
                </c:pt>
                <c:pt idx="82">
                  <c:v>63.811545559432943</c:v>
                </c:pt>
                <c:pt idx="83">
                  <c:v>64.412407988351347</c:v>
                </c:pt>
                <c:pt idx="84">
                  <c:v>64.879563738869692</c:v>
                </c:pt>
                <c:pt idx="85">
                  <c:v>65.270931020702548</c:v>
                </c:pt>
                <c:pt idx="86">
                  <c:v>65.669806690146871</c:v>
                </c:pt>
                <c:pt idx="87">
                  <c:v>65.986372751143236</c:v>
                </c:pt>
                <c:pt idx="88">
                  <c:v>66.244583959069359</c:v>
                </c:pt>
                <c:pt idx="89">
                  <c:v>66.531311756645536</c:v>
                </c:pt>
                <c:pt idx="90">
                  <c:v>66.983345480656268</c:v>
                </c:pt>
                <c:pt idx="91">
                  <c:v>67.321966530028092</c:v>
                </c:pt>
                <c:pt idx="92">
                  <c:v>67.627678584326318</c:v>
                </c:pt>
                <c:pt idx="93">
                  <c:v>67.913315927227814</c:v>
                </c:pt>
                <c:pt idx="94">
                  <c:v>68.184154195380856</c:v>
                </c:pt>
                <c:pt idx="95">
                  <c:v>68.48518263225013</c:v>
                </c:pt>
                <c:pt idx="96">
                  <c:v>68.733050417477799</c:v>
                </c:pt>
                <c:pt idx="97">
                  <c:v>68.945361673336251</c:v>
                </c:pt>
                <c:pt idx="98">
                  <c:v>69.365156829503547</c:v>
                </c:pt>
                <c:pt idx="99">
                  <c:v>69.692875317838912</c:v>
                </c:pt>
                <c:pt idx="100">
                  <c:v>70.011233928121626</c:v>
                </c:pt>
                <c:pt idx="101">
                  <c:v>70.335719798632567</c:v>
                </c:pt>
                <c:pt idx="102">
                  <c:v>70.696599578019885</c:v>
                </c:pt>
                <c:pt idx="103">
                  <c:v>70.956691221499227</c:v>
                </c:pt>
                <c:pt idx="104">
                  <c:v>71.27039898532378</c:v>
                </c:pt>
                <c:pt idx="105">
                  <c:v>71.639928018003062</c:v>
                </c:pt>
                <c:pt idx="106">
                  <c:v>72.00588533225239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2-4B0B-8920-268B4CA4A979}"/>
            </c:ext>
          </c:extLst>
        </c:ser>
        <c:ser>
          <c:idx val="1"/>
          <c:order val="1"/>
          <c:tx>
            <c:strRef>
              <c:f>'Average comparison'!$E$1</c:f>
              <c:strCache>
                <c:ptCount val="1"/>
                <c:pt idx="0">
                  <c:v>Spore-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comparison'!$E$2:$E$108</c:f>
              <c:numCache>
                <c:formatCode>General</c:formatCode>
                <c:ptCount val="107"/>
                <c:pt idx="0">
                  <c:v>100</c:v>
                </c:pt>
                <c:pt idx="1">
                  <c:v>100.09348516919631</c:v>
                </c:pt>
                <c:pt idx="2">
                  <c:v>100.3094709312727</c:v>
                </c:pt>
                <c:pt idx="3">
                  <c:v>100.41046662419501</c:v>
                </c:pt>
                <c:pt idx="4">
                  <c:v>100.47713069836972</c:v>
                </c:pt>
                <c:pt idx="5">
                  <c:v>100.51178772700247</c:v>
                </c:pt>
                <c:pt idx="6">
                  <c:v>100.57714827048945</c:v>
                </c:pt>
                <c:pt idx="7">
                  <c:v>100.64167124712533</c:v>
                </c:pt>
                <c:pt idx="8">
                  <c:v>100.60274602638013</c:v>
                </c:pt>
                <c:pt idx="9">
                  <c:v>100.55779074055374</c:v>
                </c:pt>
                <c:pt idx="10">
                  <c:v>100.57853607813867</c:v>
                </c:pt>
                <c:pt idx="11">
                  <c:v>100.55151660855482</c:v>
                </c:pt>
                <c:pt idx="12">
                  <c:v>100.54788146078529</c:v>
                </c:pt>
                <c:pt idx="13">
                  <c:v>100.58915331927871</c:v>
                </c:pt>
                <c:pt idx="14">
                  <c:v>100.57652630068982</c:v>
                </c:pt>
                <c:pt idx="15">
                  <c:v>100.5651329292221</c:v>
                </c:pt>
                <c:pt idx="16">
                  <c:v>100.57304108009238</c:v>
                </c:pt>
                <c:pt idx="17">
                  <c:v>100.51318790520072</c:v>
                </c:pt>
                <c:pt idx="18">
                  <c:v>100.57978440443488</c:v>
                </c:pt>
                <c:pt idx="19">
                  <c:v>100.64300967796267</c:v>
                </c:pt>
                <c:pt idx="20">
                  <c:v>100.68106355518245</c:v>
                </c:pt>
                <c:pt idx="21">
                  <c:v>100.76008910579969</c:v>
                </c:pt>
                <c:pt idx="22">
                  <c:v>100.92359631085476</c:v>
                </c:pt>
                <c:pt idx="23">
                  <c:v>100.96260949624104</c:v>
                </c:pt>
                <c:pt idx="24">
                  <c:v>101.04657908385775</c:v>
                </c:pt>
                <c:pt idx="25">
                  <c:v>101.18117205113981</c:v>
                </c:pt>
                <c:pt idx="26">
                  <c:v>101.34148248640112</c:v>
                </c:pt>
                <c:pt idx="27">
                  <c:v>101.48343187107746</c:v>
                </c:pt>
                <c:pt idx="28">
                  <c:v>101.63918089825135</c:v>
                </c:pt>
                <c:pt idx="29">
                  <c:v>0.59264253584825866</c:v>
                </c:pt>
                <c:pt idx="30">
                  <c:v>0.57637602508185026</c:v>
                </c:pt>
                <c:pt idx="31">
                  <c:v>0.559022270845976</c:v>
                </c:pt>
                <c:pt idx="32">
                  <c:v>0.54643026810407136</c:v>
                </c:pt>
                <c:pt idx="33">
                  <c:v>0.53603819315901802</c:v>
                </c:pt>
                <c:pt idx="34">
                  <c:v>0.52630512901765825</c:v>
                </c:pt>
                <c:pt idx="35">
                  <c:v>0.51821660926249358</c:v>
                </c:pt>
                <c:pt idx="36">
                  <c:v>0.51114859263249024</c:v>
                </c:pt>
                <c:pt idx="37">
                  <c:v>0.50402582890095848</c:v>
                </c:pt>
                <c:pt idx="38">
                  <c:v>0.49848582979462658</c:v>
                </c:pt>
                <c:pt idx="39">
                  <c:v>65.954160771915596</c:v>
                </c:pt>
                <c:pt idx="40">
                  <c:v>67.616201632023689</c:v>
                </c:pt>
                <c:pt idx="41">
                  <c:v>68.675901538162009</c:v>
                </c:pt>
                <c:pt idx="42">
                  <c:v>69.454647520094454</c:v>
                </c:pt>
                <c:pt idx="43">
                  <c:v>70.05834582267903</c:v>
                </c:pt>
                <c:pt idx="44">
                  <c:v>70.542517816433261</c:v>
                </c:pt>
                <c:pt idx="45">
                  <c:v>70.948667127566608</c:v>
                </c:pt>
                <c:pt idx="46">
                  <c:v>71.253347127478321</c:v>
                </c:pt>
                <c:pt idx="47">
                  <c:v>71.502027939979868</c:v>
                </c:pt>
                <c:pt idx="48">
                  <c:v>71.772226106517181</c:v>
                </c:pt>
                <c:pt idx="49">
                  <c:v>71.853601528215819</c:v>
                </c:pt>
                <c:pt idx="50">
                  <c:v>72.13241747866185</c:v>
                </c:pt>
                <c:pt idx="51">
                  <c:v>72.330055052529588</c:v>
                </c:pt>
                <c:pt idx="52">
                  <c:v>72.555662309996308</c:v>
                </c:pt>
                <c:pt idx="53">
                  <c:v>72.735277145422927</c:v>
                </c:pt>
                <c:pt idx="54">
                  <c:v>72.963444340358663</c:v>
                </c:pt>
                <c:pt idx="55">
                  <c:v>73.131823882558862</c:v>
                </c:pt>
                <c:pt idx="56">
                  <c:v>73.234767674686864</c:v>
                </c:pt>
                <c:pt idx="57">
                  <c:v>73.388767330616801</c:v>
                </c:pt>
                <c:pt idx="58">
                  <c:v>73.54956138871141</c:v>
                </c:pt>
                <c:pt idx="59">
                  <c:v>73.777488720530684</c:v>
                </c:pt>
                <c:pt idx="60">
                  <c:v>73.971874955173675</c:v>
                </c:pt>
                <c:pt idx="61">
                  <c:v>74.138345531138427</c:v>
                </c:pt>
                <c:pt idx="62">
                  <c:v>74.338076444054934</c:v>
                </c:pt>
                <c:pt idx="63">
                  <c:v>74.484178597514543</c:v>
                </c:pt>
                <c:pt idx="64">
                  <c:v>74.620112691096153</c:v>
                </c:pt>
                <c:pt idx="65">
                  <c:v>74.745980442513613</c:v>
                </c:pt>
                <c:pt idx="66">
                  <c:v>74.960203402665442</c:v>
                </c:pt>
                <c:pt idx="67">
                  <c:v>75.188468813193083</c:v>
                </c:pt>
                <c:pt idx="68">
                  <c:v>0.47815120705704145</c:v>
                </c:pt>
                <c:pt idx="69">
                  <c:v>0.4728283704050818</c:v>
                </c:pt>
                <c:pt idx="70">
                  <c:v>0.46724342864547569</c:v>
                </c:pt>
                <c:pt idx="71">
                  <c:v>0.46257808719552646</c:v>
                </c:pt>
                <c:pt idx="72">
                  <c:v>0.45869943307491412</c:v>
                </c:pt>
                <c:pt idx="73">
                  <c:v>0.45517634174856186</c:v>
                </c:pt>
                <c:pt idx="74">
                  <c:v>0.45156133220278977</c:v>
                </c:pt>
                <c:pt idx="75">
                  <c:v>0.44830859273792562</c:v>
                </c:pt>
                <c:pt idx="76">
                  <c:v>0.44519483688095668</c:v>
                </c:pt>
                <c:pt idx="77">
                  <c:v>0.44247901838950288</c:v>
                </c:pt>
                <c:pt idx="78">
                  <c:v>66.276454838567716</c:v>
                </c:pt>
                <c:pt idx="79">
                  <c:v>67.861564717728555</c:v>
                </c:pt>
                <c:pt idx="80">
                  <c:v>69.041571706638834</c:v>
                </c:pt>
                <c:pt idx="81">
                  <c:v>69.90876465488634</c:v>
                </c:pt>
                <c:pt idx="82">
                  <c:v>70.558195466241031</c:v>
                </c:pt>
                <c:pt idx="83">
                  <c:v>71.229339040921005</c:v>
                </c:pt>
                <c:pt idx="84">
                  <c:v>71.713095407079365</c:v>
                </c:pt>
                <c:pt idx="85">
                  <c:v>72.043304611628983</c:v>
                </c:pt>
                <c:pt idx="86">
                  <c:v>72.380668685288526</c:v>
                </c:pt>
                <c:pt idx="87">
                  <c:v>72.670077054876188</c:v>
                </c:pt>
                <c:pt idx="88">
                  <c:v>73.006557199814992</c:v>
                </c:pt>
                <c:pt idx="89">
                  <c:v>73.202577558999153</c:v>
                </c:pt>
                <c:pt idx="90">
                  <c:v>73.598644529661755</c:v>
                </c:pt>
                <c:pt idx="91">
                  <c:v>73.941017474031412</c:v>
                </c:pt>
                <c:pt idx="92">
                  <c:v>74.304743309596333</c:v>
                </c:pt>
                <c:pt idx="93">
                  <c:v>74.470711885008868</c:v>
                </c:pt>
                <c:pt idx="94">
                  <c:v>74.728503845684429</c:v>
                </c:pt>
                <c:pt idx="95">
                  <c:v>75.093941579065969</c:v>
                </c:pt>
                <c:pt idx="96">
                  <c:v>75.276658996451545</c:v>
                </c:pt>
                <c:pt idx="97">
                  <c:v>75.549799263999574</c:v>
                </c:pt>
                <c:pt idx="98">
                  <c:v>75.882426792760597</c:v>
                </c:pt>
                <c:pt idx="99">
                  <c:v>76.28437787769964</c:v>
                </c:pt>
                <c:pt idx="100">
                  <c:v>76.599884871546536</c:v>
                </c:pt>
                <c:pt idx="101">
                  <c:v>76.914206459320127</c:v>
                </c:pt>
                <c:pt idx="102">
                  <c:v>77.298845677632769</c:v>
                </c:pt>
                <c:pt idx="103">
                  <c:v>77.65147425711956</c:v>
                </c:pt>
                <c:pt idx="104">
                  <c:v>77.892752982650578</c:v>
                </c:pt>
                <c:pt idx="105">
                  <c:v>78.363395514629929</c:v>
                </c:pt>
                <c:pt idx="106">
                  <c:v>78.793239476793076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62-4B0B-8920-268B4CA4A979}"/>
            </c:ext>
          </c:extLst>
        </c:ser>
        <c:ser>
          <c:idx val="2"/>
          <c:order val="2"/>
          <c:tx>
            <c:strRef>
              <c:f>'Average comparison'!$H$1</c:f>
              <c:strCache>
                <c:ptCount val="1"/>
                <c:pt idx="0">
                  <c:v>PGA-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comparison'!$H$2:$H$108</c:f>
              <c:numCache>
                <c:formatCode>General</c:formatCode>
                <c:ptCount val="107"/>
                <c:pt idx="0">
                  <c:v>100</c:v>
                </c:pt>
                <c:pt idx="1">
                  <c:v>101.54820645646275</c:v>
                </c:pt>
                <c:pt idx="2">
                  <c:v>103.12103031996492</c:v>
                </c:pt>
                <c:pt idx="3">
                  <c:v>104.80117950066551</c:v>
                </c:pt>
                <c:pt idx="4">
                  <c:v>106.60726928563149</c:v>
                </c:pt>
                <c:pt idx="5">
                  <c:v>108.16838439700942</c:v>
                </c:pt>
                <c:pt idx="6">
                  <c:v>109.76901203444326</c:v>
                </c:pt>
                <c:pt idx="7">
                  <c:v>111.57589962834329</c:v>
                </c:pt>
                <c:pt idx="8">
                  <c:v>113.29927980453299</c:v>
                </c:pt>
                <c:pt idx="9">
                  <c:v>115.01397154077418</c:v>
                </c:pt>
                <c:pt idx="10">
                  <c:v>116.7055534631379</c:v>
                </c:pt>
                <c:pt idx="11">
                  <c:v>118.66483732746879</c:v>
                </c:pt>
                <c:pt idx="12">
                  <c:v>120.54451433370427</c:v>
                </c:pt>
                <c:pt idx="13">
                  <c:v>122.47130926697859</c:v>
                </c:pt>
                <c:pt idx="14">
                  <c:v>124.38815506737937</c:v>
                </c:pt>
                <c:pt idx="15">
                  <c:v>126.79526450981805</c:v>
                </c:pt>
                <c:pt idx="16">
                  <c:v>128.89193657275567</c:v>
                </c:pt>
                <c:pt idx="17">
                  <c:v>130.94585560726884</c:v>
                </c:pt>
                <c:pt idx="18">
                  <c:v>133.21245677144</c:v>
                </c:pt>
                <c:pt idx="19">
                  <c:v>135.20969775988357</c:v>
                </c:pt>
                <c:pt idx="20">
                  <c:v>137.3210567298118</c:v>
                </c:pt>
                <c:pt idx="21">
                  <c:v>139.62987239618752</c:v>
                </c:pt>
                <c:pt idx="22">
                  <c:v>141.81285944750951</c:v>
                </c:pt>
                <c:pt idx="23">
                  <c:v>144.18453931162429</c:v>
                </c:pt>
                <c:pt idx="24">
                  <c:v>146.46257686948255</c:v>
                </c:pt>
                <c:pt idx="25">
                  <c:v>148.6930579841258</c:v>
                </c:pt>
                <c:pt idx="26">
                  <c:v>150.77619521374839</c:v>
                </c:pt>
                <c:pt idx="27">
                  <c:v>153.18568170122199</c:v>
                </c:pt>
                <c:pt idx="28">
                  <c:v>155.3020955279402</c:v>
                </c:pt>
                <c:pt idx="29">
                  <c:v>0.13559261976372888</c:v>
                </c:pt>
                <c:pt idx="30">
                  <c:v>0.13765191159224602</c:v>
                </c:pt>
                <c:pt idx="31">
                  <c:v>0.13638146324079373</c:v>
                </c:pt>
                <c:pt idx="32">
                  <c:v>0.13502576150680062</c:v>
                </c:pt>
                <c:pt idx="33">
                  <c:v>0.13482236035910189</c:v>
                </c:pt>
                <c:pt idx="34">
                  <c:v>0.13390072953907223</c:v>
                </c:pt>
                <c:pt idx="35">
                  <c:v>0.13345930140257486</c:v>
                </c:pt>
                <c:pt idx="36">
                  <c:v>0.13290559873525387</c:v>
                </c:pt>
                <c:pt idx="37">
                  <c:v>0.13241419370055843</c:v>
                </c:pt>
                <c:pt idx="38">
                  <c:v>0.13191647438831117</c:v>
                </c:pt>
                <c:pt idx="39">
                  <c:v>62.594691227328532</c:v>
                </c:pt>
                <c:pt idx="40">
                  <c:v>66.229826879646765</c:v>
                </c:pt>
                <c:pt idx="41">
                  <c:v>68.912629418431933</c:v>
                </c:pt>
                <c:pt idx="42">
                  <c:v>71.189477621574596</c:v>
                </c:pt>
                <c:pt idx="43">
                  <c:v>73.212851460045101</c:v>
                </c:pt>
                <c:pt idx="44">
                  <c:v>75.302895779088288</c:v>
                </c:pt>
                <c:pt idx="45">
                  <c:v>77.244544909420625</c:v>
                </c:pt>
                <c:pt idx="46">
                  <c:v>79.272430638520504</c:v>
                </c:pt>
                <c:pt idx="47">
                  <c:v>81.178385514892241</c:v>
                </c:pt>
                <c:pt idx="48">
                  <c:v>83.13537688648583</c:v>
                </c:pt>
                <c:pt idx="49">
                  <c:v>85.113435899537308</c:v>
                </c:pt>
                <c:pt idx="50">
                  <c:v>87.149731639732281</c:v>
                </c:pt>
                <c:pt idx="51">
                  <c:v>89.090648166799795</c:v>
                </c:pt>
                <c:pt idx="52">
                  <c:v>91.197832475847889</c:v>
                </c:pt>
                <c:pt idx="53">
                  <c:v>93.130846050540242</c:v>
                </c:pt>
                <c:pt idx="54">
                  <c:v>95.104986477007017</c:v>
                </c:pt>
                <c:pt idx="55">
                  <c:v>97.069053187844332</c:v>
                </c:pt>
                <c:pt idx="56">
                  <c:v>99.23120670986863</c:v>
                </c:pt>
                <c:pt idx="57">
                  <c:v>101.29778286704922</c:v>
                </c:pt>
                <c:pt idx="58">
                  <c:v>103.42163303951315</c:v>
                </c:pt>
                <c:pt idx="59">
                  <c:v>105.51152098219275</c:v>
                </c:pt>
                <c:pt idx="60">
                  <c:v>107.70786442867805</c:v>
                </c:pt>
                <c:pt idx="61">
                  <c:v>109.8222974018388</c:v>
                </c:pt>
                <c:pt idx="62">
                  <c:v>111.90755008308284</c:v>
                </c:pt>
                <c:pt idx="63">
                  <c:v>114.05041182496367</c:v>
                </c:pt>
                <c:pt idx="64">
                  <c:v>116.33276276330101</c:v>
                </c:pt>
                <c:pt idx="65">
                  <c:v>118.68759790365523</c:v>
                </c:pt>
                <c:pt idx="66">
                  <c:v>120.95751735721542</c:v>
                </c:pt>
                <c:pt idx="67">
                  <c:v>123.09191689720942</c:v>
                </c:pt>
                <c:pt idx="68">
                  <c:v>0.12744943867319644</c:v>
                </c:pt>
                <c:pt idx="69">
                  <c:v>0.12951768651415707</c:v>
                </c:pt>
                <c:pt idx="70">
                  <c:v>0.12896134940011464</c:v>
                </c:pt>
                <c:pt idx="71">
                  <c:v>0.12892318954562976</c:v>
                </c:pt>
                <c:pt idx="72">
                  <c:v>0.12883261232842147</c:v>
                </c:pt>
                <c:pt idx="73">
                  <c:v>0.12910995668936742</c:v>
                </c:pt>
                <c:pt idx="74">
                  <c:v>0.12940346977609302</c:v>
                </c:pt>
                <c:pt idx="75">
                  <c:v>0.12958530204490407</c:v>
                </c:pt>
                <c:pt idx="76">
                  <c:v>0.12969428833960817</c:v>
                </c:pt>
                <c:pt idx="77">
                  <c:v>0.12976466847146034</c:v>
                </c:pt>
                <c:pt idx="78">
                  <c:v>62.590201616135275</c:v>
                </c:pt>
                <c:pt idx="79">
                  <c:v>65.926699640765932</c:v>
                </c:pt>
                <c:pt idx="80">
                  <c:v>68.483883801752697</c:v>
                </c:pt>
                <c:pt idx="81">
                  <c:v>70.750867163984182</c:v>
                </c:pt>
                <c:pt idx="82">
                  <c:v>72.852274587386589</c:v>
                </c:pt>
                <c:pt idx="83">
                  <c:v>74.906709111435291</c:v>
                </c:pt>
                <c:pt idx="84">
                  <c:v>76.825471246600927</c:v>
                </c:pt>
                <c:pt idx="85">
                  <c:v>78.546501967034757</c:v>
                </c:pt>
                <c:pt idx="86">
                  <c:v>80.349908301734416</c:v>
                </c:pt>
                <c:pt idx="87">
                  <c:v>81.92936524775233</c:v>
                </c:pt>
                <c:pt idx="88">
                  <c:v>83.592646530620698</c:v>
                </c:pt>
                <c:pt idx="89">
                  <c:v>85.383481827671872</c:v>
                </c:pt>
                <c:pt idx="90">
                  <c:v>87.016311410950806</c:v>
                </c:pt>
                <c:pt idx="91">
                  <c:v>88.632504577889819</c:v>
                </c:pt>
                <c:pt idx="92">
                  <c:v>90.210124232053801</c:v>
                </c:pt>
                <c:pt idx="93">
                  <c:v>91.950121742696837</c:v>
                </c:pt>
                <c:pt idx="94">
                  <c:v>93.60319680823774</c:v>
                </c:pt>
                <c:pt idx="95">
                  <c:v>95.065155569436527</c:v>
                </c:pt>
                <c:pt idx="96">
                  <c:v>96.845991853856532</c:v>
                </c:pt>
                <c:pt idx="97">
                  <c:v>98.515325765921219</c:v>
                </c:pt>
                <c:pt idx="98">
                  <c:v>100.01763265711024</c:v>
                </c:pt>
                <c:pt idx="99">
                  <c:v>101.65392510343159</c:v>
                </c:pt>
                <c:pt idx="100">
                  <c:v>103.40777463705226</c:v>
                </c:pt>
                <c:pt idx="101">
                  <c:v>104.99831462517609</c:v>
                </c:pt>
                <c:pt idx="102">
                  <c:v>106.68535841590005</c:v>
                </c:pt>
                <c:pt idx="103">
                  <c:v>108.19531390141132</c:v>
                </c:pt>
                <c:pt idx="104">
                  <c:v>110.03587426325001</c:v>
                </c:pt>
                <c:pt idx="105">
                  <c:v>111.74303919002782</c:v>
                </c:pt>
                <c:pt idx="106">
                  <c:v>113.42184880046027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62-4B0B-8920-268B4CA4A979}"/>
            </c:ext>
          </c:extLst>
        </c:ser>
        <c:ser>
          <c:idx val="3"/>
          <c:order val="3"/>
          <c:tx>
            <c:strRef>
              <c:f>'Average comparison'!$K$1</c:f>
              <c:strCache>
                <c:ptCount val="1"/>
                <c:pt idx="0">
                  <c:v>EPS-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comparison'!$K$2:$K$108</c:f>
              <c:numCache>
                <c:formatCode>General</c:formatCode>
                <c:ptCount val="107"/>
                <c:pt idx="0">
                  <c:v>100</c:v>
                </c:pt>
                <c:pt idx="1">
                  <c:v>102.19707247838106</c:v>
                </c:pt>
                <c:pt idx="2">
                  <c:v>104.38469872199977</c:v>
                </c:pt>
                <c:pt idx="3">
                  <c:v>106.63475671623189</c:v>
                </c:pt>
                <c:pt idx="4">
                  <c:v>108.83134093668563</c:v>
                </c:pt>
                <c:pt idx="5">
                  <c:v>110.80318499293826</c:v>
                </c:pt>
                <c:pt idx="6">
                  <c:v>113.15672220760023</c:v>
                </c:pt>
                <c:pt idx="7">
                  <c:v>115.52423453321337</c:v>
                </c:pt>
                <c:pt idx="8">
                  <c:v>117.72280334535414</c:v>
                </c:pt>
                <c:pt idx="9">
                  <c:v>119.82415528386325</c:v>
                </c:pt>
                <c:pt idx="10">
                  <c:v>122.3259478148637</c:v>
                </c:pt>
                <c:pt idx="11">
                  <c:v>124.5566039580229</c:v>
                </c:pt>
                <c:pt idx="12">
                  <c:v>126.58393971538764</c:v>
                </c:pt>
                <c:pt idx="13">
                  <c:v>129.23890447036888</c:v>
                </c:pt>
                <c:pt idx="14">
                  <c:v>132.19188830457122</c:v>
                </c:pt>
                <c:pt idx="15">
                  <c:v>134.81684430145728</c:v>
                </c:pt>
                <c:pt idx="16">
                  <c:v>137.28296079853888</c:v>
                </c:pt>
                <c:pt idx="17">
                  <c:v>140.35432980405244</c:v>
                </c:pt>
                <c:pt idx="18">
                  <c:v>142.98504205983889</c:v>
                </c:pt>
                <c:pt idx="19">
                  <c:v>145.66493351520401</c:v>
                </c:pt>
                <c:pt idx="20">
                  <c:v>147.948298461669</c:v>
                </c:pt>
                <c:pt idx="21">
                  <c:v>151.05351751800873</c:v>
                </c:pt>
                <c:pt idx="22">
                  <c:v>154.21206210689493</c:v>
                </c:pt>
                <c:pt idx="23">
                  <c:v>156.95599063366748</c:v>
                </c:pt>
                <c:pt idx="24">
                  <c:v>159.96680185399973</c:v>
                </c:pt>
                <c:pt idx="25">
                  <c:v>163.01692712106271</c:v>
                </c:pt>
                <c:pt idx="26">
                  <c:v>166.61360085158995</c:v>
                </c:pt>
                <c:pt idx="27">
                  <c:v>169.45504977084283</c:v>
                </c:pt>
                <c:pt idx="28">
                  <c:v>172.54111024790299</c:v>
                </c:pt>
                <c:pt idx="29">
                  <c:v>0.70083295275527002</c:v>
                </c:pt>
                <c:pt idx="30">
                  <c:v>0.67390788880406605</c:v>
                </c:pt>
                <c:pt idx="31">
                  <c:v>0.65209271516592926</c:v>
                </c:pt>
                <c:pt idx="32">
                  <c:v>0.63568642911327256</c:v>
                </c:pt>
                <c:pt idx="33">
                  <c:v>0.62307202541324713</c:v>
                </c:pt>
                <c:pt idx="34">
                  <c:v>0.6123098700421733</c:v>
                </c:pt>
                <c:pt idx="35">
                  <c:v>0.60247311111134128</c:v>
                </c:pt>
                <c:pt idx="36">
                  <c:v>0.59362115656461401</c:v>
                </c:pt>
                <c:pt idx="37">
                  <c:v>0.58411855712404648</c:v>
                </c:pt>
                <c:pt idx="38">
                  <c:v>0.57593097343387134</c:v>
                </c:pt>
                <c:pt idx="39">
                  <c:v>64.402113910537807</c:v>
                </c:pt>
                <c:pt idx="40">
                  <c:v>68.027032180723822</c:v>
                </c:pt>
                <c:pt idx="41">
                  <c:v>70.897512604984982</c:v>
                </c:pt>
                <c:pt idx="42">
                  <c:v>73.894391660519133</c:v>
                </c:pt>
                <c:pt idx="43">
                  <c:v>76.699318820784768</c:v>
                </c:pt>
                <c:pt idx="44">
                  <c:v>79.62411664503469</c:v>
                </c:pt>
                <c:pt idx="45">
                  <c:v>82.012191686947588</c:v>
                </c:pt>
                <c:pt idx="46">
                  <c:v>84.538876721852773</c:v>
                </c:pt>
                <c:pt idx="47">
                  <c:v>86.829476189481724</c:v>
                </c:pt>
                <c:pt idx="48">
                  <c:v>89.203122647196622</c:v>
                </c:pt>
                <c:pt idx="49">
                  <c:v>91.502665829411058</c:v>
                </c:pt>
                <c:pt idx="50">
                  <c:v>94.254328136115092</c:v>
                </c:pt>
                <c:pt idx="51">
                  <c:v>96.957709114487201</c:v>
                </c:pt>
                <c:pt idx="52">
                  <c:v>99.500513605778067</c:v>
                </c:pt>
                <c:pt idx="53">
                  <c:v>102.17288878564783</c:v>
                </c:pt>
                <c:pt idx="54">
                  <c:v>104.93370415901927</c:v>
                </c:pt>
                <c:pt idx="55">
                  <c:v>107.82653431754748</c:v>
                </c:pt>
                <c:pt idx="56">
                  <c:v>110.26263068067811</c:v>
                </c:pt>
                <c:pt idx="57">
                  <c:v>112.97825969776456</c:v>
                </c:pt>
                <c:pt idx="58">
                  <c:v>115.55349994620109</c:v>
                </c:pt>
                <c:pt idx="59">
                  <c:v>118.3016160757188</c:v>
                </c:pt>
                <c:pt idx="60">
                  <c:v>121.10920654884303</c:v>
                </c:pt>
                <c:pt idx="61">
                  <c:v>123.64310612101382</c:v>
                </c:pt>
                <c:pt idx="62">
                  <c:v>126.53976815961609</c:v>
                </c:pt>
                <c:pt idx="63">
                  <c:v>129.2495619548165</c:v>
                </c:pt>
                <c:pt idx="64">
                  <c:v>132.31628309695839</c:v>
                </c:pt>
                <c:pt idx="65">
                  <c:v>135.2983298935707</c:v>
                </c:pt>
                <c:pt idx="66">
                  <c:v>138.4978866584116</c:v>
                </c:pt>
                <c:pt idx="67">
                  <c:v>141.90587861285289</c:v>
                </c:pt>
                <c:pt idx="68">
                  <c:v>0.52233072922207413</c:v>
                </c:pt>
                <c:pt idx="69">
                  <c:v>0.51629765476881773</c:v>
                </c:pt>
                <c:pt idx="70">
                  <c:v>0.50890393981353377</c:v>
                </c:pt>
                <c:pt idx="71">
                  <c:v>0.50267863140873315</c:v>
                </c:pt>
                <c:pt idx="72">
                  <c:v>0.49777564180549999</c:v>
                </c:pt>
                <c:pt idx="73">
                  <c:v>0.49405255770142786</c:v>
                </c:pt>
                <c:pt idx="74">
                  <c:v>0.49033879339807124</c:v>
                </c:pt>
                <c:pt idx="75">
                  <c:v>0.48631826154402735</c:v>
                </c:pt>
                <c:pt idx="76">
                  <c:v>0.48311296702897683</c:v>
                </c:pt>
                <c:pt idx="77">
                  <c:v>0.47982080215907535</c:v>
                </c:pt>
                <c:pt idx="78">
                  <c:v>60.333367421128465</c:v>
                </c:pt>
                <c:pt idx="79">
                  <c:v>62.336260007126839</c:v>
                </c:pt>
                <c:pt idx="80">
                  <c:v>64.083597826706011</c:v>
                </c:pt>
                <c:pt idx="81">
                  <c:v>65.649240812439658</c:v>
                </c:pt>
                <c:pt idx="82">
                  <c:v>67.373062239155942</c:v>
                </c:pt>
                <c:pt idx="83">
                  <c:v>68.800179444017274</c:v>
                </c:pt>
                <c:pt idx="84">
                  <c:v>70.214725826909188</c:v>
                </c:pt>
                <c:pt idx="85">
                  <c:v>71.612848046890051</c:v>
                </c:pt>
                <c:pt idx="86">
                  <c:v>72.963660677217462</c:v>
                </c:pt>
                <c:pt idx="87">
                  <c:v>74.466318312440805</c:v>
                </c:pt>
                <c:pt idx="88">
                  <c:v>76.090960931811608</c:v>
                </c:pt>
                <c:pt idx="89">
                  <c:v>77.67503372166999</c:v>
                </c:pt>
                <c:pt idx="90">
                  <c:v>79.362607484144604</c:v>
                </c:pt>
                <c:pt idx="91">
                  <c:v>81.183088905048876</c:v>
                </c:pt>
                <c:pt idx="92">
                  <c:v>83.040330591212509</c:v>
                </c:pt>
                <c:pt idx="93">
                  <c:v>85.405940753164529</c:v>
                </c:pt>
                <c:pt idx="94">
                  <c:v>87.234739832586413</c:v>
                </c:pt>
                <c:pt idx="95">
                  <c:v>89.216235218109134</c:v>
                </c:pt>
                <c:pt idx="96">
                  <c:v>90.944603922378917</c:v>
                </c:pt>
                <c:pt idx="97">
                  <c:v>93.511909937802088</c:v>
                </c:pt>
                <c:pt idx="98">
                  <c:v>95.336603178724545</c:v>
                </c:pt>
                <c:pt idx="99">
                  <c:v>97.707285676388764</c:v>
                </c:pt>
                <c:pt idx="100">
                  <c:v>99.794427908910507</c:v>
                </c:pt>
                <c:pt idx="101">
                  <c:v>102.01996067779216</c:v>
                </c:pt>
                <c:pt idx="102">
                  <c:v>104.22735034489858</c:v>
                </c:pt>
                <c:pt idx="103">
                  <c:v>106.70759308386023</c:v>
                </c:pt>
                <c:pt idx="104">
                  <c:v>109.43925803666399</c:v>
                </c:pt>
                <c:pt idx="105">
                  <c:v>111.53571442308596</c:v>
                </c:pt>
                <c:pt idx="106">
                  <c:v>113.82406898778014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62-4B0B-8920-268B4CA4A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146815"/>
        <c:axId val="375146335"/>
      </c:scatterChart>
      <c:valAx>
        <c:axId val="37514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46335"/>
        <c:crosses val="autoZero"/>
        <c:crossBetween val="midCat"/>
      </c:valAx>
      <c:valAx>
        <c:axId val="3751463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4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comparison'!$C$1</c:f>
              <c:strCache>
                <c:ptCount val="1"/>
                <c:pt idx="0">
                  <c:v>WT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comparison'!$C$2:$C$108</c:f>
              <c:numCache>
                <c:formatCode>General</c:formatCode>
                <c:ptCount val="107"/>
                <c:pt idx="0">
                  <c:v>100</c:v>
                </c:pt>
                <c:pt idx="1">
                  <c:v>99.773574366846802</c:v>
                </c:pt>
                <c:pt idx="2">
                  <c:v>99.293951822298553</c:v>
                </c:pt>
                <c:pt idx="3">
                  <c:v>98.83570148727371</c:v>
                </c:pt>
                <c:pt idx="4">
                  <c:v>98.304354131016069</c:v>
                </c:pt>
                <c:pt idx="5">
                  <c:v>98.109200831034869</c:v>
                </c:pt>
                <c:pt idx="6">
                  <c:v>97.651063226229041</c:v>
                </c:pt>
                <c:pt idx="7">
                  <c:v>97.349441528550201</c:v>
                </c:pt>
                <c:pt idx="8">
                  <c:v>97.203632174596962</c:v>
                </c:pt>
                <c:pt idx="9">
                  <c:v>96.893747702409314</c:v>
                </c:pt>
                <c:pt idx="10">
                  <c:v>96.600269021841214</c:v>
                </c:pt>
                <c:pt idx="11">
                  <c:v>96.366862801789338</c:v>
                </c:pt>
                <c:pt idx="12">
                  <c:v>96.171645183775937</c:v>
                </c:pt>
                <c:pt idx="13">
                  <c:v>96.285885028921939</c:v>
                </c:pt>
                <c:pt idx="14">
                  <c:v>95.955277453570957</c:v>
                </c:pt>
                <c:pt idx="15">
                  <c:v>95.70283725451543</c:v>
                </c:pt>
                <c:pt idx="16">
                  <c:v>95.522152256176284</c:v>
                </c:pt>
                <c:pt idx="17">
                  <c:v>95.840408120006316</c:v>
                </c:pt>
                <c:pt idx="18">
                  <c:v>95.763600650751414</c:v>
                </c:pt>
                <c:pt idx="19">
                  <c:v>95.555114781643724</c:v>
                </c:pt>
                <c:pt idx="20">
                  <c:v>95.784048544059658</c:v>
                </c:pt>
                <c:pt idx="21">
                  <c:v>95.679336128933372</c:v>
                </c:pt>
                <c:pt idx="22">
                  <c:v>95.840256854028823</c:v>
                </c:pt>
                <c:pt idx="23">
                  <c:v>96.015709263238321</c:v>
                </c:pt>
                <c:pt idx="24">
                  <c:v>95.986550688644513</c:v>
                </c:pt>
                <c:pt idx="25">
                  <c:v>96.172580939430532</c:v>
                </c:pt>
                <c:pt idx="26">
                  <c:v>96.168985839042023</c:v>
                </c:pt>
                <c:pt idx="27">
                  <c:v>96.510279466099703</c:v>
                </c:pt>
                <c:pt idx="28">
                  <c:v>96.582426746977845</c:v>
                </c:pt>
                <c:pt idx="29">
                  <c:v>16.290445155083905</c:v>
                </c:pt>
                <c:pt idx="30">
                  <c:v>15.958725896180212</c:v>
                </c:pt>
                <c:pt idx="31">
                  <c:v>15.637829541633621</c:v>
                </c:pt>
                <c:pt idx="32">
                  <c:v>15.412610418796232</c:v>
                </c:pt>
                <c:pt idx="33">
                  <c:v>15.20712082449055</c:v>
                </c:pt>
                <c:pt idx="34">
                  <c:v>15.028395753712678</c:v>
                </c:pt>
                <c:pt idx="35">
                  <c:v>14.861114421424006</c:v>
                </c:pt>
                <c:pt idx="36">
                  <c:v>14.75257351696508</c:v>
                </c:pt>
                <c:pt idx="37">
                  <c:v>14.658933207397352</c:v>
                </c:pt>
                <c:pt idx="38">
                  <c:v>14.581482415148704</c:v>
                </c:pt>
                <c:pt idx="39">
                  <c:v>79.118936674282637</c:v>
                </c:pt>
                <c:pt idx="40">
                  <c:v>77.724366140539146</c:v>
                </c:pt>
                <c:pt idx="41">
                  <c:v>76.608566249627344</c:v>
                </c:pt>
                <c:pt idx="42">
                  <c:v>75.102880716310366</c:v>
                </c:pt>
                <c:pt idx="43">
                  <c:v>74.660982163657422</c:v>
                </c:pt>
                <c:pt idx="44">
                  <c:v>74.425966390458697</c:v>
                </c:pt>
                <c:pt idx="45">
                  <c:v>74.182609092637605</c:v>
                </c:pt>
                <c:pt idx="46">
                  <c:v>74.273015777014564</c:v>
                </c:pt>
                <c:pt idx="47">
                  <c:v>74.074452985327753</c:v>
                </c:pt>
                <c:pt idx="48">
                  <c:v>74.226994031666933</c:v>
                </c:pt>
                <c:pt idx="49">
                  <c:v>74.071934953311981</c:v>
                </c:pt>
                <c:pt idx="50">
                  <c:v>73.86924122998191</c:v>
                </c:pt>
                <c:pt idx="51">
                  <c:v>73.798565565730513</c:v>
                </c:pt>
                <c:pt idx="52">
                  <c:v>73.892555003354119</c:v>
                </c:pt>
                <c:pt idx="53">
                  <c:v>73.986416891445188</c:v>
                </c:pt>
                <c:pt idx="54">
                  <c:v>74.109659373111697</c:v>
                </c:pt>
                <c:pt idx="55">
                  <c:v>74.219828397519109</c:v>
                </c:pt>
                <c:pt idx="56">
                  <c:v>74.452682132054974</c:v>
                </c:pt>
                <c:pt idx="57">
                  <c:v>74.61447779084402</c:v>
                </c:pt>
                <c:pt idx="58">
                  <c:v>74.607198390847003</c:v>
                </c:pt>
                <c:pt idx="59">
                  <c:v>74.665929176940509</c:v>
                </c:pt>
                <c:pt idx="60">
                  <c:v>74.805016234233619</c:v>
                </c:pt>
                <c:pt idx="61">
                  <c:v>74.963948427598197</c:v>
                </c:pt>
                <c:pt idx="62">
                  <c:v>75.155944597660152</c:v>
                </c:pt>
                <c:pt idx="63">
                  <c:v>75.359123159400653</c:v>
                </c:pt>
                <c:pt idx="64">
                  <c:v>75.473933875970047</c:v>
                </c:pt>
                <c:pt idx="65">
                  <c:v>75.866061250628277</c:v>
                </c:pt>
                <c:pt idx="66">
                  <c:v>75.991737907263641</c:v>
                </c:pt>
                <c:pt idx="67">
                  <c:v>76.201241809066943</c:v>
                </c:pt>
                <c:pt idx="68">
                  <c:v>14.413821285418587</c:v>
                </c:pt>
                <c:pt idx="69">
                  <c:v>14.348982779891436</c:v>
                </c:pt>
                <c:pt idx="70">
                  <c:v>14.272387010189581</c:v>
                </c:pt>
                <c:pt idx="71">
                  <c:v>14.226736200281634</c:v>
                </c:pt>
                <c:pt idx="72">
                  <c:v>14.205088192386976</c:v>
                </c:pt>
                <c:pt idx="73">
                  <c:v>14.184418374451345</c:v>
                </c:pt>
                <c:pt idx="74">
                  <c:v>14.160408905781201</c:v>
                </c:pt>
                <c:pt idx="75">
                  <c:v>14.137310015590884</c:v>
                </c:pt>
                <c:pt idx="76">
                  <c:v>14.127049450936921</c:v>
                </c:pt>
                <c:pt idx="77">
                  <c:v>14.098923465296409</c:v>
                </c:pt>
                <c:pt idx="78">
                  <c:v>82.627809884191038</c:v>
                </c:pt>
                <c:pt idx="79">
                  <c:v>80.479100429691869</c:v>
                </c:pt>
                <c:pt idx="80">
                  <c:v>78.818539706150787</c:v>
                </c:pt>
                <c:pt idx="81">
                  <c:v>77.669789914558791</c:v>
                </c:pt>
                <c:pt idx="82">
                  <c:v>77.305896986910724</c:v>
                </c:pt>
                <c:pt idx="83">
                  <c:v>77.104601239895587</c:v>
                </c:pt>
                <c:pt idx="84">
                  <c:v>77.36582032194643</c:v>
                </c:pt>
                <c:pt idx="85">
                  <c:v>77.65942498773893</c:v>
                </c:pt>
                <c:pt idx="86">
                  <c:v>77.425390048793602</c:v>
                </c:pt>
                <c:pt idx="87">
                  <c:v>77.603829298237159</c:v>
                </c:pt>
                <c:pt idx="88">
                  <c:v>77.357824127811455</c:v>
                </c:pt>
                <c:pt idx="89">
                  <c:v>77.080669093736972</c:v>
                </c:pt>
                <c:pt idx="90">
                  <c:v>77.175099215964636</c:v>
                </c:pt>
                <c:pt idx="91">
                  <c:v>77.486532108573584</c:v>
                </c:pt>
                <c:pt idx="92">
                  <c:v>77.75229246078635</c:v>
                </c:pt>
                <c:pt idx="93">
                  <c:v>78.076028760741835</c:v>
                </c:pt>
                <c:pt idx="94">
                  <c:v>78.480983697260527</c:v>
                </c:pt>
                <c:pt idx="95">
                  <c:v>78.711908311457378</c:v>
                </c:pt>
                <c:pt idx="96">
                  <c:v>78.791852954745309</c:v>
                </c:pt>
                <c:pt idx="97">
                  <c:v>78.536042309251854</c:v>
                </c:pt>
                <c:pt idx="98">
                  <c:v>79.066849647602012</c:v>
                </c:pt>
                <c:pt idx="99">
                  <c:v>79.075997319301166</c:v>
                </c:pt>
                <c:pt idx="100">
                  <c:v>79.497934374846082</c:v>
                </c:pt>
                <c:pt idx="101">
                  <c:v>79.806460557872114</c:v>
                </c:pt>
                <c:pt idx="102">
                  <c:v>80.342611064175983</c:v>
                </c:pt>
                <c:pt idx="103">
                  <c:v>80.428488227271927</c:v>
                </c:pt>
                <c:pt idx="104">
                  <c:v>80.922861780241021</c:v>
                </c:pt>
                <c:pt idx="105">
                  <c:v>81.090409945848805</c:v>
                </c:pt>
                <c:pt idx="106">
                  <c:v>81.173746904971935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7-4A80-9DD4-3D13867943D1}"/>
            </c:ext>
          </c:extLst>
        </c:ser>
        <c:ser>
          <c:idx val="1"/>
          <c:order val="1"/>
          <c:tx>
            <c:strRef>
              <c:f>'Average comparison'!$F$1</c:f>
              <c:strCache>
                <c:ptCount val="1"/>
                <c:pt idx="0">
                  <c:v>Spore-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comparison'!$F$2:$F$108</c:f>
              <c:numCache>
                <c:formatCode>General</c:formatCode>
                <c:ptCount val="107"/>
                <c:pt idx="0">
                  <c:v>100</c:v>
                </c:pt>
                <c:pt idx="1">
                  <c:v>100.28545086055526</c:v>
                </c:pt>
                <c:pt idx="2">
                  <c:v>98.860813769160686</c:v>
                </c:pt>
                <c:pt idx="3">
                  <c:v>98.525898250848954</c:v>
                </c:pt>
                <c:pt idx="4">
                  <c:v>97.954498086742646</c:v>
                </c:pt>
                <c:pt idx="5">
                  <c:v>97.459143026215926</c:v>
                </c:pt>
                <c:pt idx="6">
                  <c:v>96.888629189160682</c:v>
                </c:pt>
                <c:pt idx="7">
                  <c:v>97.401773253590662</c:v>
                </c:pt>
                <c:pt idx="8">
                  <c:v>96.117696619164619</c:v>
                </c:pt>
                <c:pt idx="9">
                  <c:v>96.04852705819583</c:v>
                </c:pt>
                <c:pt idx="10">
                  <c:v>95.600134612292777</c:v>
                </c:pt>
                <c:pt idx="11">
                  <c:v>95.11661156291477</c:v>
                </c:pt>
                <c:pt idx="12">
                  <c:v>94.699068430684932</c:v>
                </c:pt>
                <c:pt idx="13">
                  <c:v>94.885813237447692</c:v>
                </c:pt>
                <c:pt idx="14">
                  <c:v>94.529836558373475</c:v>
                </c:pt>
                <c:pt idx="15">
                  <c:v>93.992938888201877</c:v>
                </c:pt>
                <c:pt idx="16">
                  <c:v>94.238231473480099</c:v>
                </c:pt>
                <c:pt idx="17">
                  <c:v>94.611623743715953</c:v>
                </c:pt>
                <c:pt idx="18">
                  <c:v>94.124160280104817</c:v>
                </c:pt>
                <c:pt idx="19">
                  <c:v>93.967434429800974</c:v>
                </c:pt>
                <c:pt idx="20">
                  <c:v>94.210160035280879</c:v>
                </c:pt>
                <c:pt idx="21">
                  <c:v>94.008694009877487</c:v>
                </c:pt>
                <c:pt idx="22">
                  <c:v>93.781911798240401</c:v>
                </c:pt>
                <c:pt idx="23">
                  <c:v>93.734809821821386</c:v>
                </c:pt>
                <c:pt idx="24">
                  <c:v>93.470051829958493</c:v>
                </c:pt>
                <c:pt idx="25">
                  <c:v>93.619656288019613</c:v>
                </c:pt>
                <c:pt idx="26">
                  <c:v>94.001311077931277</c:v>
                </c:pt>
                <c:pt idx="27">
                  <c:v>93.881936696349598</c:v>
                </c:pt>
                <c:pt idx="28">
                  <c:v>94.057453308544879</c:v>
                </c:pt>
                <c:pt idx="29">
                  <c:v>18.094883494829759</c:v>
                </c:pt>
                <c:pt idx="30">
                  <c:v>17.844308849605152</c:v>
                </c:pt>
                <c:pt idx="31">
                  <c:v>17.6099432978571</c:v>
                </c:pt>
                <c:pt idx="32">
                  <c:v>17.460890076312754</c:v>
                </c:pt>
                <c:pt idx="33">
                  <c:v>17.337430367142044</c:v>
                </c:pt>
                <c:pt idx="34">
                  <c:v>17.22923449486775</c:v>
                </c:pt>
                <c:pt idx="35">
                  <c:v>17.151149837732756</c:v>
                </c:pt>
                <c:pt idx="36">
                  <c:v>17.080411684445782</c:v>
                </c:pt>
                <c:pt idx="37">
                  <c:v>17.00939562937636</c:v>
                </c:pt>
                <c:pt idx="38">
                  <c:v>16.949332917109587</c:v>
                </c:pt>
                <c:pt idx="39">
                  <c:v>88.030989268299535</c:v>
                </c:pt>
                <c:pt idx="40">
                  <c:v>85.254576892777251</c:v>
                </c:pt>
                <c:pt idx="41">
                  <c:v>83.017842288453778</c:v>
                </c:pt>
                <c:pt idx="42">
                  <c:v>81.009626389030856</c:v>
                </c:pt>
                <c:pt idx="43">
                  <c:v>79.913616753268357</c:v>
                </c:pt>
                <c:pt idx="44">
                  <c:v>79.211190268514173</c:v>
                </c:pt>
                <c:pt idx="45">
                  <c:v>78.888412189051124</c:v>
                </c:pt>
                <c:pt idx="46">
                  <c:v>78.384318037058918</c:v>
                </c:pt>
                <c:pt idx="47">
                  <c:v>78.079421274493612</c:v>
                </c:pt>
                <c:pt idx="48">
                  <c:v>77.871635404598493</c:v>
                </c:pt>
                <c:pt idx="49">
                  <c:v>78.505503406466786</c:v>
                </c:pt>
                <c:pt idx="50">
                  <c:v>77.566336887169257</c:v>
                </c:pt>
                <c:pt idx="51">
                  <c:v>77.317776168661979</c:v>
                </c:pt>
                <c:pt idx="52">
                  <c:v>77.197970330462795</c:v>
                </c:pt>
                <c:pt idx="53">
                  <c:v>77.581516435451945</c:v>
                </c:pt>
                <c:pt idx="54">
                  <c:v>77.971246291204054</c:v>
                </c:pt>
                <c:pt idx="55">
                  <c:v>77.736010203633285</c:v>
                </c:pt>
                <c:pt idx="56">
                  <c:v>78.052318685799193</c:v>
                </c:pt>
                <c:pt idx="57">
                  <c:v>77.909217561204017</c:v>
                </c:pt>
                <c:pt idx="58">
                  <c:v>77.679394190125834</c:v>
                </c:pt>
                <c:pt idx="59">
                  <c:v>77.441269544526833</c:v>
                </c:pt>
                <c:pt idx="60">
                  <c:v>77.697680455249284</c:v>
                </c:pt>
                <c:pt idx="61">
                  <c:v>77.903330792210582</c:v>
                </c:pt>
                <c:pt idx="62">
                  <c:v>78.217322858956024</c:v>
                </c:pt>
                <c:pt idx="63">
                  <c:v>78.265825624345624</c:v>
                </c:pt>
                <c:pt idx="64">
                  <c:v>78.930483157997841</c:v>
                </c:pt>
                <c:pt idx="65">
                  <c:v>79.507008353172324</c:v>
                </c:pt>
                <c:pt idx="66">
                  <c:v>79.036730362460304</c:v>
                </c:pt>
                <c:pt idx="67">
                  <c:v>79.293644100995152</c:v>
                </c:pt>
                <c:pt idx="68">
                  <c:v>16.897555363997206</c:v>
                </c:pt>
                <c:pt idx="69">
                  <c:v>16.863201554630283</c:v>
                </c:pt>
                <c:pt idx="70">
                  <c:v>16.804794081549463</c:v>
                </c:pt>
                <c:pt idx="71">
                  <c:v>16.759336891950635</c:v>
                </c:pt>
                <c:pt idx="72">
                  <c:v>16.726458794387298</c:v>
                </c:pt>
                <c:pt idx="73">
                  <c:v>16.696277500805987</c:v>
                </c:pt>
                <c:pt idx="74">
                  <c:v>16.661566454570323</c:v>
                </c:pt>
                <c:pt idx="75">
                  <c:v>16.631550062948843</c:v>
                </c:pt>
                <c:pt idx="76">
                  <c:v>16.613847297506698</c:v>
                </c:pt>
                <c:pt idx="77">
                  <c:v>16.588763779163184</c:v>
                </c:pt>
                <c:pt idx="78">
                  <c:v>90.284116206762675</c:v>
                </c:pt>
                <c:pt idx="79">
                  <c:v>87.8352080226868</c:v>
                </c:pt>
                <c:pt idx="80">
                  <c:v>85.11248206840672</c:v>
                </c:pt>
                <c:pt idx="81">
                  <c:v>83.751899310113529</c:v>
                </c:pt>
                <c:pt idx="82">
                  <c:v>82.961862402999671</c:v>
                </c:pt>
                <c:pt idx="83">
                  <c:v>82.545299400892461</c:v>
                </c:pt>
                <c:pt idx="84">
                  <c:v>82.230919761101006</c:v>
                </c:pt>
                <c:pt idx="85">
                  <c:v>82.151984092991214</c:v>
                </c:pt>
                <c:pt idx="86">
                  <c:v>82.562319444474909</c:v>
                </c:pt>
                <c:pt idx="87">
                  <c:v>82.300610967955592</c:v>
                </c:pt>
                <c:pt idx="88">
                  <c:v>82.189929064880928</c:v>
                </c:pt>
                <c:pt idx="89">
                  <c:v>82.118567349709693</c:v>
                </c:pt>
                <c:pt idx="90">
                  <c:v>81.780191945272023</c:v>
                </c:pt>
                <c:pt idx="91">
                  <c:v>81.941663881020872</c:v>
                </c:pt>
                <c:pt idx="92">
                  <c:v>82.293432158265162</c:v>
                </c:pt>
                <c:pt idx="93">
                  <c:v>82.549102717180574</c:v>
                </c:pt>
                <c:pt idx="94">
                  <c:v>82.936780850247942</c:v>
                </c:pt>
                <c:pt idx="95">
                  <c:v>82.943733852995635</c:v>
                </c:pt>
                <c:pt idx="96">
                  <c:v>83.194056106165235</c:v>
                </c:pt>
                <c:pt idx="97">
                  <c:v>83.343987216799192</c:v>
                </c:pt>
                <c:pt idx="98">
                  <c:v>83.505562651380743</c:v>
                </c:pt>
                <c:pt idx="99">
                  <c:v>83.281074521162779</c:v>
                </c:pt>
                <c:pt idx="100">
                  <c:v>83.425852943395441</c:v>
                </c:pt>
                <c:pt idx="101">
                  <c:v>84.272482968288855</c:v>
                </c:pt>
                <c:pt idx="102">
                  <c:v>84.705561954586258</c:v>
                </c:pt>
                <c:pt idx="103">
                  <c:v>84.765813313056469</c:v>
                </c:pt>
                <c:pt idx="104">
                  <c:v>85.424042782535665</c:v>
                </c:pt>
                <c:pt idx="105">
                  <c:v>85.545503332342548</c:v>
                </c:pt>
                <c:pt idx="106">
                  <c:v>85.64812125522451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B7-4A80-9DD4-3D13867943D1}"/>
            </c:ext>
          </c:extLst>
        </c:ser>
        <c:ser>
          <c:idx val="2"/>
          <c:order val="2"/>
          <c:tx>
            <c:strRef>
              <c:f>'Average comparison'!$I$1</c:f>
              <c:strCache>
                <c:ptCount val="1"/>
                <c:pt idx="0">
                  <c:v>PGA-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101.32224007633731</c:v>
                </c:pt>
                <c:pt idx="2">
                  <c:v>102.0845010308081</c:v>
                </c:pt>
                <c:pt idx="3">
                  <c:v>103.03073205231586</c:v>
                </c:pt>
                <c:pt idx="4">
                  <c:v>104.48793385032381</c:v>
                </c:pt>
                <c:pt idx="5">
                  <c:v>105.4622515788222</c:v>
                </c:pt>
                <c:pt idx="6">
                  <c:v>106.27002103358275</c:v>
                </c:pt>
                <c:pt idx="7">
                  <c:v>107.91305605512282</c:v>
                </c:pt>
                <c:pt idx="8">
                  <c:v>109.2144252661512</c:v>
                </c:pt>
                <c:pt idx="9">
                  <c:v>110.39430155952341</c:v>
                </c:pt>
                <c:pt idx="10">
                  <c:v>111.89377596042365</c:v>
                </c:pt>
                <c:pt idx="11">
                  <c:v>113.30632405435558</c:v>
                </c:pt>
                <c:pt idx="12">
                  <c:v>114.49878874062139</c:v>
                </c:pt>
                <c:pt idx="13">
                  <c:v>116.49394184092068</c:v>
                </c:pt>
                <c:pt idx="14">
                  <c:v>118.18929070839218</c:v>
                </c:pt>
                <c:pt idx="15">
                  <c:v>119.9255566267291</c:v>
                </c:pt>
                <c:pt idx="16">
                  <c:v>122.37498508654672</c:v>
                </c:pt>
                <c:pt idx="17">
                  <c:v>124.71647007081572</c:v>
                </c:pt>
                <c:pt idx="18">
                  <c:v>124.41015949260002</c:v>
                </c:pt>
                <c:pt idx="19">
                  <c:v>126.83659178134454</c:v>
                </c:pt>
                <c:pt idx="20">
                  <c:v>128.42198668931528</c:v>
                </c:pt>
                <c:pt idx="21">
                  <c:v>129.18565288422786</c:v>
                </c:pt>
                <c:pt idx="22">
                  <c:v>130.95449880444957</c:v>
                </c:pt>
                <c:pt idx="23">
                  <c:v>132.4373107041165</c:v>
                </c:pt>
                <c:pt idx="24">
                  <c:v>134.47607853442267</c:v>
                </c:pt>
                <c:pt idx="25">
                  <c:v>135.857746120125</c:v>
                </c:pt>
                <c:pt idx="26">
                  <c:v>137.95594415926354</c:v>
                </c:pt>
                <c:pt idx="27">
                  <c:v>138.78410738646889</c:v>
                </c:pt>
                <c:pt idx="28">
                  <c:v>140.56167204376919</c:v>
                </c:pt>
                <c:pt idx="29">
                  <c:v>10.838714603868118</c:v>
                </c:pt>
                <c:pt idx="30">
                  <c:v>10.67341116442844</c:v>
                </c:pt>
                <c:pt idx="31">
                  <c:v>10.436057806520612</c:v>
                </c:pt>
                <c:pt idx="32">
                  <c:v>10.310155503047163</c:v>
                </c:pt>
                <c:pt idx="33">
                  <c:v>10.250465329575871</c:v>
                </c:pt>
                <c:pt idx="34">
                  <c:v>10.190412416639536</c:v>
                </c:pt>
                <c:pt idx="35">
                  <c:v>10.14134927024651</c:v>
                </c:pt>
                <c:pt idx="36">
                  <c:v>10.111436419489809</c:v>
                </c:pt>
                <c:pt idx="37">
                  <c:v>10.07931488908917</c:v>
                </c:pt>
                <c:pt idx="38">
                  <c:v>10.045377028160974</c:v>
                </c:pt>
                <c:pt idx="39">
                  <c:v>82.048782440771305</c:v>
                </c:pt>
                <c:pt idx="40">
                  <c:v>82.162369467417477</c:v>
                </c:pt>
                <c:pt idx="41">
                  <c:v>82.859083432659105</c:v>
                </c:pt>
                <c:pt idx="42">
                  <c:v>83.233203526186202</c:v>
                </c:pt>
                <c:pt idx="43">
                  <c:v>84.179679798748452</c:v>
                </c:pt>
                <c:pt idx="44">
                  <c:v>85.304541513332154</c:v>
                </c:pt>
                <c:pt idx="45">
                  <c:v>86.686062803028193</c:v>
                </c:pt>
                <c:pt idx="46">
                  <c:v>88.094186110249623</c:v>
                </c:pt>
                <c:pt idx="47">
                  <c:v>89.615050180006534</c:v>
                </c:pt>
                <c:pt idx="48">
                  <c:v>91.312493963609612</c:v>
                </c:pt>
                <c:pt idx="49">
                  <c:v>92.256581755922113</c:v>
                </c:pt>
                <c:pt idx="50">
                  <c:v>93.127902528474209</c:v>
                </c:pt>
                <c:pt idx="51">
                  <c:v>95.382467500821605</c:v>
                </c:pt>
                <c:pt idx="52">
                  <c:v>96.671104339647655</c:v>
                </c:pt>
                <c:pt idx="53">
                  <c:v>98.535814785028236</c:v>
                </c:pt>
                <c:pt idx="54">
                  <c:v>99.847008117784739</c:v>
                </c:pt>
                <c:pt idx="55">
                  <c:v>102.2912830259443</c:v>
                </c:pt>
                <c:pt idx="56">
                  <c:v>103.54884126618408</c:v>
                </c:pt>
                <c:pt idx="57">
                  <c:v>105.21112768713542</c:v>
                </c:pt>
                <c:pt idx="58">
                  <c:v>107.13661427776182</c:v>
                </c:pt>
                <c:pt idx="59">
                  <c:v>109.58066239664188</c:v>
                </c:pt>
                <c:pt idx="60">
                  <c:v>111.04166896168219</c:v>
                </c:pt>
                <c:pt idx="61">
                  <c:v>112.91753695862963</c:v>
                </c:pt>
                <c:pt idx="62">
                  <c:v>114.52655801407245</c:v>
                </c:pt>
                <c:pt idx="63">
                  <c:v>116.7719588533857</c:v>
                </c:pt>
                <c:pt idx="64">
                  <c:v>119.40204727094579</c:v>
                </c:pt>
                <c:pt idx="65">
                  <c:v>120.86517563755456</c:v>
                </c:pt>
                <c:pt idx="66">
                  <c:v>122.39367388106287</c:v>
                </c:pt>
                <c:pt idx="67">
                  <c:v>124.65981384828414</c:v>
                </c:pt>
                <c:pt idx="68">
                  <c:v>10.272833468803787</c:v>
                </c:pt>
                <c:pt idx="69">
                  <c:v>10.226317785890767</c:v>
                </c:pt>
                <c:pt idx="70">
                  <c:v>10.132105941272656</c:v>
                </c:pt>
                <c:pt idx="71">
                  <c:v>10.109197336685581</c:v>
                </c:pt>
                <c:pt idx="72">
                  <c:v>10.115206830589923</c:v>
                </c:pt>
                <c:pt idx="73">
                  <c:v>10.111436578799255</c:v>
                </c:pt>
                <c:pt idx="74">
                  <c:v>10.117054784644669</c:v>
                </c:pt>
                <c:pt idx="75">
                  <c:v>10.129966123684659</c:v>
                </c:pt>
                <c:pt idx="76">
                  <c:v>10.143950342142029</c:v>
                </c:pt>
                <c:pt idx="77">
                  <c:v>10.157955191003484</c:v>
                </c:pt>
                <c:pt idx="78">
                  <c:v>83.62749889122135</c:v>
                </c:pt>
                <c:pt idx="79">
                  <c:v>84.597729660390456</c:v>
                </c:pt>
                <c:pt idx="80">
                  <c:v>84.905100800095198</c:v>
                </c:pt>
                <c:pt idx="81">
                  <c:v>85.601097550460622</c:v>
                </c:pt>
                <c:pt idx="82">
                  <c:v>86.896451387178573</c:v>
                </c:pt>
                <c:pt idx="83">
                  <c:v>87.986371132233174</c:v>
                </c:pt>
                <c:pt idx="84">
                  <c:v>89.8652340065087</c:v>
                </c:pt>
                <c:pt idx="85">
                  <c:v>91.55407013513873</c:v>
                </c:pt>
                <c:pt idx="86">
                  <c:v>92.843005097351721</c:v>
                </c:pt>
                <c:pt idx="87">
                  <c:v>94.866849009369531</c:v>
                </c:pt>
                <c:pt idx="88">
                  <c:v>96.435334788191824</c:v>
                </c:pt>
                <c:pt idx="89">
                  <c:v>97.487603455896661</c:v>
                </c:pt>
                <c:pt idx="90">
                  <c:v>99.124901567007399</c:v>
                </c:pt>
                <c:pt idx="91">
                  <c:v>101.12517113978375</c:v>
                </c:pt>
                <c:pt idx="92">
                  <c:v>103.26896555289322</c:v>
                </c:pt>
                <c:pt idx="93">
                  <c:v>104.27879213649608</c:v>
                </c:pt>
                <c:pt idx="94">
                  <c:v>105.33595700262376</c:v>
                </c:pt>
                <c:pt idx="95">
                  <c:v>107.71992066347161</c:v>
                </c:pt>
                <c:pt idx="96">
                  <c:v>107.55991459385726</c:v>
                </c:pt>
                <c:pt idx="97">
                  <c:v>109.02731763349246</c:v>
                </c:pt>
                <c:pt idx="98">
                  <c:v>110.58253722296502</c:v>
                </c:pt>
                <c:pt idx="99">
                  <c:v>112.09048777802295</c:v>
                </c:pt>
                <c:pt idx="100">
                  <c:v>112.75167290924574</c:v>
                </c:pt>
                <c:pt idx="101">
                  <c:v>114.30041027265656</c:v>
                </c:pt>
                <c:pt idx="102">
                  <c:v>114.9116831538342</c:v>
                </c:pt>
                <c:pt idx="103">
                  <c:v>117.26622180279909</c:v>
                </c:pt>
                <c:pt idx="104">
                  <c:v>117.47183177454072</c:v>
                </c:pt>
                <c:pt idx="105">
                  <c:v>118.94852112522472</c:v>
                </c:pt>
                <c:pt idx="106">
                  <c:v>120.25856438629482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B7-4A80-9DD4-3D13867943D1}"/>
            </c:ext>
          </c:extLst>
        </c:ser>
        <c:ser>
          <c:idx val="3"/>
          <c:order val="3"/>
          <c:tx>
            <c:strRef>
              <c:f>'Average comparison'!$L$1</c:f>
              <c:strCache>
                <c:ptCount val="1"/>
                <c:pt idx="0">
                  <c:v>EPS-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comparison'!$A$2:$A$108</c:f>
              <c:numCache>
                <c:formatCode>General</c:formatCode>
                <c:ptCount val="107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comparison'!$L$2:$L$108</c:f>
              <c:numCache>
                <c:formatCode>General</c:formatCode>
                <c:ptCount val="107"/>
                <c:pt idx="0">
                  <c:v>100</c:v>
                </c:pt>
                <c:pt idx="1">
                  <c:v>100.42602081651755</c:v>
                </c:pt>
                <c:pt idx="2">
                  <c:v>101.59378991511976</c:v>
                </c:pt>
                <c:pt idx="3">
                  <c:v>102.12760018949179</c:v>
                </c:pt>
                <c:pt idx="4">
                  <c:v>104.50223805553082</c:v>
                </c:pt>
                <c:pt idx="5">
                  <c:v>105.61964833442322</c:v>
                </c:pt>
                <c:pt idx="6">
                  <c:v>106.56750874852783</c:v>
                </c:pt>
                <c:pt idx="7">
                  <c:v>108.30208105800283</c:v>
                </c:pt>
                <c:pt idx="8">
                  <c:v>110.05588370493298</c:v>
                </c:pt>
                <c:pt idx="9">
                  <c:v>110.33622223106703</c:v>
                </c:pt>
                <c:pt idx="10">
                  <c:v>111.94744119066509</c:v>
                </c:pt>
                <c:pt idx="11">
                  <c:v>114.08551921822482</c:v>
                </c:pt>
                <c:pt idx="12">
                  <c:v>113.58819729015535</c:v>
                </c:pt>
                <c:pt idx="13">
                  <c:v>115.58178314326308</c:v>
                </c:pt>
                <c:pt idx="14">
                  <c:v>117.05211632517522</c:v>
                </c:pt>
                <c:pt idx="15">
                  <c:v>117.15710907327525</c:v>
                </c:pt>
                <c:pt idx="16">
                  <c:v>119.23921715465313</c:v>
                </c:pt>
                <c:pt idx="17">
                  <c:v>121.48484728166427</c:v>
                </c:pt>
                <c:pt idx="18">
                  <c:v>121.84624560101783</c:v>
                </c:pt>
                <c:pt idx="19">
                  <c:v>124.19135612581664</c:v>
                </c:pt>
                <c:pt idx="20">
                  <c:v>125.82487637863302</c:v>
                </c:pt>
                <c:pt idx="21">
                  <c:v>126.96793319909666</c:v>
                </c:pt>
                <c:pt idx="22">
                  <c:v>129.36353469246032</c:v>
                </c:pt>
                <c:pt idx="23">
                  <c:v>130.62236064328391</c:v>
                </c:pt>
                <c:pt idx="24">
                  <c:v>132.66969973693645</c:v>
                </c:pt>
                <c:pt idx="25">
                  <c:v>132.63537412139007</c:v>
                </c:pt>
                <c:pt idx="26">
                  <c:v>135.76781588127062</c:v>
                </c:pt>
                <c:pt idx="27">
                  <c:v>137.21446157784655</c:v>
                </c:pt>
                <c:pt idx="28">
                  <c:v>139.54636838493681</c:v>
                </c:pt>
                <c:pt idx="29">
                  <c:v>11.893801666611012</c:v>
                </c:pt>
                <c:pt idx="30">
                  <c:v>11.57817280962063</c:v>
                </c:pt>
                <c:pt idx="31">
                  <c:v>11.326084377197743</c:v>
                </c:pt>
                <c:pt idx="32">
                  <c:v>11.187062182271385</c:v>
                </c:pt>
                <c:pt idx="33">
                  <c:v>11.053124511159529</c:v>
                </c:pt>
                <c:pt idx="34">
                  <c:v>10.994414081694174</c:v>
                </c:pt>
                <c:pt idx="35">
                  <c:v>10.913254151249275</c:v>
                </c:pt>
                <c:pt idx="36">
                  <c:v>10.833528378947415</c:v>
                </c:pt>
                <c:pt idx="37">
                  <c:v>10.746707357371209</c:v>
                </c:pt>
                <c:pt idx="38">
                  <c:v>10.66452456608056</c:v>
                </c:pt>
                <c:pt idx="39">
                  <c:v>87.911300492517185</c:v>
                </c:pt>
                <c:pt idx="40">
                  <c:v>88.051508900624071</c:v>
                </c:pt>
                <c:pt idx="41">
                  <c:v>87.920899023980155</c:v>
                </c:pt>
                <c:pt idx="42">
                  <c:v>90.044086897097756</c:v>
                </c:pt>
                <c:pt idx="43">
                  <c:v>90.701977094885592</c:v>
                </c:pt>
                <c:pt idx="44">
                  <c:v>93.172535555068109</c:v>
                </c:pt>
                <c:pt idx="45">
                  <c:v>93.969569353295299</c:v>
                </c:pt>
                <c:pt idx="46">
                  <c:v>95.778724014693736</c:v>
                </c:pt>
                <c:pt idx="47">
                  <c:v>97.864517722098199</c:v>
                </c:pt>
                <c:pt idx="48">
                  <c:v>99.39417964169202</c:v>
                </c:pt>
                <c:pt idx="49">
                  <c:v>99.7349549465725</c:v>
                </c:pt>
                <c:pt idx="50">
                  <c:v>101.94959220308105</c:v>
                </c:pt>
                <c:pt idx="51">
                  <c:v>102.2594721568726</c:v>
                </c:pt>
                <c:pt idx="52">
                  <c:v>104.25101060578083</c:v>
                </c:pt>
                <c:pt idx="53">
                  <c:v>107.81000768898109</c:v>
                </c:pt>
                <c:pt idx="54">
                  <c:v>108.83044584791007</c:v>
                </c:pt>
                <c:pt idx="55">
                  <c:v>111.91682600881019</c:v>
                </c:pt>
                <c:pt idx="56">
                  <c:v>112.50256035109209</c:v>
                </c:pt>
                <c:pt idx="57">
                  <c:v>114.17594281933155</c:v>
                </c:pt>
                <c:pt idx="58">
                  <c:v>114.56592074602001</c:v>
                </c:pt>
                <c:pt idx="59">
                  <c:v>115.64809081971343</c:v>
                </c:pt>
                <c:pt idx="60">
                  <c:v>117.74580722287517</c:v>
                </c:pt>
                <c:pt idx="61">
                  <c:v>120.00152012049034</c:v>
                </c:pt>
                <c:pt idx="62">
                  <c:v>121.3496225791796</c:v>
                </c:pt>
                <c:pt idx="63">
                  <c:v>122.21177806640719</c:v>
                </c:pt>
                <c:pt idx="64">
                  <c:v>125.09528649021763</c:v>
                </c:pt>
                <c:pt idx="65">
                  <c:v>125.77566356409487</c:v>
                </c:pt>
                <c:pt idx="66">
                  <c:v>126.63575380033386</c:v>
                </c:pt>
                <c:pt idx="67">
                  <c:v>129.26329873643704</c:v>
                </c:pt>
                <c:pt idx="68">
                  <c:v>10.496203373270651</c:v>
                </c:pt>
                <c:pt idx="69">
                  <c:v>10.339884957779246</c:v>
                </c:pt>
                <c:pt idx="70">
                  <c:v>10.254916598335265</c:v>
                </c:pt>
                <c:pt idx="71">
                  <c:v>10.129513910984459</c:v>
                </c:pt>
                <c:pt idx="72">
                  <c:v>10.06325541180091</c:v>
                </c:pt>
                <c:pt idx="73">
                  <c:v>10.011169096902551</c:v>
                </c:pt>
                <c:pt idx="74">
                  <c:v>9.9727955794316596</c:v>
                </c:pt>
                <c:pt idx="75">
                  <c:v>9.9388537044744734</c:v>
                </c:pt>
                <c:pt idx="76">
                  <c:v>9.9108722834313916</c:v>
                </c:pt>
                <c:pt idx="77">
                  <c:v>9.8873780411603551</c:v>
                </c:pt>
                <c:pt idx="78">
                  <c:v>90.719122593917405</c:v>
                </c:pt>
                <c:pt idx="79">
                  <c:v>90.650155388888081</c:v>
                </c:pt>
                <c:pt idx="80">
                  <c:v>90.538644216310331</c:v>
                </c:pt>
                <c:pt idx="81">
                  <c:v>90.204091674506245</c:v>
                </c:pt>
                <c:pt idx="82">
                  <c:v>90.574880225310054</c:v>
                </c:pt>
                <c:pt idx="83">
                  <c:v>92.050752135249652</c:v>
                </c:pt>
                <c:pt idx="84">
                  <c:v>93.434699845393766</c:v>
                </c:pt>
                <c:pt idx="85">
                  <c:v>94.760258852669509</c:v>
                </c:pt>
                <c:pt idx="86">
                  <c:v>95.098775083233022</c:v>
                </c:pt>
                <c:pt idx="87">
                  <c:v>94.582326011799907</c:v>
                </c:pt>
                <c:pt idx="88">
                  <c:v>95.750850853272709</c:v>
                </c:pt>
                <c:pt idx="89">
                  <c:v>95.092117400176221</c:v>
                </c:pt>
                <c:pt idx="90">
                  <c:v>96.967227129982362</c:v>
                </c:pt>
                <c:pt idx="91">
                  <c:v>97.320280905421271</c:v>
                </c:pt>
                <c:pt idx="92">
                  <c:v>98.592177953154248</c:v>
                </c:pt>
                <c:pt idx="93">
                  <c:v>101.72706657457428</c:v>
                </c:pt>
                <c:pt idx="94">
                  <c:v>102.94640828792978</c:v>
                </c:pt>
                <c:pt idx="95">
                  <c:v>104.6568633679824</c:v>
                </c:pt>
                <c:pt idx="96">
                  <c:v>103.30793448433224</c:v>
                </c:pt>
                <c:pt idx="97">
                  <c:v>106.60312193831618</c:v>
                </c:pt>
                <c:pt idx="98">
                  <c:v>106.87710250451077</c:v>
                </c:pt>
                <c:pt idx="99">
                  <c:v>108.7460081175218</c:v>
                </c:pt>
                <c:pt idx="100">
                  <c:v>111.27286716647298</c:v>
                </c:pt>
                <c:pt idx="101">
                  <c:v>112.13851747972099</c:v>
                </c:pt>
                <c:pt idx="102">
                  <c:v>112.66702039089476</c:v>
                </c:pt>
                <c:pt idx="103">
                  <c:v>112.33926957958079</c:v>
                </c:pt>
                <c:pt idx="104">
                  <c:v>116.60701444732756</c:v>
                </c:pt>
                <c:pt idx="105">
                  <c:v>118.73065474920202</c:v>
                </c:pt>
                <c:pt idx="106">
                  <c:v>121.08951345150406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B7-4A80-9DD4-3D1386794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750575"/>
        <c:axId val="491751055"/>
      </c:scatterChart>
      <c:valAx>
        <c:axId val="49175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51055"/>
        <c:crosses val="autoZero"/>
        <c:crossBetween val="midCat"/>
      </c:valAx>
      <c:valAx>
        <c:axId val="4917510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50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 (2)'!$C$1</c:f>
              <c:strCache>
                <c:ptCount val="1"/>
                <c:pt idx="0">
                  <c:v>WT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 (2)'!$A$2:$A$107</c:f>
              <c:numCache>
                <c:formatCode>General</c:formatCode>
                <c:ptCount val="106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</c:numCache>
            </c:numRef>
          </c:xVal>
          <c:yVal>
            <c:numRef>
              <c:f>'Average comparison (2)'!$C$2:$C$108</c:f>
              <c:numCache>
                <c:formatCode>General</c:formatCode>
                <c:ptCount val="107"/>
                <c:pt idx="0">
                  <c:v>100</c:v>
                </c:pt>
                <c:pt idx="1">
                  <c:v>99.773574366846802</c:v>
                </c:pt>
                <c:pt idx="2">
                  <c:v>99.293951822298553</c:v>
                </c:pt>
                <c:pt idx="3">
                  <c:v>98.83570148727371</c:v>
                </c:pt>
                <c:pt idx="4">
                  <c:v>98.304354131016069</c:v>
                </c:pt>
                <c:pt idx="5">
                  <c:v>98.109200831034869</c:v>
                </c:pt>
                <c:pt idx="6">
                  <c:v>97.651063226229041</c:v>
                </c:pt>
                <c:pt idx="7">
                  <c:v>97.349441528550201</c:v>
                </c:pt>
                <c:pt idx="8">
                  <c:v>97.203632174596962</c:v>
                </c:pt>
                <c:pt idx="9">
                  <c:v>96.893747702409314</c:v>
                </c:pt>
                <c:pt idx="10">
                  <c:v>96.600269021841214</c:v>
                </c:pt>
                <c:pt idx="11">
                  <c:v>96.366862801789338</c:v>
                </c:pt>
                <c:pt idx="12">
                  <c:v>96.171645183775937</c:v>
                </c:pt>
                <c:pt idx="13">
                  <c:v>96.285885028921939</c:v>
                </c:pt>
                <c:pt idx="14">
                  <c:v>95.955277453570957</c:v>
                </c:pt>
                <c:pt idx="15">
                  <c:v>95.70283725451543</c:v>
                </c:pt>
                <c:pt idx="16">
                  <c:v>95.522152256176284</c:v>
                </c:pt>
                <c:pt idx="17">
                  <c:v>95.840408120006316</c:v>
                </c:pt>
                <c:pt idx="18">
                  <c:v>95.763600650751414</c:v>
                </c:pt>
                <c:pt idx="19">
                  <c:v>95.555114781643724</c:v>
                </c:pt>
                <c:pt idx="20">
                  <c:v>95.784048544059658</c:v>
                </c:pt>
                <c:pt idx="21">
                  <c:v>95.679336128933372</c:v>
                </c:pt>
                <c:pt idx="22">
                  <c:v>95.840256854028823</c:v>
                </c:pt>
                <c:pt idx="23">
                  <c:v>96.015709263238321</c:v>
                </c:pt>
                <c:pt idx="24">
                  <c:v>95.986550688644513</c:v>
                </c:pt>
                <c:pt idx="25">
                  <c:v>96.172580939430532</c:v>
                </c:pt>
                <c:pt idx="26">
                  <c:v>96.168985839042023</c:v>
                </c:pt>
                <c:pt idx="27">
                  <c:v>96.510279466099703</c:v>
                </c:pt>
                <c:pt idx="28">
                  <c:v>96.582426746977845</c:v>
                </c:pt>
                <c:pt idx="29">
                  <c:v>16.290445155083905</c:v>
                </c:pt>
                <c:pt idx="30">
                  <c:v>15.958725896180212</c:v>
                </c:pt>
                <c:pt idx="31">
                  <c:v>15.637829541633621</c:v>
                </c:pt>
                <c:pt idx="32">
                  <c:v>15.412610418796232</c:v>
                </c:pt>
                <c:pt idx="33">
                  <c:v>15.20712082449055</c:v>
                </c:pt>
                <c:pt idx="34">
                  <c:v>15.028395753712678</c:v>
                </c:pt>
                <c:pt idx="35">
                  <c:v>14.861114421424006</c:v>
                </c:pt>
                <c:pt idx="36">
                  <c:v>14.75257351696508</c:v>
                </c:pt>
                <c:pt idx="37">
                  <c:v>14.658933207397352</c:v>
                </c:pt>
                <c:pt idx="38">
                  <c:v>14.581482415148704</c:v>
                </c:pt>
                <c:pt idx="39">
                  <c:v>79.118936674282637</c:v>
                </c:pt>
                <c:pt idx="40">
                  <c:v>77.724366140539146</c:v>
                </c:pt>
                <c:pt idx="41">
                  <c:v>76.608566249627344</c:v>
                </c:pt>
                <c:pt idx="42">
                  <c:v>75.102880716310366</c:v>
                </c:pt>
                <c:pt idx="43">
                  <c:v>74.660982163657422</c:v>
                </c:pt>
                <c:pt idx="44">
                  <c:v>74.425966390458697</c:v>
                </c:pt>
                <c:pt idx="45">
                  <c:v>74.182609092637605</c:v>
                </c:pt>
                <c:pt idx="46">
                  <c:v>74.273015777014564</c:v>
                </c:pt>
                <c:pt idx="47">
                  <c:v>74.074452985327753</c:v>
                </c:pt>
                <c:pt idx="48">
                  <c:v>74.226994031666933</c:v>
                </c:pt>
                <c:pt idx="49">
                  <c:v>74.071934953311981</c:v>
                </c:pt>
                <c:pt idx="50">
                  <c:v>73.86924122998191</c:v>
                </c:pt>
                <c:pt idx="51">
                  <c:v>73.798565565730513</c:v>
                </c:pt>
                <c:pt idx="52">
                  <c:v>73.892555003354119</c:v>
                </c:pt>
                <c:pt idx="53">
                  <c:v>73.986416891445188</c:v>
                </c:pt>
                <c:pt idx="54">
                  <c:v>74.109659373111697</c:v>
                </c:pt>
                <c:pt idx="55">
                  <c:v>74.219828397519109</c:v>
                </c:pt>
                <c:pt idx="56">
                  <c:v>74.452682132054974</c:v>
                </c:pt>
                <c:pt idx="57">
                  <c:v>74.61447779084402</c:v>
                </c:pt>
                <c:pt idx="58">
                  <c:v>74.607198390847003</c:v>
                </c:pt>
                <c:pt idx="59">
                  <c:v>74.665929176940509</c:v>
                </c:pt>
                <c:pt idx="60">
                  <c:v>74.805016234233619</c:v>
                </c:pt>
                <c:pt idx="61">
                  <c:v>74.963948427598197</c:v>
                </c:pt>
                <c:pt idx="62">
                  <c:v>75.155944597660152</c:v>
                </c:pt>
                <c:pt idx="63">
                  <c:v>75.359123159400653</c:v>
                </c:pt>
                <c:pt idx="64">
                  <c:v>75.473933875970047</c:v>
                </c:pt>
                <c:pt idx="65">
                  <c:v>75.866061250628277</c:v>
                </c:pt>
                <c:pt idx="66">
                  <c:v>75.991737907263641</c:v>
                </c:pt>
                <c:pt idx="67">
                  <c:v>76.201241809066943</c:v>
                </c:pt>
                <c:pt idx="68">
                  <c:v>14.413821285418587</c:v>
                </c:pt>
                <c:pt idx="69">
                  <c:v>14.348982779891436</c:v>
                </c:pt>
                <c:pt idx="70">
                  <c:v>14.272387010189581</c:v>
                </c:pt>
                <c:pt idx="71">
                  <c:v>14.226736200281634</c:v>
                </c:pt>
                <c:pt idx="72">
                  <c:v>14.205088192386976</c:v>
                </c:pt>
                <c:pt idx="73">
                  <c:v>14.184418374451345</c:v>
                </c:pt>
                <c:pt idx="74">
                  <c:v>14.160408905781201</c:v>
                </c:pt>
                <c:pt idx="75">
                  <c:v>14.137310015590884</c:v>
                </c:pt>
                <c:pt idx="76">
                  <c:v>14.127049450936921</c:v>
                </c:pt>
                <c:pt idx="77">
                  <c:v>14.098923465296409</c:v>
                </c:pt>
                <c:pt idx="78">
                  <c:v>82.627809884191038</c:v>
                </c:pt>
                <c:pt idx="79">
                  <c:v>80.479100429691869</c:v>
                </c:pt>
                <c:pt idx="80">
                  <c:v>78.818539706150787</c:v>
                </c:pt>
                <c:pt idx="81">
                  <c:v>77.669789914558791</c:v>
                </c:pt>
                <c:pt idx="82">
                  <c:v>77.305896986910724</c:v>
                </c:pt>
                <c:pt idx="83">
                  <c:v>77.104601239895587</c:v>
                </c:pt>
                <c:pt idx="84">
                  <c:v>77.36582032194643</c:v>
                </c:pt>
                <c:pt idx="85">
                  <c:v>77.65942498773893</c:v>
                </c:pt>
                <c:pt idx="86">
                  <c:v>77.425390048793602</c:v>
                </c:pt>
                <c:pt idx="87">
                  <c:v>77.603829298237159</c:v>
                </c:pt>
                <c:pt idx="88">
                  <c:v>77.357824127811455</c:v>
                </c:pt>
                <c:pt idx="89">
                  <c:v>77.080669093736972</c:v>
                </c:pt>
                <c:pt idx="90">
                  <c:v>77.175099215964636</c:v>
                </c:pt>
                <c:pt idx="91">
                  <c:v>77.486532108573584</c:v>
                </c:pt>
                <c:pt idx="92">
                  <c:v>77.75229246078635</c:v>
                </c:pt>
                <c:pt idx="93">
                  <c:v>78.076028760741835</c:v>
                </c:pt>
                <c:pt idx="94">
                  <c:v>78.480983697260527</c:v>
                </c:pt>
                <c:pt idx="95">
                  <c:v>78.711908311457378</c:v>
                </c:pt>
                <c:pt idx="96">
                  <c:v>78.791852954745309</c:v>
                </c:pt>
                <c:pt idx="97">
                  <c:v>78.536042309251854</c:v>
                </c:pt>
                <c:pt idx="98">
                  <c:v>79.066849647602012</c:v>
                </c:pt>
                <c:pt idx="99">
                  <c:v>79.075997319301166</c:v>
                </c:pt>
                <c:pt idx="100">
                  <c:v>79.497934374846082</c:v>
                </c:pt>
                <c:pt idx="101">
                  <c:v>79.806460557872114</c:v>
                </c:pt>
                <c:pt idx="102">
                  <c:v>80.342611064175983</c:v>
                </c:pt>
                <c:pt idx="103">
                  <c:v>80.428488227271927</c:v>
                </c:pt>
                <c:pt idx="104">
                  <c:v>80.922861780241021</c:v>
                </c:pt>
                <c:pt idx="105">
                  <c:v>81.090409945848805</c:v>
                </c:pt>
                <c:pt idx="106">
                  <c:v>81.173746904971935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4-421C-9A18-C1A0E5919A6E}"/>
            </c:ext>
          </c:extLst>
        </c:ser>
        <c:ser>
          <c:idx val="1"/>
          <c:order val="1"/>
          <c:tx>
            <c:strRef>
              <c:f>'Average comparison (2)'!$F$1</c:f>
              <c:strCache>
                <c:ptCount val="1"/>
                <c:pt idx="0">
                  <c:v>WT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 (2)'!$A$2:$A$107</c:f>
              <c:numCache>
                <c:formatCode>General</c:formatCode>
                <c:ptCount val="106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</c:numCache>
            </c:numRef>
          </c:xVal>
          <c:yVal>
            <c:numRef>
              <c:f>'Average comparison (2)'!$F$2:$F$108</c:f>
              <c:numCache>
                <c:formatCode>General</c:formatCode>
                <c:ptCount val="107"/>
                <c:pt idx="0">
                  <c:v>100</c:v>
                </c:pt>
                <c:pt idx="1">
                  <c:v>99.513037803589839</c:v>
                </c:pt>
                <c:pt idx="2">
                  <c:v>99.249318242599273</c:v>
                </c:pt>
                <c:pt idx="3">
                  <c:v>99.416905105358751</c:v>
                </c:pt>
                <c:pt idx="4">
                  <c:v>97.986582725232921</c:v>
                </c:pt>
                <c:pt idx="5">
                  <c:v>99.133360111435451</c:v>
                </c:pt>
                <c:pt idx="6">
                  <c:v>99.367238265563742</c:v>
                </c:pt>
                <c:pt idx="7">
                  <c:v>98.932730860454768</c:v>
                </c:pt>
                <c:pt idx="8">
                  <c:v>98.665707060642077</c:v>
                </c:pt>
                <c:pt idx="9">
                  <c:v>98.68790741522821</c:v>
                </c:pt>
                <c:pt idx="10">
                  <c:v>98.551504306352498</c:v>
                </c:pt>
                <c:pt idx="11">
                  <c:v>98.378961085359833</c:v>
                </c:pt>
                <c:pt idx="12">
                  <c:v>98.217466412928644</c:v>
                </c:pt>
                <c:pt idx="13">
                  <c:v>98.455578123047786</c:v>
                </c:pt>
                <c:pt idx="14">
                  <c:v>98.22479769281523</c:v>
                </c:pt>
                <c:pt idx="15">
                  <c:v>98.344782865043527</c:v>
                </c:pt>
                <c:pt idx="16">
                  <c:v>97.898710624057131</c:v>
                </c:pt>
                <c:pt idx="17">
                  <c:v>97.882292687409716</c:v>
                </c:pt>
                <c:pt idx="18">
                  <c:v>97.914405758462195</c:v>
                </c:pt>
                <c:pt idx="19">
                  <c:v>97.726890205306816</c:v>
                </c:pt>
                <c:pt idx="20">
                  <c:v>97.783785067525201</c:v>
                </c:pt>
                <c:pt idx="21">
                  <c:v>97.827772746844701</c:v>
                </c:pt>
                <c:pt idx="22">
                  <c:v>97.691163123042614</c:v>
                </c:pt>
                <c:pt idx="23">
                  <c:v>97.907177736038804</c:v>
                </c:pt>
                <c:pt idx="24">
                  <c:v>97.224439389417967</c:v>
                </c:pt>
                <c:pt idx="25">
                  <c:v>97.12871972103963</c:v>
                </c:pt>
                <c:pt idx="26">
                  <c:v>97.576134309047518</c:v>
                </c:pt>
                <c:pt idx="27">
                  <c:v>97.239101949191124</c:v>
                </c:pt>
                <c:pt idx="28">
                  <c:v>97.332859725768813</c:v>
                </c:pt>
                <c:pt idx="29">
                  <c:v>20.259837080374577</c:v>
                </c:pt>
                <c:pt idx="30">
                  <c:v>19.997872896258258</c:v>
                </c:pt>
                <c:pt idx="31">
                  <c:v>19.788983048222267</c:v>
                </c:pt>
                <c:pt idx="32">
                  <c:v>19.590418946505405</c:v>
                </c:pt>
                <c:pt idx="33">
                  <c:v>19.431195938264427</c:v>
                </c:pt>
                <c:pt idx="34">
                  <c:v>19.281885646489812</c:v>
                </c:pt>
                <c:pt idx="35">
                  <c:v>19.167992664589811</c:v>
                </c:pt>
                <c:pt idx="36">
                  <c:v>19.053789910300242</c:v>
                </c:pt>
                <c:pt idx="37">
                  <c:v>18.962716827765519</c:v>
                </c:pt>
                <c:pt idx="38">
                  <c:v>18.88093691691801</c:v>
                </c:pt>
                <c:pt idx="39">
                  <c:v>99.799577263945679</c:v>
                </c:pt>
                <c:pt idx="40">
                  <c:v>97.616404719692113</c:v>
                </c:pt>
                <c:pt idx="41">
                  <c:v>94.376598554602026</c:v>
                </c:pt>
                <c:pt idx="42">
                  <c:v>92.385897921737026</c:v>
                </c:pt>
                <c:pt idx="43">
                  <c:v>91.273402013314012</c:v>
                </c:pt>
                <c:pt idx="44">
                  <c:v>91.14753116568383</c:v>
                </c:pt>
                <c:pt idx="45">
                  <c:v>91.26483164386913</c:v>
                </c:pt>
                <c:pt idx="46">
                  <c:v>91.669600899579024</c:v>
                </c:pt>
                <c:pt idx="47">
                  <c:v>90.854486485146936</c:v>
                </c:pt>
                <c:pt idx="48">
                  <c:v>90.854589742610116</c:v>
                </c:pt>
                <c:pt idx="49">
                  <c:v>90.902191433141297</c:v>
                </c:pt>
                <c:pt idx="50">
                  <c:v>90.152335735446115</c:v>
                </c:pt>
                <c:pt idx="51">
                  <c:v>89.977624107726442</c:v>
                </c:pt>
                <c:pt idx="52">
                  <c:v>89.398556254149653</c:v>
                </c:pt>
                <c:pt idx="53">
                  <c:v>89.655047792716829</c:v>
                </c:pt>
                <c:pt idx="54">
                  <c:v>89.750044658852829</c:v>
                </c:pt>
                <c:pt idx="55">
                  <c:v>89.746017617788368</c:v>
                </c:pt>
                <c:pt idx="56">
                  <c:v>89.885105420707035</c:v>
                </c:pt>
                <c:pt idx="57">
                  <c:v>90.229159288060444</c:v>
                </c:pt>
                <c:pt idx="58">
                  <c:v>89.73331694981583</c:v>
                </c:pt>
                <c:pt idx="59">
                  <c:v>89.381828545112668</c:v>
                </c:pt>
                <c:pt idx="60">
                  <c:v>89.525562933874951</c:v>
                </c:pt>
                <c:pt idx="61">
                  <c:v>89.619836997768616</c:v>
                </c:pt>
                <c:pt idx="62">
                  <c:v>89.311510212679394</c:v>
                </c:pt>
                <c:pt idx="63">
                  <c:v>89.478477530659717</c:v>
                </c:pt>
                <c:pt idx="64">
                  <c:v>90.402735083685002</c:v>
                </c:pt>
                <c:pt idx="65">
                  <c:v>90.144488168243569</c:v>
                </c:pt>
                <c:pt idx="66">
                  <c:v>90.093169209037498</c:v>
                </c:pt>
                <c:pt idx="67">
                  <c:v>89.778543718693612</c:v>
                </c:pt>
                <c:pt idx="68">
                  <c:v>18.760125684984192</c:v>
                </c:pt>
                <c:pt idx="69">
                  <c:v>18.670085177081383</c:v>
                </c:pt>
                <c:pt idx="70">
                  <c:v>18.581387016200061</c:v>
                </c:pt>
                <c:pt idx="71">
                  <c:v>18.530894116699521</c:v>
                </c:pt>
                <c:pt idx="72">
                  <c:v>18.478026295545575</c:v>
                </c:pt>
                <c:pt idx="73">
                  <c:v>18.42887574306652</c:v>
                </c:pt>
                <c:pt idx="74">
                  <c:v>18.398208276498703</c:v>
                </c:pt>
                <c:pt idx="75">
                  <c:v>18.364856115887914</c:v>
                </c:pt>
                <c:pt idx="76">
                  <c:v>18.31973260447332</c:v>
                </c:pt>
                <c:pt idx="77">
                  <c:v>18.275022122911487</c:v>
                </c:pt>
                <c:pt idx="78">
                  <c:v>96.858907969720775</c:v>
                </c:pt>
                <c:pt idx="79">
                  <c:v>94.708261526372468</c:v>
                </c:pt>
                <c:pt idx="80">
                  <c:v>92.51383391863105</c:v>
                </c:pt>
                <c:pt idx="81">
                  <c:v>91.078864952661604</c:v>
                </c:pt>
                <c:pt idx="82">
                  <c:v>89.843182890651377</c:v>
                </c:pt>
                <c:pt idx="83">
                  <c:v>89.915566372348465</c:v>
                </c:pt>
                <c:pt idx="84">
                  <c:v>89.62892365452943</c:v>
                </c:pt>
                <c:pt idx="85">
                  <c:v>90.040198130420364</c:v>
                </c:pt>
                <c:pt idx="86">
                  <c:v>90.49680263265229</c:v>
                </c:pt>
                <c:pt idx="87">
                  <c:v>90.431027628599409</c:v>
                </c:pt>
                <c:pt idx="88">
                  <c:v>90.002096126502778</c:v>
                </c:pt>
                <c:pt idx="89">
                  <c:v>89.946543611305856</c:v>
                </c:pt>
                <c:pt idx="90">
                  <c:v>89.518025139061976</c:v>
                </c:pt>
                <c:pt idx="91">
                  <c:v>89.282185093133066</c:v>
                </c:pt>
                <c:pt idx="92">
                  <c:v>89.255957697482486</c:v>
                </c:pt>
                <c:pt idx="93">
                  <c:v>89.174797331414112</c:v>
                </c:pt>
                <c:pt idx="94">
                  <c:v>89.876122021409387</c:v>
                </c:pt>
                <c:pt idx="95">
                  <c:v>89.982477208496434</c:v>
                </c:pt>
                <c:pt idx="96">
                  <c:v>90.112271839727896</c:v>
                </c:pt>
                <c:pt idx="97">
                  <c:v>89.932707111238216</c:v>
                </c:pt>
                <c:pt idx="98">
                  <c:v>89.485292523230342</c:v>
                </c:pt>
                <c:pt idx="99">
                  <c:v>89.924343256719723</c:v>
                </c:pt>
                <c:pt idx="100">
                  <c:v>89.684682684652728</c:v>
                </c:pt>
                <c:pt idx="101">
                  <c:v>89.449771955892544</c:v>
                </c:pt>
                <c:pt idx="102">
                  <c:v>89.730942028162431</c:v>
                </c:pt>
                <c:pt idx="103">
                  <c:v>90.073447033567959</c:v>
                </c:pt>
                <c:pt idx="104">
                  <c:v>90.21263809394982</c:v>
                </c:pt>
                <c:pt idx="105">
                  <c:v>90.122184556194256</c:v>
                </c:pt>
                <c:pt idx="106">
                  <c:v>90.116505395718733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4-421C-9A18-C1A0E5919A6E}"/>
            </c:ext>
          </c:extLst>
        </c:ser>
        <c:ser>
          <c:idx val="2"/>
          <c:order val="2"/>
          <c:tx>
            <c:strRef>
              <c:f>'Average comparison (2)'!$I$1</c:f>
              <c:strCache>
                <c:ptCount val="1"/>
                <c:pt idx="0">
                  <c:v>Spore-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 (2)'!$A$2:$A$107</c:f>
              <c:numCache>
                <c:formatCode>General</c:formatCode>
                <c:ptCount val="106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</c:numCache>
            </c:numRef>
          </c:xVal>
          <c:yVal>
            <c:numRef>
              <c:f>'Average comparison (2)'!$I$2:$I$108</c:f>
              <c:numCache>
                <c:formatCode>General</c:formatCode>
                <c:ptCount val="107"/>
                <c:pt idx="0">
                  <c:v>100</c:v>
                </c:pt>
                <c:pt idx="1">
                  <c:v>100.28545086055526</c:v>
                </c:pt>
                <c:pt idx="2">
                  <c:v>98.860813769160686</c:v>
                </c:pt>
                <c:pt idx="3">
                  <c:v>98.525898250848954</c:v>
                </c:pt>
                <c:pt idx="4">
                  <c:v>97.954498086742646</c:v>
                </c:pt>
                <c:pt idx="5">
                  <c:v>97.459143026215926</c:v>
                </c:pt>
                <c:pt idx="6">
                  <c:v>96.888629189160682</c:v>
                </c:pt>
                <c:pt idx="7">
                  <c:v>97.401773253590662</c:v>
                </c:pt>
                <c:pt idx="8">
                  <c:v>96.117696619164619</c:v>
                </c:pt>
                <c:pt idx="9">
                  <c:v>96.04852705819583</c:v>
                </c:pt>
                <c:pt idx="10">
                  <c:v>95.600134612292777</c:v>
                </c:pt>
                <c:pt idx="11">
                  <c:v>95.11661156291477</c:v>
                </c:pt>
                <c:pt idx="12">
                  <c:v>94.699068430684932</c:v>
                </c:pt>
                <c:pt idx="13">
                  <c:v>94.885813237447692</c:v>
                </c:pt>
                <c:pt idx="14">
                  <c:v>94.529836558373475</c:v>
                </c:pt>
                <c:pt idx="15">
                  <c:v>93.992938888201877</c:v>
                </c:pt>
                <c:pt idx="16">
                  <c:v>94.238231473480099</c:v>
                </c:pt>
                <c:pt idx="17">
                  <c:v>94.611623743715953</c:v>
                </c:pt>
                <c:pt idx="18">
                  <c:v>94.124160280104817</c:v>
                </c:pt>
                <c:pt idx="19">
                  <c:v>93.967434429800974</c:v>
                </c:pt>
                <c:pt idx="20">
                  <c:v>94.210160035280879</c:v>
                </c:pt>
                <c:pt idx="21">
                  <c:v>94.008694009877487</c:v>
                </c:pt>
                <c:pt idx="22">
                  <c:v>93.781911798240401</c:v>
                </c:pt>
                <c:pt idx="23">
                  <c:v>93.734809821821386</c:v>
                </c:pt>
                <c:pt idx="24">
                  <c:v>93.470051829958493</c:v>
                </c:pt>
                <c:pt idx="25">
                  <c:v>93.619656288019613</c:v>
                </c:pt>
                <c:pt idx="26">
                  <c:v>94.001311077931277</c:v>
                </c:pt>
                <c:pt idx="27">
                  <c:v>93.881936696349598</c:v>
                </c:pt>
                <c:pt idx="28">
                  <c:v>94.057453308544879</c:v>
                </c:pt>
                <c:pt idx="29">
                  <c:v>18.094883494829759</c:v>
                </c:pt>
                <c:pt idx="30">
                  <c:v>17.844308849605152</c:v>
                </c:pt>
                <c:pt idx="31">
                  <c:v>17.6099432978571</c:v>
                </c:pt>
                <c:pt idx="32">
                  <c:v>17.460890076312754</c:v>
                </c:pt>
                <c:pt idx="33">
                  <c:v>17.337430367142044</c:v>
                </c:pt>
                <c:pt idx="34">
                  <c:v>17.22923449486775</c:v>
                </c:pt>
                <c:pt idx="35">
                  <c:v>17.151149837732756</c:v>
                </c:pt>
                <c:pt idx="36">
                  <c:v>17.080411684445782</c:v>
                </c:pt>
                <c:pt idx="37">
                  <c:v>17.00939562937636</c:v>
                </c:pt>
                <c:pt idx="38">
                  <c:v>16.949332917109587</c:v>
                </c:pt>
                <c:pt idx="39">
                  <c:v>88.030989268299535</c:v>
                </c:pt>
                <c:pt idx="40">
                  <c:v>85.254576892777251</c:v>
                </c:pt>
                <c:pt idx="41">
                  <c:v>83.017842288453778</c:v>
                </c:pt>
                <c:pt idx="42">
                  <c:v>81.009626389030856</c:v>
                </c:pt>
                <c:pt idx="43">
                  <c:v>79.913616753268357</c:v>
                </c:pt>
                <c:pt idx="44">
                  <c:v>79.211190268514173</c:v>
                </c:pt>
                <c:pt idx="45">
                  <c:v>78.888412189051124</c:v>
                </c:pt>
                <c:pt idx="46">
                  <c:v>78.384318037058918</c:v>
                </c:pt>
                <c:pt idx="47">
                  <c:v>78.079421274493612</c:v>
                </c:pt>
                <c:pt idx="48">
                  <c:v>77.871635404598493</c:v>
                </c:pt>
                <c:pt idx="49">
                  <c:v>78.505503406466786</c:v>
                </c:pt>
                <c:pt idx="50">
                  <c:v>77.566336887169257</c:v>
                </c:pt>
                <c:pt idx="51">
                  <c:v>77.317776168661979</c:v>
                </c:pt>
                <c:pt idx="52">
                  <c:v>77.197970330462795</c:v>
                </c:pt>
                <c:pt idx="53">
                  <c:v>77.581516435451945</c:v>
                </c:pt>
                <c:pt idx="54">
                  <c:v>77.971246291204054</c:v>
                </c:pt>
                <c:pt idx="55">
                  <c:v>77.736010203633285</c:v>
                </c:pt>
                <c:pt idx="56">
                  <c:v>78.052318685799193</c:v>
                </c:pt>
                <c:pt idx="57">
                  <c:v>77.909217561204017</c:v>
                </c:pt>
                <c:pt idx="58">
                  <c:v>77.679394190125834</c:v>
                </c:pt>
                <c:pt idx="59">
                  <c:v>77.441269544526833</c:v>
                </c:pt>
                <c:pt idx="60">
                  <c:v>77.697680455249284</c:v>
                </c:pt>
                <c:pt idx="61">
                  <c:v>77.903330792210582</c:v>
                </c:pt>
                <c:pt idx="62">
                  <c:v>78.217322858956024</c:v>
                </c:pt>
                <c:pt idx="63">
                  <c:v>78.265825624345624</c:v>
                </c:pt>
                <c:pt idx="64">
                  <c:v>78.930483157997841</c:v>
                </c:pt>
                <c:pt idx="65">
                  <c:v>79.507008353172324</c:v>
                </c:pt>
                <c:pt idx="66">
                  <c:v>79.036730362460304</c:v>
                </c:pt>
                <c:pt idx="67">
                  <c:v>79.293644100995152</c:v>
                </c:pt>
                <c:pt idx="68">
                  <c:v>16.897555363997206</c:v>
                </c:pt>
                <c:pt idx="69">
                  <c:v>16.863201554630283</c:v>
                </c:pt>
                <c:pt idx="70">
                  <c:v>16.804794081549463</c:v>
                </c:pt>
                <c:pt idx="71">
                  <c:v>16.759336891950635</c:v>
                </c:pt>
                <c:pt idx="72">
                  <c:v>16.726458794387298</c:v>
                </c:pt>
                <c:pt idx="73">
                  <c:v>16.696277500805987</c:v>
                </c:pt>
                <c:pt idx="74">
                  <c:v>16.661566454570323</c:v>
                </c:pt>
                <c:pt idx="75">
                  <c:v>16.631550062948843</c:v>
                </c:pt>
                <c:pt idx="76">
                  <c:v>16.613847297506698</c:v>
                </c:pt>
                <c:pt idx="77">
                  <c:v>16.588763779163184</c:v>
                </c:pt>
                <c:pt idx="78">
                  <c:v>90.284116206762675</c:v>
                </c:pt>
                <c:pt idx="79">
                  <c:v>87.8352080226868</c:v>
                </c:pt>
                <c:pt idx="80">
                  <c:v>85.11248206840672</c:v>
                </c:pt>
                <c:pt idx="81">
                  <c:v>83.751899310113529</c:v>
                </c:pt>
                <c:pt idx="82">
                  <c:v>82.961862402999671</c:v>
                </c:pt>
                <c:pt idx="83">
                  <c:v>82.545299400892461</c:v>
                </c:pt>
                <c:pt idx="84">
                  <c:v>82.230919761101006</c:v>
                </c:pt>
                <c:pt idx="85">
                  <c:v>82.151984092991214</c:v>
                </c:pt>
                <c:pt idx="86">
                  <c:v>82.562319444474909</c:v>
                </c:pt>
                <c:pt idx="87">
                  <c:v>82.300610967955592</c:v>
                </c:pt>
                <c:pt idx="88">
                  <c:v>82.189929064880928</c:v>
                </c:pt>
                <c:pt idx="89">
                  <c:v>82.118567349709693</c:v>
                </c:pt>
                <c:pt idx="90">
                  <c:v>81.780191945272023</c:v>
                </c:pt>
                <c:pt idx="91">
                  <c:v>81.941663881020872</c:v>
                </c:pt>
                <c:pt idx="92">
                  <c:v>82.293432158265162</c:v>
                </c:pt>
                <c:pt idx="93">
                  <c:v>82.549102717180574</c:v>
                </c:pt>
                <c:pt idx="94">
                  <c:v>82.936780850247942</c:v>
                </c:pt>
                <c:pt idx="95">
                  <c:v>82.943733852995635</c:v>
                </c:pt>
                <c:pt idx="96">
                  <c:v>83.194056106165235</c:v>
                </c:pt>
                <c:pt idx="97">
                  <c:v>83.343987216799192</c:v>
                </c:pt>
                <c:pt idx="98">
                  <c:v>83.505562651380743</c:v>
                </c:pt>
                <c:pt idx="99">
                  <c:v>83.281074521162779</c:v>
                </c:pt>
                <c:pt idx="100">
                  <c:v>83.425852943395441</c:v>
                </c:pt>
                <c:pt idx="101">
                  <c:v>84.272482968288855</c:v>
                </c:pt>
                <c:pt idx="102">
                  <c:v>84.705561954586258</c:v>
                </c:pt>
                <c:pt idx="103">
                  <c:v>84.765813313056469</c:v>
                </c:pt>
                <c:pt idx="104">
                  <c:v>85.424042782535665</c:v>
                </c:pt>
                <c:pt idx="105">
                  <c:v>85.545503332342548</c:v>
                </c:pt>
                <c:pt idx="106">
                  <c:v>85.64812125522451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4-421C-9A18-C1A0E5919A6E}"/>
            </c:ext>
          </c:extLst>
        </c:ser>
        <c:ser>
          <c:idx val="3"/>
          <c:order val="3"/>
          <c:tx>
            <c:strRef>
              <c:f>'Average comparison (2)'!$L$1</c:f>
              <c:strCache>
                <c:ptCount val="1"/>
                <c:pt idx="0">
                  <c:v>Spore-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 (2)'!$A$2:$A$107</c:f>
              <c:numCache>
                <c:formatCode>General</c:formatCode>
                <c:ptCount val="106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</c:numCache>
            </c:numRef>
          </c:xVal>
          <c:yVal>
            <c:numRef>
              <c:f>'Average comparison (2)'!$L$2:$L$108</c:f>
              <c:numCache>
                <c:formatCode>General</c:formatCode>
                <c:ptCount val="107"/>
                <c:pt idx="0">
                  <c:v>100</c:v>
                </c:pt>
                <c:pt idx="1">
                  <c:v>97.388242198963113</c:v>
                </c:pt>
                <c:pt idx="2">
                  <c:v>95.936969222697471</c:v>
                </c:pt>
                <c:pt idx="3">
                  <c:v>94.71067912816909</c:v>
                </c:pt>
                <c:pt idx="4">
                  <c:v>93.698700790552493</c:v>
                </c:pt>
                <c:pt idx="5">
                  <c:v>92.881470481000932</c:v>
                </c:pt>
                <c:pt idx="6">
                  <c:v>92.22875334584225</c:v>
                </c:pt>
                <c:pt idx="7">
                  <c:v>91.673854854917153</c:v>
                </c:pt>
                <c:pt idx="8">
                  <c:v>90.729460307861928</c:v>
                </c:pt>
                <c:pt idx="9">
                  <c:v>90.588067903924298</c:v>
                </c:pt>
                <c:pt idx="10">
                  <c:v>90.187900722968706</c:v>
                </c:pt>
                <c:pt idx="11">
                  <c:v>89.681911554160394</c:v>
                </c:pt>
                <c:pt idx="12">
                  <c:v>89.159026437711759</c:v>
                </c:pt>
                <c:pt idx="13">
                  <c:v>89.047868887446285</c:v>
                </c:pt>
                <c:pt idx="14">
                  <c:v>88.629916498448239</c:v>
                </c:pt>
                <c:pt idx="15">
                  <c:v>88.533342818777626</c:v>
                </c:pt>
                <c:pt idx="16">
                  <c:v>87.990004713080111</c:v>
                </c:pt>
                <c:pt idx="17">
                  <c:v>88.095826700932832</c:v>
                </c:pt>
                <c:pt idx="18">
                  <c:v>87.973197691479982</c:v>
                </c:pt>
                <c:pt idx="19">
                  <c:v>87.905258196757757</c:v>
                </c:pt>
                <c:pt idx="20">
                  <c:v>87.863107253697081</c:v>
                </c:pt>
                <c:pt idx="21">
                  <c:v>87.554711746240642</c:v>
                </c:pt>
                <c:pt idx="22">
                  <c:v>87.407361297608773</c:v>
                </c:pt>
                <c:pt idx="23">
                  <c:v>87.168505953598384</c:v>
                </c:pt>
                <c:pt idx="24">
                  <c:v>87.26925915715897</c:v>
                </c:pt>
                <c:pt idx="25">
                  <c:v>87.084381919557501</c:v>
                </c:pt>
                <c:pt idx="26">
                  <c:v>87.215458902830505</c:v>
                </c:pt>
                <c:pt idx="27">
                  <c:v>87.484549100513092</c:v>
                </c:pt>
                <c:pt idx="28">
                  <c:v>87.249517576231824</c:v>
                </c:pt>
                <c:pt idx="29">
                  <c:v>9.7526077561292261</c:v>
                </c:pt>
                <c:pt idx="30">
                  <c:v>9.660124674308376</c:v>
                </c:pt>
                <c:pt idx="31">
                  <c:v>9.5391852596195736</c:v>
                </c:pt>
                <c:pt idx="32">
                  <c:v>9.4667994628867156</c:v>
                </c:pt>
                <c:pt idx="33">
                  <c:v>9.4140663210407904</c:v>
                </c:pt>
                <c:pt idx="34">
                  <c:v>9.359110028189555</c:v>
                </c:pt>
                <c:pt idx="35">
                  <c:v>9.2854792668937236</c:v>
                </c:pt>
                <c:pt idx="36">
                  <c:v>9.274363511867179</c:v>
                </c:pt>
                <c:pt idx="37">
                  <c:v>9.2475967737632594</c:v>
                </c:pt>
                <c:pt idx="38">
                  <c:v>9.1942411496358467</c:v>
                </c:pt>
                <c:pt idx="39">
                  <c:v>75.497585658008219</c:v>
                </c:pt>
                <c:pt idx="40">
                  <c:v>72.182867509092688</c:v>
                </c:pt>
                <c:pt idx="41">
                  <c:v>70.492116706535171</c:v>
                </c:pt>
                <c:pt idx="42">
                  <c:v>69.363734182280595</c:v>
                </c:pt>
                <c:pt idx="43">
                  <c:v>68.472784185392996</c:v>
                </c:pt>
                <c:pt idx="44">
                  <c:v>67.816865712786665</c:v>
                </c:pt>
                <c:pt idx="45">
                  <c:v>67.129912052146224</c:v>
                </c:pt>
                <c:pt idx="46">
                  <c:v>66.611028607507123</c:v>
                </c:pt>
                <c:pt idx="47">
                  <c:v>66.47150365041395</c:v>
                </c:pt>
                <c:pt idx="48">
                  <c:v>66.265550941282129</c:v>
                </c:pt>
                <c:pt idx="49">
                  <c:v>66.133406845526565</c:v>
                </c:pt>
                <c:pt idx="50">
                  <c:v>65.919006162574576</c:v>
                </c:pt>
                <c:pt idx="51">
                  <c:v>65.690466239228826</c:v>
                </c:pt>
                <c:pt idx="52">
                  <c:v>65.520350724302588</c:v>
                </c:pt>
                <c:pt idx="53">
                  <c:v>65.710919228477678</c:v>
                </c:pt>
                <c:pt idx="54">
                  <c:v>65.65614078770686</c:v>
                </c:pt>
                <c:pt idx="55">
                  <c:v>65.649382408650723</c:v>
                </c:pt>
                <c:pt idx="56">
                  <c:v>65.813006322641442</c:v>
                </c:pt>
                <c:pt idx="57">
                  <c:v>65.867340133211201</c:v>
                </c:pt>
                <c:pt idx="58">
                  <c:v>65.802157345735552</c:v>
                </c:pt>
                <c:pt idx="59">
                  <c:v>66.047059660480372</c:v>
                </c:pt>
                <c:pt idx="60">
                  <c:v>67.461695108178517</c:v>
                </c:pt>
                <c:pt idx="61">
                  <c:v>66.655402701573095</c:v>
                </c:pt>
                <c:pt idx="62">
                  <c:v>66.868380567881687</c:v>
                </c:pt>
                <c:pt idx="63">
                  <c:v>66.878340284385473</c:v>
                </c:pt>
                <c:pt idx="64">
                  <c:v>66.892212746658601</c:v>
                </c:pt>
                <c:pt idx="65">
                  <c:v>66.95801801641575</c:v>
                </c:pt>
                <c:pt idx="66">
                  <c:v>67.236356522280417</c:v>
                </c:pt>
                <c:pt idx="67">
                  <c:v>67.297004081705239</c:v>
                </c:pt>
                <c:pt idx="68">
                  <c:v>9.5777791610717351</c:v>
                </c:pt>
                <c:pt idx="69">
                  <c:v>9.6145056156794393</c:v>
                </c:pt>
                <c:pt idx="70">
                  <c:v>9.5514570531688783</c:v>
                </c:pt>
                <c:pt idx="71">
                  <c:v>9.4561283380612338</c:v>
                </c:pt>
                <c:pt idx="72">
                  <c:v>9.4198465136545924</c:v>
                </c:pt>
                <c:pt idx="73">
                  <c:v>9.3796519434786099</c:v>
                </c:pt>
                <c:pt idx="74">
                  <c:v>9.3397241514232601</c:v>
                </c:pt>
                <c:pt idx="75">
                  <c:v>9.3196268663352697</c:v>
                </c:pt>
                <c:pt idx="76">
                  <c:v>9.2853903408535103</c:v>
                </c:pt>
                <c:pt idx="77">
                  <c:v>9.2468853654415604</c:v>
                </c:pt>
                <c:pt idx="78">
                  <c:v>72.141072270192879</c:v>
                </c:pt>
                <c:pt idx="79">
                  <c:v>69.340168781624314</c:v>
                </c:pt>
                <c:pt idx="80">
                  <c:v>67.742523543169128</c:v>
                </c:pt>
                <c:pt idx="81">
                  <c:v>67.095942304785112</c:v>
                </c:pt>
                <c:pt idx="82">
                  <c:v>66.229980525197192</c:v>
                </c:pt>
                <c:pt idx="83">
                  <c:v>65.583488212853354</c:v>
                </c:pt>
                <c:pt idx="84">
                  <c:v>64.970787795790244</c:v>
                </c:pt>
                <c:pt idx="85">
                  <c:v>64.495300258774762</c:v>
                </c:pt>
                <c:pt idx="86">
                  <c:v>64.07165660320311</c:v>
                </c:pt>
                <c:pt idx="87">
                  <c:v>62.915884858563132</c:v>
                </c:pt>
                <c:pt idx="88">
                  <c:v>63.906343094448339</c:v>
                </c:pt>
                <c:pt idx="89">
                  <c:v>63.921638373364864</c:v>
                </c:pt>
                <c:pt idx="90">
                  <c:v>63.790739242172279</c:v>
                </c:pt>
                <c:pt idx="91">
                  <c:v>63.759437276017529</c:v>
                </c:pt>
                <c:pt idx="92">
                  <c:v>63.693187376059321</c:v>
                </c:pt>
                <c:pt idx="93">
                  <c:v>63.64792402159123</c:v>
                </c:pt>
                <c:pt idx="94">
                  <c:v>63.760771166620714</c:v>
                </c:pt>
                <c:pt idx="95">
                  <c:v>63.690252816732318</c:v>
                </c:pt>
                <c:pt idx="96">
                  <c:v>63.647212613269531</c:v>
                </c:pt>
                <c:pt idx="97">
                  <c:v>63.546103705548099</c:v>
                </c:pt>
                <c:pt idx="98">
                  <c:v>63.846318017305002</c:v>
                </c:pt>
                <c:pt idx="99">
                  <c:v>63.936311169999904</c:v>
                </c:pt>
                <c:pt idx="100">
                  <c:v>63.997492285665999</c:v>
                </c:pt>
                <c:pt idx="101">
                  <c:v>64.569286724231461</c:v>
                </c:pt>
                <c:pt idx="102">
                  <c:v>64.041066045370059</c:v>
                </c:pt>
                <c:pt idx="103">
                  <c:v>64.348839070545026</c:v>
                </c:pt>
                <c:pt idx="104">
                  <c:v>64.886930539869979</c:v>
                </c:pt>
                <c:pt idx="105">
                  <c:v>64.809920589046087</c:v>
                </c:pt>
                <c:pt idx="106">
                  <c:v>64.630645691977975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34-421C-9A18-C1A0E5919A6E}"/>
            </c:ext>
          </c:extLst>
        </c:ser>
        <c:ser>
          <c:idx val="4"/>
          <c:order val="4"/>
          <c:tx>
            <c:strRef>
              <c:f>'Average comparison (2)'!$O$1</c:f>
              <c:strCache>
                <c:ptCount val="1"/>
                <c:pt idx="0">
                  <c:v>PGA-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'Average comparison (2)'!$A$2:$A$107</c:f>
              <c:numCache>
                <c:formatCode>General</c:formatCode>
                <c:ptCount val="106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</c:numCache>
            </c:numRef>
          </c:xVal>
          <c:yVal>
            <c:numRef>
              <c:f>'Average comparison (2)'!$O$2:$O$108</c:f>
              <c:numCache>
                <c:formatCode>General</c:formatCode>
                <c:ptCount val="107"/>
                <c:pt idx="0">
                  <c:v>100</c:v>
                </c:pt>
                <c:pt idx="1">
                  <c:v>101.32224007633731</c:v>
                </c:pt>
                <c:pt idx="2">
                  <c:v>102.0845010308081</c:v>
                </c:pt>
                <c:pt idx="3">
                  <c:v>103.03073205231586</c:v>
                </c:pt>
                <c:pt idx="4">
                  <c:v>104.48793385032381</c:v>
                </c:pt>
                <c:pt idx="5">
                  <c:v>105.4622515788222</c:v>
                </c:pt>
                <c:pt idx="6">
                  <c:v>106.27002103358275</c:v>
                </c:pt>
                <c:pt idx="7">
                  <c:v>107.91305605512282</c:v>
                </c:pt>
                <c:pt idx="8">
                  <c:v>109.2144252661512</c:v>
                </c:pt>
                <c:pt idx="9">
                  <c:v>110.39430155952341</c:v>
                </c:pt>
                <c:pt idx="10">
                  <c:v>111.89377596042365</c:v>
                </c:pt>
                <c:pt idx="11">
                  <c:v>113.30632405435558</c:v>
                </c:pt>
                <c:pt idx="12">
                  <c:v>114.49878874062139</c:v>
                </c:pt>
                <c:pt idx="13">
                  <c:v>116.49394184092068</c:v>
                </c:pt>
                <c:pt idx="14">
                  <c:v>118.18929070839218</c:v>
                </c:pt>
                <c:pt idx="15">
                  <c:v>119.9255566267291</c:v>
                </c:pt>
                <c:pt idx="16">
                  <c:v>122.37498508654672</c:v>
                </c:pt>
                <c:pt idx="17">
                  <c:v>124.71647007081572</c:v>
                </c:pt>
                <c:pt idx="18">
                  <c:v>124.41015949260002</c:v>
                </c:pt>
                <c:pt idx="19">
                  <c:v>126.83659178134454</c:v>
                </c:pt>
                <c:pt idx="20">
                  <c:v>128.42198668931528</c:v>
                </c:pt>
                <c:pt idx="21">
                  <c:v>129.18565288422786</c:v>
                </c:pt>
                <c:pt idx="22">
                  <c:v>130.95449880444957</c:v>
                </c:pt>
                <c:pt idx="23">
                  <c:v>132.4373107041165</c:v>
                </c:pt>
                <c:pt idx="24">
                  <c:v>134.47607853442267</c:v>
                </c:pt>
                <c:pt idx="25">
                  <c:v>135.857746120125</c:v>
                </c:pt>
                <c:pt idx="26">
                  <c:v>137.95594415926354</c:v>
                </c:pt>
                <c:pt idx="27">
                  <c:v>138.78410738646889</c:v>
                </c:pt>
                <c:pt idx="28">
                  <c:v>140.56167204376919</c:v>
                </c:pt>
                <c:pt idx="29">
                  <c:v>10.838714603868118</c:v>
                </c:pt>
                <c:pt idx="30">
                  <c:v>10.67341116442844</c:v>
                </c:pt>
                <c:pt idx="31">
                  <c:v>10.436057806520612</c:v>
                </c:pt>
                <c:pt idx="32">
                  <c:v>10.310155503047163</c:v>
                </c:pt>
                <c:pt idx="33">
                  <c:v>10.250465329575871</c:v>
                </c:pt>
                <c:pt idx="34">
                  <c:v>10.190412416639536</c:v>
                </c:pt>
                <c:pt idx="35">
                  <c:v>10.14134927024651</c:v>
                </c:pt>
                <c:pt idx="36">
                  <c:v>10.111436419489809</c:v>
                </c:pt>
                <c:pt idx="37">
                  <c:v>10.07931488908917</c:v>
                </c:pt>
                <c:pt idx="38">
                  <c:v>10.045377028160974</c:v>
                </c:pt>
                <c:pt idx="39">
                  <c:v>82.048782440771305</c:v>
                </c:pt>
                <c:pt idx="40">
                  <c:v>82.162369467417477</c:v>
                </c:pt>
                <c:pt idx="41">
                  <c:v>82.859083432659105</c:v>
                </c:pt>
                <c:pt idx="42">
                  <c:v>83.233203526186202</c:v>
                </c:pt>
                <c:pt idx="43">
                  <c:v>84.179679798748452</c:v>
                </c:pt>
                <c:pt idx="44">
                  <c:v>85.304541513332154</c:v>
                </c:pt>
                <c:pt idx="45">
                  <c:v>86.686062803028193</c:v>
                </c:pt>
                <c:pt idx="46">
                  <c:v>88.094186110249623</c:v>
                </c:pt>
                <c:pt idx="47">
                  <c:v>89.615050180006534</c:v>
                </c:pt>
                <c:pt idx="48">
                  <c:v>91.312493963609612</c:v>
                </c:pt>
                <c:pt idx="49">
                  <c:v>92.256581755922113</c:v>
                </c:pt>
                <c:pt idx="50">
                  <c:v>93.127902528474209</c:v>
                </c:pt>
                <c:pt idx="51">
                  <c:v>95.382467500821605</c:v>
                </c:pt>
                <c:pt idx="52">
                  <c:v>96.671104339647655</c:v>
                </c:pt>
                <c:pt idx="53">
                  <c:v>98.535814785028236</c:v>
                </c:pt>
                <c:pt idx="54">
                  <c:v>99.847008117784739</c:v>
                </c:pt>
                <c:pt idx="55">
                  <c:v>102.2912830259443</c:v>
                </c:pt>
                <c:pt idx="56">
                  <c:v>103.54884126618408</c:v>
                </c:pt>
                <c:pt idx="57">
                  <c:v>105.21112768713542</c:v>
                </c:pt>
                <c:pt idx="58">
                  <c:v>107.13661427776182</c:v>
                </c:pt>
                <c:pt idx="59">
                  <c:v>109.58066239664188</c:v>
                </c:pt>
                <c:pt idx="60">
                  <c:v>111.04166896168219</c:v>
                </c:pt>
                <c:pt idx="61">
                  <c:v>112.91753695862963</c:v>
                </c:pt>
                <c:pt idx="62">
                  <c:v>114.52655801407245</c:v>
                </c:pt>
                <c:pt idx="63">
                  <c:v>116.7719588533857</c:v>
                </c:pt>
                <c:pt idx="64">
                  <c:v>119.40204727094579</c:v>
                </c:pt>
                <c:pt idx="65">
                  <c:v>120.86517563755456</c:v>
                </c:pt>
                <c:pt idx="66">
                  <c:v>122.39367388106287</c:v>
                </c:pt>
                <c:pt idx="67">
                  <c:v>124.65981384828414</c:v>
                </c:pt>
                <c:pt idx="68">
                  <c:v>10.272833468803787</c:v>
                </c:pt>
                <c:pt idx="69">
                  <c:v>10.226317785890767</c:v>
                </c:pt>
                <c:pt idx="70">
                  <c:v>10.132105941272656</c:v>
                </c:pt>
                <c:pt idx="71">
                  <c:v>10.109197336685581</c:v>
                </c:pt>
                <c:pt idx="72">
                  <c:v>10.115206830589923</c:v>
                </c:pt>
                <c:pt idx="73">
                  <c:v>10.111436578799255</c:v>
                </c:pt>
                <c:pt idx="74">
                  <c:v>10.117054784644669</c:v>
                </c:pt>
                <c:pt idx="75">
                  <c:v>10.129966123684659</c:v>
                </c:pt>
                <c:pt idx="76">
                  <c:v>10.143950342142029</c:v>
                </c:pt>
                <c:pt idx="77">
                  <c:v>10.157955191003484</c:v>
                </c:pt>
                <c:pt idx="78">
                  <c:v>83.62749889122135</c:v>
                </c:pt>
                <c:pt idx="79">
                  <c:v>84.597729660390456</c:v>
                </c:pt>
                <c:pt idx="80">
                  <c:v>84.905100800095198</c:v>
                </c:pt>
                <c:pt idx="81">
                  <c:v>85.601097550460622</c:v>
                </c:pt>
                <c:pt idx="82">
                  <c:v>86.896451387178573</c:v>
                </c:pt>
                <c:pt idx="83">
                  <c:v>87.986371132233174</c:v>
                </c:pt>
                <c:pt idx="84">
                  <c:v>89.8652340065087</c:v>
                </c:pt>
                <c:pt idx="85">
                  <c:v>91.55407013513873</c:v>
                </c:pt>
                <c:pt idx="86">
                  <c:v>92.843005097351721</c:v>
                </c:pt>
                <c:pt idx="87">
                  <c:v>94.866849009369531</c:v>
                </c:pt>
                <c:pt idx="88">
                  <c:v>96.435334788191824</c:v>
                </c:pt>
                <c:pt idx="89">
                  <c:v>97.487603455896661</c:v>
                </c:pt>
                <c:pt idx="90">
                  <c:v>99.124901567007399</c:v>
                </c:pt>
                <c:pt idx="91">
                  <c:v>101.12517113978375</c:v>
                </c:pt>
                <c:pt idx="92">
                  <c:v>103.26896555289322</c:v>
                </c:pt>
                <c:pt idx="93">
                  <c:v>104.27879213649608</c:v>
                </c:pt>
                <c:pt idx="94">
                  <c:v>105.33595700262376</c:v>
                </c:pt>
                <c:pt idx="95">
                  <c:v>107.71992066347161</c:v>
                </c:pt>
                <c:pt idx="96">
                  <c:v>107.55991459385726</c:v>
                </c:pt>
                <c:pt idx="97">
                  <c:v>109.02731763349246</c:v>
                </c:pt>
                <c:pt idx="98">
                  <c:v>110.58253722296502</c:v>
                </c:pt>
                <c:pt idx="99">
                  <c:v>112.09048777802295</c:v>
                </c:pt>
                <c:pt idx="100">
                  <c:v>112.75167290924574</c:v>
                </c:pt>
                <c:pt idx="101">
                  <c:v>114.30041027265656</c:v>
                </c:pt>
                <c:pt idx="102">
                  <c:v>114.9116831538342</c:v>
                </c:pt>
                <c:pt idx="103">
                  <c:v>117.26622180279909</c:v>
                </c:pt>
                <c:pt idx="104">
                  <c:v>117.47183177454072</c:v>
                </c:pt>
                <c:pt idx="105">
                  <c:v>118.94852112522472</c:v>
                </c:pt>
                <c:pt idx="106">
                  <c:v>120.25856438629482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34-421C-9A18-C1A0E5919A6E}"/>
            </c:ext>
          </c:extLst>
        </c:ser>
        <c:ser>
          <c:idx val="5"/>
          <c:order val="5"/>
          <c:tx>
            <c:strRef>
              <c:f>'Average comparison (2)'!$R$1</c:f>
              <c:strCache>
                <c:ptCount val="1"/>
                <c:pt idx="0">
                  <c:v>PGA-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comparison (2)'!$A$2:$A$107</c:f>
              <c:numCache>
                <c:formatCode>General</c:formatCode>
                <c:ptCount val="106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</c:numCache>
            </c:numRef>
          </c:xVal>
          <c:yVal>
            <c:numRef>
              <c:f>'Average comparison (2)'!$R$2:$R$108</c:f>
              <c:numCache>
                <c:formatCode>General</c:formatCode>
                <c:ptCount val="107"/>
                <c:pt idx="0">
                  <c:v>100</c:v>
                </c:pt>
                <c:pt idx="1">
                  <c:v>99.39219602219805</c:v>
                </c:pt>
                <c:pt idx="2">
                  <c:v>99.364036892791702</c:v>
                </c:pt>
                <c:pt idx="3">
                  <c:v>99.341509589266607</c:v>
                </c:pt>
                <c:pt idx="4">
                  <c:v>99.762596878235584</c:v>
                </c:pt>
                <c:pt idx="5">
                  <c:v>100.09877356161002</c:v>
                </c:pt>
                <c:pt idx="6">
                  <c:v>100.371700508164</c:v>
                </c:pt>
                <c:pt idx="7">
                  <c:v>100.64852641109729</c:v>
                </c:pt>
                <c:pt idx="8">
                  <c:v>100.98903526822653</c:v>
                </c:pt>
                <c:pt idx="9">
                  <c:v>101.0267251798935</c:v>
                </c:pt>
                <c:pt idx="10">
                  <c:v>101.34687282037508</c:v>
                </c:pt>
                <c:pt idx="11">
                  <c:v>101.52622481382483</c:v>
                </c:pt>
                <c:pt idx="12">
                  <c:v>101.67178585198695</c:v>
                </c:pt>
                <c:pt idx="13">
                  <c:v>102.03135627363741</c:v>
                </c:pt>
                <c:pt idx="14">
                  <c:v>102.14052705225902</c:v>
                </c:pt>
                <c:pt idx="15">
                  <c:v>102.10760253172235</c:v>
                </c:pt>
                <c:pt idx="16">
                  <c:v>103.03382128050391</c:v>
                </c:pt>
                <c:pt idx="17">
                  <c:v>103.29765066217276</c:v>
                </c:pt>
                <c:pt idx="18">
                  <c:v>103.53245447968426</c:v>
                </c:pt>
                <c:pt idx="19">
                  <c:v>103.43064839644589</c:v>
                </c:pt>
                <c:pt idx="20">
                  <c:v>103.78761951384345</c:v>
                </c:pt>
                <c:pt idx="21">
                  <c:v>104.28322019139544</c:v>
                </c:pt>
                <c:pt idx="22">
                  <c:v>104.1749158475248</c:v>
                </c:pt>
                <c:pt idx="23">
                  <c:v>104.72726800126499</c:v>
                </c:pt>
                <c:pt idx="24">
                  <c:v>105.39009058575321</c:v>
                </c:pt>
                <c:pt idx="25">
                  <c:v>106.18114551338425</c:v>
                </c:pt>
                <c:pt idx="26">
                  <c:v>105.4520406704472</c:v>
                </c:pt>
                <c:pt idx="27">
                  <c:v>106.20020707790549</c:v>
                </c:pt>
                <c:pt idx="28">
                  <c:v>106.42201437415252</c:v>
                </c:pt>
                <c:pt idx="29">
                  <c:v>14.118380980024344</c:v>
                </c:pt>
                <c:pt idx="30">
                  <c:v>13.938855699624403</c:v>
                </c:pt>
                <c:pt idx="31">
                  <c:v>13.659647101125932</c:v>
                </c:pt>
                <c:pt idx="32">
                  <c:v>13.458114378051475</c:v>
                </c:pt>
                <c:pt idx="33">
                  <c:v>13.317751948395145</c:v>
                </c:pt>
                <c:pt idx="34">
                  <c:v>13.19068929216613</c:v>
                </c:pt>
                <c:pt idx="35">
                  <c:v>13.108031416924071</c:v>
                </c:pt>
                <c:pt idx="36">
                  <c:v>13.070298183519547</c:v>
                </c:pt>
                <c:pt idx="37">
                  <c:v>13.023640672180079</c:v>
                </c:pt>
                <c:pt idx="38">
                  <c:v>12.977459699953645</c:v>
                </c:pt>
                <c:pt idx="39">
                  <c:v>81.553604151955327</c:v>
                </c:pt>
                <c:pt idx="40">
                  <c:v>81.413674939674479</c:v>
                </c:pt>
                <c:pt idx="41">
                  <c:v>80.303772023688325</c:v>
                </c:pt>
                <c:pt idx="42">
                  <c:v>79.264050322530338</c:v>
                </c:pt>
                <c:pt idx="43">
                  <c:v>79.236757627874937</c:v>
                </c:pt>
                <c:pt idx="44">
                  <c:v>79.287010843430906</c:v>
                </c:pt>
                <c:pt idx="45">
                  <c:v>78.787511209499598</c:v>
                </c:pt>
                <c:pt idx="46">
                  <c:v>78.644982692965854</c:v>
                </c:pt>
                <c:pt idx="47">
                  <c:v>79.034445113524626</c:v>
                </c:pt>
                <c:pt idx="48">
                  <c:v>78.937404421416531</c:v>
                </c:pt>
                <c:pt idx="49">
                  <c:v>78.635885128080716</c:v>
                </c:pt>
                <c:pt idx="50">
                  <c:v>78.695669125897311</c:v>
                </c:pt>
                <c:pt idx="51">
                  <c:v>78.693936256395375</c:v>
                </c:pt>
                <c:pt idx="52">
                  <c:v>78.981592593715746</c:v>
                </c:pt>
                <c:pt idx="53">
                  <c:v>79.356325623508113</c:v>
                </c:pt>
                <c:pt idx="54">
                  <c:v>79.741455870312038</c:v>
                </c:pt>
                <c:pt idx="55">
                  <c:v>79.307372060078592</c:v>
                </c:pt>
                <c:pt idx="56">
                  <c:v>79.566869267992601</c:v>
                </c:pt>
                <c:pt idx="57">
                  <c:v>79.857558126941356</c:v>
                </c:pt>
                <c:pt idx="58">
                  <c:v>79.852359518435563</c:v>
                </c:pt>
                <c:pt idx="59">
                  <c:v>80.218861418093752</c:v>
                </c:pt>
                <c:pt idx="60">
                  <c:v>80.319801066581178</c:v>
                </c:pt>
                <c:pt idx="61">
                  <c:v>80.585796535127429</c:v>
                </c:pt>
                <c:pt idx="62">
                  <c:v>81.038508692506639</c:v>
                </c:pt>
                <c:pt idx="63">
                  <c:v>81.367753897873342</c:v>
                </c:pt>
                <c:pt idx="64">
                  <c:v>81.649345191936945</c:v>
                </c:pt>
                <c:pt idx="65">
                  <c:v>82.082562567419444</c:v>
                </c:pt>
                <c:pt idx="66">
                  <c:v>82.355056296597937</c:v>
                </c:pt>
                <c:pt idx="67">
                  <c:v>82.918672102100672</c:v>
                </c:pt>
                <c:pt idx="68">
                  <c:v>12.966845874254323</c:v>
                </c:pt>
                <c:pt idx="69">
                  <c:v>12.989156569091673</c:v>
                </c:pt>
                <c:pt idx="70">
                  <c:v>12.967539022055096</c:v>
                </c:pt>
                <c:pt idx="71">
                  <c:v>12.95458582252817</c:v>
                </c:pt>
                <c:pt idx="72">
                  <c:v>12.945574901118134</c:v>
                </c:pt>
                <c:pt idx="73">
                  <c:v>12.934484536305781</c:v>
                </c:pt>
                <c:pt idx="74">
                  <c:v>12.934614501518427</c:v>
                </c:pt>
                <c:pt idx="75">
                  <c:v>12.932058519003082</c:v>
                </c:pt>
                <c:pt idx="76">
                  <c:v>12.935177684106552</c:v>
                </c:pt>
                <c:pt idx="77">
                  <c:v>12.943408814240723</c:v>
                </c:pt>
                <c:pt idx="78">
                  <c:v>72.400154225385677</c:v>
                </c:pt>
                <c:pt idx="79">
                  <c:v>72.540949872417499</c:v>
                </c:pt>
                <c:pt idx="80">
                  <c:v>72.297914924771803</c:v>
                </c:pt>
                <c:pt idx="81">
                  <c:v>72.52925300327945</c:v>
                </c:pt>
                <c:pt idx="82">
                  <c:v>71.825707985495896</c:v>
                </c:pt>
                <c:pt idx="83">
                  <c:v>72.776186907304478</c:v>
                </c:pt>
                <c:pt idx="84">
                  <c:v>72.689976649583471</c:v>
                </c:pt>
                <c:pt idx="85">
                  <c:v>72.407952138144367</c:v>
                </c:pt>
                <c:pt idx="86">
                  <c:v>72.205639623794028</c:v>
                </c:pt>
                <c:pt idx="87">
                  <c:v>72.843768817879749</c:v>
                </c:pt>
                <c:pt idx="88">
                  <c:v>72.929112640849809</c:v>
                </c:pt>
                <c:pt idx="89">
                  <c:v>73.183844457633512</c:v>
                </c:pt>
                <c:pt idx="90">
                  <c:v>73.358431059952949</c:v>
                </c:pt>
                <c:pt idx="91">
                  <c:v>73.952805299114928</c:v>
                </c:pt>
                <c:pt idx="92">
                  <c:v>74.193674159883187</c:v>
                </c:pt>
                <c:pt idx="93">
                  <c:v>74.285516243485489</c:v>
                </c:pt>
                <c:pt idx="94">
                  <c:v>74.907616394678357</c:v>
                </c:pt>
                <c:pt idx="95">
                  <c:v>74.721332923220885</c:v>
                </c:pt>
                <c:pt idx="96">
                  <c:v>75.726397234340268</c:v>
                </c:pt>
                <c:pt idx="97">
                  <c:v>75.903149923537129</c:v>
                </c:pt>
                <c:pt idx="98">
                  <c:v>76.395718079460735</c:v>
                </c:pt>
                <c:pt idx="99">
                  <c:v>76.423877208867097</c:v>
                </c:pt>
                <c:pt idx="100">
                  <c:v>77.271250395310858</c:v>
                </c:pt>
                <c:pt idx="101">
                  <c:v>77.542011254987415</c:v>
                </c:pt>
                <c:pt idx="102">
                  <c:v>77.529014733722931</c:v>
                </c:pt>
                <c:pt idx="103">
                  <c:v>79.124554327624978</c:v>
                </c:pt>
                <c:pt idx="104">
                  <c:v>78.883252249481217</c:v>
                </c:pt>
                <c:pt idx="105">
                  <c:v>79.356758840883586</c:v>
                </c:pt>
                <c:pt idx="106">
                  <c:v>79.33336510260753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34-421C-9A18-C1A0E5919A6E}"/>
            </c:ext>
          </c:extLst>
        </c:ser>
        <c:ser>
          <c:idx val="6"/>
          <c:order val="6"/>
          <c:tx>
            <c:strRef>
              <c:f>'Average comparison (2)'!$U$1</c:f>
              <c:strCache>
                <c:ptCount val="1"/>
                <c:pt idx="0">
                  <c:v>EPS- Parafilm-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 (2)'!$A$2:$A$107</c:f>
              <c:numCache>
                <c:formatCode>General</c:formatCode>
                <c:ptCount val="106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</c:numCache>
            </c:numRef>
          </c:xVal>
          <c:yVal>
            <c:numRef>
              <c:f>'Average comparison (2)'!$U$2:$U$108</c:f>
              <c:numCache>
                <c:formatCode>General</c:formatCode>
                <c:ptCount val="107"/>
                <c:pt idx="0">
                  <c:v>100</c:v>
                </c:pt>
                <c:pt idx="1">
                  <c:v>100.42602081651755</c:v>
                </c:pt>
                <c:pt idx="2">
                  <c:v>101.59378991511976</c:v>
                </c:pt>
                <c:pt idx="3">
                  <c:v>102.12760018949179</c:v>
                </c:pt>
                <c:pt idx="4">
                  <c:v>104.50223805553082</c:v>
                </c:pt>
                <c:pt idx="5">
                  <c:v>105.61964833442322</c:v>
                </c:pt>
                <c:pt idx="6">
                  <c:v>106.56750874852783</c:v>
                </c:pt>
                <c:pt idx="7">
                  <c:v>108.30208105800283</c:v>
                </c:pt>
                <c:pt idx="8">
                  <c:v>110.05588370493298</c:v>
                </c:pt>
                <c:pt idx="9">
                  <c:v>110.33622223106703</c:v>
                </c:pt>
                <c:pt idx="10">
                  <c:v>111.94744119066509</c:v>
                </c:pt>
                <c:pt idx="11">
                  <c:v>114.08551921822482</c:v>
                </c:pt>
                <c:pt idx="12">
                  <c:v>113.58819729015535</c:v>
                </c:pt>
                <c:pt idx="13">
                  <c:v>115.58178314326308</c:v>
                </c:pt>
                <c:pt idx="14">
                  <c:v>117.05211632517522</c:v>
                </c:pt>
                <c:pt idx="15">
                  <c:v>117.15710907327525</c:v>
                </c:pt>
                <c:pt idx="16">
                  <c:v>119.23921715465313</c:v>
                </c:pt>
                <c:pt idx="17">
                  <c:v>121.48484728166427</c:v>
                </c:pt>
                <c:pt idx="18">
                  <c:v>121.84624560101783</c:v>
                </c:pt>
                <c:pt idx="19">
                  <c:v>124.19135612581664</c:v>
                </c:pt>
                <c:pt idx="20">
                  <c:v>125.82487637863302</c:v>
                </c:pt>
                <c:pt idx="21">
                  <c:v>126.96793319909666</c:v>
                </c:pt>
                <c:pt idx="22">
                  <c:v>129.36353469246032</c:v>
                </c:pt>
                <c:pt idx="23">
                  <c:v>130.62236064328391</c:v>
                </c:pt>
                <c:pt idx="24">
                  <c:v>132.66969973693645</c:v>
                </c:pt>
                <c:pt idx="25">
                  <c:v>132.63537412139007</c:v>
                </c:pt>
                <c:pt idx="26">
                  <c:v>135.76781588127062</c:v>
                </c:pt>
                <c:pt idx="27">
                  <c:v>137.21446157784655</c:v>
                </c:pt>
                <c:pt idx="28">
                  <c:v>139.54636838493681</c:v>
                </c:pt>
                <c:pt idx="29">
                  <c:v>11.893801666611012</c:v>
                </c:pt>
                <c:pt idx="30">
                  <c:v>11.57817280962063</c:v>
                </c:pt>
                <c:pt idx="31">
                  <c:v>11.326084377197743</c:v>
                </c:pt>
                <c:pt idx="32">
                  <c:v>11.187062182271385</c:v>
                </c:pt>
                <c:pt idx="33">
                  <c:v>11.053124511159529</c:v>
                </c:pt>
                <c:pt idx="34">
                  <c:v>10.994414081694174</c:v>
                </c:pt>
                <c:pt idx="35">
                  <c:v>10.913254151249275</c:v>
                </c:pt>
                <c:pt idx="36">
                  <c:v>10.833528378947415</c:v>
                </c:pt>
                <c:pt idx="37">
                  <c:v>10.746707357371209</c:v>
                </c:pt>
                <c:pt idx="38">
                  <c:v>10.66452456608056</c:v>
                </c:pt>
                <c:pt idx="39">
                  <c:v>87.911300492517185</c:v>
                </c:pt>
                <c:pt idx="40">
                  <c:v>88.051508900624071</c:v>
                </c:pt>
                <c:pt idx="41">
                  <c:v>87.920899023980155</c:v>
                </c:pt>
                <c:pt idx="42">
                  <c:v>90.044086897097756</c:v>
                </c:pt>
                <c:pt idx="43">
                  <c:v>90.701977094885592</c:v>
                </c:pt>
                <c:pt idx="44">
                  <c:v>93.172535555068109</c:v>
                </c:pt>
                <c:pt idx="45">
                  <c:v>93.969569353295299</c:v>
                </c:pt>
                <c:pt idx="46">
                  <c:v>95.778724014693736</c:v>
                </c:pt>
                <c:pt idx="47">
                  <c:v>97.864517722098199</c:v>
                </c:pt>
                <c:pt idx="48">
                  <c:v>99.39417964169202</c:v>
                </c:pt>
                <c:pt idx="49">
                  <c:v>99.7349549465725</c:v>
                </c:pt>
                <c:pt idx="50">
                  <c:v>101.94959220308105</c:v>
                </c:pt>
                <c:pt idx="51">
                  <c:v>102.2594721568726</c:v>
                </c:pt>
                <c:pt idx="52">
                  <c:v>104.25101060578083</c:v>
                </c:pt>
                <c:pt idx="53">
                  <c:v>107.81000768898109</c:v>
                </c:pt>
                <c:pt idx="54">
                  <c:v>108.83044584791007</c:v>
                </c:pt>
                <c:pt idx="55">
                  <c:v>111.91682600881019</c:v>
                </c:pt>
                <c:pt idx="56">
                  <c:v>112.50256035109209</c:v>
                </c:pt>
                <c:pt idx="57">
                  <c:v>114.17594281933155</c:v>
                </c:pt>
                <c:pt idx="58">
                  <c:v>114.56592074602001</c:v>
                </c:pt>
                <c:pt idx="59">
                  <c:v>115.64809081971343</c:v>
                </c:pt>
                <c:pt idx="60">
                  <c:v>117.74580722287517</c:v>
                </c:pt>
                <c:pt idx="61">
                  <c:v>120.00152012049034</c:v>
                </c:pt>
                <c:pt idx="62">
                  <c:v>121.3496225791796</c:v>
                </c:pt>
                <c:pt idx="63">
                  <c:v>122.21177806640719</c:v>
                </c:pt>
                <c:pt idx="64">
                  <c:v>125.09528649021763</c:v>
                </c:pt>
                <c:pt idx="65">
                  <c:v>125.77566356409487</c:v>
                </c:pt>
                <c:pt idx="66">
                  <c:v>126.63575380033386</c:v>
                </c:pt>
                <c:pt idx="67">
                  <c:v>129.26329873643704</c:v>
                </c:pt>
                <c:pt idx="68">
                  <c:v>10.496203373270651</c:v>
                </c:pt>
                <c:pt idx="69">
                  <c:v>10.339884957779246</c:v>
                </c:pt>
                <c:pt idx="70">
                  <c:v>10.254916598335265</c:v>
                </c:pt>
                <c:pt idx="71">
                  <c:v>10.129513910984459</c:v>
                </c:pt>
                <c:pt idx="72">
                  <c:v>10.06325541180091</c:v>
                </c:pt>
                <c:pt idx="73">
                  <c:v>10.011169096902551</c:v>
                </c:pt>
                <c:pt idx="74">
                  <c:v>9.9727955794316596</c:v>
                </c:pt>
                <c:pt idx="75">
                  <c:v>9.9388537044744734</c:v>
                </c:pt>
                <c:pt idx="76">
                  <c:v>9.9108722834313916</c:v>
                </c:pt>
                <c:pt idx="77">
                  <c:v>9.8873780411603551</c:v>
                </c:pt>
                <c:pt idx="78">
                  <c:v>90.719122593917405</c:v>
                </c:pt>
                <c:pt idx="79">
                  <c:v>90.650155388888081</c:v>
                </c:pt>
                <c:pt idx="80">
                  <c:v>90.538644216310331</c:v>
                </c:pt>
                <c:pt idx="81">
                  <c:v>90.204091674506245</c:v>
                </c:pt>
                <c:pt idx="82">
                  <c:v>90.574880225310054</c:v>
                </c:pt>
                <c:pt idx="83">
                  <c:v>92.050752135249652</c:v>
                </c:pt>
                <c:pt idx="84">
                  <c:v>93.434699845393766</c:v>
                </c:pt>
                <c:pt idx="85">
                  <c:v>94.760258852669509</c:v>
                </c:pt>
                <c:pt idx="86">
                  <c:v>95.098775083233022</c:v>
                </c:pt>
                <c:pt idx="87">
                  <c:v>94.582326011799907</c:v>
                </c:pt>
                <c:pt idx="88">
                  <c:v>95.750850853272709</c:v>
                </c:pt>
                <c:pt idx="89">
                  <c:v>95.092117400176221</c:v>
                </c:pt>
                <c:pt idx="90">
                  <c:v>96.967227129982362</c:v>
                </c:pt>
                <c:pt idx="91">
                  <c:v>97.320280905421271</c:v>
                </c:pt>
                <c:pt idx="92">
                  <c:v>98.592177953154248</c:v>
                </c:pt>
                <c:pt idx="93">
                  <c:v>101.72706657457428</c:v>
                </c:pt>
                <c:pt idx="94">
                  <c:v>102.94640828792978</c:v>
                </c:pt>
                <c:pt idx="95">
                  <c:v>104.6568633679824</c:v>
                </c:pt>
                <c:pt idx="96">
                  <c:v>103.30793448433224</c:v>
                </c:pt>
                <c:pt idx="97">
                  <c:v>106.60312193831618</c:v>
                </c:pt>
                <c:pt idx="98">
                  <c:v>106.87710250451077</c:v>
                </c:pt>
                <c:pt idx="99">
                  <c:v>108.7460081175218</c:v>
                </c:pt>
                <c:pt idx="100">
                  <c:v>111.27286716647298</c:v>
                </c:pt>
                <c:pt idx="101">
                  <c:v>112.13851747972099</c:v>
                </c:pt>
                <c:pt idx="102">
                  <c:v>112.66702039089476</c:v>
                </c:pt>
                <c:pt idx="103">
                  <c:v>112.33926957958079</c:v>
                </c:pt>
                <c:pt idx="104">
                  <c:v>116.60701444732756</c:v>
                </c:pt>
                <c:pt idx="105">
                  <c:v>118.73065474920202</c:v>
                </c:pt>
                <c:pt idx="106">
                  <c:v>121.08951345150406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34-421C-9A18-C1A0E5919A6E}"/>
            </c:ext>
          </c:extLst>
        </c:ser>
        <c:ser>
          <c:idx val="7"/>
          <c:order val="7"/>
          <c:tx>
            <c:strRef>
              <c:f>'Average comparison (2)'!$X$1</c:f>
              <c:strCache>
                <c:ptCount val="1"/>
                <c:pt idx="0">
                  <c:v>EPS- Parafilm+ average G''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 (2)'!$A$2:$A$107</c:f>
              <c:numCache>
                <c:formatCode>General</c:formatCode>
                <c:ptCount val="106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</c:numCache>
            </c:numRef>
          </c:xVal>
          <c:yVal>
            <c:numRef>
              <c:f>'Average comparison (2)'!$X$2:$X$108</c:f>
              <c:numCache>
                <c:formatCode>General</c:formatCode>
                <c:ptCount val="107"/>
                <c:pt idx="0">
                  <c:v>100</c:v>
                </c:pt>
                <c:pt idx="1">
                  <c:v>100.02123082939912</c:v>
                </c:pt>
                <c:pt idx="2">
                  <c:v>100.17096404726654</c:v>
                </c:pt>
                <c:pt idx="3">
                  <c:v>99.705003212559717</c:v>
                </c:pt>
                <c:pt idx="4">
                  <c:v>99.141268821409625</c:v>
                </c:pt>
                <c:pt idx="5">
                  <c:v>99.78322205771434</c:v>
                </c:pt>
                <c:pt idx="6">
                  <c:v>99.48878397631087</c:v>
                </c:pt>
                <c:pt idx="7">
                  <c:v>99.48543174008995</c:v>
                </c:pt>
                <c:pt idx="8">
                  <c:v>99.845797133838047</c:v>
                </c:pt>
                <c:pt idx="9">
                  <c:v>100.00893929658909</c:v>
                </c:pt>
                <c:pt idx="10">
                  <c:v>100.41232505517222</c:v>
                </c:pt>
                <c:pt idx="11">
                  <c:v>100.85370282425903</c:v>
                </c:pt>
                <c:pt idx="12">
                  <c:v>100.27600078218846</c:v>
                </c:pt>
                <c:pt idx="13">
                  <c:v>100.20057546721792</c:v>
                </c:pt>
                <c:pt idx="14">
                  <c:v>100.69167807358158</c:v>
                </c:pt>
                <c:pt idx="15">
                  <c:v>100.92745202111911</c:v>
                </c:pt>
                <c:pt idx="16">
                  <c:v>101.25429505265804</c:v>
                </c:pt>
                <c:pt idx="17">
                  <c:v>101.51968042014694</c:v>
                </c:pt>
                <c:pt idx="18">
                  <c:v>101.35206860910131</c:v>
                </c:pt>
                <c:pt idx="19">
                  <c:v>101.85658016034864</c:v>
                </c:pt>
                <c:pt idx="20">
                  <c:v>101.9806129005224</c:v>
                </c:pt>
                <c:pt idx="21">
                  <c:v>102.62033131267985</c:v>
                </c:pt>
                <c:pt idx="22">
                  <c:v>102.93991116574016</c:v>
                </c:pt>
                <c:pt idx="23">
                  <c:v>103.45894907394475</c:v>
                </c:pt>
                <c:pt idx="24">
                  <c:v>103.51202614744253</c:v>
                </c:pt>
                <c:pt idx="25">
                  <c:v>104.08525854121855</c:v>
                </c:pt>
                <c:pt idx="26">
                  <c:v>104.69983518171915</c:v>
                </c:pt>
                <c:pt idx="27">
                  <c:v>104.79258038383104</c:v>
                </c:pt>
                <c:pt idx="28">
                  <c:v>105.68259910048327</c:v>
                </c:pt>
                <c:pt idx="29">
                  <c:v>18.462608598485907</c:v>
                </c:pt>
                <c:pt idx="30">
                  <c:v>17.96306953096628</c:v>
                </c:pt>
                <c:pt idx="31">
                  <c:v>17.495879542978461</c:v>
                </c:pt>
                <c:pt idx="32">
                  <c:v>17.165460792803866</c:v>
                </c:pt>
                <c:pt idx="33">
                  <c:v>16.941643154454287</c:v>
                </c:pt>
                <c:pt idx="34">
                  <c:v>16.77503701427494</c:v>
                </c:pt>
                <c:pt idx="35">
                  <c:v>16.592563622649941</c:v>
                </c:pt>
                <c:pt idx="36">
                  <c:v>16.475347096125375</c:v>
                </c:pt>
                <c:pt idx="37">
                  <c:v>16.354778333379894</c:v>
                </c:pt>
                <c:pt idx="38">
                  <c:v>16.195658854093921</c:v>
                </c:pt>
                <c:pt idx="39">
                  <c:v>79.08260468754365</c:v>
                </c:pt>
                <c:pt idx="40">
                  <c:v>79.36810347235803</c:v>
                </c:pt>
                <c:pt idx="41">
                  <c:v>78.978685364695366</c:v>
                </c:pt>
                <c:pt idx="42">
                  <c:v>78.445679805570308</c:v>
                </c:pt>
                <c:pt idx="43">
                  <c:v>77.958488141464372</c:v>
                </c:pt>
                <c:pt idx="44">
                  <c:v>77.255077241109575</c:v>
                </c:pt>
                <c:pt idx="45">
                  <c:v>76.996955052099352</c:v>
                </c:pt>
                <c:pt idx="46">
                  <c:v>77.010922703019801</c:v>
                </c:pt>
                <c:pt idx="47">
                  <c:v>76.872363605888765</c:v>
                </c:pt>
                <c:pt idx="48">
                  <c:v>76.601949884068503</c:v>
                </c:pt>
                <c:pt idx="49">
                  <c:v>76.657820487750357</c:v>
                </c:pt>
                <c:pt idx="50">
                  <c:v>76.522054920803427</c:v>
                </c:pt>
                <c:pt idx="51">
                  <c:v>77.163449451071315</c:v>
                </c:pt>
                <c:pt idx="52">
                  <c:v>76.720954269910891</c:v>
                </c:pt>
                <c:pt idx="53">
                  <c:v>76.842752185937371</c:v>
                </c:pt>
                <c:pt idx="54">
                  <c:v>76.998072464172978</c:v>
                </c:pt>
                <c:pt idx="55">
                  <c:v>77.494203424868019</c:v>
                </c:pt>
                <c:pt idx="56">
                  <c:v>77.14333603374584</c:v>
                </c:pt>
                <c:pt idx="57">
                  <c:v>77.4578875324748</c:v>
                </c:pt>
                <c:pt idx="58">
                  <c:v>77.73332960862642</c:v>
                </c:pt>
                <c:pt idx="59">
                  <c:v>75.13925747967707</c:v>
                </c:pt>
                <c:pt idx="60">
                  <c:v>78.354610721568847</c:v>
                </c:pt>
                <c:pt idx="61">
                  <c:v>77.927200603402525</c:v>
                </c:pt>
                <c:pt idx="62">
                  <c:v>78.766377070704252</c:v>
                </c:pt>
                <c:pt idx="63">
                  <c:v>78.78816660614018</c:v>
                </c:pt>
                <c:pt idx="64">
                  <c:v>79.202726485459678</c:v>
                </c:pt>
                <c:pt idx="65">
                  <c:v>78.968628656032635</c:v>
                </c:pt>
                <c:pt idx="66">
                  <c:v>79.375925356873481</c:v>
                </c:pt>
                <c:pt idx="67">
                  <c:v>79.588792356901422</c:v>
                </c:pt>
                <c:pt idx="68">
                  <c:v>16.052350755649915</c:v>
                </c:pt>
                <c:pt idx="69">
                  <c:v>16.029499678744028</c:v>
                </c:pt>
                <c:pt idx="70">
                  <c:v>15.959214459312236</c:v>
                </c:pt>
                <c:pt idx="71">
                  <c:v>15.930217616001341</c:v>
                </c:pt>
                <c:pt idx="72">
                  <c:v>15.911668575578961</c:v>
                </c:pt>
                <c:pt idx="73">
                  <c:v>15.881386708383385</c:v>
                </c:pt>
                <c:pt idx="74">
                  <c:v>15.876414224655699</c:v>
                </c:pt>
                <c:pt idx="75">
                  <c:v>15.855853842500768</c:v>
                </c:pt>
                <c:pt idx="76">
                  <c:v>15.84222141520239</c:v>
                </c:pt>
                <c:pt idx="77">
                  <c:v>15.848255440400033</c:v>
                </c:pt>
                <c:pt idx="78">
                  <c:v>81.702936000223474</c:v>
                </c:pt>
                <c:pt idx="79">
                  <c:v>82.039277034388363</c:v>
                </c:pt>
                <c:pt idx="80">
                  <c:v>81.739810598653534</c:v>
                </c:pt>
                <c:pt idx="81">
                  <c:v>81.354862139285416</c:v>
                </c:pt>
                <c:pt idx="82">
                  <c:v>81.026901695672819</c:v>
                </c:pt>
                <c:pt idx="83">
                  <c:v>81.119088191747906</c:v>
                </c:pt>
                <c:pt idx="84">
                  <c:v>81.035282286225112</c:v>
                </c:pt>
                <c:pt idx="85">
                  <c:v>81.154845378104312</c:v>
                </c:pt>
                <c:pt idx="86">
                  <c:v>81.302343771824454</c:v>
                </c:pt>
                <c:pt idx="87">
                  <c:v>81.616895270553385</c:v>
                </c:pt>
                <c:pt idx="88">
                  <c:v>81.761041428052636</c:v>
                </c:pt>
                <c:pt idx="89">
                  <c:v>82.252702740453117</c:v>
                </c:pt>
                <c:pt idx="90">
                  <c:v>81.643713160320715</c:v>
                </c:pt>
                <c:pt idx="91">
                  <c:v>82.282872866441323</c:v>
                </c:pt>
                <c:pt idx="92">
                  <c:v>82.712517808754924</c:v>
                </c:pt>
                <c:pt idx="93">
                  <c:v>82.934882811408784</c:v>
                </c:pt>
                <c:pt idx="94">
                  <c:v>83.653937480794468</c:v>
                </c:pt>
                <c:pt idx="95">
                  <c:v>84.124367963795848</c:v>
                </c:pt>
                <c:pt idx="96">
                  <c:v>83.82043187976646</c:v>
                </c:pt>
                <c:pt idx="97">
                  <c:v>83.265636785205459</c:v>
                </c:pt>
                <c:pt idx="98">
                  <c:v>83.742213034611851</c:v>
                </c:pt>
                <c:pt idx="99">
                  <c:v>83.979663100259799</c:v>
                </c:pt>
                <c:pt idx="100">
                  <c:v>84.446182641003446</c:v>
                </c:pt>
                <c:pt idx="101">
                  <c:v>84.611559627901784</c:v>
                </c:pt>
                <c:pt idx="102">
                  <c:v>85.413302790736651</c:v>
                </c:pt>
                <c:pt idx="103">
                  <c:v>85.713327932508307</c:v>
                </c:pt>
                <c:pt idx="104">
                  <c:v>85.936251641198993</c:v>
                </c:pt>
                <c:pt idx="105">
                  <c:v>86.012235662206336</c:v>
                </c:pt>
                <c:pt idx="106">
                  <c:v>86.273151381400666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34-421C-9A18-C1A0E5919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539215"/>
        <c:axId val="364532143"/>
      </c:scatterChart>
      <c:valAx>
        <c:axId val="3645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532143"/>
        <c:crosses val="autoZero"/>
        <c:crossBetween val="midCat"/>
      </c:valAx>
      <c:valAx>
        <c:axId val="3645321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539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comparison (2)'!$B$1</c:f>
              <c:strCache>
                <c:ptCount val="1"/>
                <c:pt idx="0">
                  <c:v>WT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comparison (2)'!$A$2:$A$109</c:f>
              <c:numCache>
                <c:formatCode>General</c:formatCode>
                <c:ptCount val="108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 (2)'!$B$2:$B$109</c:f>
              <c:numCache>
                <c:formatCode>General</c:formatCode>
                <c:ptCount val="108"/>
                <c:pt idx="0">
                  <c:v>100</c:v>
                </c:pt>
                <c:pt idx="1">
                  <c:v>100.04371105953179</c:v>
                </c:pt>
                <c:pt idx="2">
                  <c:v>100.16667033454756</c:v>
                </c:pt>
                <c:pt idx="3">
                  <c:v>100.3251550320614</c:v>
                </c:pt>
                <c:pt idx="4">
                  <c:v>100.2717153860321</c:v>
                </c:pt>
                <c:pt idx="5">
                  <c:v>100.25350317577288</c:v>
                </c:pt>
                <c:pt idx="6">
                  <c:v>100.33039619156705</c:v>
                </c:pt>
                <c:pt idx="7">
                  <c:v>100.3389549420272</c:v>
                </c:pt>
                <c:pt idx="8">
                  <c:v>100.29126208438765</c:v>
                </c:pt>
                <c:pt idx="9">
                  <c:v>100.29858223852993</c:v>
                </c:pt>
                <c:pt idx="10">
                  <c:v>100.36051075815924</c:v>
                </c:pt>
                <c:pt idx="11">
                  <c:v>100.31134377636359</c:v>
                </c:pt>
                <c:pt idx="12">
                  <c:v>100.33776742710158</c:v>
                </c:pt>
                <c:pt idx="13">
                  <c:v>100.28900723087509</c:v>
                </c:pt>
                <c:pt idx="14">
                  <c:v>100.40404724322069</c:v>
                </c:pt>
                <c:pt idx="15">
                  <c:v>100.51729966596109</c:v>
                </c:pt>
                <c:pt idx="16">
                  <c:v>100.61329115888094</c:v>
                </c:pt>
                <c:pt idx="17">
                  <c:v>100.70008714001483</c:v>
                </c:pt>
                <c:pt idx="18">
                  <c:v>100.81706885460282</c:v>
                </c:pt>
                <c:pt idx="19">
                  <c:v>100.95523808101484</c:v>
                </c:pt>
                <c:pt idx="20">
                  <c:v>101.17196720872683</c:v>
                </c:pt>
                <c:pt idx="21">
                  <c:v>101.39348447087815</c:v>
                </c:pt>
                <c:pt idx="22">
                  <c:v>101.59783708318805</c:v>
                </c:pt>
                <c:pt idx="23">
                  <c:v>101.77508459774326</c:v>
                </c:pt>
                <c:pt idx="24">
                  <c:v>102.05870455562253</c:v>
                </c:pt>
                <c:pt idx="25">
                  <c:v>102.30158372502031</c:v>
                </c:pt>
                <c:pt idx="26">
                  <c:v>102.58236634634761</c:v>
                </c:pt>
                <c:pt idx="27">
                  <c:v>102.89739145936564</c:v>
                </c:pt>
                <c:pt idx="28">
                  <c:v>103.24115509495239</c:v>
                </c:pt>
                <c:pt idx="29">
                  <c:v>0.66399296041515787</c:v>
                </c:pt>
                <c:pt idx="30">
                  <c:v>0.64525953059004371</c:v>
                </c:pt>
                <c:pt idx="31">
                  <c:v>0.62349088093811766</c:v>
                </c:pt>
                <c:pt idx="32">
                  <c:v>0.60607592869074411</c:v>
                </c:pt>
                <c:pt idx="33">
                  <c:v>0.58978031314095836</c:v>
                </c:pt>
                <c:pt idx="34">
                  <c:v>0.57677318634592123</c:v>
                </c:pt>
                <c:pt idx="35">
                  <c:v>0.56411219894019793</c:v>
                </c:pt>
                <c:pt idx="36">
                  <c:v>0.55505363898698767</c:v>
                </c:pt>
                <c:pt idx="37">
                  <c:v>0.54551328684868639</c:v>
                </c:pt>
                <c:pt idx="38">
                  <c:v>0.53768718321375697</c:v>
                </c:pt>
                <c:pt idx="39">
                  <c:v>60.123833089731761</c:v>
                </c:pt>
                <c:pt idx="40">
                  <c:v>61.781687898938664</c:v>
                </c:pt>
                <c:pt idx="41">
                  <c:v>62.829835930826995</c:v>
                </c:pt>
                <c:pt idx="42">
                  <c:v>63.54519125351505</c:v>
                </c:pt>
                <c:pt idx="43">
                  <c:v>64.153729786159332</c:v>
                </c:pt>
                <c:pt idx="44">
                  <c:v>64.635724103190725</c:v>
                </c:pt>
                <c:pt idx="45">
                  <c:v>65.013176611033728</c:v>
                </c:pt>
                <c:pt idx="46">
                  <c:v>65.320612963320528</c:v>
                </c:pt>
                <c:pt idx="47">
                  <c:v>65.603208309412764</c:v>
                </c:pt>
                <c:pt idx="48">
                  <c:v>65.815898190734757</c:v>
                </c:pt>
                <c:pt idx="49">
                  <c:v>66.08845596663248</c:v>
                </c:pt>
                <c:pt idx="50">
                  <c:v>66.316031829663245</c:v>
                </c:pt>
                <c:pt idx="51">
                  <c:v>66.553339184477807</c:v>
                </c:pt>
                <c:pt idx="52">
                  <c:v>66.765494745652873</c:v>
                </c:pt>
                <c:pt idx="53">
                  <c:v>66.999534501886089</c:v>
                </c:pt>
                <c:pt idx="54">
                  <c:v>67.211230319802084</c:v>
                </c:pt>
                <c:pt idx="55">
                  <c:v>67.464549934245824</c:v>
                </c:pt>
                <c:pt idx="56">
                  <c:v>67.590437726706753</c:v>
                </c:pt>
                <c:pt idx="57">
                  <c:v>67.763584049136412</c:v>
                </c:pt>
                <c:pt idx="58">
                  <c:v>68.017784575217902</c:v>
                </c:pt>
                <c:pt idx="59">
                  <c:v>68.223636781213983</c:v>
                </c:pt>
                <c:pt idx="60">
                  <c:v>68.377065521892021</c:v>
                </c:pt>
                <c:pt idx="61">
                  <c:v>68.64145184763828</c:v>
                </c:pt>
                <c:pt idx="62">
                  <c:v>68.862348598995652</c:v>
                </c:pt>
                <c:pt idx="63">
                  <c:v>69.065691377923898</c:v>
                </c:pt>
                <c:pt idx="64">
                  <c:v>69.280794408992321</c:v>
                </c:pt>
                <c:pt idx="65">
                  <c:v>69.499437190871291</c:v>
                </c:pt>
                <c:pt idx="66">
                  <c:v>69.715035647682967</c:v>
                </c:pt>
                <c:pt idx="67">
                  <c:v>69.902632358190274</c:v>
                </c:pt>
                <c:pt idx="68">
                  <c:v>0.51464157982786018</c:v>
                </c:pt>
                <c:pt idx="69">
                  <c:v>0.50885595957457841</c:v>
                </c:pt>
                <c:pt idx="70">
                  <c:v>0.50189874486891872</c:v>
                </c:pt>
                <c:pt idx="71">
                  <c:v>0.49621139271784126</c:v>
                </c:pt>
                <c:pt idx="72">
                  <c:v>0.49211531820362725</c:v>
                </c:pt>
                <c:pt idx="73">
                  <c:v>0.48860971702226114</c:v>
                </c:pt>
                <c:pt idx="74">
                  <c:v>0.4850317608226325</c:v>
                </c:pt>
                <c:pt idx="75">
                  <c:v>0.48061764377249555</c:v>
                </c:pt>
                <c:pt idx="76">
                  <c:v>0.47730605702996193</c:v>
                </c:pt>
                <c:pt idx="77">
                  <c:v>0.47385869576951106</c:v>
                </c:pt>
                <c:pt idx="78">
                  <c:v>59.145001651994612</c:v>
                </c:pt>
                <c:pt idx="79">
                  <c:v>60.954513427351664</c:v>
                </c:pt>
                <c:pt idx="80">
                  <c:v>62.120346712015873</c:v>
                </c:pt>
                <c:pt idx="81">
                  <c:v>63.015276394837798</c:v>
                </c:pt>
                <c:pt idx="82">
                  <c:v>63.811545559432943</c:v>
                </c:pt>
                <c:pt idx="83">
                  <c:v>64.412407988351347</c:v>
                </c:pt>
                <c:pt idx="84">
                  <c:v>64.879563738869692</c:v>
                </c:pt>
                <c:pt idx="85">
                  <c:v>65.270931020702548</c:v>
                </c:pt>
                <c:pt idx="86">
                  <c:v>65.669806690146871</c:v>
                </c:pt>
                <c:pt idx="87">
                  <c:v>65.986372751143236</c:v>
                </c:pt>
                <c:pt idx="88">
                  <c:v>66.244583959069359</c:v>
                </c:pt>
                <c:pt idx="89">
                  <c:v>66.531311756645536</c:v>
                </c:pt>
                <c:pt idx="90">
                  <c:v>66.983345480656268</c:v>
                </c:pt>
                <c:pt idx="91">
                  <c:v>67.321966530028092</c:v>
                </c:pt>
                <c:pt idx="92">
                  <c:v>67.627678584326318</c:v>
                </c:pt>
                <c:pt idx="93">
                  <c:v>67.913315927227814</c:v>
                </c:pt>
                <c:pt idx="94">
                  <c:v>68.184154195380856</c:v>
                </c:pt>
                <c:pt idx="95">
                  <c:v>68.48518263225013</c:v>
                </c:pt>
                <c:pt idx="96">
                  <c:v>68.733050417477799</c:v>
                </c:pt>
                <c:pt idx="97">
                  <c:v>68.945361673336251</c:v>
                </c:pt>
                <c:pt idx="98">
                  <c:v>69.365156829503547</c:v>
                </c:pt>
                <c:pt idx="99">
                  <c:v>69.692875317838912</c:v>
                </c:pt>
                <c:pt idx="100">
                  <c:v>70.011233928121626</c:v>
                </c:pt>
                <c:pt idx="101">
                  <c:v>70.335719798632567</c:v>
                </c:pt>
                <c:pt idx="102">
                  <c:v>70.696599578019885</c:v>
                </c:pt>
                <c:pt idx="103">
                  <c:v>70.956691221499227</c:v>
                </c:pt>
                <c:pt idx="104">
                  <c:v>71.27039898532378</c:v>
                </c:pt>
                <c:pt idx="105">
                  <c:v>71.639928018003062</c:v>
                </c:pt>
                <c:pt idx="106">
                  <c:v>72.00588533225239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9A-4F89-8B5B-ACC1ADB344B0}"/>
            </c:ext>
          </c:extLst>
        </c:ser>
        <c:ser>
          <c:idx val="1"/>
          <c:order val="1"/>
          <c:tx>
            <c:strRef>
              <c:f>'Average comparison (2)'!$E$1</c:f>
              <c:strCache>
                <c:ptCount val="1"/>
                <c:pt idx="0">
                  <c:v>WT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comparison (2)'!$A$2:$A$109</c:f>
              <c:numCache>
                <c:formatCode>General</c:formatCode>
                <c:ptCount val="108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 (2)'!$E$2:$E$109</c:f>
              <c:numCache>
                <c:formatCode>General</c:formatCode>
                <c:ptCount val="108"/>
                <c:pt idx="0">
                  <c:v>100</c:v>
                </c:pt>
                <c:pt idx="1">
                  <c:v>100.04704224997801</c:v>
                </c:pt>
                <c:pt idx="2">
                  <c:v>100.26766285548973</c:v>
                </c:pt>
                <c:pt idx="3">
                  <c:v>100.43319120033208</c:v>
                </c:pt>
                <c:pt idx="4">
                  <c:v>100.78361822824297</c:v>
                </c:pt>
                <c:pt idx="5">
                  <c:v>100.58765078047369</c:v>
                </c:pt>
                <c:pt idx="6">
                  <c:v>100.52148975510357</c:v>
                </c:pt>
                <c:pt idx="7">
                  <c:v>100.8100323258242</c:v>
                </c:pt>
                <c:pt idx="8">
                  <c:v>101.03769669069092</c:v>
                </c:pt>
                <c:pt idx="9">
                  <c:v>101.04826232972341</c:v>
                </c:pt>
                <c:pt idx="10">
                  <c:v>101.14108901550884</c:v>
                </c:pt>
                <c:pt idx="11">
                  <c:v>101.26385167855301</c:v>
                </c:pt>
                <c:pt idx="12">
                  <c:v>101.3725268228872</c:v>
                </c:pt>
                <c:pt idx="13">
                  <c:v>101.44371910493946</c:v>
                </c:pt>
                <c:pt idx="14">
                  <c:v>101.57503490434323</c:v>
                </c:pt>
                <c:pt idx="15">
                  <c:v>101.58258178936643</c:v>
                </c:pt>
                <c:pt idx="16">
                  <c:v>101.66081783077369</c:v>
                </c:pt>
                <c:pt idx="17">
                  <c:v>101.71616165427719</c:v>
                </c:pt>
                <c:pt idx="18">
                  <c:v>101.78836018766589</c:v>
                </c:pt>
                <c:pt idx="19">
                  <c:v>101.83691181464852</c:v>
                </c:pt>
                <c:pt idx="20">
                  <c:v>101.86735091757544</c:v>
                </c:pt>
                <c:pt idx="21">
                  <c:v>101.87590405393507</c:v>
                </c:pt>
                <c:pt idx="22">
                  <c:v>102.0049557878319</c:v>
                </c:pt>
                <c:pt idx="23">
                  <c:v>102.04948240946882</c:v>
                </c:pt>
                <c:pt idx="24">
                  <c:v>101.97728387608014</c:v>
                </c:pt>
                <c:pt idx="25">
                  <c:v>102.03388551375421</c:v>
                </c:pt>
                <c:pt idx="26">
                  <c:v>102.0114964215187</c:v>
                </c:pt>
                <c:pt idx="27">
                  <c:v>102.12771845087607</c:v>
                </c:pt>
                <c:pt idx="28">
                  <c:v>102.205199803781</c:v>
                </c:pt>
                <c:pt idx="29">
                  <c:v>1.5423770172194762</c:v>
                </c:pt>
                <c:pt idx="30">
                  <c:v>1.4909600895563691</c:v>
                </c:pt>
                <c:pt idx="31">
                  <c:v>1.4478397041621072</c:v>
                </c:pt>
                <c:pt idx="32">
                  <c:v>1.4130385016917602</c:v>
                </c:pt>
                <c:pt idx="33">
                  <c:v>1.3865237789768941</c:v>
                </c:pt>
                <c:pt idx="34">
                  <c:v>1.3624190282127717</c:v>
                </c:pt>
                <c:pt idx="35">
                  <c:v>1.3380526521011786</c:v>
                </c:pt>
                <c:pt idx="36">
                  <c:v>1.3179880004528131</c:v>
                </c:pt>
                <c:pt idx="37">
                  <c:v>1.3005521804208648</c:v>
                </c:pt>
                <c:pt idx="38">
                  <c:v>1.2830333446536608</c:v>
                </c:pt>
                <c:pt idx="39">
                  <c:v>67.552419405557032</c:v>
                </c:pt>
                <c:pt idx="40">
                  <c:v>70.166911940429927</c:v>
                </c:pt>
                <c:pt idx="41">
                  <c:v>72.017408148120197</c:v>
                </c:pt>
                <c:pt idx="42">
                  <c:v>73.643510307787125</c:v>
                </c:pt>
                <c:pt idx="43">
                  <c:v>74.892016653459621</c:v>
                </c:pt>
                <c:pt idx="44">
                  <c:v>75.891224230532188</c:v>
                </c:pt>
                <c:pt idx="45">
                  <c:v>76.594593914695054</c:v>
                </c:pt>
                <c:pt idx="46">
                  <c:v>77.096461768738294</c:v>
                </c:pt>
                <c:pt idx="47">
                  <c:v>77.509779505175914</c:v>
                </c:pt>
                <c:pt idx="48">
                  <c:v>77.851150271058955</c:v>
                </c:pt>
                <c:pt idx="49">
                  <c:v>78.121831880557963</c:v>
                </c:pt>
                <c:pt idx="50">
                  <c:v>78.533388677156836</c:v>
                </c:pt>
                <c:pt idx="51">
                  <c:v>78.711746726538621</c:v>
                </c:pt>
                <c:pt idx="52">
                  <c:v>79.083305032514488</c:v>
                </c:pt>
                <c:pt idx="53">
                  <c:v>79.564544734160975</c:v>
                </c:pt>
                <c:pt idx="54">
                  <c:v>79.816107568267867</c:v>
                </c:pt>
                <c:pt idx="55">
                  <c:v>80.014339081544094</c:v>
                </c:pt>
                <c:pt idx="56">
                  <c:v>80.115215778020968</c:v>
                </c:pt>
                <c:pt idx="57">
                  <c:v>80.292316013232195</c:v>
                </c:pt>
                <c:pt idx="58">
                  <c:v>80.427656817981713</c:v>
                </c:pt>
                <c:pt idx="59">
                  <c:v>80.611297686879752</c:v>
                </c:pt>
                <c:pt idx="60">
                  <c:v>80.789655736261523</c:v>
                </c:pt>
                <c:pt idx="61">
                  <c:v>80.843490182760405</c:v>
                </c:pt>
                <c:pt idx="62">
                  <c:v>81.089267071682841</c:v>
                </c:pt>
                <c:pt idx="63">
                  <c:v>81.353911173163283</c:v>
                </c:pt>
                <c:pt idx="64">
                  <c:v>81.493025420424388</c:v>
                </c:pt>
                <c:pt idx="65">
                  <c:v>81.465856634340838</c:v>
                </c:pt>
                <c:pt idx="66">
                  <c:v>81.396676854961441</c:v>
                </c:pt>
                <c:pt idx="67">
                  <c:v>81.612769329459269</c:v>
                </c:pt>
                <c:pt idx="68">
                  <c:v>1.2609335496773706</c:v>
                </c:pt>
                <c:pt idx="69">
                  <c:v>1.2384740198483077</c:v>
                </c:pt>
                <c:pt idx="70">
                  <c:v>1.2214457316076124</c:v>
                </c:pt>
                <c:pt idx="71">
                  <c:v>1.2070261499566053</c:v>
                </c:pt>
                <c:pt idx="72">
                  <c:v>1.1942543048689986</c:v>
                </c:pt>
                <c:pt idx="73">
                  <c:v>1.1811856156371459</c:v>
                </c:pt>
                <c:pt idx="74">
                  <c:v>1.1714677433555967</c:v>
                </c:pt>
                <c:pt idx="75">
                  <c:v>1.1617523867023887</c:v>
                </c:pt>
                <c:pt idx="76">
                  <c:v>1.1517502484182989</c:v>
                </c:pt>
                <c:pt idx="77">
                  <c:v>1.1413154220595449</c:v>
                </c:pt>
                <c:pt idx="78">
                  <c:v>66.523778976893951</c:v>
                </c:pt>
                <c:pt idx="79">
                  <c:v>68.794888243210949</c:v>
                </c:pt>
                <c:pt idx="80">
                  <c:v>70.431807604744478</c:v>
                </c:pt>
                <c:pt idx="81">
                  <c:v>71.901437681596931</c:v>
                </c:pt>
                <c:pt idx="82">
                  <c:v>72.90567651535163</c:v>
                </c:pt>
                <c:pt idx="83">
                  <c:v>73.76023546281273</c:v>
                </c:pt>
                <c:pt idx="84">
                  <c:v>74.439455114901335</c:v>
                </c:pt>
                <c:pt idx="85">
                  <c:v>74.898808849980512</c:v>
                </c:pt>
                <c:pt idx="86">
                  <c:v>75.314139089090986</c:v>
                </c:pt>
                <c:pt idx="87">
                  <c:v>75.690980214583107</c:v>
                </c:pt>
                <c:pt idx="88">
                  <c:v>76.090965120813053</c:v>
                </c:pt>
                <c:pt idx="89">
                  <c:v>76.509062551098694</c:v>
                </c:pt>
                <c:pt idx="90">
                  <c:v>76.786284794284484</c:v>
                </c:pt>
                <c:pt idx="91">
                  <c:v>77.192307208533023</c:v>
                </c:pt>
                <c:pt idx="92">
                  <c:v>77.519842018540174</c:v>
                </c:pt>
                <c:pt idx="93">
                  <c:v>77.806875212256145</c:v>
                </c:pt>
                <c:pt idx="94">
                  <c:v>77.967875426084561</c:v>
                </c:pt>
                <c:pt idx="95">
                  <c:v>78.257675810975698</c:v>
                </c:pt>
                <c:pt idx="96">
                  <c:v>78.345219677244884</c:v>
                </c:pt>
                <c:pt idx="97">
                  <c:v>78.602568456536233</c:v>
                </c:pt>
                <c:pt idx="98">
                  <c:v>78.776901500572308</c:v>
                </c:pt>
                <c:pt idx="99">
                  <c:v>78.897651660943623</c:v>
                </c:pt>
                <c:pt idx="100">
                  <c:v>79.172106712954232</c:v>
                </c:pt>
                <c:pt idx="101">
                  <c:v>79.536872822409222</c:v>
                </c:pt>
                <c:pt idx="102">
                  <c:v>79.722023068311898</c:v>
                </c:pt>
                <c:pt idx="103">
                  <c:v>79.823402890456975</c:v>
                </c:pt>
                <c:pt idx="104">
                  <c:v>79.982893727280739</c:v>
                </c:pt>
                <c:pt idx="105">
                  <c:v>80.131818925072025</c:v>
                </c:pt>
                <c:pt idx="106">
                  <c:v>80.309925411619687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9A-4F89-8B5B-ACC1ADB344B0}"/>
            </c:ext>
          </c:extLst>
        </c:ser>
        <c:ser>
          <c:idx val="2"/>
          <c:order val="2"/>
          <c:tx>
            <c:strRef>
              <c:f>'Average comparison (2)'!$H$1</c:f>
              <c:strCache>
                <c:ptCount val="1"/>
                <c:pt idx="0">
                  <c:v>Spore-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comparison (2)'!$A$2:$A$109</c:f>
              <c:numCache>
                <c:formatCode>General</c:formatCode>
                <c:ptCount val="108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 (2)'!$H$2:$H$109</c:f>
              <c:numCache>
                <c:formatCode>General</c:formatCode>
                <c:ptCount val="108"/>
                <c:pt idx="0">
                  <c:v>100</c:v>
                </c:pt>
                <c:pt idx="1">
                  <c:v>100.09348516919631</c:v>
                </c:pt>
                <c:pt idx="2">
                  <c:v>100.3094709312727</c:v>
                </c:pt>
                <c:pt idx="3">
                  <c:v>100.41046662419501</c:v>
                </c:pt>
                <c:pt idx="4">
                  <c:v>100.47713069836972</c:v>
                </c:pt>
                <c:pt idx="5">
                  <c:v>100.51178772700247</c:v>
                </c:pt>
                <c:pt idx="6">
                  <c:v>100.57714827048945</c:v>
                </c:pt>
                <c:pt idx="7">
                  <c:v>100.64167124712533</c:v>
                </c:pt>
                <c:pt idx="8">
                  <c:v>100.60274602638013</c:v>
                </c:pt>
                <c:pt idx="9">
                  <c:v>100.55779074055374</c:v>
                </c:pt>
                <c:pt idx="10">
                  <c:v>100.57853607813867</c:v>
                </c:pt>
                <c:pt idx="11">
                  <c:v>100.55151660855482</c:v>
                </c:pt>
                <c:pt idx="12">
                  <c:v>100.54788146078529</c:v>
                </c:pt>
                <c:pt idx="13">
                  <c:v>100.58915331927871</c:v>
                </c:pt>
                <c:pt idx="14">
                  <c:v>100.57652630068982</c:v>
                </c:pt>
                <c:pt idx="15">
                  <c:v>100.5651329292221</c:v>
                </c:pt>
                <c:pt idx="16">
                  <c:v>100.57304108009238</c:v>
                </c:pt>
                <c:pt idx="17">
                  <c:v>100.51318790520072</c:v>
                </c:pt>
                <c:pt idx="18">
                  <c:v>100.57978440443488</c:v>
                </c:pt>
                <c:pt idx="19">
                  <c:v>100.64300967796267</c:v>
                </c:pt>
                <c:pt idx="20">
                  <c:v>100.68106355518245</c:v>
                </c:pt>
                <c:pt idx="21">
                  <c:v>100.76008910579969</c:v>
                </c:pt>
                <c:pt idx="22">
                  <c:v>100.92359631085476</c:v>
                </c:pt>
                <c:pt idx="23">
                  <c:v>100.96260949624104</c:v>
                </c:pt>
                <c:pt idx="24">
                  <c:v>101.04657908385775</c:v>
                </c:pt>
                <c:pt idx="25">
                  <c:v>101.18117205113981</c:v>
                </c:pt>
                <c:pt idx="26">
                  <c:v>101.34148248640112</c:v>
                </c:pt>
                <c:pt idx="27">
                  <c:v>101.48343187107746</c:v>
                </c:pt>
                <c:pt idx="28">
                  <c:v>101.63918089825135</c:v>
                </c:pt>
                <c:pt idx="29">
                  <c:v>0.59264253584825866</c:v>
                </c:pt>
                <c:pt idx="30">
                  <c:v>0.57637602508185026</c:v>
                </c:pt>
                <c:pt idx="31">
                  <c:v>0.559022270845976</c:v>
                </c:pt>
                <c:pt idx="32">
                  <c:v>0.54643026810407136</c:v>
                </c:pt>
                <c:pt idx="33">
                  <c:v>0.53603819315901802</c:v>
                </c:pt>
                <c:pt idx="34">
                  <c:v>0.52630512901765825</c:v>
                </c:pt>
                <c:pt idx="35">
                  <c:v>0.51821660926249358</c:v>
                </c:pt>
                <c:pt idx="36">
                  <c:v>0.51114859263249024</c:v>
                </c:pt>
                <c:pt idx="37">
                  <c:v>0.50402582890095848</c:v>
                </c:pt>
                <c:pt idx="38">
                  <c:v>0.49848582979462658</c:v>
                </c:pt>
                <c:pt idx="39">
                  <c:v>65.954160771915596</c:v>
                </c:pt>
                <c:pt idx="40">
                  <c:v>67.616201632023689</c:v>
                </c:pt>
                <c:pt idx="41">
                  <c:v>68.675901538162009</c:v>
                </c:pt>
                <c:pt idx="42">
                  <c:v>69.454647520094454</c:v>
                </c:pt>
                <c:pt idx="43">
                  <c:v>70.05834582267903</c:v>
                </c:pt>
                <c:pt idx="44">
                  <c:v>70.542517816433261</c:v>
                </c:pt>
                <c:pt idx="45">
                  <c:v>70.948667127566608</c:v>
                </c:pt>
                <c:pt idx="46">
                  <c:v>71.253347127478321</c:v>
                </c:pt>
                <c:pt idx="47">
                  <c:v>71.502027939979868</c:v>
                </c:pt>
                <c:pt idx="48">
                  <c:v>71.772226106517181</c:v>
                </c:pt>
                <c:pt idx="49">
                  <c:v>71.853601528215819</c:v>
                </c:pt>
                <c:pt idx="50">
                  <c:v>72.13241747866185</c:v>
                </c:pt>
                <c:pt idx="51">
                  <c:v>72.330055052529588</c:v>
                </c:pt>
                <c:pt idx="52">
                  <c:v>72.555662309996308</c:v>
                </c:pt>
                <c:pt idx="53">
                  <c:v>72.735277145422927</c:v>
                </c:pt>
                <c:pt idx="54">
                  <c:v>72.963444340358663</c:v>
                </c:pt>
                <c:pt idx="55">
                  <c:v>73.131823882558862</c:v>
                </c:pt>
                <c:pt idx="56">
                  <c:v>73.234767674686864</c:v>
                </c:pt>
                <c:pt idx="57">
                  <c:v>73.388767330616801</c:v>
                </c:pt>
                <c:pt idx="58">
                  <c:v>73.54956138871141</c:v>
                </c:pt>
                <c:pt idx="59">
                  <c:v>73.777488720530684</c:v>
                </c:pt>
                <c:pt idx="60">
                  <c:v>73.971874955173675</c:v>
                </c:pt>
                <c:pt idx="61">
                  <c:v>74.138345531138427</c:v>
                </c:pt>
                <c:pt idx="62">
                  <c:v>74.338076444054934</c:v>
                </c:pt>
                <c:pt idx="63">
                  <c:v>74.484178597514543</c:v>
                </c:pt>
                <c:pt idx="64">
                  <c:v>74.620112691096153</c:v>
                </c:pt>
                <c:pt idx="65">
                  <c:v>74.745980442513613</c:v>
                </c:pt>
                <c:pt idx="66">
                  <c:v>74.960203402665442</c:v>
                </c:pt>
                <c:pt idx="67">
                  <c:v>75.188468813193083</c:v>
                </c:pt>
                <c:pt idx="68">
                  <c:v>0.47815120705704145</c:v>
                </c:pt>
                <c:pt idx="69">
                  <c:v>0.4728283704050818</c:v>
                </c:pt>
                <c:pt idx="70">
                  <c:v>0.46724342864547569</c:v>
                </c:pt>
                <c:pt idx="71">
                  <c:v>0.46257808719552646</c:v>
                </c:pt>
                <c:pt idx="72">
                  <c:v>0.45869943307491412</c:v>
                </c:pt>
                <c:pt idx="73">
                  <c:v>0.45517634174856186</c:v>
                </c:pt>
                <c:pt idx="74">
                  <c:v>0.45156133220278977</c:v>
                </c:pt>
                <c:pt idx="75">
                  <c:v>0.44830859273792562</c:v>
                </c:pt>
                <c:pt idx="76">
                  <c:v>0.44519483688095668</c:v>
                </c:pt>
                <c:pt idx="77">
                  <c:v>0.44247901838950288</c:v>
                </c:pt>
                <c:pt idx="78">
                  <c:v>66.276454838567716</c:v>
                </c:pt>
                <c:pt idx="79">
                  <c:v>67.861564717728555</c:v>
                </c:pt>
                <c:pt idx="80">
                  <c:v>69.041571706638834</c:v>
                </c:pt>
                <c:pt idx="81">
                  <c:v>69.90876465488634</c:v>
                </c:pt>
                <c:pt idx="82">
                  <c:v>70.558195466241031</c:v>
                </c:pt>
                <c:pt idx="83">
                  <c:v>71.229339040921005</c:v>
                </c:pt>
                <c:pt idx="84">
                  <c:v>71.713095407079365</c:v>
                </c:pt>
                <c:pt idx="85">
                  <c:v>72.043304611628983</c:v>
                </c:pt>
                <c:pt idx="86">
                  <c:v>72.380668685288526</c:v>
                </c:pt>
                <c:pt idx="87">
                  <c:v>72.670077054876188</c:v>
                </c:pt>
                <c:pt idx="88">
                  <c:v>73.006557199814992</c:v>
                </c:pt>
                <c:pt idx="89">
                  <c:v>73.202577558999153</c:v>
                </c:pt>
                <c:pt idx="90">
                  <c:v>73.598644529661755</c:v>
                </c:pt>
                <c:pt idx="91">
                  <c:v>73.941017474031412</c:v>
                </c:pt>
                <c:pt idx="92">
                  <c:v>74.304743309596333</c:v>
                </c:pt>
                <c:pt idx="93">
                  <c:v>74.470711885008868</c:v>
                </c:pt>
                <c:pt idx="94">
                  <c:v>74.728503845684429</c:v>
                </c:pt>
                <c:pt idx="95">
                  <c:v>75.093941579065969</c:v>
                </c:pt>
                <c:pt idx="96">
                  <c:v>75.276658996451545</c:v>
                </c:pt>
                <c:pt idx="97">
                  <c:v>75.549799263999574</c:v>
                </c:pt>
                <c:pt idx="98">
                  <c:v>75.882426792760597</c:v>
                </c:pt>
                <c:pt idx="99">
                  <c:v>76.28437787769964</c:v>
                </c:pt>
                <c:pt idx="100">
                  <c:v>76.599884871546536</c:v>
                </c:pt>
                <c:pt idx="101">
                  <c:v>76.914206459320127</c:v>
                </c:pt>
                <c:pt idx="102">
                  <c:v>77.298845677632769</c:v>
                </c:pt>
                <c:pt idx="103">
                  <c:v>77.65147425711956</c:v>
                </c:pt>
                <c:pt idx="104">
                  <c:v>77.892752982650578</c:v>
                </c:pt>
                <c:pt idx="105">
                  <c:v>78.363395514629929</c:v>
                </c:pt>
                <c:pt idx="106">
                  <c:v>78.793239476793076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9A-4F89-8B5B-ACC1ADB344B0}"/>
            </c:ext>
          </c:extLst>
        </c:ser>
        <c:ser>
          <c:idx val="3"/>
          <c:order val="3"/>
          <c:tx>
            <c:strRef>
              <c:f>'Average comparison (2)'!$K$1</c:f>
              <c:strCache>
                <c:ptCount val="1"/>
                <c:pt idx="0">
                  <c:v>Spore-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comparison (2)'!$A$2:$A$109</c:f>
              <c:numCache>
                <c:formatCode>General</c:formatCode>
                <c:ptCount val="108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 (2)'!$K$2:$K$109</c:f>
              <c:numCache>
                <c:formatCode>General</c:formatCode>
                <c:ptCount val="108"/>
                <c:pt idx="0">
                  <c:v>100</c:v>
                </c:pt>
                <c:pt idx="1">
                  <c:v>100.41395720624686</c:v>
                </c:pt>
                <c:pt idx="2">
                  <c:v>100.70981229069045</c:v>
                </c:pt>
                <c:pt idx="3">
                  <c:v>100.99519848899077</c:v>
                </c:pt>
                <c:pt idx="4">
                  <c:v>101.27807651665263</c:v>
                </c:pt>
                <c:pt idx="5">
                  <c:v>101.51820659256296</c:v>
                </c:pt>
                <c:pt idx="6">
                  <c:v>101.69377853725669</c:v>
                </c:pt>
                <c:pt idx="7">
                  <c:v>101.843723521079</c:v>
                </c:pt>
                <c:pt idx="8">
                  <c:v>102.00773607065628</c:v>
                </c:pt>
                <c:pt idx="9">
                  <c:v>102.14950223717916</c:v>
                </c:pt>
                <c:pt idx="10">
                  <c:v>102.52267440782636</c:v>
                </c:pt>
                <c:pt idx="11">
                  <c:v>102.46585889031989</c:v>
                </c:pt>
                <c:pt idx="12">
                  <c:v>102.61024227837861</c:v>
                </c:pt>
                <c:pt idx="13">
                  <c:v>102.71013290032857</c:v>
                </c:pt>
                <c:pt idx="14">
                  <c:v>102.8756721624684</c:v>
                </c:pt>
                <c:pt idx="15">
                  <c:v>103.02605334988</c:v>
                </c:pt>
                <c:pt idx="16">
                  <c:v>103.15844113923292</c:v>
                </c:pt>
                <c:pt idx="17">
                  <c:v>103.27065451258066</c:v>
                </c:pt>
                <c:pt idx="18">
                  <c:v>103.42703349934514</c:v>
                </c:pt>
                <c:pt idx="19">
                  <c:v>103.55037006422008</c:v>
                </c:pt>
                <c:pt idx="20">
                  <c:v>103.65942096154539</c:v>
                </c:pt>
                <c:pt idx="21">
                  <c:v>103.80424055319341</c:v>
                </c:pt>
                <c:pt idx="22">
                  <c:v>103.90543978591128</c:v>
                </c:pt>
                <c:pt idx="23">
                  <c:v>104.05189514101917</c:v>
                </c:pt>
                <c:pt idx="24">
                  <c:v>104.17512265499678</c:v>
                </c:pt>
                <c:pt idx="25">
                  <c:v>104.31874268677421</c:v>
                </c:pt>
                <c:pt idx="26">
                  <c:v>104.44993091625653</c:v>
                </c:pt>
                <c:pt idx="27">
                  <c:v>104.6509117200271</c:v>
                </c:pt>
                <c:pt idx="28">
                  <c:v>104.73717097981144</c:v>
                </c:pt>
                <c:pt idx="29">
                  <c:v>6.0792276579247836E-2</c:v>
                </c:pt>
                <c:pt idx="30">
                  <c:v>6.0873628548652518E-2</c:v>
                </c:pt>
                <c:pt idx="31">
                  <c:v>6.0524011371827585E-2</c:v>
                </c:pt>
                <c:pt idx="32">
                  <c:v>6.0115615761344297E-2</c:v>
                </c:pt>
                <c:pt idx="33">
                  <c:v>6.045192872869555E-2</c:v>
                </c:pt>
                <c:pt idx="34">
                  <c:v>6.1401871095296323E-2</c:v>
                </c:pt>
                <c:pt idx="35">
                  <c:v>6.0109290809299436E-2</c:v>
                </c:pt>
                <c:pt idx="36">
                  <c:v>6.1272100527479188E-2</c:v>
                </c:pt>
                <c:pt idx="37">
                  <c:v>6.2037746877600192E-2</c:v>
                </c:pt>
                <c:pt idx="38">
                  <c:v>6.1901215154148904E-2</c:v>
                </c:pt>
                <c:pt idx="39">
                  <c:v>60.501655937875888</c:v>
                </c:pt>
                <c:pt idx="40">
                  <c:v>61.941127782569957</c:v>
                </c:pt>
                <c:pt idx="41">
                  <c:v>62.82258618565043</c:v>
                </c:pt>
                <c:pt idx="42">
                  <c:v>63.549519467220939</c:v>
                </c:pt>
                <c:pt idx="43">
                  <c:v>64.180378908247846</c:v>
                </c:pt>
                <c:pt idx="44">
                  <c:v>64.76543697239812</c:v>
                </c:pt>
                <c:pt idx="45">
                  <c:v>65.266962049197232</c:v>
                </c:pt>
                <c:pt idx="46">
                  <c:v>65.698912653502774</c:v>
                </c:pt>
                <c:pt idx="47">
                  <c:v>66.155399709706515</c:v>
                </c:pt>
                <c:pt idx="48">
                  <c:v>66.526390862407212</c:v>
                </c:pt>
                <c:pt idx="49">
                  <c:v>66.901962152795576</c:v>
                </c:pt>
                <c:pt idx="50">
                  <c:v>67.287675176635204</c:v>
                </c:pt>
                <c:pt idx="51">
                  <c:v>67.591709078378159</c:v>
                </c:pt>
                <c:pt idx="52">
                  <c:v>68.015808018076285</c:v>
                </c:pt>
                <c:pt idx="53">
                  <c:v>68.341870201078962</c:v>
                </c:pt>
                <c:pt idx="54">
                  <c:v>68.653537665634673</c:v>
                </c:pt>
                <c:pt idx="55">
                  <c:v>69.063569039577857</c:v>
                </c:pt>
                <c:pt idx="56">
                  <c:v>69.383197219638333</c:v>
                </c:pt>
                <c:pt idx="57">
                  <c:v>69.602171421467546</c:v>
                </c:pt>
                <c:pt idx="58">
                  <c:v>70.020490663607433</c:v>
                </c:pt>
                <c:pt idx="59">
                  <c:v>70.374578927222714</c:v>
                </c:pt>
                <c:pt idx="60">
                  <c:v>70.22256197635123</c:v>
                </c:pt>
                <c:pt idx="61">
                  <c:v>70.672833131407415</c:v>
                </c:pt>
                <c:pt idx="62">
                  <c:v>71.031065329121063</c:v>
                </c:pt>
                <c:pt idx="63">
                  <c:v>71.403583194384325</c:v>
                </c:pt>
                <c:pt idx="64">
                  <c:v>71.803036631286929</c:v>
                </c:pt>
                <c:pt idx="65">
                  <c:v>72.195510810760709</c:v>
                </c:pt>
                <c:pt idx="66">
                  <c:v>72.503143392115405</c:v>
                </c:pt>
                <c:pt idx="67">
                  <c:v>72.917209649259604</c:v>
                </c:pt>
                <c:pt idx="68">
                  <c:v>7.3846977599855188E-2</c:v>
                </c:pt>
                <c:pt idx="69">
                  <c:v>7.1928554214108362E-2</c:v>
                </c:pt>
                <c:pt idx="70">
                  <c:v>7.2453961437421707E-2</c:v>
                </c:pt>
                <c:pt idx="71">
                  <c:v>7.0071526483555677E-2</c:v>
                </c:pt>
                <c:pt idx="72">
                  <c:v>7.1483735603918422E-2</c:v>
                </c:pt>
                <c:pt idx="73">
                  <c:v>7.2131061730441454E-2</c:v>
                </c:pt>
                <c:pt idx="74">
                  <c:v>7.2009469979923732E-2</c:v>
                </c:pt>
                <c:pt idx="75">
                  <c:v>7.263825745390147E-2</c:v>
                </c:pt>
                <c:pt idx="76">
                  <c:v>7.413716203763783E-2</c:v>
                </c:pt>
                <c:pt idx="77">
                  <c:v>7.343934534565319E-2</c:v>
                </c:pt>
                <c:pt idx="78">
                  <c:v>56.844088841585041</c:v>
                </c:pt>
                <c:pt idx="79">
                  <c:v>58.139940654501679</c:v>
                </c:pt>
                <c:pt idx="80">
                  <c:v>58.905696055519996</c:v>
                </c:pt>
                <c:pt idx="81">
                  <c:v>59.645606393872221</c:v>
                </c:pt>
                <c:pt idx="82">
                  <c:v>60.155855542457338</c:v>
                </c:pt>
                <c:pt idx="83">
                  <c:v>60.610161580714575</c:v>
                </c:pt>
                <c:pt idx="84">
                  <c:v>61.092166546892436</c:v>
                </c:pt>
                <c:pt idx="85">
                  <c:v>61.519973217099619</c:v>
                </c:pt>
                <c:pt idx="86">
                  <c:v>61.954977246530284</c:v>
                </c:pt>
                <c:pt idx="87">
                  <c:v>62.345597560749532</c:v>
                </c:pt>
                <c:pt idx="88">
                  <c:v>62.728257159464043</c:v>
                </c:pt>
                <c:pt idx="89">
                  <c:v>63.050938764649636</c:v>
                </c:pt>
                <c:pt idx="90">
                  <c:v>63.285943448385673</c:v>
                </c:pt>
                <c:pt idx="91">
                  <c:v>63.674273693761094</c:v>
                </c:pt>
                <c:pt idx="92">
                  <c:v>63.984959700240893</c:v>
                </c:pt>
                <c:pt idx="93">
                  <c:v>64.311458086832872</c:v>
                </c:pt>
                <c:pt idx="94">
                  <c:v>64.661075263657821</c:v>
                </c:pt>
                <c:pt idx="95">
                  <c:v>64.925087486082376</c:v>
                </c:pt>
                <c:pt idx="96">
                  <c:v>65.290517043019491</c:v>
                </c:pt>
                <c:pt idx="97">
                  <c:v>65.544932786479436</c:v>
                </c:pt>
                <c:pt idx="98">
                  <c:v>65.878410430500239</c:v>
                </c:pt>
                <c:pt idx="99">
                  <c:v>66.174592667635764</c:v>
                </c:pt>
                <c:pt idx="100">
                  <c:v>66.487459692062075</c:v>
                </c:pt>
                <c:pt idx="101">
                  <c:v>66.625081924486622</c:v>
                </c:pt>
                <c:pt idx="102">
                  <c:v>66.95561519427963</c:v>
                </c:pt>
                <c:pt idx="103">
                  <c:v>67.290728601760307</c:v>
                </c:pt>
                <c:pt idx="104">
                  <c:v>67.602177964521388</c:v>
                </c:pt>
                <c:pt idx="105">
                  <c:v>67.873060393477445</c:v>
                </c:pt>
                <c:pt idx="106">
                  <c:v>68.130529562062506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9A-4F89-8B5B-ACC1ADB344B0}"/>
            </c:ext>
          </c:extLst>
        </c:ser>
        <c:ser>
          <c:idx val="4"/>
          <c:order val="4"/>
          <c:tx>
            <c:strRef>
              <c:f>'Average comparison (2)'!$N$1</c:f>
              <c:strCache>
                <c:ptCount val="1"/>
                <c:pt idx="0">
                  <c:v>PGA-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'Average comparison (2)'!$A$2:$A$109</c:f>
              <c:numCache>
                <c:formatCode>General</c:formatCode>
                <c:ptCount val="108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 (2)'!$N$2:$N$109</c:f>
              <c:numCache>
                <c:formatCode>General</c:formatCode>
                <c:ptCount val="108"/>
                <c:pt idx="0">
                  <c:v>100</c:v>
                </c:pt>
                <c:pt idx="1">
                  <c:v>101.54820645646275</c:v>
                </c:pt>
                <c:pt idx="2">
                  <c:v>103.12103031996492</c:v>
                </c:pt>
                <c:pt idx="3">
                  <c:v>104.80117950066551</c:v>
                </c:pt>
                <c:pt idx="4">
                  <c:v>106.60726928563149</c:v>
                </c:pt>
                <c:pt idx="5">
                  <c:v>108.16838439700942</c:v>
                </c:pt>
                <c:pt idx="6">
                  <c:v>109.76901203444326</c:v>
                </c:pt>
                <c:pt idx="7">
                  <c:v>111.57589962834329</c:v>
                </c:pt>
                <c:pt idx="8">
                  <c:v>113.29927980453299</c:v>
                </c:pt>
                <c:pt idx="9">
                  <c:v>115.01397154077418</c:v>
                </c:pt>
                <c:pt idx="10">
                  <c:v>116.7055534631379</c:v>
                </c:pt>
                <c:pt idx="11">
                  <c:v>118.66483732746879</c:v>
                </c:pt>
                <c:pt idx="12">
                  <c:v>120.54451433370427</c:v>
                </c:pt>
                <c:pt idx="13">
                  <c:v>122.47130926697859</c:v>
                </c:pt>
                <c:pt idx="14">
                  <c:v>124.38815506737937</c:v>
                </c:pt>
                <c:pt idx="15">
                  <c:v>126.79526450981805</c:v>
                </c:pt>
                <c:pt idx="16">
                  <c:v>128.89193657275567</c:v>
                </c:pt>
                <c:pt idx="17">
                  <c:v>130.94585560726884</c:v>
                </c:pt>
                <c:pt idx="18">
                  <c:v>133.21245677144</c:v>
                </c:pt>
                <c:pt idx="19">
                  <c:v>135.20969775988357</c:v>
                </c:pt>
                <c:pt idx="20">
                  <c:v>137.3210567298118</c:v>
                </c:pt>
                <c:pt idx="21">
                  <c:v>139.62987239618752</c:v>
                </c:pt>
                <c:pt idx="22">
                  <c:v>141.81285944750951</c:v>
                </c:pt>
                <c:pt idx="23">
                  <c:v>144.18453931162429</c:v>
                </c:pt>
                <c:pt idx="24">
                  <c:v>146.46257686948255</c:v>
                </c:pt>
                <c:pt idx="25">
                  <c:v>148.6930579841258</c:v>
                </c:pt>
                <c:pt idx="26">
                  <c:v>150.77619521374839</c:v>
                </c:pt>
                <c:pt idx="27">
                  <c:v>153.18568170122199</c:v>
                </c:pt>
                <c:pt idx="28">
                  <c:v>155.3020955279402</c:v>
                </c:pt>
                <c:pt idx="29">
                  <c:v>0.13559261976372888</c:v>
                </c:pt>
                <c:pt idx="30">
                  <c:v>0.13765191159224602</c:v>
                </c:pt>
                <c:pt idx="31">
                  <c:v>0.13638146324079373</c:v>
                </c:pt>
                <c:pt idx="32">
                  <c:v>0.13502576150680062</c:v>
                </c:pt>
                <c:pt idx="33">
                  <c:v>0.13482236035910189</c:v>
                </c:pt>
                <c:pt idx="34">
                  <c:v>0.13390072953907223</c:v>
                </c:pt>
                <c:pt idx="35">
                  <c:v>0.13345930140257486</c:v>
                </c:pt>
                <c:pt idx="36">
                  <c:v>0.13290559873525387</c:v>
                </c:pt>
                <c:pt idx="37">
                  <c:v>0.13241419370055843</c:v>
                </c:pt>
                <c:pt idx="38">
                  <c:v>0.13191647438831117</c:v>
                </c:pt>
                <c:pt idx="39">
                  <c:v>62.594691227328532</c:v>
                </c:pt>
                <c:pt idx="40">
                  <c:v>66.229826879646765</c:v>
                </c:pt>
                <c:pt idx="41">
                  <c:v>68.912629418431933</c:v>
                </c:pt>
                <c:pt idx="42">
                  <c:v>71.189477621574596</c:v>
                </c:pt>
                <c:pt idx="43">
                  <c:v>73.212851460045101</c:v>
                </c:pt>
                <c:pt idx="44">
                  <c:v>75.302895779088288</c:v>
                </c:pt>
                <c:pt idx="45">
                  <c:v>77.244544909420625</c:v>
                </c:pt>
                <c:pt idx="46">
                  <c:v>79.272430638520504</c:v>
                </c:pt>
                <c:pt idx="47">
                  <c:v>81.178385514892241</c:v>
                </c:pt>
                <c:pt idx="48">
                  <c:v>83.13537688648583</c:v>
                </c:pt>
                <c:pt idx="49">
                  <c:v>85.113435899537308</c:v>
                </c:pt>
                <c:pt idx="50">
                  <c:v>87.149731639732281</c:v>
                </c:pt>
                <c:pt idx="51">
                  <c:v>89.090648166799795</c:v>
                </c:pt>
                <c:pt idx="52">
                  <c:v>91.197832475847889</c:v>
                </c:pt>
                <c:pt idx="53">
                  <c:v>93.130846050540242</c:v>
                </c:pt>
                <c:pt idx="54">
                  <c:v>95.104986477007017</c:v>
                </c:pt>
                <c:pt idx="55">
                  <c:v>97.069053187844332</c:v>
                </c:pt>
                <c:pt idx="56">
                  <c:v>99.23120670986863</c:v>
                </c:pt>
                <c:pt idx="57">
                  <c:v>101.29778286704922</c:v>
                </c:pt>
                <c:pt idx="58">
                  <c:v>103.42163303951315</c:v>
                </c:pt>
                <c:pt idx="59">
                  <c:v>105.51152098219275</c:v>
                </c:pt>
                <c:pt idx="60">
                  <c:v>107.70786442867805</c:v>
                </c:pt>
                <c:pt idx="61">
                  <c:v>109.8222974018388</c:v>
                </c:pt>
                <c:pt idx="62">
                  <c:v>111.90755008308284</c:v>
                </c:pt>
                <c:pt idx="63">
                  <c:v>114.05041182496367</c:v>
                </c:pt>
                <c:pt idx="64">
                  <c:v>116.33276276330101</c:v>
                </c:pt>
                <c:pt idx="65">
                  <c:v>118.68759790365523</c:v>
                </c:pt>
                <c:pt idx="66">
                  <c:v>120.95751735721542</c:v>
                </c:pt>
                <c:pt idx="67">
                  <c:v>123.09191689720942</c:v>
                </c:pt>
                <c:pt idx="68">
                  <c:v>0.12744943867319644</c:v>
                </c:pt>
                <c:pt idx="69">
                  <c:v>0.12951768651415707</c:v>
                </c:pt>
                <c:pt idx="70">
                  <c:v>0.12896134940011464</c:v>
                </c:pt>
                <c:pt idx="71">
                  <c:v>0.12892318954562976</c:v>
                </c:pt>
                <c:pt idx="72">
                  <c:v>0.12883261232842147</c:v>
                </c:pt>
                <c:pt idx="73">
                  <c:v>0.12910995668936742</c:v>
                </c:pt>
                <c:pt idx="74">
                  <c:v>0.12940346977609302</c:v>
                </c:pt>
                <c:pt idx="75">
                  <c:v>0.12958530204490407</c:v>
                </c:pt>
                <c:pt idx="76">
                  <c:v>0.12969428833960817</c:v>
                </c:pt>
                <c:pt idx="77">
                  <c:v>0.12976466847146034</c:v>
                </c:pt>
                <c:pt idx="78">
                  <c:v>62.590201616135275</c:v>
                </c:pt>
                <c:pt idx="79">
                  <c:v>65.926699640765932</c:v>
                </c:pt>
                <c:pt idx="80">
                  <c:v>68.483883801752697</c:v>
                </c:pt>
                <c:pt idx="81">
                  <c:v>70.750867163984182</c:v>
                </c:pt>
                <c:pt idx="82">
                  <c:v>72.852274587386589</c:v>
                </c:pt>
                <c:pt idx="83">
                  <c:v>74.906709111435291</c:v>
                </c:pt>
                <c:pt idx="84">
                  <c:v>76.825471246600927</c:v>
                </c:pt>
                <c:pt idx="85">
                  <c:v>78.546501967034757</c:v>
                </c:pt>
                <c:pt idx="86">
                  <c:v>80.349908301734416</c:v>
                </c:pt>
                <c:pt idx="87">
                  <c:v>81.92936524775233</c:v>
                </c:pt>
                <c:pt idx="88">
                  <c:v>83.592646530620698</c:v>
                </c:pt>
                <c:pt idx="89">
                  <c:v>85.383481827671872</c:v>
                </c:pt>
                <c:pt idx="90">
                  <c:v>87.016311410950806</c:v>
                </c:pt>
                <c:pt idx="91">
                  <c:v>88.632504577889819</c:v>
                </c:pt>
                <c:pt idx="92">
                  <c:v>90.210124232053801</c:v>
                </c:pt>
                <c:pt idx="93">
                  <c:v>91.950121742696837</c:v>
                </c:pt>
                <c:pt idx="94">
                  <c:v>93.60319680823774</c:v>
                </c:pt>
                <c:pt idx="95">
                  <c:v>95.065155569436527</c:v>
                </c:pt>
                <c:pt idx="96">
                  <c:v>96.845991853856532</c:v>
                </c:pt>
                <c:pt idx="97">
                  <c:v>98.515325765921219</c:v>
                </c:pt>
                <c:pt idx="98">
                  <c:v>100.01763265711024</c:v>
                </c:pt>
                <c:pt idx="99">
                  <c:v>101.65392510343159</c:v>
                </c:pt>
                <c:pt idx="100">
                  <c:v>103.40777463705226</c:v>
                </c:pt>
                <c:pt idx="101">
                  <c:v>104.99831462517609</c:v>
                </c:pt>
                <c:pt idx="102">
                  <c:v>106.68535841590005</c:v>
                </c:pt>
                <c:pt idx="103">
                  <c:v>108.19531390141132</c:v>
                </c:pt>
                <c:pt idx="104">
                  <c:v>110.03587426325001</c:v>
                </c:pt>
                <c:pt idx="105">
                  <c:v>111.74303919002782</c:v>
                </c:pt>
                <c:pt idx="106">
                  <c:v>113.42184880046027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9A-4F89-8B5B-ACC1ADB344B0}"/>
            </c:ext>
          </c:extLst>
        </c:ser>
        <c:ser>
          <c:idx val="5"/>
          <c:order val="5"/>
          <c:tx>
            <c:strRef>
              <c:f>'Average comparison (2)'!$Q$1</c:f>
              <c:strCache>
                <c:ptCount val="1"/>
                <c:pt idx="0">
                  <c:v>PGA-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comparison (2)'!$A$2:$A$109</c:f>
              <c:numCache>
                <c:formatCode>General</c:formatCode>
                <c:ptCount val="108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 (2)'!$Q$2:$Q$109</c:f>
              <c:numCache>
                <c:formatCode>General</c:formatCode>
                <c:ptCount val="108"/>
                <c:pt idx="0">
                  <c:v>100</c:v>
                </c:pt>
                <c:pt idx="1">
                  <c:v>100.66142029885398</c:v>
                </c:pt>
                <c:pt idx="2">
                  <c:v>101.31339173629577</c:v>
                </c:pt>
                <c:pt idx="3">
                  <c:v>101.98291105921736</c:v>
                </c:pt>
                <c:pt idx="4">
                  <c:v>102.64433135807135</c:v>
                </c:pt>
                <c:pt idx="5">
                  <c:v>103.22948584695544</c:v>
                </c:pt>
                <c:pt idx="6">
                  <c:v>103.73904944454193</c:v>
                </c:pt>
                <c:pt idx="7">
                  <c:v>104.29653226786171</c:v>
                </c:pt>
                <c:pt idx="8">
                  <c:v>104.85401509118151</c:v>
                </c:pt>
                <c:pt idx="9">
                  <c:v>105.36492852611261</c:v>
                </c:pt>
                <c:pt idx="10">
                  <c:v>105.82522306062118</c:v>
                </c:pt>
                <c:pt idx="11">
                  <c:v>106.58518148563098</c:v>
                </c:pt>
                <c:pt idx="12">
                  <c:v>107.17236073053196</c:v>
                </c:pt>
                <c:pt idx="13">
                  <c:v>107.57528717789506</c:v>
                </c:pt>
                <c:pt idx="14">
                  <c:v>107.98766248667036</c:v>
                </c:pt>
                <c:pt idx="15">
                  <c:v>108.52354791247653</c:v>
                </c:pt>
                <c:pt idx="16">
                  <c:v>109.05605874492122</c:v>
                </c:pt>
                <c:pt idx="17">
                  <c:v>109.47518324041954</c:v>
                </c:pt>
                <c:pt idx="18">
                  <c:v>109.77619696826532</c:v>
                </c:pt>
                <c:pt idx="19">
                  <c:v>110.32153125548372</c:v>
                </c:pt>
                <c:pt idx="20">
                  <c:v>110.93570724727668</c:v>
                </c:pt>
                <c:pt idx="21">
                  <c:v>111.4054506431975</c:v>
                </c:pt>
                <c:pt idx="22">
                  <c:v>111.91433932211167</c:v>
                </c:pt>
                <c:pt idx="23">
                  <c:v>112.36316023919117</c:v>
                </c:pt>
                <c:pt idx="24">
                  <c:v>112.87204891810536</c:v>
                </c:pt>
                <c:pt idx="25">
                  <c:v>113.25202813061026</c:v>
                </c:pt>
                <c:pt idx="26">
                  <c:v>113.83988229418355</c:v>
                </c:pt>
                <c:pt idx="27">
                  <c:v>114.41356316563854</c:v>
                </c:pt>
                <c:pt idx="28">
                  <c:v>114.90625379641753</c:v>
                </c:pt>
                <c:pt idx="29">
                  <c:v>0.22946154988323905</c:v>
                </c:pt>
                <c:pt idx="30">
                  <c:v>0.2281171118880175</c:v>
                </c:pt>
                <c:pt idx="31">
                  <c:v>0.22284599705735458</c:v>
                </c:pt>
                <c:pt idx="32">
                  <c:v>0.21896858928499113</c:v>
                </c:pt>
                <c:pt idx="33">
                  <c:v>0.21604619143393219</c:v>
                </c:pt>
                <c:pt idx="34">
                  <c:v>0.21391479826680884</c:v>
                </c:pt>
                <c:pt idx="35">
                  <c:v>0.21261557982263138</c:v>
                </c:pt>
                <c:pt idx="36">
                  <c:v>0.21076427790451246</c:v>
                </c:pt>
                <c:pt idx="37">
                  <c:v>0.20984976310354603</c:v>
                </c:pt>
                <c:pt idx="38">
                  <c:v>0.20845875571993575</c:v>
                </c:pt>
                <c:pt idx="39">
                  <c:v>63.511466868242373</c:v>
                </c:pt>
                <c:pt idx="40">
                  <c:v>65.230079775387068</c:v>
                </c:pt>
                <c:pt idx="41">
                  <c:v>66.213976215865983</c:v>
                </c:pt>
                <c:pt idx="42">
                  <c:v>67.041224032504076</c:v>
                </c:pt>
                <c:pt idx="43">
                  <c:v>67.755085512195777</c:v>
                </c:pt>
                <c:pt idx="44">
                  <c:v>68.247101224302469</c:v>
                </c:pt>
                <c:pt idx="45">
                  <c:v>68.736417261719964</c:v>
                </c:pt>
                <c:pt idx="46">
                  <c:v>69.144743058461458</c:v>
                </c:pt>
                <c:pt idx="47">
                  <c:v>69.53957048175694</c:v>
                </c:pt>
                <c:pt idx="48">
                  <c:v>69.893902784714442</c:v>
                </c:pt>
                <c:pt idx="49">
                  <c:v>70.16319533496214</c:v>
                </c:pt>
                <c:pt idx="50">
                  <c:v>70.569496375686725</c:v>
                </c:pt>
                <c:pt idx="51">
                  <c:v>70.856336811414224</c:v>
                </c:pt>
                <c:pt idx="52">
                  <c:v>71.214718626405514</c:v>
                </c:pt>
                <c:pt idx="53">
                  <c:v>71.509658086200602</c:v>
                </c:pt>
                <c:pt idx="54">
                  <c:v>71.874789087914891</c:v>
                </c:pt>
                <c:pt idx="55">
                  <c:v>72.160954604970101</c:v>
                </c:pt>
                <c:pt idx="56">
                  <c:v>72.437671260613087</c:v>
                </c:pt>
                <c:pt idx="57">
                  <c:v>72.736660232441992</c:v>
                </c:pt>
                <c:pt idx="58">
                  <c:v>72.930361891392081</c:v>
                </c:pt>
                <c:pt idx="59">
                  <c:v>73.307641429207777</c:v>
                </c:pt>
                <c:pt idx="60">
                  <c:v>73.685595885695761</c:v>
                </c:pt>
                <c:pt idx="61">
                  <c:v>73.905619372865573</c:v>
                </c:pt>
                <c:pt idx="62">
                  <c:v>74.288298260059662</c:v>
                </c:pt>
                <c:pt idx="63">
                  <c:v>74.51912044598626</c:v>
                </c:pt>
                <c:pt idx="64">
                  <c:v>74.922721812021649</c:v>
                </c:pt>
                <c:pt idx="65">
                  <c:v>75.268955090911533</c:v>
                </c:pt>
                <c:pt idx="66">
                  <c:v>75.55444568929444</c:v>
                </c:pt>
                <c:pt idx="67">
                  <c:v>76.03296302795512</c:v>
                </c:pt>
                <c:pt idx="68">
                  <c:v>0.20349675364118625</c:v>
                </c:pt>
                <c:pt idx="69">
                  <c:v>0.20496875126547248</c:v>
                </c:pt>
                <c:pt idx="70">
                  <c:v>0.2049579525667157</c:v>
                </c:pt>
                <c:pt idx="71">
                  <c:v>0.20428978308113874</c:v>
                </c:pt>
                <c:pt idx="72">
                  <c:v>0.20415074983464487</c:v>
                </c:pt>
                <c:pt idx="73">
                  <c:v>0.2043505257616457</c:v>
                </c:pt>
                <c:pt idx="74">
                  <c:v>0.2041932697109998</c:v>
                </c:pt>
                <c:pt idx="75">
                  <c:v>0.2041541244280064</c:v>
                </c:pt>
                <c:pt idx="76">
                  <c:v>0.203764021435417</c:v>
                </c:pt>
                <c:pt idx="77">
                  <c:v>0.20362633802626784</c:v>
                </c:pt>
                <c:pt idx="78">
                  <c:v>54.320491880728369</c:v>
                </c:pt>
                <c:pt idx="79">
                  <c:v>56.060837169121115</c:v>
                </c:pt>
                <c:pt idx="80">
                  <c:v>57.118097269279048</c:v>
                </c:pt>
                <c:pt idx="81">
                  <c:v>58.073984584857527</c:v>
                </c:pt>
                <c:pt idx="82">
                  <c:v>58.842379493271061</c:v>
                </c:pt>
                <c:pt idx="83">
                  <c:v>59.284451223627556</c:v>
                </c:pt>
                <c:pt idx="84">
                  <c:v>60.084499817771956</c:v>
                </c:pt>
                <c:pt idx="85">
                  <c:v>60.575638135604656</c:v>
                </c:pt>
                <c:pt idx="86">
                  <c:v>61.080274826883361</c:v>
                </c:pt>
                <c:pt idx="87">
                  <c:v>61.561086889029873</c:v>
                </c:pt>
                <c:pt idx="88">
                  <c:v>62.019289175654322</c:v>
                </c:pt>
                <c:pt idx="89">
                  <c:v>62.473104490908838</c:v>
                </c:pt>
                <c:pt idx="90">
                  <c:v>62.905254916782525</c:v>
                </c:pt>
                <c:pt idx="91">
                  <c:v>63.301769636758763</c:v>
                </c:pt>
                <c:pt idx="92">
                  <c:v>63.805191474427339</c:v>
                </c:pt>
                <c:pt idx="93">
                  <c:v>64.215677010920174</c:v>
                </c:pt>
                <c:pt idx="94">
                  <c:v>64.649852192810769</c:v>
                </c:pt>
                <c:pt idx="95">
                  <c:v>65.088076886735152</c:v>
                </c:pt>
                <c:pt idx="96">
                  <c:v>65.477909911855619</c:v>
                </c:pt>
                <c:pt idx="97">
                  <c:v>65.942118974663543</c:v>
                </c:pt>
                <c:pt idx="98">
                  <c:v>66.35422431596993</c:v>
                </c:pt>
                <c:pt idx="99">
                  <c:v>66.813506472470067</c:v>
                </c:pt>
                <c:pt idx="100">
                  <c:v>67.286152018681747</c:v>
                </c:pt>
                <c:pt idx="101">
                  <c:v>67.738887464060568</c:v>
                </c:pt>
                <c:pt idx="102">
                  <c:v>68.168810658315664</c:v>
                </c:pt>
                <c:pt idx="103">
                  <c:v>68.577136455057158</c:v>
                </c:pt>
                <c:pt idx="104">
                  <c:v>69.065102655130048</c:v>
                </c:pt>
                <c:pt idx="105">
                  <c:v>69.612461698365337</c:v>
                </c:pt>
                <c:pt idx="106">
                  <c:v>69.928998555674042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9A-4F89-8B5B-ACC1ADB344B0}"/>
            </c:ext>
          </c:extLst>
        </c:ser>
        <c:ser>
          <c:idx val="6"/>
          <c:order val="6"/>
          <c:tx>
            <c:strRef>
              <c:f>'Average comparison (2)'!$T$1</c:f>
              <c:strCache>
                <c:ptCount val="1"/>
                <c:pt idx="0">
                  <c:v>EPS- Parafilm-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 (2)'!$A$2:$A$109</c:f>
              <c:numCache>
                <c:formatCode>General</c:formatCode>
                <c:ptCount val="108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 (2)'!$T$2:$T$109</c:f>
              <c:numCache>
                <c:formatCode>General</c:formatCode>
                <c:ptCount val="108"/>
                <c:pt idx="0">
                  <c:v>100</c:v>
                </c:pt>
                <c:pt idx="1">
                  <c:v>102.19707247838106</c:v>
                </c:pt>
                <c:pt idx="2">
                  <c:v>104.38469872199977</c:v>
                </c:pt>
                <c:pt idx="3">
                  <c:v>106.63475671623189</c:v>
                </c:pt>
                <c:pt idx="4">
                  <c:v>108.83134093668563</c:v>
                </c:pt>
                <c:pt idx="5">
                  <c:v>110.80318499293826</c:v>
                </c:pt>
                <c:pt idx="6">
                  <c:v>113.15672220760023</c:v>
                </c:pt>
                <c:pt idx="7">
                  <c:v>115.52423453321337</c:v>
                </c:pt>
                <c:pt idx="8">
                  <c:v>117.72280334535414</c:v>
                </c:pt>
                <c:pt idx="9">
                  <c:v>119.82415528386325</c:v>
                </c:pt>
                <c:pt idx="10">
                  <c:v>122.3259478148637</c:v>
                </c:pt>
                <c:pt idx="11">
                  <c:v>124.5566039580229</c:v>
                </c:pt>
                <c:pt idx="12">
                  <c:v>126.58393971538764</c:v>
                </c:pt>
                <c:pt idx="13">
                  <c:v>129.23890447036888</c:v>
                </c:pt>
                <c:pt idx="14">
                  <c:v>132.19188830457122</c:v>
                </c:pt>
                <c:pt idx="15">
                  <c:v>134.81684430145728</c:v>
                </c:pt>
                <c:pt idx="16">
                  <c:v>137.28296079853888</c:v>
                </c:pt>
                <c:pt idx="17">
                  <c:v>140.35432980405244</c:v>
                </c:pt>
                <c:pt idx="18">
                  <c:v>142.98504205983889</c:v>
                </c:pt>
                <c:pt idx="19">
                  <c:v>145.66493351520401</c:v>
                </c:pt>
                <c:pt idx="20">
                  <c:v>147.948298461669</c:v>
                </c:pt>
                <c:pt idx="21">
                  <c:v>151.05351751800873</c:v>
                </c:pt>
                <c:pt idx="22">
                  <c:v>154.21206210689493</c:v>
                </c:pt>
                <c:pt idx="23">
                  <c:v>156.95599063366748</c:v>
                </c:pt>
                <c:pt idx="24">
                  <c:v>159.96680185399973</c:v>
                </c:pt>
                <c:pt idx="25">
                  <c:v>163.01692712106271</c:v>
                </c:pt>
                <c:pt idx="26">
                  <c:v>166.61360085158995</c:v>
                </c:pt>
                <c:pt idx="27">
                  <c:v>169.45504977084283</c:v>
                </c:pt>
                <c:pt idx="28">
                  <c:v>172.54111024790299</c:v>
                </c:pt>
                <c:pt idx="29">
                  <c:v>0.70083295275527002</c:v>
                </c:pt>
                <c:pt idx="30">
                  <c:v>0.67390788880406605</c:v>
                </c:pt>
                <c:pt idx="31">
                  <c:v>0.65209271516592926</c:v>
                </c:pt>
                <c:pt idx="32">
                  <c:v>0.63568642911327256</c:v>
                </c:pt>
                <c:pt idx="33">
                  <c:v>0.62307202541324713</c:v>
                </c:pt>
                <c:pt idx="34">
                  <c:v>0.6123098700421733</c:v>
                </c:pt>
                <c:pt idx="35">
                  <c:v>0.60247311111134128</c:v>
                </c:pt>
                <c:pt idx="36">
                  <c:v>0.59362115656461401</c:v>
                </c:pt>
                <c:pt idx="37">
                  <c:v>0.58411855712404648</c:v>
                </c:pt>
                <c:pt idx="38">
                  <c:v>0.57593097343387134</c:v>
                </c:pt>
                <c:pt idx="39">
                  <c:v>64.402113910537807</c:v>
                </c:pt>
                <c:pt idx="40">
                  <c:v>68.027032180723822</c:v>
                </c:pt>
                <c:pt idx="41">
                  <c:v>70.897512604984982</c:v>
                </c:pt>
                <c:pt idx="42">
                  <c:v>73.894391660519133</c:v>
                </c:pt>
                <c:pt idx="43">
                  <c:v>76.699318820784768</c:v>
                </c:pt>
                <c:pt idx="44">
                  <c:v>79.62411664503469</c:v>
                </c:pt>
                <c:pt idx="45">
                  <c:v>82.012191686947588</c:v>
                </c:pt>
                <c:pt idx="46">
                  <c:v>84.538876721852773</c:v>
                </c:pt>
                <c:pt idx="47">
                  <c:v>86.829476189481724</c:v>
                </c:pt>
                <c:pt idx="48">
                  <c:v>89.203122647196622</c:v>
                </c:pt>
                <c:pt idx="49">
                  <c:v>91.502665829411058</c:v>
                </c:pt>
                <c:pt idx="50">
                  <c:v>94.254328136115092</c:v>
                </c:pt>
                <c:pt idx="51">
                  <c:v>96.957709114487201</c:v>
                </c:pt>
                <c:pt idx="52">
                  <c:v>99.500513605778067</c:v>
                </c:pt>
                <c:pt idx="53">
                  <c:v>102.17288878564783</c:v>
                </c:pt>
                <c:pt idx="54">
                  <c:v>104.93370415901927</c:v>
                </c:pt>
                <c:pt idx="55">
                  <c:v>107.82653431754748</c:v>
                </c:pt>
                <c:pt idx="56">
                  <c:v>110.26263068067811</c:v>
                </c:pt>
                <c:pt idx="57">
                  <c:v>112.97825969776456</c:v>
                </c:pt>
                <c:pt idx="58">
                  <c:v>115.55349994620109</c:v>
                </c:pt>
                <c:pt idx="59">
                  <c:v>118.3016160757188</c:v>
                </c:pt>
                <c:pt idx="60">
                  <c:v>121.10920654884303</c:v>
                </c:pt>
                <c:pt idx="61">
                  <c:v>123.64310612101382</c:v>
                </c:pt>
                <c:pt idx="62">
                  <c:v>126.53976815961609</c:v>
                </c:pt>
                <c:pt idx="63">
                  <c:v>129.2495619548165</c:v>
                </c:pt>
                <c:pt idx="64">
                  <c:v>132.31628309695839</c:v>
                </c:pt>
                <c:pt idx="65">
                  <c:v>135.2983298935707</c:v>
                </c:pt>
                <c:pt idx="66">
                  <c:v>138.4978866584116</c:v>
                </c:pt>
                <c:pt idx="67">
                  <c:v>141.90587861285289</c:v>
                </c:pt>
                <c:pt idx="68">
                  <c:v>0.52233072922207413</c:v>
                </c:pt>
                <c:pt idx="69">
                  <c:v>0.51629765476881773</c:v>
                </c:pt>
                <c:pt idx="70">
                  <c:v>0.50890393981353377</c:v>
                </c:pt>
                <c:pt idx="71">
                  <c:v>0.50267863140873315</c:v>
                </c:pt>
                <c:pt idx="72">
                  <c:v>0.49777564180549999</c:v>
                </c:pt>
                <c:pt idx="73">
                  <c:v>0.49405255770142786</c:v>
                </c:pt>
                <c:pt idx="74">
                  <c:v>0.49033879339807124</c:v>
                </c:pt>
                <c:pt idx="75">
                  <c:v>0.48631826154402735</c:v>
                </c:pt>
                <c:pt idx="76">
                  <c:v>0.48311296702897683</c:v>
                </c:pt>
                <c:pt idx="77">
                  <c:v>0.47982080215907535</c:v>
                </c:pt>
                <c:pt idx="78">
                  <c:v>60.333367421128465</c:v>
                </c:pt>
                <c:pt idx="79">
                  <c:v>62.336260007126839</c:v>
                </c:pt>
                <c:pt idx="80">
                  <c:v>64.083597826706011</c:v>
                </c:pt>
                <c:pt idx="81">
                  <c:v>65.649240812439658</c:v>
                </c:pt>
                <c:pt idx="82">
                  <c:v>67.373062239155942</c:v>
                </c:pt>
                <c:pt idx="83">
                  <c:v>68.800179444017274</c:v>
                </c:pt>
                <c:pt idx="84">
                  <c:v>70.214725826909188</c:v>
                </c:pt>
                <c:pt idx="85">
                  <c:v>71.612848046890051</c:v>
                </c:pt>
                <c:pt idx="86">
                  <c:v>72.963660677217462</c:v>
                </c:pt>
                <c:pt idx="87">
                  <c:v>74.466318312440805</c:v>
                </c:pt>
                <c:pt idx="88">
                  <c:v>76.090960931811608</c:v>
                </c:pt>
                <c:pt idx="89">
                  <c:v>77.67503372166999</c:v>
                </c:pt>
                <c:pt idx="90">
                  <c:v>79.362607484144604</c:v>
                </c:pt>
                <c:pt idx="91">
                  <c:v>81.183088905048876</c:v>
                </c:pt>
                <c:pt idx="92">
                  <c:v>83.040330591212509</c:v>
                </c:pt>
                <c:pt idx="93">
                  <c:v>85.405940753164529</c:v>
                </c:pt>
                <c:pt idx="94">
                  <c:v>87.234739832586413</c:v>
                </c:pt>
                <c:pt idx="95">
                  <c:v>89.216235218109134</c:v>
                </c:pt>
                <c:pt idx="96">
                  <c:v>90.944603922378917</c:v>
                </c:pt>
                <c:pt idx="97">
                  <c:v>93.511909937802088</c:v>
                </c:pt>
                <c:pt idx="98">
                  <c:v>95.336603178724545</c:v>
                </c:pt>
                <c:pt idx="99">
                  <c:v>97.707285676388764</c:v>
                </c:pt>
                <c:pt idx="100">
                  <c:v>99.794427908910507</c:v>
                </c:pt>
                <c:pt idx="101">
                  <c:v>102.01996067779216</c:v>
                </c:pt>
                <c:pt idx="102">
                  <c:v>104.22735034489858</c:v>
                </c:pt>
                <c:pt idx="103">
                  <c:v>106.70759308386023</c:v>
                </c:pt>
                <c:pt idx="104">
                  <c:v>109.43925803666399</c:v>
                </c:pt>
                <c:pt idx="105">
                  <c:v>111.53571442308596</c:v>
                </c:pt>
                <c:pt idx="106">
                  <c:v>113.82406898778014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9A-4F89-8B5B-ACC1ADB344B0}"/>
            </c:ext>
          </c:extLst>
        </c:ser>
        <c:ser>
          <c:idx val="7"/>
          <c:order val="7"/>
          <c:tx>
            <c:strRef>
              <c:f>'Average comparison (2)'!$W$1</c:f>
              <c:strCache>
                <c:ptCount val="1"/>
                <c:pt idx="0">
                  <c:v>EPS- Parafilm+ average G'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comparison (2)'!$A$2:$A$109</c:f>
              <c:numCache>
                <c:formatCode>General</c:formatCode>
                <c:ptCount val="108"/>
                <c:pt idx="0">
                  <c:v>6.2696399999999999</c:v>
                </c:pt>
                <c:pt idx="1">
                  <c:v>12.3698</c:v>
                </c:pt>
                <c:pt idx="2">
                  <c:v>18.654</c:v>
                </c:pt>
                <c:pt idx="3">
                  <c:v>24.779599999999999</c:v>
                </c:pt>
                <c:pt idx="4">
                  <c:v>31.0945</c:v>
                </c:pt>
                <c:pt idx="5">
                  <c:v>37.161900000000003</c:v>
                </c:pt>
                <c:pt idx="6">
                  <c:v>43.441699999999997</c:v>
                </c:pt>
                <c:pt idx="7">
                  <c:v>49.671799999999998</c:v>
                </c:pt>
                <c:pt idx="8">
                  <c:v>55.927799999999998</c:v>
                </c:pt>
                <c:pt idx="9">
                  <c:v>62.031100000000002</c:v>
                </c:pt>
                <c:pt idx="10">
                  <c:v>68.213200000000001</c:v>
                </c:pt>
                <c:pt idx="11">
                  <c:v>74.461600000000004</c:v>
                </c:pt>
                <c:pt idx="12">
                  <c:v>80.745000000000005</c:v>
                </c:pt>
                <c:pt idx="13">
                  <c:v>86.833600000000004</c:v>
                </c:pt>
                <c:pt idx="14">
                  <c:v>93.167199999999994</c:v>
                </c:pt>
                <c:pt idx="15">
                  <c:v>99.287099999999995</c:v>
                </c:pt>
                <c:pt idx="16">
                  <c:v>105.572</c:v>
                </c:pt>
                <c:pt idx="17">
                  <c:v>111.81699999999999</c:v>
                </c:pt>
                <c:pt idx="18">
                  <c:v>117.977</c:v>
                </c:pt>
                <c:pt idx="19">
                  <c:v>124.10599999999999</c:v>
                </c:pt>
                <c:pt idx="20">
                  <c:v>130.37799999999999</c:v>
                </c:pt>
                <c:pt idx="21">
                  <c:v>136.60400000000001</c:v>
                </c:pt>
                <c:pt idx="22">
                  <c:v>142.80099999999999</c:v>
                </c:pt>
                <c:pt idx="23">
                  <c:v>148.94900000000001</c:v>
                </c:pt>
                <c:pt idx="24">
                  <c:v>155.233</c:v>
                </c:pt>
                <c:pt idx="25">
                  <c:v>161.44499999999999</c:v>
                </c:pt>
                <c:pt idx="26">
                  <c:v>167.59</c:v>
                </c:pt>
                <c:pt idx="27">
                  <c:v>173.74799999999999</c:v>
                </c:pt>
                <c:pt idx="28">
                  <c:v>179.999</c:v>
                </c:pt>
                <c:pt idx="29">
                  <c:v>193.20699999999999</c:v>
                </c:pt>
                <c:pt idx="30">
                  <c:v>199.40899999999999</c:v>
                </c:pt>
                <c:pt idx="31">
                  <c:v>205.65700000000001</c:v>
                </c:pt>
                <c:pt idx="32">
                  <c:v>211.864</c:v>
                </c:pt>
                <c:pt idx="33">
                  <c:v>217.958</c:v>
                </c:pt>
                <c:pt idx="34">
                  <c:v>224.30799999999999</c:v>
                </c:pt>
                <c:pt idx="35">
                  <c:v>230.453</c:v>
                </c:pt>
                <c:pt idx="36">
                  <c:v>236.73099999999999</c:v>
                </c:pt>
                <c:pt idx="37">
                  <c:v>242.83</c:v>
                </c:pt>
                <c:pt idx="38">
                  <c:v>249.16</c:v>
                </c:pt>
                <c:pt idx="39">
                  <c:v>262.286</c:v>
                </c:pt>
                <c:pt idx="40">
                  <c:v>268.49799999999999</c:v>
                </c:pt>
                <c:pt idx="41">
                  <c:v>274.608</c:v>
                </c:pt>
                <c:pt idx="42">
                  <c:v>280.779</c:v>
                </c:pt>
                <c:pt idx="43">
                  <c:v>287.00099999999998</c:v>
                </c:pt>
                <c:pt idx="44">
                  <c:v>293.27300000000002</c:v>
                </c:pt>
                <c:pt idx="45">
                  <c:v>299.46699999999998</c:v>
                </c:pt>
                <c:pt idx="46">
                  <c:v>305.70800000000003</c:v>
                </c:pt>
                <c:pt idx="47">
                  <c:v>311.89499999999998</c:v>
                </c:pt>
                <c:pt idx="48">
                  <c:v>318.09899999999999</c:v>
                </c:pt>
                <c:pt idx="49">
                  <c:v>324.33999999999997</c:v>
                </c:pt>
                <c:pt idx="50">
                  <c:v>330.45299999999997</c:v>
                </c:pt>
                <c:pt idx="51">
                  <c:v>336.67899999999997</c:v>
                </c:pt>
                <c:pt idx="52">
                  <c:v>342.94200000000001</c:v>
                </c:pt>
                <c:pt idx="53">
                  <c:v>349.24099999999999</c:v>
                </c:pt>
                <c:pt idx="54">
                  <c:v>355.43299999999999</c:v>
                </c:pt>
                <c:pt idx="55">
                  <c:v>361.57799999999997</c:v>
                </c:pt>
                <c:pt idx="56">
                  <c:v>367.786</c:v>
                </c:pt>
                <c:pt idx="57">
                  <c:v>374.03899999999999</c:v>
                </c:pt>
                <c:pt idx="58">
                  <c:v>380.137</c:v>
                </c:pt>
                <c:pt idx="59">
                  <c:v>386.49799999999999</c:v>
                </c:pt>
                <c:pt idx="60">
                  <c:v>392.601</c:v>
                </c:pt>
                <c:pt idx="61">
                  <c:v>398.83199999999999</c:v>
                </c:pt>
                <c:pt idx="62">
                  <c:v>405.02199999999999</c:v>
                </c:pt>
                <c:pt idx="63">
                  <c:v>411.33699999999999</c:v>
                </c:pt>
                <c:pt idx="64">
                  <c:v>417.42200000000003</c:v>
                </c:pt>
                <c:pt idx="65">
                  <c:v>423.74099999999999</c:v>
                </c:pt>
                <c:pt idx="66">
                  <c:v>429.80099999999999</c:v>
                </c:pt>
                <c:pt idx="67">
                  <c:v>436.18</c:v>
                </c:pt>
                <c:pt idx="68">
                  <c:v>449.34699999999998</c:v>
                </c:pt>
                <c:pt idx="69">
                  <c:v>455.601</c:v>
                </c:pt>
                <c:pt idx="70">
                  <c:v>461.72699999999998</c:v>
                </c:pt>
                <c:pt idx="71">
                  <c:v>467.90100000000001</c:v>
                </c:pt>
                <c:pt idx="72">
                  <c:v>474.11200000000002</c:v>
                </c:pt>
                <c:pt idx="73">
                  <c:v>480.45699999999999</c:v>
                </c:pt>
                <c:pt idx="74">
                  <c:v>486.59</c:v>
                </c:pt>
                <c:pt idx="75">
                  <c:v>492.80599999999998</c:v>
                </c:pt>
                <c:pt idx="76">
                  <c:v>499.017</c:v>
                </c:pt>
                <c:pt idx="77">
                  <c:v>505.20699999999999</c:v>
                </c:pt>
                <c:pt idx="78">
                  <c:v>518.327</c:v>
                </c:pt>
                <c:pt idx="79">
                  <c:v>524.44100000000003</c:v>
                </c:pt>
                <c:pt idx="80">
                  <c:v>530.67700000000002</c:v>
                </c:pt>
                <c:pt idx="81">
                  <c:v>536.91800000000001</c:v>
                </c:pt>
                <c:pt idx="82">
                  <c:v>543.17700000000002</c:v>
                </c:pt>
                <c:pt idx="83">
                  <c:v>549.27800000000002</c:v>
                </c:pt>
                <c:pt idx="84">
                  <c:v>555.61199999999997</c:v>
                </c:pt>
                <c:pt idx="85">
                  <c:v>561.73</c:v>
                </c:pt>
                <c:pt idx="86">
                  <c:v>567.92600000000004</c:v>
                </c:pt>
                <c:pt idx="87">
                  <c:v>574.19000000000005</c:v>
                </c:pt>
                <c:pt idx="88">
                  <c:v>580.33500000000004</c:v>
                </c:pt>
                <c:pt idx="89">
                  <c:v>586.61800000000005</c:v>
                </c:pt>
                <c:pt idx="90">
                  <c:v>592.80999999999995</c:v>
                </c:pt>
                <c:pt idx="91">
                  <c:v>598.93799999999999</c:v>
                </c:pt>
                <c:pt idx="92">
                  <c:v>605.25900000000001</c:v>
                </c:pt>
                <c:pt idx="93">
                  <c:v>611.42399999999998</c:v>
                </c:pt>
                <c:pt idx="94">
                  <c:v>617.57000000000005</c:v>
                </c:pt>
                <c:pt idx="95">
                  <c:v>623.89099999999996</c:v>
                </c:pt>
                <c:pt idx="96">
                  <c:v>630.03800000000001</c:v>
                </c:pt>
                <c:pt idx="97">
                  <c:v>636.29200000000003</c:v>
                </c:pt>
                <c:pt idx="98">
                  <c:v>642.43200000000002</c:v>
                </c:pt>
                <c:pt idx="99">
                  <c:v>648.59</c:v>
                </c:pt>
                <c:pt idx="100">
                  <c:v>654.86</c:v>
                </c:pt>
                <c:pt idx="101">
                  <c:v>661.11800000000005</c:v>
                </c:pt>
                <c:pt idx="102">
                  <c:v>667.221</c:v>
                </c:pt>
                <c:pt idx="103">
                  <c:v>673.51599999999996</c:v>
                </c:pt>
                <c:pt idx="104">
                  <c:v>679.74</c:v>
                </c:pt>
                <c:pt idx="105">
                  <c:v>685.89499999999998</c:v>
                </c:pt>
                <c:pt idx="106">
                  <c:v>692.197</c:v>
                </c:pt>
              </c:numCache>
            </c:numRef>
          </c:xVal>
          <c:yVal>
            <c:numRef>
              <c:f>'Average comparison (2)'!$W$2:$W$109</c:f>
              <c:numCache>
                <c:formatCode>General</c:formatCode>
                <c:ptCount val="108"/>
                <c:pt idx="0">
                  <c:v>100</c:v>
                </c:pt>
                <c:pt idx="1">
                  <c:v>100.3690073018421</c:v>
                </c:pt>
                <c:pt idx="2">
                  <c:v>101.02382397275025</c:v>
                </c:pt>
                <c:pt idx="3">
                  <c:v>101.41044966035668</c:v>
                </c:pt>
                <c:pt idx="4">
                  <c:v>101.94389522933265</c:v>
                </c:pt>
                <c:pt idx="5">
                  <c:v>102.28255975569172</c:v>
                </c:pt>
                <c:pt idx="6">
                  <c:v>102.83460250964116</c:v>
                </c:pt>
                <c:pt idx="7">
                  <c:v>103.28289254742282</c:v>
                </c:pt>
                <c:pt idx="8">
                  <c:v>103.74194937650489</c:v>
                </c:pt>
                <c:pt idx="9">
                  <c:v>104.15793904038526</c:v>
                </c:pt>
                <c:pt idx="10">
                  <c:v>104.79122212869252</c:v>
                </c:pt>
                <c:pt idx="11">
                  <c:v>105.19840259969071</c:v>
                </c:pt>
                <c:pt idx="12">
                  <c:v>105.67507781453713</c:v>
                </c:pt>
                <c:pt idx="13">
                  <c:v>106.27801812736135</c:v>
                </c:pt>
                <c:pt idx="14">
                  <c:v>106.6969441888691</c:v>
                </c:pt>
                <c:pt idx="15">
                  <c:v>107.20200458078028</c:v>
                </c:pt>
                <c:pt idx="16">
                  <c:v>107.5935242644324</c:v>
                </c:pt>
                <c:pt idx="17">
                  <c:v>108.01049272752188</c:v>
                </c:pt>
                <c:pt idx="18">
                  <c:v>108.50576512734177</c:v>
                </c:pt>
                <c:pt idx="19">
                  <c:v>109.24671612865336</c:v>
                </c:pt>
                <c:pt idx="20">
                  <c:v>109.88097801616976</c:v>
                </c:pt>
                <c:pt idx="21">
                  <c:v>110.42323277802792</c:v>
                </c:pt>
                <c:pt idx="22">
                  <c:v>111.04672787424389</c:v>
                </c:pt>
                <c:pt idx="23">
                  <c:v>111.59974942740247</c:v>
                </c:pt>
                <c:pt idx="24">
                  <c:v>112.27707848012058</c:v>
                </c:pt>
                <c:pt idx="25">
                  <c:v>112.96908952097566</c:v>
                </c:pt>
                <c:pt idx="26">
                  <c:v>113.56517823933598</c:v>
                </c:pt>
                <c:pt idx="27">
                  <c:v>114.18280054029717</c:v>
                </c:pt>
                <c:pt idx="28">
                  <c:v>114.98150069494744</c:v>
                </c:pt>
                <c:pt idx="29">
                  <c:v>0.70472172738484429</c:v>
                </c:pt>
                <c:pt idx="30">
                  <c:v>0.68165730282089931</c:v>
                </c:pt>
                <c:pt idx="31">
                  <c:v>0.65160816710060099</c:v>
                </c:pt>
                <c:pt idx="32">
                  <c:v>0.62996104379147655</c:v>
                </c:pt>
                <c:pt idx="33">
                  <c:v>0.61389796997044033</c:v>
                </c:pt>
                <c:pt idx="34">
                  <c:v>0.6003562829121234</c:v>
                </c:pt>
                <c:pt idx="35">
                  <c:v>0.58806354364465674</c:v>
                </c:pt>
                <c:pt idx="36">
                  <c:v>0.57889415265352462</c:v>
                </c:pt>
                <c:pt idx="37">
                  <c:v>0.57003895620852341</c:v>
                </c:pt>
                <c:pt idx="38">
                  <c:v>0.55922028855000694</c:v>
                </c:pt>
                <c:pt idx="39">
                  <c:v>60.580232171172398</c:v>
                </c:pt>
                <c:pt idx="40">
                  <c:v>62.446508623221028</c:v>
                </c:pt>
                <c:pt idx="41">
                  <c:v>63.57340015269267</c:v>
                </c:pt>
                <c:pt idx="42">
                  <c:v>64.35751619912692</c:v>
                </c:pt>
                <c:pt idx="43">
                  <c:v>64.921108783744103</c:v>
                </c:pt>
                <c:pt idx="44">
                  <c:v>65.513086545426063</c:v>
                </c:pt>
                <c:pt idx="45">
                  <c:v>65.973807333163677</c:v>
                </c:pt>
                <c:pt idx="46">
                  <c:v>66.35563690464538</c:v>
                </c:pt>
                <c:pt idx="47">
                  <c:v>66.813421294755599</c:v>
                </c:pt>
                <c:pt idx="48">
                  <c:v>67.185169234383267</c:v>
                </c:pt>
                <c:pt idx="49">
                  <c:v>67.425953839829305</c:v>
                </c:pt>
                <c:pt idx="50">
                  <c:v>67.803280934949001</c:v>
                </c:pt>
                <c:pt idx="51">
                  <c:v>68.046023138813311</c:v>
                </c:pt>
                <c:pt idx="52">
                  <c:v>68.366677759724382</c:v>
                </c:pt>
                <c:pt idx="53">
                  <c:v>68.690366658183748</c:v>
                </c:pt>
                <c:pt idx="54">
                  <c:v>68.895914492101085</c:v>
                </c:pt>
                <c:pt idx="55">
                  <c:v>69.127008985376733</c:v>
                </c:pt>
                <c:pt idx="56">
                  <c:v>69.487109214415753</c:v>
                </c:pt>
                <c:pt idx="57">
                  <c:v>69.814321790028004</c:v>
                </c:pt>
                <c:pt idx="58">
                  <c:v>70.030538535324865</c:v>
                </c:pt>
                <c:pt idx="59">
                  <c:v>70.097977800833945</c:v>
                </c:pt>
                <c:pt idx="60">
                  <c:v>70.508975588747731</c:v>
                </c:pt>
                <c:pt idx="61">
                  <c:v>70.802321711724062</c:v>
                </c:pt>
                <c:pt idx="62">
                  <c:v>71.081279486326181</c:v>
                </c:pt>
                <c:pt idx="63">
                  <c:v>71.303760546561477</c:v>
                </c:pt>
                <c:pt idx="64">
                  <c:v>71.611103498228374</c:v>
                </c:pt>
                <c:pt idx="65">
                  <c:v>71.923829845545484</c:v>
                </c:pt>
                <c:pt idx="66">
                  <c:v>72.157762856527626</c:v>
                </c:pt>
                <c:pt idx="67">
                  <c:v>72.415774328054354</c:v>
                </c:pt>
                <c:pt idx="68">
                  <c:v>0.53494998336041344</c:v>
                </c:pt>
                <c:pt idx="69">
                  <c:v>0.5327799855137717</c:v>
                </c:pt>
                <c:pt idx="70">
                  <c:v>0.52647358220934559</c:v>
                </c:pt>
                <c:pt idx="71">
                  <c:v>0.52163439891940577</c:v>
                </c:pt>
                <c:pt idx="72">
                  <c:v>0.51749799346162129</c:v>
                </c:pt>
                <c:pt idx="73">
                  <c:v>0.51371884971516946</c:v>
                </c:pt>
                <c:pt idx="74">
                  <c:v>0.51030773447135058</c:v>
                </c:pt>
                <c:pt idx="75">
                  <c:v>0.50701603273104556</c:v>
                </c:pt>
                <c:pt idx="76">
                  <c:v>0.50430182252412747</c:v>
                </c:pt>
                <c:pt idx="77">
                  <c:v>0.50284145410410519</c:v>
                </c:pt>
                <c:pt idx="78">
                  <c:v>61.179061527318289</c:v>
                </c:pt>
                <c:pt idx="79">
                  <c:v>62.967229802478322</c:v>
                </c:pt>
                <c:pt idx="80">
                  <c:v>64.136796977468038</c:v>
                </c:pt>
                <c:pt idx="81">
                  <c:v>65.190180686334003</c:v>
                </c:pt>
                <c:pt idx="82">
                  <c:v>66.014133860579832</c:v>
                </c:pt>
                <c:pt idx="83">
                  <c:v>66.660239218526712</c:v>
                </c:pt>
                <c:pt idx="84">
                  <c:v>67.177240960789291</c:v>
                </c:pt>
                <c:pt idx="85">
                  <c:v>67.703932815222288</c:v>
                </c:pt>
                <c:pt idx="86">
                  <c:v>68.31401836227316</c:v>
                </c:pt>
                <c:pt idx="87">
                  <c:v>68.648474052032952</c:v>
                </c:pt>
                <c:pt idx="88">
                  <c:v>69.108705440166005</c:v>
                </c:pt>
                <c:pt idx="89">
                  <c:v>69.658692715776297</c:v>
                </c:pt>
                <c:pt idx="90">
                  <c:v>69.947144842706976</c:v>
                </c:pt>
                <c:pt idx="91">
                  <c:v>70.174030499383349</c:v>
                </c:pt>
                <c:pt idx="92">
                  <c:v>70.64943327525792</c:v>
                </c:pt>
                <c:pt idx="93">
                  <c:v>71.036156842785275</c:v>
                </c:pt>
                <c:pt idx="94">
                  <c:v>71.297398351702128</c:v>
                </c:pt>
                <c:pt idx="95">
                  <c:v>71.51420237652448</c:v>
                </c:pt>
                <c:pt idx="96">
                  <c:v>71.816259812462064</c:v>
                </c:pt>
                <c:pt idx="97">
                  <c:v>72.161188653759581</c:v>
                </c:pt>
                <c:pt idx="98">
                  <c:v>72.545171583501372</c:v>
                </c:pt>
                <c:pt idx="99">
                  <c:v>73.001096255114234</c:v>
                </c:pt>
                <c:pt idx="100">
                  <c:v>73.424329033142143</c:v>
                </c:pt>
                <c:pt idx="101">
                  <c:v>73.658849323649761</c:v>
                </c:pt>
                <c:pt idx="102">
                  <c:v>74.220582189769587</c:v>
                </c:pt>
                <c:pt idx="103">
                  <c:v>74.570796546796387</c:v>
                </c:pt>
                <c:pt idx="104">
                  <c:v>75.003230037390139</c:v>
                </c:pt>
                <c:pt idx="105">
                  <c:v>75.510933187165989</c:v>
                </c:pt>
                <c:pt idx="106">
                  <c:v>76.011393222794283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9A-4F89-8B5B-ACC1ADB34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4162912"/>
        <c:axId val="874023968"/>
      </c:scatterChart>
      <c:valAx>
        <c:axId val="8741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023968"/>
        <c:crosses val="autoZero"/>
        <c:crossBetween val="midCat"/>
      </c:valAx>
      <c:valAx>
        <c:axId val="8740239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62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Recovery!$A$2</c:f>
              <c:strCache>
                <c:ptCount val="1"/>
                <c:pt idx="0">
                  <c:v>Damage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Recovery!$B$1:$I$1</c:f>
              <c:strCache>
                <c:ptCount val="8"/>
                <c:pt idx="0">
                  <c:v>WT Parafilm-</c:v>
                </c:pt>
                <c:pt idx="1">
                  <c:v>WT Parafilm+</c:v>
                </c:pt>
                <c:pt idx="2">
                  <c:v>Spore- Parafilm-</c:v>
                </c:pt>
                <c:pt idx="3">
                  <c:v>Spore- Parafilm+</c:v>
                </c:pt>
                <c:pt idx="4">
                  <c:v>PGA- Parafilm-</c:v>
                </c:pt>
                <c:pt idx="5">
                  <c:v>PGA- Parafilm+</c:v>
                </c:pt>
                <c:pt idx="6">
                  <c:v>EPS- Parafilm-</c:v>
                </c:pt>
                <c:pt idx="7">
                  <c:v>EPS- Parafilm+</c:v>
                </c:pt>
              </c:strCache>
            </c:strRef>
          </c:cat>
          <c:val>
            <c:numRef>
              <c:f>Recovery!$B$2:$I$2</c:f>
              <c:numCache>
                <c:formatCode>General</c:formatCode>
                <c:ptCount val="8"/>
                <c:pt idx="0">
                  <c:v>0.53768718321375697</c:v>
                </c:pt>
                <c:pt idx="1">
                  <c:v>0</c:v>
                </c:pt>
                <c:pt idx="2">
                  <c:v>0.49848582979462658</c:v>
                </c:pt>
                <c:pt idx="3">
                  <c:v>0</c:v>
                </c:pt>
                <c:pt idx="4">
                  <c:v>0.13191647438831117</c:v>
                </c:pt>
                <c:pt idx="5">
                  <c:v>0</c:v>
                </c:pt>
                <c:pt idx="6">
                  <c:v>0.57593097343387134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A-C646-97AF-392AC6722DA3}"/>
            </c:ext>
          </c:extLst>
        </c:ser>
        <c:ser>
          <c:idx val="1"/>
          <c:order val="1"/>
          <c:tx>
            <c:strRef>
              <c:f>Recovery!$A$4</c:f>
              <c:strCache>
                <c:ptCount val="1"/>
                <c:pt idx="0">
                  <c:v>Damage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Recovery!$B$1:$I$1</c:f>
              <c:strCache>
                <c:ptCount val="8"/>
                <c:pt idx="0">
                  <c:v>WT Parafilm-</c:v>
                </c:pt>
                <c:pt idx="1">
                  <c:v>WT Parafilm+</c:v>
                </c:pt>
                <c:pt idx="2">
                  <c:v>Spore- Parafilm-</c:v>
                </c:pt>
                <c:pt idx="3">
                  <c:v>Spore- Parafilm+</c:v>
                </c:pt>
                <c:pt idx="4">
                  <c:v>PGA- Parafilm-</c:v>
                </c:pt>
                <c:pt idx="5">
                  <c:v>PGA- Parafilm+</c:v>
                </c:pt>
                <c:pt idx="6">
                  <c:v>EPS- Parafilm-</c:v>
                </c:pt>
                <c:pt idx="7">
                  <c:v>EPS- Parafilm+</c:v>
                </c:pt>
              </c:strCache>
            </c:strRef>
          </c:cat>
          <c:val>
            <c:numRef>
              <c:f>Recovery!$B$4:$I$4</c:f>
              <c:numCache>
                <c:formatCode>General</c:formatCode>
                <c:ptCount val="8"/>
                <c:pt idx="0">
                  <c:v>0.47385869576951106</c:v>
                </c:pt>
                <c:pt idx="1">
                  <c:v>0</c:v>
                </c:pt>
                <c:pt idx="2">
                  <c:v>0.44247901838950288</c:v>
                </c:pt>
                <c:pt idx="3">
                  <c:v>0</c:v>
                </c:pt>
                <c:pt idx="4">
                  <c:v>0.12976466847146034</c:v>
                </c:pt>
                <c:pt idx="5">
                  <c:v>0</c:v>
                </c:pt>
                <c:pt idx="6">
                  <c:v>0.47982080215907535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A-C646-97AF-392AC6722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267983"/>
        <c:axId val="1352788815"/>
      </c:barChart>
      <c:catAx>
        <c:axId val="135326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788815"/>
        <c:crosses val="autoZero"/>
        <c:auto val="1"/>
        <c:lblAlgn val="ctr"/>
        <c:lblOffset val="100"/>
        <c:noMultiLvlLbl val="0"/>
      </c:catAx>
      <c:valAx>
        <c:axId val="13527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6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Recovery!$A$3</c:f>
              <c:strCache>
                <c:ptCount val="1"/>
                <c:pt idx="0">
                  <c:v>Recovery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Recovery!$B$1:$I$1</c:f>
              <c:strCache>
                <c:ptCount val="8"/>
                <c:pt idx="0">
                  <c:v>WT Parafilm-</c:v>
                </c:pt>
                <c:pt idx="1">
                  <c:v>WT Parafilm+</c:v>
                </c:pt>
                <c:pt idx="2">
                  <c:v>Spore- Parafilm-</c:v>
                </c:pt>
                <c:pt idx="3">
                  <c:v>Spore- Parafilm+</c:v>
                </c:pt>
                <c:pt idx="4">
                  <c:v>PGA- Parafilm-</c:v>
                </c:pt>
                <c:pt idx="5">
                  <c:v>PGA- Parafilm+</c:v>
                </c:pt>
                <c:pt idx="6">
                  <c:v>EPS- Parafilm-</c:v>
                </c:pt>
                <c:pt idx="7">
                  <c:v>EPS- Parafilm+</c:v>
                </c:pt>
              </c:strCache>
            </c:strRef>
          </c:cat>
          <c:val>
            <c:numRef>
              <c:f>Recovery!$B$3:$I$3</c:f>
              <c:numCache>
                <c:formatCode>General</c:formatCode>
                <c:ptCount val="8"/>
                <c:pt idx="0">
                  <c:v>69.902632358190274</c:v>
                </c:pt>
                <c:pt idx="1">
                  <c:v>0</c:v>
                </c:pt>
                <c:pt idx="2">
                  <c:v>75.188468813193083</c:v>
                </c:pt>
                <c:pt idx="3">
                  <c:v>0</c:v>
                </c:pt>
                <c:pt idx="4">
                  <c:v>123.09191689720942</c:v>
                </c:pt>
                <c:pt idx="5">
                  <c:v>0</c:v>
                </c:pt>
                <c:pt idx="6">
                  <c:v>141.90587861285289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E-FE42-AF31-D18163096AD8}"/>
            </c:ext>
          </c:extLst>
        </c:ser>
        <c:ser>
          <c:idx val="1"/>
          <c:order val="1"/>
          <c:tx>
            <c:strRef>
              <c:f>Recovery!$A$5</c:f>
              <c:strCache>
                <c:ptCount val="1"/>
                <c:pt idx="0">
                  <c:v>Recovery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Recovery!$B$1:$I$1</c:f>
              <c:strCache>
                <c:ptCount val="8"/>
                <c:pt idx="0">
                  <c:v>WT Parafilm-</c:v>
                </c:pt>
                <c:pt idx="1">
                  <c:v>WT Parafilm+</c:v>
                </c:pt>
                <c:pt idx="2">
                  <c:v>Spore- Parafilm-</c:v>
                </c:pt>
                <c:pt idx="3">
                  <c:v>Spore- Parafilm+</c:v>
                </c:pt>
                <c:pt idx="4">
                  <c:v>PGA- Parafilm-</c:v>
                </c:pt>
                <c:pt idx="5">
                  <c:v>PGA- Parafilm+</c:v>
                </c:pt>
                <c:pt idx="6">
                  <c:v>EPS- Parafilm-</c:v>
                </c:pt>
                <c:pt idx="7">
                  <c:v>EPS- Parafilm+</c:v>
                </c:pt>
              </c:strCache>
            </c:strRef>
          </c:cat>
          <c:val>
            <c:numRef>
              <c:f>Recovery!$B$5:$I$5</c:f>
              <c:numCache>
                <c:formatCode>General</c:formatCode>
                <c:ptCount val="8"/>
                <c:pt idx="0">
                  <c:v>72.00588533225239</c:v>
                </c:pt>
                <c:pt idx="1">
                  <c:v>0</c:v>
                </c:pt>
                <c:pt idx="2">
                  <c:v>78.793239476793076</c:v>
                </c:pt>
                <c:pt idx="3">
                  <c:v>0</c:v>
                </c:pt>
                <c:pt idx="4">
                  <c:v>113.42184880046027</c:v>
                </c:pt>
                <c:pt idx="5">
                  <c:v>0</c:v>
                </c:pt>
                <c:pt idx="6">
                  <c:v>113.82406898778014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E-FE42-AF31-D18163096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2516527"/>
        <c:axId val="1352931551"/>
      </c:barChart>
      <c:catAx>
        <c:axId val="120251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931551"/>
        <c:crosses val="autoZero"/>
        <c:auto val="1"/>
        <c:lblAlgn val="ctr"/>
        <c:lblOffset val="100"/>
        <c:noMultiLvlLbl val="0"/>
      </c:catAx>
      <c:valAx>
        <c:axId val="135293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51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514350</xdr:colOff>
      <xdr:row>1</xdr:row>
      <xdr:rowOff>127000</xdr:rowOff>
    </xdr:from>
    <xdr:to>
      <xdr:col>38</xdr:col>
      <xdr:colOff>514350</xdr:colOff>
      <xdr:row>24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826B1F-B088-CBE1-13D7-76F480F05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406400</xdr:colOff>
      <xdr:row>26</xdr:row>
      <xdr:rowOff>82550</xdr:rowOff>
    </xdr:from>
    <xdr:to>
      <xdr:col>38</xdr:col>
      <xdr:colOff>444500</xdr:colOff>
      <xdr:row>43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F85E83-2F23-9378-AEA0-F69F6E680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219074</xdr:colOff>
      <xdr:row>1</xdr:row>
      <xdr:rowOff>168274</xdr:rowOff>
    </xdr:from>
    <xdr:to>
      <xdr:col>50</xdr:col>
      <xdr:colOff>425449</xdr:colOff>
      <xdr:row>24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851CE-B700-4AB8-8C71-2DE98BF56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136524</xdr:colOff>
      <xdr:row>26</xdr:row>
      <xdr:rowOff>85724</xdr:rowOff>
    </xdr:from>
    <xdr:to>
      <xdr:col>50</xdr:col>
      <xdr:colOff>565149</xdr:colOff>
      <xdr:row>44</xdr:row>
      <xdr:rowOff>31749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1BD27-4638-4056-A51B-4CA0B41C1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514350</xdr:colOff>
      <xdr:row>1</xdr:row>
      <xdr:rowOff>127000</xdr:rowOff>
    </xdr:from>
    <xdr:to>
      <xdr:col>38</xdr:col>
      <xdr:colOff>514350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293E4-551D-4ED9-A606-CB10CBC35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406400</xdr:colOff>
      <xdr:row>26</xdr:row>
      <xdr:rowOff>82550</xdr:rowOff>
    </xdr:from>
    <xdr:to>
      <xdr:col>38</xdr:col>
      <xdr:colOff>444500</xdr:colOff>
      <xdr:row>43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755621-8A05-4FBF-85EA-B19B341BC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219074</xdr:colOff>
      <xdr:row>1</xdr:row>
      <xdr:rowOff>168274</xdr:rowOff>
    </xdr:from>
    <xdr:to>
      <xdr:col>50</xdr:col>
      <xdr:colOff>425449</xdr:colOff>
      <xdr:row>24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B429D1-9238-4A77-BA19-92C4C6BA2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136524</xdr:colOff>
      <xdr:row>26</xdr:row>
      <xdr:rowOff>85724</xdr:rowOff>
    </xdr:from>
    <xdr:to>
      <xdr:col>50</xdr:col>
      <xdr:colOff>565149</xdr:colOff>
      <xdr:row>44</xdr:row>
      <xdr:rowOff>31749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DA06A0-44A6-4F9A-980D-BFE5B9DA4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514350</xdr:colOff>
      <xdr:row>1</xdr:row>
      <xdr:rowOff>127000</xdr:rowOff>
    </xdr:from>
    <xdr:to>
      <xdr:col>38</xdr:col>
      <xdr:colOff>514350</xdr:colOff>
      <xdr:row>24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68E43-2E06-4BFB-A4C8-8BE0E412A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406400</xdr:colOff>
      <xdr:row>26</xdr:row>
      <xdr:rowOff>82550</xdr:rowOff>
    </xdr:from>
    <xdr:to>
      <xdr:col>38</xdr:col>
      <xdr:colOff>444500</xdr:colOff>
      <xdr:row>47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3CB146-33C5-46D3-909E-46148E577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219074</xdr:colOff>
      <xdr:row>1</xdr:row>
      <xdr:rowOff>168274</xdr:rowOff>
    </xdr:from>
    <xdr:to>
      <xdr:col>50</xdr:col>
      <xdr:colOff>425449</xdr:colOff>
      <xdr:row>24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02C890-B10D-45FE-B98C-E846959F0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136524</xdr:colOff>
      <xdr:row>26</xdr:row>
      <xdr:rowOff>85724</xdr:rowOff>
    </xdr:from>
    <xdr:to>
      <xdr:col>50</xdr:col>
      <xdr:colOff>565149</xdr:colOff>
      <xdr:row>48</xdr:row>
      <xdr:rowOff>31749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9E3BBF-95EE-48FD-B02C-AC3ABDA79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184150</xdr:colOff>
      <xdr:row>1</xdr:row>
      <xdr:rowOff>57150</xdr:rowOff>
    </xdr:from>
    <xdr:to>
      <xdr:col>37</xdr:col>
      <xdr:colOff>317500</xdr:colOff>
      <xdr:row>26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AB1470-14E5-42C2-1EAC-249D6F7C1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171450</xdr:colOff>
      <xdr:row>28</xdr:row>
      <xdr:rowOff>133350</xdr:rowOff>
    </xdr:from>
    <xdr:to>
      <xdr:col>37</xdr:col>
      <xdr:colOff>292100</xdr:colOff>
      <xdr:row>50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F24BCC-5B85-6845-FA60-E7A5F0018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587374</xdr:colOff>
      <xdr:row>1</xdr:row>
      <xdr:rowOff>111124</xdr:rowOff>
    </xdr:from>
    <xdr:to>
      <xdr:col>49</xdr:col>
      <xdr:colOff>514349</xdr:colOff>
      <xdr:row>26</xdr:row>
      <xdr:rowOff>139699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4D22C-9D76-4E4A-85B1-77A2F8348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66674</xdr:colOff>
      <xdr:row>28</xdr:row>
      <xdr:rowOff>123824</xdr:rowOff>
    </xdr:from>
    <xdr:to>
      <xdr:col>50</xdr:col>
      <xdr:colOff>25399</xdr:colOff>
      <xdr:row>50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40B3EE-617E-4542-94FA-E00F63153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184150</xdr:colOff>
      <xdr:row>1</xdr:row>
      <xdr:rowOff>57150</xdr:rowOff>
    </xdr:from>
    <xdr:to>
      <xdr:col>37</xdr:col>
      <xdr:colOff>317500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C4913-49CF-4E73-8E80-B775BA6A3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171450</xdr:colOff>
      <xdr:row>28</xdr:row>
      <xdr:rowOff>133350</xdr:rowOff>
    </xdr:from>
    <xdr:to>
      <xdr:col>37</xdr:col>
      <xdr:colOff>292100</xdr:colOff>
      <xdr:row>50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A8CBCF-C20D-4708-B9FE-DCFA8A16D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587374</xdr:colOff>
      <xdr:row>1</xdr:row>
      <xdr:rowOff>111124</xdr:rowOff>
    </xdr:from>
    <xdr:to>
      <xdr:col>49</xdr:col>
      <xdr:colOff>514349</xdr:colOff>
      <xdr:row>26</xdr:row>
      <xdr:rowOff>139699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3584CD-1F35-4A98-92AD-B0F3DCC06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66674</xdr:colOff>
      <xdr:row>28</xdr:row>
      <xdr:rowOff>123824</xdr:rowOff>
    </xdr:from>
    <xdr:to>
      <xdr:col>50</xdr:col>
      <xdr:colOff>25399</xdr:colOff>
      <xdr:row>50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AD6897-0DB1-48A4-A786-4DF632F49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241300</xdr:colOff>
      <xdr:row>0</xdr:row>
      <xdr:rowOff>349250</xdr:rowOff>
    </xdr:from>
    <xdr:to>
      <xdr:col>51</xdr:col>
      <xdr:colOff>171450</xdr:colOff>
      <xdr:row>24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42ACC4-F5E8-F472-791A-772F26A4E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44450</xdr:colOff>
      <xdr:row>27</xdr:row>
      <xdr:rowOff>177800</xdr:rowOff>
    </xdr:from>
    <xdr:to>
      <xdr:col>50</xdr:col>
      <xdr:colOff>546100</xdr:colOff>
      <xdr:row>49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C52039-C816-8AC5-2291-82EC0ADDB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396874</xdr:colOff>
      <xdr:row>0</xdr:row>
      <xdr:rowOff>352424</xdr:rowOff>
    </xdr:from>
    <xdr:to>
      <xdr:col>62</xdr:col>
      <xdr:colOff>425449</xdr:colOff>
      <xdr:row>24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F5201D-74E8-4B71-9660-26FB76C45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517524</xdr:colOff>
      <xdr:row>27</xdr:row>
      <xdr:rowOff>155574</xdr:rowOff>
    </xdr:from>
    <xdr:to>
      <xdr:col>63</xdr:col>
      <xdr:colOff>44449</xdr:colOff>
      <xdr:row>48</xdr:row>
      <xdr:rowOff>101599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B5F931-ED0B-4FE9-96BF-F1AF126EE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666750</xdr:colOff>
      <xdr:row>1</xdr:row>
      <xdr:rowOff>44450</xdr:rowOff>
    </xdr:from>
    <xdr:to>
      <xdr:col>36</xdr:col>
      <xdr:colOff>546100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9BF84-868D-4733-B29A-57576409C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57150</xdr:colOff>
      <xdr:row>26</xdr:row>
      <xdr:rowOff>171450</xdr:rowOff>
    </xdr:from>
    <xdr:to>
      <xdr:col>36</xdr:col>
      <xdr:colOff>558800</xdr:colOff>
      <xdr:row>48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F71ED5-76E6-4027-BCD9-22AEF0B64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142874</xdr:colOff>
      <xdr:row>1</xdr:row>
      <xdr:rowOff>92074</xdr:rowOff>
    </xdr:from>
    <xdr:to>
      <xdr:col>48</xdr:col>
      <xdr:colOff>146049</xdr:colOff>
      <xdr:row>24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DC50B8-9446-4421-A64F-289B4B67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155574</xdr:colOff>
      <xdr:row>26</xdr:row>
      <xdr:rowOff>161924</xdr:rowOff>
    </xdr:from>
    <xdr:to>
      <xdr:col>48</xdr:col>
      <xdr:colOff>253999</xdr:colOff>
      <xdr:row>46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3B85B2-C177-44C5-9768-5002CDF32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76200</xdr:colOff>
      <xdr:row>1</xdr:row>
      <xdr:rowOff>69850</xdr:rowOff>
    </xdr:from>
    <xdr:to>
      <xdr:col>45</xdr:col>
      <xdr:colOff>146050</xdr:colOff>
      <xdr:row>25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08CC8-1CDE-929F-FBD1-A90038E55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57150</xdr:colOff>
      <xdr:row>27</xdr:row>
      <xdr:rowOff>177800</xdr:rowOff>
    </xdr:from>
    <xdr:to>
      <xdr:col>42</xdr:col>
      <xdr:colOff>107950</xdr:colOff>
      <xdr:row>49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59DA35-633C-F41F-79DD-B4A26C25E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577850</xdr:colOff>
      <xdr:row>7</xdr:row>
      <xdr:rowOff>171450</xdr:rowOff>
    </xdr:from>
    <xdr:to>
      <xdr:col>34</xdr:col>
      <xdr:colOff>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2CF06-D3B0-4CF2-58D9-7A697F0AB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76200</xdr:colOff>
      <xdr:row>1</xdr:row>
      <xdr:rowOff>69850</xdr:rowOff>
    </xdr:from>
    <xdr:to>
      <xdr:col>45</xdr:col>
      <xdr:colOff>146050</xdr:colOff>
      <xdr:row>25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B3449-AAF3-434D-8E7C-B28B21CAF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57150</xdr:colOff>
      <xdr:row>27</xdr:row>
      <xdr:rowOff>177800</xdr:rowOff>
    </xdr:from>
    <xdr:to>
      <xdr:col>42</xdr:col>
      <xdr:colOff>107950</xdr:colOff>
      <xdr:row>49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103145-DCA1-4A91-B789-B5645E112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577850</xdr:colOff>
      <xdr:row>7</xdr:row>
      <xdr:rowOff>171450</xdr:rowOff>
    </xdr:from>
    <xdr:to>
      <xdr:col>34</xdr:col>
      <xdr:colOff>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6B2216-37E4-45B3-9C0C-3ACC76F06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76200</xdr:colOff>
      <xdr:row>1</xdr:row>
      <xdr:rowOff>69850</xdr:rowOff>
    </xdr:from>
    <xdr:to>
      <xdr:col>45</xdr:col>
      <xdr:colOff>146050</xdr:colOff>
      <xdr:row>25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85BAB-5736-4172-87F4-0AEDAA120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57150</xdr:colOff>
      <xdr:row>27</xdr:row>
      <xdr:rowOff>177800</xdr:rowOff>
    </xdr:from>
    <xdr:to>
      <xdr:col>42</xdr:col>
      <xdr:colOff>107950</xdr:colOff>
      <xdr:row>49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128F70-7F82-469A-8F49-B32893096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577850</xdr:colOff>
      <xdr:row>7</xdr:row>
      <xdr:rowOff>171450</xdr:rowOff>
    </xdr:from>
    <xdr:to>
      <xdr:col>34</xdr:col>
      <xdr:colOff>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29F4D6-28A3-4454-9BB4-71EC05EC8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476250</xdr:colOff>
      <xdr:row>20</xdr:row>
      <xdr:rowOff>6350</xdr:rowOff>
    </xdr:from>
    <xdr:to>
      <xdr:col>42</xdr:col>
      <xdr:colOff>546100</xdr:colOff>
      <xdr:row>44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4C6F3-1621-44C8-AD51-D7F6F57F7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203200</xdr:colOff>
      <xdr:row>37</xdr:row>
      <xdr:rowOff>31750</xdr:rowOff>
    </xdr:from>
    <xdr:to>
      <xdr:col>35</xdr:col>
      <xdr:colOff>254000</xdr:colOff>
      <xdr:row>58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6E9DEF-CCEB-4AC1-8A81-2CE7E1DCD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508000</xdr:colOff>
      <xdr:row>1</xdr:row>
      <xdr:rowOff>127000</xdr:rowOff>
    </xdr:from>
    <xdr:to>
      <xdr:col>33</xdr:col>
      <xdr:colOff>546100</xdr:colOff>
      <xdr:row>21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FF9E59-9022-4239-B034-1EC3805F4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474869</xdr:colOff>
      <xdr:row>3</xdr:row>
      <xdr:rowOff>33684</xdr:rowOff>
    </xdr:from>
    <xdr:to>
      <xdr:col>25</xdr:col>
      <xdr:colOff>143565</xdr:colOff>
      <xdr:row>26</xdr:row>
      <xdr:rowOff>93870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A558C-822C-F14C-C6D1-DBFD10ECE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458303</xdr:colOff>
      <xdr:row>27</xdr:row>
      <xdr:rowOff>50247</xdr:rowOff>
    </xdr:from>
    <xdr:to>
      <xdr:col>25</xdr:col>
      <xdr:colOff>182216</xdr:colOff>
      <xdr:row>47</xdr:row>
      <xdr:rowOff>176696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60BE36-D702-5B34-C9AA-3B152F0B7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521804</xdr:colOff>
      <xdr:row>29</xdr:row>
      <xdr:rowOff>66812</xdr:rowOff>
    </xdr:from>
    <xdr:to>
      <xdr:col>37</xdr:col>
      <xdr:colOff>171174</xdr:colOff>
      <xdr:row>49</xdr:row>
      <xdr:rowOff>165651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43388-663C-49E9-8C9E-790F62CCF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320260</xdr:colOff>
      <xdr:row>1</xdr:row>
      <xdr:rowOff>75094</xdr:rowOff>
    </xdr:from>
    <xdr:to>
      <xdr:col>35</xdr:col>
      <xdr:colOff>88347</xdr:colOff>
      <xdr:row>25</xdr:row>
      <xdr:rowOff>176694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7054DE-BC47-497E-8F71-3C8DDEFAF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10</xdr:row>
      <xdr:rowOff>6350</xdr:rowOff>
    </xdr:from>
    <xdr:to>
      <xdr:col>9</xdr:col>
      <xdr:colOff>215900</xdr:colOff>
      <xdr:row>34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655B21-661C-39FA-2278-3A4F9DE7C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641350</xdr:colOff>
      <xdr:row>9</xdr:row>
      <xdr:rowOff>146050</xdr:rowOff>
    </xdr:from>
    <xdr:to>
      <xdr:col>19</xdr:col>
      <xdr:colOff>139700</xdr:colOff>
      <xdr:row>33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4FA580-2C01-C899-06C3-C50B25312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AEF8-2B69-4C1C-9240-C2387B62EE60}">
  <dimension ref="A1:X109"/>
  <sheetViews>
    <sheetView zoomScaleNormal="100" workbookViewId="0">
      <selection activeCell="W59" sqref="W59"/>
    </sheetView>
  </sheetViews>
  <sheetFormatPr defaultColWidth="8.81640625" defaultRowHeight="14.5" x14ac:dyDescent="0.35"/>
  <cols>
    <col min="1" max="1" width="9.453125" bestFit="1" customWidth="1"/>
    <col min="2" max="3" width="12.453125" bestFit="1" customWidth="1"/>
    <col min="4" max="5" width="12.453125" customWidth="1"/>
    <col min="7" max="8" width="12.1796875" bestFit="1" customWidth="1"/>
    <col min="9" max="10" width="12.453125" customWidth="1"/>
    <col min="12" max="13" width="11.81640625" bestFit="1" customWidth="1"/>
    <col min="14" max="15" width="12.453125" customWidth="1"/>
    <col min="16" max="16" width="8.6328125" style="1"/>
    <col min="17" max="18" width="11.81640625" bestFit="1" customWidth="1"/>
    <col min="20" max="21" width="11.81640625" bestFit="1" customWidth="1"/>
    <col min="23" max="24" width="9.453125" bestFit="1" customWidth="1"/>
    <col min="26" max="27" width="11.81640625" bestFit="1" customWidth="1"/>
  </cols>
  <sheetData>
    <row r="1" spans="1:24" ht="29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s="2" t="s">
        <v>0</v>
      </c>
      <c r="H1" s="2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6.2696399999999999</v>
      </c>
      <c r="B3">
        <v>1.1883E-3</v>
      </c>
      <c r="C3">
        <v>2.0567099999999999E-4</v>
      </c>
      <c r="D3">
        <f>B3/$B$3*100</f>
        <v>100</v>
      </c>
      <c r="E3">
        <f>C3/$C$3*100</f>
        <v>100</v>
      </c>
      <c r="G3" s="7">
        <v>9.0278799999999996E-4</v>
      </c>
      <c r="H3" s="7">
        <v>1.72258E-4</v>
      </c>
      <c r="I3" s="6">
        <f>G3/$G$3*100</f>
        <v>100</v>
      </c>
      <c r="J3" s="6">
        <f>H3/$H$3*100</f>
        <v>100</v>
      </c>
      <c r="L3" s="7">
        <v>7.2271800000000001E-4</v>
      </c>
      <c r="M3" s="7">
        <v>1.4806899999999999E-4</v>
      </c>
      <c r="N3" s="6">
        <f>L3/$L$3*100</f>
        <v>100</v>
      </c>
      <c r="O3" s="6">
        <f>M3/$M$3*100</f>
        <v>100</v>
      </c>
      <c r="Q3">
        <f>AVERAGE(B3,G3,L3)</f>
        <v>9.3793533333333347E-4</v>
      </c>
      <c r="R3">
        <f>AVERAGE(C3,H3,M3)</f>
        <v>1.7533266666666666E-4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12.3698</v>
      </c>
      <c r="B4">
        <v>1.1864099999999999E-3</v>
      </c>
      <c r="C4">
        <v>2.0591500000000001E-4</v>
      </c>
      <c r="D4">
        <f t="shared" ref="D4:D67" si="0">B4/$B$3*100</f>
        <v>99.84094925523857</v>
      </c>
      <c r="E4">
        <f t="shared" ref="E4:E67" si="1">C4/$C$3*100</f>
        <v>100.11863607411837</v>
      </c>
      <c r="G4" s="7">
        <v>9.0132799999999996E-4</v>
      </c>
      <c r="H4" s="7">
        <v>1.7136399999999999E-4</v>
      </c>
      <c r="I4" s="6">
        <f t="shared" ref="I4:I67" si="2">G4/$G$3*100</f>
        <v>99.838278754259022</v>
      </c>
      <c r="J4" s="6">
        <f t="shared" ref="J4:J67" si="3">H4/$H$3*100</f>
        <v>99.481011041577162</v>
      </c>
      <c r="L4" s="7">
        <v>7.2598400000000005E-4</v>
      </c>
      <c r="M4" s="7">
        <v>1.47656E-4</v>
      </c>
      <c r="N4" s="6">
        <f t="shared" ref="N4:N67" si="4">L4/$L$3*100</f>
        <v>100.45190516909777</v>
      </c>
      <c r="O4" s="6">
        <f t="shared" ref="O4:O67" si="5">M4/$M$3*100</f>
        <v>99.721075984844916</v>
      </c>
      <c r="Q4">
        <f t="shared" ref="Q4:Q67" si="6">AVERAGE(B4,G4,L4)</f>
        <v>9.3790733333333346E-4</v>
      </c>
      <c r="R4">
        <f t="shared" ref="R4:R67" si="7">AVERAGE(C4,H4,M4)</f>
        <v>1.7497833333333335E-4</v>
      </c>
      <c r="T4">
        <f t="shared" ref="T4:T67" si="8">AVERAGE(D4,I4,N4)</f>
        <v>100.04371105953179</v>
      </c>
      <c r="U4">
        <f t="shared" ref="U4:U67" si="9">AVERAGE(E4,J4,O4)</f>
        <v>99.773574366846802</v>
      </c>
      <c r="W4">
        <f t="shared" ref="W4:W67" si="10">_xlfn.STDEV.P(D4,I4,N4)</f>
        <v>0.28863888188893827</v>
      </c>
      <c r="X4">
        <f t="shared" ref="X4:X67" si="11">_xlfn.STDEV.P(E4,J4,O4)</f>
        <v>0.26294293502001209</v>
      </c>
    </row>
    <row r="5" spans="1:24" x14ac:dyDescent="0.35">
      <c r="A5">
        <v>18.654</v>
      </c>
      <c r="B5">
        <v>1.18593E-3</v>
      </c>
      <c r="C5">
        <v>2.0465899999999999E-4</v>
      </c>
      <c r="D5">
        <f t="shared" si="0"/>
        <v>99.800555415299158</v>
      </c>
      <c r="E5">
        <f t="shared" si="1"/>
        <v>99.507952020459868</v>
      </c>
      <c r="G5" s="7">
        <v>9.0258700000000005E-4</v>
      </c>
      <c r="H5" s="7">
        <v>1.70426E-4</v>
      </c>
      <c r="I5" s="6">
        <f t="shared" si="2"/>
        <v>99.977735636716488</v>
      </c>
      <c r="J5" s="6">
        <f t="shared" si="3"/>
        <v>98.936479002426594</v>
      </c>
      <c r="L5" s="7">
        <v>7.2793399999999996E-4</v>
      </c>
      <c r="M5" s="7">
        <v>1.47236E-4</v>
      </c>
      <c r="N5" s="6">
        <f t="shared" si="4"/>
        <v>100.72171995162704</v>
      </c>
      <c r="O5" s="6">
        <f t="shared" si="5"/>
        <v>99.43742444400921</v>
      </c>
      <c r="Q5">
        <f t="shared" si="6"/>
        <v>9.3881699999999989E-4</v>
      </c>
      <c r="R5">
        <f t="shared" si="7"/>
        <v>1.7410699999999998E-4</v>
      </c>
      <c r="T5">
        <f t="shared" si="8"/>
        <v>100.16667033454756</v>
      </c>
      <c r="U5">
        <f t="shared" si="9"/>
        <v>99.293951822298553</v>
      </c>
      <c r="W5">
        <f t="shared" si="10"/>
        <v>0.39908918450260228</v>
      </c>
      <c r="X5">
        <f t="shared" si="11"/>
        <v>0.25440603697031322</v>
      </c>
    </row>
    <row r="6" spans="1:24" x14ac:dyDescent="0.35">
      <c r="A6">
        <v>24.779599999999999</v>
      </c>
      <c r="B6">
        <v>1.18735E-3</v>
      </c>
      <c r="C6">
        <v>2.04961E-4</v>
      </c>
      <c r="D6">
        <f t="shared" si="0"/>
        <v>99.920053858453244</v>
      </c>
      <c r="E6">
        <f t="shared" si="1"/>
        <v>99.654788472852289</v>
      </c>
      <c r="G6" s="7">
        <v>9.0287500000000003E-4</v>
      </c>
      <c r="H6" s="7">
        <v>1.6895899999999999E-4</v>
      </c>
      <c r="I6" s="6">
        <f t="shared" si="2"/>
        <v>100.00963681395854</v>
      </c>
      <c r="J6" s="6">
        <f t="shared" si="3"/>
        <v>98.084849469981066</v>
      </c>
      <c r="L6" s="7">
        <v>7.3027599999999997E-4</v>
      </c>
      <c r="M6" s="7">
        <v>1.4624399999999999E-4</v>
      </c>
      <c r="N6" s="6">
        <f t="shared" si="4"/>
        <v>101.04577442377247</v>
      </c>
      <c r="O6" s="6">
        <f t="shared" si="5"/>
        <v>98.767466518987774</v>
      </c>
      <c r="Q6">
        <f t="shared" si="6"/>
        <v>9.4016700000000011E-4</v>
      </c>
      <c r="R6">
        <f t="shared" si="7"/>
        <v>1.7338800000000001E-4</v>
      </c>
      <c r="T6">
        <f t="shared" si="8"/>
        <v>100.3251550320614</v>
      </c>
      <c r="U6">
        <f t="shared" si="9"/>
        <v>98.83570148727371</v>
      </c>
      <c r="W6">
        <f t="shared" si="10"/>
        <v>0.51086561002659847</v>
      </c>
      <c r="X6">
        <f t="shared" si="11"/>
        <v>0.64273847784658078</v>
      </c>
    </row>
    <row r="7" spans="1:24" x14ac:dyDescent="0.35">
      <c r="A7">
        <v>31.0945</v>
      </c>
      <c r="B7">
        <v>1.1859699999999999E-3</v>
      </c>
      <c r="C7">
        <v>2.02203E-4</v>
      </c>
      <c r="D7">
        <f t="shared" si="0"/>
        <v>99.803921568627459</v>
      </c>
      <c r="E7">
        <f t="shared" si="1"/>
        <v>98.313811864579847</v>
      </c>
      <c r="G7" s="7">
        <v>9.0038499999999997E-4</v>
      </c>
      <c r="H7" s="7">
        <v>1.68608E-4</v>
      </c>
      <c r="I7" s="6">
        <f t="shared" si="2"/>
        <v>99.733824552386608</v>
      </c>
      <c r="J7" s="6">
        <f t="shared" si="3"/>
        <v>97.881085348721101</v>
      </c>
      <c r="L7" s="7">
        <v>7.3194999999999998E-4</v>
      </c>
      <c r="M7" s="7">
        <v>1.4617100000000001E-4</v>
      </c>
      <c r="N7" s="6">
        <f t="shared" si="4"/>
        <v>101.27740003708223</v>
      </c>
      <c r="O7" s="6">
        <f t="shared" si="5"/>
        <v>98.718165179747288</v>
      </c>
      <c r="Q7">
        <f t="shared" si="6"/>
        <v>9.3943499999999986E-4</v>
      </c>
      <c r="R7">
        <f t="shared" si="7"/>
        <v>1.7232733333333335E-4</v>
      </c>
      <c r="T7">
        <f t="shared" si="8"/>
        <v>100.2717153860321</v>
      </c>
      <c r="U7">
        <f t="shared" si="9"/>
        <v>98.304354131016069</v>
      </c>
      <c r="W7">
        <f t="shared" si="10"/>
        <v>0.71170200268550421</v>
      </c>
      <c r="X7">
        <f t="shared" si="11"/>
        <v>0.34180184066291014</v>
      </c>
    </row>
    <row r="8" spans="1:24" x14ac:dyDescent="0.35">
      <c r="A8">
        <v>37.161900000000003</v>
      </c>
      <c r="B8">
        <v>1.1848799999999999E-3</v>
      </c>
      <c r="C8">
        <v>2.02532E-4</v>
      </c>
      <c r="D8">
        <f t="shared" si="0"/>
        <v>99.712193890431706</v>
      </c>
      <c r="E8">
        <f t="shared" si="1"/>
        <v>98.473776079272241</v>
      </c>
      <c r="G8" s="7">
        <v>8.9939200000000005E-4</v>
      </c>
      <c r="H8" s="7">
        <v>1.6795100000000001E-4</v>
      </c>
      <c r="I8" s="6">
        <f t="shared" si="2"/>
        <v>99.62383195168745</v>
      </c>
      <c r="J8" s="6">
        <f t="shared" si="3"/>
        <v>97.499680711490896</v>
      </c>
      <c r="L8" s="7">
        <v>7.3301300000000002E-4</v>
      </c>
      <c r="M8" s="7">
        <v>1.45632E-4</v>
      </c>
      <c r="N8" s="6">
        <f t="shared" si="4"/>
        <v>101.42448368519948</v>
      </c>
      <c r="O8" s="6">
        <f t="shared" si="5"/>
        <v>98.354145702341484</v>
      </c>
      <c r="Q8">
        <f t="shared" si="6"/>
        <v>9.3909500000000003E-4</v>
      </c>
      <c r="R8">
        <f t="shared" si="7"/>
        <v>1.7203833333333336E-4</v>
      </c>
      <c r="T8">
        <f t="shared" si="8"/>
        <v>100.25350317577288</v>
      </c>
      <c r="U8">
        <f t="shared" si="9"/>
        <v>98.109200831034869</v>
      </c>
      <c r="W8">
        <f t="shared" si="10"/>
        <v>0.82879369091364496</v>
      </c>
      <c r="X8">
        <f t="shared" si="11"/>
        <v>0.4337541076599562</v>
      </c>
    </row>
    <row r="9" spans="1:24" x14ac:dyDescent="0.35">
      <c r="A9">
        <v>43.441699999999997</v>
      </c>
      <c r="B9">
        <v>1.1837900000000001E-3</v>
      </c>
      <c r="C9">
        <v>2.0159099999999999E-4</v>
      </c>
      <c r="D9">
        <f t="shared" si="0"/>
        <v>99.620466212235982</v>
      </c>
      <c r="E9">
        <f t="shared" si="1"/>
        <v>98.016249252446869</v>
      </c>
      <c r="G9" s="7">
        <v>8.9919100000000003E-4</v>
      </c>
      <c r="H9" s="7">
        <v>1.66873E-4</v>
      </c>
      <c r="I9" s="6">
        <f t="shared" si="2"/>
        <v>99.601567588403924</v>
      </c>
      <c r="J9" s="6">
        <f t="shared" si="3"/>
        <v>96.873875233661138</v>
      </c>
      <c r="L9" s="7">
        <v>7.35504E-4</v>
      </c>
      <c r="M9" s="7">
        <v>1.4520099999999999E-4</v>
      </c>
      <c r="N9" s="6">
        <f t="shared" si="4"/>
        <v>101.76915477406125</v>
      </c>
      <c r="O9" s="6">
        <f t="shared" si="5"/>
        <v>98.063065192579131</v>
      </c>
      <c r="Q9">
        <f t="shared" si="6"/>
        <v>9.3949500000000015E-4</v>
      </c>
      <c r="R9">
        <f t="shared" si="7"/>
        <v>1.7122166666666666E-4</v>
      </c>
      <c r="T9">
        <f t="shared" si="8"/>
        <v>100.33039619156705</v>
      </c>
      <c r="U9">
        <f t="shared" si="9"/>
        <v>97.651063226229041</v>
      </c>
      <c r="W9">
        <f t="shared" si="10"/>
        <v>1.0173852051611592</v>
      </c>
      <c r="X9">
        <f t="shared" si="11"/>
        <v>0.54988714897174895</v>
      </c>
    </row>
    <row r="10" spans="1:24" x14ac:dyDescent="0.35">
      <c r="A10">
        <v>49.671799999999998</v>
      </c>
      <c r="B10">
        <v>1.18358E-3</v>
      </c>
      <c r="C10">
        <v>2.0117099999999999E-4</v>
      </c>
      <c r="D10">
        <f t="shared" si="0"/>
        <v>99.60279390726248</v>
      </c>
      <c r="E10">
        <f t="shared" si="1"/>
        <v>97.812039616669338</v>
      </c>
      <c r="G10" s="7">
        <v>8.9861300000000004E-4</v>
      </c>
      <c r="H10" s="7">
        <v>1.6586500000000001E-4</v>
      </c>
      <c r="I10" s="6">
        <f t="shared" si="2"/>
        <v>99.53754369796674</v>
      </c>
      <c r="J10" s="6">
        <f t="shared" si="3"/>
        <v>96.288706475170969</v>
      </c>
      <c r="L10" s="7">
        <v>7.3627999999999996E-4</v>
      </c>
      <c r="M10" s="7">
        <v>1.4503000000000001E-4</v>
      </c>
      <c r="N10" s="6">
        <f t="shared" si="4"/>
        <v>101.87652722085238</v>
      </c>
      <c r="O10" s="6">
        <f t="shared" si="5"/>
        <v>97.947578493810326</v>
      </c>
      <c r="Q10">
        <f t="shared" si="6"/>
        <v>9.3949100000000009E-4</v>
      </c>
      <c r="R10">
        <f t="shared" si="7"/>
        <v>1.7068866666666667E-4</v>
      </c>
      <c r="T10">
        <f t="shared" si="8"/>
        <v>100.3389549420272</v>
      </c>
      <c r="U10">
        <f t="shared" si="9"/>
        <v>97.349441528550201</v>
      </c>
      <c r="W10">
        <f t="shared" si="10"/>
        <v>1.0875540697399919</v>
      </c>
      <c r="X10">
        <f t="shared" si="11"/>
        <v>0.75209123422838264</v>
      </c>
    </row>
    <row r="11" spans="1:24" x14ac:dyDescent="0.35">
      <c r="A11">
        <v>55.927799999999998</v>
      </c>
      <c r="B11">
        <v>1.1813800000000001E-3</v>
      </c>
      <c r="C11">
        <v>2.0095599999999999E-4</v>
      </c>
      <c r="D11">
        <f t="shared" si="0"/>
        <v>99.417655474206853</v>
      </c>
      <c r="E11">
        <f t="shared" si="1"/>
        <v>97.707503731687979</v>
      </c>
      <c r="G11" s="7">
        <v>8.9708400000000003E-4</v>
      </c>
      <c r="H11" s="7">
        <v>1.66078E-4</v>
      </c>
      <c r="I11" s="6">
        <f t="shared" si="2"/>
        <v>99.368179461844875</v>
      </c>
      <c r="J11" s="6">
        <f t="shared" si="3"/>
        <v>96.412358206875737</v>
      </c>
      <c r="L11" s="7">
        <v>7.3780799999999995E-4</v>
      </c>
      <c r="M11" s="7">
        <v>1.4435399999999999E-4</v>
      </c>
      <c r="N11" s="6">
        <f t="shared" si="4"/>
        <v>102.08795131711123</v>
      </c>
      <c r="O11" s="6">
        <f t="shared" si="5"/>
        <v>97.491034585227155</v>
      </c>
      <c r="Q11">
        <f t="shared" si="6"/>
        <v>9.387573333333334E-4</v>
      </c>
      <c r="R11">
        <f t="shared" si="7"/>
        <v>1.7046266666666666E-4</v>
      </c>
      <c r="T11">
        <f t="shared" si="8"/>
        <v>100.29126208438765</v>
      </c>
      <c r="U11">
        <f t="shared" si="9"/>
        <v>97.203632174596962</v>
      </c>
      <c r="W11">
        <f t="shared" si="10"/>
        <v>1.2706116947330119</v>
      </c>
      <c r="X11">
        <f t="shared" si="11"/>
        <v>0.56645128760104979</v>
      </c>
    </row>
    <row r="12" spans="1:24" x14ac:dyDescent="0.35">
      <c r="A12">
        <v>62.031100000000002</v>
      </c>
      <c r="B12">
        <v>1.1805299999999999E-3</v>
      </c>
      <c r="C12">
        <v>1.9990200000000001E-4</v>
      </c>
      <c r="D12">
        <f t="shared" si="0"/>
        <v>99.346124715980807</v>
      </c>
      <c r="E12">
        <f t="shared" si="1"/>
        <v>97.195034788570098</v>
      </c>
      <c r="G12" s="7">
        <v>8.9574700000000001E-4</v>
      </c>
      <c r="H12" s="7">
        <v>1.6537100000000001E-4</v>
      </c>
      <c r="I12" s="6">
        <f t="shared" si="2"/>
        <v>99.22008267721769</v>
      </c>
      <c r="J12" s="6">
        <f t="shared" si="3"/>
        <v>96.001927341545823</v>
      </c>
      <c r="L12" s="7">
        <v>7.3955400000000001E-4</v>
      </c>
      <c r="M12" s="7">
        <v>1.44344E-4</v>
      </c>
      <c r="N12" s="6">
        <f t="shared" si="4"/>
        <v>102.3295393223913</v>
      </c>
      <c r="O12" s="6">
        <f t="shared" si="5"/>
        <v>97.484280977112022</v>
      </c>
      <c r="Q12">
        <f t="shared" si="6"/>
        <v>9.3861033333333336E-4</v>
      </c>
      <c r="R12">
        <f t="shared" si="7"/>
        <v>1.6987233333333335E-4</v>
      </c>
      <c r="T12">
        <f t="shared" si="8"/>
        <v>100.29858223852993</v>
      </c>
      <c r="U12">
        <f t="shared" si="9"/>
        <v>96.893747702409314</v>
      </c>
      <c r="W12">
        <f t="shared" si="10"/>
        <v>1.4370250882172959</v>
      </c>
      <c r="X12">
        <f t="shared" si="11"/>
        <v>0.64157281033125835</v>
      </c>
    </row>
    <row r="13" spans="1:24" x14ac:dyDescent="0.35">
      <c r="A13">
        <v>68.213200000000001</v>
      </c>
      <c r="B13">
        <v>1.1809699999999999E-3</v>
      </c>
      <c r="C13">
        <v>1.98939E-4</v>
      </c>
      <c r="D13">
        <f t="shared" si="0"/>
        <v>99.383152402591932</v>
      </c>
      <c r="E13">
        <f t="shared" si="1"/>
        <v>96.726811266537339</v>
      </c>
      <c r="G13" s="7">
        <v>8.95932E-4</v>
      </c>
      <c r="H13" s="7">
        <v>1.64754E-4</v>
      </c>
      <c r="I13" s="6">
        <f t="shared" si="2"/>
        <v>99.240574752876654</v>
      </c>
      <c r="J13" s="6">
        <f t="shared" si="3"/>
        <v>95.643743686795389</v>
      </c>
      <c r="L13" s="7">
        <v>7.4048099999999997E-4</v>
      </c>
      <c r="M13" s="7">
        <v>1.4426400000000001E-4</v>
      </c>
      <c r="N13" s="6">
        <f t="shared" si="4"/>
        <v>102.45780511900907</v>
      </c>
      <c r="O13" s="6">
        <f t="shared" si="5"/>
        <v>97.430252112190956</v>
      </c>
      <c r="Q13">
        <f t="shared" si="6"/>
        <v>9.3912766666666653E-4</v>
      </c>
      <c r="R13">
        <f t="shared" si="7"/>
        <v>1.6931900000000002E-4</v>
      </c>
      <c r="T13">
        <f t="shared" si="8"/>
        <v>100.36051075815924</v>
      </c>
      <c r="U13">
        <f t="shared" si="9"/>
        <v>96.600269021841214</v>
      </c>
      <c r="W13">
        <f t="shared" si="10"/>
        <v>1.4841529174558383</v>
      </c>
      <c r="X13">
        <f t="shared" si="11"/>
        <v>0.73480736399498392</v>
      </c>
    </row>
    <row r="14" spans="1:24" x14ac:dyDescent="0.35">
      <c r="A14">
        <v>74.461600000000004</v>
      </c>
      <c r="B14">
        <v>1.1799200000000001E-3</v>
      </c>
      <c r="C14">
        <v>1.9912400000000001E-4</v>
      </c>
      <c r="D14">
        <f t="shared" si="0"/>
        <v>99.294790877724495</v>
      </c>
      <c r="E14">
        <f t="shared" si="1"/>
        <v>96.816760748963162</v>
      </c>
      <c r="G14" s="7">
        <v>8.9442999999999999E-4</v>
      </c>
      <c r="H14" s="7">
        <v>1.6369999999999999E-4</v>
      </c>
      <c r="I14" s="6">
        <f t="shared" si="2"/>
        <v>99.074201252121213</v>
      </c>
      <c r="J14" s="6">
        <f t="shared" si="3"/>
        <v>95.031870798453483</v>
      </c>
      <c r="L14" s="7">
        <v>7.4125600000000003E-4</v>
      </c>
      <c r="M14" s="7">
        <v>1.44E-4</v>
      </c>
      <c r="N14" s="6">
        <f t="shared" si="4"/>
        <v>102.56503919924506</v>
      </c>
      <c r="O14" s="6">
        <f t="shared" si="5"/>
        <v>97.25195685795137</v>
      </c>
      <c r="Q14">
        <f t="shared" si="6"/>
        <v>9.3853533333333337E-4</v>
      </c>
      <c r="R14">
        <f t="shared" si="7"/>
        <v>1.6894133333333333E-4</v>
      </c>
      <c r="T14">
        <f t="shared" si="8"/>
        <v>100.31134377636359</v>
      </c>
      <c r="U14">
        <f t="shared" si="9"/>
        <v>96.366862801789338</v>
      </c>
      <c r="W14">
        <f t="shared" si="10"/>
        <v>1.5961458245972024</v>
      </c>
      <c r="X14">
        <f t="shared" si="11"/>
        <v>0.96055596749924999</v>
      </c>
    </row>
    <row r="15" spans="1:24" x14ac:dyDescent="0.35">
      <c r="A15">
        <v>80.745000000000005</v>
      </c>
      <c r="B15">
        <v>1.1802799999999999E-3</v>
      </c>
      <c r="C15">
        <v>1.97834E-4</v>
      </c>
      <c r="D15">
        <f t="shared" si="0"/>
        <v>99.325086257679033</v>
      </c>
      <c r="E15">
        <f t="shared" si="1"/>
        <v>96.189545439075033</v>
      </c>
      <c r="G15" s="7">
        <v>8.9286599999999997E-4</v>
      </c>
      <c r="H15" s="7">
        <v>1.63981E-4</v>
      </c>
      <c r="I15" s="6">
        <f t="shared" si="2"/>
        <v>98.900960136820601</v>
      </c>
      <c r="J15" s="6">
        <f t="shared" si="3"/>
        <v>95.19499820037386</v>
      </c>
      <c r="L15" s="7">
        <v>7.4286199999999995E-4</v>
      </c>
      <c r="M15" s="7">
        <v>1.4381999999999999E-4</v>
      </c>
      <c r="N15" s="6">
        <f t="shared" si="4"/>
        <v>102.78725588680508</v>
      </c>
      <c r="O15" s="6">
        <f t="shared" si="5"/>
        <v>97.130391911878917</v>
      </c>
      <c r="Q15">
        <f t="shared" si="6"/>
        <v>9.3866933333333321E-4</v>
      </c>
      <c r="R15">
        <f t="shared" si="7"/>
        <v>1.6854500000000001E-4</v>
      </c>
      <c r="T15">
        <f t="shared" si="8"/>
        <v>100.33776742710158</v>
      </c>
      <c r="U15">
        <f t="shared" si="9"/>
        <v>96.171645183775937</v>
      </c>
      <c r="W15">
        <f t="shared" si="10"/>
        <v>1.740683012931824</v>
      </c>
      <c r="X15">
        <f t="shared" si="11"/>
        <v>0.7902225505042485</v>
      </c>
    </row>
    <row r="16" spans="1:24" x14ac:dyDescent="0.35">
      <c r="A16">
        <v>86.833600000000004</v>
      </c>
      <c r="B16">
        <v>1.18005E-3</v>
      </c>
      <c r="C16">
        <v>1.9783499999999999E-4</v>
      </c>
      <c r="D16">
        <f t="shared" si="0"/>
        <v>99.305730876041395</v>
      </c>
      <c r="E16">
        <f t="shared" si="1"/>
        <v>96.190031652493545</v>
      </c>
      <c r="G16" s="7">
        <v>8.9154900000000005E-4</v>
      </c>
      <c r="H16" s="7">
        <v>1.64403E-4</v>
      </c>
      <c r="I16" s="6">
        <f t="shared" si="2"/>
        <v>98.755078711724138</v>
      </c>
      <c r="J16" s="6">
        <f t="shared" si="3"/>
        <v>95.43997956553541</v>
      </c>
      <c r="L16" s="7">
        <v>7.4299900000000005E-4</v>
      </c>
      <c r="M16" s="7">
        <v>1.4396400000000001E-4</v>
      </c>
      <c r="N16" s="6">
        <f t="shared" si="4"/>
        <v>102.80621210485972</v>
      </c>
      <c r="O16" s="6">
        <f t="shared" si="5"/>
        <v>97.227643868736877</v>
      </c>
      <c r="Q16">
        <f t="shared" si="6"/>
        <v>9.3819933333333329E-4</v>
      </c>
      <c r="R16">
        <f t="shared" si="7"/>
        <v>1.68734E-4</v>
      </c>
      <c r="T16">
        <f t="shared" si="8"/>
        <v>100.28900723087509</v>
      </c>
      <c r="U16">
        <f t="shared" si="9"/>
        <v>96.285885028921939</v>
      </c>
      <c r="W16">
        <f t="shared" si="10"/>
        <v>1.7940725988145585</v>
      </c>
      <c r="X16">
        <f t="shared" si="11"/>
        <v>0.73295148432655022</v>
      </c>
    </row>
    <row r="17" spans="1:24" x14ac:dyDescent="0.35">
      <c r="A17">
        <v>93.167199999999994</v>
      </c>
      <c r="B17">
        <v>1.17964E-3</v>
      </c>
      <c r="C17">
        <v>1.9780199999999999E-4</v>
      </c>
      <c r="D17">
        <f t="shared" si="0"/>
        <v>99.271227804426502</v>
      </c>
      <c r="E17">
        <f t="shared" si="1"/>
        <v>96.173986609682444</v>
      </c>
      <c r="G17" s="7">
        <v>8.9229800000000003E-4</v>
      </c>
      <c r="H17" s="7">
        <v>1.63184E-4</v>
      </c>
      <c r="I17" s="6">
        <f t="shared" si="2"/>
        <v>98.838043926148771</v>
      </c>
      <c r="J17" s="6">
        <f t="shared" si="3"/>
        <v>94.732320124464465</v>
      </c>
      <c r="L17" s="7">
        <v>7.4514299999999998E-4</v>
      </c>
      <c r="M17" s="7">
        <v>1.4356699999999999E-4</v>
      </c>
      <c r="N17" s="6">
        <f t="shared" si="4"/>
        <v>103.10286999908678</v>
      </c>
      <c r="O17" s="6">
        <f t="shared" si="5"/>
        <v>96.959525626565991</v>
      </c>
      <c r="Q17">
        <f t="shared" si="6"/>
        <v>9.3902699999999994E-4</v>
      </c>
      <c r="R17">
        <f t="shared" si="7"/>
        <v>1.6818433333333334E-4</v>
      </c>
      <c r="T17">
        <f t="shared" si="8"/>
        <v>100.40404724322069</v>
      </c>
      <c r="U17">
        <f t="shared" si="9"/>
        <v>95.955277453570957</v>
      </c>
      <c r="W17">
        <f t="shared" si="10"/>
        <v>1.9165325058179821</v>
      </c>
      <c r="X17">
        <f t="shared" si="11"/>
        <v>0.92231099540703509</v>
      </c>
    </row>
    <row r="18" spans="1:24" x14ac:dyDescent="0.35">
      <c r="A18">
        <v>99.287099999999995</v>
      </c>
      <c r="B18">
        <v>1.1812700000000001E-3</v>
      </c>
      <c r="C18">
        <v>1.9676000000000001E-4</v>
      </c>
      <c r="D18">
        <f t="shared" si="0"/>
        <v>99.408398552554075</v>
      </c>
      <c r="E18">
        <f t="shared" si="1"/>
        <v>95.66735222758679</v>
      </c>
      <c r="G18" s="7">
        <v>8.9216700000000003E-4</v>
      </c>
      <c r="H18" s="7">
        <v>1.6263700000000001E-4</v>
      </c>
      <c r="I18" s="6">
        <f t="shared" si="2"/>
        <v>98.823533321222712</v>
      </c>
      <c r="J18" s="6">
        <f t="shared" si="3"/>
        <v>94.414773189053633</v>
      </c>
      <c r="L18" s="7">
        <v>7.4671199999999996E-4</v>
      </c>
      <c r="M18" s="7">
        <v>1.43666E-4</v>
      </c>
      <c r="N18" s="6">
        <f t="shared" si="4"/>
        <v>103.3199671241065</v>
      </c>
      <c r="O18" s="6">
        <f t="shared" si="5"/>
        <v>97.026386346905838</v>
      </c>
      <c r="Q18">
        <f t="shared" si="6"/>
        <v>9.4004966666666673E-4</v>
      </c>
      <c r="R18">
        <f t="shared" si="7"/>
        <v>1.6768766666666666E-4</v>
      </c>
      <c r="T18">
        <f t="shared" si="8"/>
        <v>100.51729966596109</v>
      </c>
      <c r="U18">
        <f t="shared" si="9"/>
        <v>95.70283725451543</v>
      </c>
      <c r="W18">
        <f t="shared" si="10"/>
        <v>1.9961171467652696</v>
      </c>
      <c r="X18">
        <f t="shared" si="11"/>
        <v>1.0664818210417482</v>
      </c>
    </row>
    <row r="19" spans="1:24" x14ac:dyDescent="0.35">
      <c r="A19">
        <v>105.572</v>
      </c>
      <c r="B19">
        <v>1.1808299999999999E-3</v>
      </c>
      <c r="C19">
        <v>1.95162E-4</v>
      </c>
      <c r="D19">
        <f t="shared" si="0"/>
        <v>99.371370865942936</v>
      </c>
      <c r="E19">
        <f t="shared" si="1"/>
        <v>94.890383184795141</v>
      </c>
      <c r="G19" s="7">
        <v>8.9225800000000005E-4</v>
      </c>
      <c r="H19" s="7">
        <v>1.6297999999999999E-4</v>
      </c>
      <c r="I19" s="6">
        <f t="shared" si="2"/>
        <v>98.833613207087396</v>
      </c>
      <c r="J19" s="6">
        <f t="shared" si="3"/>
        <v>94.613893113817639</v>
      </c>
      <c r="L19" s="7">
        <v>7.4898800000000002E-4</v>
      </c>
      <c r="M19" s="7">
        <v>1.43719E-4</v>
      </c>
      <c r="N19" s="6">
        <f t="shared" si="4"/>
        <v>103.63488940361248</v>
      </c>
      <c r="O19" s="6">
        <f t="shared" si="5"/>
        <v>97.062180469916058</v>
      </c>
      <c r="Q19">
        <f t="shared" si="6"/>
        <v>9.4069199999999992E-4</v>
      </c>
      <c r="R19">
        <f t="shared" si="7"/>
        <v>1.6728699999999999E-4</v>
      </c>
      <c r="T19">
        <f t="shared" si="8"/>
        <v>100.61329115888094</v>
      </c>
      <c r="U19">
        <f t="shared" si="9"/>
        <v>95.522152256176284</v>
      </c>
      <c r="W19">
        <f t="shared" si="10"/>
        <v>2.1478419850845625</v>
      </c>
      <c r="X19">
        <f t="shared" si="11"/>
        <v>1.0947988747324584</v>
      </c>
    </row>
    <row r="20" spans="1:24" x14ac:dyDescent="0.35">
      <c r="A20">
        <v>111.81699999999999</v>
      </c>
      <c r="B20">
        <v>1.18118E-3</v>
      </c>
      <c r="C20">
        <v>1.97457E-4</v>
      </c>
      <c r="D20">
        <f t="shared" si="0"/>
        <v>99.400824707565434</v>
      </c>
      <c r="E20">
        <f t="shared" si="1"/>
        <v>96.006242980293777</v>
      </c>
      <c r="G20" s="7">
        <v>8.9189200000000003E-4</v>
      </c>
      <c r="H20" s="7">
        <v>1.62998E-4</v>
      </c>
      <c r="I20" s="6">
        <f t="shared" si="2"/>
        <v>98.7930721276756</v>
      </c>
      <c r="J20" s="6">
        <f t="shared" si="3"/>
        <v>94.624342555933538</v>
      </c>
      <c r="L20" s="7">
        <v>7.5095000000000001E-4</v>
      </c>
      <c r="M20" s="7">
        <v>1.4346500000000001E-4</v>
      </c>
      <c r="N20" s="6">
        <f t="shared" si="4"/>
        <v>103.90636458480347</v>
      </c>
      <c r="O20" s="6">
        <f t="shared" si="5"/>
        <v>96.890638823791619</v>
      </c>
      <c r="Q20">
        <f t="shared" si="6"/>
        <v>9.4134066666666657E-4</v>
      </c>
      <c r="R20">
        <f t="shared" si="7"/>
        <v>1.6797333333333332E-4</v>
      </c>
      <c r="T20">
        <f t="shared" si="8"/>
        <v>100.70008714001483</v>
      </c>
      <c r="U20">
        <f t="shared" si="9"/>
        <v>95.840408120006316</v>
      </c>
      <c r="W20">
        <f t="shared" si="10"/>
        <v>2.2807165671210941</v>
      </c>
      <c r="X20">
        <f t="shared" si="11"/>
        <v>0.93261302946498625</v>
      </c>
    </row>
    <row r="21" spans="1:24" x14ac:dyDescent="0.35">
      <c r="A21">
        <v>117.977</v>
      </c>
      <c r="B21">
        <v>1.18118E-3</v>
      </c>
      <c r="C21">
        <v>1.9694499999999999E-4</v>
      </c>
      <c r="D21">
        <f t="shared" si="0"/>
        <v>99.400824707565434</v>
      </c>
      <c r="E21">
        <f t="shared" si="1"/>
        <v>95.757301710012598</v>
      </c>
      <c r="G21" s="7">
        <v>8.9326900000000003E-4</v>
      </c>
      <c r="H21" s="7">
        <v>1.6275999999999999E-4</v>
      </c>
      <c r="I21" s="6">
        <f t="shared" si="2"/>
        <v>98.945599631364175</v>
      </c>
      <c r="J21" s="6">
        <f t="shared" si="3"/>
        <v>94.486177710178907</v>
      </c>
      <c r="L21" s="7">
        <v>7.5238400000000004E-4</v>
      </c>
      <c r="M21" s="7">
        <v>1.43697E-4</v>
      </c>
      <c r="N21" s="6">
        <f t="shared" si="4"/>
        <v>104.10478222487886</v>
      </c>
      <c r="O21" s="6">
        <f t="shared" si="5"/>
        <v>97.047322532062765</v>
      </c>
      <c r="Q21">
        <f t="shared" si="6"/>
        <v>9.4227766666666669E-4</v>
      </c>
      <c r="R21">
        <f t="shared" si="7"/>
        <v>1.6780066666666668E-4</v>
      </c>
      <c r="T21">
        <f t="shared" si="8"/>
        <v>100.81706885460282</v>
      </c>
      <c r="U21">
        <f t="shared" si="9"/>
        <v>95.763600650751414</v>
      </c>
      <c r="W21">
        <f t="shared" si="10"/>
        <v>2.3321809351362481</v>
      </c>
      <c r="X21">
        <f t="shared" si="11"/>
        <v>1.0455924818514613</v>
      </c>
    </row>
    <row r="22" spans="1:24" x14ac:dyDescent="0.35">
      <c r="A22">
        <v>124.10599999999999</v>
      </c>
      <c r="B22">
        <v>1.18323E-3</v>
      </c>
      <c r="C22">
        <v>1.9733700000000001E-4</v>
      </c>
      <c r="D22">
        <f t="shared" si="0"/>
        <v>99.573340065639997</v>
      </c>
      <c r="E22">
        <f t="shared" si="1"/>
        <v>95.94789737007163</v>
      </c>
      <c r="G22" s="7">
        <v>8.9349500000000001E-4</v>
      </c>
      <c r="H22" s="7">
        <v>1.6163000000000001E-4</v>
      </c>
      <c r="I22" s="6">
        <f t="shared" si="2"/>
        <v>98.970633194061065</v>
      </c>
      <c r="J22" s="6">
        <f t="shared" si="3"/>
        <v>93.830184955125446</v>
      </c>
      <c r="L22" s="7">
        <v>7.5395200000000001E-4</v>
      </c>
      <c r="M22" s="7">
        <v>1.4346000000000001E-4</v>
      </c>
      <c r="N22" s="6">
        <f t="shared" si="4"/>
        <v>104.32174098334343</v>
      </c>
      <c r="O22" s="6">
        <f t="shared" si="5"/>
        <v>96.887262019734052</v>
      </c>
      <c r="Q22">
        <f t="shared" si="6"/>
        <v>9.4355899999999996E-4</v>
      </c>
      <c r="R22">
        <f t="shared" si="7"/>
        <v>1.6747566666666669E-4</v>
      </c>
      <c r="T22">
        <f t="shared" si="8"/>
        <v>100.95523808101484</v>
      </c>
      <c r="U22">
        <f t="shared" si="9"/>
        <v>95.555114781643724</v>
      </c>
      <c r="W22">
        <f t="shared" si="10"/>
        <v>2.3931597295628895</v>
      </c>
      <c r="X22">
        <f t="shared" si="11"/>
        <v>1.2785769866191334</v>
      </c>
    </row>
    <row r="23" spans="1:24" x14ac:dyDescent="0.35">
      <c r="A23">
        <v>130.37799999999999</v>
      </c>
      <c r="B23">
        <v>1.1850299999999999E-3</v>
      </c>
      <c r="C23">
        <v>1.96751E-4</v>
      </c>
      <c r="D23">
        <f t="shared" si="0"/>
        <v>99.724816965412771</v>
      </c>
      <c r="E23">
        <f t="shared" si="1"/>
        <v>95.662976306820127</v>
      </c>
      <c r="G23" s="7">
        <v>8.9436599999999995E-4</v>
      </c>
      <c r="H23" s="7">
        <v>1.62671E-4</v>
      </c>
      <c r="I23" s="6">
        <f t="shared" si="2"/>
        <v>99.067112101622968</v>
      </c>
      <c r="J23" s="6">
        <f t="shared" si="3"/>
        <v>94.434511024161424</v>
      </c>
      <c r="L23" s="7">
        <v>7.5685900000000003E-4</v>
      </c>
      <c r="M23" s="7">
        <v>1.4400400000000001E-4</v>
      </c>
      <c r="N23" s="6">
        <f t="shared" si="4"/>
        <v>104.72397255914478</v>
      </c>
      <c r="O23" s="6">
        <f t="shared" si="5"/>
        <v>97.254658301197423</v>
      </c>
      <c r="Q23">
        <f t="shared" si="6"/>
        <v>9.4541833333333322E-4</v>
      </c>
      <c r="R23">
        <f t="shared" si="7"/>
        <v>1.6780866666666664E-4</v>
      </c>
      <c r="T23">
        <f t="shared" si="8"/>
        <v>101.17196720872683</v>
      </c>
      <c r="U23">
        <f t="shared" si="9"/>
        <v>95.784048544059658</v>
      </c>
      <c r="W23">
        <f t="shared" si="10"/>
        <v>2.5259586205388058</v>
      </c>
      <c r="X23">
        <f t="shared" si="11"/>
        <v>1.1544988901441264</v>
      </c>
    </row>
    <row r="24" spans="1:24" x14ac:dyDescent="0.35">
      <c r="A24">
        <v>136.60400000000001</v>
      </c>
      <c r="B24">
        <v>1.1872E-3</v>
      </c>
      <c r="C24">
        <v>1.9626800000000001E-4</v>
      </c>
      <c r="D24">
        <f t="shared" si="0"/>
        <v>99.907430783472179</v>
      </c>
      <c r="E24">
        <f t="shared" si="1"/>
        <v>95.428135225675973</v>
      </c>
      <c r="G24" s="7">
        <v>8.95574E-4</v>
      </c>
      <c r="H24" s="7">
        <v>1.6255999999999999E-4</v>
      </c>
      <c r="I24" s="6">
        <f t="shared" si="2"/>
        <v>99.200919817277153</v>
      </c>
      <c r="J24" s="6">
        <f t="shared" si="3"/>
        <v>94.370072797780068</v>
      </c>
      <c r="L24" s="7">
        <v>7.5937499999999996E-4</v>
      </c>
      <c r="M24" s="7">
        <v>1.4398199999999999E-4</v>
      </c>
      <c r="N24" s="6">
        <f t="shared" si="4"/>
        <v>105.07210281188513</v>
      </c>
      <c r="O24" s="6">
        <f t="shared" si="5"/>
        <v>97.239800363344102</v>
      </c>
      <c r="Q24">
        <f t="shared" si="6"/>
        <v>9.4738299999999999E-4</v>
      </c>
      <c r="R24">
        <f t="shared" si="7"/>
        <v>1.6760333333333335E-4</v>
      </c>
      <c r="T24">
        <f t="shared" si="8"/>
        <v>101.39348447087815</v>
      </c>
      <c r="U24">
        <f t="shared" si="9"/>
        <v>95.679336128933372</v>
      </c>
      <c r="W24">
        <f t="shared" si="10"/>
        <v>2.6171185313155823</v>
      </c>
      <c r="X24">
        <f t="shared" si="11"/>
        <v>1.1849502086550647</v>
      </c>
    </row>
    <row r="25" spans="1:24" x14ac:dyDescent="0.35">
      <c r="A25">
        <v>142.80099999999999</v>
      </c>
      <c r="B25">
        <v>1.188E-3</v>
      </c>
      <c r="C25">
        <v>1.9742699999999999E-4</v>
      </c>
      <c r="D25">
        <f t="shared" si="0"/>
        <v>99.974753850037885</v>
      </c>
      <c r="E25">
        <f t="shared" si="1"/>
        <v>95.99165657773824</v>
      </c>
      <c r="G25" s="7">
        <v>8.9765400000000001E-4</v>
      </c>
      <c r="H25" s="7">
        <v>1.6232200000000001E-4</v>
      </c>
      <c r="I25" s="6">
        <f t="shared" si="2"/>
        <v>99.431317208469778</v>
      </c>
      <c r="J25" s="6">
        <f t="shared" si="3"/>
        <v>94.231907952025452</v>
      </c>
      <c r="L25" s="7">
        <v>7.6165399999999996E-4</v>
      </c>
      <c r="M25" s="7">
        <v>1.44067E-4</v>
      </c>
      <c r="N25" s="6">
        <f t="shared" si="4"/>
        <v>105.38744019105653</v>
      </c>
      <c r="O25" s="6">
        <f t="shared" si="5"/>
        <v>97.297206032322777</v>
      </c>
      <c r="Q25">
        <f t="shared" si="6"/>
        <v>9.491026666666667E-4</v>
      </c>
      <c r="R25">
        <f t="shared" si="7"/>
        <v>1.6793866666666669E-4</v>
      </c>
      <c r="T25">
        <f t="shared" si="8"/>
        <v>101.59783708318805</v>
      </c>
      <c r="U25">
        <f t="shared" si="9"/>
        <v>95.840256854028823</v>
      </c>
      <c r="W25">
        <f t="shared" si="10"/>
        <v>2.6888224972063441</v>
      </c>
      <c r="X25">
        <f t="shared" si="11"/>
        <v>1.255973589829309</v>
      </c>
    </row>
    <row r="26" spans="1:24" x14ac:dyDescent="0.35">
      <c r="A26">
        <v>148.94900000000001</v>
      </c>
      <c r="B26">
        <v>1.18957E-3</v>
      </c>
      <c r="C26">
        <v>1.9723200000000001E-4</v>
      </c>
      <c r="D26">
        <f t="shared" si="0"/>
        <v>100.10687536817302</v>
      </c>
      <c r="E26">
        <f t="shared" si="1"/>
        <v>95.896844961127243</v>
      </c>
      <c r="G26" s="7">
        <v>8.9864100000000004E-4</v>
      </c>
      <c r="H26" s="7">
        <v>1.6275099999999999E-4</v>
      </c>
      <c r="I26" s="6">
        <f t="shared" si="2"/>
        <v>99.540645201309729</v>
      </c>
      <c r="J26" s="6">
        <f t="shared" si="3"/>
        <v>94.480952989120965</v>
      </c>
      <c r="L26" s="7">
        <v>7.6375200000000003E-4</v>
      </c>
      <c r="M26" s="7">
        <v>1.44618E-4</v>
      </c>
      <c r="N26" s="6">
        <f t="shared" si="4"/>
        <v>105.67773322374703</v>
      </c>
      <c r="O26" s="6">
        <f t="shared" si="5"/>
        <v>97.669329839466741</v>
      </c>
      <c r="Q26">
        <f t="shared" si="6"/>
        <v>9.5065433333333326E-4</v>
      </c>
      <c r="R26">
        <f t="shared" si="7"/>
        <v>1.6820033333333334E-4</v>
      </c>
      <c r="T26">
        <f t="shared" si="8"/>
        <v>101.77508459774326</v>
      </c>
      <c r="U26">
        <f t="shared" si="9"/>
        <v>96.015709263238321</v>
      </c>
      <c r="W26">
        <f t="shared" si="10"/>
        <v>2.7692542767567501</v>
      </c>
      <c r="X26">
        <f t="shared" si="11"/>
        <v>1.3043601948062447</v>
      </c>
    </row>
    <row r="27" spans="1:24" x14ac:dyDescent="0.35">
      <c r="A27">
        <v>155.233</v>
      </c>
      <c r="B27">
        <v>1.19173E-3</v>
      </c>
      <c r="C27">
        <v>1.9659899999999999E-4</v>
      </c>
      <c r="D27">
        <f t="shared" si="0"/>
        <v>100.28864764790035</v>
      </c>
      <c r="E27">
        <f t="shared" si="1"/>
        <v>95.589071867205391</v>
      </c>
      <c r="G27" s="7">
        <v>9.0052299999999997E-4</v>
      </c>
      <c r="H27" s="7">
        <v>1.6300599999999999E-4</v>
      </c>
      <c r="I27" s="6">
        <f t="shared" si="2"/>
        <v>99.749110533148425</v>
      </c>
      <c r="J27" s="6">
        <f t="shared" si="3"/>
        <v>94.628986752429483</v>
      </c>
      <c r="L27" s="7">
        <v>7.6708099999999997E-4</v>
      </c>
      <c r="M27" s="7">
        <v>1.4472500000000001E-4</v>
      </c>
      <c r="N27" s="6">
        <f t="shared" si="4"/>
        <v>106.13835548581881</v>
      </c>
      <c r="O27" s="6">
        <f t="shared" si="5"/>
        <v>97.741593446298694</v>
      </c>
      <c r="Q27">
        <f t="shared" si="6"/>
        <v>9.5311133333333324E-4</v>
      </c>
      <c r="R27">
        <f t="shared" si="7"/>
        <v>1.6810999999999999E-4</v>
      </c>
      <c r="T27">
        <f t="shared" si="8"/>
        <v>102.05870455562253</v>
      </c>
      <c r="U27">
        <f t="shared" si="9"/>
        <v>95.986550688644513</v>
      </c>
      <c r="W27">
        <f t="shared" si="10"/>
        <v>2.8931457917795105</v>
      </c>
      <c r="X27">
        <f t="shared" si="11"/>
        <v>1.3014279766982459</v>
      </c>
    </row>
    <row r="28" spans="1:24" x14ac:dyDescent="0.35">
      <c r="A28">
        <v>161.44499999999999</v>
      </c>
      <c r="B28">
        <v>1.1934700000000001E-3</v>
      </c>
      <c r="C28">
        <v>1.9784199999999999E-4</v>
      </c>
      <c r="D28">
        <f t="shared" si="0"/>
        <v>100.43507531768073</v>
      </c>
      <c r="E28">
        <f t="shared" si="1"/>
        <v>96.19343514642317</v>
      </c>
      <c r="G28" s="7">
        <v>9.02625E-4</v>
      </c>
      <c r="H28" s="7">
        <v>1.6285299999999999E-4</v>
      </c>
      <c r="I28" s="6">
        <f t="shared" si="2"/>
        <v>99.981944819824804</v>
      </c>
      <c r="J28" s="6">
        <f t="shared" si="3"/>
        <v>94.540166494444378</v>
      </c>
      <c r="L28" s="7">
        <v>7.6960600000000004E-4</v>
      </c>
      <c r="M28" s="7">
        <v>1.44788E-4</v>
      </c>
      <c r="N28" s="6">
        <f t="shared" si="4"/>
        <v>106.48773103755545</v>
      </c>
      <c r="O28" s="6">
        <f t="shared" si="5"/>
        <v>97.784141177424047</v>
      </c>
      <c r="Q28">
        <f t="shared" si="6"/>
        <v>9.5523366666666663E-4</v>
      </c>
      <c r="R28">
        <f t="shared" si="7"/>
        <v>1.6849433333333331E-4</v>
      </c>
      <c r="T28">
        <f t="shared" si="8"/>
        <v>102.30158372502031</v>
      </c>
      <c r="U28">
        <f t="shared" si="9"/>
        <v>96.172580939430532</v>
      </c>
      <c r="W28">
        <f t="shared" si="10"/>
        <v>2.9658280242011741</v>
      </c>
      <c r="X28">
        <f t="shared" si="11"/>
        <v>1.3244292127592749</v>
      </c>
    </row>
    <row r="29" spans="1:24" x14ac:dyDescent="0.35">
      <c r="A29">
        <v>167.59</v>
      </c>
      <c r="B29">
        <v>1.19582E-3</v>
      </c>
      <c r="C29">
        <v>1.9765200000000001E-4</v>
      </c>
      <c r="D29">
        <f t="shared" si="0"/>
        <v>100.63283682571742</v>
      </c>
      <c r="E29">
        <f t="shared" si="1"/>
        <v>96.101054596904774</v>
      </c>
      <c r="G29" s="7">
        <v>9.0510899999999997E-4</v>
      </c>
      <c r="H29" s="7">
        <v>1.6295400000000001E-4</v>
      </c>
      <c r="I29" s="6">
        <f t="shared" si="2"/>
        <v>100.25709247353754</v>
      </c>
      <c r="J29" s="6">
        <f t="shared" si="3"/>
        <v>94.598799475205794</v>
      </c>
      <c r="L29" s="7">
        <v>7.7227600000000002E-4</v>
      </c>
      <c r="M29" s="7">
        <v>1.4482199999999999E-4</v>
      </c>
      <c r="N29" s="6">
        <f t="shared" si="4"/>
        <v>106.85716973978785</v>
      </c>
      <c r="O29" s="6">
        <f t="shared" si="5"/>
        <v>97.8071034450155</v>
      </c>
      <c r="Q29">
        <f t="shared" si="6"/>
        <v>9.5773500000000003E-4</v>
      </c>
      <c r="R29">
        <f t="shared" si="7"/>
        <v>1.68476E-4</v>
      </c>
      <c r="T29">
        <f t="shared" si="8"/>
        <v>102.58236634634761</v>
      </c>
      <c r="U29">
        <f t="shared" si="9"/>
        <v>96.168985839042023</v>
      </c>
      <c r="W29">
        <f t="shared" si="10"/>
        <v>3.0266322311523033</v>
      </c>
      <c r="X29">
        <f t="shared" si="11"/>
        <v>1.3106651189168324</v>
      </c>
    </row>
    <row r="30" spans="1:24" x14ac:dyDescent="0.35">
      <c r="A30">
        <v>173.74799999999999</v>
      </c>
      <c r="B30">
        <v>1.19721E-3</v>
      </c>
      <c r="C30">
        <v>1.9714900000000001E-4</v>
      </c>
      <c r="D30">
        <f t="shared" si="0"/>
        <v>100.7498106538753</v>
      </c>
      <c r="E30">
        <f t="shared" si="1"/>
        <v>95.856489247390257</v>
      </c>
      <c r="G30" s="7">
        <v>9.0814300000000004E-4</v>
      </c>
      <c r="H30" s="7">
        <v>1.63437E-4</v>
      </c>
      <c r="I30" s="6">
        <f t="shared" si="2"/>
        <v>100.59316251434447</v>
      </c>
      <c r="J30" s="6">
        <f t="shared" si="3"/>
        <v>94.879192838649004</v>
      </c>
      <c r="L30" s="7">
        <v>7.7583199999999995E-4</v>
      </c>
      <c r="M30" s="7">
        <v>1.4628500000000001E-4</v>
      </c>
      <c r="N30" s="6">
        <f t="shared" si="4"/>
        <v>107.34920120987714</v>
      </c>
      <c r="O30" s="6">
        <f t="shared" si="5"/>
        <v>98.795156312259834</v>
      </c>
      <c r="Q30">
        <f t="shared" si="6"/>
        <v>9.6039499999999985E-4</v>
      </c>
      <c r="R30">
        <f t="shared" si="7"/>
        <v>1.6895699999999999E-4</v>
      </c>
      <c r="T30">
        <f t="shared" si="8"/>
        <v>102.89739145936564</v>
      </c>
      <c r="U30">
        <f t="shared" si="9"/>
        <v>96.510279466099703</v>
      </c>
      <c r="W30">
        <f t="shared" si="10"/>
        <v>3.1485543985525135</v>
      </c>
      <c r="X30">
        <f t="shared" si="11"/>
        <v>1.6641862314103457</v>
      </c>
    </row>
    <row r="31" spans="1:24" x14ac:dyDescent="0.35">
      <c r="A31">
        <v>179.999</v>
      </c>
      <c r="B31">
        <v>1.1991899999999999E-3</v>
      </c>
      <c r="C31">
        <v>1.97717E-4</v>
      </c>
      <c r="D31">
        <f t="shared" si="0"/>
        <v>100.91643524362534</v>
      </c>
      <c r="E31">
        <f t="shared" si="1"/>
        <v>96.132658469108435</v>
      </c>
      <c r="G31" s="7">
        <v>9.1017799999999999E-4</v>
      </c>
      <c r="H31" s="7">
        <v>1.6366800000000001E-4</v>
      </c>
      <c r="I31" s="6">
        <f t="shared" si="2"/>
        <v>100.81857534659299</v>
      </c>
      <c r="J31" s="6">
        <f t="shared" si="3"/>
        <v>95.013294012469672</v>
      </c>
      <c r="L31" s="7">
        <v>7.8045199999999995E-4</v>
      </c>
      <c r="M31" s="7">
        <v>1.4599799999999999E-4</v>
      </c>
      <c r="N31" s="6">
        <f t="shared" si="4"/>
        <v>107.98845469463885</v>
      </c>
      <c r="O31" s="6">
        <f t="shared" si="5"/>
        <v>98.601327759355442</v>
      </c>
      <c r="Q31">
        <f t="shared" si="6"/>
        <v>9.6327333333333333E-4</v>
      </c>
      <c r="R31">
        <f t="shared" si="7"/>
        <v>1.6912766666666665E-4</v>
      </c>
      <c r="T31">
        <f t="shared" si="8"/>
        <v>103.24115509495239</v>
      </c>
      <c r="U31">
        <f t="shared" si="9"/>
        <v>96.582426746977845</v>
      </c>
      <c r="W31">
        <f t="shared" si="10"/>
        <v>3.3570854677581226</v>
      </c>
      <c r="X31">
        <f t="shared" si="11"/>
        <v>1.4989363273181417</v>
      </c>
    </row>
    <row r="32" spans="1:24" x14ac:dyDescent="0.35">
      <c r="A32">
        <v>193.20699999999999</v>
      </c>
      <c r="B32">
        <v>3.3295999999999999E-6</v>
      </c>
      <c r="C32">
        <v>2.9575999999999999E-5</v>
      </c>
      <c r="D32">
        <f t="shared" si="0"/>
        <v>0.28019860304636873</v>
      </c>
      <c r="E32">
        <f t="shared" si="1"/>
        <v>14.380248066086128</v>
      </c>
      <c r="G32" s="7">
        <v>5.4770700000000001E-6</v>
      </c>
      <c r="H32" s="7">
        <v>2.73651E-5</v>
      </c>
      <c r="I32" s="6">
        <f t="shared" si="2"/>
        <v>0.60668396124006974</v>
      </c>
      <c r="J32" s="6">
        <f t="shared" si="3"/>
        <v>15.886112691427973</v>
      </c>
      <c r="L32" s="7">
        <v>7.9867299999999997E-6</v>
      </c>
      <c r="M32" s="7">
        <v>2.7548200000000002E-5</v>
      </c>
      <c r="N32" s="6">
        <f t="shared" si="4"/>
        <v>1.1050963169590351</v>
      </c>
      <c r="O32" s="6">
        <f t="shared" si="5"/>
        <v>18.604974707737611</v>
      </c>
      <c r="Q32">
        <f t="shared" si="6"/>
        <v>5.5978E-6</v>
      </c>
      <c r="R32">
        <f t="shared" si="7"/>
        <v>2.8163100000000001E-5</v>
      </c>
      <c r="T32">
        <f t="shared" si="8"/>
        <v>0.66399296041515787</v>
      </c>
      <c r="U32">
        <f t="shared" si="9"/>
        <v>16.290445155083905</v>
      </c>
      <c r="W32">
        <f t="shared" si="10"/>
        <v>0.33919247303404154</v>
      </c>
      <c r="X32">
        <f t="shared" si="11"/>
        <v>1.748273883014249</v>
      </c>
    </row>
    <row r="33" spans="1:24" x14ac:dyDescent="0.35">
      <c r="A33">
        <v>199.40899999999999</v>
      </c>
      <c r="B33">
        <v>3.29249E-6</v>
      </c>
      <c r="C33">
        <v>2.9206299999999999E-5</v>
      </c>
      <c r="D33">
        <f t="shared" si="0"/>
        <v>0.27707565429605319</v>
      </c>
      <c r="E33">
        <f t="shared" si="1"/>
        <v>14.200494965260052</v>
      </c>
      <c r="G33" s="7">
        <v>5.3113700000000001E-6</v>
      </c>
      <c r="H33" s="7">
        <v>2.6905499999999998E-5</v>
      </c>
      <c r="I33" s="6">
        <f t="shared" si="2"/>
        <v>0.58832970752823477</v>
      </c>
      <c r="J33" s="6">
        <f t="shared" si="3"/>
        <v>15.61930360273543</v>
      </c>
      <c r="L33" s="7">
        <v>7.73578E-6</v>
      </c>
      <c r="M33" s="7">
        <v>2.6735899999999999E-5</v>
      </c>
      <c r="N33" s="6">
        <f t="shared" si="4"/>
        <v>1.0703732299458433</v>
      </c>
      <c r="O33" s="6">
        <f t="shared" si="5"/>
        <v>18.056379120545152</v>
      </c>
      <c r="Q33">
        <f t="shared" si="6"/>
        <v>5.4465466666666657E-6</v>
      </c>
      <c r="R33">
        <f t="shared" si="7"/>
        <v>2.7615899999999998E-5</v>
      </c>
      <c r="T33">
        <f t="shared" si="8"/>
        <v>0.64525953059004371</v>
      </c>
      <c r="U33">
        <f t="shared" si="9"/>
        <v>15.958725896180212</v>
      </c>
      <c r="W33">
        <f t="shared" si="10"/>
        <v>0.3263546276147522</v>
      </c>
      <c r="X33">
        <f t="shared" si="11"/>
        <v>1.5923496841063018</v>
      </c>
    </row>
    <row r="34" spans="1:24" x14ac:dyDescent="0.35">
      <c r="A34">
        <v>205.65700000000001</v>
      </c>
      <c r="B34">
        <v>3.23215E-6</v>
      </c>
      <c r="C34">
        <v>2.87788E-5</v>
      </c>
      <c r="D34">
        <f t="shared" si="0"/>
        <v>0.27199781200033663</v>
      </c>
      <c r="E34">
        <f t="shared" si="1"/>
        <v>13.992638728843639</v>
      </c>
      <c r="G34" s="7">
        <v>5.1385E-6</v>
      </c>
      <c r="H34" s="7">
        <v>2.64645E-5</v>
      </c>
      <c r="I34" s="6">
        <f t="shared" si="2"/>
        <v>0.5691812474246446</v>
      </c>
      <c r="J34" s="6">
        <f t="shared" si="3"/>
        <v>15.363292270895981</v>
      </c>
      <c r="L34" s="7">
        <v>7.4388900000000002E-6</v>
      </c>
      <c r="M34" s="7">
        <v>2.5997299999999999E-5</v>
      </c>
      <c r="N34" s="6">
        <f t="shared" si="4"/>
        <v>1.0292935833893717</v>
      </c>
      <c r="O34" s="6">
        <f t="shared" si="5"/>
        <v>17.557557625161245</v>
      </c>
      <c r="Q34">
        <f t="shared" si="6"/>
        <v>5.269846666666667E-6</v>
      </c>
      <c r="R34">
        <f t="shared" si="7"/>
        <v>2.7080200000000002E-5</v>
      </c>
      <c r="T34">
        <f t="shared" si="8"/>
        <v>0.62349088093811766</v>
      </c>
      <c r="U34">
        <f t="shared" si="9"/>
        <v>15.637829541633621</v>
      </c>
      <c r="W34">
        <f t="shared" si="10"/>
        <v>0.311540659262109</v>
      </c>
      <c r="X34">
        <f t="shared" si="11"/>
        <v>1.4682619473601293</v>
      </c>
    </row>
    <row r="35" spans="1:24" x14ac:dyDescent="0.35">
      <c r="A35">
        <v>211.864</v>
      </c>
      <c r="B35">
        <v>3.1810799999999998E-6</v>
      </c>
      <c r="C35">
        <v>2.84313E-5</v>
      </c>
      <c r="D35">
        <f t="shared" si="0"/>
        <v>0.26770007573844984</v>
      </c>
      <c r="E35">
        <f t="shared" si="1"/>
        <v>13.823679565908661</v>
      </c>
      <c r="G35" s="7">
        <v>4.9895100000000001E-6</v>
      </c>
      <c r="H35" s="7">
        <v>2.6121700000000001E-5</v>
      </c>
      <c r="I35" s="6">
        <f t="shared" si="2"/>
        <v>0.55267792660070814</v>
      </c>
      <c r="J35" s="6">
        <f t="shared" si="3"/>
        <v>15.164288451044364</v>
      </c>
      <c r="L35" s="7">
        <v>7.21164E-6</v>
      </c>
      <c r="M35" s="7">
        <v>2.55417E-5</v>
      </c>
      <c r="N35" s="6">
        <f t="shared" si="4"/>
        <v>0.9978497837330742</v>
      </c>
      <c r="O35" s="6">
        <f t="shared" si="5"/>
        <v>17.249863239435669</v>
      </c>
      <c r="Q35">
        <f t="shared" si="6"/>
        <v>5.1274099999999992E-6</v>
      </c>
      <c r="R35">
        <f t="shared" si="7"/>
        <v>2.6698233333333335E-5</v>
      </c>
      <c r="T35">
        <f t="shared" si="8"/>
        <v>0.60607592869074411</v>
      </c>
      <c r="U35">
        <f t="shared" si="9"/>
        <v>15.412610418796232</v>
      </c>
      <c r="W35">
        <f t="shared" si="10"/>
        <v>0.30046426186993169</v>
      </c>
      <c r="X35">
        <f t="shared" si="11"/>
        <v>1.4097119069599235</v>
      </c>
    </row>
    <row r="36" spans="1:24" x14ac:dyDescent="0.35">
      <c r="A36">
        <v>217.958</v>
      </c>
      <c r="B36">
        <v>3.12564E-6</v>
      </c>
      <c r="C36">
        <v>2.8101100000000001E-5</v>
      </c>
      <c r="D36">
        <f t="shared" si="0"/>
        <v>0.26303458722544815</v>
      </c>
      <c r="E36">
        <f t="shared" si="1"/>
        <v>13.663131895114041</v>
      </c>
      <c r="G36" s="7">
        <v>4.85673E-6</v>
      </c>
      <c r="H36" s="7">
        <v>2.57904E-5</v>
      </c>
      <c r="I36" s="6">
        <f t="shared" si="2"/>
        <v>0.53797015467640241</v>
      </c>
      <c r="J36" s="6">
        <f t="shared" si="3"/>
        <v>14.971960663655679</v>
      </c>
      <c r="L36" s="7">
        <v>6.9983399999999998E-6</v>
      </c>
      <c r="M36" s="7">
        <v>2.5151400000000001E-5</v>
      </c>
      <c r="N36" s="6">
        <f t="shared" si="4"/>
        <v>0.96833619752102473</v>
      </c>
      <c r="O36" s="6">
        <f t="shared" si="5"/>
        <v>16.986269914701932</v>
      </c>
      <c r="Q36">
        <f t="shared" si="6"/>
        <v>4.9935699999999995E-6</v>
      </c>
      <c r="R36">
        <f t="shared" si="7"/>
        <v>2.6347633333333335E-5</v>
      </c>
      <c r="T36">
        <f t="shared" si="8"/>
        <v>0.58978031314095836</v>
      </c>
      <c r="U36">
        <f t="shared" si="9"/>
        <v>15.20712082449055</v>
      </c>
      <c r="W36">
        <f t="shared" si="10"/>
        <v>0.29025943540388743</v>
      </c>
      <c r="X36">
        <f t="shared" si="11"/>
        <v>1.366817910389077</v>
      </c>
    </row>
    <row r="37" spans="1:24" x14ac:dyDescent="0.35">
      <c r="A37">
        <v>224.30799999999999</v>
      </c>
      <c r="B37">
        <v>3.0987500000000002E-6</v>
      </c>
      <c r="C37">
        <v>2.7827500000000001E-5</v>
      </c>
      <c r="D37">
        <f t="shared" si="0"/>
        <v>0.26077169065050915</v>
      </c>
      <c r="E37">
        <f t="shared" si="1"/>
        <v>13.530103903807539</v>
      </c>
      <c r="G37" s="7">
        <v>4.7342000000000003E-6</v>
      </c>
      <c r="H37" s="7">
        <v>2.5488000000000001E-5</v>
      </c>
      <c r="I37" s="6">
        <f t="shared" si="2"/>
        <v>0.52439775451157977</v>
      </c>
      <c r="J37" s="6">
        <f t="shared" si="3"/>
        <v>14.796410036108629</v>
      </c>
      <c r="L37" s="7">
        <v>6.8307700000000003E-6</v>
      </c>
      <c r="M37" s="7">
        <v>2.4814400000000001E-5</v>
      </c>
      <c r="N37" s="6">
        <f t="shared" si="4"/>
        <v>0.94515011387567482</v>
      </c>
      <c r="O37" s="6">
        <f t="shared" si="5"/>
        <v>16.758673321221863</v>
      </c>
      <c r="Q37">
        <f t="shared" si="6"/>
        <v>4.8879066666666671E-6</v>
      </c>
      <c r="R37">
        <f t="shared" si="7"/>
        <v>2.6043300000000002E-5</v>
      </c>
      <c r="T37">
        <f t="shared" si="8"/>
        <v>0.57677318634592123</v>
      </c>
      <c r="U37">
        <f t="shared" si="9"/>
        <v>15.028395753712678</v>
      </c>
      <c r="W37">
        <f t="shared" si="10"/>
        <v>0.28184019814889927</v>
      </c>
      <c r="X37">
        <f t="shared" si="11"/>
        <v>1.3282264241323127</v>
      </c>
    </row>
    <row r="38" spans="1:24" x14ac:dyDescent="0.35">
      <c r="A38">
        <v>230.453</v>
      </c>
      <c r="B38">
        <v>3.0615100000000001E-6</v>
      </c>
      <c r="C38">
        <v>2.7555700000000001E-5</v>
      </c>
      <c r="D38">
        <f t="shared" si="0"/>
        <v>0.25763780190187663</v>
      </c>
      <c r="E38">
        <f t="shared" si="1"/>
        <v>13.397951096654367</v>
      </c>
      <c r="G38" s="7">
        <v>4.6406500000000002E-6</v>
      </c>
      <c r="H38" s="7">
        <v>2.5242300000000001E-5</v>
      </c>
      <c r="I38" s="6">
        <f t="shared" si="2"/>
        <v>0.51403541030673872</v>
      </c>
      <c r="J38" s="6">
        <f t="shared" si="3"/>
        <v>14.653775151226647</v>
      </c>
      <c r="L38" s="7">
        <v>6.6537999999999997E-6</v>
      </c>
      <c r="M38" s="7">
        <v>2.4478199999999999E-5</v>
      </c>
      <c r="N38" s="6">
        <f t="shared" si="4"/>
        <v>0.92066338461197861</v>
      </c>
      <c r="O38" s="6">
        <f t="shared" si="5"/>
        <v>16.531617016391007</v>
      </c>
      <c r="Q38">
        <f t="shared" si="6"/>
        <v>4.7853200000000003E-6</v>
      </c>
      <c r="R38">
        <f t="shared" si="7"/>
        <v>2.5758733333333331E-5</v>
      </c>
      <c r="T38">
        <f t="shared" si="8"/>
        <v>0.56411219894019793</v>
      </c>
      <c r="U38">
        <f t="shared" si="9"/>
        <v>14.861114421424006</v>
      </c>
      <c r="W38">
        <f t="shared" si="10"/>
        <v>0.27298534075648051</v>
      </c>
      <c r="X38">
        <f t="shared" si="11"/>
        <v>1.2876872559888652</v>
      </c>
    </row>
    <row r="39" spans="1:24" x14ac:dyDescent="0.35">
      <c r="A39">
        <v>236.73099999999999</v>
      </c>
      <c r="B39">
        <v>3.0454999999999999E-6</v>
      </c>
      <c r="C39">
        <v>2.73403E-5</v>
      </c>
      <c r="D39">
        <f t="shared" si="0"/>
        <v>0.25629049903223089</v>
      </c>
      <c r="E39">
        <f t="shared" si="1"/>
        <v>13.293220726305604</v>
      </c>
      <c r="G39" s="7">
        <v>4.5659800000000003E-6</v>
      </c>
      <c r="H39" s="7">
        <v>2.5112500000000001E-5</v>
      </c>
      <c r="I39" s="6">
        <f t="shared" si="2"/>
        <v>0.50576436549887682</v>
      </c>
      <c r="J39" s="6">
        <f t="shared" si="3"/>
        <v>14.578423063079798</v>
      </c>
      <c r="L39" s="7">
        <v>6.52691E-6</v>
      </c>
      <c r="M39" s="7">
        <v>2.4262700000000001E-5</v>
      </c>
      <c r="N39" s="6">
        <f t="shared" si="4"/>
        <v>0.90310605242985509</v>
      </c>
      <c r="O39" s="6">
        <f t="shared" si="5"/>
        <v>16.386076761509837</v>
      </c>
      <c r="Q39">
        <f t="shared" si="6"/>
        <v>4.7127966666666662E-6</v>
      </c>
      <c r="R39">
        <f t="shared" si="7"/>
        <v>2.5571833333333331E-5</v>
      </c>
      <c r="T39">
        <f t="shared" si="8"/>
        <v>0.55505363898698767</v>
      </c>
      <c r="U39">
        <f t="shared" si="9"/>
        <v>14.75257351696508</v>
      </c>
      <c r="W39">
        <f t="shared" si="10"/>
        <v>0.26635147755050786</v>
      </c>
      <c r="X39">
        <f t="shared" si="11"/>
        <v>1.2686438688789301</v>
      </c>
    </row>
    <row r="40" spans="1:24" x14ac:dyDescent="0.35">
      <c r="A40">
        <v>242.83</v>
      </c>
      <c r="B40">
        <v>3.00888E-6</v>
      </c>
      <c r="C40">
        <v>2.7150600000000001E-5</v>
      </c>
      <c r="D40">
        <f t="shared" si="0"/>
        <v>0.25320878566018679</v>
      </c>
      <c r="E40">
        <f t="shared" si="1"/>
        <v>13.200986040812756</v>
      </c>
      <c r="G40" s="7">
        <v>4.4966799999999999E-6</v>
      </c>
      <c r="H40" s="7">
        <v>2.4989200000000001E-5</v>
      </c>
      <c r="I40" s="6">
        <f t="shared" si="2"/>
        <v>0.4980881447250074</v>
      </c>
      <c r="J40" s="6">
        <f t="shared" si="3"/>
        <v>14.506844384585913</v>
      </c>
      <c r="L40" s="7">
        <v>6.3978099999999998E-6</v>
      </c>
      <c r="M40" s="7">
        <v>2.40893E-5</v>
      </c>
      <c r="N40" s="6">
        <f t="shared" si="4"/>
        <v>0.88524293016086497</v>
      </c>
      <c r="O40" s="6">
        <f t="shared" si="5"/>
        <v>16.268969196793385</v>
      </c>
      <c r="Q40">
        <f t="shared" si="6"/>
        <v>4.634456666666667E-6</v>
      </c>
      <c r="R40">
        <f t="shared" si="7"/>
        <v>2.5409699999999998E-5</v>
      </c>
      <c r="T40">
        <f t="shared" si="8"/>
        <v>0.54551328684868639</v>
      </c>
      <c r="U40">
        <f t="shared" si="9"/>
        <v>14.658933207397352</v>
      </c>
      <c r="W40">
        <f t="shared" si="10"/>
        <v>0.26019691009280432</v>
      </c>
      <c r="X40">
        <f t="shared" si="11"/>
        <v>1.2571073724662087</v>
      </c>
    </row>
    <row r="41" spans="1:24" x14ac:dyDescent="0.35">
      <c r="A41">
        <v>249.16</v>
      </c>
      <c r="B41">
        <v>2.9916700000000001E-6</v>
      </c>
      <c r="C41">
        <v>2.7002300000000001E-5</v>
      </c>
      <c r="D41">
        <f t="shared" si="0"/>
        <v>0.25176049819069263</v>
      </c>
      <c r="E41">
        <f t="shared" si="1"/>
        <v>13.128880590846547</v>
      </c>
      <c r="G41" s="7">
        <v>4.4319800000000004E-6</v>
      </c>
      <c r="H41" s="7">
        <v>2.48758E-5</v>
      </c>
      <c r="I41" s="6">
        <f t="shared" si="2"/>
        <v>0.49092145664319864</v>
      </c>
      <c r="J41" s="6">
        <f t="shared" si="3"/>
        <v>14.441012899255767</v>
      </c>
      <c r="L41" s="7">
        <v>6.2903900000000001E-6</v>
      </c>
      <c r="M41" s="7">
        <v>2.3949500000000002E-5</v>
      </c>
      <c r="N41" s="6">
        <f t="shared" si="4"/>
        <v>0.87037959480737981</v>
      </c>
      <c r="O41" s="6">
        <f t="shared" si="5"/>
        <v>16.174553755343794</v>
      </c>
      <c r="Q41">
        <f t="shared" si="6"/>
        <v>4.5713466666666669E-6</v>
      </c>
      <c r="R41">
        <f t="shared" si="7"/>
        <v>2.527586666666667E-5</v>
      </c>
      <c r="T41">
        <f t="shared" si="8"/>
        <v>0.53768718321375697</v>
      </c>
      <c r="U41">
        <f t="shared" si="9"/>
        <v>14.581482415148704</v>
      </c>
      <c r="W41">
        <f t="shared" si="10"/>
        <v>0.25470593706071543</v>
      </c>
      <c r="X41">
        <f t="shared" si="11"/>
        <v>1.2473518669314512</v>
      </c>
    </row>
    <row r="42" spans="1:24" x14ac:dyDescent="0.35">
      <c r="A42">
        <v>262.286</v>
      </c>
      <c r="B42">
        <v>7.7238199999999995E-4</v>
      </c>
      <c r="C42">
        <v>1.7034999999999999E-4</v>
      </c>
      <c r="D42">
        <f t="shared" si="0"/>
        <v>64.998906000168304</v>
      </c>
      <c r="E42">
        <f t="shared" si="1"/>
        <v>82.826455844528397</v>
      </c>
      <c r="G42" s="7">
        <v>5.0415900000000001E-4</v>
      </c>
      <c r="H42" s="7">
        <v>1.25766E-4</v>
      </c>
      <c r="I42" s="6">
        <f t="shared" si="2"/>
        <v>55.844672281864625</v>
      </c>
      <c r="J42" s="6">
        <f t="shared" si="3"/>
        <v>73.01025206376481</v>
      </c>
      <c r="L42" s="7">
        <v>4.3021900000000002E-4</v>
      </c>
      <c r="M42" s="7">
        <v>1.2070600000000001E-4</v>
      </c>
      <c r="N42" s="6">
        <f t="shared" si="4"/>
        <v>59.527920987162354</v>
      </c>
      <c r="O42" s="6">
        <f t="shared" si="5"/>
        <v>81.520102114554703</v>
      </c>
      <c r="Q42">
        <f t="shared" si="6"/>
        <v>5.6891999999999999E-4</v>
      </c>
      <c r="R42">
        <f t="shared" si="7"/>
        <v>1.3894066666666666E-4</v>
      </c>
      <c r="T42">
        <f t="shared" si="8"/>
        <v>60.123833089731761</v>
      </c>
      <c r="U42">
        <f t="shared" si="9"/>
        <v>79.118936674282637</v>
      </c>
      <c r="W42">
        <f t="shared" si="10"/>
        <v>3.7608804082575773</v>
      </c>
      <c r="X42">
        <f t="shared" si="11"/>
        <v>4.3522914095172931</v>
      </c>
    </row>
    <row r="43" spans="1:24" x14ac:dyDescent="0.35">
      <c r="A43">
        <v>268.49799999999999</v>
      </c>
      <c r="B43">
        <v>7.9070300000000002E-4</v>
      </c>
      <c r="C43">
        <v>1.6944700000000001E-4</v>
      </c>
      <c r="D43">
        <f t="shared" si="0"/>
        <v>66.54068837835564</v>
      </c>
      <c r="E43">
        <f t="shared" si="1"/>
        <v>82.387405127606712</v>
      </c>
      <c r="G43" s="7">
        <v>5.18798E-4</v>
      </c>
      <c r="H43" s="7">
        <v>1.21847E-4</v>
      </c>
      <c r="I43" s="6">
        <f t="shared" si="2"/>
        <v>57.466204690359199</v>
      </c>
      <c r="J43" s="6">
        <f t="shared" si="3"/>
        <v>70.73517630530948</v>
      </c>
      <c r="L43" s="7">
        <v>4.4330200000000002E-4</v>
      </c>
      <c r="M43" s="7">
        <v>1.1853000000000001E-4</v>
      </c>
      <c r="N43" s="6">
        <f t="shared" si="4"/>
        <v>61.338170628101139</v>
      </c>
      <c r="O43" s="6">
        <f t="shared" si="5"/>
        <v>80.050516988701219</v>
      </c>
      <c r="Q43">
        <f t="shared" si="6"/>
        <v>5.8426766666666672E-4</v>
      </c>
      <c r="R43">
        <f t="shared" si="7"/>
        <v>1.36608E-4</v>
      </c>
      <c r="T43">
        <f t="shared" si="8"/>
        <v>61.781687898938664</v>
      </c>
      <c r="U43">
        <f t="shared" si="9"/>
        <v>77.724366140539146</v>
      </c>
      <c r="W43">
        <f t="shared" si="10"/>
        <v>3.7178931514211775</v>
      </c>
      <c r="X43">
        <f t="shared" si="11"/>
        <v>5.0333449751364796</v>
      </c>
    </row>
    <row r="44" spans="1:24" x14ac:dyDescent="0.35">
      <c r="A44">
        <v>274.608</v>
      </c>
      <c r="B44">
        <v>8.0311900000000003E-4</v>
      </c>
      <c r="C44">
        <v>1.6758699999999999E-4</v>
      </c>
      <c r="D44">
        <f t="shared" si="0"/>
        <v>67.58554237145502</v>
      </c>
      <c r="E44">
        <f t="shared" si="1"/>
        <v>81.483048169163368</v>
      </c>
      <c r="G44" s="7">
        <v>5.2641799999999996E-4</v>
      </c>
      <c r="H44" s="7">
        <v>1.21159E-4</v>
      </c>
      <c r="I44" s="6">
        <f t="shared" si="2"/>
        <v>58.31025667155523</v>
      </c>
      <c r="J44" s="6">
        <f t="shared" si="3"/>
        <v>70.335775406657447</v>
      </c>
      <c r="L44" s="7">
        <v>4.5237599999999999E-4</v>
      </c>
      <c r="M44" s="7">
        <v>1.15504E-4</v>
      </c>
      <c r="N44" s="6">
        <f t="shared" si="4"/>
        <v>62.593708749470743</v>
      </c>
      <c r="O44" s="6">
        <f t="shared" si="5"/>
        <v>78.006875173061204</v>
      </c>
      <c r="Q44">
        <f t="shared" si="6"/>
        <v>5.93971E-4</v>
      </c>
      <c r="R44">
        <f t="shared" si="7"/>
        <v>1.3475E-4</v>
      </c>
      <c r="T44">
        <f t="shared" si="8"/>
        <v>62.829835930826995</v>
      </c>
      <c r="U44">
        <f t="shared" si="9"/>
        <v>76.608566249627344</v>
      </c>
      <c r="W44">
        <f t="shared" si="10"/>
        <v>3.7902988657908248</v>
      </c>
      <c r="X44">
        <f t="shared" si="11"/>
        <v>4.657028623091672</v>
      </c>
    </row>
    <row r="45" spans="1:24" x14ac:dyDescent="0.35">
      <c r="A45">
        <v>280.779</v>
      </c>
      <c r="B45">
        <v>8.1012599999999999E-4</v>
      </c>
      <c r="C45">
        <v>1.63144E-4</v>
      </c>
      <c r="D45">
        <f t="shared" si="0"/>
        <v>68.175208280737181</v>
      </c>
      <c r="E45">
        <f t="shared" si="1"/>
        <v>79.322801950688245</v>
      </c>
      <c r="G45" s="7">
        <v>5.3231199999999995E-4</v>
      </c>
      <c r="H45" s="7">
        <v>1.1975400000000001E-4</v>
      </c>
      <c r="I45" s="6">
        <f t="shared" si="2"/>
        <v>58.96312312525199</v>
      </c>
      <c r="J45" s="6">
        <f t="shared" si="3"/>
        <v>69.52013839705559</v>
      </c>
      <c r="L45" s="7">
        <v>4.5890599999999997E-4</v>
      </c>
      <c r="M45" s="7">
        <v>1.1322199999999999E-4</v>
      </c>
      <c r="N45" s="6">
        <f t="shared" si="4"/>
        <v>63.497242354555993</v>
      </c>
      <c r="O45" s="6">
        <f t="shared" si="5"/>
        <v>76.465701801187279</v>
      </c>
      <c r="Q45">
        <f t="shared" si="6"/>
        <v>6.0044800000000006E-4</v>
      </c>
      <c r="R45">
        <f t="shared" si="7"/>
        <v>1.3204000000000002E-4</v>
      </c>
      <c r="T45">
        <f t="shared" si="8"/>
        <v>63.54519125351505</v>
      </c>
      <c r="U45">
        <f t="shared" si="9"/>
        <v>75.102880716310366</v>
      </c>
      <c r="W45">
        <f t="shared" si="10"/>
        <v>3.7609708454654096</v>
      </c>
      <c r="X45">
        <f t="shared" si="11"/>
        <v>4.1163101736440533</v>
      </c>
    </row>
    <row r="46" spans="1:24" x14ac:dyDescent="0.35">
      <c r="A46">
        <v>287.00099999999998</v>
      </c>
      <c r="B46">
        <v>8.16682E-4</v>
      </c>
      <c r="C46">
        <v>1.6185599999999999E-4</v>
      </c>
      <c r="D46">
        <f t="shared" si="0"/>
        <v>68.726920811242948</v>
      </c>
      <c r="E46">
        <f t="shared" si="1"/>
        <v>78.696559067637153</v>
      </c>
      <c r="G46" s="7">
        <v>5.3662000000000002E-4</v>
      </c>
      <c r="H46" s="7">
        <v>1.19595E-4</v>
      </c>
      <c r="I46" s="6">
        <f t="shared" si="2"/>
        <v>59.440311568164404</v>
      </c>
      <c r="J46" s="6">
        <f t="shared" si="3"/>
        <v>69.427834991698504</v>
      </c>
      <c r="L46" s="7">
        <v>4.64664E-4</v>
      </c>
      <c r="M46" s="7">
        <v>1.12323E-4</v>
      </c>
      <c r="N46" s="6">
        <f t="shared" si="4"/>
        <v>64.293956979070671</v>
      </c>
      <c r="O46" s="6">
        <f t="shared" si="5"/>
        <v>75.85855243163661</v>
      </c>
      <c r="Q46">
        <f t="shared" si="6"/>
        <v>6.0598866666666665E-4</v>
      </c>
      <c r="R46">
        <f t="shared" si="7"/>
        <v>1.3125800000000001E-4</v>
      </c>
      <c r="T46">
        <f t="shared" si="8"/>
        <v>64.153729786159332</v>
      </c>
      <c r="U46">
        <f t="shared" si="9"/>
        <v>74.660982163657422</v>
      </c>
      <c r="W46">
        <f t="shared" si="10"/>
        <v>3.7925387765657108</v>
      </c>
      <c r="X46">
        <f t="shared" si="11"/>
        <v>3.8775372260436991</v>
      </c>
    </row>
    <row r="47" spans="1:24" x14ac:dyDescent="0.35">
      <c r="A47">
        <v>293.27300000000002</v>
      </c>
      <c r="B47">
        <v>8.2167700000000004E-4</v>
      </c>
      <c r="C47">
        <v>1.615E-4</v>
      </c>
      <c r="D47">
        <f t="shared" si="0"/>
        <v>69.147269208112434</v>
      </c>
      <c r="E47">
        <f t="shared" si="1"/>
        <v>78.523467090644772</v>
      </c>
      <c r="G47" s="7">
        <v>5.4003700000000005E-4</v>
      </c>
      <c r="H47" s="7">
        <v>1.1903E-4</v>
      </c>
      <c r="I47" s="6">
        <f t="shared" si="2"/>
        <v>59.818805743984193</v>
      </c>
      <c r="J47" s="6">
        <f t="shared" si="3"/>
        <v>69.099838614171773</v>
      </c>
      <c r="L47" s="7">
        <v>4.6934100000000002E-4</v>
      </c>
      <c r="M47" s="7">
        <v>1.12021E-4</v>
      </c>
      <c r="N47" s="6">
        <f t="shared" si="4"/>
        <v>64.941097357475527</v>
      </c>
      <c r="O47" s="6">
        <f t="shared" si="5"/>
        <v>75.654593466559518</v>
      </c>
      <c r="Q47">
        <f t="shared" si="6"/>
        <v>6.1035166666666672E-4</v>
      </c>
      <c r="R47">
        <f t="shared" si="7"/>
        <v>1.3085033333333333E-4</v>
      </c>
      <c r="T47">
        <f t="shared" si="8"/>
        <v>64.635724103190725</v>
      </c>
      <c r="U47">
        <f t="shared" si="9"/>
        <v>74.425966390458697</v>
      </c>
      <c r="W47">
        <f t="shared" si="10"/>
        <v>3.8144459858733732</v>
      </c>
      <c r="X47">
        <f t="shared" si="11"/>
        <v>3.9440534804305294</v>
      </c>
    </row>
    <row r="48" spans="1:24" x14ac:dyDescent="0.35">
      <c r="A48">
        <v>299.46699999999998</v>
      </c>
      <c r="B48">
        <v>8.2529999999999995E-4</v>
      </c>
      <c r="C48">
        <v>1.6123900000000001E-4</v>
      </c>
      <c r="D48">
        <f t="shared" si="0"/>
        <v>69.45215854582176</v>
      </c>
      <c r="E48">
        <f t="shared" si="1"/>
        <v>78.396565388411602</v>
      </c>
      <c r="G48" s="7">
        <v>5.4274300000000004E-4</v>
      </c>
      <c r="H48" s="7">
        <v>1.1834E-4</v>
      </c>
      <c r="I48" s="6">
        <f t="shared" si="2"/>
        <v>60.118543888487672</v>
      </c>
      <c r="J48" s="6">
        <f t="shared" si="3"/>
        <v>68.699276666395747</v>
      </c>
      <c r="L48" s="7">
        <v>4.7315500000000001E-4</v>
      </c>
      <c r="M48" s="7">
        <v>1.11721E-4</v>
      </c>
      <c r="N48" s="6">
        <f t="shared" si="4"/>
        <v>65.468827398791788</v>
      </c>
      <c r="O48" s="6">
        <f t="shared" si="5"/>
        <v>75.451985223105439</v>
      </c>
      <c r="Q48">
        <f t="shared" si="6"/>
        <v>6.1373266666666672E-4</v>
      </c>
      <c r="R48">
        <f t="shared" si="7"/>
        <v>1.3043333333333335E-4</v>
      </c>
      <c r="T48">
        <f t="shared" si="8"/>
        <v>65.013176611033728</v>
      </c>
      <c r="U48">
        <f t="shared" si="9"/>
        <v>74.182609092637605</v>
      </c>
      <c r="W48">
        <f t="shared" si="10"/>
        <v>3.8240296262092279</v>
      </c>
      <c r="X48">
        <f t="shared" si="11"/>
        <v>4.0593791774921373</v>
      </c>
    </row>
    <row r="49" spans="1:24" x14ac:dyDescent="0.35">
      <c r="A49">
        <v>305.70800000000003</v>
      </c>
      <c r="B49">
        <v>8.27734E-4</v>
      </c>
      <c r="C49">
        <v>1.6216099999999999E-4</v>
      </c>
      <c r="D49">
        <f t="shared" si="0"/>
        <v>69.656988975847852</v>
      </c>
      <c r="E49">
        <f t="shared" si="1"/>
        <v>78.844854160285109</v>
      </c>
      <c r="G49" s="7">
        <v>5.4486699999999999E-4</v>
      </c>
      <c r="H49" s="7">
        <v>1.17971E-4</v>
      </c>
      <c r="I49" s="6">
        <f t="shared" si="2"/>
        <v>60.353815070647819</v>
      </c>
      <c r="J49" s="6">
        <f t="shared" si="3"/>
        <v>68.485063103019883</v>
      </c>
      <c r="L49" s="7">
        <v>4.7664000000000002E-4</v>
      </c>
      <c r="M49" s="7">
        <v>1.11776E-4</v>
      </c>
      <c r="N49" s="6">
        <f t="shared" si="4"/>
        <v>65.951034843465919</v>
      </c>
      <c r="O49" s="6">
        <f t="shared" si="5"/>
        <v>75.489130067738685</v>
      </c>
      <c r="Q49">
        <f t="shared" si="6"/>
        <v>6.1641366666666665E-4</v>
      </c>
      <c r="R49">
        <f t="shared" si="7"/>
        <v>1.30636E-4</v>
      </c>
      <c r="T49">
        <f t="shared" si="8"/>
        <v>65.320612963320528</v>
      </c>
      <c r="U49">
        <f t="shared" si="9"/>
        <v>74.273015777014564</v>
      </c>
      <c r="W49">
        <f t="shared" si="10"/>
        <v>3.8240759221737255</v>
      </c>
      <c r="X49">
        <f t="shared" si="11"/>
        <v>4.3159022358116292</v>
      </c>
    </row>
    <row r="50" spans="1:24" x14ac:dyDescent="0.35">
      <c r="A50">
        <v>311.89499999999998</v>
      </c>
      <c r="B50">
        <v>8.2890199999999996E-4</v>
      </c>
      <c r="C50">
        <v>1.6099199999999999E-4</v>
      </c>
      <c r="D50">
        <f t="shared" si="0"/>
        <v>69.755280653033751</v>
      </c>
      <c r="E50">
        <f t="shared" si="1"/>
        <v>78.276470674037654</v>
      </c>
      <c r="G50" s="7">
        <v>5.4770100000000005E-4</v>
      </c>
      <c r="H50" s="7">
        <v>1.17853E-4</v>
      </c>
      <c r="I50" s="6">
        <f t="shared" si="2"/>
        <v>60.667731516147761</v>
      </c>
      <c r="J50" s="6">
        <f t="shared" si="3"/>
        <v>68.416561204704578</v>
      </c>
      <c r="L50" s="7">
        <v>4.7978799999999998E-4</v>
      </c>
      <c r="M50" s="7">
        <v>1.1183699999999999E-4</v>
      </c>
      <c r="N50" s="6">
        <f t="shared" si="4"/>
        <v>66.386612759056774</v>
      </c>
      <c r="O50" s="6">
        <f t="shared" si="5"/>
        <v>75.530327077241012</v>
      </c>
      <c r="Q50">
        <f t="shared" si="6"/>
        <v>6.1879700000000003E-4</v>
      </c>
      <c r="R50">
        <f t="shared" si="7"/>
        <v>1.3022733333333333E-4</v>
      </c>
      <c r="T50">
        <f t="shared" si="8"/>
        <v>65.603208309412764</v>
      </c>
      <c r="U50">
        <f t="shared" si="9"/>
        <v>74.074452985327753</v>
      </c>
      <c r="W50">
        <f t="shared" si="10"/>
        <v>3.7511046575305298</v>
      </c>
      <c r="X50">
        <f t="shared" si="11"/>
        <v>4.1548470260238792</v>
      </c>
    </row>
    <row r="51" spans="1:24" x14ac:dyDescent="0.35">
      <c r="A51">
        <v>318.09899999999999</v>
      </c>
      <c r="B51">
        <v>8.3034000000000005E-4</v>
      </c>
      <c r="C51">
        <v>1.6110899999999999E-4</v>
      </c>
      <c r="D51">
        <f t="shared" si="0"/>
        <v>69.876293865185573</v>
      </c>
      <c r="E51">
        <f t="shared" si="1"/>
        <v>78.333357644004266</v>
      </c>
      <c r="G51" s="7">
        <v>5.50404E-4</v>
      </c>
      <c r="H51" s="7">
        <v>1.17886E-4</v>
      </c>
      <c r="I51" s="6">
        <f t="shared" si="2"/>
        <v>60.967137356721622</v>
      </c>
      <c r="J51" s="6">
        <f t="shared" si="3"/>
        <v>68.435718515250372</v>
      </c>
      <c r="L51" s="7">
        <v>4.8136099999999997E-4</v>
      </c>
      <c r="M51" s="7">
        <v>1.12402E-4</v>
      </c>
      <c r="N51" s="6">
        <f t="shared" si="4"/>
        <v>66.60426335029706</v>
      </c>
      <c r="O51" s="6">
        <f t="shared" si="5"/>
        <v>75.911905935746177</v>
      </c>
      <c r="Q51">
        <f t="shared" si="6"/>
        <v>6.2070166666666673E-4</v>
      </c>
      <c r="R51">
        <f t="shared" si="7"/>
        <v>1.3046566666666666E-4</v>
      </c>
      <c r="T51">
        <f t="shared" si="8"/>
        <v>65.815898190734757</v>
      </c>
      <c r="U51">
        <f t="shared" si="9"/>
        <v>74.226994031666933</v>
      </c>
      <c r="W51">
        <f t="shared" si="10"/>
        <v>3.6796201925094727</v>
      </c>
      <c r="X51">
        <f t="shared" si="11"/>
        <v>4.21268015829519</v>
      </c>
    </row>
    <row r="52" spans="1:24" x14ac:dyDescent="0.35">
      <c r="A52">
        <v>324.33999999999997</v>
      </c>
      <c r="B52">
        <v>8.3237399999999998E-4</v>
      </c>
      <c r="C52">
        <v>1.60629E-4</v>
      </c>
      <c r="D52">
        <f t="shared" si="0"/>
        <v>70.047462761928799</v>
      </c>
      <c r="E52">
        <f t="shared" si="1"/>
        <v>78.099975203115662</v>
      </c>
      <c r="G52" s="7">
        <v>5.5263299999999997E-4</v>
      </c>
      <c r="H52" s="7">
        <v>1.18208E-4</v>
      </c>
      <c r="I52" s="6">
        <f t="shared" si="2"/>
        <v>61.214039176417941</v>
      </c>
      <c r="J52" s="6">
        <f t="shared" si="3"/>
        <v>68.622647424212531</v>
      </c>
      <c r="L52" s="7">
        <v>4.8424900000000002E-4</v>
      </c>
      <c r="M52" s="7">
        <v>1.1178199999999999E-4</v>
      </c>
      <c r="N52" s="6">
        <f t="shared" si="4"/>
        <v>67.003865961550702</v>
      </c>
      <c r="O52" s="6">
        <f t="shared" si="5"/>
        <v>75.493182232607765</v>
      </c>
      <c r="Q52">
        <f t="shared" si="6"/>
        <v>6.2308533333333327E-4</v>
      </c>
      <c r="R52">
        <f t="shared" si="7"/>
        <v>1.3020633333333333E-4</v>
      </c>
      <c r="T52">
        <f t="shared" si="8"/>
        <v>66.08845596663248</v>
      </c>
      <c r="U52">
        <f t="shared" si="9"/>
        <v>74.071934953311981</v>
      </c>
      <c r="W52">
        <f t="shared" si="10"/>
        <v>3.6638617745362621</v>
      </c>
      <c r="X52">
        <f t="shared" si="11"/>
        <v>3.9974903234297288</v>
      </c>
    </row>
    <row r="53" spans="1:24" x14ac:dyDescent="0.35">
      <c r="A53">
        <v>330.45299999999997</v>
      </c>
      <c r="B53">
        <v>8.3257800000000005E-4</v>
      </c>
      <c r="C53">
        <v>1.59474E-4</v>
      </c>
      <c r="D53">
        <f t="shared" si="0"/>
        <v>70.064630143903059</v>
      </c>
      <c r="E53">
        <f t="shared" si="1"/>
        <v>77.538398704727456</v>
      </c>
      <c r="G53" s="7">
        <v>5.5471299999999997E-4</v>
      </c>
      <c r="H53" s="7">
        <v>1.18442E-4</v>
      </c>
      <c r="I53" s="6">
        <f t="shared" si="2"/>
        <v>61.444436567610559</v>
      </c>
      <c r="J53" s="6">
        <f t="shared" si="3"/>
        <v>68.75849017171916</v>
      </c>
      <c r="L53" s="7">
        <v>4.8739399999999999E-4</v>
      </c>
      <c r="M53" s="7">
        <v>1.11512E-4</v>
      </c>
      <c r="N53" s="6">
        <f t="shared" si="4"/>
        <v>67.439028777476139</v>
      </c>
      <c r="O53" s="6">
        <f t="shared" si="5"/>
        <v>75.310834813499113</v>
      </c>
      <c r="Q53">
        <f t="shared" si="6"/>
        <v>6.2489499999999999E-4</v>
      </c>
      <c r="R53">
        <f t="shared" si="7"/>
        <v>1.2980933333333334E-4</v>
      </c>
      <c r="T53">
        <f t="shared" si="8"/>
        <v>66.316031829663245</v>
      </c>
      <c r="U53">
        <f t="shared" si="9"/>
        <v>73.86924122998191</v>
      </c>
      <c r="W53">
        <f t="shared" si="10"/>
        <v>3.6076562966175527</v>
      </c>
      <c r="X53">
        <f t="shared" si="11"/>
        <v>3.7265124452608904</v>
      </c>
    </row>
    <row r="54" spans="1:24" x14ac:dyDescent="0.35">
      <c r="A54">
        <v>336.67899999999997</v>
      </c>
      <c r="B54">
        <v>8.3422300000000004E-4</v>
      </c>
      <c r="C54">
        <v>1.5883499999999999E-4</v>
      </c>
      <c r="D54">
        <f t="shared" si="0"/>
        <v>70.203063199528742</v>
      </c>
      <c r="E54">
        <f t="shared" si="1"/>
        <v>77.227708330294504</v>
      </c>
      <c r="G54" s="7">
        <v>5.5676499999999997E-4</v>
      </c>
      <c r="H54" s="7">
        <v>1.1865499999999999E-4</v>
      </c>
      <c r="I54" s="6">
        <f t="shared" si="2"/>
        <v>61.671732455460194</v>
      </c>
      <c r="J54" s="6">
        <f t="shared" si="3"/>
        <v>68.882141903423928</v>
      </c>
      <c r="L54" s="7">
        <v>4.8989599999999997E-4</v>
      </c>
      <c r="M54" s="7">
        <v>1.11475E-4</v>
      </c>
      <c r="N54" s="6">
        <f t="shared" si="4"/>
        <v>67.785221898444476</v>
      </c>
      <c r="O54" s="6">
        <f t="shared" si="5"/>
        <v>75.285846463473121</v>
      </c>
      <c r="Q54">
        <f t="shared" si="6"/>
        <v>6.2696133333333336E-4</v>
      </c>
      <c r="R54">
        <f t="shared" si="7"/>
        <v>1.2965499999999998E-4</v>
      </c>
      <c r="T54">
        <f t="shared" si="8"/>
        <v>66.553339184477807</v>
      </c>
      <c r="U54">
        <f t="shared" si="9"/>
        <v>73.798565565730513</v>
      </c>
      <c r="W54">
        <f t="shared" si="10"/>
        <v>3.5901766281433116</v>
      </c>
      <c r="X54">
        <f t="shared" si="11"/>
        <v>3.5656811502544512</v>
      </c>
    </row>
    <row r="55" spans="1:24" x14ac:dyDescent="0.35">
      <c r="A55">
        <v>342.94200000000001</v>
      </c>
      <c r="B55">
        <v>8.3609600000000004E-4</v>
      </c>
      <c r="C55">
        <v>1.5820400000000001E-4</v>
      </c>
      <c r="D55">
        <f t="shared" si="0"/>
        <v>70.360683329125649</v>
      </c>
      <c r="E55">
        <f t="shared" si="1"/>
        <v>76.92090766320969</v>
      </c>
      <c r="G55" s="7">
        <v>5.5807999999999997E-4</v>
      </c>
      <c r="H55" s="7">
        <v>1.19212E-4</v>
      </c>
      <c r="I55" s="6">
        <f t="shared" si="2"/>
        <v>61.817392344603604</v>
      </c>
      <c r="J55" s="6">
        <f t="shared" si="3"/>
        <v>69.205494084454713</v>
      </c>
      <c r="L55" s="7">
        <v>4.9230400000000005E-4</v>
      </c>
      <c r="M55" s="7">
        <v>1.1186799999999999E-4</v>
      </c>
      <c r="N55" s="6">
        <f t="shared" si="4"/>
        <v>68.118408563229366</v>
      </c>
      <c r="O55" s="6">
        <f t="shared" si="5"/>
        <v>75.551263262397939</v>
      </c>
      <c r="Q55">
        <f t="shared" si="6"/>
        <v>6.2882666666666672E-4</v>
      </c>
      <c r="R55">
        <f t="shared" si="7"/>
        <v>1.2976133333333334E-4</v>
      </c>
      <c r="T55">
        <f t="shared" si="8"/>
        <v>66.765494745652873</v>
      </c>
      <c r="U55">
        <f t="shared" si="9"/>
        <v>73.892555003354119</v>
      </c>
      <c r="W55">
        <f t="shared" si="10"/>
        <v>3.6166040295555315</v>
      </c>
      <c r="X55">
        <f t="shared" si="11"/>
        <v>3.3610897527710972</v>
      </c>
    </row>
    <row r="56" spans="1:24" x14ac:dyDescent="0.35">
      <c r="A56">
        <v>349.24099999999999</v>
      </c>
      <c r="B56">
        <v>8.3729599999999996E-4</v>
      </c>
      <c r="C56">
        <v>1.5846E-4</v>
      </c>
      <c r="D56">
        <f t="shared" si="0"/>
        <v>70.461667928974165</v>
      </c>
      <c r="E56">
        <f t="shared" si="1"/>
        <v>77.045378298350272</v>
      </c>
      <c r="G56" s="7">
        <v>5.59762E-4</v>
      </c>
      <c r="H56" s="7">
        <v>1.19357E-4</v>
      </c>
      <c r="I56" s="6">
        <f t="shared" si="2"/>
        <v>62.003704081135325</v>
      </c>
      <c r="J56" s="6">
        <f t="shared" si="3"/>
        <v>69.289670145943873</v>
      </c>
      <c r="L56" s="7">
        <v>4.9530199999999998E-4</v>
      </c>
      <c r="M56" s="7">
        <v>1.11976E-4</v>
      </c>
      <c r="N56" s="6">
        <f t="shared" si="4"/>
        <v>68.533231495548748</v>
      </c>
      <c r="O56" s="6">
        <f t="shared" si="5"/>
        <v>75.624202230041405</v>
      </c>
      <c r="Q56">
        <f t="shared" si="6"/>
        <v>6.3078666666666668E-4</v>
      </c>
      <c r="R56">
        <f t="shared" si="7"/>
        <v>1.2993099999999999E-4</v>
      </c>
      <c r="T56">
        <f t="shared" si="8"/>
        <v>66.999534501886089</v>
      </c>
      <c r="U56">
        <f t="shared" si="9"/>
        <v>73.986416891445188</v>
      </c>
      <c r="W56">
        <f t="shared" si="10"/>
        <v>3.6192501952858165</v>
      </c>
      <c r="X56">
        <f t="shared" si="11"/>
        <v>3.3714000897566105</v>
      </c>
    </row>
    <row r="57" spans="1:24" x14ac:dyDescent="0.35">
      <c r="A57">
        <v>355.43299999999999</v>
      </c>
      <c r="B57">
        <v>8.3803600000000001E-4</v>
      </c>
      <c r="C57">
        <v>1.59032E-4</v>
      </c>
      <c r="D57">
        <f t="shared" si="0"/>
        <v>70.52394176554742</v>
      </c>
      <c r="E57">
        <f t="shared" si="1"/>
        <v>77.323492373742539</v>
      </c>
      <c r="G57" s="7">
        <v>5.6203399999999999E-4</v>
      </c>
      <c r="H57" s="7">
        <v>1.19331E-4</v>
      </c>
      <c r="I57" s="6">
        <f t="shared" si="2"/>
        <v>62.255368923822651</v>
      </c>
      <c r="J57" s="6">
        <f t="shared" si="3"/>
        <v>69.274576507332014</v>
      </c>
      <c r="L57" s="7">
        <v>4.9762299999999999E-4</v>
      </c>
      <c r="M57" s="7">
        <v>1.1213399999999999E-4</v>
      </c>
      <c r="N57" s="6">
        <f t="shared" si="4"/>
        <v>68.85438027003616</v>
      </c>
      <c r="O57" s="6">
        <f t="shared" si="5"/>
        <v>75.730909238260537</v>
      </c>
      <c r="Q57">
        <f t="shared" si="6"/>
        <v>6.3256433333333333E-4</v>
      </c>
      <c r="R57">
        <f t="shared" si="7"/>
        <v>1.3016566666666668E-4</v>
      </c>
      <c r="T57">
        <f t="shared" si="8"/>
        <v>67.211230319802084</v>
      </c>
      <c r="U57">
        <f t="shared" si="9"/>
        <v>74.109659373111697</v>
      </c>
      <c r="W57">
        <f t="shared" si="10"/>
        <v>3.5699935134341452</v>
      </c>
      <c r="X57">
        <f t="shared" si="11"/>
        <v>3.4801915656155695</v>
      </c>
    </row>
    <row r="58" spans="1:24" x14ac:dyDescent="0.35">
      <c r="A58">
        <v>361.57799999999997</v>
      </c>
      <c r="B58">
        <v>8.3891900000000004E-4</v>
      </c>
      <c r="C58">
        <v>1.5914100000000001E-4</v>
      </c>
      <c r="D58">
        <f t="shared" si="0"/>
        <v>70.598249600269298</v>
      </c>
      <c r="E58">
        <f t="shared" si="1"/>
        <v>77.376489636360986</v>
      </c>
      <c r="G58" s="7">
        <v>5.6448399999999997E-4</v>
      </c>
      <c r="H58" s="7">
        <v>1.19175E-4</v>
      </c>
      <c r="I58" s="6">
        <f t="shared" si="2"/>
        <v>62.526750466333183</v>
      </c>
      <c r="J58" s="6">
        <f t="shared" si="3"/>
        <v>69.184014675660919</v>
      </c>
      <c r="L58" s="7">
        <v>5.0061699999999997E-4</v>
      </c>
      <c r="M58" s="7">
        <v>1.12679E-4</v>
      </c>
      <c r="N58" s="6">
        <f t="shared" si="4"/>
        <v>69.268649736134975</v>
      </c>
      <c r="O58" s="6">
        <f t="shared" si="5"/>
        <v>76.098980880535422</v>
      </c>
      <c r="Q58">
        <f t="shared" si="6"/>
        <v>6.3467333333333336E-4</v>
      </c>
      <c r="R58">
        <f t="shared" si="7"/>
        <v>1.3033166666666666E-4</v>
      </c>
      <c r="T58">
        <f t="shared" si="8"/>
        <v>67.464549934245824</v>
      </c>
      <c r="U58">
        <f t="shared" si="9"/>
        <v>74.219828397519109</v>
      </c>
      <c r="W58">
        <f t="shared" si="10"/>
        <v>3.5334927610571794</v>
      </c>
      <c r="X58">
        <f t="shared" si="11"/>
        <v>3.5988490786402045</v>
      </c>
    </row>
    <row r="59" spans="1:24" x14ac:dyDescent="0.35">
      <c r="A59">
        <v>367.786</v>
      </c>
      <c r="B59">
        <v>8.3911100000000002E-4</v>
      </c>
      <c r="C59">
        <v>1.59259E-4</v>
      </c>
      <c r="D59">
        <f t="shared" si="0"/>
        <v>70.614407136245063</v>
      </c>
      <c r="E59">
        <f t="shared" si="1"/>
        <v>77.433862819746096</v>
      </c>
      <c r="G59" s="7">
        <v>5.6646099999999998E-4</v>
      </c>
      <c r="H59" s="7">
        <v>1.1945700000000001E-4</v>
      </c>
      <c r="I59" s="6">
        <f t="shared" si="2"/>
        <v>62.745738755942703</v>
      </c>
      <c r="J59" s="6">
        <f t="shared" si="3"/>
        <v>69.347722602143307</v>
      </c>
      <c r="L59" s="7">
        <v>5.0164700000000003E-4</v>
      </c>
      <c r="M59" s="7">
        <v>1.13386E-4</v>
      </c>
      <c r="N59" s="6">
        <f t="shared" si="4"/>
        <v>69.4111672879325</v>
      </c>
      <c r="O59" s="6">
        <f t="shared" si="5"/>
        <v>76.576460974275506</v>
      </c>
      <c r="Q59">
        <f t="shared" si="6"/>
        <v>6.3573966666666661E-4</v>
      </c>
      <c r="R59">
        <f t="shared" si="7"/>
        <v>1.3070066666666667E-4</v>
      </c>
      <c r="T59">
        <f t="shared" si="8"/>
        <v>67.590437726706753</v>
      </c>
      <c r="U59">
        <f t="shared" si="9"/>
        <v>74.452682132054974</v>
      </c>
      <c r="W59">
        <f t="shared" si="10"/>
        <v>3.4607588398243441</v>
      </c>
      <c r="X59">
        <f t="shared" si="11"/>
        <v>3.6266829043154596</v>
      </c>
    </row>
    <row r="60" spans="1:24" x14ac:dyDescent="0.35">
      <c r="A60">
        <v>374.03899999999999</v>
      </c>
      <c r="B60">
        <v>8.3895599999999997E-4</v>
      </c>
      <c r="C60">
        <v>1.5960700000000001E-4</v>
      </c>
      <c r="D60">
        <f t="shared" si="0"/>
        <v>70.601363292097957</v>
      </c>
      <c r="E60">
        <f t="shared" si="1"/>
        <v>77.603065089390341</v>
      </c>
      <c r="G60" s="7">
        <v>5.6784800000000003E-4</v>
      </c>
      <c r="H60" s="7">
        <v>1.19997E-4</v>
      </c>
      <c r="I60" s="6">
        <f t="shared" si="2"/>
        <v>62.899373939396632</v>
      </c>
      <c r="J60" s="6">
        <f t="shared" si="3"/>
        <v>69.661205865620161</v>
      </c>
      <c r="L60" s="7">
        <v>5.0438499999999999E-4</v>
      </c>
      <c r="M60" s="7">
        <v>1.1339E-4</v>
      </c>
      <c r="N60" s="6">
        <f t="shared" si="4"/>
        <v>69.790014915914639</v>
      </c>
      <c r="O60" s="6">
        <f t="shared" si="5"/>
        <v>76.579162417521559</v>
      </c>
      <c r="Q60">
        <f t="shared" si="6"/>
        <v>6.37063E-4</v>
      </c>
      <c r="R60">
        <f t="shared" si="7"/>
        <v>1.3099800000000001E-4</v>
      </c>
      <c r="T60">
        <f t="shared" si="8"/>
        <v>67.763584049136412</v>
      </c>
      <c r="U60">
        <f t="shared" si="9"/>
        <v>74.61447779084402</v>
      </c>
      <c r="W60">
        <f t="shared" si="10"/>
        <v>3.4554282455922229</v>
      </c>
      <c r="X60">
        <f t="shared" si="11"/>
        <v>3.5273475629026758</v>
      </c>
    </row>
    <row r="61" spans="1:24" x14ac:dyDescent="0.35">
      <c r="A61">
        <v>380.137</v>
      </c>
      <c r="B61">
        <v>8.3960100000000004E-4</v>
      </c>
      <c r="C61">
        <v>1.5834399999999999E-4</v>
      </c>
      <c r="D61">
        <f t="shared" si="0"/>
        <v>70.655642514516543</v>
      </c>
      <c r="E61">
        <f t="shared" si="1"/>
        <v>76.9889775418022</v>
      </c>
      <c r="G61" s="7">
        <v>5.71131E-4</v>
      </c>
      <c r="H61" s="7">
        <v>1.20617E-4</v>
      </c>
      <c r="I61" s="6">
        <f t="shared" si="2"/>
        <v>63.263025206360744</v>
      </c>
      <c r="J61" s="6">
        <f t="shared" si="3"/>
        <v>70.021131094056585</v>
      </c>
      <c r="L61" s="7">
        <v>5.0687599999999996E-4</v>
      </c>
      <c r="M61" s="7">
        <v>1.1373400000000001E-4</v>
      </c>
      <c r="N61" s="6">
        <f t="shared" si="4"/>
        <v>70.134686004776398</v>
      </c>
      <c r="O61" s="6">
        <f t="shared" si="5"/>
        <v>76.811486536682224</v>
      </c>
      <c r="Q61">
        <f t="shared" si="6"/>
        <v>6.392026666666666E-4</v>
      </c>
      <c r="R61">
        <f t="shared" si="7"/>
        <v>1.3089833333333333E-4</v>
      </c>
      <c r="T61">
        <f t="shared" si="8"/>
        <v>68.017784575217902</v>
      </c>
      <c r="U61">
        <f t="shared" si="9"/>
        <v>74.607198390847003</v>
      </c>
      <c r="W61">
        <f t="shared" si="10"/>
        <v>3.3688426710134247</v>
      </c>
      <c r="X61">
        <f t="shared" si="11"/>
        <v>3.2436487378920007</v>
      </c>
    </row>
    <row r="62" spans="1:24" x14ac:dyDescent="0.35">
      <c r="A62">
        <v>386.49799999999999</v>
      </c>
      <c r="B62">
        <v>8.4033299999999997E-4</v>
      </c>
      <c r="C62">
        <v>1.5849700000000001E-4</v>
      </c>
      <c r="D62">
        <f t="shared" si="0"/>
        <v>70.717243120424129</v>
      </c>
      <c r="E62">
        <f t="shared" si="1"/>
        <v>77.063368194835448</v>
      </c>
      <c r="G62" s="7">
        <v>5.7334200000000001E-4</v>
      </c>
      <c r="H62" s="7">
        <v>1.2086099999999999E-4</v>
      </c>
      <c r="I62" s="6">
        <f t="shared" si="2"/>
        <v>63.507933202479435</v>
      </c>
      <c r="J62" s="6">
        <f t="shared" si="3"/>
        <v>70.162779087183168</v>
      </c>
      <c r="L62" s="7">
        <v>5.0912400000000001E-4</v>
      </c>
      <c r="M62" s="7">
        <v>1.13675E-4</v>
      </c>
      <c r="N62" s="6">
        <f t="shared" si="4"/>
        <v>70.445734020738385</v>
      </c>
      <c r="O62" s="6">
        <f t="shared" si="5"/>
        <v>76.771640248802925</v>
      </c>
      <c r="Q62">
        <f t="shared" si="6"/>
        <v>6.4093300000000011E-4</v>
      </c>
      <c r="R62">
        <f t="shared" si="7"/>
        <v>1.31011E-4</v>
      </c>
      <c r="T62">
        <f t="shared" si="8"/>
        <v>68.223636781213983</v>
      </c>
      <c r="U62">
        <f t="shared" si="9"/>
        <v>74.665929176940509</v>
      </c>
      <c r="W62">
        <f t="shared" si="10"/>
        <v>3.3363477516260609</v>
      </c>
      <c r="X62">
        <f t="shared" si="11"/>
        <v>3.1864344594740248</v>
      </c>
    </row>
    <row r="63" spans="1:24" x14ac:dyDescent="0.35">
      <c r="A63">
        <v>392.601</v>
      </c>
      <c r="B63">
        <v>8.4127599999999996E-4</v>
      </c>
      <c r="C63">
        <v>1.5807700000000001E-4</v>
      </c>
      <c r="D63">
        <f t="shared" si="0"/>
        <v>70.796600185138431</v>
      </c>
      <c r="E63">
        <f t="shared" si="1"/>
        <v>76.859158559057931</v>
      </c>
      <c r="G63" s="7">
        <v>5.7379299999999996E-4</v>
      </c>
      <c r="H63" s="7">
        <v>1.21415E-4</v>
      </c>
      <c r="I63" s="6">
        <f t="shared" si="2"/>
        <v>63.557889559896672</v>
      </c>
      <c r="J63" s="6">
        <f t="shared" si="3"/>
        <v>70.484389694527977</v>
      </c>
      <c r="L63" s="7">
        <v>5.1151600000000005E-4</v>
      </c>
      <c r="M63" s="7">
        <v>1.14119E-4</v>
      </c>
      <c r="N63" s="6">
        <f t="shared" si="4"/>
        <v>70.776706820640982</v>
      </c>
      <c r="O63" s="6">
        <f t="shared" si="5"/>
        <v>77.071500449114936</v>
      </c>
      <c r="Q63">
        <f t="shared" si="6"/>
        <v>6.4219500000000003E-4</v>
      </c>
      <c r="R63">
        <f t="shared" si="7"/>
        <v>1.3120366666666665E-4</v>
      </c>
      <c r="T63">
        <f t="shared" si="8"/>
        <v>68.377065521892021</v>
      </c>
      <c r="U63">
        <f t="shared" si="9"/>
        <v>74.805016234233619</v>
      </c>
      <c r="W63">
        <f t="shared" si="10"/>
        <v>3.4076816802623209</v>
      </c>
      <c r="X63">
        <f t="shared" si="11"/>
        <v>3.0563739454103431</v>
      </c>
    </row>
    <row r="64" spans="1:24" x14ac:dyDescent="0.35">
      <c r="A64">
        <v>398.83199999999999</v>
      </c>
      <c r="B64">
        <v>8.4253099999999999E-4</v>
      </c>
      <c r="C64">
        <v>1.5819E-4</v>
      </c>
      <c r="D64">
        <f t="shared" si="0"/>
        <v>70.902213245813357</v>
      </c>
      <c r="E64">
        <f t="shared" si="1"/>
        <v>76.91410067535044</v>
      </c>
      <c r="G64" s="7">
        <v>5.7567800000000004E-4</v>
      </c>
      <c r="H64" s="7">
        <v>1.22087E-4</v>
      </c>
      <c r="I64" s="6">
        <f t="shared" si="2"/>
        <v>63.766687195664993</v>
      </c>
      <c r="J64" s="6">
        <f t="shared" si="3"/>
        <v>70.87450220018809</v>
      </c>
      <c r="L64" s="7">
        <v>5.14976E-4</v>
      </c>
      <c r="M64" s="7">
        <v>1.14166E-4</v>
      </c>
      <c r="N64" s="6">
        <f t="shared" si="4"/>
        <v>71.25545510143651</v>
      </c>
      <c r="O64" s="6">
        <f t="shared" si="5"/>
        <v>77.103242407256076</v>
      </c>
      <c r="Q64">
        <f t="shared" si="6"/>
        <v>6.4439499999999997E-4</v>
      </c>
      <c r="R64">
        <f t="shared" si="7"/>
        <v>1.31481E-4</v>
      </c>
      <c r="T64">
        <f t="shared" si="8"/>
        <v>68.64145184763828</v>
      </c>
      <c r="U64">
        <f t="shared" si="9"/>
        <v>74.963948427598197</v>
      </c>
      <c r="W64">
        <f t="shared" si="10"/>
        <v>3.4499944696803264</v>
      </c>
      <c r="X64">
        <f t="shared" si="11"/>
        <v>2.8927059401013171</v>
      </c>
    </row>
    <row r="65" spans="1:24" x14ac:dyDescent="0.35">
      <c r="A65">
        <v>405.02199999999999</v>
      </c>
      <c r="B65">
        <v>8.4268199999999998E-4</v>
      </c>
      <c r="C65">
        <v>1.5863699999999999E-4</v>
      </c>
      <c r="D65">
        <f t="shared" si="0"/>
        <v>70.914920474627621</v>
      </c>
      <c r="E65">
        <f t="shared" si="1"/>
        <v>77.131438073427944</v>
      </c>
      <c r="G65" s="7">
        <v>5.7816699999999998E-4</v>
      </c>
      <c r="H65" s="7">
        <v>1.22108E-4</v>
      </c>
      <c r="I65" s="6">
        <f t="shared" si="2"/>
        <v>64.042388689260378</v>
      </c>
      <c r="J65" s="6">
        <f t="shared" si="3"/>
        <v>70.886693215989965</v>
      </c>
      <c r="L65" s="7">
        <v>5.1768099999999998E-4</v>
      </c>
      <c r="M65" s="7">
        <v>1.14679E-4</v>
      </c>
      <c r="N65" s="6">
        <f t="shared" si="4"/>
        <v>71.629736633098943</v>
      </c>
      <c r="O65" s="6">
        <f t="shared" si="5"/>
        <v>77.449702503562534</v>
      </c>
      <c r="Q65">
        <f t="shared" si="6"/>
        <v>6.4617666666666668E-4</v>
      </c>
      <c r="R65">
        <f t="shared" si="7"/>
        <v>1.31808E-4</v>
      </c>
      <c r="T65">
        <f t="shared" si="8"/>
        <v>68.862348598995652</v>
      </c>
      <c r="U65">
        <f t="shared" si="9"/>
        <v>75.155944597660152</v>
      </c>
      <c r="W65">
        <f t="shared" si="10"/>
        <v>3.4206968767289068</v>
      </c>
      <c r="X65">
        <f t="shared" si="11"/>
        <v>3.0216114444439302</v>
      </c>
    </row>
    <row r="66" spans="1:24" x14ac:dyDescent="0.35">
      <c r="A66">
        <v>411.33699999999999</v>
      </c>
      <c r="B66">
        <v>8.4283800000000005E-4</v>
      </c>
      <c r="C66">
        <v>1.5841999999999999E-4</v>
      </c>
      <c r="D66">
        <f t="shared" si="0"/>
        <v>70.928048472607927</v>
      </c>
      <c r="E66">
        <f t="shared" si="1"/>
        <v>77.025929761609561</v>
      </c>
      <c r="G66" s="7">
        <v>5.8132599999999996E-4</v>
      </c>
      <c r="H66" s="7">
        <v>1.2253700000000001E-4</v>
      </c>
      <c r="I66" s="6">
        <f t="shared" si="2"/>
        <v>64.39230472713416</v>
      </c>
      <c r="J66" s="6">
        <f t="shared" si="3"/>
        <v>71.135738253085492</v>
      </c>
      <c r="L66" s="7">
        <v>5.19466E-4</v>
      </c>
      <c r="M66" s="7">
        <v>1.15369E-4</v>
      </c>
      <c r="N66" s="6">
        <f t="shared" si="4"/>
        <v>71.876720934029592</v>
      </c>
      <c r="O66" s="6">
        <f t="shared" si="5"/>
        <v>77.915701463506878</v>
      </c>
      <c r="Q66">
        <f t="shared" si="6"/>
        <v>6.4787666666666667E-4</v>
      </c>
      <c r="R66">
        <f t="shared" si="7"/>
        <v>1.3210866666666664E-4</v>
      </c>
      <c r="T66">
        <f t="shared" si="8"/>
        <v>69.065691377923898</v>
      </c>
      <c r="U66">
        <f t="shared" si="9"/>
        <v>75.359123159400653</v>
      </c>
      <c r="W66">
        <f t="shared" si="10"/>
        <v>3.3272012213069528</v>
      </c>
      <c r="X66">
        <f t="shared" si="11"/>
        <v>3.0083947514183587</v>
      </c>
    </row>
    <row r="67" spans="1:24" x14ac:dyDescent="0.35">
      <c r="A67">
        <v>417.42200000000003</v>
      </c>
      <c r="B67">
        <v>8.4314600000000002E-4</v>
      </c>
      <c r="C67">
        <v>1.5829099999999999E-4</v>
      </c>
      <c r="D67">
        <f t="shared" si="0"/>
        <v>70.953967853235724</v>
      </c>
      <c r="E67">
        <f t="shared" si="1"/>
        <v>76.963208230620751</v>
      </c>
      <c r="G67" s="7">
        <v>5.8288299999999997E-4</v>
      </c>
      <c r="H67" s="7">
        <v>1.2265900000000001E-4</v>
      </c>
      <c r="I67" s="6">
        <f t="shared" si="2"/>
        <v>64.564770466599015</v>
      </c>
      <c r="J67" s="6">
        <f t="shared" si="3"/>
        <v>71.206562249648783</v>
      </c>
      <c r="L67" s="7">
        <v>5.2269600000000001E-4</v>
      </c>
      <c r="M67" s="7">
        <v>1.1586699999999999E-4</v>
      </c>
      <c r="N67" s="6">
        <f t="shared" si="4"/>
        <v>72.32364490714221</v>
      </c>
      <c r="O67" s="6">
        <f t="shared" si="5"/>
        <v>78.252031147640622</v>
      </c>
      <c r="Q67">
        <f t="shared" si="6"/>
        <v>6.49575E-4</v>
      </c>
      <c r="R67">
        <f t="shared" si="7"/>
        <v>1.322723333333333E-4</v>
      </c>
      <c r="T67">
        <f t="shared" si="8"/>
        <v>69.280794408992321</v>
      </c>
      <c r="U67">
        <f t="shared" si="9"/>
        <v>75.473933875970047</v>
      </c>
      <c r="W67">
        <f t="shared" si="10"/>
        <v>3.3812882334912566</v>
      </c>
      <c r="X67">
        <f t="shared" si="11"/>
        <v>3.0630172026623002</v>
      </c>
    </row>
    <row r="68" spans="1:24" x14ac:dyDescent="0.35">
      <c r="A68">
        <v>423.74099999999999</v>
      </c>
      <c r="B68">
        <v>8.4330199999999998E-4</v>
      </c>
      <c r="C68">
        <v>1.5946100000000001E-4</v>
      </c>
      <c r="D68">
        <f t="shared" ref="D68:D109" si="12">B68/$B$3*100</f>
        <v>70.967095851216015</v>
      </c>
      <c r="E68">
        <f t="shared" ref="E68:E109" si="13">C68/$C$3*100</f>
        <v>77.532077930286718</v>
      </c>
      <c r="G68" s="7">
        <v>5.85908E-4</v>
      </c>
      <c r="H68" s="7">
        <v>1.23232E-4</v>
      </c>
      <c r="I68" s="6">
        <f t="shared" ref="I68:I109" si="14">G68/$G$3*100</f>
        <v>64.899843595617142</v>
      </c>
      <c r="J68" s="6">
        <f t="shared" ref="J68:J109" si="15">H68/$H$3*100</f>
        <v>71.539202823671459</v>
      </c>
      <c r="L68" s="7">
        <v>5.2492000000000001E-4</v>
      </c>
      <c r="M68" s="7">
        <v>1.1627400000000001E-4</v>
      </c>
      <c r="N68" s="6">
        <f t="shared" ref="N68:N109" si="16">L68/$L$3*100</f>
        <v>72.631372125780729</v>
      </c>
      <c r="O68" s="6">
        <f t="shared" ref="O68:O109" si="17">M68/$M$3*100</f>
        <v>78.526902997926655</v>
      </c>
      <c r="Q68">
        <f t="shared" ref="Q68:Q109" si="18">AVERAGE(B68,G68,L68)</f>
        <v>6.513766666666667E-4</v>
      </c>
      <c r="R68">
        <f t="shared" ref="R68:R109" si="19">AVERAGE(C68,H68,M68)</f>
        <v>1.32989E-4</v>
      </c>
      <c r="T68">
        <f t="shared" ref="T68:T109" si="20">AVERAGE(D68,I68,N68)</f>
        <v>69.499437190871291</v>
      </c>
      <c r="U68">
        <f t="shared" ref="U68:U109" si="21">AVERAGE(E68,J68,O68)</f>
        <v>75.866061250628277</v>
      </c>
      <c r="W68">
        <f t="shared" ref="W68:W109" si="22">_xlfn.STDEV.P(D68,I68,N68)</f>
        <v>3.3226144134448323</v>
      </c>
      <c r="X68">
        <f t="shared" ref="X68:X109" si="23">_xlfn.STDEV.P(E68,J68,O68)</f>
        <v>3.0863891647032702</v>
      </c>
    </row>
    <row r="69" spans="1:24" x14ac:dyDescent="0.35">
      <c r="A69">
        <v>429.80099999999999</v>
      </c>
      <c r="B69">
        <v>8.4398000000000003E-4</v>
      </c>
      <c r="C69">
        <v>1.58942E-4</v>
      </c>
      <c r="D69">
        <f t="shared" si="12"/>
        <v>71.024152150130433</v>
      </c>
      <c r="E69">
        <f t="shared" si="13"/>
        <v>77.279733166075914</v>
      </c>
      <c r="G69" s="7">
        <v>5.8803800000000004E-4</v>
      </c>
      <c r="H69" s="7">
        <v>1.24251E-4</v>
      </c>
      <c r="I69" s="6">
        <f t="shared" si="14"/>
        <v>65.135779385636511</v>
      </c>
      <c r="J69" s="6">
        <f t="shared" si="15"/>
        <v>72.130757352343579</v>
      </c>
      <c r="L69" s="7">
        <v>5.2747700000000005E-4</v>
      </c>
      <c r="M69" s="7">
        <v>1.1633000000000001E-4</v>
      </c>
      <c r="N69" s="6">
        <f t="shared" si="16"/>
        <v>72.985175407281957</v>
      </c>
      <c r="O69" s="6">
        <f t="shared" si="17"/>
        <v>78.564723203371415</v>
      </c>
      <c r="Q69">
        <f t="shared" si="18"/>
        <v>6.5316500000000015E-4</v>
      </c>
      <c r="R69">
        <f t="shared" si="19"/>
        <v>1.3317433333333333E-4</v>
      </c>
      <c r="T69">
        <f t="shared" si="20"/>
        <v>69.715035647682967</v>
      </c>
      <c r="U69">
        <f t="shared" si="21"/>
        <v>75.991737907263641</v>
      </c>
      <c r="W69">
        <f t="shared" si="22"/>
        <v>3.3355253448186195</v>
      </c>
      <c r="X69">
        <f t="shared" si="23"/>
        <v>2.78006930166501</v>
      </c>
    </row>
    <row r="70" spans="1:24" x14ac:dyDescent="0.35">
      <c r="A70">
        <v>436.18</v>
      </c>
      <c r="B70">
        <v>8.4393599999999999E-4</v>
      </c>
      <c r="C70">
        <v>1.58877E-4</v>
      </c>
      <c r="D70">
        <f t="shared" si="12"/>
        <v>71.020449381469334</v>
      </c>
      <c r="E70">
        <f t="shared" si="13"/>
        <v>77.248129293872253</v>
      </c>
      <c r="G70" s="7">
        <v>5.9127099999999998E-4</v>
      </c>
      <c r="H70" s="7">
        <v>1.24661E-4</v>
      </c>
      <c r="I70" s="6">
        <f t="shared" si="14"/>
        <v>65.493892253773865</v>
      </c>
      <c r="J70" s="6">
        <f t="shared" si="15"/>
        <v>72.368772422761211</v>
      </c>
      <c r="L70" s="7">
        <v>5.2898300000000001E-4</v>
      </c>
      <c r="M70" s="7">
        <v>1.1695499999999999E-4</v>
      </c>
      <c r="N70" s="6">
        <f t="shared" si="16"/>
        <v>73.193555439327653</v>
      </c>
      <c r="O70" s="6">
        <f t="shared" si="17"/>
        <v>78.986823710567364</v>
      </c>
      <c r="Q70">
        <f t="shared" si="18"/>
        <v>6.5473000000000007E-4</v>
      </c>
      <c r="R70">
        <f t="shared" si="19"/>
        <v>1.3349766666666667E-4</v>
      </c>
      <c r="T70">
        <f t="shared" si="20"/>
        <v>69.902632358190274</v>
      </c>
      <c r="U70">
        <f t="shared" si="21"/>
        <v>76.201241809066943</v>
      </c>
      <c r="W70">
        <f t="shared" si="22"/>
        <v>3.2412281073581153</v>
      </c>
      <c r="X70">
        <f t="shared" si="23"/>
        <v>2.8013842728657874</v>
      </c>
    </row>
    <row r="71" spans="1:24" x14ac:dyDescent="0.35">
      <c r="A71">
        <v>449.34699999999998</v>
      </c>
      <c r="B71">
        <v>2.8949800000000001E-6</v>
      </c>
      <c r="C71">
        <v>2.63144E-5</v>
      </c>
      <c r="D71">
        <f t="shared" si="12"/>
        <v>0.24362366405789784</v>
      </c>
      <c r="E71">
        <f t="shared" si="13"/>
        <v>12.794414380248067</v>
      </c>
      <c r="G71" s="7">
        <v>4.1249899999999996E-6</v>
      </c>
      <c r="H71" s="7">
        <v>2.4180199999999999E-5</v>
      </c>
      <c r="I71" s="6">
        <f t="shared" si="14"/>
        <v>0.45691679552674602</v>
      </c>
      <c r="J71" s="6">
        <f t="shared" si="15"/>
        <v>14.037200013932589</v>
      </c>
      <c r="L71" s="7">
        <v>6.09529E-6</v>
      </c>
      <c r="M71" s="7">
        <v>2.42979E-5</v>
      </c>
      <c r="N71" s="6">
        <f t="shared" si="16"/>
        <v>0.84338427989893694</v>
      </c>
      <c r="O71" s="6">
        <f t="shared" si="17"/>
        <v>16.409849462075112</v>
      </c>
      <c r="Q71">
        <f t="shared" si="18"/>
        <v>4.3717533333333331E-6</v>
      </c>
      <c r="R71">
        <f t="shared" si="19"/>
        <v>2.4930833333333332E-5</v>
      </c>
      <c r="T71">
        <f t="shared" si="20"/>
        <v>0.51464157982786018</v>
      </c>
      <c r="U71">
        <f t="shared" si="21"/>
        <v>14.413821285418587</v>
      </c>
      <c r="W71">
        <f t="shared" si="22"/>
        <v>0.24823015143271548</v>
      </c>
      <c r="X71">
        <f t="shared" si="23"/>
        <v>1.4998278555283775</v>
      </c>
    </row>
    <row r="72" spans="1:24" x14ac:dyDescent="0.35">
      <c r="A72">
        <v>455.601</v>
      </c>
      <c r="B72">
        <v>2.89763E-6</v>
      </c>
      <c r="C72">
        <v>2.62771E-5</v>
      </c>
      <c r="D72">
        <f t="shared" si="12"/>
        <v>0.24384667171589666</v>
      </c>
      <c r="E72">
        <f t="shared" si="13"/>
        <v>12.776278619737347</v>
      </c>
      <c r="G72" s="7">
        <v>4.0826399999999999E-6</v>
      </c>
      <c r="H72" s="7">
        <v>2.4042499999999999E-5</v>
      </c>
      <c r="I72" s="6">
        <f t="shared" si="14"/>
        <v>0.45222577172049255</v>
      </c>
      <c r="J72" s="6">
        <f t="shared" si="15"/>
        <v>13.957261781745986</v>
      </c>
      <c r="L72" s="7">
        <v>6.0021399999999999E-6</v>
      </c>
      <c r="M72" s="7">
        <v>2.4155099999999998E-5</v>
      </c>
      <c r="N72" s="6">
        <f t="shared" si="16"/>
        <v>0.83049543528734582</v>
      </c>
      <c r="O72" s="6">
        <f t="shared" si="17"/>
        <v>16.313407938190977</v>
      </c>
      <c r="Q72">
        <f t="shared" si="18"/>
        <v>4.3274700000000001E-6</v>
      </c>
      <c r="R72">
        <f t="shared" si="19"/>
        <v>2.48249E-5</v>
      </c>
      <c r="T72">
        <f t="shared" si="20"/>
        <v>0.50885595957457841</v>
      </c>
      <c r="U72">
        <f t="shared" si="21"/>
        <v>14.348982779891436</v>
      </c>
      <c r="W72">
        <f t="shared" si="22"/>
        <v>0.24282288000690178</v>
      </c>
      <c r="X72">
        <f t="shared" si="23"/>
        <v>1.4703525561708168</v>
      </c>
    </row>
    <row r="73" spans="1:24" x14ac:dyDescent="0.35">
      <c r="A73">
        <v>461.72699999999998</v>
      </c>
      <c r="B73">
        <v>2.8827099999999998E-6</v>
      </c>
      <c r="C73">
        <v>2.6179599999999999E-5</v>
      </c>
      <c r="D73">
        <f t="shared" si="12"/>
        <v>0.24259109652444666</v>
      </c>
      <c r="E73">
        <f t="shared" si="13"/>
        <v>12.728872811431849</v>
      </c>
      <c r="G73" s="7">
        <v>4.0366100000000003E-6</v>
      </c>
      <c r="H73" s="7">
        <v>2.39396E-5</v>
      </c>
      <c r="I73" s="6">
        <f t="shared" si="14"/>
        <v>0.44712712176059061</v>
      </c>
      <c r="J73" s="6">
        <f t="shared" si="15"/>
        <v>13.897525804316778</v>
      </c>
      <c r="L73" s="7">
        <v>5.8972199999999998E-6</v>
      </c>
      <c r="M73" s="7">
        <v>2.39735E-5</v>
      </c>
      <c r="N73" s="6">
        <f t="shared" si="16"/>
        <v>0.81597801632171885</v>
      </c>
      <c r="O73" s="6">
        <f t="shared" si="17"/>
        <v>16.190762414820117</v>
      </c>
      <c r="Q73">
        <f t="shared" si="18"/>
        <v>4.2721799999999998E-6</v>
      </c>
      <c r="R73">
        <f t="shared" si="19"/>
        <v>2.4697566666666669E-5</v>
      </c>
      <c r="T73">
        <f t="shared" si="20"/>
        <v>0.50189874486891872</v>
      </c>
      <c r="U73">
        <f t="shared" si="21"/>
        <v>14.272387010189581</v>
      </c>
      <c r="W73">
        <f t="shared" si="22"/>
        <v>0.23726649991390333</v>
      </c>
      <c r="X73">
        <f t="shared" si="23"/>
        <v>1.4379523866162935</v>
      </c>
    </row>
    <row r="74" spans="1:24" x14ac:dyDescent="0.35">
      <c r="A74">
        <v>467.90100000000001</v>
      </c>
      <c r="B74">
        <v>2.87431E-6</v>
      </c>
      <c r="C74">
        <v>2.6143600000000002E-5</v>
      </c>
      <c r="D74">
        <f t="shared" si="12"/>
        <v>0.241884204325507</v>
      </c>
      <c r="E74">
        <f t="shared" si="13"/>
        <v>12.711369128365204</v>
      </c>
      <c r="G74" s="7">
        <v>3.9926999999999999E-6</v>
      </c>
      <c r="H74" s="7">
        <v>2.38653E-5</v>
      </c>
      <c r="I74" s="6">
        <f t="shared" si="14"/>
        <v>0.44226329991094254</v>
      </c>
      <c r="J74" s="6">
        <f t="shared" si="15"/>
        <v>13.854392829360609</v>
      </c>
      <c r="L74" s="7">
        <v>5.8141699999999998E-6</v>
      </c>
      <c r="M74" s="7">
        <v>2.38605E-5</v>
      </c>
      <c r="N74" s="6">
        <f t="shared" si="16"/>
        <v>0.80448667391707418</v>
      </c>
      <c r="O74" s="6">
        <f t="shared" si="17"/>
        <v>16.114446643119088</v>
      </c>
      <c r="Q74">
        <f t="shared" si="18"/>
        <v>4.2270599999999995E-6</v>
      </c>
      <c r="R74">
        <f t="shared" si="19"/>
        <v>2.4623133333333335E-5</v>
      </c>
      <c r="T74">
        <f t="shared" si="20"/>
        <v>0.49621139271784126</v>
      </c>
      <c r="U74">
        <f t="shared" si="21"/>
        <v>14.226736200281634</v>
      </c>
      <c r="W74">
        <f t="shared" si="22"/>
        <v>0.2328278079550907</v>
      </c>
      <c r="X74">
        <f t="shared" si="23"/>
        <v>1.4140282487177054</v>
      </c>
    </row>
    <row r="75" spans="1:24" x14ac:dyDescent="0.35">
      <c r="A75">
        <v>474.11200000000002</v>
      </c>
      <c r="B75">
        <v>2.8671999999999998E-6</v>
      </c>
      <c r="C75">
        <v>2.61211E-5</v>
      </c>
      <c r="D75">
        <f t="shared" si="12"/>
        <v>0.24128587057140452</v>
      </c>
      <c r="E75">
        <f t="shared" si="13"/>
        <v>12.700429326448551</v>
      </c>
      <c r="G75" s="7">
        <v>3.9613399999999999E-6</v>
      </c>
      <c r="H75" s="7">
        <v>2.3821599999999999E-5</v>
      </c>
      <c r="I75" s="6">
        <f t="shared" si="14"/>
        <v>0.43878961616680767</v>
      </c>
      <c r="J75" s="6">
        <f t="shared" si="15"/>
        <v>13.829023906001462</v>
      </c>
      <c r="L75" s="7">
        <v>5.7547899999999997E-6</v>
      </c>
      <c r="M75" s="7">
        <v>2.3818100000000002E-5</v>
      </c>
      <c r="N75" s="6">
        <f t="shared" si="16"/>
        <v>0.79627046787266953</v>
      </c>
      <c r="O75" s="6">
        <f t="shared" si="17"/>
        <v>16.085811344710912</v>
      </c>
      <c r="Q75">
        <f t="shared" si="18"/>
        <v>4.1944433333333333E-6</v>
      </c>
      <c r="R75">
        <f t="shared" si="19"/>
        <v>2.4586933333333333E-5</v>
      </c>
      <c r="T75">
        <f t="shared" si="20"/>
        <v>0.49211531820362725</v>
      </c>
      <c r="U75">
        <f t="shared" si="21"/>
        <v>14.205088192386976</v>
      </c>
      <c r="W75">
        <f t="shared" si="22"/>
        <v>0.22968775715987638</v>
      </c>
      <c r="X75">
        <f t="shared" si="23"/>
        <v>1.4074258092973657</v>
      </c>
    </row>
    <row r="76" spans="1:24" x14ac:dyDescent="0.35">
      <c r="A76">
        <v>480.45699999999999</v>
      </c>
      <c r="B76">
        <v>2.8612600000000002E-6</v>
      </c>
      <c r="C76">
        <v>2.6123699999999999E-5</v>
      </c>
      <c r="D76">
        <f t="shared" si="12"/>
        <v>0.24078599680215437</v>
      </c>
      <c r="E76">
        <f t="shared" si="13"/>
        <v>12.701693481336699</v>
      </c>
      <c r="G76" s="7">
        <v>3.9314299999999997E-6</v>
      </c>
      <c r="H76" s="7">
        <v>2.3785200000000001E-5</v>
      </c>
      <c r="I76" s="6">
        <f t="shared" si="14"/>
        <v>0.43547654598864849</v>
      </c>
      <c r="J76" s="6">
        <f t="shared" si="15"/>
        <v>13.807892811944875</v>
      </c>
      <c r="L76" s="7">
        <v>5.7063400000000002E-6</v>
      </c>
      <c r="M76" s="7">
        <v>2.37557E-5</v>
      </c>
      <c r="N76" s="6">
        <f t="shared" si="16"/>
        <v>0.78956660827598035</v>
      </c>
      <c r="O76" s="6">
        <f t="shared" si="17"/>
        <v>16.043668830072466</v>
      </c>
      <c r="Q76">
        <f t="shared" si="18"/>
        <v>4.1663433333333327E-6</v>
      </c>
      <c r="R76">
        <f t="shared" si="19"/>
        <v>2.4554866666666664E-5</v>
      </c>
      <c r="T76">
        <f t="shared" si="20"/>
        <v>0.48860971702226114</v>
      </c>
      <c r="U76">
        <f t="shared" si="21"/>
        <v>14.184418374451345</v>
      </c>
      <c r="W76">
        <f t="shared" si="22"/>
        <v>0.22716717820504187</v>
      </c>
      <c r="X76">
        <f t="shared" si="23"/>
        <v>1.3900907481899636</v>
      </c>
    </row>
    <row r="77" spans="1:24" x14ac:dyDescent="0.35">
      <c r="A77">
        <v>486.59</v>
      </c>
      <c r="B77">
        <v>2.8496600000000002E-6</v>
      </c>
      <c r="C77">
        <v>2.6087600000000001E-5</v>
      </c>
      <c r="D77">
        <f t="shared" si="12"/>
        <v>0.23980981233695195</v>
      </c>
      <c r="E77">
        <f t="shared" si="13"/>
        <v>12.684141176928202</v>
      </c>
      <c r="G77" s="7">
        <v>3.9045100000000003E-6</v>
      </c>
      <c r="H77" s="7">
        <v>2.37479E-5</v>
      </c>
      <c r="I77" s="6">
        <f t="shared" si="14"/>
        <v>0.43249467206032877</v>
      </c>
      <c r="J77" s="6">
        <f t="shared" si="15"/>
        <v>13.78623924578249</v>
      </c>
      <c r="L77" s="7">
        <v>5.6573699999999998E-6</v>
      </c>
      <c r="M77" s="7">
        <v>2.3707099999999999E-5</v>
      </c>
      <c r="N77" s="6">
        <f t="shared" si="16"/>
        <v>0.7827907980706168</v>
      </c>
      <c r="O77" s="6">
        <f t="shared" si="17"/>
        <v>16.010846294632909</v>
      </c>
      <c r="Q77">
        <f t="shared" si="18"/>
        <v>4.1371800000000003E-6</v>
      </c>
      <c r="R77">
        <f t="shared" si="19"/>
        <v>2.45142E-5</v>
      </c>
      <c r="T77">
        <f t="shared" si="20"/>
        <v>0.4850317608226325</v>
      </c>
      <c r="U77">
        <f t="shared" si="21"/>
        <v>14.160408905781201</v>
      </c>
      <c r="W77">
        <f t="shared" si="22"/>
        <v>0.22476238859261899</v>
      </c>
      <c r="X77">
        <f t="shared" si="23"/>
        <v>1.3836531202793894</v>
      </c>
    </row>
    <row r="78" spans="1:24" x14ac:dyDescent="0.35">
      <c r="A78">
        <v>492.80599999999998</v>
      </c>
      <c r="B78">
        <v>2.8422800000000002E-6</v>
      </c>
      <c r="C78">
        <v>2.6053800000000001E-5</v>
      </c>
      <c r="D78">
        <f t="shared" si="12"/>
        <v>0.23918875704788353</v>
      </c>
      <c r="E78">
        <f t="shared" si="13"/>
        <v>12.667707163382296</v>
      </c>
      <c r="G78" s="7">
        <v>3.8890000000000004E-6</v>
      </c>
      <c r="H78" s="7">
        <v>2.3741299999999999E-5</v>
      </c>
      <c r="I78" s="6">
        <f t="shared" si="14"/>
        <v>0.43077666074427223</v>
      </c>
      <c r="J78" s="6">
        <f t="shared" si="15"/>
        <v>13.782407783673326</v>
      </c>
      <c r="L78" s="7">
        <v>5.5785699999999999E-6</v>
      </c>
      <c r="M78" s="7">
        <v>2.3634499999999999E-5</v>
      </c>
      <c r="N78" s="6">
        <f t="shared" si="16"/>
        <v>0.77188751352533069</v>
      </c>
      <c r="O78" s="6">
        <f t="shared" si="17"/>
        <v>15.961815099717025</v>
      </c>
      <c r="Q78">
        <f t="shared" si="18"/>
        <v>4.1032833333333335E-6</v>
      </c>
      <c r="R78">
        <f t="shared" si="19"/>
        <v>2.4476533333333335E-5</v>
      </c>
      <c r="T78">
        <f t="shared" si="20"/>
        <v>0.48061764377249555</v>
      </c>
      <c r="U78">
        <f t="shared" si="21"/>
        <v>14.137310015590884</v>
      </c>
      <c r="W78">
        <f t="shared" si="22"/>
        <v>0.22031051416893277</v>
      </c>
      <c r="X78">
        <f t="shared" si="23"/>
        <v>1.368028622926901</v>
      </c>
    </row>
    <row r="79" spans="1:24" x14ac:dyDescent="0.35">
      <c r="A79">
        <v>499.017</v>
      </c>
      <c r="B79">
        <v>2.8359100000000001E-6</v>
      </c>
      <c r="C79">
        <v>2.6074199999999998E-5</v>
      </c>
      <c r="D79">
        <f t="shared" si="12"/>
        <v>0.23865269713035431</v>
      </c>
      <c r="E79">
        <f t="shared" si="13"/>
        <v>12.677625917120061</v>
      </c>
      <c r="G79" s="7">
        <v>3.8554899999999999E-6</v>
      </c>
      <c r="H79" s="7">
        <v>2.3714699999999998E-5</v>
      </c>
      <c r="I79" s="6">
        <f t="shared" si="14"/>
        <v>0.4270648258505873</v>
      </c>
      <c r="J79" s="6">
        <f t="shared" si="15"/>
        <v>13.766965830324279</v>
      </c>
      <c r="L79" s="7">
        <v>5.5374700000000004E-6</v>
      </c>
      <c r="M79" s="7">
        <v>2.3597100000000001E-5</v>
      </c>
      <c r="N79" s="6">
        <f t="shared" si="16"/>
        <v>0.76620064810894428</v>
      </c>
      <c r="O79" s="6">
        <f t="shared" si="17"/>
        <v>15.93655660536642</v>
      </c>
      <c r="Q79">
        <f t="shared" si="18"/>
        <v>4.0762900000000004E-6</v>
      </c>
      <c r="R79">
        <f t="shared" si="19"/>
        <v>2.4462000000000001E-5</v>
      </c>
      <c r="T79">
        <f t="shared" si="20"/>
        <v>0.47730605702996193</v>
      </c>
      <c r="U79">
        <f t="shared" si="21"/>
        <v>14.127049450936921</v>
      </c>
      <c r="W79">
        <f t="shared" si="22"/>
        <v>0.21828092927577186</v>
      </c>
      <c r="X79">
        <f t="shared" si="23"/>
        <v>1.3545977184078435</v>
      </c>
    </row>
    <row r="80" spans="1:24" x14ac:dyDescent="0.35">
      <c r="A80">
        <v>505.20699999999999</v>
      </c>
      <c r="B80">
        <v>2.8327800000000001E-6</v>
      </c>
      <c r="C80">
        <v>2.6080100000000001E-5</v>
      </c>
      <c r="D80">
        <f t="shared" si="12"/>
        <v>0.23838929563241607</v>
      </c>
      <c r="E80">
        <f t="shared" si="13"/>
        <v>12.680494576289316</v>
      </c>
      <c r="G80" s="7">
        <v>3.8361399999999998E-6</v>
      </c>
      <c r="H80" s="7">
        <v>2.36797E-5</v>
      </c>
      <c r="I80" s="6">
        <f t="shared" si="14"/>
        <v>0.42492146550463672</v>
      </c>
      <c r="J80" s="6">
        <f t="shared" si="15"/>
        <v>13.746647470654484</v>
      </c>
      <c r="L80" s="7">
        <v>5.48012E-6</v>
      </c>
      <c r="M80" s="7">
        <v>2.3498000000000001E-5</v>
      </c>
      <c r="N80" s="6">
        <f t="shared" si="16"/>
        <v>0.75826532617148046</v>
      </c>
      <c r="O80" s="6">
        <f t="shared" si="17"/>
        <v>15.869628348945424</v>
      </c>
      <c r="Q80">
        <f t="shared" si="18"/>
        <v>4.0496799999999998E-6</v>
      </c>
      <c r="R80">
        <f t="shared" si="19"/>
        <v>2.4419266666666665E-5</v>
      </c>
      <c r="T80">
        <f t="shared" si="20"/>
        <v>0.47385869576951106</v>
      </c>
      <c r="U80">
        <f t="shared" si="21"/>
        <v>14.098923465296409</v>
      </c>
      <c r="W80">
        <f t="shared" si="22"/>
        <v>0.21504094363905304</v>
      </c>
      <c r="X80">
        <f t="shared" si="23"/>
        <v>1.3255734198890841</v>
      </c>
    </row>
    <row r="81" spans="1:24" x14ac:dyDescent="0.35">
      <c r="A81">
        <v>518.327</v>
      </c>
      <c r="B81">
        <v>6.8194700000000002E-4</v>
      </c>
      <c r="C81">
        <v>1.6096E-4</v>
      </c>
      <c r="D81">
        <f t="shared" si="12"/>
        <v>57.388454094083983</v>
      </c>
      <c r="E81">
        <f t="shared" si="13"/>
        <v>78.260911844645094</v>
      </c>
      <c r="G81" s="7">
        <v>5.4291599999999995E-4</v>
      </c>
      <c r="H81" s="7">
        <v>1.42652E-4</v>
      </c>
      <c r="I81" s="6">
        <f t="shared" si="14"/>
        <v>60.137706748428201</v>
      </c>
      <c r="J81" s="6">
        <f t="shared" si="15"/>
        <v>82.812989817599174</v>
      </c>
      <c r="L81" s="7">
        <v>4.32972E-4</v>
      </c>
      <c r="M81" s="7">
        <v>1.2853800000000001E-4</v>
      </c>
      <c r="N81" s="6">
        <f t="shared" si="16"/>
        <v>59.908844113471652</v>
      </c>
      <c r="O81" s="6">
        <f t="shared" si="17"/>
        <v>86.809527990328831</v>
      </c>
      <c r="Q81">
        <f t="shared" si="18"/>
        <v>5.5261166666666669E-4</v>
      </c>
      <c r="R81">
        <f t="shared" si="19"/>
        <v>1.4404999999999998E-4</v>
      </c>
      <c r="T81">
        <f t="shared" si="20"/>
        <v>59.145001651994612</v>
      </c>
      <c r="U81">
        <f t="shared" si="21"/>
        <v>82.627809884191038</v>
      </c>
      <c r="W81">
        <f t="shared" si="22"/>
        <v>1.2455759093209748</v>
      </c>
      <c r="X81">
        <f t="shared" si="23"/>
        <v>3.4924135119201787</v>
      </c>
    </row>
    <row r="82" spans="1:24" x14ac:dyDescent="0.35">
      <c r="A82">
        <v>524.44100000000003</v>
      </c>
      <c r="B82">
        <v>7.0152799999999998E-4</v>
      </c>
      <c r="C82">
        <v>1.54437E-4</v>
      </c>
      <c r="D82">
        <f t="shared" si="12"/>
        <v>59.036270302112257</v>
      </c>
      <c r="E82">
        <f t="shared" si="13"/>
        <v>75.089341715652665</v>
      </c>
      <c r="G82" s="7">
        <v>5.5835300000000004E-4</v>
      </c>
      <c r="H82" s="7">
        <v>1.4034900000000001E-4</v>
      </c>
      <c r="I82" s="6">
        <f t="shared" si="14"/>
        <v>61.847632002197642</v>
      </c>
      <c r="J82" s="6">
        <f t="shared" si="15"/>
        <v>81.476041751326505</v>
      </c>
      <c r="L82" s="7">
        <v>4.4793799999999999E-4</v>
      </c>
      <c r="M82" s="7">
        <v>1.2566899999999999E-4</v>
      </c>
      <c r="N82" s="6">
        <f t="shared" si="16"/>
        <v>61.979637977745114</v>
      </c>
      <c r="O82" s="6">
        <f t="shared" si="17"/>
        <v>84.871917822096449</v>
      </c>
      <c r="Q82">
        <f t="shared" si="18"/>
        <v>5.6927300000000002E-4</v>
      </c>
      <c r="R82">
        <f t="shared" si="19"/>
        <v>1.4015166666666668E-4</v>
      </c>
      <c r="T82">
        <f t="shared" si="20"/>
        <v>60.954513427351664</v>
      </c>
      <c r="U82">
        <f t="shared" si="21"/>
        <v>80.479100429691869</v>
      </c>
      <c r="W82">
        <f t="shared" si="22"/>
        <v>1.3574728751228058</v>
      </c>
      <c r="X82">
        <f t="shared" si="23"/>
        <v>4.0554586932247396</v>
      </c>
    </row>
    <row r="83" spans="1:24" x14ac:dyDescent="0.35">
      <c r="A83">
        <v>530.67700000000002</v>
      </c>
      <c r="B83">
        <v>7.1381899999999998E-4</v>
      </c>
      <c r="C83">
        <v>1.5245100000000001E-4</v>
      </c>
      <c r="D83">
        <f t="shared" si="12"/>
        <v>60.070605066060757</v>
      </c>
      <c r="E83">
        <f t="shared" si="13"/>
        <v>74.123721866476075</v>
      </c>
      <c r="G83" s="7">
        <v>5.6786499999999997E-4</v>
      </c>
      <c r="H83" s="7">
        <v>1.3742600000000001E-4</v>
      </c>
      <c r="I83" s="6">
        <f t="shared" si="14"/>
        <v>62.901256994997723</v>
      </c>
      <c r="J83" s="6">
        <f t="shared" si="15"/>
        <v>79.779168456617398</v>
      </c>
      <c r="L83" s="7">
        <v>4.5812499999999998E-4</v>
      </c>
      <c r="M83" s="7">
        <v>1.22235E-4</v>
      </c>
      <c r="N83" s="6">
        <f t="shared" si="16"/>
        <v>63.38917807498914</v>
      </c>
      <c r="O83" s="6">
        <f t="shared" si="17"/>
        <v>82.552728795358917</v>
      </c>
      <c r="Q83">
        <f t="shared" si="18"/>
        <v>5.7993633333333335E-4</v>
      </c>
      <c r="R83">
        <f t="shared" si="19"/>
        <v>1.3737066666666666E-4</v>
      </c>
      <c r="T83">
        <f t="shared" si="20"/>
        <v>62.120346712015873</v>
      </c>
      <c r="U83">
        <f t="shared" si="21"/>
        <v>78.818539706150787</v>
      </c>
      <c r="W83">
        <f t="shared" si="22"/>
        <v>1.4630099923211026</v>
      </c>
      <c r="X83">
        <f t="shared" si="23"/>
        <v>3.5075295341076376</v>
      </c>
    </row>
    <row r="84" spans="1:24" x14ac:dyDescent="0.35">
      <c r="A84">
        <v>536.91800000000001</v>
      </c>
      <c r="B84">
        <v>7.2259400000000001E-4</v>
      </c>
      <c r="C84">
        <v>1.5081799999999999E-4</v>
      </c>
      <c r="D84">
        <f t="shared" si="12"/>
        <v>60.809054952453089</v>
      </c>
      <c r="E84">
        <f t="shared" si="13"/>
        <v>73.329735354036302</v>
      </c>
      <c r="G84" s="7">
        <v>5.7479600000000003E-4</v>
      </c>
      <c r="H84" s="7">
        <v>1.3553299999999999E-4</v>
      </c>
      <c r="I84" s="6">
        <f t="shared" si="14"/>
        <v>63.668989840361199</v>
      </c>
      <c r="J84" s="6">
        <f t="shared" si="15"/>
        <v>78.680235460762333</v>
      </c>
      <c r="L84" s="7">
        <v>4.6664299999999998E-4</v>
      </c>
      <c r="M84" s="7">
        <v>1.19935E-4</v>
      </c>
      <c r="N84" s="6">
        <f t="shared" si="16"/>
        <v>64.567784391699107</v>
      </c>
      <c r="O84" s="6">
        <f t="shared" si="17"/>
        <v>80.999398928877753</v>
      </c>
      <c r="Q84">
        <f t="shared" si="18"/>
        <v>5.8801099999999994E-4</v>
      </c>
      <c r="R84">
        <f t="shared" si="19"/>
        <v>1.3542866666666666E-4</v>
      </c>
      <c r="T84">
        <f t="shared" si="20"/>
        <v>63.015276394837798</v>
      </c>
      <c r="U84">
        <f t="shared" si="21"/>
        <v>77.669789914558791</v>
      </c>
      <c r="W84">
        <f t="shared" si="22"/>
        <v>1.6026057325508414</v>
      </c>
      <c r="X84">
        <f t="shared" si="23"/>
        <v>3.2116127816819553</v>
      </c>
    </row>
    <row r="85" spans="1:24" x14ac:dyDescent="0.35">
      <c r="A85">
        <v>543.17700000000002</v>
      </c>
      <c r="B85">
        <v>7.2929899999999998E-4</v>
      </c>
      <c r="C85">
        <v>1.5071799999999999E-4</v>
      </c>
      <c r="D85">
        <f t="shared" si="12"/>
        <v>61.373306404106707</v>
      </c>
      <c r="E85">
        <f t="shared" si="13"/>
        <v>73.281114012184517</v>
      </c>
      <c r="G85" s="7">
        <v>5.8145199999999999E-4</v>
      </c>
      <c r="H85" s="7">
        <v>1.3464600000000001E-4</v>
      </c>
      <c r="I85" s="6">
        <f t="shared" si="14"/>
        <v>64.406261492177563</v>
      </c>
      <c r="J85" s="6">
        <f t="shared" si="15"/>
        <v>78.165310174273486</v>
      </c>
      <c r="L85" s="7">
        <v>4.74501E-4</v>
      </c>
      <c r="M85" s="7">
        <v>1.19153E-4</v>
      </c>
      <c r="N85" s="6">
        <f t="shared" si="16"/>
        <v>65.655068782014553</v>
      </c>
      <c r="O85" s="6">
        <f t="shared" si="17"/>
        <v>80.47126677427417</v>
      </c>
      <c r="Q85">
        <f t="shared" si="18"/>
        <v>5.9508399999999996E-4</v>
      </c>
      <c r="R85">
        <f t="shared" si="19"/>
        <v>1.3483899999999999E-4</v>
      </c>
      <c r="T85">
        <f t="shared" si="20"/>
        <v>63.811545559432943</v>
      </c>
      <c r="U85">
        <f t="shared" si="21"/>
        <v>77.305896986910724</v>
      </c>
      <c r="W85">
        <f t="shared" si="22"/>
        <v>1.7978946105027018</v>
      </c>
      <c r="X85">
        <f t="shared" si="23"/>
        <v>2.9976121002676042</v>
      </c>
    </row>
    <row r="86" spans="1:24" x14ac:dyDescent="0.35">
      <c r="A86">
        <v>549.27800000000002</v>
      </c>
      <c r="B86">
        <v>7.3373600000000002E-4</v>
      </c>
      <c r="C86">
        <v>1.50328E-4</v>
      </c>
      <c r="D86">
        <f t="shared" si="12"/>
        <v>61.74669696204662</v>
      </c>
      <c r="E86">
        <f t="shared" si="13"/>
        <v>73.091490778962523</v>
      </c>
      <c r="G86" s="7">
        <v>5.8675100000000005E-4</v>
      </c>
      <c r="H86" s="7">
        <v>1.3430699999999999E-4</v>
      </c>
      <c r="I86" s="6">
        <f t="shared" si="14"/>
        <v>64.993220999836083</v>
      </c>
      <c r="J86" s="6">
        <f t="shared" si="15"/>
        <v>77.968512347757425</v>
      </c>
      <c r="L86" s="7">
        <v>4.80588E-4</v>
      </c>
      <c r="M86" s="7">
        <v>1.18831E-4</v>
      </c>
      <c r="N86" s="6">
        <f t="shared" si="16"/>
        <v>66.49730600317136</v>
      </c>
      <c r="O86" s="6">
        <f t="shared" si="17"/>
        <v>80.253800592966797</v>
      </c>
      <c r="Q86">
        <f t="shared" si="18"/>
        <v>6.0035833333333332E-4</v>
      </c>
      <c r="R86">
        <f t="shared" si="19"/>
        <v>1.3448866666666666E-4</v>
      </c>
      <c r="T86">
        <f t="shared" si="20"/>
        <v>64.412407988351347</v>
      </c>
      <c r="U86">
        <f t="shared" si="21"/>
        <v>77.104601239895587</v>
      </c>
      <c r="W86">
        <f t="shared" si="22"/>
        <v>1.9824361076104489</v>
      </c>
      <c r="X86">
        <f t="shared" si="23"/>
        <v>2.9871309835872943</v>
      </c>
    </row>
    <row r="87" spans="1:24" x14ac:dyDescent="0.35">
      <c r="A87">
        <v>555.61199999999997</v>
      </c>
      <c r="B87">
        <v>7.3799E-4</v>
      </c>
      <c r="C87">
        <v>1.5023400000000001E-4</v>
      </c>
      <c r="D87">
        <f t="shared" si="12"/>
        <v>62.104687368509637</v>
      </c>
      <c r="E87">
        <f t="shared" si="13"/>
        <v>73.045786717621837</v>
      </c>
      <c r="G87" s="7">
        <v>5.9081499999999996E-4</v>
      </c>
      <c r="H87" s="7">
        <v>1.34905E-4</v>
      </c>
      <c r="I87" s="6">
        <f t="shared" si="14"/>
        <v>65.443382056473936</v>
      </c>
      <c r="J87" s="6">
        <f t="shared" si="15"/>
        <v>78.315666035829963</v>
      </c>
      <c r="L87" s="7">
        <v>4.8487600000000002E-4</v>
      </c>
      <c r="M87" s="7">
        <v>1.1954499999999999E-4</v>
      </c>
      <c r="N87" s="6">
        <f t="shared" si="16"/>
        <v>67.090621791625509</v>
      </c>
      <c r="O87" s="6">
        <f t="shared" si="17"/>
        <v>80.736008212387461</v>
      </c>
      <c r="Q87">
        <f t="shared" si="18"/>
        <v>6.0456033333333335E-4</v>
      </c>
      <c r="R87">
        <f t="shared" si="19"/>
        <v>1.3489466666666665E-4</v>
      </c>
      <c r="T87">
        <f t="shared" si="20"/>
        <v>64.879563738869692</v>
      </c>
      <c r="U87">
        <f t="shared" si="21"/>
        <v>77.36582032194643</v>
      </c>
      <c r="W87">
        <f t="shared" si="22"/>
        <v>2.0741751516128861</v>
      </c>
      <c r="X87">
        <f t="shared" si="23"/>
        <v>3.210558811149653</v>
      </c>
    </row>
    <row r="88" spans="1:24" x14ac:dyDescent="0.35">
      <c r="A88">
        <v>561.73</v>
      </c>
      <c r="B88">
        <v>7.4184000000000001E-4</v>
      </c>
      <c r="C88">
        <v>1.50688E-4</v>
      </c>
      <c r="D88">
        <f t="shared" si="12"/>
        <v>62.428679626356988</v>
      </c>
      <c r="E88">
        <f t="shared" si="13"/>
        <v>73.26652760962898</v>
      </c>
      <c r="G88" s="7">
        <v>5.9358299999999996E-4</v>
      </c>
      <c r="H88" s="7">
        <v>1.3569999999999999E-4</v>
      </c>
      <c r="I88" s="6">
        <f t="shared" si="14"/>
        <v>65.749987815522587</v>
      </c>
      <c r="J88" s="6">
        <f t="shared" si="15"/>
        <v>78.777183062615379</v>
      </c>
      <c r="L88" s="7">
        <v>4.8880400000000002E-4</v>
      </c>
      <c r="M88" s="7">
        <v>1.19839E-4</v>
      </c>
      <c r="N88" s="6">
        <f t="shared" si="16"/>
        <v>67.634125620228076</v>
      </c>
      <c r="O88" s="6">
        <f t="shared" si="17"/>
        <v>80.93456429097246</v>
      </c>
      <c r="Q88">
        <f t="shared" si="18"/>
        <v>6.0807566666666666E-4</v>
      </c>
      <c r="R88">
        <f t="shared" si="19"/>
        <v>1.3540899999999999E-4</v>
      </c>
      <c r="T88">
        <f t="shared" si="20"/>
        <v>65.270931020702548</v>
      </c>
      <c r="U88">
        <f t="shared" si="21"/>
        <v>77.65942498773893</v>
      </c>
      <c r="W88">
        <f t="shared" si="22"/>
        <v>2.1519430844819563</v>
      </c>
      <c r="X88">
        <f t="shared" si="23"/>
        <v>3.2286977738267684</v>
      </c>
    </row>
    <row r="89" spans="1:24" x14ac:dyDescent="0.35">
      <c r="A89">
        <v>567.92600000000004</v>
      </c>
      <c r="B89">
        <v>7.4464400000000004E-4</v>
      </c>
      <c r="C89">
        <v>1.4942699999999999E-4</v>
      </c>
      <c r="D89">
        <f t="shared" si="12"/>
        <v>62.664646974669701</v>
      </c>
      <c r="E89">
        <f t="shared" si="13"/>
        <v>72.653412488877862</v>
      </c>
      <c r="G89" s="7">
        <v>5.96657E-4</v>
      </c>
      <c r="H89" s="7">
        <v>1.3562000000000001E-4</v>
      </c>
      <c r="I89" s="6">
        <f t="shared" si="14"/>
        <v>66.090488575390907</v>
      </c>
      <c r="J89" s="6">
        <f t="shared" si="15"/>
        <v>78.730741097655837</v>
      </c>
      <c r="L89" s="7">
        <v>4.9328600000000001E-4</v>
      </c>
      <c r="M89" s="7">
        <v>1.19776E-4</v>
      </c>
      <c r="N89" s="6">
        <f t="shared" si="16"/>
        <v>68.254284520379997</v>
      </c>
      <c r="O89" s="6">
        <f t="shared" si="17"/>
        <v>80.892016559847107</v>
      </c>
      <c r="Q89">
        <f t="shared" si="18"/>
        <v>6.1152899999999998E-4</v>
      </c>
      <c r="R89">
        <f t="shared" si="19"/>
        <v>1.3494099999999999E-4</v>
      </c>
      <c r="T89">
        <f t="shared" si="20"/>
        <v>65.669806690146871</v>
      </c>
      <c r="U89">
        <f t="shared" si="21"/>
        <v>77.425390048793602</v>
      </c>
      <c r="W89">
        <f t="shared" si="22"/>
        <v>2.3012665946579527</v>
      </c>
      <c r="X89">
        <f t="shared" si="23"/>
        <v>3.4877504956750234</v>
      </c>
    </row>
    <row r="90" spans="1:24" x14ac:dyDescent="0.35">
      <c r="A90">
        <v>574.19000000000005</v>
      </c>
      <c r="B90">
        <v>7.4759800000000003E-4</v>
      </c>
      <c r="C90">
        <v>1.49918E-4</v>
      </c>
      <c r="D90">
        <f t="shared" si="12"/>
        <v>62.913237397963485</v>
      </c>
      <c r="E90">
        <f t="shared" si="13"/>
        <v>72.892143277370167</v>
      </c>
      <c r="G90" s="7">
        <v>5.9893800000000003E-4</v>
      </c>
      <c r="H90" s="7">
        <v>1.35683E-4</v>
      </c>
      <c r="I90" s="6">
        <f t="shared" si="14"/>
        <v>66.343150329867044</v>
      </c>
      <c r="J90" s="6">
        <f t="shared" si="15"/>
        <v>78.767314145061476</v>
      </c>
      <c r="L90" s="7">
        <v>4.9652699999999997E-4</v>
      </c>
      <c r="M90" s="7">
        <v>1.20161E-4</v>
      </c>
      <c r="N90" s="6">
        <f t="shared" si="16"/>
        <v>68.702730525599193</v>
      </c>
      <c r="O90" s="6">
        <f t="shared" si="17"/>
        <v>81.152030472279819</v>
      </c>
      <c r="Q90">
        <f t="shared" si="18"/>
        <v>6.1435433333333338E-4</v>
      </c>
      <c r="R90">
        <f t="shared" si="19"/>
        <v>1.3525400000000002E-4</v>
      </c>
      <c r="T90">
        <f t="shared" si="20"/>
        <v>65.986372751143236</v>
      </c>
      <c r="U90">
        <f t="shared" si="21"/>
        <v>77.603829298237159</v>
      </c>
      <c r="W90">
        <f t="shared" si="22"/>
        <v>2.3769764196341661</v>
      </c>
      <c r="X90">
        <f t="shared" si="23"/>
        <v>3.4709947526850251</v>
      </c>
    </row>
    <row r="91" spans="1:24" x14ac:dyDescent="0.35">
      <c r="A91">
        <v>580.33500000000004</v>
      </c>
      <c r="B91">
        <v>7.5020700000000002E-4</v>
      </c>
      <c r="C91">
        <v>1.4959199999999999E-4</v>
      </c>
      <c r="D91">
        <f t="shared" si="12"/>
        <v>63.132794748800812</v>
      </c>
      <c r="E91">
        <f t="shared" si="13"/>
        <v>72.733637702933322</v>
      </c>
      <c r="G91" s="7">
        <v>6.0159700000000005E-4</v>
      </c>
      <c r="H91" s="7">
        <v>1.3477199999999999E-4</v>
      </c>
      <c r="I91" s="6">
        <f t="shared" si="14"/>
        <v>66.637682379473375</v>
      </c>
      <c r="J91" s="6">
        <f t="shared" si="15"/>
        <v>78.238456269084736</v>
      </c>
      <c r="L91" s="7">
        <v>4.9841000000000002E-4</v>
      </c>
      <c r="M91" s="7">
        <v>1.20086E-4</v>
      </c>
      <c r="N91" s="6">
        <f t="shared" si="16"/>
        <v>68.963274748933884</v>
      </c>
      <c r="O91" s="6">
        <f t="shared" si="17"/>
        <v>81.101378411416306</v>
      </c>
      <c r="Q91">
        <f t="shared" si="18"/>
        <v>6.1673800000000003E-4</v>
      </c>
      <c r="R91">
        <f t="shared" si="19"/>
        <v>1.3481666666666665E-4</v>
      </c>
      <c r="T91">
        <f t="shared" si="20"/>
        <v>66.244583959069359</v>
      </c>
      <c r="U91">
        <f t="shared" si="21"/>
        <v>77.357824127811455</v>
      </c>
      <c r="W91">
        <f t="shared" si="22"/>
        <v>2.3964583637917349</v>
      </c>
      <c r="X91">
        <f t="shared" si="23"/>
        <v>3.4724060695031524</v>
      </c>
    </row>
    <row r="92" spans="1:24" x14ac:dyDescent="0.35">
      <c r="A92">
        <v>586.61800000000005</v>
      </c>
      <c r="B92">
        <v>7.51252E-4</v>
      </c>
      <c r="C92">
        <v>1.4829599999999999E-4</v>
      </c>
      <c r="D92">
        <f t="shared" si="12"/>
        <v>63.220735504502237</v>
      </c>
      <c r="E92">
        <f t="shared" si="13"/>
        <v>72.103505112534094</v>
      </c>
      <c r="G92" s="7">
        <v>6.0333100000000003E-4</v>
      </c>
      <c r="H92" s="7">
        <v>1.34609E-4</v>
      </c>
      <c r="I92" s="6">
        <f t="shared" si="14"/>
        <v>66.829754050784913</v>
      </c>
      <c r="J92" s="6">
        <f t="shared" si="15"/>
        <v>78.143830765479677</v>
      </c>
      <c r="L92" s="7">
        <v>5.0260300000000001E-4</v>
      </c>
      <c r="M92" s="7">
        <v>1.1992799999999999E-4</v>
      </c>
      <c r="N92" s="6">
        <f t="shared" si="16"/>
        <v>69.543445714649422</v>
      </c>
      <c r="O92" s="6">
        <f t="shared" si="17"/>
        <v>80.99467140319716</v>
      </c>
      <c r="Q92">
        <f t="shared" si="18"/>
        <v>6.1906199999999998E-4</v>
      </c>
      <c r="R92">
        <f t="shared" si="19"/>
        <v>1.3427766666666664E-4</v>
      </c>
      <c r="T92">
        <f t="shared" si="20"/>
        <v>66.531311756645536</v>
      </c>
      <c r="U92">
        <f t="shared" si="21"/>
        <v>77.080669093736972</v>
      </c>
      <c r="W92">
        <f t="shared" si="22"/>
        <v>2.5898477371682493</v>
      </c>
      <c r="X92">
        <f t="shared" si="23"/>
        <v>3.7068354929106175</v>
      </c>
    </row>
    <row r="93" spans="1:24" x14ac:dyDescent="0.35">
      <c r="A93">
        <v>592.80999999999995</v>
      </c>
      <c r="B93">
        <v>7.5434999999999999E-4</v>
      </c>
      <c r="C93">
        <v>1.4910300000000001E-4</v>
      </c>
      <c r="D93">
        <f t="shared" si="12"/>
        <v>63.481444079777837</v>
      </c>
      <c r="E93">
        <f t="shared" si="13"/>
        <v>72.495879341278069</v>
      </c>
      <c r="G93" s="7">
        <v>6.0703299999999999E-4</v>
      </c>
      <c r="H93" s="7">
        <v>1.34513E-4</v>
      </c>
      <c r="I93" s="6">
        <f t="shared" si="14"/>
        <v>67.239817099917147</v>
      </c>
      <c r="J93" s="6">
        <f t="shared" si="15"/>
        <v>78.088100407528245</v>
      </c>
      <c r="L93" s="7">
        <v>5.0755600000000004E-4</v>
      </c>
      <c r="M93" s="7">
        <v>1.19849E-4</v>
      </c>
      <c r="N93" s="6">
        <f t="shared" si="16"/>
        <v>70.228775262273814</v>
      </c>
      <c r="O93" s="6">
        <f t="shared" si="17"/>
        <v>80.941317899087579</v>
      </c>
      <c r="Q93">
        <f t="shared" si="18"/>
        <v>6.2297966666666671E-4</v>
      </c>
      <c r="R93">
        <f t="shared" si="19"/>
        <v>1.3448833333333334E-4</v>
      </c>
      <c r="T93">
        <f t="shared" si="20"/>
        <v>66.983345480656268</v>
      </c>
      <c r="U93">
        <f t="shared" si="21"/>
        <v>77.175099215964636</v>
      </c>
      <c r="W93">
        <f t="shared" si="22"/>
        <v>2.7605497991264181</v>
      </c>
      <c r="X93">
        <f t="shared" si="23"/>
        <v>3.5077567846399433</v>
      </c>
    </row>
    <row r="94" spans="1:24" x14ac:dyDescent="0.35">
      <c r="A94">
        <v>598.93799999999999</v>
      </c>
      <c r="B94">
        <v>7.5588599999999999E-4</v>
      </c>
      <c r="C94">
        <v>1.4966400000000001E-4</v>
      </c>
      <c r="D94">
        <f t="shared" si="12"/>
        <v>63.610704367583949</v>
      </c>
      <c r="E94">
        <f t="shared" si="13"/>
        <v>72.768645069066622</v>
      </c>
      <c r="G94" s="7">
        <v>6.0932599999999999E-4</v>
      </c>
      <c r="H94" s="7">
        <v>1.3525700000000001E-4</v>
      </c>
      <c r="I94" s="6">
        <f t="shared" si="14"/>
        <v>67.493808070111712</v>
      </c>
      <c r="J94" s="6">
        <f t="shared" si="15"/>
        <v>78.520010681651939</v>
      </c>
      <c r="L94" s="7">
        <v>5.1212800000000004E-4</v>
      </c>
      <c r="M94" s="7">
        <v>1.20189E-4</v>
      </c>
      <c r="N94" s="6">
        <f t="shared" si="16"/>
        <v>70.861387152388616</v>
      </c>
      <c r="O94" s="6">
        <f t="shared" si="17"/>
        <v>81.170940575002192</v>
      </c>
      <c r="Q94">
        <f t="shared" si="18"/>
        <v>6.2577999999999993E-4</v>
      </c>
      <c r="R94">
        <f t="shared" si="19"/>
        <v>1.3503666666666667E-4</v>
      </c>
      <c r="T94">
        <f t="shared" si="20"/>
        <v>67.321966530028092</v>
      </c>
      <c r="U94">
        <f t="shared" si="21"/>
        <v>77.486532108573584</v>
      </c>
      <c r="W94">
        <f t="shared" si="22"/>
        <v>2.9625717822683972</v>
      </c>
      <c r="X94">
        <f t="shared" si="23"/>
        <v>3.5072022005225496</v>
      </c>
    </row>
    <row r="95" spans="1:24" x14ac:dyDescent="0.35">
      <c r="A95">
        <v>605.25900000000001</v>
      </c>
      <c r="B95">
        <v>7.5733400000000002E-4</v>
      </c>
      <c r="C95">
        <v>1.49591E-4</v>
      </c>
      <c r="D95">
        <f t="shared" si="12"/>
        <v>63.732559118067833</v>
      </c>
      <c r="E95">
        <f t="shared" si="13"/>
        <v>72.73315148951481</v>
      </c>
      <c r="G95" s="7">
        <v>6.1236600000000004E-4</v>
      </c>
      <c r="H95" s="7">
        <v>1.3534899999999999E-4</v>
      </c>
      <c r="I95" s="6">
        <f t="shared" si="14"/>
        <v>67.830542718777849</v>
      </c>
      <c r="J95" s="6">
        <f t="shared" si="15"/>
        <v>78.573418941355399</v>
      </c>
      <c r="L95" s="7">
        <v>5.1544199999999996E-4</v>
      </c>
      <c r="M95" s="7">
        <v>1.2134299999999999E-4</v>
      </c>
      <c r="N95" s="6">
        <f t="shared" si="16"/>
        <v>71.319933916133266</v>
      </c>
      <c r="O95" s="6">
        <f t="shared" si="17"/>
        <v>81.950306951488827</v>
      </c>
      <c r="Q95">
        <f t="shared" si="18"/>
        <v>6.2838066666666675E-4</v>
      </c>
      <c r="R95">
        <f t="shared" si="19"/>
        <v>1.3542766666666667E-4</v>
      </c>
      <c r="T95">
        <f t="shared" si="20"/>
        <v>67.627678584326318</v>
      </c>
      <c r="U95">
        <f t="shared" si="21"/>
        <v>77.75229246078635</v>
      </c>
      <c r="W95">
        <f t="shared" si="22"/>
        <v>3.1008525144293992</v>
      </c>
      <c r="X95">
        <f t="shared" si="23"/>
        <v>3.8074204062915662</v>
      </c>
    </row>
    <row r="96" spans="1:24" x14ac:dyDescent="0.35">
      <c r="A96">
        <v>611.42399999999998</v>
      </c>
      <c r="B96">
        <v>7.5916099999999995E-4</v>
      </c>
      <c r="C96">
        <v>1.4922899999999999E-4</v>
      </c>
      <c r="D96">
        <f t="shared" si="12"/>
        <v>63.886308171337205</v>
      </c>
      <c r="E96">
        <f t="shared" si="13"/>
        <v>72.557142232011316</v>
      </c>
      <c r="G96" s="7">
        <v>6.1363499999999996E-4</v>
      </c>
      <c r="H96" s="7">
        <v>1.3621299999999999E-4</v>
      </c>
      <c r="I96" s="6">
        <f t="shared" si="14"/>
        <v>67.971107281000627</v>
      </c>
      <c r="J96" s="6">
        <f t="shared" si="15"/>
        <v>79.074992162918406</v>
      </c>
      <c r="L96" s="7">
        <v>5.1950800000000001E-4</v>
      </c>
      <c r="M96" s="7">
        <v>1.22299E-4</v>
      </c>
      <c r="N96" s="6">
        <f t="shared" si="16"/>
        <v>71.882532329345608</v>
      </c>
      <c r="O96" s="6">
        <f t="shared" si="17"/>
        <v>82.595951887295797</v>
      </c>
      <c r="Q96">
        <f t="shared" si="18"/>
        <v>6.3076799999999998E-4</v>
      </c>
      <c r="R96">
        <f t="shared" si="19"/>
        <v>1.3591366666666665E-4</v>
      </c>
      <c r="T96">
        <f t="shared" si="20"/>
        <v>67.913315927227814</v>
      </c>
      <c r="U96">
        <f t="shared" si="21"/>
        <v>78.076028760741835</v>
      </c>
      <c r="W96">
        <f t="shared" si="22"/>
        <v>3.2647006066618594</v>
      </c>
      <c r="X96">
        <f t="shared" si="23"/>
        <v>4.1587554815452794</v>
      </c>
    </row>
    <row r="97" spans="1:24" x14ac:dyDescent="0.35">
      <c r="A97">
        <v>617.57000000000005</v>
      </c>
      <c r="B97">
        <v>7.6058099999999997E-4</v>
      </c>
      <c r="C97">
        <v>1.4933000000000001E-4</v>
      </c>
      <c r="D97">
        <f t="shared" si="12"/>
        <v>64.005806614491291</v>
      </c>
      <c r="E97">
        <f t="shared" si="13"/>
        <v>72.606249787281641</v>
      </c>
      <c r="G97" s="7">
        <v>6.1503100000000004E-4</v>
      </c>
      <c r="H97" s="7">
        <v>1.3690999999999999E-4</v>
      </c>
      <c r="I97" s="6">
        <f t="shared" si="14"/>
        <v>68.125739376243374</v>
      </c>
      <c r="J97" s="6">
        <f t="shared" si="15"/>
        <v>79.479617782628381</v>
      </c>
      <c r="L97" s="7">
        <v>5.2339900000000002E-4</v>
      </c>
      <c r="M97" s="7">
        <v>1.2342599999999999E-4</v>
      </c>
      <c r="N97" s="6">
        <f t="shared" si="16"/>
        <v>72.420916595407888</v>
      </c>
      <c r="O97" s="6">
        <f t="shared" si="17"/>
        <v>83.357083521871559</v>
      </c>
      <c r="Q97">
        <f t="shared" si="18"/>
        <v>6.3300366666666668E-4</v>
      </c>
      <c r="R97">
        <f t="shared" si="19"/>
        <v>1.3655533333333333E-4</v>
      </c>
      <c r="T97">
        <f t="shared" si="20"/>
        <v>68.184154195380856</v>
      </c>
      <c r="U97">
        <f t="shared" si="21"/>
        <v>78.480983697260527</v>
      </c>
      <c r="W97">
        <f t="shared" si="22"/>
        <v>3.4357025692039254</v>
      </c>
      <c r="X97">
        <f t="shared" si="23"/>
        <v>4.4454515349619266</v>
      </c>
    </row>
    <row r="98" spans="1:24" x14ac:dyDescent="0.35">
      <c r="A98">
        <v>623.89099999999996</v>
      </c>
      <c r="B98">
        <v>7.6182599999999995E-4</v>
      </c>
      <c r="C98">
        <v>1.49665E-4</v>
      </c>
      <c r="D98">
        <f t="shared" si="12"/>
        <v>64.110578136834135</v>
      </c>
      <c r="E98">
        <f t="shared" si="13"/>
        <v>72.769131282485134</v>
      </c>
      <c r="G98" s="7">
        <v>6.1717399999999996E-4</v>
      </c>
      <c r="H98" s="7">
        <v>1.3774600000000001E-4</v>
      </c>
      <c r="I98" s="6">
        <f t="shared" si="14"/>
        <v>68.363115149957693</v>
      </c>
      <c r="J98" s="6">
        <f t="shared" si="15"/>
        <v>79.96493631645555</v>
      </c>
      <c r="L98" s="7">
        <v>5.2745299999999999E-4</v>
      </c>
      <c r="M98" s="7">
        <v>1.23492E-4</v>
      </c>
      <c r="N98" s="6">
        <f t="shared" si="16"/>
        <v>72.981854609958518</v>
      </c>
      <c r="O98" s="6">
        <f t="shared" si="17"/>
        <v>83.401657335431452</v>
      </c>
      <c r="Q98">
        <f t="shared" si="18"/>
        <v>6.3548433333333334E-4</v>
      </c>
      <c r="R98">
        <f t="shared" si="19"/>
        <v>1.3696766666666666E-4</v>
      </c>
      <c r="T98">
        <f t="shared" si="20"/>
        <v>68.48518263225013</v>
      </c>
      <c r="U98">
        <f t="shared" si="21"/>
        <v>78.711908311457378</v>
      </c>
      <c r="W98">
        <f t="shared" si="22"/>
        <v>3.6227118680465011</v>
      </c>
      <c r="X98">
        <f t="shared" si="23"/>
        <v>4.4302153410887994</v>
      </c>
    </row>
    <row r="99" spans="1:24" x14ac:dyDescent="0.35">
      <c r="A99">
        <v>630.03800000000001</v>
      </c>
      <c r="B99">
        <v>7.6288599999999995E-4</v>
      </c>
      <c r="C99">
        <v>1.49596E-4</v>
      </c>
      <c r="D99">
        <f t="shared" si="12"/>
        <v>64.199781200033655</v>
      </c>
      <c r="E99">
        <f t="shared" si="13"/>
        <v>72.735582556607397</v>
      </c>
      <c r="G99" s="7">
        <v>6.1952299999999997E-4</v>
      </c>
      <c r="H99" s="7">
        <v>1.37427E-4</v>
      </c>
      <c r="I99" s="6">
        <f t="shared" si="14"/>
        <v>68.623309126838194</v>
      </c>
      <c r="J99" s="6">
        <f t="shared" si="15"/>
        <v>79.779748981179381</v>
      </c>
      <c r="L99" s="7">
        <v>5.3030199999999997E-4</v>
      </c>
      <c r="M99" s="7">
        <v>1.2417099999999999E-4</v>
      </c>
      <c r="N99" s="6">
        <f t="shared" si="16"/>
        <v>73.376060925561561</v>
      </c>
      <c r="O99" s="6">
        <f t="shared" si="17"/>
        <v>83.860227326449149</v>
      </c>
      <c r="Q99">
        <f t="shared" si="18"/>
        <v>6.3757033333333322E-4</v>
      </c>
      <c r="R99">
        <f t="shared" si="19"/>
        <v>1.3706466666666664E-4</v>
      </c>
      <c r="T99">
        <f t="shared" si="20"/>
        <v>68.733050417477799</v>
      </c>
      <c r="U99">
        <f t="shared" si="21"/>
        <v>78.791852954745309</v>
      </c>
      <c r="W99">
        <f t="shared" si="22"/>
        <v>3.7470041155957343</v>
      </c>
      <c r="X99">
        <f t="shared" si="23"/>
        <v>4.595025152856441</v>
      </c>
    </row>
    <row r="100" spans="1:24" x14ac:dyDescent="0.35">
      <c r="A100">
        <v>636.29200000000003</v>
      </c>
      <c r="B100">
        <v>7.6246699999999996E-4</v>
      </c>
      <c r="C100">
        <v>1.47756E-4</v>
      </c>
      <c r="D100">
        <f t="shared" si="12"/>
        <v>64.16452074391988</v>
      </c>
      <c r="E100">
        <f t="shared" si="13"/>
        <v>71.840949866534416</v>
      </c>
      <c r="G100" s="7">
        <v>6.2076099999999995E-4</v>
      </c>
      <c r="H100" s="7">
        <v>1.3751E-4</v>
      </c>
      <c r="I100" s="6">
        <f t="shared" si="14"/>
        <v>68.760439881788415</v>
      </c>
      <c r="J100" s="6">
        <f t="shared" si="15"/>
        <v>79.827932519824913</v>
      </c>
      <c r="L100" s="7">
        <v>5.3416900000000003E-4</v>
      </c>
      <c r="M100" s="7">
        <v>1.2428800000000001E-4</v>
      </c>
      <c r="N100" s="6">
        <f t="shared" si="16"/>
        <v>73.911124394300415</v>
      </c>
      <c r="O100" s="6">
        <f t="shared" si="17"/>
        <v>83.939244541396249</v>
      </c>
      <c r="Q100">
        <f t="shared" si="18"/>
        <v>6.3913233333333331E-4</v>
      </c>
      <c r="R100">
        <f t="shared" si="19"/>
        <v>1.36518E-4</v>
      </c>
      <c r="T100">
        <f t="shared" si="20"/>
        <v>68.945361673336251</v>
      </c>
      <c r="U100">
        <f t="shared" si="21"/>
        <v>78.536042309251854</v>
      </c>
      <c r="W100">
        <f t="shared" si="22"/>
        <v>3.9811822139614708</v>
      </c>
      <c r="X100">
        <f t="shared" si="23"/>
        <v>5.0228755872228152</v>
      </c>
    </row>
    <row r="101" spans="1:24" x14ac:dyDescent="0.35">
      <c r="A101">
        <v>642.43200000000002</v>
      </c>
      <c r="B101">
        <v>7.65189E-4</v>
      </c>
      <c r="C101">
        <v>1.5022700000000001E-4</v>
      </c>
      <c r="D101">
        <f t="shared" si="12"/>
        <v>64.39358747790962</v>
      </c>
      <c r="E101">
        <f t="shared" si="13"/>
        <v>73.042383223692227</v>
      </c>
      <c r="G101" s="7">
        <v>6.2316599999999998E-4</v>
      </c>
      <c r="H101" s="7">
        <v>1.37952E-4</v>
      </c>
      <c r="I101" s="6">
        <f t="shared" si="14"/>
        <v>69.026836865354881</v>
      </c>
      <c r="J101" s="6">
        <f t="shared" si="15"/>
        <v>80.084524376226355</v>
      </c>
      <c r="L101" s="7">
        <v>5.3969E-4</v>
      </c>
      <c r="M101" s="7">
        <v>1.24487E-4</v>
      </c>
      <c r="N101" s="6">
        <f t="shared" si="16"/>
        <v>74.675046145246142</v>
      </c>
      <c r="O101" s="6">
        <f t="shared" si="17"/>
        <v>84.073641342887441</v>
      </c>
      <c r="Q101">
        <f t="shared" si="18"/>
        <v>6.4268166666666662E-4</v>
      </c>
      <c r="R101">
        <f t="shared" si="19"/>
        <v>1.3755533333333333E-4</v>
      </c>
      <c r="T101">
        <f t="shared" si="20"/>
        <v>69.365156829503547</v>
      </c>
      <c r="U101">
        <f t="shared" si="21"/>
        <v>79.066849647602012</v>
      </c>
      <c r="W101">
        <f t="shared" si="22"/>
        <v>4.2041997558507687</v>
      </c>
      <c r="X101">
        <f t="shared" si="23"/>
        <v>4.5606220564770963</v>
      </c>
    </row>
    <row r="102" spans="1:24" x14ac:dyDescent="0.35">
      <c r="A102">
        <v>648.59</v>
      </c>
      <c r="B102">
        <v>7.6628500000000001E-4</v>
      </c>
      <c r="C102">
        <v>1.5077800000000001E-4</v>
      </c>
      <c r="D102">
        <f t="shared" si="12"/>
        <v>64.485820079104599</v>
      </c>
      <c r="E102">
        <f t="shared" si="13"/>
        <v>73.310286817295591</v>
      </c>
      <c r="G102" s="7">
        <v>6.2586900000000003E-4</v>
      </c>
      <c r="H102" s="7">
        <v>1.37639E-4</v>
      </c>
      <c r="I102" s="6">
        <f t="shared" si="14"/>
        <v>69.326242705928749</v>
      </c>
      <c r="J102" s="6">
        <f t="shared" si="15"/>
        <v>79.902820188322167</v>
      </c>
      <c r="L102" s="7">
        <v>5.4396499999999999E-4</v>
      </c>
      <c r="M102" s="7">
        <v>1.2439999999999999E-4</v>
      </c>
      <c r="N102" s="6">
        <f t="shared" si="16"/>
        <v>75.266563168483415</v>
      </c>
      <c r="O102" s="6">
        <f t="shared" si="17"/>
        <v>84.014884952285755</v>
      </c>
      <c r="Q102">
        <f t="shared" si="18"/>
        <v>6.4537299999999998E-4</v>
      </c>
      <c r="R102">
        <f t="shared" si="19"/>
        <v>1.3760566666666668E-4</v>
      </c>
      <c r="T102">
        <f t="shared" si="20"/>
        <v>69.692875317838912</v>
      </c>
      <c r="U102">
        <f t="shared" si="21"/>
        <v>79.075997319301166</v>
      </c>
      <c r="W102">
        <f t="shared" si="22"/>
        <v>4.4088486776696652</v>
      </c>
      <c r="X102">
        <f t="shared" si="23"/>
        <v>4.4090688624289527</v>
      </c>
    </row>
    <row r="103" spans="1:24" x14ac:dyDescent="0.35">
      <c r="A103">
        <v>654.86</v>
      </c>
      <c r="B103">
        <v>7.6791000000000001E-4</v>
      </c>
      <c r="C103">
        <v>1.5064599999999999E-4</v>
      </c>
      <c r="D103">
        <f t="shared" si="12"/>
        <v>64.622570058066145</v>
      </c>
      <c r="E103">
        <f t="shared" si="13"/>
        <v>73.246106646051217</v>
      </c>
      <c r="G103" s="7">
        <v>6.2806899999999998E-4</v>
      </c>
      <c r="H103" s="7">
        <v>1.3876200000000001E-4</v>
      </c>
      <c r="I103" s="6">
        <f t="shared" si="14"/>
        <v>69.569932254305556</v>
      </c>
      <c r="J103" s="6">
        <f t="shared" si="15"/>
        <v>80.554749271441679</v>
      </c>
      <c r="L103" s="7">
        <v>5.48118E-4</v>
      </c>
      <c r="M103" s="7">
        <v>1.2540399999999999E-4</v>
      </c>
      <c r="N103" s="6">
        <f t="shared" si="16"/>
        <v>75.841199471993221</v>
      </c>
      <c r="O103" s="6">
        <f t="shared" si="17"/>
        <v>84.692947207045364</v>
      </c>
      <c r="Q103">
        <f t="shared" si="18"/>
        <v>6.4803233333333326E-4</v>
      </c>
      <c r="R103">
        <f t="shared" si="19"/>
        <v>1.3827066666666666E-4</v>
      </c>
      <c r="T103">
        <f t="shared" si="20"/>
        <v>70.011233928121626</v>
      </c>
      <c r="U103">
        <f t="shared" si="21"/>
        <v>79.497934374846082</v>
      </c>
      <c r="W103">
        <f t="shared" si="22"/>
        <v>4.5906043071504286</v>
      </c>
      <c r="X103">
        <f t="shared" si="23"/>
        <v>4.7325245554182436</v>
      </c>
    </row>
    <row r="104" spans="1:24" x14ac:dyDescent="0.35">
      <c r="A104">
        <v>661.11800000000005</v>
      </c>
      <c r="B104">
        <v>7.6737300000000001E-4</v>
      </c>
      <c r="C104">
        <v>1.5087600000000001E-4</v>
      </c>
      <c r="D104">
        <f t="shared" si="12"/>
        <v>64.577379449633938</v>
      </c>
      <c r="E104">
        <f t="shared" si="13"/>
        <v>73.357935732310352</v>
      </c>
      <c r="G104" s="7">
        <v>6.3057599999999999E-4</v>
      </c>
      <c r="H104" s="7">
        <v>1.38784E-4</v>
      </c>
      <c r="I104" s="6">
        <f t="shared" si="14"/>
        <v>69.847627571478583</v>
      </c>
      <c r="J104" s="6">
        <f t="shared" si="15"/>
        <v>80.567520811805551</v>
      </c>
      <c r="L104" s="7">
        <v>5.5347299999999996E-4</v>
      </c>
      <c r="M104" s="7">
        <v>1.2658999999999999E-4</v>
      </c>
      <c r="N104" s="6">
        <f t="shared" si="16"/>
        <v>76.582152374785181</v>
      </c>
      <c r="O104" s="6">
        <f t="shared" si="17"/>
        <v>85.49392512950044</v>
      </c>
      <c r="Q104">
        <f t="shared" si="18"/>
        <v>6.5047399999999995E-4</v>
      </c>
      <c r="R104">
        <f t="shared" si="19"/>
        <v>1.3875000000000001E-4</v>
      </c>
      <c r="T104">
        <f t="shared" si="20"/>
        <v>70.335719798632567</v>
      </c>
      <c r="U104">
        <f t="shared" si="21"/>
        <v>79.806460557872114</v>
      </c>
      <c r="W104">
        <f t="shared" si="22"/>
        <v>4.9130654899473365</v>
      </c>
      <c r="X104">
        <f t="shared" si="23"/>
        <v>4.9836378409595188</v>
      </c>
    </row>
    <row r="105" spans="1:24" x14ac:dyDescent="0.35">
      <c r="A105">
        <v>667.221</v>
      </c>
      <c r="B105">
        <v>7.6827299999999998E-4</v>
      </c>
      <c r="C105">
        <v>1.5158500000000001E-4</v>
      </c>
      <c r="D105">
        <f t="shared" si="12"/>
        <v>64.653117899520325</v>
      </c>
      <c r="E105">
        <f t="shared" si="13"/>
        <v>73.702661046039552</v>
      </c>
      <c r="G105" s="7">
        <v>6.3326799999999998E-4</v>
      </c>
      <c r="H105" s="7">
        <v>1.40328E-4</v>
      </c>
      <c r="I105" s="6">
        <f t="shared" si="14"/>
        <v>70.14581496431056</v>
      </c>
      <c r="J105" s="6">
        <f t="shared" si="15"/>
        <v>81.46385073552463</v>
      </c>
      <c r="L105" s="7">
        <v>5.5859499999999995E-4</v>
      </c>
      <c r="M105" s="7">
        <v>1.2713399999999999E-4</v>
      </c>
      <c r="N105" s="6">
        <f t="shared" si="16"/>
        <v>77.290865870228771</v>
      </c>
      <c r="O105" s="6">
        <f t="shared" si="17"/>
        <v>85.861321410963811</v>
      </c>
      <c r="Q105">
        <f t="shared" si="18"/>
        <v>6.5337866666666667E-4</v>
      </c>
      <c r="R105">
        <f t="shared" si="19"/>
        <v>1.3968233333333332E-4</v>
      </c>
      <c r="T105">
        <f t="shared" si="20"/>
        <v>70.696599578019885</v>
      </c>
      <c r="U105">
        <f t="shared" si="21"/>
        <v>80.342611064175983</v>
      </c>
      <c r="W105">
        <f t="shared" si="22"/>
        <v>5.1740178591890311</v>
      </c>
      <c r="X105">
        <f t="shared" si="23"/>
        <v>5.0266714810664075</v>
      </c>
    </row>
    <row r="106" spans="1:24" x14ac:dyDescent="0.35">
      <c r="A106">
        <v>673.51599999999996</v>
      </c>
      <c r="B106">
        <v>7.6893199999999995E-4</v>
      </c>
      <c r="C106">
        <v>1.5277300000000001E-4</v>
      </c>
      <c r="D106">
        <f t="shared" si="12"/>
        <v>64.708575275603792</v>
      </c>
      <c r="E106">
        <f t="shared" si="13"/>
        <v>74.280282587238858</v>
      </c>
      <c r="G106" s="7">
        <v>6.3472500000000005E-4</v>
      </c>
      <c r="H106" s="7">
        <v>1.39586E-4</v>
      </c>
      <c r="I106" s="6">
        <f t="shared" si="14"/>
        <v>70.307203906121927</v>
      </c>
      <c r="J106" s="6">
        <f t="shared" si="15"/>
        <v>81.033101510524901</v>
      </c>
      <c r="L106" s="7">
        <v>5.6266699999999998E-4</v>
      </c>
      <c r="M106" s="7">
        <v>1.27298E-4</v>
      </c>
      <c r="N106" s="6">
        <f t="shared" si="16"/>
        <v>77.854294482771977</v>
      </c>
      <c r="O106" s="6">
        <f t="shared" si="17"/>
        <v>85.972080584052037</v>
      </c>
      <c r="Q106">
        <f t="shared" si="18"/>
        <v>6.5544133333333336E-4</v>
      </c>
      <c r="R106">
        <f t="shared" si="19"/>
        <v>1.3988566666666669E-4</v>
      </c>
      <c r="T106">
        <f t="shared" si="20"/>
        <v>70.956691221499227</v>
      </c>
      <c r="U106">
        <f t="shared" si="21"/>
        <v>80.428488227271927</v>
      </c>
      <c r="W106">
        <f t="shared" si="22"/>
        <v>5.3863320047477359</v>
      </c>
      <c r="X106">
        <f t="shared" si="23"/>
        <v>4.7922648101766123</v>
      </c>
    </row>
    <row r="107" spans="1:24" x14ac:dyDescent="0.35">
      <c r="A107">
        <v>679.74</v>
      </c>
      <c r="B107">
        <v>7.7053699999999996E-4</v>
      </c>
      <c r="C107">
        <v>1.51812E-4</v>
      </c>
      <c r="D107">
        <f t="shared" si="12"/>
        <v>64.843642177901188</v>
      </c>
      <c r="E107">
        <f t="shared" si="13"/>
        <v>73.813031492043123</v>
      </c>
      <c r="G107" s="7">
        <v>6.3715899999999999E-4</v>
      </c>
      <c r="H107" s="7">
        <v>1.4054099999999999E-4</v>
      </c>
      <c r="I107" s="6">
        <f t="shared" si="14"/>
        <v>70.576813161007905</v>
      </c>
      <c r="J107" s="6">
        <f t="shared" si="15"/>
        <v>81.587502467229385</v>
      </c>
      <c r="L107" s="7">
        <v>5.6654399999999999E-4</v>
      </c>
      <c r="M107" s="7">
        <v>1.2936499999999999E-4</v>
      </c>
      <c r="N107" s="6">
        <f t="shared" si="16"/>
        <v>78.390741617062247</v>
      </c>
      <c r="O107" s="6">
        <f t="shared" si="17"/>
        <v>87.368051381450542</v>
      </c>
      <c r="Q107">
        <f t="shared" si="18"/>
        <v>6.5808000000000001E-4</v>
      </c>
      <c r="R107">
        <f t="shared" si="19"/>
        <v>1.4057266666666666E-4</v>
      </c>
      <c r="T107">
        <f t="shared" si="20"/>
        <v>71.27039898532378</v>
      </c>
      <c r="U107">
        <f t="shared" si="21"/>
        <v>80.922861780241021</v>
      </c>
      <c r="W107">
        <f t="shared" si="22"/>
        <v>5.5522831205068792</v>
      </c>
      <c r="X107">
        <f t="shared" si="23"/>
        <v>5.5537345682977417</v>
      </c>
    </row>
    <row r="108" spans="1:24" x14ac:dyDescent="0.35">
      <c r="A108">
        <v>685.89499999999998</v>
      </c>
      <c r="B108">
        <v>7.7289999999999998E-4</v>
      </c>
      <c r="C108">
        <v>1.5183899999999999E-4</v>
      </c>
      <c r="D108">
        <f t="shared" si="12"/>
        <v>65.04249768576959</v>
      </c>
      <c r="E108">
        <f t="shared" si="13"/>
        <v>73.826159254343111</v>
      </c>
      <c r="G108" s="7">
        <v>6.3862900000000004E-4</v>
      </c>
      <c r="H108" s="7">
        <v>1.4105500000000001E-4</v>
      </c>
      <c r="I108" s="6">
        <f t="shared" si="14"/>
        <v>70.739642086514237</v>
      </c>
      <c r="J108" s="6">
        <f t="shared" si="15"/>
        <v>81.885892092094423</v>
      </c>
      <c r="L108" s="7">
        <v>5.7194199999999998E-4</v>
      </c>
      <c r="M108" s="7">
        <v>1.29648E-4</v>
      </c>
      <c r="N108" s="6">
        <f t="shared" si="16"/>
        <v>79.137644281725372</v>
      </c>
      <c r="O108" s="6">
        <f t="shared" si="17"/>
        <v>87.559178491108881</v>
      </c>
      <c r="Q108">
        <f t="shared" si="18"/>
        <v>6.6115699999999989E-4</v>
      </c>
      <c r="R108">
        <f t="shared" si="19"/>
        <v>1.4084733333333334E-4</v>
      </c>
      <c r="T108">
        <f t="shared" si="20"/>
        <v>71.639928018003062</v>
      </c>
      <c r="U108">
        <f t="shared" si="21"/>
        <v>81.090409945848805</v>
      </c>
      <c r="W108">
        <f t="shared" si="22"/>
        <v>5.7894257319817424</v>
      </c>
      <c r="X108">
        <f t="shared" si="23"/>
        <v>5.6346279512251343</v>
      </c>
    </row>
    <row r="109" spans="1:24" x14ac:dyDescent="0.35">
      <c r="A109">
        <v>692.197</v>
      </c>
      <c r="B109">
        <v>7.7437600000000001E-4</v>
      </c>
      <c r="C109">
        <v>1.52461E-4</v>
      </c>
      <c r="D109">
        <f t="shared" si="12"/>
        <v>65.166708743583271</v>
      </c>
      <c r="E109">
        <f t="shared" si="13"/>
        <v>74.128584000661263</v>
      </c>
      <c r="G109" s="7">
        <v>6.4163299999999996E-4</v>
      </c>
      <c r="H109" s="7">
        <v>1.4098100000000001E-4</v>
      </c>
      <c r="I109" s="6">
        <f t="shared" si="14"/>
        <v>71.072389088025091</v>
      </c>
      <c r="J109" s="6">
        <f t="shared" si="15"/>
        <v>81.842933274506848</v>
      </c>
      <c r="L109" s="7">
        <v>5.7657400000000005E-4</v>
      </c>
      <c r="M109" s="7">
        <v>1.29634E-4</v>
      </c>
      <c r="N109" s="6">
        <f t="shared" si="16"/>
        <v>79.778558165148795</v>
      </c>
      <c r="O109" s="6">
        <f t="shared" si="17"/>
        <v>87.54972343974768</v>
      </c>
      <c r="Q109">
        <f t="shared" si="18"/>
        <v>6.6419433333333338E-4</v>
      </c>
      <c r="R109">
        <f t="shared" si="19"/>
        <v>1.4102533333333332E-4</v>
      </c>
      <c r="T109">
        <f t="shared" si="20"/>
        <v>72.00588533225239</v>
      </c>
      <c r="U109">
        <f t="shared" si="21"/>
        <v>81.173746904971935</v>
      </c>
      <c r="W109">
        <f t="shared" si="22"/>
        <v>6.0016718397524329</v>
      </c>
      <c r="X109">
        <f t="shared" si="23"/>
        <v>5.4995517246850039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7D63-DDB1-4645-ACA9-0A73D1C97C03}">
  <dimension ref="A1:X109"/>
  <sheetViews>
    <sheetView zoomScaleNormal="100" workbookViewId="0">
      <selection activeCell="I13" sqref="I13"/>
    </sheetView>
  </sheetViews>
  <sheetFormatPr defaultColWidth="8.81640625" defaultRowHeight="14.5" x14ac:dyDescent="0.35"/>
  <cols>
    <col min="1" max="1" width="9.453125" bestFit="1" customWidth="1"/>
    <col min="2" max="3" width="12.453125" bestFit="1" customWidth="1"/>
    <col min="4" max="5" width="12.453125" customWidth="1"/>
    <col min="7" max="8" width="12.1796875" bestFit="1" customWidth="1"/>
    <col min="9" max="10" width="12.453125" customWidth="1"/>
    <col min="12" max="13" width="11.81640625" bestFit="1" customWidth="1"/>
    <col min="14" max="15" width="12.453125" customWidth="1"/>
    <col min="16" max="16" width="8.81640625" style="1"/>
    <col min="17" max="18" width="11.81640625" bestFit="1" customWidth="1"/>
    <col min="20" max="21" width="11.81640625" bestFit="1" customWidth="1"/>
    <col min="23" max="24" width="9.453125" bestFit="1" customWidth="1"/>
    <col min="26" max="27" width="11.81640625" bestFit="1" customWidth="1"/>
  </cols>
  <sheetData>
    <row r="1" spans="1:24" ht="29" x14ac:dyDescent="0.35">
      <c r="A1" t="s">
        <v>5</v>
      </c>
      <c r="B1" s="2" t="s">
        <v>0</v>
      </c>
      <c r="C1" s="2" t="s">
        <v>1</v>
      </c>
      <c r="D1" t="s">
        <v>70</v>
      </c>
      <c r="E1" t="s">
        <v>71</v>
      </c>
      <c r="G1" s="2" t="s">
        <v>0</v>
      </c>
      <c r="H1" s="2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s="2" t="s">
        <v>2</v>
      </c>
      <c r="C2" s="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6.2696399999999999</v>
      </c>
      <c r="B3" s="7">
        <v>1.4671E-3</v>
      </c>
      <c r="C3" s="7">
        <v>2.50058E-4</v>
      </c>
      <c r="D3">
        <f>B3/$B$3*100</f>
        <v>100</v>
      </c>
      <c r="E3">
        <f>C3/$C$3*100</f>
        <v>100</v>
      </c>
      <c r="G3" s="7"/>
      <c r="H3" s="7"/>
      <c r="I3" s="6"/>
      <c r="J3" s="6"/>
      <c r="L3" s="7"/>
      <c r="M3" s="7"/>
      <c r="N3" s="6"/>
      <c r="O3" s="6"/>
      <c r="Q3">
        <f>AVERAGE(B3,G3,L3)</f>
        <v>1.4671E-3</v>
      </c>
      <c r="R3">
        <f>AVERAGE(C3,H3,M3)</f>
        <v>2.50058E-4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12.3698</v>
      </c>
      <c r="B4" s="7">
        <v>1.4973300000000001E-3</v>
      </c>
      <c r="C4" s="7">
        <v>2.51907E-4</v>
      </c>
      <c r="D4">
        <f t="shared" ref="D4:D67" si="0">B4/$B$3*100</f>
        <v>102.06052757139936</v>
      </c>
      <c r="E4">
        <f t="shared" ref="E4:E67" si="1">C4/$C$3*100</f>
        <v>100.739428452599</v>
      </c>
      <c r="G4" s="7"/>
      <c r="H4" s="7"/>
      <c r="I4" s="6"/>
      <c r="J4" s="6"/>
      <c r="L4" s="7"/>
      <c r="M4" s="7"/>
      <c r="N4" s="6"/>
      <c r="O4" s="6"/>
      <c r="Q4">
        <f t="shared" ref="Q4:R31" si="2">AVERAGE(B4,G4,L4)</f>
        <v>1.4973300000000001E-3</v>
      </c>
      <c r="R4">
        <f t="shared" si="2"/>
        <v>2.51907E-4</v>
      </c>
      <c r="T4">
        <f t="shared" ref="T4:U67" si="3">AVERAGE(D4,I4,N4)</f>
        <v>102.06052757139936</v>
      </c>
      <c r="U4">
        <f t="shared" si="3"/>
        <v>100.739428452599</v>
      </c>
      <c r="W4">
        <f t="shared" ref="W4:X67" si="4">_xlfn.STDEV.P(D4,I4,N4)</f>
        <v>0</v>
      </c>
      <c r="X4">
        <f t="shared" si="4"/>
        <v>0</v>
      </c>
    </row>
    <row r="5" spans="1:24" x14ac:dyDescent="0.35">
      <c r="A5">
        <v>18.654</v>
      </c>
      <c r="B5" s="7">
        <v>1.52524E-3</v>
      </c>
      <c r="C5" s="7">
        <v>2.5651800000000001E-4</v>
      </c>
      <c r="D5">
        <f t="shared" si="0"/>
        <v>103.96292004634992</v>
      </c>
      <c r="E5">
        <f t="shared" si="1"/>
        <v>102.58340065104896</v>
      </c>
      <c r="G5" s="7"/>
      <c r="H5" s="7"/>
      <c r="I5" s="6"/>
      <c r="J5" s="6"/>
      <c r="L5" s="7"/>
      <c r="M5" s="7"/>
      <c r="N5" s="6"/>
      <c r="O5" s="6"/>
      <c r="Q5">
        <f t="shared" si="2"/>
        <v>1.52524E-3</v>
      </c>
      <c r="R5">
        <f t="shared" si="2"/>
        <v>2.5651800000000001E-4</v>
      </c>
      <c r="T5">
        <f t="shared" si="3"/>
        <v>103.96292004634992</v>
      </c>
      <c r="U5">
        <f t="shared" si="3"/>
        <v>102.58340065104896</v>
      </c>
      <c r="W5">
        <f t="shared" si="4"/>
        <v>0</v>
      </c>
      <c r="X5">
        <f t="shared" si="4"/>
        <v>0</v>
      </c>
    </row>
    <row r="6" spans="1:24" x14ac:dyDescent="0.35">
      <c r="A6">
        <v>24.779599999999999</v>
      </c>
      <c r="B6" s="7">
        <v>1.56668E-3</v>
      </c>
      <c r="C6" s="7">
        <v>2.6109499999999998E-4</v>
      </c>
      <c r="D6">
        <f t="shared" si="0"/>
        <v>106.7875400449867</v>
      </c>
      <c r="E6">
        <f t="shared" si="1"/>
        <v>104.41377600396706</v>
      </c>
      <c r="G6" s="7"/>
      <c r="H6" s="7"/>
      <c r="I6" s="6"/>
      <c r="J6" s="6"/>
      <c r="L6" s="7"/>
      <c r="M6" s="7"/>
      <c r="N6" s="6"/>
      <c r="O6" s="6"/>
      <c r="Q6">
        <f t="shared" si="2"/>
        <v>1.56668E-3</v>
      </c>
      <c r="R6">
        <f t="shared" si="2"/>
        <v>2.6109499999999998E-4</v>
      </c>
      <c r="T6">
        <f t="shared" si="3"/>
        <v>106.7875400449867</v>
      </c>
      <c r="U6">
        <f t="shared" si="3"/>
        <v>104.41377600396706</v>
      </c>
      <c r="W6">
        <f t="shared" si="4"/>
        <v>0</v>
      </c>
      <c r="X6">
        <f t="shared" si="4"/>
        <v>0</v>
      </c>
    </row>
    <row r="7" spans="1:24" x14ac:dyDescent="0.35">
      <c r="A7">
        <v>31.0945</v>
      </c>
      <c r="B7" s="7">
        <v>1.5997699999999999E-3</v>
      </c>
      <c r="C7" s="7">
        <v>2.6415899999999998E-4</v>
      </c>
      <c r="D7">
        <f t="shared" si="0"/>
        <v>109.04301001976688</v>
      </c>
      <c r="E7">
        <f t="shared" si="1"/>
        <v>105.63909173071846</v>
      </c>
      <c r="G7" s="7"/>
      <c r="H7" s="7"/>
      <c r="I7" s="6"/>
      <c r="J7" s="6"/>
      <c r="L7" s="7"/>
      <c r="M7" s="7"/>
      <c r="N7" s="6"/>
      <c r="O7" s="6"/>
      <c r="Q7">
        <f t="shared" si="2"/>
        <v>1.5997699999999999E-3</v>
      </c>
      <c r="R7">
        <f t="shared" si="2"/>
        <v>2.6415899999999998E-4</v>
      </c>
      <c r="T7">
        <f t="shared" si="3"/>
        <v>109.04301001976688</v>
      </c>
      <c r="U7">
        <f t="shared" si="3"/>
        <v>105.63909173071846</v>
      </c>
      <c r="W7">
        <f t="shared" si="4"/>
        <v>0</v>
      </c>
      <c r="X7">
        <f t="shared" si="4"/>
        <v>0</v>
      </c>
    </row>
    <row r="8" spans="1:24" x14ac:dyDescent="0.35">
      <c r="A8">
        <v>37.161900000000003</v>
      </c>
      <c r="B8" s="7">
        <v>1.63046E-3</v>
      </c>
      <c r="C8" s="7">
        <v>2.6510599999999998E-4</v>
      </c>
      <c r="D8">
        <f t="shared" si="0"/>
        <v>111.13489196373799</v>
      </c>
      <c r="E8">
        <f t="shared" si="1"/>
        <v>106.01780386950226</v>
      </c>
      <c r="G8" s="7"/>
      <c r="H8" s="7"/>
      <c r="I8" s="6"/>
      <c r="J8" s="6"/>
      <c r="L8" s="7"/>
      <c r="M8" s="7"/>
      <c r="N8" s="6"/>
      <c r="O8" s="6"/>
      <c r="Q8">
        <f t="shared" si="2"/>
        <v>1.63046E-3</v>
      </c>
      <c r="R8">
        <f t="shared" si="2"/>
        <v>2.6510599999999998E-4</v>
      </c>
      <c r="T8">
        <f t="shared" si="3"/>
        <v>111.13489196373799</v>
      </c>
      <c r="U8">
        <f t="shared" si="3"/>
        <v>106.01780386950226</v>
      </c>
      <c r="W8">
        <f t="shared" si="4"/>
        <v>0</v>
      </c>
      <c r="X8">
        <f t="shared" si="4"/>
        <v>0</v>
      </c>
    </row>
    <row r="9" spans="1:24" x14ac:dyDescent="0.35">
      <c r="A9">
        <v>43.441699999999997</v>
      </c>
      <c r="B9" s="7">
        <v>1.6656500000000001E-3</v>
      </c>
      <c r="C9" s="7">
        <v>2.7940899999999999E-4</v>
      </c>
      <c r="D9">
        <f t="shared" si="0"/>
        <v>113.53350146547612</v>
      </c>
      <c r="E9">
        <f t="shared" si="1"/>
        <v>111.73767685896871</v>
      </c>
      <c r="G9" s="7"/>
      <c r="H9" s="7"/>
      <c r="I9" s="6"/>
      <c r="J9" s="6"/>
      <c r="L9" s="7"/>
      <c r="M9" s="7"/>
      <c r="N9" s="6"/>
      <c r="O9" s="6"/>
      <c r="Q9">
        <f t="shared" si="2"/>
        <v>1.6656500000000001E-3</v>
      </c>
      <c r="R9">
        <f t="shared" si="2"/>
        <v>2.7940899999999999E-4</v>
      </c>
      <c r="T9">
        <f t="shared" si="3"/>
        <v>113.53350146547612</v>
      </c>
      <c r="U9">
        <f t="shared" si="3"/>
        <v>111.73767685896871</v>
      </c>
      <c r="W9">
        <f t="shared" si="4"/>
        <v>0</v>
      </c>
      <c r="X9">
        <f t="shared" si="4"/>
        <v>0</v>
      </c>
    </row>
    <row r="10" spans="1:24" x14ac:dyDescent="0.35">
      <c r="A10">
        <v>49.671799999999998</v>
      </c>
      <c r="B10" s="7">
        <v>1.7136300000000001E-3</v>
      </c>
      <c r="C10" s="7">
        <v>2.7851299999999998E-4</v>
      </c>
      <c r="D10">
        <f t="shared" si="0"/>
        <v>116.8038988480676</v>
      </c>
      <c r="E10">
        <f t="shared" si="1"/>
        <v>111.37935998848268</v>
      </c>
      <c r="G10" s="7"/>
      <c r="H10" s="7"/>
      <c r="I10" s="6"/>
      <c r="J10" s="6"/>
      <c r="L10" s="7"/>
      <c r="M10" s="7"/>
      <c r="N10" s="6"/>
      <c r="O10" s="6"/>
      <c r="Q10">
        <f t="shared" si="2"/>
        <v>1.7136300000000001E-3</v>
      </c>
      <c r="R10">
        <f t="shared" si="2"/>
        <v>2.7851299999999998E-4</v>
      </c>
      <c r="T10">
        <f t="shared" si="3"/>
        <v>116.8038988480676</v>
      </c>
      <c r="U10">
        <f t="shared" si="3"/>
        <v>111.37935998848268</v>
      </c>
      <c r="W10">
        <f t="shared" si="4"/>
        <v>0</v>
      </c>
      <c r="X10">
        <f t="shared" si="4"/>
        <v>0</v>
      </c>
    </row>
    <row r="11" spans="1:24" x14ac:dyDescent="0.35">
      <c r="A11">
        <v>55.927799999999998</v>
      </c>
      <c r="B11" s="7">
        <v>1.7481300000000001E-3</v>
      </c>
      <c r="C11" s="7">
        <v>2.8175299999999998E-4</v>
      </c>
      <c r="D11">
        <f t="shared" si="0"/>
        <v>119.15547679094813</v>
      </c>
      <c r="E11">
        <f t="shared" si="1"/>
        <v>112.6750593862224</v>
      </c>
      <c r="G11" s="7"/>
      <c r="H11" s="7"/>
      <c r="I11" s="6"/>
      <c r="J11" s="6"/>
      <c r="L11" s="7"/>
      <c r="M11" s="7"/>
      <c r="N11" s="6"/>
      <c r="O11" s="6"/>
      <c r="Q11">
        <f t="shared" si="2"/>
        <v>1.7481300000000001E-3</v>
      </c>
      <c r="R11">
        <f t="shared" si="2"/>
        <v>2.8175299999999998E-4</v>
      </c>
      <c r="T11">
        <f t="shared" si="3"/>
        <v>119.15547679094813</v>
      </c>
      <c r="U11">
        <f t="shared" si="3"/>
        <v>112.6750593862224</v>
      </c>
      <c r="W11">
        <f t="shared" si="4"/>
        <v>0</v>
      </c>
      <c r="X11">
        <f t="shared" si="4"/>
        <v>0</v>
      </c>
    </row>
    <row r="12" spans="1:24" x14ac:dyDescent="0.35">
      <c r="A12">
        <v>62.031100000000002</v>
      </c>
      <c r="B12" s="7">
        <v>1.7797900000000001E-3</v>
      </c>
      <c r="C12" s="7">
        <v>2.82267E-4</v>
      </c>
      <c r="D12">
        <f t="shared" si="0"/>
        <v>121.31347556403792</v>
      </c>
      <c r="E12">
        <f t="shared" si="1"/>
        <v>112.88061169808606</v>
      </c>
      <c r="G12" s="7"/>
      <c r="H12" s="7"/>
      <c r="I12" s="6"/>
      <c r="J12" s="6"/>
      <c r="L12" s="7"/>
      <c r="M12" s="7"/>
      <c r="N12" s="6"/>
      <c r="O12" s="6"/>
      <c r="Q12">
        <f t="shared" si="2"/>
        <v>1.7797900000000001E-3</v>
      </c>
      <c r="R12">
        <f t="shared" si="2"/>
        <v>2.82267E-4</v>
      </c>
      <c r="T12">
        <f t="shared" si="3"/>
        <v>121.31347556403792</v>
      </c>
      <c r="U12">
        <f t="shared" si="3"/>
        <v>112.88061169808606</v>
      </c>
      <c r="W12">
        <f t="shared" si="4"/>
        <v>0</v>
      </c>
      <c r="X12">
        <f t="shared" si="4"/>
        <v>0</v>
      </c>
    </row>
    <row r="13" spans="1:24" x14ac:dyDescent="0.35">
      <c r="A13">
        <v>68.213200000000001</v>
      </c>
      <c r="B13" s="7">
        <v>1.8131200000000001E-3</v>
      </c>
      <c r="C13" s="7">
        <v>2.92916E-4</v>
      </c>
      <c r="D13">
        <f t="shared" si="0"/>
        <v>123.58530434189899</v>
      </c>
      <c r="E13">
        <f t="shared" si="1"/>
        <v>117.13922370010157</v>
      </c>
      <c r="G13" s="7"/>
      <c r="H13" s="7"/>
      <c r="I13" s="6"/>
      <c r="J13" s="6"/>
      <c r="L13" s="7"/>
      <c r="M13" s="7"/>
      <c r="N13" s="6"/>
      <c r="O13" s="6"/>
      <c r="Q13">
        <f t="shared" si="2"/>
        <v>1.8131200000000001E-3</v>
      </c>
      <c r="R13">
        <f t="shared" si="2"/>
        <v>2.92916E-4</v>
      </c>
      <c r="T13">
        <f t="shared" si="3"/>
        <v>123.58530434189899</v>
      </c>
      <c r="U13">
        <f t="shared" si="3"/>
        <v>117.13922370010157</v>
      </c>
      <c r="W13">
        <f t="shared" si="4"/>
        <v>0</v>
      </c>
      <c r="X13">
        <f t="shared" si="4"/>
        <v>0</v>
      </c>
    </row>
    <row r="14" spans="1:24" x14ac:dyDescent="0.35">
      <c r="A14">
        <v>74.461600000000004</v>
      </c>
      <c r="B14" s="7">
        <v>1.85132E-3</v>
      </c>
      <c r="C14" s="7">
        <v>2.9427099999999997E-4</v>
      </c>
      <c r="D14">
        <f t="shared" si="0"/>
        <v>126.18908049894348</v>
      </c>
      <c r="E14">
        <f t="shared" si="1"/>
        <v>117.6810979852674</v>
      </c>
      <c r="G14" s="7"/>
      <c r="H14" s="7"/>
      <c r="I14" s="6"/>
      <c r="J14" s="6"/>
      <c r="L14" s="7"/>
      <c r="M14" s="7"/>
      <c r="N14" s="6"/>
      <c r="O14" s="6"/>
      <c r="Q14">
        <f t="shared" si="2"/>
        <v>1.85132E-3</v>
      </c>
      <c r="R14">
        <f t="shared" si="2"/>
        <v>2.9427099999999997E-4</v>
      </c>
      <c r="T14">
        <f t="shared" si="3"/>
        <v>126.18908049894348</v>
      </c>
      <c r="U14">
        <f t="shared" si="3"/>
        <v>117.6810979852674</v>
      </c>
      <c r="W14">
        <f t="shared" si="4"/>
        <v>0</v>
      </c>
      <c r="X14">
        <f t="shared" si="4"/>
        <v>0</v>
      </c>
    </row>
    <row r="15" spans="1:24" x14ac:dyDescent="0.35">
      <c r="A15">
        <v>80.745000000000005</v>
      </c>
      <c r="B15" s="7">
        <v>1.8864999999999999E-3</v>
      </c>
      <c r="C15" s="7">
        <v>2.9392099999999999E-4</v>
      </c>
      <c r="D15">
        <f t="shared" si="0"/>
        <v>128.58700838388657</v>
      </c>
      <c r="E15">
        <f t="shared" si="1"/>
        <v>117.5411304577338</v>
      </c>
      <c r="G15" s="7"/>
      <c r="H15" s="7"/>
      <c r="I15" s="6"/>
      <c r="J15" s="6"/>
      <c r="L15" s="7"/>
      <c r="M15" s="7"/>
      <c r="N15" s="6"/>
      <c r="O15" s="6"/>
      <c r="Q15">
        <f t="shared" si="2"/>
        <v>1.8864999999999999E-3</v>
      </c>
      <c r="R15">
        <f t="shared" si="2"/>
        <v>2.9392099999999999E-4</v>
      </c>
      <c r="T15">
        <f t="shared" si="3"/>
        <v>128.58700838388657</v>
      </c>
      <c r="U15">
        <f t="shared" si="3"/>
        <v>117.5411304577338</v>
      </c>
      <c r="W15">
        <f t="shared" si="4"/>
        <v>0</v>
      </c>
      <c r="X15">
        <f t="shared" si="4"/>
        <v>0</v>
      </c>
    </row>
    <row r="16" spans="1:24" x14ac:dyDescent="0.35">
      <c r="A16">
        <v>86.833600000000004</v>
      </c>
      <c r="B16" s="7">
        <v>1.9156500000000001E-3</v>
      </c>
      <c r="C16" s="7">
        <v>3.0218299999999998E-4</v>
      </c>
      <c r="D16">
        <f t="shared" si="0"/>
        <v>130.57392134142185</v>
      </c>
      <c r="E16">
        <f t="shared" si="1"/>
        <v>120.84516392197008</v>
      </c>
      <c r="G16" s="7"/>
      <c r="H16" s="7"/>
      <c r="I16" s="6"/>
      <c r="J16" s="6"/>
      <c r="L16" s="7"/>
      <c r="M16" s="7"/>
      <c r="N16" s="6"/>
      <c r="O16" s="6"/>
      <c r="Q16">
        <f t="shared" si="2"/>
        <v>1.9156500000000001E-3</v>
      </c>
      <c r="R16">
        <f t="shared" si="2"/>
        <v>3.0218299999999998E-4</v>
      </c>
      <c r="T16">
        <f t="shared" si="3"/>
        <v>130.57392134142185</v>
      </c>
      <c r="U16">
        <f t="shared" si="3"/>
        <v>120.84516392197008</v>
      </c>
      <c r="W16">
        <f t="shared" si="4"/>
        <v>0</v>
      </c>
      <c r="X16">
        <f t="shared" si="4"/>
        <v>0</v>
      </c>
    </row>
    <row r="17" spans="1:24" x14ac:dyDescent="0.35">
      <c r="A17">
        <v>93.167199999999994</v>
      </c>
      <c r="B17" s="7">
        <v>1.9568099999999998E-3</v>
      </c>
      <c r="C17" s="7">
        <v>3.16342E-4</v>
      </c>
      <c r="D17">
        <f t="shared" si="0"/>
        <v>133.37945606979756</v>
      </c>
      <c r="E17">
        <f t="shared" si="1"/>
        <v>126.50745027153701</v>
      </c>
      <c r="G17" s="7"/>
      <c r="H17" s="7"/>
      <c r="I17" s="6"/>
      <c r="J17" s="6"/>
      <c r="L17" s="7"/>
      <c r="M17" s="7"/>
      <c r="N17" s="6"/>
      <c r="O17" s="6"/>
      <c r="Q17">
        <f t="shared" si="2"/>
        <v>1.9568099999999998E-3</v>
      </c>
      <c r="R17">
        <f t="shared" si="2"/>
        <v>3.16342E-4</v>
      </c>
      <c r="T17">
        <f t="shared" si="3"/>
        <v>133.37945606979756</v>
      </c>
      <c r="U17">
        <f t="shared" si="3"/>
        <v>126.50745027153701</v>
      </c>
      <c r="W17">
        <f t="shared" si="4"/>
        <v>0</v>
      </c>
      <c r="X17">
        <f t="shared" si="4"/>
        <v>0</v>
      </c>
    </row>
    <row r="18" spans="1:24" x14ac:dyDescent="0.35">
      <c r="A18">
        <v>99.287099999999995</v>
      </c>
      <c r="B18" s="7">
        <v>2.0003E-3</v>
      </c>
      <c r="C18" s="7">
        <v>3.16707E-4</v>
      </c>
      <c r="D18">
        <f t="shared" si="0"/>
        <v>136.34380751141708</v>
      </c>
      <c r="E18">
        <f t="shared" si="1"/>
        <v>126.65341640739349</v>
      </c>
      <c r="G18" s="7"/>
      <c r="H18" s="7"/>
      <c r="I18" s="6"/>
      <c r="J18" s="6"/>
      <c r="L18" s="7"/>
      <c r="M18" s="7"/>
      <c r="N18" s="6"/>
      <c r="O18" s="6"/>
      <c r="Q18">
        <f t="shared" si="2"/>
        <v>2.0003E-3</v>
      </c>
      <c r="R18">
        <f t="shared" si="2"/>
        <v>3.16707E-4</v>
      </c>
      <c r="T18">
        <f t="shared" si="3"/>
        <v>136.34380751141708</v>
      </c>
      <c r="U18">
        <f t="shared" si="3"/>
        <v>126.65341640739349</v>
      </c>
      <c r="W18">
        <f t="shared" si="4"/>
        <v>0</v>
      </c>
      <c r="X18">
        <f t="shared" si="4"/>
        <v>0</v>
      </c>
    </row>
    <row r="19" spans="1:24" x14ac:dyDescent="0.35">
      <c r="A19">
        <v>105.572</v>
      </c>
      <c r="B19" s="7">
        <v>2.0417E-3</v>
      </c>
      <c r="C19" s="7">
        <v>3.1408599999999999E-4</v>
      </c>
      <c r="D19">
        <f t="shared" si="0"/>
        <v>139.16570104287368</v>
      </c>
      <c r="E19">
        <f t="shared" si="1"/>
        <v>125.60525957977748</v>
      </c>
      <c r="G19" s="7"/>
      <c r="H19" s="7"/>
      <c r="I19" s="6"/>
      <c r="J19" s="6"/>
      <c r="L19" s="7"/>
      <c r="M19" s="7"/>
      <c r="N19" s="6"/>
      <c r="O19" s="6"/>
      <c r="Q19">
        <f t="shared" si="2"/>
        <v>2.0417E-3</v>
      </c>
      <c r="R19">
        <f t="shared" si="2"/>
        <v>3.1408599999999999E-4</v>
      </c>
      <c r="T19">
        <f t="shared" si="3"/>
        <v>139.16570104287368</v>
      </c>
      <c r="U19">
        <f t="shared" si="3"/>
        <v>125.60525957977748</v>
      </c>
      <c r="W19">
        <f t="shared" si="4"/>
        <v>0</v>
      </c>
      <c r="X19">
        <f t="shared" si="4"/>
        <v>0</v>
      </c>
    </row>
    <row r="20" spans="1:24" x14ac:dyDescent="0.35">
      <c r="A20">
        <v>111.81699999999999</v>
      </c>
      <c r="B20" s="7">
        <v>2.0737899999999998E-3</v>
      </c>
      <c r="C20" s="7">
        <v>3.1931599999999999E-4</v>
      </c>
      <c r="D20">
        <f t="shared" si="0"/>
        <v>141.35300933815006</v>
      </c>
      <c r="E20">
        <f t="shared" si="1"/>
        <v>127.69677434835118</v>
      </c>
      <c r="G20" s="7"/>
      <c r="H20" s="7"/>
      <c r="I20" s="6"/>
      <c r="J20" s="6"/>
      <c r="L20" s="7"/>
      <c r="M20" s="7"/>
      <c r="N20" s="6"/>
      <c r="O20" s="6"/>
      <c r="Q20">
        <f t="shared" si="2"/>
        <v>2.0737899999999998E-3</v>
      </c>
      <c r="R20">
        <f t="shared" si="2"/>
        <v>3.1931599999999999E-4</v>
      </c>
      <c r="T20">
        <f t="shared" si="3"/>
        <v>141.35300933815006</v>
      </c>
      <c r="U20">
        <f t="shared" si="3"/>
        <v>127.69677434835118</v>
      </c>
      <c r="W20">
        <f t="shared" si="4"/>
        <v>0</v>
      </c>
      <c r="X20">
        <f t="shared" si="4"/>
        <v>0</v>
      </c>
    </row>
    <row r="21" spans="1:24" x14ac:dyDescent="0.35">
      <c r="A21">
        <v>117.977</v>
      </c>
      <c r="B21" s="7">
        <v>2.1045299999999999E-3</v>
      </c>
      <c r="C21" s="7">
        <v>3.2517800000000002E-4</v>
      </c>
      <c r="D21">
        <f t="shared" si="0"/>
        <v>143.44829936609636</v>
      </c>
      <c r="E21">
        <f t="shared" si="1"/>
        <v>130.04103048092844</v>
      </c>
      <c r="G21" s="7"/>
      <c r="H21" s="7"/>
      <c r="I21" s="6"/>
      <c r="J21" s="6"/>
      <c r="L21" s="7"/>
      <c r="M21" s="7"/>
      <c r="N21" s="6"/>
      <c r="O21" s="6"/>
      <c r="Q21">
        <f t="shared" si="2"/>
        <v>2.1045299999999999E-3</v>
      </c>
      <c r="R21">
        <f t="shared" si="2"/>
        <v>3.2517800000000002E-4</v>
      </c>
      <c r="T21">
        <f t="shared" si="3"/>
        <v>143.44829936609636</v>
      </c>
      <c r="U21">
        <f t="shared" si="3"/>
        <v>130.04103048092844</v>
      </c>
      <c r="W21">
        <f t="shared" si="4"/>
        <v>0</v>
      </c>
      <c r="X21">
        <f t="shared" si="4"/>
        <v>0</v>
      </c>
    </row>
    <row r="22" spans="1:24" x14ac:dyDescent="0.35">
      <c r="A22">
        <v>124.10599999999999</v>
      </c>
      <c r="B22" s="7">
        <v>2.1379400000000001E-3</v>
      </c>
      <c r="C22" s="7">
        <v>3.2871199999999999E-4</v>
      </c>
      <c r="D22">
        <f t="shared" si="0"/>
        <v>145.72558107831776</v>
      </c>
      <c r="E22">
        <f t="shared" si="1"/>
        <v>131.45430260179637</v>
      </c>
      <c r="G22" s="7"/>
      <c r="H22" s="7"/>
      <c r="I22" s="6"/>
      <c r="J22" s="6"/>
      <c r="L22" s="7"/>
      <c r="M22" s="7"/>
      <c r="N22" s="6"/>
      <c r="O22" s="6"/>
      <c r="Q22">
        <f t="shared" si="2"/>
        <v>2.1379400000000001E-3</v>
      </c>
      <c r="R22">
        <f t="shared" si="2"/>
        <v>3.2871199999999999E-4</v>
      </c>
      <c r="T22">
        <f t="shared" si="3"/>
        <v>145.72558107831776</v>
      </c>
      <c r="U22">
        <f t="shared" si="3"/>
        <v>131.45430260179637</v>
      </c>
      <c r="W22">
        <f t="shared" si="4"/>
        <v>0</v>
      </c>
      <c r="X22">
        <f t="shared" si="4"/>
        <v>0</v>
      </c>
    </row>
    <row r="23" spans="1:24" x14ac:dyDescent="0.35">
      <c r="A23">
        <v>130.37799999999999</v>
      </c>
      <c r="B23" s="7">
        <v>2.1664599999999998E-3</v>
      </c>
      <c r="C23" s="7">
        <v>3.3178100000000001E-4</v>
      </c>
      <c r="D23">
        <f t="shared" si="0"/>
        <v>147.66955217776564</v>
      </c>
      <c r="E23">
        <f t="shared" si="1"/>
        <v>132.68161786465541</v>
      </c>
      <c r="G23" s="7"/>
      <c r="H23" s="7"/>
      <c r="I23" s="6"/>
      <c r="J23" s="6"/>
      <c r="L23" s="7"/>
      <c r="M23" s="7"/>
      <c r="N23" s="6"/>
      <c r="O23" s="6"/>
      <c r="Q23">
        <f t="shared" si="2"/>
        <v>2.1664599999999998E-3</v>
      </c>
      <c r="R23">
        <f t="shared" si="2"/>
        <v>3.3178100000000001E-4</v>
      </c>
      <c r="T23">
        <f t="shared" si="3"/>
        <v>147.66955217776564</v>
      </c>
      <c r="U23">
        <f t="shared" si="3"/>
        <v>132.68161786465541</v>
      </c>
      <c r="W23">
        <f t="shared" si="4"/>
        <v>0</v>
      </c>
      <c r="X23">
        <f t="shared" si="4"/>
        <v>0</v>
      </c>
    </row>
    <row r="24" spans="1:24" x14ac:dyDescent="0.35">
      <c r="A24">
        <v>136.60400000000001</v>
      </c>
      <c r="B24" s="7">
        <v>2.1999799999999998E-3</v>
      </c>
      <c r="C24" s="7">
        <v>3.3386700000000001E-4</v>
      </c>
      <c r="D24">
        <f t="shared" si="0"/>
        <v>149.95433167473243</v>
      </c>
      <c r="E24">
        <f t="shared" si="1"/>
        <v>133.51582432875574</v>
      </c>
      <c r="G24" s="7"/>
      <c r="H24" s="7"/>
      <c r="I24" s="6"/>
      <c r="J24" s="6"/>
      <c r="L24" s="7"/>
      <c r="M24" s="7"/>
      <c r="N24" s="6"/>
      <c r="O24" s="6"/>
      <c r="Q24">
        <f t="shared" si="2"/>
        <v>2.1999799999999998E-3</v>
      </c>
      <c r="R24">
        <f t="shared" si="2"/>
        <v>3.3386700000000001E-4</v>
      </c>
      <c r="T24">
        <f t="shared" si="3"/>
        <v>149.95433167473243</v>
      </c>
      <c r="U24">
        <f t="shared" si="3"/>
        <v>133.51582432875574</v>
      </c>
      <c r="W24">
        <f t="shared" si="4"/>
        <v>0</v>
      </c>
      <c r="X24">
        <f t="shared" si="4"/>
        <v>0</v>
      </c>
    </row>
    <row r="25" spans="1:24" x14ac:dyDescent="0.35">
      <c r="A25">
        <v>142.80099999999999</v>
      </c>
      <c r="B25" s="7">
        <v>2.2285E-3</v>
      </c>
      <c r="C25" s="7">
        <v>3.4821199999999998E-4</v>
      </c>
      <c r="D25">
        <f t="shared" si="0"/>
        <v>151.89830277418034</v>
      </c>
      <c r="E25">
        <f t="shared" si="1"/>
        <v>139.2524934215262</v>
      </c>
      <c r="G25" s="7"/>
      <c r="H25" s="7"/>
      <c r="I25" s="6"/>
      <c r="J25" s="6"/>
      <c r="L25" s="7"/>
      <c r="M25" s="7"/>
      <c r="N25" s="6"/>
      <c r="O25" s="6"/>
      <c r="Q25">
        <f t="shared" si="2"/>
        <v>2.2285E-3</v>
      </c>
      <c r="R25">
        <f t="shared" si="2"/>
        <v>3.4821199999999998E-4</v>
      </c>
      <c r="T25">
        <f t="shared" si="3"/>
        <v>151.89830277418034</v>
      </c>
      <c r="U25">
        <f t="shared" si="3"/>
        <v>139.2524934215262</v>
      </c>
      <c r="W25">
        <f t="shared" si="4"/>
        <v>0</v>
      </c>
      <c r="X25">
        <f t="shared" si="4"/>
        <v>0</v>
      </c>
    </row>
    <row r="26" spans="1:24" x14ac:dyDescent="0.35">
      <c r="A26">
        <v>148.94900000000001</v>
      </c>
      <c r="B26" s="7">
        <v>2.2632799999999999E-3</v>
      </c>
      <c r="C26" s="7">
        <v>3.4870399999999997E-4</v>
      </c>
      <c r="D26">
        <f t="shared" si="0"/>
        <v>154.26896598732191</v>
      </c>
      <c r="E26">
        <f t="shared" si="1"/>
        <v>139.44924777451629</v>
      </c>
      <c r="G26" s="7"/>
      <c r="H26" s="7"/>
      <c r="I26" s="6"/>
      <c r="J26" s="6"/>
      <c r="L26" s="7"/>
      <c r="M26" s="7"/>
      <c r="N26" s="6"/>
      <c r="O26" s="6"/>
      <c r="Q26">
        <f t="shared" si="2"/>
        <v>2.2632799999999999E-3</v>
      </c>
      <c r="R26">
        <f t="shared" si="2"/>
        <v>3.4870399999999997E-4</v>
      </c>
      <c r="T26">
        <f t="shared" si="3"/>
        <v>154.26896598732191</v>
      </c>
      <c r="U26">
        <f t="shared" si="3"/>
        <v>139.44924777451629</v>
      </c>
      <c r="W26">
        <f t="shared" si="4"/>
        <v>0</v>
      </c>
      <c r="X26">
        <f t="shared" si="4"/>
        <v>0</v>
      </c>
    </row>
    <row r="27" spans="1:24" x14ac:dyDescent="0.35">
      <c r="A27">
        <v>155.233</v>
      </c>
      <c r="B27" s="7">
        <v>2.2948999999999999E-3</v>
      </c>
      <c r="C27" s="7">
        <v>3.524E-4</v>
      </c>
      <c r="D27">
        <f t="shared" si="0"/>
        <v>156.42423829323153</v>
      </c>
      <c r="E27">
        <f t="shared" si="1"/>
        <v>140.92730486527125</v>
      </c>
      <c r="G27" s="7"/>
      <c r="H27" s="7"/>
      <c r="I27" s="6"/>
      <c r="J27" s="6"/>
      <c r="L27" s="7"/>
      <c r="M27" s="7"/>
      <c r="N27" s="6"/>
      <c r="O27" s="6"/>
      <c r="Q27">
        <f t="shared" si="2"/>
        <v>2.2948999999999999E-3</v>
      </c>
      <c r="R27">
        <f t="shared" si="2"/>
        <v>3.524E-4</v>
      </c>
      <c r="T27">
        <f t="shared" si="3"/>
        <v>156.42423829323153</v>
      </c>
      <c r="U27">
        <f t="shared" si="3"/>
        <v>140.92730486527125</v>
      </c>
      <c r="W27">
        <f t="shared" si="4"/>
        <v>0</v>
      </c>
      <c r="X27">
        <f t="shared" si="4"/>
        <v>0</v>
      </c>
    </row>
    <row r="28" spans="1:24" x14ac:dyDescent="0.35">
      <c r="A28">
        <v>161.44499999999999</v>
      </c>
      <c r="B28" s="7">
        <v>2.33023E-3</v>
      </c>
      <c r="C28" s="7">
        <v>3.5227099999999998E-4</v>
      </c>
      <c r="D28">
        <f t="shared" si="0"/>
        <v>158.83239043010019</v>
      </c>
      <c r="E28">
        <f t="shared" si="1"/>
        <v>140.87571683369458</v>
      </c>
      <c r="G28" s="7"/>
      <c r="H28" s="7"/>
      <c r="I28" s="6"/>
      <c r="J28" s="6"/>
      <c r="L28" s="7"/>
      <c r="M28" s="7"/>
      <c r="N28" s="6"/>
      <c r="O28" s="6"/>
      <c r="Q28">
        <f t="shared" si="2"/>
        <v>2.33023E-3</v>
      </c>
      <c r="R28">
        <f t="shared" si="2"/>
        <v>3.5227099999999998E-4</v>
      </c>
      <c r="T28">
        <f t="shared" si="3"/>
        <v>158.83239043010019</v>
      </c>
      <c r="U28">
        <f t="shared" si="3"/>
        <v>140.87571683369458</v>
      </c>
      <c r="W28">
        <f t="shared" si="4"/>
        <v>0</v>
      </c>
      <c r="X28">
        <f t="shared" si="4"/>
        <v>0</v>
      </c>
    </row>
    <row r="29" spans="1:24" x14ac:dyDescent="0.35">
      <c r="A29">
        <v>167.59</v>
      </c>
      <c r="B29" s="7">
        <v>2.3632100000000001E-3</v>
      </c>
      <c r="C29" s="7">
        <v>3.6156799999999999E-4</v>
      </c>
      <c r="D29">
        <f t="shared" si="0"/>
        <v>161.08036262013496</v>
      </c>
      <c r="E29">
        <f t="shared" si="1"/>
        <v>144.59365427220885</v>
      </c>
      <c r="G29" s="7"/>
      <c r="H29" s="7"/>
      <c r="I29" s="6"/>
      <c r="J29" s="6"/>
      <c r="L29" s="7"/>
      <c r="M29" s="7"/>
      <c r="N29" s="6"/>
      <c r="O29" s="6"/>
      <c r="Q29">
        <f t="shared" si="2"/>
        <v>2.3632100000000001E-3</v>
      </c>
      <c r="R29">
        <f t="shared" si="2"/>
        <v>3.6156799999999999E-4</v>
      </c>
      <c r="T29">
        <f t="shared" si="3"/>
        <v>161.08036262013496</v>
      </c>
      <c r="U29">
        <f t="shared" si="3"/>
        <v>144.59365427220885</v>
      </c>
      <c r="W29">
        <f t="shared" si="4"/>
        <v>0</v>
      </c>
      <c r="X29">
        <f t="shared" si="4"/>
        <v>0</v>
      </c>
    </row>
    <row r="30" spans="1:24" x14ac:dyDescent="0.35">
      <c r="A30">
        <v>173.74799999999999</v>
      </c>
      <c r="B30" s="7">
        <v>2.3976599999999998E-3</v>
      </c>
      <c r="C30" s="7">
        <v>3.6674400000000001E-4</v>
      </c>
      <c r="D30">
        <f t="shared" si="0"/>
        <v>163.42853247904026</v>
      </c>
      <c r="E30">
        <f t="shared" si="1"/>
        <v>146.66357405082022</v>
      </c>
      <c r="G30" s="7"/>
      <c r="H30" s="7"/>
      <c r="I30" s="6"/>
      <c r="J30" s="6"/>
      <c r="L30" s="7"/>
      <c r="M30" s="7"/>
      <c r="N30" s="6"/>
      <c r="O30" s="6"/>
      <c r="Q30">
        <f t="shared" si="2"/>
        <v>2.3976599999999998E-3</v>
      </c>
      <c r="R30">
        <f t="shared" si="2"/>
        <v>3.6674400000000001E-4</v>
      </c>
      <c r="T30">
        <f t="shared" si="3"/>
        <v>163.42853247904026</v>
      </c>
      <c r="U30">
        <f t="shared" si="3"/>
        <v>146.66357405082022</v>
      </c>
      <c r="W30">
        <f t="shared" si="4"/>
        <v>0</v>
      </c>
      <c r="X30">
        <f t="shared" si="4"/>
        <v>0</v>
      </c>
    </row>
    <row r="31" spans="1:24" x14ac:dyDescent="0.35">
      <c r="A31">
        <v>179.999</v>
      </c>
      <c r="B31" s="7">
        <v>2.4280700000000001E-3</v>
      </c>
      <c r="C31" s="7">
        <v>3.6769500000000002E-4</v>
      </c>
      <c r="D31">
        <f t="shared" si="0"/>
        <v>165.50132915275034</v>
      </c>
      <c r="E31">
        <f t="shared" si="1"/>
        <v>147.04388581849014</v>
      </c>
      <c r="G31" s="7"/>
      <c r="H31" s="7"/>
      <c r="I31" s="6"/>
      <c r="J31" s="6"/>
      <c r="L31" s="7"/>
      <c r="M31" s="7"/>
      <c r="N31" s="6"/>
      <c r="O31" s="6"/>
      <c r="Q31">
        <f t="shared" si="2"/>
        <v>2.4280700000000001E-3</v>
      </c>
      <c r="R31">
        <f t="shared" si="2"/>
        <v>3.6769500000000002E-4</v>
      </c>
      <c r="T31">
        <f t="shared" si="3"/>
        <v>165.50132915275034</v>
      </c>
      <c r="U31">
        <f t="shared" si="3"/>
        <v>147.04388581849014</v>
      </c>
      <c r="W31">
        <f t="shared" si="4"/>
        <v>0</v>
      </c>
      <c r="X31">
        <f t="shared" si="4"/>
        <v>0</v>
      </c>
    </row>
    <row r="32" spans="1:24" x14ac:dyDescent="0.35">
      <c r="A32">
        <v>193.20699999999999</v>
      </c>
      <c r="B32" s="7">
        <v>2.1409900000000001E-6</v>
      </c>
      <c r="C32" s="7">
        <v>2.4261400000000001E-5</v>
      </c>
      <c r="D32">
        <f t="shared" si="0"/>
        <v>0.14593347420080433</v>
      </c>
      <c r="E32">
        <f t="shared" si="1"/>
        <v>9.7023090642970828</v>
      </c>
      <c r="G32" s="7"/>
      <c r="H32" s="7"/>
      <c r="I32" s="6"/>
      <c r="J32" s="6"/>
      <c r="L32" s="7"/>
      <c r="M32" s="7"/>
      <c r="N32" s="6"/>
      <c r="O32" s="6"/>
      <c r="Q32">
        <f t="shared" ref="Q32:R95" si="5">AVERAGE(B32,G32,L32)</f>
        <v>2.1409900000000001E-6</v>
      </c>
      <c r="R32">
        <f t="shared" si="5"/>
        <v>2.4261400000000001E-5</v>
      </c>
      <c r="T32">
        <f t="shared" si="3"/>
        <v>0.14593347420080433</v>
      </c>
      <c r="U32">
        <f t="shared" si="3"/>
        <v>9.7023090642970828</v>
      </c>
      <c r="W32">
        <f t="shared" si="4"/>
        <v>0</v>
      </c>
      <c r="X32">
        <f t="shared" si="4"/>
        <v>0</v>
      </c>
    </row>
    <row r="33" spans="1:24" x14ac:dyDescent="0.35">
      <c r="A33">
        <v>199.40899999999999</v>
      </c>
      <c r="B33" s="7">
        <v>2.14751E-6</v>
      </c>
      <c r="C33" s="7">
        <v>2.4038099999999999E-5</v>
      </c>
      <c r="D33">
        <f t="shared" si="0"/>
        <v>0.14637788835116899</v>
      </c>
      <c r="E33">
        <f t="shared" si="1"/>
        <v>9.6130097817306392</v>
      </c>
      <c r="G33" s="7"/>
      <c r="H33" s="7"/>
      <c r="I33" s="6"/>
      <c r="J33" s="6"/>
      <c r="L33" s="7"/>
      <c r="M33" s="7"/>
      <c r="N33" s="6"/>
      <c r="O33" s="6"/>
      <c r="Q33">
        <f t="shared" si="5"/>
        <v>2.14751E-6</v>
      </c>
      <c r="R33">
        <f t="shared" si="5"/>
        <v>2.4038099999999999E-5</v>
      </c>
      <c r="T33">
        <f t="shared" si="3"/>
        <v>0.14637788835116899</v>
      </c>
      <c r="U33">
        <f t="shared" si="3"/>
        <v>9.6130097817306392</v>
      </c>
      <c r="W33">
        <f t="shared" si="4"/>
        <v>0</v>
      </c>
      <c r="X33">
        <f t="shared" si="4"/>
        <v>0</v>
      </c>
    </row>
    <row r="34" spans="1:24" x14ac:dyDescent="0.35">
      <c r="A34">
        <v>205.65700000000001</v>
      </c>
      <c r="B34" s="7">
        <v>2.1385400000000002E-6</v>
      </c>
      <c r="C34" s="7">
        <v>2.3856999999999999E-5</v>
      </c>
      <c r="D34">
        <f t="shared" si="0"/>
        <v>0.14576647808602006</v>
      </c>
      <c r="E34">
        <f t="shared" si="1"/>
        <v>9.5405865839125319</v>
      </c>
      <c r="G34" s="7"/>
      <c r="H34" s="7"/>
      <c r="I34" s="6"/>
      <c r="J34" s="6"/>
      <c r="L34" s="7"/>
      <c r="M34" s="7"/>
      <c r="N34" s="6"/>
      <c r="O34" s="6"/>
      <c r="Q34">
        <f t="shared" si="5"/>
        <v>2.1385400000000002E-6</v>
      </c>
      <c r="R34">
        <f t="shared" si="5"/>
        <v>2.3856999999999999E-5</v>
      </c>
      <c r="T34">
        <f t="shared" si="3"/>
        <v>0.14576647808602006</v>
      </c>
      <c r="U34">
        <f t="shared" si="3"/>
        <v>9.5405865839125319</v>
      </c>
      <c r="W34">
        <f t="shared" si="4"/>
        <v>0</v>
      </c>
      <c r="X34">
        <f t="shared" si="4"/>
        <v>0</v>
      </c>
    </row>
    <row r="35" spans="1:24" x14ac:dyDescent="0.35">
      <c r="A35">
        <v>211.864</v>
      </c>
      <c r="B35" s="7">
        <v>2.12681E-6</v>
      </c>
      <c r="C35" s="7">
        <v>2.3726600000000001E-5</v>
      </c>
      <c r="D35">
        <f t="shared" si="0"/>
        <v>0.14496694158544066</v>
      </c>
      <c r="E35">
        <f t="shared" si="1"/>
        <v>9.4884386822257234</v>
      </c>
      <c r="G35" s="7"/>
      <c r="H35" s="7"/>
      <c r="I35" s="6"/>
      <c r="J35" s="6"/>
      <c r="L35" s="7"/>
      <c r="M35" s="7"/>
      <c r="N35" s="6"/>
      <c r="O35" s="6"/>
      <c r="Q35">
        <f t="shared" si="5"/>
        <v>2.12681E-6</v>
      </c>
      <c r="R35">
        <f t="shared" si="5"/>
        <v>2.3726600000000001E-5</v>
      </c>
      <c r="T35">
        <f t="shared" si="3"/>
        <v>0.14496694158544066</v>
      </c>
      <c r="U35">
        <f t="shared" si="3"/>
        <v>9.4884386822257234</v>
      </c>
      <c r="W35">
        <f t="shared" si="4"/>
        <v>0</v>
      </c>
      <c r="X35">
        <f t="shared" si="4"/>
        <v>0</v>
      </c>
    </row>
    <row r="36" spans="1:24" x14ac:dyDescent="0.35">
      <c r="A36">
        <v>217.958</v>
      </c>
      <c r="B36" s="7">
        <v>2.1201900000000002E-6</v>
      </c>
      <c r="C36" s="7">
        <v>2.3592200000000001E-5</v>
      </c>
      <c r="D36">
        <f t="shared" si="0"/>
        <v>0.14451571126712562</v>
      </c>
      <c r="E36">
        <f t="shared" si="1"/>
        <v>9.4346911516528174</v>
      </c>
      <c r="G36" s="7"/>
      <c r="H36" s="7"/>
      <c r="I36" s="6"/>
      <c r="J36" s="6"/>
      <c r="L36" s="7"/>
      <c r="M36" s="7"/>
      <c r="N36" s="6"/>
      <c r="O36" s="6"/>
      <c r="Q36">
        <f t="shared" si="5"/>
        <v>2.1201900000000002E-6</v>
      </c>
      <c r="R36">
        <f t="shared" si="5"/>
        <v>2.3592200000000001E-5</v>
      </c>
      <c r="T36">
        <f t="shared" si="3"/>
        <v>0.14451571126712562</v>
      </c>
      <c r="U36">
        <f t="shared" si="3"/>
        <v>9.4346911516528174</v>
      </c>
      <c r="W36">
        <f t="shared" si="4"/>
        <v>0</v>
      </c>
      <c r="X36">
        <f t="shared" si="4"/>
        <v>0</v>
      </c>
    </row>
    <row r="37" spans="1:24" x14ac:dyDescent="0.35">
      <c r="A37">
        <v>224.30799999999999</v>
      </c>
      <c r="B37" s="7">
        <v>2.1071999999999999E-6</v>
      </c>
      <c r="C37" s="7">
        <v>2.3476400000000001E-5</v>
      </c>
      <c r="D37">
        <f t="shared" si="0"/>
        <v>0.14363029105037148</v>
      </c>
      <c r="E37">
        <f t="shared" si="1"/>
        <v>9.3883818954002685</v>
      </c>
      <c r="G37" s="7"/>
      <c r="H37" s="7"/>
      <c r="I37" s="6"/>
      <c r="J37" s="6"/>
      <c r="L37" s="7"/>
      <c r="M37" s="7"/>
      <c r="N37" s="6"/>
      <c r="O37" s="6"/>
      <c r="Q37">
        <f t="shared" si="5"/>
        <v>2.1071999999999999E-6</v>
      </c>
      <c r="R37">
        <f t="shared" si="5"/>
        <v>2.3476400000000001E-5</v>
      </c>
      <c r="T37">
        <f t="shared" si="3"/>
        <v>0.14363029105037148</v>
      </c>
      <c r="U37">
        <f t="shared" si="3"/>
        <v>9.3883818954002685</v>
      </c>
      <c r="W37">
        <f t="shared" si="4"/>
        <v>0</v>
      </c>
      <c r="X37">
        <f t="shared" si="4"/>
        <v>0</v>
      </c>
    </row>
    <row r="38" spans="1:24" x14ac:dyDescent="0.35">
      <c r="A38">
        <v>230.453</v>
      </c>
      <c r="B38" s="7">
        <v>2.1071900000000001E-6</v>
      </c>
      <c r="C38" s="7">
        <v>2.3403700000000001E-5</v>
      </c>
      <c r="D38">
        <f t="shared" si="0"/>
        <v>0.14362960943357644</v>
      </c>
      <c r="E38">
        <f t="shared" si="1"/>
        <v>9.3593086403954295</v>
      </c>
      <c r="G38" s="7"/>
      <c r="H38" s="7"/>
      <c r="I38" s="6"/>
      <c r="J38" s="6"/>
      <c r="L38" s="7"/>
      <c r="M38" s="7"/>
      <c r="N38" s="6"/>
      <c r="O38" s="6"/>
      <c r="Q38">
        <f t="shared" si="5"/>
        <v>2.1071900000000001E-6</v>
      </c>
      <c r="R38">
        <f t="shared" si="5"/>
        <v>2.3403700000000001E-5</v>
      </c>
      <c r="T38">
        <f t="shared" si="3"/>
        <v>0.14362960943357644</v>
      </c>
      <c r="U38">
        <f t="shared" si="3"/>
        <v>9.3593086403954295</v>
      </c>
      <c r="W38">
        <f t="shared" si="4"/>
        <v>0</v>
      </c>
      <c r="X38">
        <f t="shared" si="4"/>
        <v>0</v>
      </c>
    </row>
    <row r="39" spans="1:24" x14ac:dyDescent="0.35">
      <c r="A39">
        <v>236.73099999999999</v>
      </c>
      <c r="B39" s="7">
        <v>2.097E-6</v>
      </c>
      <c r="C39" s="7">
        <v>2.33183E-5</v>
      </c>
      <c r="D39">
        <f t="shared" si="0"/>
        <v>0.1429350419194329</v>
      </c>
      <c r="E39">
        <f t="shared" si="1"/>
        <v>9.3251565636772273</v>
      </c>
      <c r="G39" s="7"/>
      <c r="H39" s="7"/>
      <c r="I39" s="6"/>
      <c r="J39" s="6"/>
      <c r="L39" s="7"/>
      <c r="M39" s="7"/>
      <c r="N39" s="6"/>
      <c r="O39" s="6"/>
      <c r="Q39">
        <f t="shared" si="5"/>
        <v>2.097E-6</v>
      </c>
      <c r="R39">
        <f t="shared" si="5"/>
        <v>2.33183E-5</v>
      </c>
      <c r="T39">
        <f t="shared" si="3"/>
        <v>0.1429350419194329</v>
      </c>
      <c r="U39">
        <f t="shared" si="3"/>
        <v>9.3251565636772273</v>
      </c>
      <c r="W39">
        <f t="shared" si="4"/>
        <v>0</v>
      </c>
      <c r="X39">
        <f t="shared" si="4"/>
        <v>0</v>
      </c>
    </row>
    <row r="40" spans="1:24" x14ac:dyDescent="0.35">
      <c r="A40">
        <v>242.83</v>
      </c>
      <c r="B40" s="7">
        <v>2.09315E-6</v>
      </c>
      <c r="C40" s="7">
        <v>2.3217299999999999E-5</v>
      </c>
      <c r="D40">
        <f t="shared" si="0"/>
        <v>0.14267261945334334</v>
      </c>
      <c r="E40">
        <f t="shared" si="1"/>
        <v>9.2847659343032412</v>
      </c>
      <c r="G40" s="7"/>
      <c r="H40" s="7"/>
      <c r="I40" s="6"/>
      <c r="J40" s="6"/>
      <c r="L40" s="7"/>
      <c r="M40" s="7"/>
      <c r="N40" s="6"/>
      <c r="O40" s="6"/>
      <c r="Q40">
        <f t="shared" si="5"/>
        <v>2.09315E-6</v>
      </c>
      <c r="R40">
        <f t="shared" si="5"/>
        <v>2.3217299999999999E-5</v>
      </c>
      <c r="T40">
        <f t="shared" si="3"/>
        <v>0.14267261945334334</v>
      </c>
      <c r="U40">
        <f t="shared" si="3"/>
        <v>9.2847659343032412</v>
      </c>
      <c r="W40">
        <f t="shared" si="4"/>
        <v>0</v>
      </c>
      <c r="X40">
        <f t="shared" si="4"/>
        <v>0</v>
      </c>
    </row>
    <row r="41" spans="1:24" x14ac:dyDescent="0.35">
      <c r="A41">
        <v>249.16</v>
      </c>
      <c r="B41" s="7">
        <v>2.0856E-6</v>
      </c>
      <c r="C41" s="7">
        <v>2.3170700000000002E-5</v>
      </c>
      <c r="D41">
        <f t="shared" si="0"/>
        <v>0.14215799877308977</v>
      </c>
      <c r="E41">
        <f t="shared" si="1"/>
        <v>9.2661302577801958</v>
      </c>
      <c r="G41" s="7"/>
      <c r="H41" s="7"/>
      <c r="I41" s="6"/>
      <c r="J41" s="6"/>
      <c r="L41" s="7"/>
      <c r="M41" s="7"/>
      <c r="N41" s="6"/>
      <c r="O41" s="6"/>
      <c r="Q41">
        <f t="shared" si="5"/>
        <v>2.0856E-6</v>
      </c>
      <c r="R41">
        <f t="shared" si="5"/>
        <v>2.3170700000000002E-5</v>
      </c>
      <c r="T41">
        <f t="shared" si="3"/>
        <v>0.14215799877308977</v>
      </c>
      <c r="U41">
        <f t="shared" si="3"/>
        <v>9.2661302577801958</v>
      </c>
      <c r="W41">
        <f t="shared" si="4"/>
        <v>0</v>
      </c>
      <c r="X41">
        <f t="shared" si="4"/>
        <v>0</v>
      </c>
    </row>
    <row r="42" spans="1:24" x14ac:dyDescent="0.35">
      <c r="A42">
        <v>262.286</v>
      </c>
      <c r="B42" s="7">
        <v>8.0648000000000004E-4</v>
      </c>
      <c r="C42" s="7">
        <v>2.0368400000000001E-4</v>
      </c>
      <c r="D42">
        <f t="shared" si="0"/>
        <v>54.971031286210895</v>
      </c>
      <c r="E42">
        <f t="shared" si="1"/>
        <v>81.45470250901792</v>
      </c>
      <c r="G42" s="7"/>
      <c r="H42" s="7"/>
      <c r="I42" s="6"/>
      <c r="J42" s="6"/>
      <c r="L42" s="7"/>
      <c r="M42" s="7"/>
      <c r="N42" s="6"/>
      <c r="O42" s="6"/>
      <c r="Q42">
        <f t="shared" si="5"/>
        <v>8.0648000000000004E-4</v>
      </c>
      <c r="R42">
        <f t="shared" si="5"/>
        <v>2.0368400000000001E-4</v>
      </c>
      <c r="T42">
        <f t="shared" si="3"/>
        <v>54.971031286210895</v>
      </c>
      <c r="U42">
        <f t="shared" si="3"/>
        <v>81.45470250901792</v>
      </c>
      <c r="W42">
        <f t="shared" si="4"/>
        <v>0</v>
      </c>
      <c r="X42">
        <f t="shared" si="4"/>
        <v>0</v>
      </c>
    </row>
    <row r="43" spans="1:24" x14ac:dyDescent="0.35">
      <c r="A43">
        <v>268.49799999999999</v>
      </c>
      <c r="B43" s="7">
        <v>8.3812999999999997E-4</v>
      </c>
      <c r="C43" s="7">
        <v>2.02921E-4</v>
      </c>
      <c r="D43">
        <f t="shared" si="0"/>
        <v>57.128348442505619</v>
      </c>
      <c r="E43">
        <f t="shared" si="1"/>
        <v>81.149573298994639</v>
      </c>
      <c r="G43" s="7"/>
      <c r="H43" s="7"/>
      <c r="I43" s="6"/>
      <c r="J43" s="6"/>
      <c r="L43" s="7"/>
      <c r="M43" s="7"/>
      <c r="N43" s="6"/>
      <c r="O43" s="6"/>
      <c r="Q43">
        <f t="shared" si="5"/>
        <v>8.3812999999999997E-4</v>
      </c>
      <c r="R43">
        <f t="shared" si="5"/>
        <v>2.02921E-4</v>
      </c>
      <c r="T43">
        <f t="shared" si="3"/>
        <v>57.128348442505619</v>
      </c>
      <c r="U43">
        <f t="shared" si="3"/>
        <v>81.149573298994639</v>
      </c>
      <c r="W43">
        <f t="shared" si="4"/>
        <v>0</v>
      </c>
      <c r="X43">
        <f t="shared" si="4"/>
        <v>0</v>
      </c>
    </row>
    <row r="44" spans="1:24" x14ac:dyDescent="0.35">
      <c r="A44">
        <v>274.608</v>
      </c>
      <c r="B44" s="7">
        <v>8.6188200000000001E-4</v>
      </c>
      <c r="C44" s="7">
        <v>2.0262399999999999E-4</v>
      </c>
      <c r="D44">
        <f t="shared" si="0"/>
        <v>58.747324654079478</v>
      </c>
      <c r="E44">
        <f t="shared" si="1"/>
        <v>81.030800854201829</v>
      </c>
      <c r="G44" s="7"/>
      <c r="H44" s="7"/>
      <c r="I44" s="6"/>
      <c r="J44" s="6"/>
      <c r="L44" s="7"/>
      <c r="M44" s="7"/>
      <c r="N44" s="6"/>
      <c r="O44" s="6"/>
      <c r="Q44">
        <f t="shared" si="5"/>
        <v>8.6188200000000001E-4</v>
      </c>
      <c r="R44">
        <f t="shared" si="5"/>
        <v>2.0262399999999999E-4</v>
      </c>
      <c r="T44">
        <f t="shared" si="3"/>
        <v>58.747324654079478</v>
      </c>
      <c r="U44">
        <f t="shared" si="3"/>
        <v>81.030800854201829</v>
      </c>
      <c r="W44">
        <f t="shared" si="4"/>
        <v>0</v>
      </c>
      <c r="X44">
        <f t="shared" si="4"/>
        <v>0</v>
      </c>
    </row>
    <row r="45" spans="1:24" x14ac:dyDescent="0.35">
      <c r="A45">
        <v>280.779</v>
      </c>
      <c r="B45" s="7">
        <v>8.8312700000000004E-4</v>
      </c>
      <c r="C45" s="7">
        <v>2.0096900000000001E-4</v>
      </c>
      <c r="D45">
        <f t="shared" si="0"/>
        <v>60.195419535137354</v>
      </c>
      <c r="E45">
        <f t="shared" si="1"/>
        <v>80.368954402578609</v>
      </c>
      <c r="G45" s="7"/>
      <c r="H45" s="7"/>
      <c r="I45" s="6"/>
      <c r="J45" s="6"/>
      <c r="L45" s="7"/>
      <c r="M45" s="7"/>
      <c r="N45" s="6"/>
      <c r="O45" s="6"/>
      <c r="Q45">
        <f t="shared" si="5"/>
        <v>8.8312700000000004E-4</v>
      </c>
      <c r="R45">
        <f t="shared" si="5"/>
        <v>2.0096900000000001E-4</v>
      </c>
      <c r="T45">
        <f t="shared" si="3"/>
        <v>60.195419535137354</v>
      </c>
      <c r="U45">
        <f t="shared" si="3"/>
        <v>80.368954402578609</v>
      </c>
      <c r="W45">
        <f t="shared" si="4"/>
        <v>0</v>
      </c>
      <c r="X45">
        <f t="shared" si="4"/>
        <v>0</v>
      </c>
    </row>
    <row r="46" spans="1:24" x14ac:dyDescent="0.35">
      <c r="A46">
        <v>287.00099999999998</v>
      </c>
      <c r="B46" s="7">
        <v>9.0683599999999995E-4</v>
      </c>
      <c r="C46" s="7">
        <v>1.9946100000000001E-4</v>
      </c>
      <c r="D46">
        <f t="shared" si="0"/>
        <v>61.81146479449253</v>
      </c>
      <c r="E46">
        <f t="shared" si="1"/>
        <v>79.765894312519507</v>
      </c>
      <c r="G46" s="7"/>
      <c r="H46" s="7"/>
      <c r="I46" s="6"/>
      <c r="J46" s="6"/>
      <c r="L46" s="7"/>
      <c r="M46" s="7"/>
      <c r="N46" s="6"/>
      <c r="O46" s="6"/>
      <c r="Q46">
        <f t="shared" si="5"/>
        <v>9.0683599999999995E-4</v>
      </c>
      <c r="R46">
        <f t="shared" si="5"/>
        <v>1.9946100000000001E-4</v>
      </c>
      <c r="T46">
        <f t="shared" si="3"/>
        <v>61.81146479449253</v>
      </c>
      <c r="U46">
        <f t="shared" si="3"/>
        <v>79.765894312519507</v>
      </c>
      <c r="W46">
        <f t="shared" si="4"/>
        <v>0</v>
      </c>
      <c r="X46">
        <f t="shared" si="4"/>
        <v>0</v>
      </c>
    </row>
    <row r="47" spans="1:24" x14ac:dyDescent="0.35">
      <c r="A47">
        <v>293.27300000000002</v>
      </c>
      <c r="B47" s="7">
        <v>9.26705E-4</v>
      </c>
      <c r="C47" s="7">
        <v>2.0425099999999999E-4</v>
      </c>
      <c r="D47">
        <f t="shared" si="0"/>
        <v>63.1657692045532</v>
      </c>
      <c r="E47">
        <f t="shared" si="1"/>
        <v>81.681449903622365</v>
      </c>
      <c r="G47" s="7"/>
      <c r="H47" s="7"/>
      <c r="I47" s="6"/>
      <c r="J47" s="6"/>
      <c r="L47" s="7"/>
      <c r="M47" s="7"/>
      <c r="N47" s="6"/>
      <c r="O47" s="6"/>
      <c r="Q47">
        <f t="shared" si="5"/>
        <v>9.26705E-4</v>
      </c>
      <c r="R47">
        <f t="shared" si="5"/>
        <v>2.0425099999999999E-4</v>
      </c>
      <c r="T47">
        <f t="shared" si="3"/>
        <v>63.1657692045532</v>
      </c>
      <c r="U47">
        <f t="shared" si="3"/>
        <v>81.681449903622365</v>
      </c>
      <c r="W47">
        <f t="shared" si="4"/>
        <v>0</v>
      </c>
      <c r="X47">
        <f t="shared" si="4"/>
        <v>0</v>
      </c>
    </row>
    <row r="48" spans="1:24" x14ac:dyDescent="0.35">
      <c r="A48">
        <v>299.46699999999998</v>
      </c>
      <c r="B48" s="7">
        <v>9.4649800000000004E-4</v>
      </c>
      <c r="C48" s="7">
        <v>2.0717399999999999E-4</v>
      </c>
      <c r="D48">
        <f t="shared" si="0"/>
        <v>64.514893326971574</v>
      </c>
      <c r="E48">
        <f t="shared" si="1"/>
        <v>82.850378712138777</v>
      </c>
      <c r="G48" s="7"/>
      <c r="H48" s="7"/>
      <c r="I48" s="6"/>
      <c r="J48" s="6"/>
      <c r="L48" s="7"/>
      <c r="M48" s="7"/>
      <c r="N48" s="6"/>
      <c r="O48" s="6"/>
      <c r="Q48">
        <f t="shared" si="5"/>
        <v>9.4649800000000004E-4</v>
      </c>
      <c r="R48">
        <f t="shared" si="5"/>
        <v>2.0717399999999999E-4</v>
      </c>
      <c r="T48">
        <f t="shared" si="3"/>
        <v>64.514893326971574</v>
      </c>
      <c r="U48">
        <f t="shared" si="3"/>
        <v>82.850378712138777</v>
      </c>
      <c r="W48">
        <f t="shared" si="4"/>
        <v>0</v>
      </c>
      <c r="X48">
        <f t="shared" si="4"/>
        <v>0</v>
      </c>
    </row>
    <row r="49" spans="1:24" x14ac:dyDescent="0.35">
      <c r="A49">
        <v>305.70800000000003</v>
      </c>
      <c r="B49" s="7">
        <v>9.6124199999999996E-4</v>
      </c>
      <c r="C49" s="7">
        <v>2.1321299999999999E-4</v>
      </c>
      <c r="D49">
        <f t="shared" si="0"/>
        <v>65.519869129575341</v>
      </c>
      <c r="E49">
        <f t="shared" si="1"/>
        <v>85.265418422925876</v>
      </c>
      <c r="G49" s="7"/>
      <c r="H49" s="7"/>
      <c r="I49" s="6"/>
      <c r="J49" s="6"/>
      <c r="L49" s="7"/>
      <c r="M49" s="7"/>
      <c r="N49" s="6"/>
      <c r="O49" s="6"/>
      <c r="Q49">
        <f t="shared" si="5"/>
        <v>9.6124199999999996E-4</v>
      </c>
      <c r="R49">
        <f t="shared" si="5"/>
        <v>2.1321299999999999E-4</v>
      </c>
      <c r="T49">
        <f t="shared" si="3"/>
        <v>65.519869129575341</v>
      </c>
      <c r="U49">
        <f t="shared" si="3"/>
        <v>85.265418422925876</v>
      </c>
      <c r="W49">
        <f t="shared" si="4"/>
        <v>0</v>
      </c>
      <c r="X49">
        <f t="shared" si="4"/>
        <v>0</v>
      </c>
    </row>
    <row r="50" spans="1:24" x14ac:dyDescent="0.35">
      <c r="A50">
        <v>311.89499999999998</v>
      </c>
      <c r="B50" s="7">
        <v>9.8250300000000002E-4</v>
      </c>
      <c r="C50" s="7">
        <v>2.1581000000000001E-4</v>
      </c>
      <c r="D50">
        <f t="shared" si="0"/>
        <v>66.969054597505277</v>
      </c>
      <c r="E50">
        <f t="shared" si="1"/>
        <v>86.303977477225288</v>
      </c>
      <c r="G50" s="7"/>
      <c r="H50" s="7"/>
      <c r="I50" s="6"/>
      <c r="J50" s="6"/>
      <c r="L50" s="7"/>
      <c r="M50" s="7"/>
      <c r="N50" s="6"/>
      <c r="O50" s="6"/>
      <c r="Q50">
        <f t="shared" si="5"/>
        <v>9.8250300000000002E-4</v>
      </c>
      <c r="R50">
        <f t="shared" si="5"/>
        <v>2.1581000000000001E-4</v>
      </c>
      <c r="T50">
        <f t="shared" si="3"/>
        <v>66.969054597505277</v>
      </c>
      <c r="U50">
        <f t="shared" si="3"/>
        <v>86.303977477225288</v>
      </c>
      <c r="W50">
        <f t="shared" si="4"/>
        <v>0</v>
      </c>
      <c r="X50">
        <f t="shared" si="4"/>
        <v>0</v>
      </c>
    </row>
    <row r="51" spans="1:24" x14ac:dyDescent="0.35">
      <c r="A51">
        <v>318.09899999999999</v>
      </c>
      <c r="B51" s="7">
        <v>1.00198E-3</v>
      </c>
      <c r="C51" s="7">
        <v>2.1750099999999999E-4</v>
      </c>
      <c r="D51">
        <f t="shared" si="0"/>
        <v>68.296639629200456</v>
      </c>
      <c r="E51">
        <f t="shared" si="1"/>
        <v>86.980220588823386</v>
      </c>
      <c r="G51" s="7"/>
      <c r="H51" s="7"/>
      <c r="I51" s="6"/>
      <c r="J51" s="6"/>
      <c r="L51" s="7"/>
      <c r="M51" s="7"/>
      <c r="N51" s="6"/>
      <c r="O51" s="6"/>
      <c r="Q51">
        <f t="shared" si="5"/>
        <v>1.00198E-3</v>
      </c>
      <c r="R51">
        <f t="shared" si="5"/>
        <v>2.1750099999999999E-4</v>
      </c>
      <c r="T51">
        <f t="shared" si="3"/>
        <v>68.296639629200456</v>
      </c>
      <c r="U51">
        <f t="shared" si="3"/>
        <v>86.980220588823386</v>
      </c>
      <c r="W51">
        <f t="shared" si="4"/>
        <v>0</v>
      </c>
      <c r="X51">
        <f t="shared" si="4"/>
        <v>0</v>
      </c>
    </row>
    <row r="52" spans="1:24" x14ac:dyDescent="0.35">
      <c r="A52">
        <v>324.33999999999997</v>
      </c>
      <c r="B52" s="7">
        <v>1.01701E-3</v>
      </c>
      <c r="C52" s="7">
        <v>2.2143400000000001E-4</v>
      </c>
      <c r="D52">
        <f t="shared" si="0"/>
        <v>69.321109672142327</v>
      </c>
      <c r="E52">
        <f t="shared" si="1"/>
        <v>88.553055691079678</v>
      </c>
      <c r="G52" s="7"/>
      <c r="H52" s="7"/>
      <c r="I52" s="6"/>
      <c r="J52" s="6"/>
      <c r="L52" s="7"/>
      <c r="M52" s="7"/>
      <c r="N52" s="6"/>
      <c r="O52" s="6"/>
      <c r="Q52">
        <f t="shared" si="5"/>
        <v>1.01701E-3</v>
      </c>
      <c r="R52">
        <f t="shared" si="5"/>
        <v>2.2143400000000001E-4</v>
      </c>
      <c r="T52">
        <f t="shared" si="3"/>
        <v>69.321109672142327</v>
      </c>
      <c r="U52">
        <f t="shared" si="3"/>
        <v>88.553055691079678</v>
      </c>
      <c r="W52">
        <f t="shared" si="4"/>
        <v>0</v>
      </c>
      <c r="X52">
        <f t="shared" si="4"/>
        <v>0</v>
      </c>
    </row>
    <row r="53" spans="1:24" x14ac:dyDescent="0.35">
      <c r="A53">
        <v>330.45299999999997</v>
      </c>
      <c r="B53" s="7">
        <v>1.03783E-3</v>
      </c>
      <c r="C53" s="7">
        <v>2.2505499999999999E-4</v>
      </c>
      <c r="D53">
        <f t="shared" si="0"/>
        <v>70.740235839411085</v>
      </c>
      <c r="E53">
        <f t="shared" si="1"/>
        <v>90.001119740220275</v>
      </c>
      <c r="G53" s="7"/>
      <c r="H53" s="7"/>
      <c r="I53" s="6"/>
      <c r="J53" s="6"/>
      <c r="L53" s="7"/>
      <c r="M53" s="7"/>
      <c r="N53" s="6"/>
      <c r="O53" s="6"/>
      <c r="Q53">
        <f t="shared" si="5"/>
        <v>1.03783E-3</v>
      </c>
      <c r="R53">
        <f t="shared" si="5"/>
        <v>2.2505499999999999E-4</v>
      </c>
      <c r="T53">
        <f t="shared" si="3"/>
        <v>70.740235839411085</v>
      </c>
      <c r="U53">
        <f t="shared" si="3"/>
        <v>90.001119740220275</v>
      </c>
      <c r="W53">
        <f t="shared" si="4"/>
        <v>0</v>
      </c>
      <c r="X53">
        <f t="shared" si="4"/>
        <v>0</v>
      </c>
    </row>
    <row r="54" spans="1:24" x14ac:dyDescent="0.35">
      <c r="A54">
        <v>336.67899999999997</v>
      </c>
      <c r="B54" s="7">
        <v>1.05887E-3</v>
      </c>
      <c r="C54" s="7">
        <v>2.22907E-4</v>
      </c>
      <c r="D54">
        <f t="shared" si="0"/>
        <v>72.174357576170664</v>
      </c>
      <c r="E54">
        <f t="shared" si="1"/>
        <v>89.142119028385409</v>
      </c>
      <c r="G54" s="7"/>
      <c r="H54" s="7"/>
      <c r="I54" s="6"/>
      <c r="J54" s="6"/>
      <c r="L54" s="7"/>
      <c r="M54" s="7"/>
      <c r="N54" s="6"/>
      <c r="O54" s="6"/>
      <c r="Q54">
        <f t="shared" si="5"/>
        <v>1.05887E-3</v>
      </c>
      <c r="R54">
        <f t="shared" si="5"/>
        <v>2.22907E-4</v>
      </c>
      <c r="T54">
        <f t="shared" si="3"/>
        <v>72.174357576170664</v>
      </c>
      <c r="U54">
        <f t="shared" si="3"/>
        <v>89.142119028385409</v>
      </c>
      <c r="W54">
        <f t="shared" si="4"/>
        <v>0</v>
      </c>
      <c r="X54">
        <f t="shared" si="4"/>
        <v>0</v>
      </c>
    </row>
    <row r="55" spans="1:24" x14ac:dyDescent="0.35">
      <c r="A55">
        <v>342.94200000000001</v>
      </c>
      <c r="B55" s="7">
        <v>1.08143E-3</v>
      </c>
      <c r="C55" s="7">
        <v>2.2380300000000001E-4</v>
      </c>
      <c r="D55">
        <f t="shared" si="0"/>
        <v>73.712085065776009</v>
      </c>
      <c r="E55">
        <f t="shared" si="1"/>
        <v>89.500435898871473</v>
      </c>
      <c r="G55" s="7"/>
      <c r="H55" s="7"/>
      <c r="I55" s="6"/>
      <c r="J55" s="6"/>
      <c r="L55" s="7"/>
      <c r="M55" s="7"/>
      <c r="N55" s="6"/>
      <c r="O55" s="6"/>
      <c r="Q55">
        <f t="shared" si="5"/>
        <v>1.08143E-3</v>
      </c>
      <c r="R55">
        <f t="shared" si="5"/>
        <v>2.2380300000000001E-4</v>
      </c>
      <c r="T55">
        <f t="shared" si="3"/>
        <v>73.712085065776009</v>
      </c>
      <c r="U55">
        <f t="shared" si="3"/>
        <v>89.500435898871473</v>
      </c>
      <c r="W55">
        <f t="shared" si="4"/>
        <v>0</v>
      </c>
      <c r="X55">
        <f t="shared" si="4"/>
        <v>0</v>
      </c>
    </row>
    <row r="56" spans="1:24" x14ac:dyDescent="0.35">
      <c r="A56">
        <v>349.24099999999999</v>
      </c>
      <c r="B56" s="7">
        <v>1.09713E-3</v>
      </c>
      <c r="C56" s="7">
        <v>2.3179099999999999E-4</v>
      </c>
      <c r="D56">
        <f t="shared" si="0"/>
        <v>74.782223433985408</v>
      </c>
      <c r="E56">
        <f t="shared" si="1"/>
        <v>92.69489478441001</v>
      </c>
      <c r="G56" s="7"/>
      <c r="H56" s="7"/>
      <c r="I56" s="6"/>
      <c r="J56" s="6"/>
      <c r="L56" s="7"/>
      <c r="M56" s="7"/>
      <c r="N56" s="6"/>
      <c r="O56" s="6"/>
      <c r="Q56">
        <f t="shared" si="5"/>
        <v>1.09713E-3</v>
      </c>
      <c r="R56">
        <f t="shared" si="5"/>
        <v>2.3179099999999999E-4</v>
      </c>
      <c r="T56">
        <f t="shared" si="3"/>
        <v>74.782223433985408</v>
      </c>
      <c r="U56">
        <f t="shared" si="3"/>
        <v>92.69489478441001</v>
      </c>
      <c r="W56">
        <f t="shared" si="4"/>
        <v>0</v>
      </c>
      <c r="X56">
        <f t="shared" si="4"/>
        <v>0</v>
      </c>
    </row>
    <row r="57" spans="1:24" x14ac:dyDescent="0.35">
      <c r="A57">
        <v>355.43299999999999</v>
      </c>
      <c r="B57" s="7">
        <v>1.11804E-3</v>
      </c>
      <c r="C57" s="7">
        <v>2.3693499999999999E-4</v>
      </c>
      <c r="D57">
        <f t="shared" si="0"/>
        <v>76.207484152409521</v>
      </c>
      <c r="E57">
        <f t="shared" si="1"/>
        <v>94.75201753193258</v>
      </c>
      <c r="G57" s="7"/>
      <c r="H57" s="7"/>
      <c r="I57" s="6"/>
      <c r="J57" s="6"/>
      <c r="L57" s="7"/>
      <c r="M57" s="7"/>
      <c r="N57" s="6"/>
      <c r="O57" s="6"/>
      <c r="Q57">
        <f t="shared" si="5"/>
        <v>1.11804E-3</v>
      </c>
      <c r="R57">
        <f t="shared" si="5"/>
        <v>2.3693499999999999E-4</v>
      </c>
      <c r="T57">
        <f t="shared" si="3"/>
        <v>76.207484152409521</v>
      </c>
      <c r="U57">
        <f t="shared" si="3"/>
        <v>94.75201753193258</v>
      </c>
      <c r="W57">
        <f t="shared" si="4"/>
        <v>0</v>
      </c>
      <c r="X57">
        <f t="shared" si="4"/>
        <v>0</v>
      </c>
    </row>
    <row r="58" spans="1:24" x14ac:dyDescent="0.35">
      <c r="A58">
        <v>361.57799999999997</v>
      </c>
      <c r="B58" s="7">
        <v>1.1428300000000001E-3</v>
      </c>
      <c r="C58" s="7">
        <v>2.40528E-4</v>
      </c>
      <c r="D58">
        <f t="shared" si="0"/>
        <v>77.897212187308298</v>
      </c>
      <c r="E58">
        <f t="shared" si="1"/>
        <v>96.188884178870509</v>
      </c>
      <c r="G58" s="7"/>
      <c r="H58" s="7"/>
      <c r="I58" s="6"/>
      <c r="J58" s="6"/>
      <c r="L58" s="7"/>
      <c r="M58" s="7"/>
      <c r="N58" s="6"/>
      <c r="O58" s="6"/>
      <c r="Q58">
        <f t="shared" si="5"/>
        <v>1.1428300000000001E-3</v>
      </c>
      <c r="R58">
        <f t="shared" si="5"/>
        <v>2.40528E-4</v>
      </c>
      <c r="T58">
        <f t="shared" si="3"/>
        <v>77.897212187308298</v>
      </c>
      <c r="U58">
        <f t="shared" si="3"/>
        <v>96.188884178870509</v>
      </c>
      <c r="W58">
        <f t="shared" si="4"/>
        <v>0</v>
      </c>
      <c r="X58">
        <f t="shared" si="4"/>
        <v>0</v>
      </c>
    </row>
    <row r="59" spans="1:24" x14ac:dyDescent="0.35">
      <c r="A59">
        <v>367.786</v>
      </c>
      <c r="B59" s="7">
        <v>1.1674299999999999E-3</v>
      </c>
      <c r="C59" s="7">
        <v>2.3744E-4</v>
      </c>
      <c r="D59">
        <f t="shared" si="0"/>
        <v>79.573989503101345</v>
      </c>
      <c r="E59">
        <f t="shared" si="1"/>
        <v>94.95397067880252</v>
      </c>
      <c r="G59" s="7"/>
      <c r="H59" s="7"/>
      <c r="I59" s="6"/>
      <c r="J59" s="6"/>
      <c r="L59" s="7"/>
      <c r="M59" s="7"/>
      <c r="N59" s="6"/>
      <c r="O59" s="6"/>
      <c r="Q59">
        <f t="shared" si="5"/>
        <v>1.1674299999999999E-3</v>
      </c>
      <c r="R59">
        <f t="shared" si="5"/>
        <v>2.3744E-4</v>
      </c>
      <c r="T59">
        <f t="shared" si="3"/>
        <v>79.573989503101345</v>
      </c>
      <c r="U59">
        <f t="shared" si="3"/>
        <v>94.95397067880252</v>
      </c>
      <c r="W59">
        <f t="shared" si="4"/>
        <v>0</v>
      </c>
      <c r="X59">
        <f t="shared" si="4"/>
        <v>0</v>
      </c>
    </row>
    <row r="60" spans="1:24" x14ac:dyDescent="0.35">
      <c r="A60">
        <v>374.03899999999999</v>
      </c>
      <c r="B60" s="7">
        <v>1.1924100000000001E-3</v>
      </c>
      <c r="C60" s="7">
        <v>2.43472E-4</v>
      </c>
      <c r="D60">
        <f t="shared" si="0"/>
        <v>81.276668257105854</v>
      </c>
      <c r="E60">
        <f t="shared" si="1"/>
        <v>97.366211039038944</v>
      </c>
      <c r="G60" s="7"/>
      <c r="H60" s="7"/>
      <c r="I60" s="6"/>
      <c r="J60" s="6"/>
      <c r="L60" s="7"/>
      <c r="M60" s="7"/>
      <c r="N60" s="6"/>
      <c r="O60" s="6"/>
      <c r="Q60">
        <f t="shared" si="5"/>
        <v>1.1924100000000001E-3</v>
      </c>
      <c r="R60">
        <f t="shared" si="5"/>
        <v>2.43472E-4</v>
      </c>
      <c r="T60">
        <f t="shared" si="3"/>
        <v>81.276668257105854</v>
      </c>
      <c r="U60">
        <f t="shared" si="3"/>
        <v>97.366211039038944</v>
      </c>
      <c r="W60">
        <f t="shared" si="4"/>
        <v>0</v>
      </c>
      <c r="X60">
        <f t="shared" si="4"/>
        <v>0</v>
      </c>
    </row>
    <row r="61" spans="1:24" x14ac:dyDescent="0.35">
      <c r="A61">
        <v>380.137</v>
      </c>
      <c r="B61" s="7">
        <v>1.2154399999999999E-3</v>
      </c>
      <c r="C61" s="7">
        <v>2.4996600000000001E-4</v>
      </c>
      <c r="D61">
        <f t="shared" si="0"/>
        <v>82.846431736077975</v>
      </c>
      <c r="E61">
        <f t="shared" si="1"/>
        <v>99.963208535619742</v>
      </c>
      <c r="G61" s="7"/>
      <c r="H61" s="7"/>
      <c r="I61" s="6"/>
      <c r="J61" s="6"/>
      <c r="L61" s="7"/>
      <c r="M61" s="7"/>
      <c r="N61" s="6"/>
      <c r="O61" s="6"/>
      <c r="Q61">
        <f t="shared" si="5"/>
        <v>1.2154399999999999E-3</v>
      </c>
      <c r="R61">
        <f t="shared" si="5"/>
        <v>2.4996600000000001E-4</v>
      </c>
      <c r="T61">
        <f t="shared" si="3"/>
        <v>82.846431736077975</v>
      </c>
      <c r="U61">
        <f t="shared" si="3"/>
        <v>99.963208535619742</v>
      </c>
      <c r="W61">
        <f t="shared" si="4"/>
        <v>0</v>
      </c>
      <c r="X61">
        <f t="shared" si="4"/>
        <v>0</v>
      </c>
    </row>
    <row r="62" spans="1:24" x14ac:dyDescent="0.35">
      <c r="A62">
        <v>386.49799999999999</v>
      </c>
      <c r="B62" s="7">
        <v>1.2376100000000001E-3</v>
      </c>
      <c r="C62" s="7">
        <v>2.4846500000000001E-4</v>
      </c>
      <c r="D62">
        <f t="shared" si="0"/>
        <v>84.35757617067685</v>
      </c>
      <c r="E62">
        <f t="shared" si="1"/>
        <v>99.362947796111314</v>
      </c>
      <c r="G62" s="7"/>
      <c r="H62" s="7"/>
      <c r="I62" s="6"/>
      <c r="J62" s="6"/>
      <c r="L62" s="7"/>
      <c r="M62" s="7"/>
      <c r="N62" s="6"/>
      <c r="O62" s="6"/>
      <c r="Q62">
        <f t="shared" si="5"/>
        <v>1.2376100000000001E-3</v>
      </c>
      <c r="R62">
        <f t="shared" si="5"/>
        <v>2.4846500000000001E-4</v>
      </c>
      <c r="T62">
        <f t="shared" si="3"/>
        <v>84.35757617067685</v>
      </c>
      <c r="U62">
        <f t="shared" si="3"/>
        <v>99.362947796111314</v>
      </c>
      <c r="W62">
        <f t="shared" si="4"/>
        <v>0</v>
      </c>
      <c r="X62">
        <f t="shared" si="4"/>
        <v>0</v>
      </c>
    </row>
    <row r="63" spans="1:24" x14ac:dyDescent="0.35">
      <c r="A63">
        <v>392.601</v>
      </c>
      <c r="B63" s="7">
        <v>1.26151E-3</v>
      </c>
      <c r="C63" s="7">
        <v>2.5231199999999998E-4</v>
      </c>
      <c r="D63">
        <f t="shared" si="0"/>
        <v>85.986640310817251</v>
      </c>
      <c r="E63">
        <f t="shared" si="1"/>
        <v>100.90139087731646</v>
      </c>
      <c r="G63" s="7"/>
      <c r="H63" s="7"/>
      <c r="I63" s="6"/>
      <c r="J63" s="6"/>
      <c r="L63" s="7"/>
      <c r="M63" s="7"/>
      <c r="N63" s="6"/>
      <c r="O63" s="6"/>
      <c r="Q63">
        <f t="shared" si="5"/>
        <v>1.26151E-3</v>
      </c>
      <c r="R63">
        <f t="shared" si="5"/>
        <v>2.5231199999999998E-4</v>
      </c>
      <c r="T63">
        <f t="shared" si="3"/>
        <v>85.986640310817251</v>
      </c>
      <c r="U63">
        <f t="shared" si="3"/>
        <v>100.90139087731646</v>
      </c>
      <c r="W63">
        <f t="shared" si="4"/>
        <v>0</v>
      </c>
      <c r="X63">
        <f t="shared" si="4"/>
        <v>0</v>
      </c>
    </row>
    <row r="64" spans="1:24" x14ac:dyDescent="0.35">
      <c r="A64">
        <v>398.83199999999999</v>
      </c>
      <c r="B64" s="7">
        <v>1.2876000000000001E-3</v>
      </c>
      <c r="C64" s="7">
        <v>2.5534700000000001E-4</v>
      </c>
      <c r="D64">
        <f t="shared" si="0"/>
        <v>87.764978529070959</v>
      </c>
      <c r="E64">
        <f t="shared" si="1"/>
        <v>102.11510929464364</v>
      </c>
      <c r="G64" s="7"/>
      <c r="H64" s="7"/>
      <c r="I64" s="6"/>
      <c r="J64" s="6"/>
      <c r="L64" s="7"/>
      <c r="M64" s="7"/>
      <c r="N64" s="6"/>
      <c r="O64" s="6"/>
      <c r="Q64">
        <f t="shared" si="5"/>
        <v>1.2876000000000001E-3</v>
      </c>
      <c r="R64">
        <f t="shared" si="5"/>
        <v>2.5534700000000001E-4</v>
      </c>
      <c r="T64">
        <f t="shared" si="3"/>
        <v>87.764978529070959</v>
      </c>
      <c r="U64">
        <f t="shared" si="3"/>
        <v>102.11510929464364</v>
      </c>
      <c r="W64">
        <f t="shared" si="4"/>
        <v>0</v>
      </c>
      <c r="X64">
        <f t="shared" si="4"/>
        <v>0</v>
      </c>
    </row>
    <row r="65" spans="1:24" x14ac:dyDescent="0.35">
      <c r="A65">
        <v>405.02199999999999</v>
      </c>
      <c r="B65" s="7">
        <v>1.31369E-3</v>
      </c>
      <c r="C65" s="7">
        <v>2.6634899999999998E-4</v>
      </c>
      <c r="D65">
        <f t="shared" si="0"/>
        <v>89.543316747324653</v>
      </c>
      <c r="E65">
        <f t="shared" si="1"/>
        <v>106.51488854585736</v>
      </c>
      <c r="G65" s="7"/>
      <c r="H65" s="7"/>
      <c r="I65" s="6"/>
      <c r="J65" s="6"/>
      <c r="L65" s="7"/>
      <c r="M65" s="7"/>
      <c r="N65" s="6"/>
      <c r="O65" s="6"/>
      <c r="Q65">
        <f t="shared" si="5"/>
        <v>1.31369E-3</v>
      </c>
      <c r="R65">
        <f t="shared" si="5"/>
        <v>2.6634899999999998E-4</v>
      </c>
      <c r="T65">
        <f t="shared" si="3"/>
        <v>89.543316747324653</v>
      </c>
      <c r="U65">
        <f t="shared" si="3"/>
        <v>106.51488854585736</v>
      </c>
      <c r="W65">
        <f t="shared" si="4"/>
        <v>0</v>
      </c>
      <c r="X65">
        <f t="shared" si="4"/>
        <v>0</v>
      </c>
    </row>
    <row r="66" spans="1:24" x14ac:dyDescent="0.35">
      <c r="A66">
        <v>411.33699999999999</v>
      </c>
      <c r="B66" s="7">
        <v>1.3469599999999999E-3</v>
      </c>
      <c r="C66" s="7">
        <v>2.6377399999999999E-4</v>
      </c>
      <c r="D66">
        <f t="shared" si="0"/>
        <v>91.811055824415504</v>
      </c>
      <c r="E66">
        <f t="shared" si="1"/>
        <v>105.48512745043151</v>
      </c>
      <c r="G66" s="7"/>
      <c r="H66" s="7"/>
      <c r="I66" s="6"/>
      <c r="J66" s="6"/>
      <c r="L66" s="7"/>
      <c r="M66" s="7"/>
      <c r="N66" s="6"/>
      <c r="O66" s="6"/>
      <c r="Q66">
        <f t="shared" si="5"/>
        <v>1.3469599999999999E-3</v>
      </c>
      <c r="R66">
        <f t="shared" si="5"/>
        <v>2.6377399999999999E-4</v>
      </c>
      <c r="T66">
        <f t="shared" si="3"/>
        <v>91.811055824415504</v>
      </c>
      <c r="U66">
        <f t="shared" si="3"/>
        <v>105.48512745043151</v>
      </c>
      <c r="W66">
        <f t="shared" si="4"/>
        <v>0</v>
      </c>
      <c r="X66">
        <f t="shared" si="4"/>
        <v>0</v>
      </c>
    </row>
    <row r="67" spans="1:24" x14ac:dyDescent="0.35">
      <c r="A67">
        <v>417.42200000000003</v>
      </c>
      <c r="B67" s="7">
        <v>1.3754699999999999E-3</v>
      </c>
      <c r="C67" s="7">
        <v>2.6762500000000001E-4</v>
      </c>
      <c r="D67">
        <f t="shared" si="0"/>
        <v>93.754345307068363</v>
      </c>
      <c r="E67">
        <f t="shared" si="1"/>
        <v>107.02517016052278</v>
      </c>
      <c r="G67" s="7"/>
      <c r="H67" s="7"/>
      <c r="I67" s="6"/>
      <c r="J67" s="6"/>
      <c r="L67" s="7"/>
      <c r="M67" s="7"/>
      <c r="N67" s="6"/>
      <c r="O67" s="6"/>
      <c r="Q67">
        <f t="shared" si="5"/>
        <v>1.3754699999999999E-3</v>
      </c>
      <c r="R67">
        <f t="shared" si="5"/>
        <v>2.6762500000000001E-4</v>
      </c>
      <c r="T67">
        <f t="shared" si="3"/>
        <v>93.754345307068363</v>
      </c>
      <c r="U67">
        <f t="shared" si="3"/>
        <v>107.02517016052278</v>
      </c>
      <c r="W67">
        <f t="shared" si="4"/>
        <v>0</v>
      </c>
      <c r="X67">
        <f t="shared" si="4"/>
        <v>0</v>
      </c>
    </row>
    <row r="68" spans="1:24" x14ac:dyDescent="0.35">
      <c r="A68">
        <v>423.74099999999999</v>
      </c>
      <c r="B68" s="7">
        <v>1.4081499999999999E-3</v>
      </c>
      <c r="C68" s="7">
        <v>2.6864100000000002E-4</v>
      </c>
      <c r="D68">
        <f t="shared" ref="D68:D109" si="6">B68/$B$3*100</f>
        <v>95.981868993251979</v>
      </c>
      <c r="E68">
        <f t="shared" ref="E68:E109" si="7">C68/$C$3*100</f>
        <v>107.43147589759177</v>
      </c>
      <c r="G68" s="7"/>
      <c r="H68" s="7"/>
      <c r="I68" s="6"/>
      <c r="J68" s="6"/>
      <c r="L68" s="7"/>
      <c r="M68" s="7"/>
      <c r="N68" s="6"/>
      <c r="O68" s="6"/>
      <c r="Q68">
        <f t="shared" si="5"/>
        <v>1.4081499999999999E-3</v>
      </c>
      <c r="R68">
        <f t="shared" si="5"/>
        <v>2.6864100000000002E-4</v>
      </c>
      <c r="T68">
        <f t="shared" ref="T68:U109" si="8">AVERAGE(D68,I68,N68)</f>
        <v>95.981868993251979</v>
      </c>
      <c r="U68">
        <f t="shared" si="8"/>
        <v>107.43147589759177</v>
      </c>
      <c r="W68">
        <f t="shared" ref="W68:X109" si="9">_xlfn.STDEV.P(D68,I68,N68)</f>
        <v>0</v>
      </c>
      <c r="X68">
        <f t="shared" si="9"/>
        <v>0</v>
      </c>
    </row>
    <row r="69" spans="1:24" x14ac:dyDescent="0.35">
      <c r="A69">
        <v>429.80099999999999</v>
      </c>
      <c r="B69" s="7">
        <v>1.43889E-3</v>
      </c>
      <c r="C69" s="7">
        <v>2.7772700000000002E-4</v>
      </c>
      <c r="D69">
        <f t="shared" si="6"/>
        <v>98.077159021198284</v>
      </c>
      <c r="E69">
        <f t="shared" si="7"/>
        <v>111.06503291236433</v>
      </c>
      <c r="G69" s="7"/>
      <c r="H69" s="7"/>
      <c r="I69" s="6"/>
      <c r="J69" s="6"/>
      <c r="L69" s="7"/>
      <c r="M69" s="7"/>
      <c r="N69" s="6"/>
      <c r="O69" s="6"/>
      <c r="Q69">
        <f t="shared" si="5"/>
        <v>1.43889E-3</v>
      </c>
      <c r="R69">
        <f t="shared" si="5"/>
        <v>2.7772700000000002E-4</v>
      </c>
      <c r="T69">
        <f t="shared" si="8"/>
        <v>98.077159021198284</v>
      </c>
      <c r="U69">
        <f t="shared" si="8"/>
        <v>111.06503291236433</v>
      </c>
      <c r="W69">
        <f t="shared" si="9"/>
        <v>0</v>
      </c>
      <c r="X69">
        <f t="shared" si="9"/>
        <v>0</v>
      </c>
    </row>
    <row r="70" spans="1:24" x14ac:dyDescent="0.35">
      <c r="A70">
        <v>436.18</v>
      </c>
      <c r="B70" s="7">
        <v>1.4670600000000001E-3</v>
      </c>
      <c r="C70" s="7">
        <v>2.81375E-4</v>
      </c>
      <c r="D70">
        <f t="shared" si="6"/>
        <v>99.997273532819847</v>
      </c>
      <c r="E70">
        <f t="shared" si="7"/>
        <v>112.52389445648609</v>
      </c>
      <c r="G70" s="7"/>
      <c r="H70" s="7"/>
      <c r="I70" s="6"/>
      <c r="J70" s="6"/>
      <c r="L70" s="7"/>
      <c r="M70" s="7"/>
      <c r="N70" s="6"/>
      <c r="O70" s="6"/>
      <c r="Q70">
        <f t="shared" si="5"/>
        <v>1.4670600000000001E-3</v>
      </c>
      <c r="R70">
        <f t="shared" si="5"/>
        <v>2.81375E-4</v>
      </c>
      <c r="T70">
        <f t="shared" si="8"/>
        <v>99.997273532819847</v>
      </c>
      <c r="U70">
        <f t="shared" si="8"/>
        <v>112.52389445648609</v>
      </c>
      <c r="W70">
        <f t="shared" si="9"/>
        <v>0</v>
      </c>
      <c r="X70">
        <f t="shared" si="9"/>
        <v>0</v>
      </c>
    </row>
    <row r="71" spans="1:24" x14ac:dyDescent="0.35">
      <c r="A71">
        <v>449.34699999999998</v>
      </c>
      <c r="B71" s="7">
        <v>1.9160700000000002E-6</v>
      </c>
      <c r="C71" s="7">
        <v>2.1097499999999999E-5</v>
      </c>
      <c r="D71">
        <f t="shared" si="6"/>
        <v>0.13060254924681347</v>
      </c>
      <c r="E71">
        <f t="shared" si="7"/>
        <v>8.4370426061153818</v>
      </c>
      <c r="G71" s="7"/>
      <c r="H71" s="7"/>
      <c r="I71" s="6"/>
      <c r="J71" s="6"/>
      <c r="L71" s="7"/>
      <c r="M71" s="7"/>
      <c r="N71" s="6"/>
      <c r="O71" s="6"/>
      <c r="Q71">
        <f t="shared" si="5"/>
        <v>1.9160700000000002E-6</v>
      </c>
      <c r="R71">
        <f t="shared" si="5"/>
        <v>2.1097499999999999E-5</v>
      </c>
      <c r="T71">
        <f t="shared" si="8"/>
        <v>0.13060254924681347</v>
      </c>
      <c r="U71">
        <f t="shared" si="8"/>
        <v>8.4370426061153818</v>
      </c>
      <c r="W71">
        <f t="shared" si="9"/>
        <v>0</v>
      </c>
      <c r="X71">
        <f t="shared" si="9"/>
        <v>0</v>
      </c>
    </row>
    <row r="72" spans="1:24" x14ac:dyDescent="0.35">
      <c r="A72">
        <v>455.601</v>
      </c>
      <c r="B72" s="7">
        <v>1.9146299999999998E-6</v>
      </c>
      <c r="C72" s="7">
        <v>2.1238099999999999E-5</v>
      </c>
      <c r="D72">
        <f t="shared" si="6"/>
        <v>0.13050439642832798</v>
      </c>
      <c r="E72">
        <f t="shared" si="7"/>
        <v>8.4932695614617408</v>
      </c>
      <c r="G72" s="7"/>
      <c r="H72" s="7"/>
      <c r="I72" s="6"/>
      <c r="J72" s="6"/>
      <c r="L72" s="7"/>
      <c r="M72" s="7"/>
      <c r="N72" s="6"/>
      <c r="O72" s="6"/>
      <c r="Q72">
        <f t="shared" si="5"/>
        <v>1.9146299999999998E-6</v>
      </c>
      <c r="R72">
        <f t="shared" si="5"/>
        <v>2.1238099999999999E-5</v>
      </c>
      <c r="T72">
        <f t="shared" si="8"/>
        <v>0.13050439642832798</v>
      </c>
      <c r="U72">
        <f t="shared" si="8"/>
        <v>8.4932695614617408</v>
      </c>
      <c r="W72">
        <f t="shared" si="9"/>
        <v>0</v>
      </c>
      <c r="X72">
        <f t="shared" si="9"/>
        <v>0</v>
      </c>
    </row>
    <row r="73" spans="1:24" x14ac:dyDescent="0.35">
      <c r="A73">
        <v>461.72699999999998</v>
      </c>
      <c r="B73" s="7">
        <v>1.9172800000000001E-6</v>
      </c>
      <c r="C73" s="7">
        <v>2.13497E-5</v>
      </c>
      <c r="D73">
        <f t="shared" si="6"/>
        <v>0.13068502487901301</v>
      </c>
      <c r="E73">
        <f t="shared" si="7"/>
        <v>8.5378992073838873</v>
      </c>
      <c r="G73" s="7"/>
      <c r="H73" s="7"/>
      <c r="I73" s="6"/>
      <c r="J73" s="6"/>
      <c r="L73" s="7"/>
      <c r="M73" s="7"/>
      <c r="N73" s="6"/>
      <c r="O73" s="6"/>
      <c r="Q73">
        <f t="shared" si="5"/>
        <v>1.9172800000000001E-6</v>
      </c>
      <c r="R73">
        <f t="shared" si="5"/>
        <v>2.13497E-5</v>
      </c>
      <c r="T73">
        <f t="shared" si="8"/>
        <v>0.13068502487901301</v>
      </c>
      <c r="U73">
        <f t="shared" si="8"/>
        <v>8.5378992073838873</v>
      </c>
      <c r="W73">
        <f t="shared" si="9"/>
        <v>0</v>
      </c>
      <c r="X73">
        <f t="shared" si="9"/>
        <v>0</v>
      </c>
    </row>
    <row r="74" spans="1:24" x14ac:dyDescent="0.35">
      <c r="A74">
        <v>467.90100000000001</v>
      </c>
      <c r="B74" s="7">
        <v>1.9197E-6</v>
      </c>
      <c r="C74" s="7">
        <v>2.15273E-5</v>
      </c>
      <c r="D74">
        <f t="shared" si="6"/>
        <v>0.13084997614341218</v>
      </c>
      <c r="E74">
        <f t="shared" si="7"/>
        <v>8.6089227299266575</v>
      </c>
      <c r="G74" s="7"/>
      <c r="H74" s="7"/>
      <c r="I74" s="6"/>
      <c r="J74" s="6"/>
      <c r="L74" s="7"/>
      <c r="M74" s="7"/>
      <c r="N74" s="6"/>
      <c r="O74" s="6"/>
      <c r="Q74">
        <f t="shared" si="5"/>
        <v>1.9197E-6</v>
      </c>
      <c r="R74">
        <f t="shared" si="5"/>
        <v>2.15273E-5</v>
      </c>
      <c r="T74">
        <f t="shared" si="8"/>
        <v>0.13084997614341218</v>
      </c>
      <c r="U74">
        <f t="shared" si="8"/>
        <v>8.6089227299266575</v>
      </c>
      <c r="W74">
        <f t="shared" si="9"/>
        <v>0</v>
      </c>
      <c r="X74">
        <f t="shared" si="9"/>
        <v>0</v>
      </c>
    </row>
    <row r="75" spans="1:24" x14ac:dyDescent="0.35">
      <c r="A75">
        <v>474.11200000000002</v>
      </c>
      <c r="B75" s="7">
        <v>1.9234800000000002E-6</v>
      </c>
      <c r="C75" s="7">
        <v>2.1577699999999998E-5</v>
      </c>
      <c r="D75">
        <f t="shared" si="6"/>
        <v>0.13110762729193648</v>
      </c>
      <c r="E75">
        <f t="shared" si="7"/>
        <v>8.6290780538914973</v>
      </c>
      <c r="G75" s="7"/>
      <c r="H75" s="7"/>
      <c r="I75" s="6"/>
      <c r="J75" s="6"/>
      <c r="L75" s="7"/>
      <c r="M75" s="7"/>
      <c r="N75" s="6"/>
      <c r="O75" s="6"/>
      <c r="Q75">
        <f t="shared" si="5"/>
        <v>1.9234800000000002E-6</v>
      </c>
      <c r="R75">
        <f t="shared" si="5"/>
        <v>2.1577699999999998E-5</v>
      </c>
      <c r="T75">
        <f t="shared" si="8"/>
        <v>0.13110762729193648</v>
      </c>
      <c r="U75">
        <f t="shared" si="8"/>
        <v>8.6290780538914973</v>
      </c>
      <c r="W75">
        <f t="shared" si="9"/>
        <v>0</v>
      </c>
      <c r="X75">
        <f t="shared" si="9"/>
        <v>0</v>
      </c>
    </row>
    <row r="76" spans="1:24" x14ac:dyDescent="0.35">
      <c r="A76">
        <v>480.45699999999999</v>
      </c>
      <c r="B76" s="7">
        <v>1.92593E-6</v>
      </c>
      <c r="C76" s="7">
        <v>2.1648799999999998E-5</v>
      </c>
      <c r="D76">
        <f t="shared" si="6"/>
        <v>0.13127462340672075</v>
      </c>
      <c r="E76">
        <f t="shared" si="7"/>
        <v>8.6575114573418954</v>
      </c>
      <c r="G76" s="7"/>
      <c r="H76" s="7"/>
      <c r="I76" s="6"/>
      <c r="J76" s="6"/>
      <c r="L76" s="7"/>
      <c r="M76" s="7"/>
      <c r="N76" s="6"/>
      <c r="O76" s="6"/>
      <c r="Q76">
        <f t="shared" si="5"/>
        <v>1.92593E-6</v>
      </c>
      <c r="R76">
        <f t="shared" si="5"/>
        <v>2.1648799999999998E-5</v>
      </c>
      <c r="T76">
        <f t="shared" si="8"/>
        <v>0.13127462340672075</v>
      </c>
      <c r="U76">
        <f t="shared" si="8"/>
        <v>8.6575114573418954</v>
      </c>
      <c r="W76">
        <f t="shared" si="9"/>
        <v>0</v>
      </c>
      <c r="X76">
        <f t="shared" si="9"/>
        <v>0</v>
      </c>
    </row>
    <row r="77" spans="1:24" x14ac:dyDescent="0.35">
      <c r="A77">
        <v>486.59</v>
      </c>
      <c r="B77" s="7">
        <v>1.9307999999999998E-6</v>
      </c>
      <c r="C77" s="7">
        <v>2.1727899999999999E-5</v>
      </c>
      <c r="D77">
        <f t="shared" si="6"/>
        <v>0.13160657078590415</v>
      </c>
      <c r="E77">
        <f t="shared" si="7"/>
        <v>8.6891441185644922</v>
      </c>
      <c r="G77" s="7"/>
      <c r="H77" s="7"/>
      <c r="I77" s="6"/>
      <c r="J77" s="6"/>
      <c r="L77" s="7"/>
      <c r="M77" s="7"/>
      <c r="N77" s="6"/>
      <c r="O77" s="6"/>
      <c r="Q77">
        <f t="shared" si="5"/>
        <v>1.9307999999999998E-6</v>
      </c>
      <c r="R77">
        <f t="shared" si="5"/>
        <v>2.1727899999999999E-5</v>
      </c>
      <c r="T77">
        <f t="shared" si="8"/>
        <v>0.13160657078590415</v>
      </c>
      <c r="U77">
        <f t="shared" si="8"/>
        <v>8.6891441185644922</v>
      </c>
      <c r="W77">
        <f t="shared" si="9"/>
        <v>0</v>
      </c>
      <c r="X77">
        <f t="shared" si="9"/>
        <v>0</v>
      </c>
    </row>
    <row r="78" spans="1:24" x14ac:dyDescent="0.35">
      <c r="A78">
        <v>492.80599999999998</v>
      </c>
      <c r="B78" s="7">
        <v>1.9420000000000002E-6</v>
      </c>
      <c r="C78" s="7">
        <v>2.1758599999999999E-5</v>
      </c>
      <c r="D78">
        <f t="shared" si="6"/>
        <v>0.13236998159634655</v>
      </c>
      <c r="E78">
        <f t="shared" si="7"/>
        <v>8.701421270265298</v>
      </c>
      <c r="G78" s="7"/>
      <c r="H78" s="7"/>
      <c r="I78" s="6"/>
      <c r="J78" s="6"/>
      <c r="L78" s="7"/>
      <c r="M78" s="7"/>
      <c r="N78" s="6"/>
      <c r="O78" s="6"/>
      <c r="Q78">
        <f t="shared" si="5"/>
        <v>1.9420000000000002E-6</v>
      </c>
      <c r="R78">
        <f t="shared" si="5"/>
        <v>2.1758599999999999E-5</v>
      </c>
      <c r="T78">
        <f t="shared" si="8"/>
        <v>0.13236998159634655</v>
      </c>
      <c r="U78">
        <f t="shared" si="8"/>
        <v>8.701421270265298</v>
      </c>
      <c r="W78">
        <f t="shared" si="9"/>
        <v>0</v>
      </c>
      <c r="X78">
        <f t="shared" si="9"/>
        <v>0</v>
      </c>
    </row>
    <row r="79" spans="1:24" x14ac:dyDescent="0.35">
      <c r="A79">
        <v>499.017</v>
      </c>
      <c r="B79" s="7">
        <v>1.9435499999999998E-6</v>
      </c>
      <c r="C79" s="7">
        <v>2.17996E-5</v>
      </c>
      <c r="D79">
        <f t="shared" si="6"/>
        <v>0.13247563219957739</v>
      </c>
      <c r="E79">
        <f t="shared" si="7"/>
        <v>8.7178174663478067</v>
      </c>
      <c r="G79" s="7"/>
      <c r="H79" s="7"/>
      <c r="I79" s="6"/>
      <c r="J79" s="6"/>
      <c r="L79" s="7"/>
      <c r="M79" s="7"/>
      <c r="N79" s="6"/>
      <c r="O79" s="6"/>
      <c r="Q79">
        <f t="shared" si="5"/>
        <v>1.9435499999999998E-6</v>
      </c>
      <c r="R79">
        <f t="shared" si="5"/>
        <v>2.17996E-5</v>
      </c>
      <c r="T79">
        <f t="shared" si="8"/>
        <v>0.13247563219957739</v>
      </c>
      <c r="U79">
        <f t="shared" si="8"/>
        <v>8.7178174663478067</v>
      </c>
      <c r="W79">
        <f t="shared" si="9"/>
        <v>0</v>
      </c>
      <c r="X79">
        <f t="shared" si="9"/>
        <v>0</v>
      </c>
    </row>
    <row r="80" spans="1:24" x14ac:dyDescent="0.35">
      <c r="A80">
        <v>505.20699999999999</v>
      </c>
      <c r="B80" s="7">
        <v>1.9354999999999999E-6</v>
      </c>
      <c r="C80" s="7">
        <v>2.18025E-5</v>
      </c>
      <c r="D80">
        <f t="shared" si="6"/>
        <v>0.13192693067957192</v>
      </c>
      <c r="E80">
        <f t="shared" si="7"/>
        <v>8.7189771972902292</v>
      </c>
      <c r="G80" s="7"/>
      <c r="H80" s="7"/>
      <c r="I80" s="6"/>
      <c r="J80" s="6"/>
      <c r="L80" s="7"/>
      <c r="M80" s="7"/>
      <c r="N80" s="6"/>
      <c r="O80" s="6"/>
      <c r="Q80">
        <f t="shared" si="5"/>
        <v>1.9354999999999999E-6</v>
      </c>
      <c r="R80">
        <f t="shared" si="5"/>
        <v>2.18025E-5</v>
      </c>
      <c r="T80">
        <f t="shared" si="8"/>
        <v>0.13192693067957192</v>
      </c>
      <c r="U80">
        <f t="shared" si="8"/>
        <v>8.7189771972902292</v>
      </c>
      <c r="W80">
        <f t="shared" si="9"/>
        <v>0</v>
      </c>
      <c r="X80">
        <f t="shared" si="9"/>
        <v>0</v>
      </c>
    </row>
    <row r="81" spans="1:24" x14ac:dyDescent="0.35">
      <c r="A81">
        <v>518.327</v>
      </c>
      <c r="B81" s="7">
        <v>7.6194700000000001E-4</v>
      </c>
      <c r="C81" s="7">
        <v>2.0201299999999999E-4</v>
      </c>
      <c r="D81">
        <f t="shared" si="6"/>
        <v>51.935587212868924</v>
      </c>
      <c r="E81">
        <f t="shared" si="7"/>
        <v>80.786457541850282</v>
      </c>
      <c r="G81" s="7"/>
      <c r="H81" s="7"/>
      <c r="I81" s="6"/>
      <c r="J81" s="6"/>
      <c r="L81" s="7"/>
      <c r="M81" s="7"/>
      <c r="N81" s="6"/>
      <c r="O81" s="6"/>
      <c r="Q81">
        <f t="shared" si="5"/>
        <v>7.6194700000000001E-4</v>
      </c>
      <c r="R81">
        <f t="shared" si="5"/>
        <v>2.0201299999999999E-4</v>
      </c>
      <c r="T81">
        <f t="shared" si="8"/>
        <v>51.935587212868924</v>
      </c>
      <c r="U81">
        <f t="shared" si="8"/>
        <v>80.786457541850282</v>
      </c>
      <c r="W81">
        <f t="shared" si="9"/>
        <v>0</v>
      </c>
      <c r="X81">
        <f t="shared" si="9"/>
        <v>0</v>
      </c>
    </row>
    <row r="82" spans="1:24" x14ac:dyDescent="0.35">
      <c r="A82">
        <v>524.44100000000003</v>
      </c>
      <c r="B82" s="7">
        <v>7.9724400000000001E-4</v>
      </c>
      <c r="C82" s="7">
        <v>2.0464999999999999E-4</v>
      </c>
      <c r="D82">
        <f t="shared" si="6"/>
        <v>54.341490014313955</v>
      </c>
      <c r="E82">
        <f t="shared" si="7"/>
        <v>81.841012885010684</v>
      </c>
      <c r="G82" s="7"/>
      <c r="H82" s="7"/>
      <c r="I82" s="6"/>
      <c r="J82" s="6"/>
      <c r="L82" s="7"/>
      <c r="M82" s="7"/>
      <c r="N82" s="6"/>
      <c r="O82" s="6"/>
      <c r="Q82">
        <f t="shared" si="5"/>
        <v>7.9724400000000001E-4</v>
      </c>
      <c r="R82">
        <f t="shared" si="5"/>
        <v>2.0464999999999999E-4</v>
      </c>
      <c r="T82">
        <f t="shared" si="8"/>
        <v>54.341490014313955</v>
      </c>
      <c r="U82">
        <f t="shared" si="8"/>
        <v>81.841012885010684</v>
      </c>
      <c r="W82">
        <f t="shared" si="9"/>
        <v>0</v>
      </c>
      <c r="X82">
        <f t="shared" si="9"/>
        <v>0</v>
      </c>
    </row>
    <row r="83" spans="1:24" x14ac:dyDescent="0.35">
      <c r="A83">
        <v>530.67700000000002</v>
      </c>
      <c r="B83" s="7">
        <v>8.2669000000000004E-4</v>
      </c>
      <c r="C83" s="7">
        <v>2.05854E-4</v>
      </c>
      <c r="D83">
        <f t="shared" si="6"/>
        <v>56.34857882898234</v>
      </c>
      <c r="E83">
        <f t="shared" si="7"/>
        <v>82.322501179726302</v>
      </c>
      <c r="G83" s="7"/>
      <c r="H83" s="7"/>
      <c r="I83" s="6"/>
      <c r="J83" s="6"/>
      <c r="L83" s="7"/>
      <c r="M83" s="7"/>
      <c r="N83" s="6"/>
      <c r="O83" s="6"/>
      <c r="Q83">
        <f t="shared" si="5"/>
        <v>8.2669000000000004E-4</v>
      </c>
      <c r="R83">
        <f t="shared" si="5"/>
        <v>2.05854E-4</v>
      </c>
      <c r="T83">
        <f t="shared" si="8"/>
        <v>56.34857882898234</v>
      </c>
      <c r="U83">
        <f t="shared" si="8"/>
        <v>82.322501179726302</v>
      </c>
      <c r="W83">
        <f t="shared" si="9"/>
        <v>0</v>
      </c>
      <c r="X83">
        <f t="shared" si="9"/>
        <v>0</v>
      </c>
    </row>
    <row r="84" spans="1:24" x14ac:dyDescent="0.35">
      <c r="A84">
        <v>536.91800000000001</v>
      </c>
      <c r="B84" s="7">
        <v>8.5401699999999999E-4</v>
      </c>
      <c r="C84" s="7">
        <v>2.0900199999999999E-4</v>
      </c>
      <c r="D84">
        <f t="shared" si="6"/>
        <v>58.211233044782219</v>
      </c>
      <c r="E84">
        <f t="shared" si="7"/>
        <v>83.581409113085755</v>
      </c>
      <c r="G84" s="7"/>
      <c r="H84" s="7"/>
      <c r="I84" s="6"/>
      <c r="J84" s="6"/>
      <c r="L84" s="7"/>
      <c r="M84" s="7"/>
      <c r="N84" s="6"/>
      <c r="O84" s="6"/>
      <c r="Q84">
        <f t="shared" si="5"/>
        <v>8.5401699999999999E-4</v>
      </c>
      <c r="R84">
        <f t="shared" si="5"/>
        <v>2.0900199999999999E-4</v>
      </c>
      <c r="T84">
        <f t="shared" si="8"/>
        <v>58.211233044782219</v>
      </c>
      <c r="U84">
        <f t="shared" si="8"/>
        <v>83.581409113085755</v>
      </c>
      <c r="W84">
        <f t="shared" si="9"/>
        <v>0</v>
      </c>
      <c r="X84">
        <f t="shared" si="9"/>
        <v>0</v>
      </c>
    </row>
    <row r="85" spans="1:24" x14ac:dyDescent="0.35">
      <c r="A85">
        <v>543.17700000000002</v>
      </c>
      <c r="B85" s="7">
        <v>8.7517699999999999E-4</v>
      </c>
      <c r="C85" s="7">
        <v>2.1003699999999999E-4</v>
      </c>
      <c r="D85">
        <f t="shared" si="6"/>
        <v>59.653534183082272</v>
      </c>
      <c r="E85">
        <f t="shared" si="7"/>
        <v>83.995313087363726</v>
      </c>
      <c r="G85" s="7"/>
      <c r="H85" s="7"/>
      <c r="I85" s="6"/>
      <c r="J85" s="6"/>
      <c r="L85" s="7"/>
      <c r="M85" s="7"/>
      <c r="N85" s="6"/>
      <c r="O85" s="6"/>
      <c r="Q85">
        <f t="shared" si="5"/>
        <v>8.7517699999999999E-4</v>
      </c>
      <c r="R85">
        <f t="shared" si="5"/>
        <v>2.1003699999999999E-4</v>
      </c>
      <c r="T85">
        <f t="shared" si="8"/>
        <v>59.653534183082272</v>
      </c>
      <c r="U85">
        <f t="shared" si="8"/>
        <v>83.995313087363726</v>
      </c>
      <c r="W85">
        <f t="shared" si="9"/>
        <v>0</v>
      </c>
      <c r="X85">
        <f t="shared" si="9"/>
        <v>0</v>
      </c>
    </row>
    <row r="86" spans="1:24" x14ac:dyDescent="0.35">
      <c r="A86">
        <v>549.27800000000002</v>
      </c>
      <c r="B86" s="7">
        <v>8.99444E-4</v>
      </c>
      <c r="C86" s="7">
        <v>2.1247200000000001E-4</v>
      </c>
      <c r="D86">
        <f t="shared" si="6"/>
        <v>61.30761365960057</v>
      </c>
      <c r="E86">
        <f t="shared" si="7"/>
        <v>84.969087171776152</v>
      </c>
      <c r="G86" s="7"/>
      <c r="H86" s="7"/>
      <c r="I86" s="6"/>
      <c r="J86" s="6"/>
      <c r="L86" s="7"/>
      <c r="M86" s="7"/>
      <c r="N86" s="6"/>
      <c r="O86" s="6"/>
      <c r="Q86">
        <f t="shared" si="5"/>
        <v>8.99444E-4</v>
      </c>
      <c r="R86">
        <f t="shared" si="5"/>
        <v>2.1247200000000001E-4</v>
      </c>
      <c r="T86">
        <f t="shared" si="8"/>
        <v>61.30761365960057</v>
      </c>
      <c r="U86">
        <f t="shared" si="8"/>
        <v>84.969087171776152</v>
      </c>
      <c r="W86">
        <f t="shared" si="9"/>
        <v>0</v>
      </c>
      <c r="X86">
        <f t="shared" si="9"/>
        <v>0</v>
      </c>
    </row>
    <row r="87" spans="1:24" x14ac:dyDescent="0.35">
      <c r="A87">
        <v>555.61199999999997</v>
      </c>
      <c r="B87" s="7">
        <v>9.2140400000000002E-4</v>
      </c>
      <c r="C87" s="7">
        <v>2.15527E-4</v>
      </c>
      <c r="D87">
        <f t="shared" si="6"/>
        <v>62.804444141503645</v>
      </c>
      <c r="E87">
        <f t="shared" si="7"/>
        <v>86.190803733533812</v>
      </c>
      <c r="G87" s="7"/>
      <c r="H87" s="7"/>
      <c r="I87" s="6"/>
      <c r="J87" s="6"/>
      <c r="L87" s="7"/>
      <c r="M87" s="7"/>
      <c r="N87" s="6"/>
      <c r="O87" s="6"/>
      <c r="Q87">
        <f t="shared" si="5"/>
        <v>9.2140400000000002E-4</v>
      </c>
      <c r="R87">
        <f t="shared" si="5"/>
        <v>2.15527E-4</v>
      </c>
      <c r="T87">
        <f t="shared" si="8"/>
        <v>62.804444141503645</v>
      </c>
      <c r="U87">
        <f t="shared" si="8"/>
        <v>86.190803733533812</v>
      </c>
      <c r="W87">
        <f t="shared" si="9"/>
        <v>0</v>
      </c>
      <c r="X87">
        <f t="shared" si="9"/>
        <v>0</v>
      </c>
    </row>
    <row r="88" spans="1:24" x14ac:dyDescent="0.35">
      <c r="A88">
        <v>561.73</v>
      </c>
      <c r="B88" s="7">
        <v>9.4399299999999996E-4</v>
      </c>
      <c r="C88" s="7">
        <v>2.23086E-4</v>
      </c>
      <c r="D88">
        <f t="shared" si="6"/>
        <v>64.344148319814593</v>
      </c>
      <c r="E88">
        <f t="shared" si="7"/>
        <v>89.21370242103832</v>
      </c>
      <c r="G88" s="7"/>
      <c r="H88" s="7"/>
      <c r="I88" s="6"/>
      <c r="J88" s="6"/>
      <c r="L88" s="7"/>
      <c r="M88" s="7"/>
      <c r="N88" s="6"/>
      <c r="O88" s="6"/>
      <c r="Q88">
        <f t="shared" si="5"/>
        <v>9.4399299999999996E-4</v>
      </c>
      <c r="R88">
        <f t="shared" si="5"/>
        <v>2.23086E-4</v>
      </c>
      <c r="T88">
        <f t="shared" si="8"/>
        <v>64.344148319814593</v>
      </c>
      <c r="U88">
        <f t="shared" si="8"/>
        <v>89.21370242103832</v>
      </c>
      <c r="W88">
        <f t="shared" si="9"/>
        <v>0</v>
      </c>
      <c r="X88">
        <f t="shared" si="9"/>
        <v>0</v>
      </c>
    </row>
    <row r="89" spans="1:24" x14ac:dyDescent="0.35">
      <c r="A89">
        <v>567.92600000000004</v>
      </c>
      <c r="B89" s="7">
        <v>9.6565699999999997E-4</v>
      </c>
      <c r="C89" s="7">
        <v>2.2435200000000001E-4</v>
      </c>
      <c r="D89">
        <f t="shared" si="6"/>
        <v>65.820802944584557</v>
      </c>
      <c r="E89">
        <f t="shared" si="7"/>
        <v>89.719984963488471</v>
      </c>
      <c r="G89" s="7"/>
      <c r="H89" s="7"/>
      <c r="I89" s="6"/>
      <c r="J89" s="6"/>
      <c r="L89" s="7"/>
      <c r="M89" s="7"/>
      <c r="N89" s="6"/>
      <c r="O89" s="6"/>
      <c r="Q89">
        <f t="shared" si="5"/>
        <v>9.6565699999999997E-4</v>
      </c>
      <c r="R89">
        <f t="shared" si="5"/>
        <v>2.2435200000000001E-4</v>
      </c>
      <c r="T89">
        <f t="shared" si="8"/>
        <v>65.820802944584557</v>
      </c>
      <c r="U89">
        <f t="shared" si="8"/>
        <v>89.719984963488471</v>
      </c>
      <c r="W89">
        <f t="shared" si="9"/>
        <v>0</v>
      </c>
      <c r="X89">
        <f t="shared" si="9"/>
        <v>0</v>
      </c>
    </row>
    <row r="90" spans="1:24" x14ac:dyDescent="0.35">
      <c r="A90">
        <v>574.19000000000005</v>
      </c>
      <c r="B90" s="7">
        <v>9.9002700000000009E-4</v>
      </c>
      <c r="C90" s="7">
        <v>2.2832399999999999E-4</v>
      </c>
      <c r="D90">
        <f t="shared" si="6"/>
        <v>67.481903074091747</v>
      </c>
      <c r="E90">
        <f t="shared" si="7"/>
        <v>91.308416447384204</v>
      </c>
      <c r="G90" s="7"/>
      <c r="H90" s="7"/>
      <c r="I90" s="6"/>
      <c r="J90" s="6"/>
      <c r="L90" s="7"/>
      <c r="M90" s="7"/>
      <c r="N90" s="6"/>
      <c r="O90" s="6"/>
      <c r="Q90">
        <f t="shared" si="5"/>
        <v>9.9002700000000009E-4</v>
      </c>
      <c r="R90">
        <f t="shared" si="5"/>
        <v>2.2832399999999999E-4</v>
      </c>
      <c r="T90">
        <f t="shared" si="8"/>
        <v>67.481903074091747</v>
      </c>
      <c r="U90">
        <f t="shared" si="8"/>
        <v>91.308416447384204</v>
      </c>
      <c r="W90">
        <f t="shared" si="9"/>
        <v>0</v>
      </c>
      <c r="X90">
        <f t="shared" si="9"/>
        <v>0</v>
      </c>
    </row>
    <row r="91" spans="1:24" x14ac:dyDescent="0.35">
      <c r="A91">
        <v>580.33500000000004</v>
      </c>
      <c r="B91" s="7">
        <v>1.01296E-3</v>
      </c>
      <c r="C91" s="7">
        <v>2.3275800000000001E-4</v>
      </c>
      <c r="D91">
        <f t="shared" si="6"/>
        <v>69.045054870152001</v>
      </c>
      <c r="E91">
        <f t="shared" si="7"/>
        <v>93.081605067624324</v>
      </c>
      <c r="G91" s="7"/>
      <c r="H91" s="7"/>
      <c r="I91" s="6"/>
      <c r="J91" s="6"/>
      <c r="L91" s="7"/>
      <c r="M91" s="7"/>
      <c r="N91" s="6"/>
      <c r="O91" s="6"/>
      <c r="Q91">
        <f t="shared" si="5"/>
        <v>1.01296E-3</v>
      </c>
      <c r="R91">
        <f t="shared" si="5"/>
        <v>2.3275800000000001E-4</v>
      </c>
      <c r="T91">
        <f t="shared" si="8"/>
        <v>69.045054870152001</v>
      </c>
      <c r="U91">
        <f t="shared" si="8"/>
        <v>93.081605067624324</v>
      </c>
      <c r="W91">
        <f t="shared" si="9"/>
        <v>0</v>
      </c>
      <c r="X91">
        <f t="shared" si="9"/>
        <v>0</v>
      </c>
    </row>
    <row r="92" spans="1:24" x14ac:dyDescent="0.35">
      <c r="A92">
        <v>586.61800000000005</v>
      </c>
      <c r="B92" s="7">
        <v>1.0300299999999999E-3</v>
      </c>
      <c r="C92" s="7">
        <v>2.3351000000000001E-4</v>
      </c>
      <c r="D92">
        <f t="shared" si="6"/>
        <v>70.208574739281573</v>
      </c>
      <c r="E92">
        <f t="shared" si="7"/>
        <v>93.382335298210819</v>
      </c>
      <c r="G92" s="7"/>
      <c r="H92" s="7"/>
      <c r="I92" s="6"/>
      <c r="J92" s="6"/>
      <c r="L92" s="7"/>
      <c r="M92" s="7"/>
      <c r="N92" s="6"/>
      <c r="O92" s="6"/>
      <c r="Q92">
        <f t="shared" si="5"/>
        <v>1.0300299999999999E-3</v>
      </c>
      <c r="R92">
        <f t="shared" si="5"/>
        <v>2.3351000000000001E-4</v>
      </c>
      <c r="T92">
        <f t="shared" si="8"/>
        <v>70.208574739281573</v>
      </c>
      <c r="U92">
        <f t="shared" si="8"/>
        <v>93.382335298210819</v>
      </c>
      <c r="W92">
        <f t="shared" si="9"/>
        <v>0</v>
      </c>
      <c r="X92">
        <f t="shared" si="9"/>
        <v>0</v>
      </c>
    </row>
    <row r="93" spans="1:24" x14ac:dyDescent="0.35">
      <c r="A93">
        <v>592.80999999999995</v>
      </c>
      <c r="B93" s="7">
        <v>1.05262E-3</v>
      </c>
      <c r="C93" s="7">
        <v>2.4148E-4</v>
      </c>
      <c r="D93">
        <f t="shared" si="6"/>
        <v>71.748347079272037</v>
      </c>
      <c r="E93">
        <f t="shared" si="7"/>
        <v>96.569595853761925</v>
      </c>
      <c r="G93" s="7"/>
      <c r="H93" s="7"/>
      <c r="I93" s="6"/>
      <c r="J93" s="6"/>
      <c r="L93" s="7"/>
      <c r="M93" s="7"/>
      <c r="N93" s="6"/>
      <c r="O93" s="6"/>
      <c r="Q93">
        <f t="shared" si="5"/>
        <v>1.05262E-3</v>
      </c>
      <c r="R93">
        <f t="shared" si="5"/>
        <v>2.4148E-4</v>
      </c>
      <c r="T93">
        <f t="shared" si="8"/>
        <v>71.748347079272037</v>
      </c>
      <c r="U93">
        <f t="shared" si="8"/>
        <v>96.569595853761925</v>
      </c>
      <c r="W93">
        <f t="shared" si="9"/>
        <v>0</v>
      </c>
      <c r="X93">
        <f t="shared" si="9"/>
        <v>0</v>
      </c>
    </row>
    <row r="94" spans="1:24" x14ac:dyDescent="0.35">
      <c r="A94">
        <v>598.93799999999999</v>
      </c>
      <c r="B94" s="7">
        <v>1.08183E-3</v>
      </c>
      <c r="C94" s="7">
        <v>2.4623199999999998E-4</v>
      </c>
      <c r="D94">
        <f t="shared" si="6"/>
        <v>73.739349737577527</v>
      </c>
      <c r="E94">
        <f t="shared" si="7"/>
        <v>98.46995497044685</v>
      </c>
      <c r="G94" s="7"/>
      <c r="H94" s="7"/>
      <c r="I94" s="6"/>
      <c r="J94" s="6"/>
      <c r="L94" s="7"/>
      <c r="M94" s="7"/>
      <c r="N94" s="6"/>
      <c r="O94" s="6"/>
      <c r="Q94">
        <f t="shared" si="5"/>
        <v>1.08183E-3</v>
      </c>
      <c r="R94">
        <f t="shared" si="5"/>
        <v>2.4623199999999998E-4</v>
      </c>
      <c r="T94">
        <f t="shared" si="8"/>
        <v>73.739349737577527</v>
      </c>
      <c r="U94">
        <f t="shared" si="8"/>
        <v>98.46995497044685</v>
      </c>
      <c r="W94">
        <f t="shared" si="9"/>
        <v>0</v>
      </c>
      <c r="X94">
        <f t="shared" si="9"/>
        <v>0</v>
      </c>
    </row>
    <row r="95" spans="1:24" x14ac:dyDescent="0.35">
      <c r="A95">
        <v>605.25900000000001</v>
      </c>
      <c r="B95" s="7">
        <v>1.1037600000000001E-3</v>
      </c>
      <c r="C95" s="7">
        <v>2.4430200000000001E-4</v>
      </c>
      <c r="D95">
        <f t="shared" si="6"/>
        <v>75.234135369095497</v>
      </c>
      <c r="E95">
        <f t="shared" si="7"/>
        <v>97.698134032904377</v>
      </c>
      <c r="G95" s="7"/>
      <c r="H95" s="7"/>
      <c r="I95" s="6"/>
      <c r="J95" s="6"/>
      <c r="L95" s="7"/>
      <c r="M95" s="7"/>
      <c r="N95" s="6"/>
      <c r="O95" s="6"/>
      <c r="Q95">
        <f t="shared" si="5"/>
        <v>1.1037600000000001E-3</v>
      </c>
      <c r="R95">
        <f t="shared" si="5"/>
        <v>2.4430200000000001E-4</v>
      </c>
      <c r="T95">
        <f t="shared" si="8"/>
        <v>75.234135369095497</v>
      </c>
      <c r="U95">
        <f t="shared" si="8"/>
        <v>97.698134032904377</v>
      </c>
      <c r="W95">
        <f t="shared" si="9"/>
        <v>0</v>
      </c>
      <c r="X95">
        <f t="shared" si="9"/>
        <v>0</v>
      </c>
    </row>
    <row r="96" spans="1:24" x14ac:dyDescent="0.35">
      <c r="A96">
        <v>611.42399999999998</v>
      </c>
      <c r="B96" s="7">
        <v>1.1256300000000001E-3</v>
      </c>
      <c r="C96" s="7">
        <v>2.5043899999999998E-4</v>
      </c>
      <c r="D96">
        <f t="shared" si="6"/>
        <v>76.724831299843231</v>
      </c>
      <c r="E96">
        <f t="shared" si="7"/>
        <v>100.15236465140087</v>
      </c>
      <c r="G96" s="7"/>
      <c r="H96" s="7"/>
      <c r="I96" s="6"/>
      <c r="J96" s="6"/>
      <c r="L96" s="7"/>
      <c r="M96" s="7"/>
      <c r="N96" s="6"/>
      <c r="O96" s="6"/>
      <c r="Q96">
        <f t="shared" ref="Q96:R109" si="10">AVERAGE(B96,G96,L96)</f>
        <v>1.1256300000000001E-3</v>
      </c>
      <c r="R96">
        <f t="shared" si="10"/>
        <v>2.5043899999999998E-4</v>
      </c>
      <c r="T96">
        <f t="shared" si="8"/>
        <v>76.724831299843231</v>
      </c>
      <c r="U96">
        <f t="shared" si="8"/>
        <v>100.15236465140087</v>
      </c>
      <c r="W96">
        <f t="shared" si="9"/>
        <v>0</v>
      </c>
      <c r="X96">
        <f t="shared" si="9"/>
        <v>0</v>
      </c>
    </row>
    <row r="97" spans="1:24" x14ac:dyDescent="0.35">
      <c r="A97">
        <v>617.57000000000005</v>
      </c>
      <c r="B97" s="7">
        <v>1.15204E-3</v>
      </c>
      <c r="C97" s="7">
        <v>2.5375400000000002E-4</v>
      </c>
      <c r="D97">
        <f t="shared" si="6"/>
        <v>78.524981255538137</v>
      </c>
      <c r="E97">
        <f t="shared" si="7"/>
        <v>101.47805709075494</v>
      </c>
      <c r="G97" s="7"/>
      <c r="H97" s="7"/>
      <c r="I97" s="6"/>
      <c r="J97" s="6"/>
      <c r="L97" s="7"/>
      <c r="M97" s="7"/>
      <c r="N97" s="6"/>
      <c r="O97" s="6"/>
      <c r="Q97">
        <f t="shared" si="10"/>
        <v>1.15204E-3</v>
      </c>
      <c r="R97">
        <f t="shared" si="10"/>
        <v>2.5375400000000002E-4</v>
      </c>
      <c r="T97">
        <f t="shared" si="8"/>
        <v>78.524981255538137</v>
      </c>
      <c r="U97">
        <f t="shared" si="8"/>
        <v>101.47805709075494</v>
      </c>
      <c r="W97">
        <f t="shared" si="9"/>
        <v>0</v>
      </c>
      <c r="X97">
        <f t="shared" si="9"/>
        <v>0</v>
      </c>
    </row>
    <row r="98" spans="1:24" x14ac:dyDescent="0.35">
      <c r="A98">
        <v>623.89099999999996</v>
      </c>
      <c r="B98" s="7">
        <v>1.17588E-3</v>
      </c>
      <c r="C98" s="7">
        <v>2.5919000000000002E-4</v>
      </c>
      <c r="D98">
        <f t="shared" si="6"/>
        <v>80.149955694908328</v>
      </c>
      <c r="E98">
        <f t="shared" si="7"/>
        <v>103.65195274696271</v>
      </c>
      <c r="G98" s="7"/>
      <c r="H98" s="7"/>
      <c r="I98" s="6"/>
      <c r="J98" s="6"/>
      <c r="L98" s="7"/>
      <c r="M98" s="7"/>
      <c r="N98" s="6"/>
      <c r="O98" s="6"/>
      <c r="Q98">
        <f t="shared" si="10"/>
        <v>1.17588E-3</v>
      </c>
      <c r="R98">
        <f t="shared" si="10"/>
        <v>2.5919000000000002E-4</v>
      </c>
      <c r="T98">
        <f t="shared" si="8"/>
        <v>80.149955694908328</v>
      </c>
      <c r="U98">
        <f t="shared" si="8"/>
        <v>103.65195274696271</v>
      </c>
      <c r="W98">
        <f t="shared" si="9"/>
        <v>0</v>
      </c>
      <c r="X98">
        <f t="shared" si="9"/>
        <v>0</v>
      </c>
    </row>
    <row r="99" spans="1:24" x14ac:dyDescent="0.35">
      <c r="A99">
        <v>630.03800000000001</v>
      </c>
      <c r="B99" s="7">
        <v>1.20181E-3</v>
      </c>
      <c r="C99" s="7">
        <v>2.59106E-4</v>
      </c>
      <c r="D99">
        <f t="shared" si="6"/>
        <v>81.91738804444141</v>
      </c>
      <c r="E99">
        <f t="shared" si="7"/>
        <v>103.61836054035464</v>
      </c>
      <c r="G99" s="7"/>
      <c r="H99" s="7"/>
      <c r="I99" s="6"/>
      <c r="J99" s="6"/>
      <c r="L99" s="7"/>
      <c r="M99" s="7"/>
      <c r="N99" s="6"/>
      <c r="O99" s="6"/>
      <c r="Q99">
        <f t="shared" si="10"/>
        <v>1.20181E-3</v>
      </c>
      <c r="R99">
        <f t="shared" si="10"/>
        <v>2.59106E-4</v>
      </c>
      <c r="T99">
        <f t="shared" si="8"/>
        <v>81.91738804444141</v>
      </c>
      <c r="U99">
        <f t="shared" si="8"/>
        <v>103.61836054035464</v>
      </c>
      <c r="W99">
        <f t="shared" si="9"/>
        <v>0</v>
      </c>
      <c r="X99">
        <f t="shared" si="9"/>
        <v>0</v>
      </c>
    </row>
    <row r="100" spans="1:24" x14ac:dyDescent="0.35">
      <c r="A100">
        <v>636.29200000000003</v>
      </c>
      <c r="B100" s="7">
        <v>1.22251E-3</v>
      </c>
      <c r="C100" s="7">
        <v>2.5713800000000002E-4</v>
      </c>
      <c r="D100">
        <f t="shared" si="6"/>
        <v>83.328334810169721</v>
      </c>
      <c r="E100">
        <f t="shared" si="7"/>
        <v>102.83134312839421</v>
      </c>
      <c r="G100" s="7"/>
      <c r="H100" s="7"/>
      <c r="I100" s="6"/>
      <c r="J100" s="6"/>
      <c r="L100" s="7"/>
      <c r="M100" s="7"/>
      <c r="N100" s="6"/>
      <c r="O100" s="6"/>
      <c r="Q100">
        <f t="shared" si="10"/>
        <v>1.22251E-3</v>
      </c>
      <c r="R100">
        <f t="shared" si="10"/>
        <v>2.5713800000000002E-4</v>
      </c>
      <c r="T100">
        <f t="shared" si="8"/>
        <v>83.328334810169721</v>
      </c>
      <c r="U100">
        <f t="shared" si="8"/>
        <v>102.83134312839421</v>
      </c>
      <c r="W100">
        <f t="shared" si="9"/>
        <v>0</v>
      </c>
      <c r="X100">
        <f t="shared" si="9"/>
        <v>0</v>
      </c>
    </row>
    <row r="101" spans="1:24" x14ac:dyDescent="0.35">
      <c r="A101">
        <v>642.43200000000002</v>
      </c>
      <c r="B101" s="7">
        <v>1.2477499999999999E-3</v>
      </c>
      <c r="C101" s="7">
        <v>2.6944499999999999E-4</v>
      </c>
      <c r="D101">
        <f t="shared" si="6"/>
        <v>85.048735600845191</v>
      </c>
      <c r="E101">
        <f t="shared" si="7"/>
        <v>107.75300130369754</v>
      </c>
      <c r="G101" s="7"/>
      <c r="H101" s="7"/>
      <c r="I101" s="6"/>
      <c r="J101" s="6"/>
      <c r="L101" s="7"/>
      <c r="M101" s="7"/>
      <c r="N101" s="6"/>
      <c r="O101" s="6"/>
      <c r="Q101">
        <f t="shared" si="10"/>
        <v>1.2477499999999999E-3</v>
      </c>
      <c r="R101">
        <f t="shared" si="10"/>
        <v>2.6944499999999999E-4</v>
      </c>
      <c r="T101">
        <f t="shared" si="8"/>
        <v>85.048735600845191</v>
      </c>
      <c r="U101">
        <f t="shared" si="8"/>
        <v>107.75300130369754</v>
      </c>
      <c r="W101">
        <f t="shared" si="9"/>
        <v>0</v>
      </c>
      <c r="X101">
        <f t="shared" si="9"/>
        <v>0</v>
      </c>
    </row>
    <row r="102" spans="1:24" x14ac:dyDescent="0.35">
      <c r="A102">
        <v>648.59</v>
      </c>
      <c r="B102" s="7">
        <v>1.27305E-3</v>
      </c>
      <c r="C102" s="7">
        <v>2.6986600000000001E-4</v>
      </c>
      <c r="D102">
        <f t="shared" si="6"/>
        <v>86.773226092290912</v>
      </c>
      <c r="E102">
        <f t="shared" si="7"/>
        <v>107.92136224395941</v>
      </c>
      <c r="G102" s="7"/>
      <c r="H102" s="7"/>
      <c r="I102" s="6"/>
      <c r="J102" s="6"/>
      <c r="L102" s="7"/>
      <c r="M102" s="7"/>
      <c r="N102" s="6"/>
      <c r="O102" s="6"/>
      <c r="Q102">
        <f t="shared" si="10"/>
        <v>1.27305E-3</v>
      </c>
      <c r="R102">
        <f t="shared" si="10"/>
        <v>2.6986600000000001E-4</v>
      </c>
      <c r="T102">
        <f t="shared" si="8"/>
        <v>86.773226092290912</v>
      </c>
      <c r="U102">
        <f t="shared" si="8"/>
        <v>107.92136224395941</v>
      </c>
      <c r="W102">
        <f t="shared" si="9"/>
        <v>0</v>
      </c>
      <c r="X102">
        <f t="shared" si="9"/>
        <v>0</v>
      </c>
    </row>
    <row r="103" spans="1:24" x14ac:dyDescent="0.35">
      <c r="A103">
        <v>654.86</v>
      </c>
      <c r="B103" s="7">
        <v>1.29546E-3</v>
      </c>
      <c r="C103" s="7">
        <v>2.7421999999999999E-4</v>
      </c>
      <c r="D103">
        <f t="shared" si="6"/>
        <v>88.300729329970679</v>
      </c>
      <c r="E103">
        <f t="shared" si="7"/>
        <v>109.66255828647753</v>
      </c>
      <c r="G103" s="7"/>
      <c r="H103" s="7"/>
      <c r="I103" s="6"/>
      <c r="J103" s="6"/>
      <c r="L103" s="7"/>
      <c r="M103" s="7"/>
      <c r="N103" s="6"/>
      <c r="O103" s="6"/>
      <c r="Q103">
        <f t="shared" si="10"/>
        <v>1.29546E-3</v>
      </c>
      <c r="R103">
        <f t="shared" si="10"/>
        <v>2.7421999999999999E-4</v>
      </c>
      <c r="T103">
        <f t="shared" si="8"/>
        <v>88.300729329970679</v>
      </c>
      <c r="U103">
        <f t="shared" si="8"/>
        <v>109.66255828647753</v>
      </c>
      <c r="W103">
        <f t="shared" si="9"/>
        <v>0</v>
      </c>
      <c r="X103">
        <f t="shared" si="9"/>
        <v>0</v>
      </c>
    </row>
    <row r="104" spans="1:24" x14ac:dyDescent="0.35">
      <c r="A104">
        <v>661.11800000000005</v>
      </c>
      <c r="B104" s="7">
        <v>1.32362E-3</v>
      </c>
      <c r="C104" s="7">
        <v>2.7848899999999998E-4</v>
      </c>
      <c r="D104">
        <f t="shared" si="6"/>
        <v>90.220162224797221</v>
      </c>
      <c r="E104">
        <f t="shared" si="7"/>
        <v>111.36976221516608</v>
      </c>
      <c r="G104" s="7"/>
      <c r="H104" s="7"/>
      <c r="I104" s="6"/>
      <c r="J104" s="6"/>
      <c r="L104" s="7"/>
      <c r="M104" s="7"/>
      <c r="N104" s="6"/>
      <c r="O104" s="6"/>
      <c r="Q104">
        <f t="shared" si="10"/>
        <v>1.32362E-3</v>
      </c>
      <c r="R104">
        <f t="shared" si="10"/>
        <v>2.7848899999999998E-4</v>
      </c>
      <c r="T104">
        <f t="shared" si="8"/>
        <v>90.220162224797221</v>
      </c>
      <c r="U104">
        <f t="shared" si="8"/>
        <v>111.36976221516608</v>
      </c>
      <c r="W104">
        <f t="shared" si="9"/>
        <v>0</v>
      </c>
      <c r="X104">
        <f t="shared" si="9"/>
        <v>0</v>
      </c>
    </row>
    <row r="105" spans="1:24" x14ac:dyDescent="0.35">
      <c r="A105">
        <v>667.221</v>
      </c>
      <c r="B105" s="7">
        <v>1.3511599999999999E-3</v>
      </c>
      <c r="C105" s="7">
        <v>2.7931899999999999E-4</v>
      </c>
      <c r="D105">
        <f t="shared" si="6"/>
        <v>92.097334878331395</v>
      </c>
      <c r="E105">
        <f t="shared" si="7"/>
        <v>111.7016852090315</v>
      </c>
      <c r="G105" s="7"/>
      <c r="H105" s="7"/>
      <c r="I105" s="6"/>
      <c r="J105" s="6"/>
      <c r="L105" s="7"/>
      <c r="M105" s="7"/>
      <c r="N105" s="6"/>
      <c r="O105" s="6"/>
      <c r="Q105">
        <f t="shared" si="10"/>
        <v>1.3511599999999999E-3</v>
      </c>
      <c r="R105">
        <f t="shared" si="10"/>
        <v>2.7931899999999999E-4</v>
      </c>
      <c r="T105">
        <f t="shared" si="8"/>
        <v>92.097334878331395</v>
      </c>
      <c r="U105">
        <f t="shared" si="8"/>
        <v>111.7016852090315</v>
      </c>
      <c r="W105">
        <f t="shared" si="9"/>
        <v>0</v>
      </c>
      <c r="X105">
        <f t="shared" si="9"/>
        <v>0</v>
      </c>
    </row>
    <row r="106" spans="1:24" x14ac:dyDescent="0.35">
      <c r="A106">
        <v>673.51599999999996</v>
      </c>
      <c r="B106" s="7">
        <v>1.3746100000000001E-3</v>
      </c>
      <c r="C106" s="7">
        <v>2.8175699999999999E-4</v>
      </c>
      <c r="D106">
        <f t="shared" si="6"/>
        <v>93.695726262695118</v>
      </c>
      <c r="E106">
        <f t="shared" si="7"/>
        <v>112.67665901510848</v>
      </c>
      <c r="G106" s="7"/>
      <c r="H106" s="7"/>
      <c r="I106" s="6"/>
      <c r="J106" s="6"/>
      <c r="L106" s="7"/>
      <c r="M106" s="7"/>
      <c r="N106" s="6"/>
      <c r="O106" s="6"/>
      <c r="Q106">
        <f t="shared" si="10"/>
        <v>1.3746100000000001E-3</v>
      </c>
      <c r="R106">
        <f t="shared" si="10"/>
        <v>2.8175699999999999E-4</v>
      </c>
      <c r="T106">
        <f t="shared" si="8"/>
        <v>93.695726262695118</v>
      </c>
      <c r="U106">
        <f t="shared" si="8"/>
        <v>112.67665901510848</v>
      </c>
      <c r="W106">
        <f t="shared" si="9"/>
        <v>0</v>
      </c>
      <c r="X106">
        <f t="shared" si="9"/>
        <v>0</v>
      </c>
    </row>
    <row r="107" spans="1:24" x14ac:dyDescent="0.35">
      <c r="A107">
        <v>679.74</v>
      </c>
      <c r="B107" s="7">
        <v>1.39404E-3</v>
      </c>
      <c r="C107" s="7">
        <v>2.9098299999999998E-4</v>
      </c>
      <c r="D107">
        <f t="shared" si="6"/>
        <v>95.020107695453618</v>
      </c>
      <c r="E107">
        <f t="shared" si="7"/>
        <v>116.3662030408945</v>
      </c>
      <c r="G107" s="7"/>
      <c r="H107" s="7"/>
      <c r="I107" s="6"/>
      <c r="J107" s="6"/>
      <c r="L107" s="7"/>
      <c r="M107" s="7"/>
      <c r="N107" s="6"/>
      <c r="O107" s="6"/>
      <c r="Q107">
        <f t="shared" si="10"/>
        <v>1.39404E-3</v>
      </c>
      <c r="R107">
        <f t="shared" si="10"/>
        <v>2.9098299999999998E-4</v>
      </c>
      <c r="T107">
        <f t="shared" si="8"/>
        <v>95.020107695453618</v>
      </c>
      <c r="U107">
        <f t="shared" si="8"/>
        <v>116.3662030408945</v>
      </c>
      <c r="W107">
        <f t="shared" si="9"/>
        <v>0</v>
      </c>
      <c r="X107">
        <f t="shared" si="9"/>
        <v>0</v>
      </c>
    </row>
    <row r="108" spans="1:24" x14ac:dyDescent="0.35">
      <c r="A108">
        <v>685.89499999999998</v>
      </c>
      <c r="B108" s="7">
        <v>1.42197E-3</v>
      </c>
      <c r="C108" s="7">
        <v>2.9155099999999997E-4</v>
      </c>
      <c r="D108">
        <f t="shared" si="6"/>
        <v>96.923863403994275</v>
      </c>
      <c r="E108">
        <f t="shared" si="7"/>
        <v>116.59335034272047</v>
      </c>
      <c r="G108" s="7"/>
      <c r="H108" s="7"/>
      <c r="I108" s="6"/>
      <c r="J108" s="6"/>
      <c r="L108" s="7"/>
      <c r="M108" s="7"/>
      <c r="N108" s="6"/>
      <c r="O108" s="6"/>
      <c r="Q108">
        <f t="shared" si="10"/>
        <v>1.42197E-3</v>
      </c>
      <c r="R108">
        <f t="shared" si="10"/>
        <v>2.9155099999999997E-4</v>
      </c>
      <c r="T108">
        <f t="shared" si="8"/>
        <v>96.923863403994275</v>
      </c>
      <c r="U108">
        <f t="shared" si="8"/>
        <v>116.59335034272047</v>
      </c>
      <c r="W108">
        <f t="shared" si="9"/>
        <v>0</v>
      </c>
      <c r="X108">
        <f t="shared" si="9"/>
        <v>0</v>
      </c>
    </row>
    <row r="109" spans="1:24" x14ac:dyDescent="0.35">
      <c r="A109">
        <v>692.197</v>
      </c>
      <c r="B109" s="7">
        <v>1.4488999999999999E-3</v>
      </c>
      <c r="C109" s="7">
        <v>2.93119E-4</v>
      </c>
      <c r="D109">
        <f t="shared" si="6"/>
        <v>98.759457433031145</v>
      </c>
      <c r="E109">
        <f t="shared" si="7"/>
        <v>117.22040486607108</v>
      </c>
      <c r="G109" s="7"/>
      <c r="H109" s="7"/>
      <c r="I109" s="6"/>
      <c r="J109" s="6"/>
      <c r="L109" s="7"/>
      <c r="M109" s="7"/>
      <c r="N109" s="6"/>
      <c r="O109" s="6"/>
      <c r="Q109">
        <f t="shared" si="10"/>
        <v>1.4488999999999999E-3</v>
      </c>
      <c r="R109">
        <f t="shared" si="10"/>
        <v>2.93119E-4</v>
      </c>
      <c r="T109">
        <f t="shared" si="8"/>
        <v>98.759457433031145</v>
      </c>
      <c r="U109">
        <f t="shared" si="8"/>
        <v>117.22040486607108</v>
      </c>
      <c r="W109">
        <f t="shared" si="9"/>
        <v>0</v>
      </c>
      <c r="X109">
        <f t="shared" si="9"/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AA16-117D-49B7-8E73-3A60EF6FE091}">
  <dimension ref="A1:X109"/>
  <sheetViews>
    <sheetView zoomScaleNormal="100" workbookViewId="0">
      <selection activeCell="T1" sqref="T1:X1048576"/>
    </sheetView>
  </sheetViews>
  <sheetFormatPr defaultColWidth="8.81640625" defaultRowHeight="14.5" x14ac:dyDescent="0.35"/>
  <cols>
    <col min="1" max="1" width="9.453125" bestFit="1" customWidth="1"/>
    <col min="2" max="3" width="12.453125" bestFit="1" customWidth="1"/>
    <col min="4" max="5" width="12.453125" customWidth="1"/>
    <col min="7" max="8" width="12.1796875" bestFit="1" customWidth="1"/>
    <col min="9" max="10" width="12.1796875" customWidth="1"/>
    <col min="12" max="13" width="11.81640625" bestFit="1" customWidth="1"/>
    <col min="14" max="15" width="11.81640625" customWidth="1"/>
    <col min="16" max="16" width="8.81640625" style="1"/>
    <col min="17" max="18" width="11.81640625" bestFit="1" customWidth="1"/>
    <col min="20" max="21" width="11.81640625" bestFit="1" customWidth="1"/>
    <col min="23" max="24" width="9.453125" bestFit="1" customWidth="1"/>
    <col min="26" max="27" width="11.81640625" bestFit="1" customWidth="1"/>
  </cols>
  <sheetData>
    <row r="1" spans="1:24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L1" t="s">
        <v>0</v>
      </c>
      <c r="M1" t="s">
        <v>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L2" t="s">
        <v>2</v>
      </c>
      <c r="M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6.2696399999999999</v>
      </c>
      <c r="B3">
        <v>3.9751499999999998E-4</v>
      </c>
      <c r="C3">
        <v>9.6845300000000006E-5</v>
      </c>
      <c r="D3">
        <f>B3/$B$3*100</f>
        <v>100</v>
      </c>
      <c r="E3">
        <f>C3/$C$3*100</f>
        <v>100</v>
      </c>
      <c r="Q3">
        <f t="shared" ref="Q3:Q34" si="0">AVERAGE(B3,G3,L3)</f>
        <v>3.9751499999999998E-4</v>
      </c>
      <c r="R3">
        <f t="shared" ref="R3:R34" si="1">AVERAGE(C3,H3,M3)</f>
        <v>9.6845300000000006E-5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12.3698</v>
      </c>
      <c r="B4">
        <v>3.9770199999999999E-4</v>
      </c>
      <c r="C4">
        <v>9.6373700000000002E-5</v>
      </c>
      <c r="D4">
        <f t="shared" ref="D4:D67" si="2">B4/$B$3*100</f>
        <v>100.04704224997801</v>
      </c>
      <c r="E4">
        <f t="shared" ref="E4:E67" si="3">C4/$C$3*100</f>
        <v>99.513037803589839</v>
      </c>
      <c r="Q4">
        <f t="shared" si="0"/>
        <v>3.9770199999999999E-4</v>
      </c>
      <c r="R4">
        <f t="shared" si="1"/>
        <v>9.6373700000000002E-5</v>
      </c>
      <c r="T4">
        <f t="shared" ref="T4:U67" si="4">AVERAGE(D4,I4,N4)</f>
        <v>100.04704224997801</v>
      </c>
      <c r="U4">
        <f t="shared" si="4"/>
        <v>99.513037803589839</v>
      </c>
      <c r="W4">
        <f t="shared" ref="W4:X67" si="5">_xlfn.STDEV.P(D4,I4,N4)</f>
        <v>0</v>
      </c>
      <c r="X4">
        <f t="shared" si="5"/>
        <v>0</v>
      </c>
    </row>
    <row r="5" spans="1:24" x14ac:dyDescent="0.35">
      <c r="A5">
        <v>18.654</v>
      </c>
      <c r="B5">
        <v>3.9857899999999998E-4</v>
      </c>
      <c r="C5">
        <v>9.6118299999999998E-5</v>
      </c>
      <c r="D5">
        <f t="shared" si="2"/>
        <v>100.26766285548973</v>
      </c>
      <c r="E5">
        <f t="shared" si="3"/>
        <v>99.249318242599273</v>
      </c>
      <c r="Q5">
        <f t="shared" si="0"/>
        <v>3.9857899999999998E-4</v>
      </c>
      <c r="R5">
        <f t="shared" si="1"/>
        <v>9.6118299999999998E-5</v>
      </c>
      <c r="T5">
        <f t="shared" si="4"/>
        <v>100.26766285548973</v>
      </c>
      <c r="U5">
        <f t="shared" si="4"/>
        <v>99.249318242599273</v>
      </c>
      <c r="W5">
        <f t="shared" si="5"/>
        <v>0</v>
      </c>
      <c r="X5">
        <f t="shared" si="5"/>
        <v>0</v>
      </c>
    </row>
    <row r="6" spans="1:24" x14ac:dyDescent="0.35">
      <c r="A6">
        <v>24.779599999999999</v>
      </c>
      <c r="B6">
        <v>3.9923699999999999E-4</v>
      </c>
      <c r="C6">
        <v>9.6280599999999994E-5</v>
      </c>
      <c r="D6">
        <f t="shared" si="2"/>
        <v>100.43319120033208</v>
      </c>
      <c r="E6">
        <f t="shared" si="3"/>
        <v>99.416905105358751</v>
      </c>
      <c r="Q6">
        <f t="shared" si="0"/>
        <v>3.9923699999999999E-4</v>
      </c>
      <c r="R6">
        <f t="shared" si="1"/>
        <v>9.6280599999999994E-5</v>
      </c>
      <c r="T6">
        <f t="shared" si="4"/>
        <v>100.43319120033208</v>
      </c>
      <c r="U6">
        <f t="shared" si="4"/>
        <v>99.416905105358751</v>
      </c>
      <c r="W6">
        <f t="shared" si="5"/>
        <v>0</v>
      </c>
      <c r="X6">
        <f t="shared" si="5"/>
        <v>0</v>
      </c>
    </row>
    <row r="7" spans="1:24" x14ac:dyDescent="0.35">
      <c r="A7">
        <v>31.0945</v>
      </c>
      <c r="B7">
        <v>4.0063000000000002E-4</v>
      </c>
      <c r="C7">
        <v>9.4895400000000006E-5</v>
      </c>
      <c r="D7">
        <f t="shared" si="2"/>
        <v>100.78361822824297</v>
      </c>
      <c r="E7">
        <f t="shared" si="3"/>
        <v>97.986582725232921</v>
      </c>
      <c r="Q7">
        <f t="shared" si="0"/>
        <v>4.0063000000000002E-4</v>
      </c>
      <c r="R7">
        <f t="shared" si="1"/>
        <v>9.4895400000000006E-5</v>
      </c>
      <c r="T7">
        <f t="shared" si="4"/>
        <v>100.78361822824297</v>
      </c>
      <c r="U7">
        <f t="shared" si="4"/>
        <v>97.986582725232921</v>
      </c>
      <c r="W7">
        <f t="shared" si="5"/>
        <v>0</v>
      </c>
      <c r="X7">
        <f t="shared" si="5"/>
        <v>0</v>
      </c>
    </row>
    <row r="8" spans="1:24" x14ac:dyDescent="0.35">
      <c r="A8">
        <v>37.161900000000003</v>
      </c>
      <c r="B8">
        <v>3.99851E-4</v>
      </c>
      <c r="C8">
        <v>9.6006000000000002E-5</v>
      </c>
      <c r="D8">
        <f t="shared" si="2"/>
        <v>100.58765078047369</v>
      </c>
      <c r="E8">
        <f t="shared" si="3"/>
        <v>99.133360111435451</v>
      </c>
      <c r="Q8">
        <f t="shared" si="0"/>
        <v>3.99851E-4</v>
      </c>
      <c r="R8">
        <f t="shared" si="1"/>
        <v>9.6006000000000002E-5</v>
      </c>
      <c r="T8">
        <f t="shared" si="4"/>
        <v>100.58765078047369</v>
      </c>
      <c r="U8">
        <f t="shared" si="4"/>
        <v>99.133360111435451</v>
      </c>
      <c r="W8">
        <f t="shared" si="5"/>
        <v>0</v>
      </c>
      <c r="X8">
        <f t="shared" si="5"/>
        <v>0</v>
      </c>
    </row>
    <row r="9" spans="1:24" x14ac:dyDescent="0.35">
      <c r="A9">
        <v>43.441699999999997</v>
      </c>
      <c r="B9">
        <v>3.9958799999999998E-4</v>
      </c>
      <c r="C9">
        <v>9.6232500000000004E-5</v>
      </c>
      <c r="D9">
        <f t="shared" si="2"/>
        <v>100.52148975510357</v>
      </c>
      <c r="E9">
        <f t="shared" si="3"/>
        <v>99.367238265563742</v>
      </c>
      <c r="Q9">
        <f t="shared" si="0"/>
        <v>3.9958799999999998E-4</v>
      </c>
      <c r="R9">
        <f t="shared" si="1"/>
        <v>9.6232500000000004E-5</v>
      </c>
      <c r="T9">
        <f t="shared" si="4"/>
        <v>100.52148975510357</v>
      </c>
      <c r="U9">
        <f t="shared" si="4"/>
        <v>99.367238265563742</v>
      </c>
      <c r="W9">
        <f t="shared" si="5"/>
        <v>0</v>
      </c>
      <c r="X9">
        <f t="shared" si="5"/>
        <v>0</v>
      </c>
    </row>
    <row r="10" spans="1:24" x14ac:dyDescent="0.35">
      <c r="A10">
        <v>49.671799999999998</v>
      </c>
      <c r="B10">
        <v>4.0073499999999999E-4</v>
      </c>
      <c r="C10">
        <v>9.5811700000000003E-5</v>
      </c>
      <c r="D10">
        <f t="shared" si="2"/>
        <v>100.8100323258242</v>
      </c>
      <c r="E10">
        <f t="shared" si="3"/>
        <v>98.932730860454768</v>
      </c>
      <c r="Q10">
        <f t="shared" si="0"/>
        <v>4.0073499999999999E-4</v>
      </c>
      <c r="R10">
        <f t="shared" si="1"/>
        <v>9.5811700000000003E-5</v>
      </c>
      <c r="T10">
        <f t="shared" si="4"/>
        <v>100.8100323258242</v>
      </c>
      <c r="U10">
        <f t="shared" si="4"/>
        <v>98.932730860454768</v>
      </c>
      <c r="W10">
        <f t="shared" si="5"/>
        <v>0</v>
      </c>
      <c r="X10">
        <f t="shared" si="5"/>
        <v>0</v>
      </c>
    </row>
    <row r="11" spans="1:24" x14ac:dyDescent="0.35">
      <c r="A11">
        <v>55.927799999999998</v>
      </c>
      <c r="B11">
        <v>4.0163999999999998E-4</v>
      </c>
      <c r="C11">
        <v>9.5553100000000005E-5</v>
      </c>
      <c r="D11">
        <f t="shared" si="2"/>
        <v>101.03769669069092</v>
      </c>
      <c r="E11">
        <f t="shared" si="3"/>
        <v>98.665707060642077</v>
      </c>
      <c r="Q11">
        <f t="shared" si="0"/>
        <v>4.0163999999999998E-4</v>
      </c>
      <c r="R11">
        <f t="shared" si="1"/>
        <v>9.5553100000000005E-5</v>
      </c>
      <c r="T11">
        <f t="shared" si="4"/>
        <v>101.03769669069092</v>
      </c>
      <c r="U11">
        <f t="shared" si="4"/>
        <v>98.665707060642077</v>
      </c>
      <c r="W11">
        <f t="shared" si="5"/>
        <v>0</v>
      </c>
      <c r="X11">
        <f t="shared" si="5"/>
        <v>0</v>
      </c>
    </row>
    <row r="12" spans="1:24" x14ac:dyDescent="0.35">
      <c r="A12">
        <v>62.031100000000002</v>
      </c>
      <c r="B12">
        <v>4.0168199999999999E-4</v>
      </c>
      <c r="C12">
        <v>9.5574600000000005E-5</v>
      </c>
      <c r="D12">
        <f t="shared" si="2"/>
        <v>101.04826232972341</v>
      </c>
      <c r="E12">
        <f t="shared" si="3"/>
        <v>98.68790741522821</v>
      </c>
      <c r="Q12">
        <f t="shared" si="0"/>
        <v>4.0168199999999999E-4</v>
      </c>
      <c r="R12">
        <f t="shared" si="1"/>
        <v>9.5574600000000005E-5</v>
      </c>
      <c r="T12">
        <f t="shared" si="4"/>
        <v>101.04826232972341</v>
      </c>
      <c r="U12">
        <f t="shared" si="4"/>
        <v>98.68790741522821</v>
      </c>
      <c r="W12">
        <f t="shared" si="5"/>
        <v>0</v>
      </c>
      <c r="X12">
        <f t="shared" si="5"/>
        <v>0</v>
      </c>
    </row>
    <row r="13" spans="1:24" x14ac:dyDescent="0.35">
      <c r="A13">
        <v>68.213200000000001</v>
      </c>
      <c r="B13">
        <v>4.02051E-4</v>
      </c>
      <c r="C13">
        <v>9.5442500000000006E-5</v>
      </c>
      <c r="D13">
        <f t="shared" si="2"/>
        <v>101.14108901550884</v>
      </c>
      <c r="E13">
        <f t="shared" si="3"/>
        <v>98.551504306352498</v>
      </c>
      <c r="Q13">
        <f t="shared" si="0"/>
        <v>4.02051E-4</v>
      </c>
      <c r="R13">
        <f t="shared" si="1"/>
        <v>9.5442500000000006E-5</v>
      </c>
      <c r="T13">
        <f t="shared" si="4"/>
        <v>101.14108901550884</v>
      </c>
      <c r="U13">
        <f t="shared" si="4"/>
        <v>98.551504306352498</v>
      </c>
      <c r="W13">
        <f t="shared" si="5"/>
        <v>0</v>
      </c>
      <c r="X13">
        <f t="shared" si="5"/>
        <v>0</v>
      </c>
    </row>
    <row r="14" spans="1:24" x14ac:dyDescent="0.35">
      <c r="A14">
        <v>74.461600000000004</v>
      </c>
      <c r="B14">
        <v>4.0253899999999999E-4</v>
      </c>
      <c r="C14">
        <v>9.5275399999999999E-5</v>
      </c>
      <c r="D14">
        <f t="shared" si="2"/>
        <v>101.26385167855301</v>
      </c>
      <c r="E14">
        <f t="shared" si="3"/>
        <v>98.378961085359833</v>
      </c>
      <c r="Q14">
        <f t="shared" si="0"/>
        <v>4.0253899999999999E-4</v>
      </c>
      <c r="R14">
        <f t="shared" si="1"/>
        <v>9.5275399999999999E-5</v>
      </c>
      <c r="T14">
        <f t="shared" si="4"/>
        <v>101.26385167855301</v>
      </c>
      <c r="U14">
        <f t="shared" si="4"/>
        <v>98.378961085359833</v>
      </c>
      <c r="W14">
        <f t="shared" si="5"/>
        <v>0</v>
      </c>
      <c r="X14">
        <f t="shared" si="5"/>
        <v>0</v>
      </c>
    </row>
    <row r="15" spans="1:24" x14ac:dyDescent="0.35">
      <c r="A15">
        <v>80.745000000000005</v>
      </c>
      <c r="B15">
        <v>4.0297100000000001E-4</v>
      </c>
      <c r="C15">
        <v>9.5118999999999995E-5</v>
      </c>
      <c r="D15">
        <f t="shared" si="2"/>
        <v>101.3725268228872</v>
      </c>
      <c r="E15">
        <f t="shared" si="3"/>
        <v>98.217466412928644</v>
      </c>
      <c r="Q15">
        <f t="shared" si="0"/>
        <v>4.0297100000000001E-4</v>
      </c>
      <c r="R15">
        <f t="shared" si="1"/>
        <v>9.5118999999999995E-5</v>
      </c>
      <c r="T15">
        <f t="shared" si="4"/>
        <v>101.3725268228872</v>
      </c>
      <c r="U15">
        <f t="shared" si="4"/>
        <v>98.217466412928644</v>
      </c>
      <c r="W15">
        <f t="shared" si="5"/>
        <v>0</v>
      </c>
      <c r="X15">
        <f t="shared" si="5"/>
        <v>0</v>
      </c>
    </row>
    <row r="16" spans="1:24" x14ac:dyDescent="0.35">
      <c r="A16">
        <v>86.833600000000004</v>
      </c>
      <c r="B16">
        <v>4.0325400000000003E-4</v>
      </c>
      <c r="C16">
        <v>9.5349599999999999E-5</v>
      </c>
      <c r="D16">
        <f t="shared" si="2"/>
        <v>101.44371910493946</v>
      </c>
      <c r="E16">
        <f t="shared" si="3"/>
        <v>98.455578123047786</v>
      </c>
      <c r="Q16">
        <f t="shared" si="0"/>
        <v>4.0325400000000003E-4</v>
      </c>
      <c r="R16">
        <f t="shared" si="1"/>
        <v>9.5349599999999999E-5</v>
      </c>
      <c r="T16">
        <f t="shared" si="4"/>
        <v>101.44371910493946</v>
      </c>
      <c r="U16">
        <f t="shared" si="4"/>
        <v>98.455578123047786</v>
      </c>
      <c r="W16">
        <f t="shared" si="5"/>
        <v>0</v>
      </c>
      <c r="X16">
        <f t="shared" si="5"/>
        <v>0</v>
      </c>
    </row>
    <row r="17" spans="1:24" x14ac:dyDescent="0.35">
      <c r="A17">
        <v>93.167199999999994</v>
      </c>
      <c r="B17">
        <v>4.03776E-4</v>
      </c>
      <c r="C17">
        <v>9.5126100000000004E-5</v>
      </c>
      <c r="D17">
        <f t="shared" si="2"/>
        <v>101.57503490434323</v>
      </c>
      <c r="E17">
        <f t="shared" si="3"/>
        <v>98.22479769281523</v>
      </c>
      <c r="Q17">
        <f t="shared" si="0"/>
        <v>4.03776E-4</v>
      </c>
      <c r="R17">
        <f t="shared" si="1"/>
        <v>9.5126100000000004E-5</v>
      </c>
      <c r="T17">
        <f t="shared" si="4"/>
        <v>101.57503490434323</v>
      </c>
      <c r="U17">
        <f t="shared" si="4"/>
        <v>98.22479769281523</v>
      </c>
      <c r="W17">
        <f t="shared" si="5"/>
        <v>0</v>
      </c>
      <c r="X17">
        <f t="shared" si="5"/>
        <v>0</v>
      </c>
    </row>
    <row r="18" spans="1:24" x14ac:dyDescent="0.35">
      <c r="A18">
        <v>99.287099999999995</v>
      </c>
      <c r="B18">
        <v>4.0380599999999999E-4</v>
      </c>
      <c r="C18">
        <v>9.5242300000000001E-5</v>
      </c>
      <c r="D18">
        <f t="shared" si="2"/>
        <v>101.58258178936643</v>
      </c>
      <c r="E18">
        <f t="shared" si="3"/>
        <v>98.344782865043527</v>
      </c>
      <c r="Q18">
        <f t="shared" si="0"/>
        <v>4.0380599999999999E-4</v>
      </c>
      <c r="R18">
        <f t="shared" si="1"/>
        <v>9.5242300000000001E-5</v>
      </c>
      <c r="T18">
        <f t="shared" si="4"/>
        <v>101.58258178936643</v>
      </c>
      <c r="U18">
        <f t="shared" si="4"/>
        <v>98.344782865043527</v>
      </c>
      <c r="W18">
        <f t="shared" si="5"/>
        <v>0</v>
      </c>
      <c r="X18">
        <f t="shared" si="5"/>
        <v>0</v>
      </c>
    </row>
    <row r="19" spans="1:24" x14ac:dyDescent="0.35">
      <c r="A19">
        <v>105.572</v>
      </c>
      <c r="B19">
        <v>4.0411700000000001E-4</v>
      </c>
      <c r="C19">
        <v>9.4810300000000003E-5</v>
      </c>
      <c r="D19">
        <f t="shared" si="2"/>
        <v>101.66081783077369</v>
      </c>
      <c r="E19">
        <f t="shared" si="3"/>
        <v>97.898710624057131</v>
      </c>
      <c r="Q19">
        <f t="shared" si="0"/>
        <v>4.0411700000000001E-4</v>
      </c>
      <c r="R19">
        <f t="shared" si="1"/>
        <v>9.4810300000000003E-5</v>
      </c>
      <c r="T19">
        <f t="shared" si="4"/>
        <v>101.66081783077369</v>
      </c>
      <c r="U19">
        <f t="shared" si="4"/>
        <v>97.898710624057131</v>
      </c>
      <c r="W19">
        <f t="shared" si="5"/>
        <v>0</v>
      </c>
      <c r="X19">
        <f t="shared" si="5"/>
        <v>0</v>
      </c>
    </row>
    <row r="20" spans="1:24" x14ac:dyDescent="0.35">
      <c r="A20">
        <v>111.81699999999999</v>
      </c>
      <c r="B20">
        <v>4.04337E-4</v>
      </c>
      <c r="C20">
        <v>9.4794400000000002E-5</v>
      </c>
      <c r="D20">
        <f t="shared" si="2"/>
        <v>101.71616165427719</v>
      </c>
      <c r="E20">
        <f t="shared" si="3"/>
        <v>97.882292687409716</v>
      </c>
      <c r="Q20">
        <f t="shared" si="0"/>
        <v>4.04337E-4</v>
      </c>
      <c r="R20">
        <f t="shared" si="1"/>
        <v>9.4794400000000002E-5</v>
      </c>
      <c r="T20">
        <f t="shared" si="4"/>
        <v>101.71616165427719</v>
      </c>
      <c r="U20">
        <f t="shared" si="4"/>
        <v>97.882292687409716</v>
      </c>
      <c r="W20">
        <f t="shared" si="5"/>
        <v>0</v>
      </c>
      <c r="X20">
        <f t="shared" si="5"/>
        <v>0</v>
      </c>
    </row>
    <row r="21" spans="1:24" x14ac:dyDescent="0.35">
      <c r="A21">
        <v>117.977</v>
      </c>
      <c r="B21">
        <v>4.0462400000000002E-4</v>
      </c>
      <c r="C21">
        <v>9.4825499999999995E-5</v>
      </c>
      <c r="D21">
        <f t="shared" si="2"/>
        <v>101.78836018766589</v>
      </c>
      <c r="E21">
        <f t="shared" si="3"/>
        <v>97.914405758462195</v>
      </c>
      <c r="Q21">
        <f t="shared" si="0"/>
        <v>4.0462400000000002E-4</v>
      </c>
      <c r="R21">
        <f t="shared" si="1"/>
        <v>9.4825499999999995E-5</v>
      </c>
      <c r="T21">
        <f t="shared" si="4"/>
        <v>101.78836018766589</v>
      </c>
      <c r="U21">
        <f t="shared" si="4"/>
        <v>97.914405758462195</v>
      </c>
      <c r="W21">
        <f t="shared" si="5"/>
        <v>0</v>
      </c>
      <c r="X21">
        <f t="shared" si="5"/>
        <v>0</v>
      </c>
    </row>
    <row r="22" spans="1:24" x14ac:dyDescent="0.35">
      <c r="A22">
        <v>124.10599999999999</v>
      </c>
      <c r="B22">
        <v>4.0481700000000002E-4</v>
      </c>
      <c r="C22">
        <v>9.4643900000000004E-5</v>
      </c>
      <c r="D22">
        <f t="shared" si="2"/>
        <v>101.83691181464852</v>
      </c>
      <c r="E22">
        <f t="shared" si="3"/>
        <v>97.726890205306816</v>
      </c>
      <c r="Q22">
        <f t="shared" si="0"/>
        <v>4.0481700000000002E-4</v>
      </c>
      <c r="R22">
        <f t="shared" si="1"/>
        <v>9.4643900000000004E-5</v>
      </c>
      <c r="T22">
        <f t="shared" si="4"/>
        <v>101.83691181464852</v>
      </c>
      <c r="U22">
        <f t="shared" si="4"/>
        <v>97.726890205306816</v>
      </c>
      <c r="W22">
        <f t="shared" si="5"/>
        <v>0</v>
      </c>
      <c r="X22">
        <f t="shared" si="5"/>
        <v>0</v>
      </c>
    </row>
    <row r="23" spans="1:24" x14ac:dyDescent="0.35">
      <c r="A23">
        <v>130.37799999999999</v>
      </c>
      <c r="B23">
        <v>4.0493799999999998E-4</v>
      </c>
      <c r="C23">
        <v>9.4698999999999996E-5</v>
      </c>
      <c r="D23">
        <f t="shared" si="2"/>
        <v>101.86735091757544</v>
      </c>
      <c r="E23">
        <f t="shared" si="3"/>
        <v>97.783785067525201</v>
      </c>
      <c r="Q23">
        <f t="shared" si="0"/>
        <v>4.0493799999999998E-4</v>
      </c>
      <c r="R23">
        <f t="shared" si="1"/>
        <v>9.4698999999999996E-5</v>
      </c>
      <c r="T23">
        <f t="shared" si="4"/>
        <v>101.86735091757544</v>
      </c>
      <c r="U23">
        <f t="shared" si="4"/>
        <v>97.783785067525201</v>
      </c>
      <c r="W23">
        <f t="shared" si="5"/>
        <v>0</v>
      </c>
      <c r="X23">
        <f t="shared" si="5"/>
        <v>0</v>
      </c>
    </row>
    <row r="24" spans="1:24" x14ac:dyDescent="0.35">
      <c r="A24">
        <v>136.60400000000001</v>
      </c>
      <c r="B24">
        <v>4.0497200000000003E-4</v>
      </c>
      <c r="C24">
        <v>9.4741599999999994E-5</v>
      </c>
      <c r="D24">
        <f t="shared" si="2"/>
        <v>101.87590405393507</v>
      </c>
      <c r="E24">
        <f t="shared" si="3"/>
        <v>97.827772746844701</v>
      </c>
      <c r="Q24">
        <f t="shared" si="0"/>
        <v>4.0497200000000003E-4</v>
      </c>
      <c r="R24">
        <f t="shared" si="1"/>
        <v>9.4741599999999994E-5</v>
      </c>
      <c r="T24">
        <f t="shared" si="4"/>
        <v>101.87590405393507</v>
      </c>
      <c r="U24">
        <f t="shared" si="4"/>
        <v>97.827772746844701</v>
      </c>
      <c r="W24">
        <f t="shared" si="5"/>
        <v>0</v>
      </c>
      <c r="X24">
        <f t="shared" si="5"/>
        <v>0</v>
      </c>
    </row>
    <row r="25" spans="1:24" x14ac:dyDescent="0.35">
      <c r="A25">
        <v>142.80099999999999</v>
      </c>
      <c r="B25">
        <v>4.0548500000000003E-4</v>
      </c>
      <c r="C25">
        <v>9.4609299999999996E-5</v>
      </c>
      <c r="D25">
        <f t="shared" si="2"/>
        <v>102.0049557878319</v>
      </c>
      <c r="E25">
        <f t="shared" si="3"/>
        <v>97.691163123042614</v>
      </c>
      <c r="Q25">
        <f t="shared" si="0"/>
        <v>4.0548500000000003E-4</v>
      </c>
      <c r="R25">
        <f t="shared" si="1"/>
        <v>9.4609299999999996E-5</v>
      </c>
      <c r="T25">
        <f t="shared" si="4"/>
        <v>102.0049557878319</v>
      </c>
      <c r="U25">
        <f t="shared" si="4"/>
        <v>97.691163123042614</v>
      </c>
      <c r="W25">
        <f t="shared" si="5"/>
        <v>0</v>
      </c>
      <c r="X25">
        <f t="shared" si="5"/>
        <v>0</v>
      </c>
    </row>
    <row r="26" spans="1:24" x14ac:dyDescent="0.35">
      <c r="A26">
        <v>148.94900000000001</v>
      </c>
      <c r="B26">
        <v>4.0566199999999999E-4</v>
      </c>
      <c r="C26">
        <v>9.4818499999999994E-5</v>
      </c>
      <c r="D26">
        <f t="shared" si="2"/>
        <v>102.04948240946882</v>
      </c>
      <c r="E26">
        <f t="shared" si="3"/>
        <v>97.907177736038804</v>
      </c>
      <c r="Q26">
        <f t="shared" si="0"/>
        <v>4.0566199999999999E-4</v>
      </c>
      <c r="R26">
        <f t="shared" si="1"/>
        <v>9.4818499999999994E-5</v>
      </c>
      <c r="T26">
        <f t="shared" si="4"/>
        <v>102.04948240946882</v>
      </c>
      <c r="U26">
        <f t="shared" si="4"/>
        <v>97.907177736038804</v>
      </c>
      <c r="W26">
        <f t="shared" si="5"/>
        <v>0</v>
      </c>
      <c r="X26">
        <f t="shared" si="5"/>
        <v>0</v>
      </c>
    </row>
    <row r="27" spans="1:24" x14ac:dyDescent="0.35">
      <c r="A27">
        <v>155.233</v>
      </c>
      <c r="B27">
        <v>4.0537499999999997E-4</v>
      </c>
      <c r="C27">
        <v>9.4157299999999994E-5</v>
      </c>
      <c r="D27">
        <f t="shared" si="2"/>
        <v>101.97728387608014</v>
      </c>
      <c r="E27">
        <f t="shared" si="3"/>
        <v>97.224439389417967</v>
      </c>
      <c r="Q27">
        <f t="shared" si="0"/>
        <v>4.0537499999999997E-4</v>
      </c>
      <c r="R27">
        <f t="shared" si="1"/>
        <v>9.4157299999999994E-5</v>
      </c>
      <c r="T27">
        <f t="shared" si="4"/>
        <v>101.97728387608014</v>
      </c>
      <c r="U27">
        <f t="shared" si="4"/>
        <v>97.224439389417967</v>
      </c>
      <c r="W27">
        <f t="shared" si="5"/>
        <v>0</v>
      </c>
      <c r="X27">
        <f t="shared" si="5"/>
        <v>0</v>
      </c>
    </row>
    <row r="28" spans="1:24" x14ac:dyDescent="0.35">
      <c r="A28">
        <v>161.44499999999999</v>
      </c>
      <c r="B28">
        <v>4.0559999999999999E-4</v>
      </c>
      <c r="C28">
        <v>9.4064600000000001E-5</v>
      </c>
      <c r="D28">
        <f t="shared" si="2"/>
        <v>102.03388551375421</v>
      </c>
      <c r="E28">
        <f t="shared" si="3"/>
        <v>97.12871972103963</v>
      </c>
      <c r="Q28">
        <f t="shared" si="0"/>
        <v>4.0559999999999999E-4</v>
      </c>
      <c r="R28">
        <f t="shared" si="1"/>
        <v>9.4064600000000001E-5</v>
      </c>
      <c r="T28">
        <f t="shared" si="4"/>
        <v>102.03388551375421</v>
      </c>
      <c r="U28">
        <f t="shared" si="4"/>
        <v>97.12871972103963</v>
      </c>
      <c r="W28">
        <f t="shared" si="5"/>
        <v>0</v>
      </c>
      <c r="X28">
        <f t="shared" si="5"/>
        <v>0</v>
      </c>
    </row>
    <row r="29" spans="1:24" x14ac:dyDescent="0.35">
      <c r="A29">
        <v>167.59</v>
      </c>
      <c r="B29">
        <v>4.05511E-4</v>
      </c>
      <c r="C29">
        <v>9.4497899999999995E-5</v>
      </c>
      <c r="D29">
        <f t="shared" si="2"/>
        <v>102.0114964215187</v>
      </c>
      <c r="E29">
        <f t="shared" si="3"/>
        <v>97.576134309047518</v>
      </c>
      <c r="Q29">
        <f t="shared" si="0"/>
        <v>4.05511E-4</v>
      </c>
      <c r="R29">
        <f t="shared" si="1"/>
        <v>9.4497899999999995E-5</v>
      </c>
      <c r="T29">
        <f t="shared" si="4"/>
        <v>102.0114964215187</v>
      </c>
      <c r="U29">
        <f t="shared" si="4"/>
        <v>97.576134309047518</v>
      </c>
      <c r="W29">
        <f t="shared" si="5"/>
        <v>0</v>
      </c>
      <c r="X29">
        <f t="shared" si="5"/>
        <v>0</v>
      </c>
    </row>
    <row r="30" spans="1:24" x14ac:dyDescent="0.35">
      <c r="A30">
        <v>173.74799999999999</v>
      </c>
      <c r="B30">
        <v>4.0597300000000001E-4</v>
      </c>
      <c r="C30">
        <v>9.4171499999999998E-5</v>
      </c>
      <c r="D30">
        <f t="shared" si="2"/>
        <v>102.12771845087607</v>
      </c>
      <c r="E30">
        <f t="shared" si="3"/>
        <v>97.239101949191124</v>
      </c>
      <c r="Q30">
        <f t="shared" si="0"/>
        <v>4.0597300000000001E-4</v>
      </c>
      <c r="R30">
        <f t="shared" si="1"/>
        <v>9.4171499999999998E-5</v>
      </c>
      <c r="T30">
        <f t="shared" si="4"/>
        <v>102.12771845087607</v>
      </c>
      <c r="U30">
        <f t="shared" si="4"/>
        <v>97.239101949191124</v>
      </c>
      <c r="W30">
        <f t="shared" si="5"/>
        <v>0</v>
      </c>
      <c r="X30">
        <f t="shared" si="5"/>
        <v>0</v>
      </c>
    </row>
    <row r="31" spans="1:24" x14ac:dyDescent="0.35">
      <c r="A31">
        <v>179.999</v>
      </c>
      <c r="B31">
        <v>4.0628099999999998E-4</v>
      </c>
      <c r="C31">
        <v>9.4262299999999994E-5</v>
      </c>
      <c r="D31">
        <f t="shared" si="2"/>
        <v>102.205199803781</v>
      </c>
      <c r="E31">
        <f t="shared" si="3"/>
        <v>97.332859725768813</v>
      </c>
      <c r="Q31">
        <f t="shared" si="0"/>
        <v>4.0628099999999998E-4</v>
      </c>
      <c r="R31">
        <f t="shared" si="1"/>
        <v>9.4262299999999994E-5</v>
      </c>
      <c r="T31">
        <f t="shared" si="4"/>
        <v>102.205199803781</v>
      </c>
      <c r="U31">
        <f t="shared" si="4"/>
        <v>97.332859725768813</v>
      </c>
      <c r="W31">
        <f t="shared" si="5"/>
        <v>0</v>
      </c>
      <c r="X31">
        <f t="shared" si="5"/>
        <v>0</v>
      </c>
    </row>
    <row r="32" spans="1:24" x14ac:dyDescent="0.35">
      <c r="A32">
        <v>193.20699999999999</v>
      </c>
      <c r="B32">
        <v>6.1311800000000001E-6</v>
      </c>
      <c r="C32">
        <v>1.96207E-5</v>
      </c>
      <c r="D32">
        <f t="shared" si="2"/>
        <v>1.5423770172194762</v>
      </c>
      <c r="E32">
        <f t="shared" si="3"/>
        <v>20.259837080374577</v>
      </c>
      <c r="Q32">
        <f t="shared" si="0"/>
        <v>6.1311800000000001E-6</v>
      </c>
      <c r="R32">
        <f t="shared" si="1"/>
        <v>1.96207E-5</v>
      </c>
      <c r="T32">
        <f t="shared" si="4"/>
        <v>1.5423770172194762</v>
      </c>
      <c r="U32">
        <f t="shared" si="4"/>
        <v>20.259837080374577</v>
      </c>
      <c r="W32">
        <f t="shared" si="5"/>
        <v>0</v>
      </c>
      <c r="X32">
        <f t="shared" si="5"/>
        <v>0</v>
      </c>
    </row>
    <row r="33" spans="1:24" x14ac:dyDescent="0.35">
      <c r="A33">
        <v>199.40899999999999</v>
      </c>
      <c r="B33">
        <v>5.9267899999999999E-6</v>
      </c>
      <c r="C33">
        <v>1.9366999999999999E-5</v>
      </c>
      <c r="D33">
        <f t="shared" si="2"/>
        <v>1.4909600895563691</v>
      </c>
      <c r="E33">
        <f t="shared" si="3"/>
        <v>19.997872896258258</v>
      </c>
      <c r="Q33">
        <f t="shared" si="0"/>
        <v>5.9267899999999999E-6</v>
      </c>
      <c r="R33">
        <f t="shared" si="1"/>
        <v>1.9366999999999999E-5</v>
      </c>
      <c r="T33">
        <f t="shared" si="4"/>
        <v>1.4909600895563691</v>
      </c>
      <c r="U33">
        <f t="shared" si="4"/>
        <v>19.997872896258258</v>
      </c>
      <c r="W33">
        <f t="shared" si="5"/>
        <v>0</v>
      </c>
      <c r="X33">
        <f t="shared" si="5"/>
        <v>0</v>
      </c>
    </row>
    <row r="34" spans="1:24" x14ac:dyDescent="0.35">
      <c r="A34">
        <v>205.65700000000001</v>
      </c>
      <c r="B34">
        <v>5.7553800000000003E-6</v>
      </c>
      <c r="C34">
        <v>1.91647E-5</v>
      </c>
      <c r="D34">
        <f t="shared" si="2"/>
        <v>1.4478397041621072</v>
      </c>
      <c r="E34">
        <f t="shared" si="3"/>
        <v>19.788983048222267</v>
      </c>
      <c r="Q34">
        <f t="shared" si="0"/>
        <v>5.7553800000000003E-6</v>
      </c>
      <c r="R34">
        <f t="shared" si="1"/>
        <v>1.91647E-5</v>
      </c>
      <c r="T34">
        <f t="shared" si="4"/>
        <v>1.4478397041621072</v>
      </c>
      <c r="U34">
        <f t="shared" si="4"/>
        <v>19.788983048222267</v>
      </c>
      <c r="W34">
        <f t="shared" si="5"/>
        <v>0</v>
      </c>
      <c r="X34">
        <f t="shared" si="5"/>
        <v>0</v>
      </c>
    </row>
    <row r="35" spans="1:24" x14ac:dyDescent="0.35">
      <c r="A35">
        <v>211.864</v>
      </c>
      <c r="B35">
        <v>5.61704E-6</v>
      </c>
      <c r="C35">
        <v>1.8972400000000002E-5</v>
      </c>
      <c r="D35">
        <f t="shared" si="2"/>
        <v>1.4130385016917602</v>
      </c>
      <c r="E35">
        <f t="shared" si="3"/>
        <v>19.590418946505405</v>
      </c>
      <c r="Q35">
        <f t="shared" ref="Q35:Q66" si="6">AVERAGE(B35,G35,L35)</f>
        <v>5.61704E-6</v>
      </c>
      <c r="R35">
        <f t="shared" ref="R35:R66" si="7">AVERAGE(C35,H35,M35)</f>
        <v>1.8972400000000002E-5</v>
      </c>
      <c r="T35">
        <f t="shared" si="4"/>
        <v>1.4130385016917602</v>
      </c>
      <c r="U35">
        <f t="shared" si="4"/>
        <v>19.590418946505405</v>
      </c>
      <c r="W35">
        <f t="shared" si="5"/>
        <v>0</v>
      </c>
      <c r="X35">
        <f t="shared" si="5"/>
        <v>0</v>
      </c>
    </row>
    <row r="36" spans="1:24" x14ac:dyDescent="0.35">
      <c r="A36">
        <v>217.958</v>
      </c>
      <c r="B36">
        <v>5.5116400000000001E-6</v>
      </c>
      <c r="C36">
        <v>1.8818199999999999E-5</v>
      </c>
      <c r="D36">
        <f t="shared" si="2"/>
        <v>1.3865237789768941</v>
      </c>
      <c r="E36">
        <f t="shared" si="3"/>
        <v>19.431195938264427</v>
      </c>
      <c r="Q36">
        <f t="shared" si="6"/>
        <v>5.5116400000000001E-6</v>
      </c>
      <c r="R36">
        <f t="shared" si="7"/>
        <v>1.8818199999999999E-5</v>
      </c>
      <c r="T36">
        <f t="shared" si="4"/>
        <v>1.3865237789768941</v>
      </c>
      <c r="U36">
        <f t="shared" si="4"/>
        <v>19.431195938264427</v>
      </c>
      <c r="W36">
        <f t="shared" si="5"/>
        <v>0</v>
      </c>
      <c r="X36">
        <f t="shared" si="5"/>
        <v>0</v>
      </c>
    </row>
    <row r="37" spans="1:24" x14ac:dyDescent="0.35">
      <c r="A37">
        <v>224.30799999999999</v>
      </c>
      <c r="B37">
        <v>5.4158199999999996E-6</v>
      </c>
      <c r="C37">
        <v>1.86736E-5</v>
      </c>
      <c r="D37">
        <f t="shared" si="2"/>
        <v>1.3624190282127717</v>
      </c>
      <c r="E37">
        <f t="shared" si="3"/>
        <v>19.281885646489812</v>
      </c>
      <c r="Q37">
        <f t="shared" si="6"/>
        <v>5.4158199999999996E-6</v>
      </c>
      <c r="R37">
        <f t="shared" si="7"/>
        <v>1.86736E-5</v>
      </c>
      <c r="T37">
        <f t="shared" si="4"/>
        <v>1.3624190282127717</v>
      </c>
      <c r="U37">
        <f t="shared" si="4"/>
        <v>19.281885646489812</v>
      </c>
      <c r="W37">
        <f t="shared" si="5"/>
        <v>0</v>
      </c>
      <c r="X37">
        <f t="shared" si="5"/>
        <v>0</v>
      </c>
    </row>
    <row r="38" spans="1:24" x14ac:dyDescent="0.35">
      <c r="A38">
        <v>230.453</v>
      </c>
      <c r="B38">
        <v>5.31896E-6</v>
      </c>
      <c r="C38">
        <v>1.8563299999999999E-5</v>
      </c>
      <c r="D38">
        <f t="shared" si="2"/>
        <v>1.3380526521011786</v>
      </c>
      <c r="E38">
        <f t="shared" si="3"/>
        <v>19.167992664589811</v>
      </c>
      <c r="Q38">
        <f t="shared" si="6"/>
        <v>5.31896E-6</v>
      </c>
      <c r="R38">
        <f t="shared" si="7"/>
        <v>1.8563299999999999E-5</v>
      </c>
      <c r="T38">
        <f t="shared" si="4"/>
        <v>1.3380526521011786</v>
      </c>
      <c r="U38">
        <f t="shared" si="4"/>
        <v>19.167992664589811</v>
      </c>
      <c r="W38">
        <f t="shared" si="5"/>
        <v>0</v>
      </c>
      <c r="X38">
        <f t="shared" si="5"/>
        <v>0</v>
      </c>
    </row>
    <row r="39" spans="1:24" x14ac:dyDescent="0.35">
      <c r="A39">
        <v>236.73099999999999</v>
      </c>
      <c r="B39">
        <v>5.2391999999999997E-6</v>
      </c>
      <c r="C39">
        <v>1.84527E-5</v>
      </c>
      <c r="D39">
        <f t="shared" si="2"/>
        <v>1.3179880004528131</v>
      </c>
      <c r="E39">
        <f t="shared" si="3"/>
        <v>19.053789910300242</v>
      </c>
      <c r="Q39">
        <f t="shared" si="6"/>
        <v>5.2391999999999997E-6</v>
      </c>
      <c r="R39">
        <f t="shared" si="7"/>
        <v>1.84527E-5</v>
      </c>
      <c r="T39">
        <f t="shared" si="4"/>
        <v>1.3179880004528131</v>
      </c>
      <c r="U39">
        <f t="shared" si="4"/>
        <v>19.053789910300242</v>
      </c>
      <c r="W39">
        <f t="shared" si="5"/>
        <v>0</v>
      </c>
      <c r="X39">
        <f t="shared" si="5"/>
        <v>0</v>
      </c>
    </row>
    <row r="40" spans="1:24" x14ac:dyDescent="0.35">
      <c r="A40">
        <v>242.83</v>
      </c>
      <c r="B40">
        <v>5.1698900000000004E-6</v>
      </c>
      <c r="C40">
        <v>1.83645E-5</v>
      </c>
      <c r="D40">
        <f t="shared" si="2"/>
        <v>1.3005521804208648</v>
      </c>
      <c r="E40">
        <f t="shared" si="3"/>
        <v>18.962716827765519</v>
      </c>
      <c r="Q40">
        <f t="shared" si="6"/>
        <v>5.1698900000000004E-6</v>
      </c>
      <c r="R40">
        <f t="shared" si="7"/>
        <v>1.83645E-5</v>
      </c>
      <c r="T40">
        <f t="shared" si="4"/>
        <v>1.3005521804208648</v>
      </c>
      <c r="U40">
        <f t="shared" si="4"/>
        <v>18.962716827765519</v>
      </c>
      <c r="W40">
        <f t="shared" si="5"/>
        <v>0</v>
      </c>
      <c r="X40">
        <f t="shared" si="5"/>
        <v>0</v>
      </c>
    </row>
    <row r="41" spans="1:24" x14ac:dyDescent="0.35">
      <c r="A41">
        <v>249.16</v>
      </c>
      <c r="B41">
        <v>5.10025E-6</v>
      </c>
      <c r="C41">
        <v>1.8285299999999999E-5</v>
      </c>
      <c r="D41">
        <f t="shared" si="2"/>
        <v>1.2830333446536608</v>
      </c>
      <c r="E41">
        <f t="shared" si="3"/>
        <v>18.88093691691801</v>
      </c>
      <c r="Q41">
        <f t="shared" si="6"/>
        <v>5.10025E-6</v>
      </c>
      <c r="R41">
        <f t="shared" si="7"/>
        <v>1.8285299999999999E-5</v>
      </c>
      <c r="T41">
        <f t="shared" si="4"/>
        <v>1.2830333446536608</v>
      </c>
      <c r="U41">
        <f t="shared" si="4"/>
        <v>18.88093691691801</v>
      </c>
      <c r="W41">
        <f t="shared" si="5"/>
        <v>0</v>
      </c>
      <c r="X41">
        <f t="shared" si="5"/>
        <v>0</v>
      </c>
    </row>
    <row r="42" spans="1:24" x14ac:dyDescent="0.35">
      <c r="A42">
        <v>262.286</v>
      </c>
      <c r="B42">
        <v>2.6853100000000002E-4</v>
      </c>
      <c r="C42">
        <v>9.6651199999999994E-5</v>
      </c>
      <c r="D42">
        <f t="shared" si="2"/>
        <v>67.552419405557032</v>
      </c>
      <c r="E42">
        <f t="shared" si="3"/>
        <v>99.799577263945679</v>
      </c>
      <c r="Q42">
        <f t="shared" si="6"/>
        <v>2.6853100000000002E-4</v>
      </c>
      <c r="R42">
        <f t="shared" si="7"/>
        <v>9.6651199999999994E-5</v>
      </c>
      <c r="T42">
        <f t="shared" si="4"/>
        <v>67.552419405557032</v>
      </c>
      <c r="U42">
        <f t="shared" si="4"/>
        <v>99.799577263945679</v>
      </c>
      <c r="W42">
        <f t="shared" si="5"/>
        <v>0</v>
      </c>
      <c r="X42">
        <f t="shared" si="5"/>
        <v>0</v>
      </c>
    </row>
    <row r="43" spans="1:24" x14ac:dyDescent="0.35">
      <c r="A43">
        <v>268.49799999999999</v>
      </c>
      <c r="B43">
        <v>2.78924E-4</v>
      </c>
      <c r="C43">
        <v>9.4536899999999999E-5</v>
      </c>
      <c r="D43">
        <f t="shared" si="2"/>
        <v>70.166911940429927</v>
      </c>
      <c r="E43">
        <f t="shared" si="3"/>
        <v>97.616404719692113</v>
      </c>
      <c r="Q43">
        <f t="shared" si="6"/>
        <v>2.78924E-4</v>
      </c>
      <c r="R43">
        <f t="shared" si="7"/>
        <v>9.4536899999999999E-5</v>
      </c>
      <c r="T43">
        <f t="shared" si="4"/>
        <v>70.166911940429927</v>
      </c>
      <c r="U43">
        <f t="shared" si="4"/>
        <v>97.616404719692113</v>
      </c>
      <c r="W43">
        <f t="shared" si="5"/>
        <v>0</v>
      </c>
      <c r="X43">
        <f t="shared" si="5"/>
        <v>0</v>
      </c>
    </row>
    <row r="44" spans="1:24" x14ac:dyDescent="0.35">
      <c r="A44">
        <v>274.608</v>
      </c>
      <c r="B44">
        <v>2.8627999999999998E-4</v>
      </c>
      <c r="C44">
        <v>9.1399300000000004E-5</v>
      </c>
      <c r="D44">
        <f t="shared" si="2"/>
        <v>72.017408148120197</v>
      </c>
      <c r="E44">
        <f t="shared" si="3"/>
        <v>94.376598554602026</v>
      </c>
      <c r="Q44">
        <f t="shared" si="6"/>
        <v>2.8627999999999998E-4</v>
      </c>
      <c r="R44">
        <f t="shared" si="7"/>
        <v>9.1399300000000004E-5</v>
      </c>
      <c r="T44">
        <f t="shared" si="4"/>
        <v>72.017408148120197</v>
      </c>
      <c r="U44">
        <f t="shared" si="4"/>
        <v>94.376598554602026</v>
      </c>
      <c r="W44">
        <f t="shared" si="5"/>
        <v>0</v>
      </c>
      <c r="X44">
        <f t="shared" si="5"/>
        <v>0</v>
      </c>
    </row>
    <row r="45" spans="1:24" x14ac:dyDescent="0.35">
      <c r="A45">
        <v>280.779</v>
      </c>
      <c r="B45">
        <v>2.92744E-4</v>
      </c>
      <c r="C45">
        <v>8.9471399999999999E-5</v>
      </c>
      <c r="D45">
        <f t="shared" si="2"/>
        <v>73.643510307787125</v>
      </c>
      <c r="E45">
        <f t="shared" si="3"/>
        <v>92.385897921737026</v>
      </c>
      <c r="Q45">
        <f t="shared" si="6"/>
        <v>2.92744E-4</v>
      </c>
      <c r="R45">
        <f t="shared" si="7"/>
        <v>8.9471399999999999E-5</v>
      </c>
      <c r="T45">
        <f t="shared" si="4"/>
        <v>73.643510307787125</v>
      </c>
      <c r="U45">
        <f t="shared" si="4"/>
        <v>92.385897921737026</v>
      </c>
      <c r="W45">
        <f t="shared" si="5"/>
        <v>0</v>
      </c>
      <c r="X45">
        <f t="shared" si="5"/>
        <v>0</v>
      </c>
    </row>
    <row r="46" spans="1:24" x14ac:dyDescent="0.35">
      <c r="A46">
        <v>287.00099999999998</v>
      </c>
      <c r="B46">
        <v>2.9770699999999997E-4</v>
      </c>
      <c r="C46">
        <v>8.8393999999999994E-5</v>
      </c>
      <c r="D46">
        <f t="shared" si="2"/>
        <v>74.892016653459621</v>
      </c>
      <c r="E46">
        <f t="shared" si="3"/>
        <v>91.273402013314012</v>
      </c>
      <c r="Q46">
        <f t="shared" si="6"/>
        <v>2.9770699999999997E-4</v>
      </c>
      <c r="R46">
        <f t="shared" si="7"/>
        <v>8.8393999999999994E-5</v>
      </c>
      <c r="T46">
        <f t="shared" si="4"/>
        <v>74.892016653459621</v>
      </c>
      <c r="U46">
        <f t="shared" si="4"/>
        <v>91.273402013314012</v>
      </c>
      <c r="W46">
        <f t="shared" si="5"/>
        <v>0</v>
      </c>
      <c r="X46">
        <f t="shared" si="5"/>
        <v>0</v>
      </c>
    </row>
    <row r="47" spans="1:24" x14ac:dyDescent="0.35">
      <c r="A47">
        <v>293.27300000000002</v>
      </c>
      <c r="B47">
        <v>3.0167900000000001E-4</v>
      </c>
      <c r="C47">
        <v>8.8272100000000005E-5</v>
      </c>
      <c r="D47">
        <f t="shared" si="2"/>
        <v>75.891224230532188</v>
      </c>
      <c r="E47">
        <f t="shared" si="3"/>
        <v>91.14753116568383</v>
      </c>
      <c r="Q47">
        <f t="shared" si="6"/>
        <v>3.0167900000000001E-4</v>
      </c>
      <c r="R47">
        <f t="shared" si="7"/>
        <v>8.8272100000000005E-5</v>
      </c>
      <c r="T47">
        <f t="shared" si="4"/>
        <v>75.891224230532188</v>
      </c>
      <c r="U47">
        <f t="shared" si="4"/>
        <v>91.14753116568383</v>
      </c>
      <c r="W47">
        <f t="shared" si="5"/>
        <v>0</v>
      </c>
      <c r="X47">
        <f t="shared" si="5"/>
        <v>0</v>
      </c>
    </row>
    <row r="48" spans="1:24" x14ac:dyDescent="0.35">
      <c r="A48">
        <v>299.46699999999998</v>
      </c>
      <c r="B48">
        <v>3.0447500000000001E-4</v>
      </c>
      <c r="C48">
        <v>8.8385699999999996E-5</v>
      </c>
      <c r="D48">
        <f t="shared" si="2"/>
        <v>76.594593914695054</v>
      </c>
      <c r="E48">
        <f t="shared" si="3"/>
        <v>91.26483164386913</v>
      </c>
      <c r="Q48">
        <f t="shared" si="6"/>
        <v>3.0447500000000001E-4</v>
      </c>
      <c r="R48">
        <f t="shared" si="7"/>
        <v>8.8385699999999996E-5</v>
      </c>
      <c r="T48">
        <f t="shared" si="4"/>
        <v>76.594593914695054</v>
      </c>
      <c r="U48">
        <f t="shared" si="4"/>
        <v>91.26483164386913</v>
      </c>
      <c r="W48">
        <f t="shared" si="5"/>
        <v>0</v>
      </c>
      <c r="X48">
        <f t="shared" si="5"/>
        <v>0</v>
      </c>
    </row>
    <row r="49" spans="1:24" x14ac:dyDescent="0.35">
      <c r="A49">
        <v>305.70800000000003</v>
      </c>
      <c r="B49">
        <v>3.0646999999999998E-4</v>
      </c>
      <c r="C49">
        <v>8.8777700000000002E-5</v>
      </c>
      <c r="D49">
        <f t="shared" si="2"/>
        <v>77.096461768738294</v>
      </c>
      <c r="E49">
        <f t="shared" si="3"/>
        <v>91.669600899579024</v>
      </c>
      <c r="Q49">
        <f t="shared" si="6"/>
        <v>3.0646999999999998E-4</v>
      </c>
      <c r="R49">
        <f t="shared" si="7"/>
        <v>8.8777700000000002E-5</v>
      </c>
      <c r="T49">
        <f t="shared" si="4"/>
        <v>77.096461768738294</v>
      </c>
      <c r="U49">
        <f t="shared" si="4"/>
        <v>91.669600899579024</v>
      </c>
      <c r="W49">
        <f t="shared" si="5"/>
        <v>0</v>
      </c>
      <c r="X49">
        <f t="shared" si="5"/>
        <v>0</v>
      </c>
    </row>
    <row r="50" spans="1:24" x14ac:dyDescent="0.35">
      <c r="A50">
        <v>311.89499999999998</v>
      </c>
      <c r="B50">
        <v>3.08113E-4</v>
      </c>
      <c r="C50">
        <v>8.7988300000000006E-5</v>
      </c>
      <c r="D50">
        <f t="shared" si="2"/>
        <v>77.509779505175914</v>
      </c>
      <c r="E50">
        <f t="shared" si="3"/>
        <v>90.854486485146936</v>
      </c>
      <c r="Q50">
        <f t="shared" si="6"/>
        <v>3.08113E-4</v>
      </c>
      <c r="R50">
        <f t="shared" si="7"/>
        <v>8.7988300000000006E-5</v>
      </c>
      <c r="T50">
        <f t="shared" si="4"/>
        <v>77.509779505175914</v>
      </c>
      <c r="U50">
        <f t="shared" si="4"/>
        <v>90.854486485146936</v>
      </c>
      <c r="W50">
        <f t="shared" si="5"/>
        <v>0</v>
      </c>
      <c r="X50">
        <f t="shared" si="5"/>
        <v>0</v>
      </c>
    </row>
    <row r="51" spans="1:24" x14ac:dyDescent="0.35">
      <c r="A51">
        <v>318.09899999999999</v>
      </c>
      <c r="B51">
        <v>3.0947E-4</v>
      </c>
      <c r="C51">
        <v>8.7988399999999999E-5</v>
      </c>
      <c r="D51">
        <f t="shared" si="2"/>
        <v>77.851150271058955</v>
      </c>
      <c r="E51">
        <f t="shared" si="3"/>
        <v>90.854589742610116</v>
      </c>
      <c r="Q51">
        <f t="shared" si="6"/>
        <v>3.0947E-4</v>
      </c>
      <c r="R51">
        <f t="shared" si="7"/>
        <v>8.7988399999999999E-5</v>
      </c>
      <c r="T51">
        <f t="shared" si="4"/>
        <v>77.851150271058955</v>
      </c>
      <c r="U51">
        <f t="shared" si="4"/>
        <v>90.854589742610116</v>
      </c>
      <c r="W51">
        <f t="shared" si="5"/>
        <v>0</v>
      </c>
      <c r="X51">
        <f t="shared" si="5"/>
        <v>0</v>
      </c>
    </row>
    <row r="52" spans="1:24" x14ac:dyDescent="0.35">
      <c r="A52">
        <v>324.33999999999997</v>
      </c>
      <c r="B52">
        <v>3.1054599999999998E-4</v>
      </c>
      <c r="C52">
        <v>8.8034499999999999E-5</v>
      </c>
      <c r="D52">
        <f t="shared" si="2"/>
        <v>78.121831880557963</v>
      </c>
      <c r="E52">
        <f t="shared" si="3"/>
        <v>90.902191433141297</v>
      </c>
      <c r="Q52">
        <f t="shared" si="6"/>
        <v>3.1054599999999998E-4</v>
      </c>
      <c r="R52">
        <f t="shared" si="7"/>
        <v>8.8034499999999999E-5</v>
      </c>
      <c r="T52">
        <f t="shared" si="4"/>
        <v>78.121831880557963</v>
      </c>
      <c r="U52">
        <f t="shared" si="4"/>
        <v>90.902191433141297</v>
      </c>
      <c r="W52">
        <f t="shared" si="5"/>
        <v>0</v>
      </c>
      <c r="X52">
        <f t="shared" si="5"/>
        <v>0</v>
      </c>
    </row>
    <row r="53" spans="1:24" x14ac:dyDescent="0.35">
      <c r="A53">
        <v>330.45299999999997</v>
      </c>
      <c r="B53">
        <v>3.1218199999999999E-4</v>
      </c>
      <c r="C53">
        <v>8.7308300000000006E-5</v>
      </c>
      <c r="D53">
        <f t="shared" si="2"/>
        <v>78.533388677156836</v>
      </c>
      <c r="E53">
        <f t="shared" si="3"/>
        <v>90.152335735446115</v>
      </c>
      <c r="Q53">
        <f t="shared" si="6"/>
        <v>3.1218199999999999E-4</v>
      </c>
      <c r="R53">
        <f t="shared" si="7"/>
        <v>8.7308300000000006E-5</v>
      </c>
      <c r="T53">
        <f t="shared" si="4"/>
        <v>78.533388677156836</v>
      </c>
      <c r="U53">
        <f t="shared" si="4"/>
        <v>90.152335735446115</v>
      </c>
      <c r="W53">
        <f t="shared" si="5"/>
        <v>0</v>
      </c>
      <c r="X53">
        <f t="shared" si="5"/>
        <v>0</v>
      </c>
    </row>
    <row r="54" spans="1:24" x14ac:dyDescent="0.35">
      <c r="A54">
        <v>336.67899999999997</v>
      </c>
      <c r="B54">
        <v>3.1289099999999998E-4</v>
      </c>
      <c r="C54">
        <v>8.7139100000000001E-5</v>
      </c>
      <c r="D54">
        <f t="shared" si="2"/>
        <v>78.711746726538621</v>
      </c>
      <c r="E54">
        <f t="shared" si="3"/>
        <v>89.977624107726442</v>
      </c>
      <c r="Q54">
        <f t="shared" si="6"/>
        <v>3.1289099999999998E-4</v>
      </c>
      <c r="R54">
        <f t="shared" si="7"/>
        <v>8.7139100000000001E-5</v>
      </c>
      <c r="T54">
        <f t="shared" si="4"/>
        <v>78.711746726538621</v>
      </c>
      <c r="U54">
        <f t="shared" si="4"/>
        <v>89.977624107726442</v>
      </c>
      <c r="W54">
        <f t="shared" si="5"/>
        <v>0</v>
      </c>
      <c r="X54">
        <f t="shared" si="5"/>
        <v>0</v>
      </c>
    </row>
    <row r="55" spans="1:24" x14ac:dyDescent="0.35">
      <c r="A55">
        <v>342.94200000000001</v>
      </c>
      <c r="B55">
        <v>3.1436799999999998E-4</v>
      </c>
      <c r="C55">
        <v>8.6578300000000004E-5</v>
      </c>
      <c r="D55">
        <f t="shared" si="2"/>
        <v>79.083305032514488</v>
      </c>
      <c r="E55">
        <f t="shared" si="3"/>
        <v>89.398556254149653</v>
      </c>
      <c r="Q55">
        <f t="shared" si="6"/>
        <v>3.1436799999999998E-4</v>
      </c>
      <c r="R55">
        <f t="shared" si="7"/>
        <v>8.6578300000000004E-5</v>
      </c>
      <c r="T55">
        <f t="shared" si="4"/>
        <v>79.083305032514488</v>
      </c>
      <c r="U55">
        <f t="shared" si="4"/>
        <v>89.398556254149653</v>
      </c>
      <c r="W55">
        <f t="shared" si="5"/>
        <v>0</v>
      </c>
      <c r="X55">
        <f t="shared" si="5"/>
        <v>0</v>
      </c>
    </row>
    <row r="56" spans="1:24" x14ac:dyDescent="0.35">
      <c r="A56">
        <v>349.24099999999999</v>
      </c>
      <c r="B56">
        <v>3.1628100000000002E-4</v>
      </c>
      <c r="C56">
        <v>8.6826700000000007E-5</v>
      </c>
      <c r="D56">
        <f t="shared" si="2"/>
        <v>79.564544734160975</v>
      </c>
      <c r="E56">
        <f t="shared" si="3"/>
        <v>89.655047792716829</v>
      </c>
      <c r="Q56">
        <f t="shared" si="6"/>
        <v>3.1628100000000002E-4</v>
      </c>
      <c r="R56">
        <f t="shared" si="7"/>
        <v>8.6826700000000007E-5</v>
      </c>
      <c r="T56">
        <f t="shared" si="4"/>
        <v>79.564544734160975</v>
      </c>
      <c r="U56">
        <f t="shared" si="4"/>
        <v>89.655047792716829</v>
      </c>
      <c r="W56">
        <f t="shared" si="5"/>
        <v>0</v>
      </c>
      <c r="X56">
        <f t="shared" si="5"/>
        <v>0</v>
      </c>
    </row>
    <row r="57" spans="1:24" x14ac:dyDescent="0.35">
      <c r="A57">
        <v>355.43299999999999</v>
      </c>
      <c r="B57">
        <v>3.1728099999999999E-4</v>
      </c>
      <c r="C57">
        <v>8.6918700000000005E-5</v>
      </c>
      <c r="D57">
        <f t="shared" si="2"/>
        <v>79.816107568267867</v>
      </c>
      <c r="E57">
        <f t="shared" si="3"/>
        <v>89.750044658852829</v>
      </c>
      <c r="Q57">
        <f t="shared" si="6"/>
        <v>3.1728099999999999E-4</v>
      </c>
      <c r="R57">
        <f t="shared" si="7"/>
        <v>8.6918700000000005E-5</v>
      </c>
      <c r="T57">
        <f t="shared" si="4"/>
        <v>79.816107568267867</v>
      </c>
      <c r="U57">
        <f t="shared" si="4"/>
        <v>89.750044658852829</v>
      </c>
      <c r="W57">
        <f t="shared" si="5"/>
        <v>0</v>
      </c>
      <c r="X57">
        <f t="shared" si="5"/>
        <v>0</v>
      </c>
    </row>
    <row r="58" spans="1:24" x14ac:dyDescent="0.35">
      <c r="A58">
        <v>361.57799999999997</v>
      </c>
      <c r="B58">
        <v>3.1806899999999998E-4</v>
      </c>
      <c r="C58">
        <v>8.6914800000000003E-5</v>
      </c>
      <c r="D58">
        <f t="shared" si="2"/>
        <v>80.014339081544094</v>
      </c>
      <c r="E58">
        <f t="shared" si="3"/>
        <v>89.746017617788368</v>
      </c>
      <c r="Q58">
        <f t="shared" si="6"/>
        <v>3.1806899999999998E-4</v>
      </c>
      <c r="R58">
        <f t="shared" si="7"/>
        <v>8.6914800000000003E-5</v>
      </c>
      <c r="T58">
        <f t="shared" si="4"/>
        <v>80.014339081544094</v>
      </c>
      <c r="U58">
        <f t="shared" si="4"/>
        <v>89.746017617788368</v>
      </c>
      <c r="W58">
        <f t="shared" si="5"/>
        <v>0</v>
      </c>
      <c r="X58">
        <f t="shared" si="5"/>
        <v>0</v>
      </c>
    </row>
    <row r="59" spans="1:24" x14ac:dyDescent="0.35">
      <c r="A59">
        <v>367.786</v>
      </c>
      <c r="B59">
        <v>3.1847000000000001E-4</v>
      </c>
      <c r="C59">
        <v>8.7049499999999994E-5</v>
      </c>
      <c r="D59">
        <f t="shared" si="2"/>
        <v>80.115215778020968</v>
      </c>
      <c r="E59">
        <f t="shared" si="3"/>
        <v>89.885105420707035</v>
      </c>
      <c r="Q59">
        <f t="shared" si="6"/>
        <v>3.1847000000000001E-4</v>
      </c>
      <c r="R59">
        <f t="shared" si="7"/>
        <v>8.7049499999999994E-5</v>
      </c>
      <c r="T59">
        <f t="shared" si="4"/>
        <v>80.115215778020968</v>
      </c>
      <c r="U59">
        <f t="shared" si="4"/>
        <v>89.885105420707035</v>
      </c>
      <c r="W59">
        <f t="shared" si="5"/>
        <v>0</v>
      </c>
      <c r="X59">
        <f t="shared" si="5"/>
        <v>0</v>
      </c>
    </row>
    <row r="60" spans="1:24" x14ac:dyDescent="0.35">
      <c r="A60">
        <v>374.03899999999999</v>
      </c>
      <c r="B60">
        <v>3.1917399999999998E-4</v>
      </c>
      <c r="C60">
        <v>8.7382700000000006E-5</v>
      </c>
      <c r="D60">
        <f t="shared" si="2"/>
        <v>80.292316013232195</v>
      </c>
      <c r="E60">
        <f t="shared" si="3"/>
        <v>90.229159288060444</v>
      </c>
      <c r="Q60">
        <f t="shared" si="6"/>
        <v>3.1917399999999998E-4</v>
      </c>
      <c r="R60">
        <f t="shared" si="7"/>
        <v>8.7382700000000006E-5</v>
      </c>
      <c r="T60">
        <f t="shared" si="4"/>
        <v>80.292316013232195</v>
      </c>
      <c r="U60">
        <f t="shared" si="4"/>
        <v>90.229159288060444</v>
      </c>
      <c r="W60">
        <f t="shared" si="5"/>
        <v>0</v>
      </c>
      <c r="X60">
        <f t="shared" si="5"/>
        <v>0</v>
      </c>
    </row>
    <row r="61" spans="1:24" x14ac:dyDescent="0.35">
      <c r="A61">
        <v>380.137</v>
      </c>
      <c r="B61">
        <v>3.1971199999999999E-4</v>
      </c>
      <c r="C61">
        <v>8.6902499999999997E-5</v>
      </c>
      <c r="D61">
        <f t="shared" si="2"/>
        <v>80.427656817981713</v>
      </c>
      <c r="E61">
        <f t="shared" si="3"/>
        <v>89.73331694981583</v>
      </c>
      <c r="Q61">
        <f t="shared" si="6"/>
        <v>3.1971199999999999E-4</v>
      </c>
      <c r="R61">
        <f t="shared" si="7"/>
        <v>8.6902499999999997E-5</v>
      </c>
      <c r="T61">
        <f t="shared" si="4"/>
        <v>80.427656817981713</v>
      </c>
      <c r="U61">
        <f t="shared" si="4"/>
        <v>89.73331694981583</v>
      </c>
      <c r="W61">
        <f t="shared" si="5"/>
        <v>0</v>
      </c>
      <c r="X61">
        <f t="shared" si="5"/>
        <v>0</v>
      </c>
    </row>
    <row r="62" spans="1:24" x14ac:dyDescent="0.35">
      <c r="A62">
        <v>386.49799999999999</v>
      </c>
      <c r="B62">
        <v>3.2044199999999999E-4</v>
      </c>
      <c r="C62">
        <v>8.6562099999999996E-5</v>
      </c>
      <c r="D62">
        <f t="shared" si="2"/>
        <v>80.611297686879752</v>
      </c>
      <c r="E62">
        <f t="shared" si="3"/>
        <v>89.381828545112668</v>
      </c>
      <c r="Q62">
        <f t="shared" si="6"/>
        <v>3.2044199999999999E-4</v>
      </c>
      <c r="R62">
        <f t="shared" si="7"/>
        <v>8.6562099999999996E-5</v>
      </c>
      <c r="T62">
        <f t="shared" si="4"/>
        <v>80.611297686879752</v>
      </c>
      <c r="U62">
        <f t="shared" si="4"/>
        <v>89.381828545112668</v>
      </c>
      <c r="W62">
        <f t="shared" si="5"/>
        <v>0</v>
      </c>
      <c r="X62">
        <f t="shared" si="5"/>
        <v>0</v>
      </c>
    </row>
    <row r="63" spans="1:24" x14ac:dyDescent="0.35">
      <c r="A63">
        <v>392.601</v>
      </c>
      <c r="B63">
        <v>3.2115099999999999E-4</v>
      </c>
      <c r="C63">
        <v>8.6701300000000003E-5</v>
      </c>
      <c r="D63">
        <f t="shared" si="2"/>
        <v>80.789655736261523</v>
      </c>
      <c r="E63">
        <f t="shared" si="3"/>
        <v>89.525562933874951</v>
      </c>
      <c r="Q63">
        <f t="shared" si="6"/>
        <v>3.2115099999999999E-4</v>
      </c>
      <c r="R63">
        <f t="shared" si="7"/>
        <v>8.6701300000000003E-5</v>
      </c>
      <c r="T63">
        <f t="shared" si="4"/>
        <v>80.789655736261523</v>
      </c>
      <c r="U63">
        <f t="shared" si="4"/>
        <v>89.525562933874951</v>
      </c>
      <c r="W63">
        <f t="shared" si="5"/>
        <v>0</v>
      </c>
      <c r="X63">
        <f t="shared" si="5"/>
        <v>0</v>
      </c>
    </row>
    <row r="64" spans="1:24" x14ac:dyDescent="0.35">
      <c r="A64">
        <v>398.83199999999999</v>
      </c>
      <c r="B64">
        <v>3.21365E-4</v>
      </c>
      <c r="C64">
        <v>8.6792600000000007E-5</v>
      </c>
      <c r="D64">
        <f t="shared" si="2"/>
        <v>80.843490182760405</v>
      </c>
      <c r="E64">
        <f t="shared" si="3"/>
        <v>89.619836997768616</v>
      </c>
      <c r="Q64">
        <f t="shared" si="6"/>
        <v>3.21365E-4</v>
      </c>
      <c r="R64">
        <f t="shared" si="7"/>
        <v>8.6792600000000007E-5</v>
      </c>
      <c r="T64">
        <f t="shared" si="4"/>
        <v>80.843490182760405</v>
      </c>
      <c r="U64">
        <f t="shared" si="4"/>
        <v>89.619836997768616</v>
      </c>
      <c r="W64">
        <f t="shared" si="5"/>
        <v>0</v>
      </c>
      <c r="X64">
        <f t="shared" si="5"/>
        <v>0</v>
      </c>
    </row>
    <row r="65" spans="1:24" x14ac:dyDescent="0.35">
      <c r="A65">
        <v>405.02199999999999</v>
      </c>
      <c r="B65">
        <v>3.2234199999999998E-4</v>
      </c>
      <c r="C65">
        <v>8.6494000000000002E-5</v>
      </c>
      <c r="D65">
        <f t="shared" si="2"/>
        <v>81.089267071682841</v>
      </c>
      <c r="E65">
        <f t="shared" si="3"/>
        <v>89.311510212679394</v>
      </c>
      <c r="Q65">
        <f t="shared" si="6"/>
        <v>3.2234199999999998E-4</v>
      </c>
      <c r="R65">
        <f t="shared" si="7"/>
        <v>8.6494000000000002E-5</v>
      </c>
      <c r="T65">
        <f t="shared" si="4"/>
        <v>81.089267071682841</v>
      </c>
      <c r="U65">
        <f t="shared" si="4"/>
        <v>89.311510212679394</v>
      </c>
      <c r="W65">
        <f t="shared" si="5"/>
        <v>0</v>
      </c>
      <c r="X65">
        <f t="shared" si="5"/>
        <v>0</v>
      </c>
    </row>
    <row r="66" spans="1:24" x14ac:dyDescent="0.35">
      <c r="A66">
        <v>411.33699999999999</v>
      </c>
      <c r="B66">
        <v>3.2339400000000001E-4</v>
      </c>
      <c r="C66">
        <v>8.6655699999999998E-5</v>
      </c>
      <c r="D66">
        <f t="shared" si="2"/>
        <v>81.353911173163283</v>
      </c>
      <c r="E66">
        <f t="shared" si="3"/>
        <v>89.478477530659717</v>
      </c>
      <c r="Q66">
        <f t="shared" si="6"/>
        <v>3.2339400000000001E-4</v>
      </c>
      <c r="R66">
        <f t="shared" si="7"/>
        <v>8.6655699999999998E-5</v>
      </c>
      <c r="T66">
        <f t="shared" si="4"/>
        <v>81.353911173163283</v>
      </c>
      <c r="U66">
        <f t="shared" si="4"/>
        <v>89.478477530659717</v>
      </c>
      <c r="W66">
        <f t="shared" si="5"/>
        <v>0</v>
      </c>
      <c r="X66">
        <f t="shared" si="5"/>
        <v>0</v>
      </c>
    </row>
    <row r="67" spans="1:24" x14ac:dyDescent="0.35">
      <c r="A67">
        <v>417.42200000000003</v>
      </c>
      <c r="B67">
        <v>3.2394699999999999E-4</v>
      </c>
      <c r="C67">
        <v>8.7550800000000002E-5</v>
      </c>
      <c r="D67">
        <f t="shared" si="2"/>
        <v>81.493025420424388</v>
      </c>
      <c r="E67">
        <f t="shared" si="3"/>
        <v>90.402735083685002</v>
      </c>
      <c r="Q67">
        <f t="shared" ref="Q67:Q98" si="8">AVERAGE(B67,G67,L67)</f>
        <v>3.2394699999999999E-4</v>
      </c>
      <c r="R67">
        <f t="shared" ref="R67:R98" si="9">AVERAGE(C67,H67,M67)</f>
        <v>8.7550800000000002E-5</v>
      </c>
      <c r="T67">
        <f t="shared" si="4"/>
        <v>81.493025420424388</v>
      </c>
      <c r="U67">
        <f t="shared" si="4"/>
        <v>90.402735083685002</v>
      </c>
      <c r="W67">
        <f t="shared" si="5"/>
        <v>0</v>
      </c>
      <c r="X67">
        <f t="shared" si="5"/>
        <v>0</v>
      </c>
    </row>
    <row r="68" spans="1:24" x14ac:dyDescent="0.35">
      <c r="A68">
        <v>423.74099999999999</v>
      </c>
      <c r="B68">
        <v>3.2383899999999997E-4</v>
      </c>
      <c r="C68">
        <v>8.7300700000000003E-5</v>
      </c>
      <c r="D68">
        <f t="shared" ref="D68:D109" si="10">B68/$B$3*100</f>
        <v>81.465856634340838</v>
      </c>
      <c r="E68">
        <f t="shared" ref="E68:E109" si="11">C68/$C$3*100</f>
        <v>90.144488168243569</v>
      </c>
      <c r="Q68">
        <f t="shared" si="8"/>
        <v>3.2383899999999997E-4</v>
      </c>
      <c r="R68">
        <f t="shared" si="9"/>
        <v>8.7300700000000003E-5</v>
      </c>
      <c r="T68">
        <f t="shared" ref="T68:U109" si="12">AVERAGE(D68,I68,N68)</f>
        <v>81.465856634340838</v>
      </c>
      <c r="U68">
        <f t="shared" si="12"/>
        <v>90.144488168243569</v>
      </c>
      <c r="W68">
        <f t="shared" ref="W68:X109" si="13">_xlfn.STDEV.P(D68,I68,N68)</f>
        <v>0</v>
      </c>
      <c r="X68">
        <f t="shared" si="13"/>
        <v>0</v>
      </c>
    </row>
    <row r="69" spans="1:24" x14ac:dyDescent="0.35">
      <c r="A69">
        <v>429.80099999999999</v>
      </c>
      <c r="B69">
        <v>3.2356399999999998E-4</v>
      </c>
      <c r="C69">
        <v>8.7250999999999995E-5</v>
      </c>
      <c r="D69">
        <f t="shared" si="10"/>
        <v>81.396676854961441</v>
      </c>
      <c r="E69">
        <f t="shared" si="11"/>
        <v>90.093169209037498</v>
      </c>
      <c r="Q69">
        <f t="shared" si="8"/>
        <v>3.2356399999999998E-4</v>
      </c>
      <c r="R69">
        <f t="shared" si="9"/>
        <v>8.7250999999999995E-5</v>
      </c>
      <c r="T69">
        <f t="shared" si="12"/>
        <v>81.396676854961441</v>
      </c>
      <c r="U69">
        <f t="shared" si="12"/>
        <v>90.093169209037498</v>
      </c>
      <c r="W69">
        <f t="shared" si="13"/>
        <v>0</v>
      </c>
      <c r="X69">
        <f t="shared" si="13"/>
        <v>0</v>
      </c>
    </row>
    <row r="70" spans="1:24" x14ac:dyDescent="0.35">
      <c r="A70">
        <v>436.18</v>
      </c>
      <c r="B70">
        <v>3.2442300000000001E-4</v>
      </c>
      <c r="C70">
        <v>8.6946299999999998E-5</v>
      </c>
      <c r="D70">
        <f t="shared" si="10"/>
        <v>81.612769329459269</v>
      </c>
      <c r="E70">
        <f t="shared" si="11"/>
        <v>89.778543718693612</v>
      </c>
      <c r="Q70">
        <f t="shared" si="8"/>
        <v>3.2442300000000001E-4</v>
      </c>
      <c r="R70">
        <f t="shared" si="9"/>
        <v>8.6946299999999998E-5</v>
      </c>
      <c r="T70">
        <f t="shared" si="12"/>
        <v>81.612769329459269</v>
      </c>
      <c r="U70">
        <f t="shared" si="12"/>
        <v>89.778543718693612</v>
      </c>
      <c r="W70">
        <f t="shared" si="13"/>
        <v>0</v>
      </c>
      <c r="X70">
        <f t="shared" si="13"/>
        <v>0</v>
      </c>
    </row>
    <row r="71" spans="1:24" x14ac:dyDescent="0.35">
      <c r="A71">
        <v>449.34699999999998</v>
      </c>
      <c r="B71">
        <v>5.0123999999999996E-6</v>
      </c>
      <c r="C71">
        <v>1.81683E-5</v>
      </c>
      <c r="D71">
        <f t="shared" si="10"/>
        <v>1.2609335496773706</v>
      </c>
      <c r="E71">
        <f t="shared" si="11"/>
        <v>18.760125684984192</v>
      </c>
      <c r="Q71">
        <f t="shared" si="8"/>
        <v>5.0123999999999996E-6</v>
      </c>
      <c r="R71">
        <f t="shared" si="9"/>
        <v>1.81683E-5</v>
      </c>
      <c r="T71">
        <f t="shared" si="12"/>
        <v>1.2609335496773706</v>
      </c>
      <c r="U71">
        <f t="shared" si="12"/>
        <v>18.760125684984192</v>
      </c>
      <c r="W71">
        <f t="shared" si="13"/>
        <v>0</v>
      </c>
      <c r="X71">
        <f t="shared" si="13"/>
        <v>0</v>
      </c>
    </row>
    <row r="72" spans="1:24" x14ac:dyDescent="0.35">
      <c r="A72">
        <v>455.601</v>
      </c>
      <c r="B72">
        <v>4.9231200000000001E-6</v>
      </c>
      <c r="C72">
        <v>1.8081099999999999E-5</v>
      </c>
      <c r="D72">
        <f t="shared" si="10"/>
        <v>1.2384740198483077</v>
      </c>
      <c r="E72">
        <f t="shared" si="11"/>
        <v>18.670085177081383</v>
      </c>
      <c r="Q72">
        <f t="shared" si="8"/>
        <v>4.9231200000000001E-6</v>
      </c>
      <c r="R72">
        <f t="shared" si="9"/>
        <v>1.8081099999999999E-5</v>
      </c>
      <c r="T72">
        <f t="shared" si="12"/>
        <v>1.2384740198483077</v>
      </c>
      <c r="U72">
        <f t="shared" si="12"/>
        <v>18.670085177081383</v>
      </c>
      <c r="W72">
        <f t="shared" si="13"/>
        <v>0</v>
      </c>
      <c r="X72">
        <f t="shared" si="13"/>
        <v>0</v>
      </c>
    </row>
    <row r="73" spans="1:24" x14ac:dyDescent="0.35">
      <c r="A73">
        <v>461.72699999999998</v>
      </c>
      <c r="B73">
        <v>4.8554299999999997E-6</v>
      </c>
      <c r="C73">
        <v>1.79952E-5</v>
      </c>
      <c r="D73">
        <f t="shared" si="10"/>
        <v>1.2214457316076124</v>
      </c>
      <c r="E73">
        <f t="shared" si="11"/>
        <v>18.581387016200061</v>
      </c>
      <c r="Q73">
        <f t="shared" si="8"/>
        <v>4.8554299999999997E-6</v>
      </c>
      <c r="R73">
        <f t="shared" si="9"/>
        <v>1.79952E-5</v>
      </c>
      <c r="T73">
        <f t="shared" si="12"/>
        <v>1.2214457316076124</v>
      </c>
      <c r="U73">
        <f t="shared" si="12"/>
        <v>18.581387016200061</v>
      </c>
      <c r="W73">
        <f t="shared" si="13"/>
        <v>0</v>
      </c>
      <c r="X73">
        <f t="shared" si="13"/>
        <v>0</v>
      </c>
    </row>
    <row r="74" spans="1:24" x14ac:dyDescent="0.35">
      <c r="A74">
        <v>467.90100000000001</v>
      </c>
      <c r="B74">
        <v>4.7981099999999997E-6</v>
      </c>
      <c r="C74">
        <v>1.7946300000000001E-5</v>
      </c>
      <c r="D74">
        <f t="shared" si="10"/>
        <v>1.2070261499566053</v>
      </c>
      <c r="E74">
        <f t="shared" si="11"/>
        <v>18.530894116699521</v>
      </c>
      <c r="Q74">
        <f t="shared" si="8"/>
        <v>4.7981099999999997E-6</v>
      </c>
      <c r="R74">
        <f t="shared" si="9"/>
        <v>1.7946300000000001E-5</v>
      </c>
      <c r="T74">
        <f t="shared" si="12"/>
        <v>1.2070261499566053</v>
      </c>
      <c r="U74">
        <f t="shared" si="12"/>
        <v>18.530894116699521</v>
      </c>
      <c r="W74">
        <f t="shared" si="13"/>
        <v>0</v>
      </c>
      <c r="X74">
        <f t="shared" si="13"/>
        <v>0</v>
      </c>
    </row>
    <row r="75" spans="1:24" x14ac:dyDescent="0.35">
      <c r="A75">
        <v>474.11200000000002</v>
      </c>
      <c r="B75">
        <v>4.7473399999999997E-6</v>
      </c>
      <c r="C75">
        <v>1.7895100000000001E-5</v>
      </c>
      <c r="D75">
        <f t="shared" si="10"/>
        <v>1.1942543048689986</v>
      </c>
      <c r="E75">
        <f t="shared" si="11"/>
        <v>18.478026295545575</v>
      </c>
      <c r="Q75">
        <f t="shared" si="8"/>
        <v>4.7473399999999997E-6</v>
      </c>
      <c r="R75">
        <f t="shared" si="9"/>
        <v>1.7895100000000001E-5</v>
      </c>
      <c r="T75">
        <f t="shared" si="12"/>
        <v>1.1942543048689986</v>
      </c>
      <c r="U75">
        <f t="shared" si="12"/>
        <v>18.478026295545575</v>
      </c>
      <c r="W75">
        <f t="shared" si="13"/>
        <v>0</v>
      </c>
      <c r="X75">
        <f t="shared" si="13"/>
        <v>0</v>
      </c>
    </row>
    <row r="76" spans="1:24" x14ac:dyDescent="0.35">
      <c r="A76">
        <v>480.45699999999999</v>
      </c>
      <c r="B76">
        <v>4.6953900000000001E-6</v>
      </c>
      <c r="C76">
        <v>1.7847500000000001E-5</v>
      </c>
      <c r="D76">
        <f t="shared" si="10"/>
        <v>1.1811856156371459</v>
      </c>
      <c r="E76">
        <f t="shared" si="11"/>
        <v>18.42887574306652</v>
      </c>
      <c r="Q76">
        <f t="shared" si="8"/>
        <v>4.6953900000000001E-6</v>
      </c>
      <c r="R76">
        <f t="shared" si="9"/>
        <v>1.7847500000000001E-5</v>
      </c>
      <c r="T76">
        <f t="shared" si="12"/>
        <v>1.1811856156371459</v>
      </c>
      <c r="U76">
        <f t="shared" si="12"/>
        <v>18.42887574306652</v>
      </c>
      <c r="W76">
        <f t="shared" si="13"/>
        <v>0</v>
      </c>
      <c r="X76">
        <f t="shared" si="13"/>
        <v>0</v>
      </c>
    </row>
    <row r="77" spans="1:24" x14ac:dyDescent="0.35">
      <c r="A77">
        <v>486.59</v>
      </c>
      <c r="B77">
        <v>4.6567599999999998E-6</v>
      </c>
      <c r="C77">
        <v>1.7817800000000001E-5</v>
      </c>
      <c r="D77">
        <f t="shared" si="10"/>
        <v>1.1714677433555967</v>
      </c>
      <c r="E77">
        <f t="shared" si="11"/>
        <v>18.398208276498703</v>
      </c>
      <c r="Q77">
        <f t="shared" si="8"/>
        <v>4.6567599999999998E-6</v>
      </c>
      <c r="R77">
        <f t="shared" si="9"/>
        <v>1.7817800000000001E-5</v>
      </c>
      <c r="T77">
        <f t="shared" si="12"/>
        <v>1.1714677433555967</v>
      </c>
      <c r="U77">
        <f t="shared" si="12"/>
        <v>18.398208276498703</v>
      </c>
      <c r="W77">
        <f t="shared" si="13"/>
        <v>0</v>
      </c>
      <c r="X77">
        <f t="shared" si="13"/>
        <v>0</v>
      </c>
    </row>
    <row r="78" spans="1:24" x14ac:dyDescent="0.35">
      <c r="A78">
        <v>492.80599999999998</v>
      </c>
      <c r="B78">
        <v>4.6181400000000001E-6</v>
      </c>
      <c r="C78">
        <v>1.7785500000000001E-5</v>
      </c>
      <c r="D78">
        <f t="shared" si="10"/>
        <v>1.1617523867023887</v>
      </c>
      <c r="E78">
        <f t="shared" si="11"/>
        <v>18.364856115887914</v>
      </c>
      <c r="Q78">
        <f t="shared" si="8"/>
        <v>4.6181400000000001E-6</v>
      </c>
      <c r="R78">
        <f t="shared" si="9"/>
        <v>1.7785500000000001E-5</v>
      </c>
      <c r="T78">
        <f t="shared" si="12"/>
        <v>1.1617523867023887</v>
      </c>
      <c r="U78">
        <f t="shared" si="12"/>
        <v>18.364856115887914</v>
      </c>
      <c r="W78">
        <f t="shared" si="13"/>
        <v>0</v>
      </c>
      <c r="X78">
        <f t="shared" si="13"/>
        <v>0</v>
      </c>
    </row>
    <row r="79" spans="1:24" x14ac:dyDescent="0.35">
      <c r="A79">
        <v>499.017</v>
      </c>
      <c r="B79">
        <v>4.5783800000000004E-6</v>
      </c>
      <c r="C79">
        <v>1.77418E-5</v>
      </c>
      <c r="D79">
        <f t="shared" si="10"/>
        <v>1.1517502484182989</v>
      </c>
      <c r="E79">
        <f t="shared" si="11"/>
        <v>18.31973260447332</v>
      </c>
      <c r="Q79">
        <f t="shared" si="8"/>
        <v>4.5783800000000004E-6</v>
      </c>
      <c r="R79">
        <f t="shared" si="9"/>
        <v>1.77418E-5</v>
      </c>
      <c r="T79">
        <f t="shared" si="12"/>
        <v>1.1517502484182989</v>
      </c>
      <c r="U79">
        <f t="shared" si="12"/>
        <v>18.31973260447332</v>
      </c>
      <c r="W79">
        <f t="shared" si="13"/>
        <v>0</v>
      </c>
      <c r="X79">
        <f t="shared" si="13"/>
        <v>0</v>
      </c>
    </row>
    <row r="80" spans="1:24" x14ac:dyDescent="0.35">
      <c r="A80">
        <v>505.20699999999999</v>
      </c>
      <c r="B80">
        <v>4.5368999999999997E-6</v>
      </c>
      <c r="C80">
        <v>1.76985E-5</v>
      </c>
      <c r="D80">
        <f t="shared" si="10"/>
        <v>1.1413154220595449</v>
      </c>
      <c r="E80">
        <f t="shared" si="11"/>
        <v>18.275022122911487</v>
      </c>
      <c r="Q80">
        <f t="shared" si="8"/>
        <v>4.5368999999999997E-6</v>
      </c>
      <c r="R80">
        <f t="shared" si="9"/>
        <v>1.76985E-5</v>
      </c>
      <c r="T80">
        <f t="shared" si="12"/>
        <v>1.1413154220595449</v>
      </c>
      <c r="U80">
        <f t="shared" si="12"/>
        <v>18.275022122911487</v>
      </c>
      <c r="W80">
        <f t="shared" si="13"/>
        <v>0</v>
      </c>
      <c r="X80">
        <f t="shared" si="13"/>
        <v>0</v>
      </c>
    </row>
    <row r="81" spans="1:24" x14ac:dyDescent="0.35">
      <c r="A81">
        <v>518.327</v>
      </c>
      <c r="B81">
        <v>2.6444199999999999E-4</v>
      </c>
      <c r="C81">
        <v>9.3803300000000004E-5</v>
      </c>
      <c r="D81">
        <f t="shared" si="10"/>
        <v>66.523778976893951</v>
      </c>
      <c r="E81">
        <f t="shared" si="11"/>
        <v>96.858907969720775</v>
      </c>
      <c r="Q81">
        <f t="shared" si="8"/>
        <v>2.6444199999999999E-4</v>
      </c>
      <c r="R81">
        <f t="shared" si="9"/>
        <v>9.3803300000000004E-5</v>
      </c>
      <c r="T81">
        <f t="shared" si="12"/>
        <v>66.523778976893951</v>
      </c>
      <c r="U81">
        <f t="shared" si="12"/>
        <v>96.858907969720775</v>
      </c>
      <c r="W81">
        <f t="shared" si="13"/>
        <v>0</v>
      </c>
      <c r="X81">
        <f t="shared" si="13"/>
        <v>0</v>
      </c>
    </row>
    <row r="82" spans="1:24" x14ac:dyDescent="0.35">
      <c r="A82">
        <v>524.44100000000003</v>
      </c>
      <c r="B82">
        <v>2.7347E-4</v>
      </c>
      <c r="C82">
        <v>9.1720500000000004E-5</v>
      </c>
      <c r="D82">
        <f t="shared" si="10"/>
        <v>68.794888243210949</v>
      </c>
      <c r="E82">
        <f t="shared" si="11"/>
        <v>94.708261526372468</v>
      </c>
      <c r="Q82">
        <f t="shared" si="8"/>
        <v>2.7347E-4</v>
      </c>
      <c r="R82">
        <f t="shared" si="9"/>
        <v>9.1720500000000004E-5</v>
      </c>
      <c r="T82">
        <f t="shared" si="12"/>
        <v>68.794888243210949</v>
      </c>
      <c r="U82">
        <f t="shared" si="12"/>
        <v>94.708261526372468</v>
      </c>
      <c r="W82">
        <f t="shared" si="13"/>
        <v>0</v>
      </c>
      <c r="X82">
        <f t="shared" si="13"/>
        <v>0</v>
      </c>
    </row>
    <row r="83" spans="1:24" x14ac:dyDescent="0.35">
      <c r="A83">
        <v>530.67700000000002</v>
      </c>
      <c r="B83">
        <v>2.7997699999999999E-4</v>
      </c>
      <c r="C83">
        <v>8.9595300000000006E-5</v>
      </c>
      <c r="D83">
        <f t="shared" si="10"/>
        <v>70.431807604744478</v>
      </c>
      <c r="E83">
        <f t="shared" si="11"/>
        <v>92.51383391863105</v>
      </c>
      <c r="Q83">
        <f t="shared" si="8"/>
        <v>2.7997699999999999E-4</v>
      </c>
      <c r="R83">
        <f t="shared" si="9"/>
        <v>8.9595300000000006E-5</v>
      </c>
      <c r="T83">
        <f t="shared" si="12"/>
        <v>70.431807604744478</v>
      </c>
      <c r="U83">
        <f t="shared" si="12"/>
        <v>92.51383391863105</v>
      </c>
      <c r="W83">
        <f t="shared" si="13"/>
        <v>0</v>
      </c>
      <c r="X83">
        <f t="shared" si="13"/>
        <v>0</v>
      </c>
    </row>
    <row r="84" spans="1:24" x14ac:dyDescent="0.35">
      <c r="A84">
        <v>536.91800000000001</v>
      </c>
      <c r="B84">
        <v>2.8581899999999998E-4</v>
      </c>
      <c r="C84">
        <v>8.8205600000000001E-5</v>
      </c>
      <c r="D84">
        <f t="shared" si="10"/>
        <v>71.901437681596931</v>
      </c>
      <c r="E84">
        <f t="shared" si="11"/>
        <v>91.078864952661604</v>
      </c>
      <c r="Q84">
        <f t="shared" si="8"/>
        <v>2.8581899999999998E-4</v>
      </c>
      <c r="R84">
        <f t="shared" si="9"/>
        <v>8.8205600000000001E-5</v>
      </c>
      <c r="T84">
        <f t="shared" si="12"/>
        <v>71.901437681596931</v>
      </c>
      <c r="U84">
        <f t="shared" si="12"/>
        <v>91.078864952661604</v>
      </c>
      <c r="W84">
        <f t="shared" si="13"/>
        <v>0</v>
      </c>
      <c r="X84">
        <f t="shared" si="13"/>
        <v>0</v>
      </c>
    </row>
    <row r="85" spans="1:24" x14ac:dyDescent="0.35">
      <c r="A85">
        <v>543.17700000000002</v>
      </c>
      <c r="B85">
        <v>2.8981100000000001E-4</v>
      </c>
      <c r="C85">
        <v>8.70089E-5</v>
      </c>
      <c r="D85">
        <f t="shared" si="10"/>
        <v>72.90567651535163</v>
      </c>
      <c r="E85">
        <f t="shared" si="11"/>
        <v>89.843182890651377</v>
      </c>
      <c r="Q85">
        <f t="shared" si="8"/>
        <v>2.8981100000000001E-4</v>
      </c>
      <c r="R85">
        <f t="shared" si="9"/>
        <v>8.70089E-5</v>
      </c>
      <c r="T85">
        <f t="shared" si="12"/>
        <v>72.90567651535163</v>
      </c>
      <c r="U85">
        <f t="shared" si="12"/>
        <v>89.843182890651377</v>
      </c>
      <c r="W85">
        <f t="shared" si="13"/>
        <v>0</v>
      </c>
      <c r="X85">
        <f t="shared" si="13"/>
        <v>0</v>
      </c>
    </row>
    <row r="86" spans="1:24" x14ac:dyDescent="0.35">
      <c r="A86">
        <v>549.27800000000002</v>
      </c>
      <c r="B86">
        <v>2.9320799999999999E-4</v>
      </c>
      <c r="C86">
        <v>8.7078999999999998E-5</v>
      </c>
      <c r="D86">
        <f t="shared" si="10"/>
        <v>73.76023546281273</v>
      </c>
      <c r="E86">
        <f t="shared" si="11"/>
        <v>89.915566372348465</v>
      </c>
      <c r="Q86">
        <f t="shared" si="8"/>
        <v>2.9320799999999999E-4</v>
      </c>
      <c r="R86">
        <f t="shared" si="9"/>
        <v>8.7078999999999998E-5</v>
      </c>
      <c r="T86">
        <f t="shared" si="12"/>
        <v>73.76023546281273</v>
      </c>
      <c r="U86">
        <f t="shared" si="12"/>
        <v>89.915566372348465</v>
      </c>
      <c r="W86">
        <f t="shared" si="13"/>
        <v>0</v>
      </c>
      <c r="X86">
        <f t="shared" si="13"/>
        <v>0</v>
      </c>
    </row>
    <row r="87" spans="1:24" x14ac:dyDescent="0.35">
      <c r="A87">
        <v>555.61199999999997</v>
      </c>
      <c r="B87">
        <v>2.95908E-4</v>
      </c>
      <c r="C87">
        <v>8.6801399999999999E-5</v>
      </c>
      <c r="D87">
        <f t="shared" si="10"/>
        <v>74.439455114901335</v>
      </c>
      <c r="E87">
        <f t="shared" si="11"/>
        <v>89.62892365452943</v>
      </c>
      <c r="Q87">
        <f t="shared" si="8"/>
        <v>2.95908E-4</v>
      </c>
      <c r="R87">
        <f t="shared" si="9"/>
        <v>8.6801399999999999E-5</v>
      </c>
      <c r="T87">
        <f t="shared" si="12"/>
        <v>74.439455114901335</v>
      </c>
      <c r="U87">
        <f t="shared" si="12"/>
        <v>89.62892365452943</v>
      </c>
      <c r="W87">
        <f t="shared" si="13"/>
        <v>0</v>
      </c>
      <c r="X87">
        <f t="shared" si="13"/>
        <v>0</v>
      </c>
    </row>
    <row r="88" spans="1:24" x14ac:dyDescent="0.35">
      <c r="A88">
        <v>561.73</v>
      </c>
      <c r="B88">
        <v>2.9773400000000002E-4</v>
      </c>
      <c r="C88">
        <v>8.7199699999999998E-5</v>
      </c>
      <c r="D88">
        <f t="shared" si="10"/>
        <v>74.898808849980512</v>
      </c>
      <c r="E88">
        <f t="shared" si="11"/>
        <v>90.040198130420364</v>
      </c>
      <c r="Q88">
        <f t="shared" si="8"/>
        <v>2.9773400000000002E-4</v>
      </c>
      <c r="R88">
        <f t="shared" si="9"/>
        <v>8.7199699999999998E-5</v>
      </c>
      <c r="T88">
        <f t="shared" si="12"/>
        <v>74.898808849980512</v>
      </c>
      <c r="U88">
        <f t="shared" si="12"/>
        <v>90.040198130420364</v>
      </c>
      <c r="W88">
        <f t="shared" si="13"/>
        <v>0</v>
      </c>
      <c r="X88">
        <f t="shared" si="13"/>
        <v>0</v>
      </c>
    </row>
    <row r="89" spans="1:24" x14ac:dyDescent="0.35">
      <c r="A89">
        <v>567.92600000000004</v>
      </c>
      <c r="B89">
        <v>2.9938499999999999E-4</v>
      </c>
      <c r="C89">
        <v>8.7641900000000005E-5</v>
      </c>
      <c r="D89">
        <f t="shared" si="10"/>
        <v>75.314139089090986</v>
      </c>
      <c r="E89">
        <f t="shared" si="11"/>
        <v>90.49680263265229</v>
      </c>
      <c r="Q89">
        <f t="shared" si="8"/>
        <v>2.9938499999999999E-4</v>
      </c>
      <c r="R89">
        <f t="shared" si="9"/>
        <v>8.7641900000000005E-5</v>
      </c>
      <c r="T89">
        <f t="shared" si="12"/>
        <v>75.314139089090986</v>
      </c>
      <c r="U89">
        <f t="shared" si="12"/>
        <v>90.49680263265229</v>
      </c>
      <c r="W89">
        <f t="shared" si="13"/>
        <v>0</v>
      </c>
      <c r="X89">
        <f t="shared" si="13"/>
        <v>0</v>
      </c>
    </row>
    <row r="90" spans="1:24" x14ac:dyDescent="0.35">
      <c r="A90">
        <v>574.19000000000005</v>
      </c>
      <c r="B90">
        <v>3.00883E-4</v>
      </c>
      <c r="C90">
        <v>8.7578199999999994E-5</v>
      </c>
      <c r="D90">
        <f t="shared" si="10"/>
        <v>75.690980214583107</v>
      </c>
      <c r="E90">
        <f t="shared" si="11"/>
        <v>90.431027628599409</v>
      </c>
      <c r="Q90">
        <f t="shared" si="8"/>
        <v>3.00883E-4</v>
      </c>
      <c r="R90">
        <f t="shared" si="9"/>
        <v>8.7578199999999994E-5</v>
      </c>
      <c r="T90">
        <f t="shared" si="12"/>
        <v>75.690980214583107</v>
      </c>
      <c r="U90">
        <f t="shared" si="12"/>
        <v>90.431027628599409</v>
      </c>
      <c r="W90">
        <f t="shared" si="13"/>
        <v>0</v>
      </c>
      <c r="X90">
        <f t="shared" si="13"/>
        <v>0</v>
      </c>
    </row>
    <row r="91" spans="1:24" x14ac:dyDescent="0.35">
      <c r="A91">
        <v>580.33500000000004</v>
      </c>
      <c r="B91">
        <v>3.0247299999999999E-4</v>
      </c>
      <c r="C91">
        <v>8.7162800000000005E-5</v>
      </c>
      <c r="D91">
        <f t="shared" si="10"/>
        <v>76.090965120813053</v>
      </c>
      <c r="E91">
        <f t="shared" si="11"/>
        <v>90.002096126502778</v>
      </c>
      <c r="Q91">
        <f t="shared" si="8"/>
        <v>3.0247299999999999E-4</v>
      </c>
      <c r="R91">
        <f t="shared" si="9"/>
        <v>8.7162800000000005E-5</v>
      </c>
      <c r="T91">
        <f t="shared" si="12"/>
        <v>76.090965120813053</v>
      </c>
      <c r="U91">
        <f t="shared" si="12"/>
        <v>90.002096126502778</v>
      </c>
      <c r="W91">
        <f t="shared" si="13"/>
        <v>0</v>
      </c>
      <c r="X91">
        <f t="shared" si="13"/>
        <v>0</v>
      </c>
    </row>
    <row r="92" spans="1:24" x14ac:dyDescent="0.35">
      <c r="A92">
        <v>586.61800000000005</v>
      </c>
      <c r="B92">
        <v>3.0413499999999997E-4</v>
      </c>
      <c r="C92">
        <v>8.7108999999999996E-5</v>
      </c>
      <c r="D92">
        <f t="shared" si="10"/>
        <v>76.509062551098694</v>
      </c>
      <c r="E92">
        <f t="shared" si="11"/>
        <v>89.946543611305856</v>
      </c>
      <c r="Q92">
        <f t="shared" si="8"/>
        <v>3.0413499999999997E-4</v>
      </c>
      <c r="R92">
        <f t="shared" si="9"/>
        <v>8.7108999999999996E-5</v>
      </c>
      <c r="T92">
        <f t="shared" si="12"/>
        <v>76.509062551098694</v>
      </c>
      <c r="U92">
        <f t="shared" si="12"/>
        <v>89.946543611305856</v>
      </c>
      <c r="W92">
        <f t="shared" si="13"/>
        <v>0</v>
      </c>
      <c r="X92">
        <f t="shared" si="13"/>
        <v>0</v>
      </c>
    </row>
    <row r="93" spans="1:24" x14ac:dyDescent="0.35">
      <c r="A93">
        <v>592.80999999999995</v>
      </c>
      <c r="B93">
        <v>3.0523699999999998E-4</v>
      </c>
      <c r="C93">
        <v>8.6693999999999994E-5</v>
      </c>
      <c r="D93">
        <f t="shared" si="10"/>
        <v>76.786284794284484</v>
      </c>
      <c r="E93">
        <f t="shared" si="11"/>
        <v>89.518025139061976</v>
      </c>
      <c r="Q93">
        <f t="shared" si="8"/>
        <v>3.0523699999999998E-4</v>
      </c>
      <c r="R93">
        <f t="shared" si="9"/>
        <v>8.6693999999999994E-5</v>
      </c>
      <c r="T93">
        <f t="shared" si="12"/>
        <v>76.786284794284484</v>
      </c>
      <c r="U93">
        <f t="shared" si="12"/>
        <v>89.518025139061976</v>
      </c>
      <c r="W93">
        <f t="shared" si="13"/>
        <v>0</v>
      </c>
      <c r="X93">
        <f t="shared" si="13"/>
        <v>0</v>
      </c>
    </row>
    <row r="94" spans="1:24" x14ac:dyDescent="0.35">
      <c r="A94">
        <v>598.93799999999999</v>
      </c>
      <c r="B94">
        <v>3.0685100000000002E-4</v>
      </c>
      <c r="C94">
        <v>8.6465599999999994E-5</v>
      </c>
      <c r="D94">
        <f t="shared" si="10"/>
        <v>77.192307208533023</v>
      </c>
      <c r="E94">
        <f t="shared" si="11"/>
        <v>89.282185093133066</v>
      </c>
      <c r="Q94">
        <f t="shared" si="8"/>
        <v>3.0685100000000002E-4</v>
      </c>
      <c r="R94">
        <f t="shared" si="9"/>
        <v>8.6465599999999994E-5</v>
      </c>
      <c r="T94">
        <f t="shared" si="12"/>
        <v>77.192307208533023</v>
      </c>
      <c r="U94">
        <f t="shared" si="12"/>
        <v>89.282185093133066</v>
      </c>
      <c r="W94">
        <f t="shared" si="13"/>
        <v>0</v>
      </c>
      <c r="X94">
        <f t="shared" si="13"/>
        <v>0</v>
      </c>
    </row>
    <row r="95" spans="1:24" x14ac:dyDescent="0.35">
      <c r="A95">
        <v>605.25900000000001</v>
      </c>
      <c r="B95">
        <v>3.0815299999999998E-4</v>
      </c>
      <c r="C95">
        <v>8.6440200000000006E-5</v>
      </c>
      <c r="D95">
        <f t="shared" si="10"/>
        <v>77.519842018540174</v>
      </c>
      <c r="E95">
        <f t="shared" si="11"/>
        <v>89.255957697482486</v>
      </c>
      <c r="Q95">
        <f t="shared" si="8"/>
        <v>3.0815299999999998E-4</v>
      </c>
      <c r="R95">
        <f t="shared" si="9"/>
        <v>8.6440200000000006E-5</v>
      </c>
      <c r="T95">
        <f t="shared" si="12"/>
        <v>77.519842018540174</v>
      </c>
      <c r="U95">
        <f t="shared" si="12"/>
        <v>89.255957697482486</v>
      </c>
      <c r="W95">
        <f t="shared" si="13"/>
        <v>0</v>
      </c>
      <c r="X95">
        <f t="shared" si="13"/>
        <v>0</v>
      </c>
    </row>
    <row r="96" spans="1:24" x14ac:dyDescent="0.35">
      <c r="A96">
        <v>611.42399999999998</v>
      </c>
      <c r="B96">
        <v>3.09294E-4</v>
      </c>
      <c r="C96">
        <v>8.6361599999999997E-5</v>
      </c>
      <c r="D96">
        <f t="shared" si="10"/>
        <v>77.806875212256145</v>
      </c>
      <c r="E96">
        <f t="shared" si="11"/>
        <v>89.174797331414112</v>
      </c>
      <c r="Q96">
        <f t="shared" si="8"/>
        <v>3.09294E-4</v>
      </c>
      <c r="R96">
        <f t="shared" si="9"/>
        <v>8.6361599999999997E-5</v>
      </c>
      <c r="T96">
        <f t="shared" si="12"/>
        <v>77.806875212256145</v>
      </c>
      <c r="U96">
        <f t="shared" si="12"/>
        <v>89.174797331414112</v>
      </c>
      <c r="W96">
        <f t="shared" si="13"/>
        <v>0</v>
      </c>
      <c r="X96">
        <f t="shared" si="13"/>
        <v>0</v>
      </c>
    </row>
    <row r="97" spans="1:24" x14ac:dyDescent="0.35">
      <c r="A97">
        <v>617.57000000000005</v>
      </c>
      <c r="B97">
        <v>3.0993399999999999E-4</v>
      </c>
      <c r="C97">
        <v>8.7040799999999995E-5</v>
      </c>
      <c r="D97">
        <f t="shared" si="10"/>
        <v>77.967875426084561</v>
      </c>
      <c r="E97">
        <f t="shared" si="11"/>
        <v>89.876122021409387</v>
      </c>
      <c r="Q97">
        <f t="shared" si="8"/>
        <v>3.0993399999999999E-4</v>
      </c>
      <c r="R97">
        <f t="shared" si="9"/>
        <v>8.7040799999999995E-5</v>
      </c>
      <c r="T97">
        <f t="shared" si="12"/>
        <v>77.967875426084561</v>
      </c>
      <c r="U97">
        <f t="shared" si="12"/>
        <v>89.876122021409387</v>
      </c>
      <c r="W97">
        <f t="shared" si="13"/>
        <v>0</v>
      </c>
      <c r="X97">
        <f t="shared" si="13"/>
        <v>0</v>
      </c>
    </row>
    <row r="98" spans="1:24" x14ac:dyDescent="0.35">
      <c r="A98">
        <v>623.89099999999996</v>
      </c>
      <c r="B98">
        <v>3.1108600000000002E-4</v>
      </c>
      <c r="C98">
        <v>8.7143800000000004E-5</v>
      </c>
      <c r="D98">
        <f t="shared" si="10"/>
        <v>78.257675810975698</v>
      </c>
      <c r="E98">
        <f t="shared" si="11"/>
        <v>89.982477208496434</v>
      </c>
      <c r="Q98">
        <f t="shared" si="8"/>
        <v>3.1108600000000002E-4</v>
      </c>
      <c r="R98">
        <f t="shared" si="9"/>
        <v>8.7143800000000004E-5</v>
      </c>
      <c r="T98">
        <f t="shared" si="12"/>
        <v>78.257675810975698</v>
      </c>
      <c r="U98">
        <f t="shared" si="12"/>
        <v>89.982477208496434</v>
      </c>
      <c r="W98">
        <f t="shared" si="13"/>
        <v>0</v>
      </c>
      <c r="X98">
        <f t="shared" si="13"/>
        <v>0</v>
      </c>
    </row>
    <row r="99" spans="1:24" x14ac:dyDescent="0.35">
      <c r="A99">
        <v>630.03800000000001</v>
      </c>
      <c r="B99">
        <v>3.1143399999999997E-4</v>
      </c>
      <c r="C99">
        <v>8.7269500000000002E-5</v>
      </c>
      <c r="D99">
        <f t="shared" si="10"/>
        <v>78.345219677244884</v>
      </c>
      <c r="E99">
        <f t="shared" si="11"/>
        <v>90.112271839727896</v>
      </c>
      <c r="Q99">
        <f t="shared" ref="Q99:Q109" si="14">AVERAGE(B99,G99,L99)</f>
        <v>3.1143399999999997E-4</v>
      </c>
      <c r="R99">
        <f t="shared" ref="R99:R109" si="15">AVERAGE(C99,H99,M99)</f>
        <v>8.7269500000000002E-5</v>
      </c>
      <c r="T99">
        <f t="shared" si="12"/>
        <v>78.345219677244884</v>
      </c>
      <c r="U99">
        <f t="shared" si="12"/>
        <v>90.112271839727896</v>
      </c>
      <c r="W99">
        <f t="shared" si="13"/>
        <v>0</v>
      </c>
      <c r="X99">
        <f t="shared" si="13"/>
        <v>0</v>
      </c>
    </row>
    <row r="100" spans="1:24" x14ac:dyDescent="0.35">
      <c r="A100">
        <v>636.29200000000003</v>
      </c>
      <c r="B100">
        <v>3.1245699999999998E-4</v>
      </c>
      <c r="C100">
        <v>8.7095599999999993E-5</v>
      </c>
      <c r="D100">
        <f t="shared" si="10"/>
        <v>78.602568456536233</v>
      </c>
      <c r="E100">
        <f t="shared" si="11"/>
        <v>89.932707111238216</v>
      </c>
      <c r="Q100">
        <f t="shared" si="14"/>
        <v>3.1245699999999998E-4</v>
      </c>
      <c r="R100">
        <f t="shared" si="15"/>
        <v>8.7095599999999993E-5</v>
      </c>
      <c r="T100">
        <f t="shared" si="12"/>
        <v>78.602568456536233</v>
      </c>
      <c r="U100">
        <f t="shared" si="12"/>
        <v>89.932707111238216</v>
      </c>
      <c r="W100">
        <f t="shared" si="13"/>
        <v>0</v>
      </c>
      <c r="X100">
        <f t="shared" si="13"/>
        <v>0</v>
      </c>
    </row>
    <row r="101" spans="1:24" x14ac:dyDescent="0.35">
      <c r="A101">
        <v>642.43200000000002</v>
      </c>
      <c r="B101">
        <v>3.1315E-4</v>
      </c>
      <c r="C101">
        <v>8.6662299999999999E-5</v>
      </c>
      <c r="D101">
        <f t="shared" si="10"/>
        <v>78.776901500572308</v>
      </c>
      <c r="E101">
        <f t="shared" si="11"/>
        <v>89.485292523230342</v>
      </c>
      <c r="Q101">
        <f t="shared" si="14"/>
        <v>3.1315E-4</v>
      </c>
      <c r="R101">
        <f t="shared" si="15"/>
        <v>8.6662299999999999E-5</v>
      </c>
      <c r="T101">
        <f t="shared" si="12"/>
        <v>78.776901500572308</v>
      </c>
      <c r="U101">
        <f t="shared" si="12"/>
        <v>89.485292523230342</v>
      </c>
      <c r="W101">
        <f t="shared" si="13"/>
        <v>0</v>
      </c>
      <c r="X101">
        <f t="shared" si="13"/>
        <v>0</v>
      </c>
    </row>
    <row r="102" spans="1:24" x14ac:dyDescent="0.35">
      <c r="A102">
        <v>648.59</v>
      </c>
      <c r="B102">
        <v>3.1363000000000002E-4</v>
      </c>
      <c r="C102">
        <v>8.7087499999999996E-5</v>
      </c>
      <c r="D102">
        <f t="shared" si="10"/>
        <v>78.897651660943623</v>
      </c>
      <c r="E102">
        <f t="shared" si="11"/>
        <v>89.924343256719723</v>
      </c>
      <c r="Q102">
        <f t="shared" si="14"/>
        <v>3.1363000000000002E-4</v>
      </c>
      <c r="R102">
        <f t="shared" si="15"/>
        <v>8.7087499999999996E-5</v>
      </c>
      <c r="T102">
        <f t="shared" si="12"/>
        <v>78.897651660943623</v>
      </c>
      <c r="U102">
        <f t="shared" si="12"/>
        <v>89.924343256719723</v>
      </c>
      <c r="W102">
        <f t="shared" si="13"/>
        <v>0</v>
      </c>
      <c r="X102">
        <f t="shared" si="13"/>
        <v>0</v>
      </c>
    </row>
    <row r="103" spans="1:24" x14ac:dyDescent="0.35">
      <c r="A103">
        <v>654.86</v>
      </c>
      <c r="B103">
        <v>3.1472100000000001E-4</v>
      </c>
      <c r="C103">
        <v>8.6855399999999995E-5</v>
      </c>
      <c r="D103">
        <f t="shared" si="10"/>
        <v>79.172106712954232</v>
      </c>
      <c r="E103">
        <f t="shared" si="11"/>
        <v>89.684682684652728</v>
      </c>
      <c r="Q103">
        <f t="shared" si="14"/>
        <v>3.1472100000000001E-4</v>
      </c>
      <c r="R103">
        <f t="shared" si="15"/>
        <v>8.6855399999999995E-5</v>
      </c>
      <c r="T103">
        <f t="shared" si="12"/>
        <v>79.172106712954232</v>
      </c>
      <c r="U103">
        <f t="shared" si="12"/>
        <v>89.684682684652728</v>
      </c>
      <c r="W103">
        <f t="shared" si="13"/>
        <v>0</v>
      </c>
      <c r="X103">
        <f t="shared" si="13"/>
        <v>0</v>
      </c>
    </row>
    <row r="104" spans="1:24" x14ac:dyDescent="0.35">
      <c r="A104">
        <v>661.11800000000005</v>
      </c>
      <c r="B104">
        <v>3.1617100000000002E-4</v>
      </c>
      <c r="C104">
        <v>8.6627900000000005E-5</v>
      </c>
      <c r="D104">
        <f t="shared" si="10"/>
        <v>79.536872822409222</v>
      </c>
      <c r="E104">
        <f t="shared" si="11"/>
        <v>89.449771955892544</v>
      </c>
      <c r="Q104">
        <f t="shared" si="14"/>
        <v>3.1617100000000002E-4</v>
      </c>
      <c r="R104">
        <f t="shared" si="15"/>
        <v>8.6627900000000005E-5</v>
      </c>
      <c r="T104">
        <f t="shared" si="12"/>
        <v>79.536872822409222</v>
      </c>
      <c r="U104">
        <f t="shared" si="12"/>
        <v>89.449771955892544</v>
      </c>
      <c r="W104">
        <f t="shared" si="13"/>
        <v>0</v>
      </c>
      <c r="X104">
        <f t="shared" si="13"/>
        <v>0</v>
      </c>
    </row>
    <row r="105" spans="1:24" x14ac:dyDescent="0.35">
      <c r="A105">
        <v>667.221</v>
      </c>
      <c r="B105">
        <v>3.1690700000000001E-4</v>
      </c>
      <c r="C105">
        <v>8.6900199999999999E-5</v>
      </c>
      <c r="D105">
        <f t="shared" si="10"/>
        <v>79.722023068311898</v>
      </c>
      <c r="E105">
        <f t="shared" si="11"/>
        <v>89.730942028162431</v>
      </c>
      <c r="Q105">
        <f t="shared" si="14"/>
        <v>3.1690700000000001E-4</v>
      </c>
      <c r="R105">
        <f t="shared" si="15"/>
        <v>8.6900199999999999E-5</v>
      </c>
      <c r="T105">
        <f t="shared" si="12"/>
        <v>79.722023068311898</v>
      </c>
      <c r="U105">
        <f t="shared" si="12"/>
        <v>89.730942028162431</v>
      </c>
      <c r="W105">
        <f t="shared" si="13"/>
        <v>0</v>
      </c>
      <c r="X105">
        <f t="shared" si="13"/>
        <v>0</v>
      </c>
    </row>
    <row r="106" spans="1:24" x14ac:dyDescent="0.35">
      <c r="A106">
        <v>673.51599999999996</v>
      </c>
      <c r="B106">
        <v>3.1731000000000001E-4</v>
      </c>
      <c r="C106">
        <v>8.7231900000000001E-5</v>
      </c>
      <c r="D106">
        <f t="shared" si="10"/>
        <v>79.823402890456975</v>
      </c>
      <c r="E106">
        <f t="shared" si="11"/>
        <v>90.073447033567959</v>
      </c>
      <c r="Q106">
        <f t="shared" si="14"/>
        <v>3.1731000000000001E-4</v>
      </c>
      <c r="R106">
        <f t="shared" si="15"/>
        <v>8.7231900000000001E-5</v>
      </c>
      <c r="T106">
        <f t="shared" si="12"/>
        <v>79.823402890456975</v>
      </c>
      <c r="U106">
        <f t="shared" si="12"/>
        <v>90.073447033567959</v>
      </c>
      <c r="W106">
        <f t="shared" si="13"/>
        <v>0</v>
      </c>
      <c r="X106">
        <f t="shared" si="13"/>
        <v>0</v>
      </c>
    </row>
    <row r="107" spans="1:24" x14ac:dyDescent="0.35">
      <c r="A107">
        <v>679.74</v>
      </c>
      <c r="B107">
        <v>3.1794400000000002E-4</v>
      </c>
      <c r="C107">
        <v>8.7366699999999998E-5</v>
      </c>
      <c r="D107">
        <f t="shared" si="10"/>
        <v>79.982893727280739</v>
      </c>
      <c r="E107">
        <f t="shared" si="11"/>
        <v>90.21263809394982</v>
      </c>
      <c r="Q107">
        <f t="shared" si="14"/>
        <v>3.1794400000000002E-4</v>
      </c>
      <c r="R107">
        <f t="shared" si="15"/>
        <v>8.7366699999999998E-5</v>
      </c>
      <c r="T107">
        <f t="shared" si="12"/>
        <v>79.982893727280739</v>
      </c>
      <c r="U107">
        <f t="shared" si="12"/>
        <v>90.21263809394982</v>
      </c>
      <c r="W107">
        <f t="shared" si="13"/>
        <v>0</v>
      </c>
      <c r="X107">
        <f t="shared" si="13"/>
        <v>0</v>
      </c>
    </row>
    <row r="108" spans="1:24" x14ac:dyDescent="0.35">
      <c r="A108">
        <v>685.89499999999998</v>
      </c>
      <c r="B108">
        <v>3.1853600000000001E-4</v>
      </c>
      <c r="C108">
        <v>8.7279099999999996E-5</v>
      </c>
      <c r="D108">
        <f t="shared" si="10"/>
        <v>80.131818925072025</v>
      </c>
      <c r="E108">
        <f t="shared" si="11"/>
        <v>90.122184556194256</v>
      </c>
      <c r="Q108">
        <f t="shared" si="14"/>
        <v>3.1853600000000001E-4</v>
      </c>
      <c r="R108">
        <f t="shared" si="15"/>
        <v>8.7279099999999996E-5</v>
      </c>
      <c r="T108">
        <f t="shared" si="12"/>
        <v>80.131818925072025</v>
      </c>
      <c r="U108">
        <f t="shared" si="12"/>
        <v>90.122184556194256</v>
      </c>
      <c r="W108">
        <f t="shared" si="13"/>
        <v>0</v>
      </c>
      <c r="X108">
        <f t="shared" si="13"/>
        <v>0</v>
      </c>
    </row>
    <row r="109" spans="1:24" x14ac:dyDescent="0.35">
      <c r="A109">
        <v>692.197</v>
      </c>
      <c r="B109">
        <v>3.1924399999999999E-4</v>
      </c>
      <c r="C109">
        <v>8.7273600000000004E-5</v>
      </c>
      <c r="D109">
        <f t="shared" si="10"/>
        <v>80.309925411619687</v>
      </c>
      <c r="E109">
        <f t="shared" si="11"/>
        <v>90.116505395718733</v>
      </c>
      <c r="Q109">
        <f t="shared" si="14"/>
        <v>3.1924399999999999E-4</v>
      </c>
      <c r="R109">
        <f t="shared" si="15"/>
        <v>8.7273600000000004E-5</v>
      </c>
      <c r="T109">
        <f t="shared" si="12"/>
        <v>80.309925411619687</v>
      </c>
      <c r="U109">
        <f t="shared" si="12"/>
        <v>90.116505395718733</v>
      </c>
      <c r="W109">
        <f t="shared" si="13"/>
        <v>0</v>
      </c>
      <c r="X109">
        <f t="shared" si="13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A546-1EFC-47D7-80C8-A852AA3E57B1}">
  <dimension ref="A1:X109"/>
  <sheetViews>
    <sheetView workbookViewId="0">
      <selection activeCell="Y5" sqref="Y5"/>
    </sheetView>
  </sheetViews>
  <sheetFormatPr defaultColWidth="8.81640625" defaultRowHeight="14.5" x14ac:dyDescent="0.35"/>
  <cols>
    <col min="1" max="1" width="9.453125" bestFit="1" customWidth="1"/>
    <col min="2" max="2" width="12.1796875" bestFit="1" customWidth="1"/>
    <col min="3" max="3" width="9.36328125" bestFit="1" customWidth="1"/>
    <col min="4" max="5" width="12.453125" customWidth="1"/>
    <col min="7" max="7" width="12.1796875" bestFit="1" customWidth="1"/>
    <col min="8" max="8" width="11.81640625" bestFit="1" customWidth="1"/>
    <col min="9" max="10" width="12.453125" customWidth="1"/>
    <col min="12" max="13" width="11.81640625" bestFit="1" customWidth="1"/>
    <col min="14" max="15" width="12.453125" customWidth="1"/>
    <col min="16" max="16" width="8.6328125" style="1"/>
    <col min="17" max="18" width="11.81640625" bestFit="1" customWidth="1"/>
    <col min="20" max="21" width="11.81640625" bestFit="1" customWidth="1"/>
    <col min="23" max="24" width="9.453125" bestFit="1" customWidth="1"/>
  </cols>
  <sheetData>
    <row r="1" spans="1:24" ht="29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s="2" t="s">
        <v>0</v>
      </c>
      <c r="H1" s="2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6.2696399999999999</v>
      </c>
      <c r="B3">
        <v>3.3224600000000002E-3</v>
      </c>
      <c r="C3">
        <v>2.7827700000000001E-4</v>
      </c>
      <c r="D3">
        <f>B3/$B$3*100</f>
        <v>100</v>
      </c>
      <c r="E3">
        <f>C3/$C$3*100</f>
        <v>100</v>
      </c>
      <c r="G3" s="7">
        <v>6.1274500000000004E-4</v>
      </c>
      <c r="H3" s="7">
        <v>1.27253E-4</v>
      </c>
      <c r="I3" s="6">
        <f>G3/$G$3*100</f>
        <v>100</v>
      </c>
      <c r="J3" s="6">
        <f>H3/$H$3*100</f>
        <v>100</v>
      </c>
      <c r="L3" s="7">
        <v>7.6735499999999995E-4</v>
      </c>
      <c r="M3" s="7">
        <v>1.54473E-4</v>
      </c>
      <c r="N3" s="6">
        <f>L3/$L$3*100</f>
        <v>100</v>
      </c>
      <c r="O3" s="6">
        <f>M3/$M$3*100</f>
        <v>100</v>
      </c>
      <c r="Q3">
        <f t="shared" ref="Q3:Q66" si="0">AVERAGE(B3,G3,L3)</f>
        <v>1.5675200000000002E-3</v>
      </c>
      <c r="R3">
        <f t="shared" ref="R3:R66" si="1">AVERAGE(C3,H3,M3)</f>
        <v>1.8666766666666668E-4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12.3698</v>
      </c>
      <c r="B4">
        <v>3.3146299999999998E-3</v>
      </c>
      <c r="C4">
        <v>2.8272099999999999E-4</v>
      </c>
      <c r="D4">
        <f t="shared" ref="D4:D67" si="2">B4/$B$3*100</f>
        <v>99.764331248532699</v>
      </c>
      <c r="E4">
        <f t="shared" ref="E4:E67" si="3">C4/$C$3*100</f>
        <v>101.59696992564962</v>
      </c>
      <c r="G4" s="7">
        <v>6.1414599999999998E-4</v>
      </c>
      <c r="H4" s="7">
        <v>1.2683200000000001E-4</v>
      </c>
      <c r="I4" s="6">
        <f t="shared" ref="I4:I67" si="4">G4/$G$3*100</f>
        <v>100.22864323658291</v>
      </c>
      <c r="J4" s="6">
        <f t="shared" ref="J4:J67" si="5">H4/$H$3*100</f>
        <v>99.669163005980224</v>
      </c>
      <c r="L4" s="7">
        <v>7.6956099999999999E-4</v>
      </c>
      <c r="M4" s="7">
        <v>1.5384E-4</v>
      </c>
      <c r="N4" s="6">
        <f t="shared" ref="N4:N67" si="6">L4/$L$3*100</f>
        <v>100.28748102247332</v>
      </c>
      <c r="O4" s="6">
        <f t="shared" ref="O4:O67" si="7">M4/$M$3*100</f>
        <v>99.590219650035934</v>
      </c>
      <c r="Q4">
        <f t="shared" si="0"/>
        <v>1.5661123333333335E-3</v>
      </c>
      <c r="R4">
        <f t="shared" si="1"/>
        <v>1.8779766666666669E-4</v>
      </c>
      <c r="T4">
        <f t="shared" ref="T4:T67" si="8">AVERAGE(D4,I4,N4)</f>
        <v>100.09348516919631</v>
      </c>
      <c r="U4">
        <f t="shared" ref="U4:U67" si="9">AVERAGE(E4,J4,O4)</f>
        <v>100.28545086055526</v>
      </c>
      <c r="W4">
        <f t="shared" ref="W4:W67" si="10">_xlfn.STDEV.P(D4,I4,N4)</f>
        <v>0.23398318868142454</v>
      </c>
      <c r="X4">
        <f t="shared" ref="X4:X67" si="11">_xlfn.STDEV.P(E4,J4,O4)</f>
        <v>0.92794385855374628</v>
      </c>
    </row>
    <row r="5" spans="1:24" x14ac:dyDescent="0.35">
      <c r="A5">
        <v>18.654</v>
      </c>
      <c r="B5">
        <v>3.32628E-3</v>
      </c>
      <c r="C5">
        <v>2.7398800000000002E-4</v>
      </c>
      <c r="D5">
        <f t="shared" si="2"/>
        <v>100.11497504860856</v>
      </c>
      <c r="E5">
        <f t="shared" si="3"/>
        <v>98.458729970497032</v>
      </c>
      <c r="G5" s="7">
        <v>6.1477000000000005E-4</v>
      </c>
      <c r="H5" s="7">
        <v>1.2594700000000001E-4</v>
      </c>
      <c r="I5" s="6">
        <f t="shared" si="4"/>
        <v>100.33048005287681</v>
      </c>
      <c r="J5" s="6">
        <f t="shared" si="5"/>
        <v>98.973698066057395</v>
      </c>
      <c r="L5" s="7">
        <v>7.7106099999999997E-4</v>
      </c>
      <c r="M5" s="7">
        <v>1.5316E-4</v>
      </c>
      <c r="N5" s="6">
        <f t="shared" si="6"/>
        <v>100.48295769233275</v>
      </c>
      <c r="O5" s="6">
        <f t="shared" si="7"/>
        <v>99.150013270927602</v>
      </c>
      <c r="Q5">
        <f t="shared" si="0"/>
        <v>1.5707036666666666E-3</v>
      </c>
      <c r="R5">
        <f t="shared" si="1"/>
        <v>1.84365E-4</v>
      </c>
      <c r="T5">
        <f t="shared" si="8"/>
        <v>100.3094709312727</v>
      </c>
      <c r="U5">
        <f t="shared" si="9"/>
        <v>98.860813769160686</v>
      </c>
      <c r="W5">
        <f t="shared" si="10"/>
        <v>0.15096101906009396</v>
      </c>
      <c r="X5">
        <f t="shared" si="11"/>
        <v>0.29328632054466863</v>
      </c>
    </row>
    <row r="6" spans="1:24" x14ac:dyDescent="0.35">
      <c r="A6">
        <v>24.779599999999999</v>
      </c>
      <c r="B6">
        <v>3.3215200000000001E-3</v>
      </c>
      <c r="C6">
        <v>2.7154399999999997E-4</v>
      </c>
      <c r="D6">
        <f t="shared" si="2"/>
        <v>99.971707710551811</v>
      </c>
      <c r="E6">
        <f t="shared" si="3"/>
        <v>97.580468382223458</v>
      </c>
      <c r="G6" s="7">
        <v>6.1546099999999998E-4</v>
      </c>
      <c r="H6" s="7">
        <v>1.25833E-4</v>
      </c>
      <c r="I6" s="6">
        <f t="shared" si="4"/>
        <v>100.4432512709202</v>
      </c>
      <c r="J6" s="6">
        <f t="shared" si="5"/>
        <v>98.884112751762245</v>
      </c>
      <c r="L6" s="7">
        <v>7.7362000000000004E-4</v>
      </c>
      <c r="M6" s="7">
        <v>1.53103E-4</v>
      </c>
      <c r="N6" s="6">
        <f t="shared" si="6"/>
        <v>100.81644089111299</v>
      </c>
      <c r="O6" s="6">
        <f t="shared" si="7"/>
        <v>99.113113618561172</v>
      </c>
      <c r="Q6">
        <f t="shared" si="0"/>
        <v>1.5702003333333333E-3</v>
      </c>
      <c r="R6">
        <f t="shared" si="1"/>
        <v>1.8349333333333333E-4</v>
      </c>
      <c r="T6">
        <f t="shared" si="8"/>
        <v>100.41046662419501</v>
      </c>
      <c r="U6">
        <f t="shared" si="9"/>
        <v>98.525898250848954</v>
      </c>
      <c r="W6">
        <f t="shared" si="10"/>
        <v>0.34563917735206962</v>
      </c>
      <c r="X6">
        <f t="shared" si="11"/>
        <v>0.67502522254880148</v>
      </c>
    </row>
    <row r="7" spans="1:24" x14ac:dyDescent="0.35">
      <c r="A7">
        <v>31.0945</v>
      </c>
      <c r="B7">
        <v>3.3225899999999998E-3</v>
      </c>
      <c r="C7">
        <v>2.69177E-4</v>
      </c>
      <c r="D7">
        <f t="shared" si="2"/>
        <v>100.00391276343433</v>
      </c>
      <c r="E7">
        <f t="shared" si="3"/>
        <v>96.72987706493889</v>
      </c>
      <c r="G7" s="7">
        <v>6.1547100000000003E-4</v>
      </c>
      <c r="H7" s="7">
        <v>1.2557099999999999E-4</v>
      </c>
      <c r="I7" s="6">
        <f t="shared" si="4"/>
        <v>100.44488327118133</v>
      </c>
      <c r="J7" s="6">
        <f t="shared" si="5"/>
        <v>98.678223696101469</v>
      </c>
      <c r="L7" s="7">
        <v>7.7489499999999995E-4</v>
      </c>
      <c r="M7" s="7">
        <v>1.52087E-4</v>
      </c>
      <c r="N7" s="6">
        <f t="shared" si="6"/>
        <v>100.98259606049351</v>
      </c>
      <c r="O7" s="6">
        <f t="shared" si="7"/>
        <v>98.455393499187565</v>
      </c>
      <c r="Q7">
        <f t="shared" si="0"/>
        <v>1.5709853333333334E-3</v>
      </c>
      <c r="R7">
        <f t="shared" si="1"/>
        <v>1.8227833333333331E-4</v>
      </c>
      <c r="T7">
        <f t="shared" si="8"/>
        <v>100.47713069836972</v>
      </c>
      <c r="U7">
        <f t="shared" si="9"/>
        <v>97.954498086742646</v>
      </c>
      <c r="W7">
        <f t="shared" si="10"/>
        <v>0.40019592818673094</v>
      </c>
      <c r="X7">
        <f t="shared" si="11"/>
        <v>0.87070309116518785</v>
      </c>
    </row>
    <row r="8" spans="1:24" x14ac:dyDescent="0.35">
      <c r="A8">
        <v>37.161900000000003</v>
      </c>
      <c r="B8">
        <v>3.3242100000000002E-3</v>
      </c>
      <c r="C8">
        <v>2.6552900000000003E-4</v>
      </c>
      <c r="D8">
        <f t="shared" si="2"/>
        <v>100.05267181546205</v>
      </c>
      <c r="E8">
        <f t="shared" si="3"/>
        <v>95.418953057564948</v>
      </c>
      <c r="G8" s="7">
        <v>6.1479199999999996E-4</v>
      </c>
      <c r="H8" s="7">
        <v>1.25129E-4</v>
      </c>
      <c r="I8" s="6">
        <f t="shared" si="4"/>
        <v>100.33407045345126</v>
      </c>
      <c r="J8" s="6">
        <f t="shared" si="5"/>
        <v>98.330884144185205</v>
      </c>
      <c r="L8" s="7">
        <v>7.7616899999999995E-4</v>
      </c>
      <c r="M8" s="7">
        <v>1.5235300000000001E-4</v>
      </c>
      <c r="N8" s="6">
        <f t="shared" si="6"/>
        <v>101.14862091209413</v>
      </c>
      <c r="O8" s="6">
        <f t="shared" si="7"/>
        <v>98.627591876897597</v>
      </c>
      <c r="Q8">
        <f t="shared" si="0"/>
        <v>1.5717236666666669E-3</v>
      </c>
      <c r="R8">
        <f t="shared" si="1"/>
        <v>1.8100366666666667E-4</v>
      </c>
      <c r="T8">
        <f t="shared" si="8"/>
        <v>100.51178772700247</v>
      </c>
      <c r="U8">
        <f t="shared" si="9"/>
        <v>97.459143026215926</v>
      </c>
      <c r="W8">
        <f t="shared" si="10"/>
        <v>0.46473194968786663</v>
      </c>
      <c r="X8">
        <f t="shared" si="11"/>
        <v>1.4477085804357317</v>
      </c>
    </row>
    <row r="9" spans="1:24" x14ac:dyDescent="0.35">
      <c r="A9">
        <v>43.441699999999997</v>
      </c>
      <c r="B9">
        <v>3.3245900000000001E-3</v>
      </c>
      <c r="C9">
        <v>2.6177399999999999E-4</v>
      </c>
      <c r="D9">
        <f t="shared" si="2"/>
        <v>100.06410912396235</v>
      </c>
      <c r="E9">
        <f t="shared" si="3"/>
        <v>94.069578154141382</v>
      </c>
      <c r="G9" s="7">
        <v>6.156E-4</v>
      </c>
      <c r="H9" s="7">
        <v>1.2462199999999999E-4</v>
      </c>
      <c r="I9" s="6">
        <f t="shared" si="4"/>
        <v>100.46593607454977</v>
      </c>
      <c r="J9" s="6">
        <f t="shared" si="5"/>
        <v>97.932465246398905</v>
      </c>
      <c r="L9" s="7">
        <v>7.7657400000000004E-4</v>
      </c>
      <c r="M9" s="7">
        <v>1.52409E-4</v>
      </c>
      <c r="N9" s="6">
        <f t="shared" si="6"/>
        <v>101.20139961295619</v>
      </c>
      <c r="O9" s="6">
        <f t="shared" si="7"/>
        <v>98.6638441669418</v>
      </c>
      <c r="Q9">
        <f t="shared" si="0"/>
        <v>1.5722546666666667E-3</v>
      </c>
      <c r="R9">
        <f t="shared" si="1"/>
        <v>1.7960166666666669E-4</v>
      </c>
      <c r="T9">
        <f t="shared" si="8"/>
        <v>100.57714827048945</v>
      </c>
      <c r="U9">
        <f t="shared" si="9"/>
        <v>96.888629189160682</v>
      </c>
      <c r="W9">
        <f t="shared" si="10"/>
        <v>0.47090942404617808</v>
      </c>
      <c r="X9">
        <f t="shared" si="11"/>
        <v>2.0156083175865658</v>
      </c>
    </row>
    <row r="10" spans="1:24" x14ac:dyDescent="0.35">
      <c r="A10">
        <v>49.671799999999998</v>
      </c>
      <c r="B10">
        <v>3.3303400000000002E-3</v>
      </c>
      <c r="C10">
        <v>2.6724000000000002E-4</v>
      </c>
      <c r="D10">
        <f t="shared" si="2"/>
        <v>100.23717366048048</v>
      </c>
      <c r="E10">
        <f t="shared" si="3"/>
        <v>96.033808040190166</v>
      </c>
      <c r="G10" s="7">
        <v>6.1520900000000002E-4</v>
      </c>
      <c r="H10" s="7">
        <v>1.24766E-4</v>
      </c>
      <c r="I10" s="6">
        <f t="shared" si="4"/>
        <v>100.40212486433997</v>
      </c>
      <c r="J10" s="6">
        <f t="shared" si="5"/>
        <v>98.045625643403298</v>
      </c>
      <c r="L10" s="7">
        <v>7.7722100000000003E-4</v>
      </c>
      <c r="M10" s="7">
        <v>1.51578E-4</v>
      </c>
      <c r="N10" s="6">
        <f t="shared" si="6"/>
        <v>101.28571521655559</v>
      </c>
      <c r="O10" s="6">
        <f t="shared" si="7"/>
        <v>98.125886077178535</v>
      </c>
      <c r="Q10">
        <f t="shared" si="0"/>
        <v>1.5742566666666668E-3</v>
      </c>
      <c r="R10">
        <f t="shared" si="1"/>
        <v>1.811946666666667E-4</v>
      </c>
      <c r="T10">
        <f t="shared" si="8"/>
        <v>100.64167124712533</v>
      </c>
      <c r="U10">
        <f t="shared" si="9"/>
        <v>97.401773253590662</v>
      </c>
      <c r="W10">
        <f t="shared" si="10"/>
        <v>0.46035978743679101</v>
      </c>
      <c r="X10">
        <f t="shared" si="11"/>
        <v>0.96785227974550403</v>
      </c>
    </row>
    <row r="11" spans="1:24" x14ac:dyDescent="0.35">
      <c r="A11">
        <v>55.927799999999998</v>
      </c>
      <c r="B11">
        <v>3.3255400000000001E-3</v>
      </c>
      <c r="C11">
        <v>2.5750000000000002E-4</v>
      </c>
      <c r="D11">
        <f t="shared" si="2"/>
        <v>100.09270239521317</v>
      </c>
      <c r="E11">
        <f t="shared" si="3"/>
        <v>92.533698437168738</v>
      </c>
      <c r="G11" s="7">
        <v>6.1446600000000004E-4</v>
      </c>
      <c r="H11" s="7">
        <v>1.2439699999999999E-4</v>
      </c>
      <c r="I11" s="6">
        <f t="shared" si="4"/>
        <v>100.28086724493876</v>
      </c>
      <c r="J11" s="6">
        <f t="shared" si="5"/>
        <v>97.755652126079539</v>
      </c>
      <c r="L11" s="7">
        <v>7.7836400000000003E-4</v>
      </c>
      <c r="M11" s="7">
        <v>1.5148200000000001E-4</v>
      </c>
      <c r="N11" s="6">
        <f t="shared" si="6"/>
        <v>101.43466843898847</v>
      </c>
      <c r="O11" s="6">
        <f t="shared" si="7"/>
        <v>98.063739294245607</v>
      </c>
      <c r="Q11">
        <f t="shared" si="0"/>
        <v>1.5727900000000001E-3</v>
      </c>
      <c r="R11">
        <f t="shared" si="1"/>
        <v>1.7779300000000001E-4</v>
      </c>
      <c r="T11">
        <f t="shared" si="8"/>
        <v>100.60274602638013</v>
      </c>
      <c r="U11">
        <f t="shared" si="9"/>
        <v>96.117696619164619</v>
      </c>
      <c r="W11">
        <f t="shared" si="10"/>
        <v>0.59325243537531824</v>
      </c>
      <c r="X11">
        <f t="shared" si="11"/>
        <v>2.5373886382407056</v>
      </c>
    </row>
    <row r="12" spans="1:24" x14ac:dyDescent="0.35">
      <c r="A12">
        <v>62.031100000000002</v>
      </c>
      <c r="B12">
        <v>3.32556E-3</v>
      </c>
      <c r="C12">
        <v>2.5676200000000001E-4</v>
      </c>
      <c r="D12">
        <f t="shared" si="2"/>
        <v>100.09330435881847</v>
      </c>
      <c r="E12">
        <f t="shared" si="3"/>
        <v>92.268495060676941</v>
      </c>
      <c r="G12" s="7">
        <v>6.1413500000000003E-4</v>
      </c>
      <c r="H12" s="7">
        <v>1.2407499999999999E-4</v>
      </c>
      <c r="I12" s="6">
        <f t="shared" si="4"/>
        <v>100.22684803629569</v>
      </c>
      <c r="J12" s="6">
        <f t="shared" si="5"/>
        <v>97.502612905000277</v>
      </c>
      <c r="L12" s="7">
        <v>7.7773899999999995E-4</v>
      </c>
      <c r="M12" s="7">
        <v>1.5196200000000001E-4</v>
      </c>
      <c r="N12" s="6">
        <f t="shared" si="6"/>
        <v>101.35321982654703</v>
      </c>
      <c r="O12" s="6">
        <f t="shared" si="7"/>
        <v>98.374473208910302</v>
      </c>
      <c r="Q12">
        <f t="shared" si="0"/>
        <v>1.5724779999999998E-3</v>
      </c>
      <c r="R12">
        <f t="shared" si="1"/>
        <v>1.7759966666666669E-4</v>
      </c>
      <c r="T12">
        <f t="shared" si="8"/>
        <v>100.55779074055374</v>
      </c>
      <c r="U12">
        <f t="shared" si="9"/>
        <v>96.04852705819583</v>
      </c>
      <c r="W12">
        <f t="shared" si="10"/>
        <v>0.5650894038891181</v>
      </c>
      <c r="X12">
        <f t="shared" si="11"/>
        <v>2.6964812285746969</v>
      </c>
    </row>
    <row r="13" spans="1:24" x14ac:dyDescent="0.35">
      <c r="A13">
        <v>68.213200000000001</v>
      </c>
      <c r="B13">
        <v>3.3246299999999999E-3</v>
      </c>
      <c r="C13">
        <v>2.5493400000000001E-4</v>
      </c>
      <c r="D13">
        <f t="shared" si="2"/>
        <v>100.06531305117292</v>
      </c>
      <c r="E13">
        <f t="shared" si="3"/>
        <v>91.61159564031523</v>
      </c>
      <c r="G13" s="7">
        <v>6.1418400000000004E-4</v>
      </c>
      <c r="H13" s="7">
        <v>1.2367199999999999E-4</v>
      </c>
      <c r="I13" s="6">
        <f t="shared" si="4"/>
        <v>100.23484483757517</v>
      </c>
      <c r="J13" s="6">
        <f t="shared" si="5"/>
        <v>97.185920960606026</v>
      </c>
      <c r="L13" s="7">
        <v>7.7837000000000002E-4</v>
      </c>
      <c r="M13" s="7">
        <v>1.5138799999999999E-4</v>
      </c>
      <c r="N13" s="6">
        <f t="shared" si="6"/>
        <v>101.43545034566792</v>
      </c>
      <c r="O13" s="6">
        <f t="shared" si="7"/>
        <v>98.00288723595709</v>
      </c>
      <c r="Q13">
        <f t="shared" si="0"/>
        <v>1.5723946666666665E-3</v>
      </c>
      <c r="R13">
        <f t="shared" si="1"/>
        <v>1.7666466666666666E-4</v>
      </c>
      <c r="T13">
        <f t="shared" si="8"/>
        <v>100.57853607813867</v>
      </c>
      <c r="U13">
        <f t="shared" si="9"/>
        <v>95.600134612292777</v>
      </c>
      <c r="W13">
        <f t="shared" si="10"/>
        <v>0.60986982385400645</v>
      </c>
      <c r="X13">
        <f t="shared" si="11"/>
        <v>2.8399754484857853</v>
      </c>
    </row>
    <row r="14" spans="1:24" x14ac:dyDescent="0.35">
      <c r="A14">
        <v>74.461600000000004</v>
      </c>
      <c r="B14">
        <v>3.3224800000000001E-3</v>
      </c>
      <c r="C14">
        <v>2.5256299999999997E-4</v>
      </c>
      <c r="D14">
        <f t="shared" si="2"/>
        <v>100.00060196360528</v>
      </c>
      <c r="E14">
        <f t="shared" si="3"/>
        <v>90.759566906355886</v>
      </c>
      <c r="G14" s="7">
        <v>6.1367099999999999E-4</v>
      </c>
      <c r="H14" s="7">
        <v>1.2314100000000001E-4</v>
      </c>
      <c r="I14" s="6">
        <f t="shared" si="4"/>
        <v>100.15112322417971</v>
      </c>
      <c r="J14" s="6">
        <f t="shared" si="5"/>
        <v>96.768641996652349</v>
      </c>
      <c r="L14" s="7">
        <v>7.7888700000000003E-4</v>
      </c>
      <c r="M14" s="7">
        <v>1.51108E-4</v>
      </c>
      <c r="N14" s="6">
        <f t="shared" si="6"/>
        <v>101.50282463787947</v>
      </c>
      <c r="O14" s="6">
        <f t="shared" si="7"/>
        <v>97.821625785736018</v>
      </c>
      <c r="Q14">
        <f t="shared" si="0"/>
        <v>1.5716793333333332E-3</v>
      </c>
      <c r="R14">
        <f t="shared" si="1"/>
        <v>1.7560399999999999E-4</v>
      </c>
      <c r="T14">
        <f t="shared" si="8"/>
        <v>100.55151660855482</v>
      </c>
      <c r="U14">
        <f t="shared" si="9"/>
        <v>95.11661156291477</v>
      </c>
      <c r="W14">
        <f t="shared" si="10"/>
        <v>0.67547730653437044</v>
      </c>
      <c r="X14">
        <f t="shared" si="11"/>
        <v>3.1107418535835216</v>
      </c>
    </row>
    <row r="15" spans="1:24" x14ac:dyDescent="0.35">
      <c r="A15">
        <v>80.745000000000005</v>
      </c>
      <c r="B15">
        <v>3.3241299999999998E-3</v>
      </c>
      <c r="C15">
        <v>2.5013699999999999E-4</v>
      </c>
      <c r="D15">
        <f t="shared" si="2"/>
        <v>100.05026396104091</v>
      </c>
      <c r="E15">
        <f t="shared" si="3"/>
        <v>89.887773693118717</v>
      </c>
      <c r="G15" s="7">
        <v>6.13018E-4</v>
      </c>
      <c r="H15" s="7">
        <v>1.2277499999999999E-4</v>
      </c>
      <c r="I15" s="6">
        <f t="shared" si="4"/>
        <v>100.04455360712856</v>
      </c>
      <c r="J15" s="6">
        <f t="shared" si="5"/>
        <v>96.481025987599494</v>
      </c>
      <c r="L15" s="7">
        <v>7.7924000000000005E-4</v>
      </c>
      <c r="M15" s="7">
        <v>1.5096400000000001E-4</v>
      </c>
      <c r="N15" s="6">
        <f t="shared" si="6"/>
        <v>101.5488268141864</v>
      </c>
      <c r="O15" s="6">
        <f t="shared" si="7"/>
        <v>97.728405611336626</v>
      </c>
      <c r="Q15">
        <f t="shared" si="0"/>
        <v>1.5721293333333334E-3</v>
      </c>
      <c r="R15">
        <f t="shared" si="1"/>
        <v>1.7462533333333332E-4</v>
      </c>
      <c r="T15">
        <f t="shared" si="8"/>
        <v>100.54788146078529</v>
      </c>
      <c r="U15">
        <f t="shared" si="9"/>
        <v>94.699068430684932</v>
      </c>
      <c r="W15">
        <f t="shared" si="10"/>
        <v>0.70777908625356722</v>
      </c>
      <c r="X15">
        <f t="shared" si="11"/>
        <v>3.4400006560297833</v>
      </c>
    </row>
    <row r="16" spans="1:24" x14ac:dyDescent="0.35">
      <c r="A16">
        <v>86.833600000000004</v>
      </c>
      <c r="B16">
        <v>3.3256900000000001E-3</v>
      </c>
      <c r="C16">
        <v>2.5091600000000001E-4</v>
      </c>
      <c r="D16">
        <f t="shared" si="2"/>
        <v>100.09721712225279</v>
      </c>
      <c r="E16">
        <f t="shared" si="3"/>
        <v>90.16771059052671</v>
      </c>
      <c r="G16" s="7">
        <v>6.1271999999999997E-4</v>
      </c>
      <c r="H16" s="7">
        <v>1.22817E-4</v>
      </c>
      <c r="I16" s="6">
        <f t="shared" si="4"/>
        <v>99.995919999347194</v>
      </c>
      <c r="J16" s="6">
        <f t="shared" si="5"/>
        <v>96.514031103392455</v>
      </c>
      <c r="L16" s="7">
        <v>7.8020300000000004E-4</v>
      </c>
      <c r="M16" s="7">
        <v>1.5134600000000001E-4</v>
      </c>
      <c r="N16" s="6">
        <f t="shared" si="6"/>
        <v>101.67432283623616</v>
      </c>
      <c r="O16" s="6">
        <f t="shared" si="7"/>
        <v>97.975698018423941</v>
      </c>
      <c r="Q16">
        <f t="shared" si="0"/>
        <v>1.572871E-3</v>
      </c>
      <c r="R16">
        <f t="shared" si="1"/>
        <v>1.7502633333333335E-4</v>
      </c>
      <c r="T16">
        <f t="shared" si="8"/>
        <v>100.58915331927871</v>
      </c>
      <c r="U16">
        <f t="shared" si="9"/>
        <v>94.885813237447692</v>
      </c>
      <c r="W16">
        <f t="shared" si="10"/>
        <v>0.76844428866703518</v>
      </c>
      <c r="X16">
        <f t="shared" si="11"/>
        <v>3.3891480721843723</v>
      </c>
    </row>
    <row r="17" spans="1:24" x14ac:dyDescent="0.35">
      <c r="A17">
        <v>93.167199999999994</v>
      </c>
      <c r="B17">
        <v>3.3232800000000001E-3</v>
      </c>
      <c r="C17">
        <v>2.5018399999999997E-4</v>
      </c>
      <c r="D17">
        <f t="shared" si="2"/>
        <v>100.0246805078165</v>
      </c>
      <c r="E17">
        <f t="shared" si="3"/>
        <v>89.904663339047048</v>
      </c>
      <c r="G17" s="7">
        <v>6.1226E-4</v>
      </c>
      <c r="H17" s="7">
        <v>1.2236199999999999E-4</v>
      </c>
      <c r="I17" s="6">
        <f t="shared" si="4"/>
        <v>99.920847987335677</v>
      </c>
      <c r="J17" s="6">
        <f t="shared" si="5"/>
        <v>96.156475682302172</v>
      </c>
      <c r="L17" s="7">
        <v>7.8104499999999996E-4</v>
      </c>
      <c r="M17" s="7">
        <v>1.50655E-4</v>
      </c>
      <c r="N17" s="6">
        <f t="shared" si="6"/>
        <v>101.78405040691727</v>
      </c>
      <c r="O17" s="6">
        <f t="shared" si="7"/>
        <v>97.528370653771219</v>
      </c>
      <c r="Q17">
        <f t="shared" si="0"/>
        <v>1.5721950000000002E-3</v>
      </c>
      <c r="R17">
        <f t="shared" si="1"/>
        <v>1.744003333333333E-4</v>
      </c>
      <c r="T17">
        <f t="shared" si="8"/>
        <v>100.57652630068982</v>
      </c>
      <c r="U17">
        <f t="shared" si="9"/>
        <v>94.529836558373475</v>
      </c>
      <c r="W17">
        <f t="shared" si="10"/>
        <v>0.85490005202076702</v>
      </c>
      <c r="X17">
        <f t="shared" si="11"/>
        <v>3.3181013079537256</v>
      </c>
    </row>
    <row r="18" spans="1:24" x14ac:dyDescent="0.35">
      <c r="A18">
        <v>99.287099999999995</v>
      </c>
      <c r="B18">
        <v>3.3230299999999998E-3</v>
      </c>
      <c r="C18">
        <v>2.4809499999999999E-4</v>
      </c>
      <c r="D18">
        <f t="shared" si="2"/>
        <v>100.01715596275049</v>
      </c>
      <c r="E18">
        <f t="shared" si="3"/>
        <v>89.153972480657757</v>
      </c>
      <c r="G18" s="7">
        <v>6.1159599999999995E-4</v>
      </c>
      <c r="H18" s="7">
        <v>1.21724E-4</v>
      </c>
      <c r="I18" s="6">
        <f t="shared" si="4"/>
        <v>99.812483169997293</v>
      </c>
      <c r="J18" s="6">
        <f t="shared" si="5"/>
        <v>95.655112256685499</v>
      </c>
      <c r="L18" s="7">
        <v>7.8167199999999997E-4</v>
      </c>
      <c r="M18" s="7">
        <v>1.5010100000000001E-4</v>
      </c>
      <c r="N18" s="6">
        <f t="shared" si="6"/>
        <v>101.86575965491853</v>
      </c>
      <c r="O18" s="6">
        <f t="shared" si="7"/>
        <v>97.169731927262376</v>
      </c>
      <c r="Q18">
        <f t="shared" si="0"/>
        <v>1.5720993333333334E-3</v>
      </c>
      <c r="R18">
        <f t="shared" si="1"/>
        <v>1.7330666666666667E-4</v>
      </c>
      <c r="T18">
        <f t="shared" si="8"/>
        <v>100.5651329292221</v>
      </c>
      <c r="U18">
        <f t="shared" si="9"/>
        <v>93.992938888201877</v>
      </c>
      <c r="W18">
        <f t="shared" si="10"/>
        <v>0.9234699589844837</v>
      </c>
      <c r="X18">
        <f t="shared" si="11"/>
        <v>3.477088351540691</v>
      </c>
    </row>
    <row r="19" spans="1:24" x14ac:dyDescent="0.35">
      <c r="A19">
        <v>105.572</v>
      </c>
      <c r="B19">
        <v>3.3238999999999999E-3</v>
      </c>
      <c r="C19">
        <v>2.4738899999999999E-4</v>
      </c>
      <c r="D19">
        <f t="shared" si="2"/>
        <v>100.04334137958017</v>
      </c>
      <c r="E19">
        <f t="shared" si="3"/>
        <v>88.900268437563994</v>
      </c>
      <c r="G19" s="7">
        <v>6.1132299999999999E-4</v>
      </c>
      <c r="H19" s="7">
        <v>1.2211500000000001E-4</v>
      </c>
      <c r="I19" s="6">
        <f t="shared" si="4"/>
        <v>99.767929562868716</v>
      </c>
      <c r="J19" s="6">
        <f t="shared" si="5"/>
        <v>95.962374167996046</v>
      </c>
      <c r="L19" s="7">
        <v>7.8199499999999996E-4</v>
      </c>
      <c r="M19" s="7">
        <v>1.5115500000000001E-4</v>
      </c>
      <c r="N19" s="6">
        <f t="shared" si="6"/>
        <v>101.90785229782826</v>
      </c>
      <c r="O19" s="6">
        <f t="shared" si="7"/>
        <v>97.852051814880284</v>
      </c>
      <c r="Q19">
        <f t="shared" si="0"/>
        <v>1.5724059999999999E-3</v>
      </c>
      <c r="R19">
        <f t="shared" si="1"/>
        <v>1.7355300000000001E-4</v>
      </c>
      <c r="T19">
        <f t="shared" si="8"/>
        <v>100.57304108009238</v>
      </c>
      <c r="U19">
        <f t="shared" si="9"/>
        <v>94.238231473480099</v>
      </c>
      <c r="W19">
        <f t="shared" si="10"/>
        <v>0.95052745267780114</v>
      </c>
      <c r="X19">
        <f t="shared" si="11"/>
        <v>3.8525409305105436</v>
      </c>
    </row>
    <row r="20" spans="1:24" x14ac:dyDescent="0.35">
      <c r="A20">
        <v>111.81699999999999</v>
      </c>
      <c r="B20">
        <v>3.3170299999999999E-3</v>
      </c>
      <c r="C20">
        <v>2.5196399999999997E-4</v>
      </c>
      <c r="D20">
        <f t="shared" si="2"/>
        <v>99.836566881166362</v>
      </c>
      <c r="E20">
        <f t="shared" si="3"/>
        <v>90.544313759311763</v>
      </c>
      <c r="G20" s="7">
        <v>6.1103700000000004E-4</v>
      </c>
      <c r="H20" s="7">
        <v>1.21983E-4</v>
      </c>
      <c r="I20" s="6">
        <f t="shared" si="4"/>
        <v>99.721254355400703</v>
      </c>
      <c r="J20" s="6">
        <f t="shared" si="5"/>
        <v>95.858643804075356</v>
      </c>
      <c r="L20" s="7">
        <v>7.8256199999999999E-4</v>
      </c>
      <c r="M20" s="7">
        <v>1.5050600000000001E-4</v>
      </c>
      <c r="N20" s="6">
        <f t="shared" si="6"/>
        <v>101.98174247903513</v>
      </c>
      <c r="O20" s="6">
        <f t="shared" si="7"/>
        <v>97.43191366776071</v>
      </c>
      <c r="Q20">
        <f t="shared" si="0"/>
        <v>1.5702096666666667E-3</v>
      </c>
      <c r="R20">
        <f t="shared" si="1"/>
        <v>1.7481766666666669E-4</v>
      </c>
      <c r="T20">
        <f t="shared" si="8"/>
        <v>100.51318790520072</v>
      </c>
      <c r="U20">
        <f t="shared" si="9"/>
        <v>94.611623743715953</v>
      </c>
      <c r="W20">
        <f t="shared" si="10"/>
        <v>1.0394914291444215</v>
      </c>
      <c r="X20">
        <f t="shared" si="11"/>
        <v>2.9468686655409426</v>
      </c>
    </row>
    <row r="21" spans="1:24" x14ac:dyDescent="0.35">
      <c r="A21">
        <v>117.977</v>
      </c>
      <c r="B21">
        <v>3.3211899999999999E-3</v>
      </c>
      <c r="C21">
        <v>2.4874199999999998E-4</v>
      </c>
      <c r="D21">
        <f t="shared" si="2"/>
        <v>99.961775311064685</v>
      </c>
      <c r="E21">
        <f t="shared" si="3"/>
        <v>89.386474627798918</v>
      </c>
      <c r="G21" s="7">
        <v>6.1084400000000004E-4</v>
      </c>
      <c r="H21" s="7">
        <v>1.21663E-4</v>
      </c>
      <c r="I21" s="6">
        <f t="shared" si="4"/>
        <v>99.689756750361084</v>
      </c>
      <c r="J21" s="6">
        <f t="shared" si="5"/>
        <v>95.607176255176697</v>
      </c>
      <c r="L21" s="7">
        <v>7.8337600000000002E-4</v>
      </c>
      <c r="M21" s="7">
        <v>1.5042399999999999E-4</v>
      </c>
      <c r="N21" s="6">
        <f t="shared" si="6"/>
        <v>102.08782115187887</v>
      </c>
      <c r="O21" s="6">
        <f t="shared" si="7"/>
        <v>97.378829957338823</v>
      </c>
      <c r="Q21">
        <f t="shared" si="0"/>
        <v>1.5718033333333332E-3</v>
      </c>
      <c r="R21">
        <f t="shared" si="1"/>
        <v>1.7360966666666667E-4</v>
      </c>
      <c r="T21">
        <f t="shared" si="8"/>
        <v>100.57978440443488</v>
      </c>
      <c r="U21">
        <f t="shared" si="9"/>
        <v>94.124160280104817</v>
      </c>
      <c r="W21">
        <f t="shared" si="10"/>
        <v>1.0721099595572905</v>
      </c>
      <c r="X21">
        <f t="shared" si="11"/>
        <v>3.4272377813768173</v>
      </c>
    </row>
    <row r="22" spans="1:24" x14ac:dyDescent="0.35">
      <c r="A22">
        <v>124.10599999999999</v>
      </c>
      <c r="B22">
        <v>3.3245000000000002E-3</v>
      </c>
      <c r="C22">
        <v>2.4767499999999999E-4</v>
      </c>
      <c r="D22">
        <f t="shared" si="2"/>
        <v>100.06140028773859</v>
      </c>
      <c r="E22">
        <f t="shared" si="3"/>
        <v>89.00304372980878</v>
      </c>
      <c r="G22" s="7">
        <v>6.1009499999999995E-4</v>
      </c>
      <c r="H22" s="7">
        <v>1.21476E-4</v>
      </c>
      <c r="I22" s="6">
        <f t="shared" si="4"/>
        <v>99.567519930803172</v>
      </c>
      <c r="J22" s="6">
        <f t="shared" si="5"/>
        <v>95.460224906289042</v>
      </c>
      <c r="L22" s="7">
        <v>7.8500499999999997E-4</v>
      </c>
      <c r="M22" s="7">
        <v>1.50517E-4</v>
      </c>
      <c r="N22" s="6">
        <f t="shared" si="6"/>
        <v>102.30010881534623</v>
      </c>
      <c r="O22" s="6">
        <f t="shared" si="7"/>
        <v>97.439034653305114</v>
      </c>
      <c r="Q22">
        <f t="shared" si="0"/>
        <v>1.5732000000000001E-3</v>
      </c>
      <c r="R22">
        <f t="shared" si="1"/>
        <v>1.7322266666666664E-4</v>
      </c>
      <c r="T22">
        <f t="shared" si="8"/>
        <v>100.64300967796267</v>
      </c>
      <c r="U22">
        <f t="shared" si="9"/>
        <v>93.967434429800974</v>
      </c>
      <c r="W22">
        <f t="shared" si="10"/>
        <v>1.1889666704270812</v>
      </c>
      <c r="X22">
        <f t="shared" si="11"/>
        <v>3.6021107951078006</v>
      </c>
    </row>
    <row r="23" spans="1:24" x14ac:dyDescent="0.35">
      <c r="A23">
        <v>130.37799999999999</v>
      </c>
      <c r="B23">
        <v>3.3267499999999998E-3</v>
      </c>
      <c r="C23">
        <v>2.4877900000000002E-4</v>
      </c>
      <c r="D23">
        <f t="shared" si="2"/>
        <v>100.12912119333264</v>
      </c>
      <c r="E23">
        <f t="shared" si="3"/>
        <v>89.39977073204038</v>
      </c>
      <c r="G23" s="7">
        <v>6.1003700000000001E-4</v>
      </c>
      <c r="H23" s="7">
        <v>1.22037E-4</v>
      </c>
      <c r="I23" s="6">
        <f t="shared" si="4"/>
        <v>99.558054329288694</v>
      </c>
      <c r="J23" s="6">
        <f t="shared" si="5"/>
        <v>95.901078952951991</v>
      </c>
      <c r="L23" s="7">
        <v>7.85434E-4</v>
      </c>
      <c r="M23" s="7">
        <v>1.5034799999999999E-4</v>
      </c>
      <c r="N23" s="6">
        <f t="shared" si="6"/>
        <v>102.35601514292603</v>
      </c>
      <c r="O23" s="6">
        <f t="shared" si="7"/>
        <v>97.329630420850251</v>
      </c>
      <c r="Q23">
        <f t="shared" si="0"/>
        <v>1.5740736666666666E-3</v>
      </c>
      <c r="R23">
        <f t="shared" si="1"/>
        <v>1.7372133333333335E-4</v>
      </c>
      <c r="T23">
        <f t="shared" si="8"/>
        <v>100.68106355518245</v>
      </c>
      <c r="U23">
        <f t="shared" si="9"/>
        <v>94.210160035280879</v>
      </c>
      <c r="W23">
        <f t="shared" si="10"/>
        <v>1.2070974710065971</v>
      </c>
      <c r="X23">
        <f t="shared" si="11"/>
        <v>3.4510939097293472</v>
      </c>
    </row>
    <row r="24" spans="1:24" x14ac:dyDescent="0.35">
      <c r="A24">
        <v>136.60400000000001</v>
      </c>
      <c r="B24">
        <v>3.3263799999999999E-3</v>
      </c>
      <c r="C24">
        <v>2.4687999999999999E-4</v>
      </c>
      <c r="D24">
        <f t="shared" si="2"/>
        <v>100.11798486663494</v>
      </c>
      <c r="E24">
        <f t="shared" si="3"/>
        <v>88.717357165701799</v>
      </c>
      <c r="G24" s="7">
        <v>6.0989699999999998E-4</v>
      </c>
      <c r="H24" s="7">
        <v>1.21441E-4</v>
      </c>
      <c r="I24" s="6">
        <f t="shared" si="4"/>
        <v>99.535206325632998</v>
      </c>
      <c r="J24" s="6">
        <f t="shared" si="5"/>
        <v>95.432720643128263</v>
      </c>
      <c r="L24" s="7">
        <v>7.8751400000000001E-4</v>
      </c>
      <c r="M24" s="7">
        <v>1.51192E-4</v>
      </c>
      <c r="N24" s="6">
        <f t="shared" si="6"/>
        <v>102.62707612513114</v>
      </c>
      <c r="O24" s="6">
        <f t="shared" si="7"/>
        <v>97.876004220802344</v>
      </c>
      <c r="Q24">
        <f t="shared" si="0"/>
        <v>1.5745969999999998E-3</v>
      </c>
      <c r="R24">
        <f t="shared" si="1"/>
        <v>1.7317099999999999E-4</v>
      </c>
      <c r="T24">
        <f t="shared" si="8"/>
        <v>100.76008910579969</v>
      </c>
      <c r="U24">
        <f t="shared" si="9"/>
        <v>94.008694009877487</v>
      </c>
      <c r="W24">
        <f t="shared" si="10"/>
        <v>1.3414266298055411</v>
      </c>
      <c r="X24">
        <f t="shared" si="11"/>
        <v>3.8722166656951731</v>
      </c>
    </row>
    <row r="25" spans="1:24" x14ac:dyDescent="0.35">
      <c r="A25">
        <v>142.80099999999999</v>
      </c>
      <c r="B25">
        <v>3.3272499999999999E-3</v>
      </c>
      <c r="C25">
        <v>2.4585600000000003E-4</v>
      </c>
      <c r="D25">
        <f t="shared" si="2"/>
        <v>100.14417028346465</v>
      </c>
      <c r="E25">
        <f t="shared" si="3"/>
        <v>88.349378496965258</v>
      </c>
      <c r="G25" s="7">
        <v>6.1101899999999997E-4</v>
      </c>
      <c r="H25" s="7">
        <v>1.21317E-4</v>
      </c>
      <c r="I25" s="6">
        <f t="shared" si="4"/>
        <v>99.718316754930669</v>
      </c>
      <c r="J25" s="6">
        <f t="shared" si="5"/>
        <v>95.335276967930042</v>
      </c>
      <c r="L25" s="7">
        <v>7.8967200000000005E-4</v>
      </c>
      <c r="M25" s="7">
        <v>1.5086E-4</v>
      </c>
      <c r="N25" s="6">
        <f t="shared" si="6"/>
        <v>102.90830189416896</v>
      </c>
      <c r="O25" s="6">
        <f t="shared" si="7"/>
        <v>97.661079929825931</v>
      </c>
      <c r="Q25">
        <f t="shared" si="0"/>
        <v>1.5759803333333332E-3</v>
      </c>
      <c r="R25">
        <f t="shared" si="1"/>
        <v>1.7267766666666665E-4</v>
      </c>
      <c r="T25">
        <f t="shared" si="8"/>
        <v>100.92359631085476</v>
      </c>
      <c r="U25">
        <f t="shared" si="9"/>
        <v>93.781911798240401</v>
      </c>
      <c r="W25">
        <f t="shared" si="10"/>
        <v>1.4141263489684195</v>
      </c>
      <c r="X25">
        <f t="shared" si="11"/>
        <v>3.9569898834415831</v>
      </c>
    </row>
    <row r="26" spans="1:24" x14ac:dyDescent="0.35">
      <c r="A26">
        <v>148.94900000000001</v>
      </c>
      <c r="B26">
        <v>3.32614E-3</v>
      </c>
      <c r="C26">
        <v>2.4472600000000001E-4</v>
      </c>
      <c r="D26">
        <f t="shared" si="2"/>
        <v>100.1107613033716</v>
      </c>
      <c r="E26">
        <f t="shared" si="3"/>
        <v>87.943308286347772</v>
      </c>
      <c r="G26" s="7">
        <v>6.1047E-4</v>
      </c>
      <c r="H26" s="7">
        <v>1.21345E-4</v>
      </c>
      <c r="I26" s="6">
        <f t="shared" si="4"/>
        <v>99.628719940595175</v>
      </c>
      <c r="J26" s="6">
        <f t="shared" si="5"/>
        <v>95.357280378458668</v>
      </c>
      <c r="L26" s="7">
        <v>7.91514E-4</v>
      </c>
      <c r="M26" s="7">
        <v>1.51235E-4</v>
      </c>
      <c r="N26" s="6">
        <f t="shared" si="6"/>
        <v>103.14834724475634</v>
      </c>
      <c r="O26" s="6">
        <f t="shared" si="7"/>
        <v>97.903840800657733</v>
      </c>
      <c r="Q26">
        <f t="shared" si="0"/>
        <v>1.5760413333333334E-3</v>
      </c>
      <c r="R26">
        <f t="shared" si="1"/>
        <v>1.7243533333333335E-4</v>
      </c>
      <c r="T26">
        <f t="shared" si="8"/>
        <v>100.96260949624104</v>
      </c>
      <c r="U26">
        <f t="shared" si="9"/>
        <v>93.734809821821386</v>
      </c>
      <c r="W26">
        <f t="shared" si="10"/>
        <v>1.5580282620073325</v>
      </c>
      <c r="X26">
        <f t="shared" si="11"/>
        <v>4.2251122290832015</v>
      </c>
    </row>
    <row r="27" spans="1:24" x14ac:dyDescent="0.35">
      <c r="A27">
        <v>155.233</v>
      </c>
      <c r="B27">
        <v>3.3278600000000002E-3</v>
      </c>
      <c r="C27">
        <v>2.4168799999999999E-4</v>
      </c>
      <c r="D27">
        <f t="shared" si="2"/>
        <v>100.16253017342571</v>
      </c>
      <c r="E27">
        <f t="shared" si="3"/>
        <v>86.85159032187353</v>
      </c>
      <c r="G27" s="7">
        <v>6.1059199999999997E-4</v>
      </c>
      <c r="H27" s="7">
        <v>1.21422E-4</v>
      </c>
      <c r="I27" s="6">
        <f t="shared" si="4"/>
        <v>99.648630343780837</v>
      </c>
      <c r="J27" s="6">
        <f t="shared" si="5"/>
        <v>95.417789757412407</v>
      </c>
      <c r="L27" s="7">
        <v>7.9289699999999998E-4</v>
      </c>
      <c r="M27" s="7">
        <v>1.5160099999999999E-4</v>
      </c>
      <c r="N27" s="6">
        <f t="shared" si="6"/>
        <v>103.32857673436675</v>
      </c>
      <c r="O27" s="6">
        <f t="shared" si="7"/>
        <v>98.140775410589541</v>
      </c>
      <c r="Q27">
        <f t="shared" si="0"/>
        <v>1.5771163333333333E-3</v>
      </c>
      <c r="R27">
        <f t="shared" si="1"/>
        <v>1.7157033333333331E-4</v>
      </c>
      <c r="T27">
        <f t="shared" si="8"/>
        <v>101.04657908385775</v>
      </c>
      <c r="U27">
        <f t="shared" si="9"/>
        <v>93.470051829958493</v>
      </c>
      <c r="W27">
        <f t="shared" si="10"/>
        <v>1.62719763528664</v>
      </c>
      <c r="X27">
        <f t="shared" si="11"/>
        <v>4.8101758295897277</v>
      </c>
    </row>
    <row r="28" spans="1:24" x14ac:dyDescent="0.35">
      <c r="A28">
        <v>161.44499999999999</v>
      </c>
      <c r="B28">
        <v>3.3312400000000001E-3</v>
      </c>
      <c r="C28">
        <v>2.4424599999999999E-4</v>
      </c>
      <c r="D28">
        <f t="shared" si="2"/>
        <v>100.2642620227181</v>
      </c>
      <c r="E28">
        <f t="shared" si="3"/>
        <v>87.770818285377516</v>
      </c>
      <c r="G28" s="7">
        <v>6.1006400000000001E-4</v>
      </c>
      <c r="H28" s="7">
        <v>1.20914E-4</v>
      </c>
      <c r="I28" s="6">
        <f t="shared" si="4"/>
        <v>99.562460729993703</v>
      </c>
      <c r="J28" s="6">
        <f t="shared" si="5"/>
        <v>95.018585023535792</v>
      </c>
      <c r="L28" s="7">
        <v>7.9587600000000005E-4</v>
      </c>
      <c r="M28" s="7">
        <v>1.5149099999999999E-4</v>
      </c>
      <c r="N28" s="6">
        <f t="shared" si="6"/>
        <v>103.71679340070763</v>
      </c>
      <c r="O28" s="6">
        <f t="shared" si="7"/>
        <v>98.069565555145559</v>
      </c>
      <c r="Q28">
        <f t="shared" si="0"/>
        <v>1.57906E-3</v>
      </c>
      <c r="R28">
        <f t="shared" si="1"/>
        <v>1.7221700000000001E-4</v>
      </c>
      <c r="T28">
        <f t="shared" si="8"/>
        <v>101.18117205113981</v>
      </c>
      <c r="U28">
        <f t="shared" si="9"/>
        <v>93.619656288019613</v>
      </c>
      <c r="W28">
        <f t="shared" si="10"/>
        <v>1.8157024324680342</v>
      </c>
      <c r="X28">
        <f t="shared" si="11"/>
        <v>4.3192437638185641</v>
      </c>
    </row>
    <row r="29" spans="1:24" x14ac:dyDescent="0.35">
      <c r="A29">
        <v>167.59</v>
      </c>
      <c r="B29">
        <v>3.33089E-3</v>
      </c>
      <c r="C29">
        <v>2.46557E-4</v>
      </c>
      <c r="D29">
        <f t="shared" si="2"/>
        <v>100.2537276596257</v>
      </c>
      <c r="E29">
        <f t="shared" si="3"/>
        <v>88.601285769215565</v>
      </c>
      <c r="G29" s="7">
        <v>6.1104799999999999E-4</v>
      </c>
      <c r="H29" s="7">
        <v>1.2084299999999999E-4</v>
      </c>
      <c r="I29" s="6">
        <f t="shared" si="4"/>
        <v>99.723049555687922</v>
      </c>
      <c r="J29" s="6">
        <f t="shared" si="5"/>
        <v>94.962790661123904</v>
      </c>
      <c r="L29" s="7">
        <v>7.9841500000000002E-4</v>
      </c>
      <c r="M29" s="7">
        <v>1.52063E-4</v>
      </c>
      <c r="N29" s="6">
        <f t="shared" si="6"/>
        <v>104.04767024388974</v>
      </c>
      <c r="O29" s="6">
        <f t="shared" si="7"/>
        <v>98.439856803454333</v>
      </c>
      <c r="Q29">
        <f t="shared" si="0"/>
        <v>1.5801176666666668E-3</v>
      </c>
      <c r="R29">
        <f t="shared" si="1"/>
        <v>1.7315433333333331E-4</v>
      </c>
      <c r="T29">
        <f t="shared" si="8"/>
        <v>101.34148248640112</v>
      </c>
      <c r="U29">
        <f t="shared" si="9"/>
        <v>94.001311077931277</v>
      </c>
      <c r="W29">
        <f t="shared" si="10"/>
        <v>1.9257888334542665</v>
      </c>
      <c r="X29">
        <f t="shared" si="11"/>
        <v>4.0737126588745998</v>
      </c>
    </row>
    <row r="30" spans="1:24" x14ac:dyDescent="0.35">
      <c r="A30">
        <v>173.74799999999999</v>
      </c>
      <c r="B30">
        <v>3.3337599999999998E-3</v>
      </c>
      <c r="C30">
        <v>2.45042E-4</v>
      </c>
      <c r="D30">
        <f t="shared" si="2"/>
        <v>100.34010943698344</v>
      </c>
      <c r="E30">
        <f t="shared" si="3"/>
        <v>88.056864203653191</v>
      </c>
      <c r="G30" s="7">
        <v>6.1133300000000004E-4</v>
      </c>
      <c r="H30" s="7">
        <v>1.20856E-4</v>
      </c>
      <c r="I30" s="6">
        <f t="shared" si="4"/>
        <v>99.769561563129855</v>
      </c>
      <c r="J30" s="6">
        <f t="shared" si="5"/>
        <v>94.973006530297909</v>
      </c>
      <c r="L30" s="7">
        <v>8.0066299999999996E-4</v>
      </c>
      <c r="M30" s="7">
        <v>1.52335E-4</v>
      </c>
      <c r="N30" s="6">
        <f t="shared" si="6"/>
        <v>104.3406246131191</v>
      </c>
      <c r="O30" s="6">
        <f t="shared" si="7"/>
        <v>98.615939355097666</v>
      </c>
      <c r="Q30">
        <f t="shared" si="0"/>
        <v>1.5819186666666668E-3</v>
      </c>
      <c r="R30">
        <f t="shared" si="1"/>
        <v>1.7274433333333333E-4</v>
      </c>
      <c r="T30">
        <f t="shared" si="8"/>
        <v>101.48343187107746</v>
      </c>
      <c r="U30">
        <f t="shared" si="9"/>
        <v>93.881936696349598</v>
      </c>
      <c r="W30">
        <f t="shared" si="10"/>
        <v>2.0337230216151645</v>
      </c>
      <c r="X30">
        <f t="shared" si="11"/>
        <v>4.3792192645399748</v>
      </c>
    </row>
    <row r="31" spans="1:24" x14ac:dyDescent="0.35">
      <c r="A31">
        <v>179.999</v>
      </c>
      <c r="B31">
        <v>3.3344199999999998E-3</v>
      </c>
      <c r="C31">
        <v>2.4493699999999998E-4</v>
      </c>
      <c r="D31">
        <f t="shared" si="2"/>
        <v>100.35997423595768</v>
      </c>
      <c r="E31">
        <f t="shared" si="3"/>
        <v>88.01913201594094</v>
      </c>
      <c r="G31" s="7">
        <v>6.1198299999999997E-4</v>
      </c>
      <c r="H31" s="7">
        <v>1.21177E-4</v>
      </c>
      <c r="I31" s="6">
        <f t="shared" si="4"/>
        <v>99.875641580102638</v>
      </c>
      <c r="J31" s="6">
        <f t="shared" si="5"/>
        <v>95.22525991528687</v>
      </c>
      <c r="L31" s="7">
        <v>8.03282E-4</v>
      </c>
      <c r="M31" s="7">
        <v>1.52817E-4</v>
      </c>
      <c r="N31" s="6">
        <f t="shared" si="6"/>
        <v>104.68192687869372</v>
      </c>
      <c r="O31" s="6">
        <f t="shared" si="7"/>
        <v>98.927967994406785</v>
      </c>
      <c r="Q31">
        <f t="shared" si="0"/>
        <v>1.5832283333333331E-3</v>
      </c>
      <c r="R31">
        <f t="shared" si="1"/>
        <v>1.7297699999999997E-4</v>
      </c>
      <c r="T31">
        <f t="shared" si="8"/>
        <v>101.63918089825135</v>
      </c>
      <c r="U31">
        <f t="shared" si="9"/>
        <v>94.057453308544879</v>
      </c>
      <c r="W31">
        <f t="shared" si="10"/>
        <v>2.1606128538766582</v>
      </c>
      <c r="X31">
        <f t="shared" si="11"/>
        <v>4.5294226861216664</v>
      </c>
    </row>
    <row r="32" spans="1:24" x14ac:dyDescent="0.35">
      <c r="A32">
        <v>193.20699999999999</v>
      </c>
      <c r="B32">
        <v>5.0660600000000002E-6</v>
      </c>
      <c r="C32">
        <v>5.3650499999999997E-5</v>
      </c>
      <c r="D32">
        <f t="shared" si="2"/>
        <v>0.15247918710834743</v>
      </c>
      <c r="E32">
        <f t="shared" si="3"/>
        <v>19.279530827197362</v>
      </c>
      <c r="G32" s="7">
        <v>6.19942E-6</v>
      </c>
      <c r="H32" s="7">
        <v>2.3779100000000001E-5</v>
      </c>
      <c r="I32" s="6">
        <f t="shared" si="4"/>
        <v>1.0117455058792808</v>
      </c>
      <c r="J32" s="6">
        <f t="shared" si="5"/>
        <v>18.686474975049705</v>
      </c>
      <c r="L32" s="7">
        <v>4.7092800000000003E-6</v>
      </c>
      <c r="M32" s="7">
        <v>2.52079E-5</v>
      </c>
      <c r="N32" s="6">
        <f t="shared" si="6"/>
        <v>0.61370291455714776</v>
      </c>
      <c r="O32" s="6">
        <f t="shared" si="7"/>
        <v>16.318644682242205</v>
      </c>
      <c r="Q32">
        <f t="shared" si="0"/>
        <v>5.324920000000001E-6</v>
      </c>
      <c r="R32">
        <f t="shared" si="1"/>
        <v>3.4212499999999998E-5</v>
      </c>
      <c r="T32">
        <f t="shared" si="8"/>
        <v>0.59264253584825866</v>
      </c>
      <c r="U32">
        <f t="shared" si="9"/>
        <v>18.094883494829759</v>
      </c>
      <c r="W32">
        <f t="shared" si="10"/>
        <v>0.35110996027556107</v>
      </c>
      <c r="X32">
        <f t="shared" si="11"/>
        <v>1.2791135082414111</v>
      </c>
    </row>
    <row r="33" spans="1:24" x14ac:dyDescent="0.35">
      <c r="A33">
        <v>199.40899999999999</v>
      </c>
      <c r="B33">
        <v>5.17773E-6</v>
      </c>
      <c r="C33">
        <v>5.3242399999999997E-5</v>
      </c>
      <c r="D33">
        <f t="shared" si="2"/>
        <v>0.15584025089843068</v>
      </c>
      <c r="E33">
        <f t="shared" si="3"/>
        <v>19.132878390955774</v>
      </c>
      <c r="G33" s="7">
        <v>5.9694099999999998E-6</v>
      </c>
      <c r="H33" s="7">
        <v>2.3256099999999999E-5</v>
      </c>
      <c r="I33" s="6">
        <f t="shared" si="4"/>
        <v>0.97420786787325875</v>
      </c>
      <c r="J33" s="6">
        <f t="shared" si="5"/>
        <v>18.275482699818472</v>
      </c>
      <c r="L33" s="7">
        <v>4.59707E-6</v>
      </c>
      <c r="M33" s="7">
        <v>2.49081E-5</v>
      </c>
      <c r="N33" s="6">
        <f t="shared" si="6"/>
        <v>0.59907995647386159</v>
      </c>
      <c r="O33" s="6">
        <f t="shared" si="7"/>
        <v>16.124565458041211</v>
      </c>
      <c r="Q33">
        <f t="shared" si="0"/>
        <v>5.2480699999999994E-6</v>
      </c>
      <c r="R33">
        <f t="shared" si="1"/>
        <v>3.38022E-5</v>
      </c>
      <c r="T33">
        <f t="shared" si="8"/>
        <v>0.57637602508185026</v>
      </c>
      <c r="U33">
        <f t="shared" si="9"/>
        <v>17.844308849605152</v>
      </c>
      <c r="W33">
        <f t="shared" si="10"/>
        <v>0.3344826756886467</v>
      </c>
      <c r="X33">
        <f t="shared" si="11"/>
        <v>1.265416885830144</v>
      </c>
    </row>
    <row r="34" spans="1:24" x14ac:dyDescent="0.35">
      <c r="A34">
        <v>205.65700000000001</v>
      </c>
      <c r="B34">
        <v>5.1494899999999997E-6</v>
      </c>
      <c r="C34">
        <v>5.2640399999999998E-5</v>
      </c>
      <c r="D34">
        <f t="shared" si="2"/>
        <v>0.1549902782877747</v>
      </c>
      <c r="E34">
        <f t="shared" si="3"/>
        <v>18.916547181405576</v>
      </c>
      <c r="G34" s="7">
        <v>5.7564200000000002E-6</v>
      </c>
      <c r="H34" s="7">
        <v>2.2861899999999999E-5</v>
      </c>
      <c r="I34" s="6">
        <f t="shared" si="4"/>
        <v>0.93944789431166309</v>
      </c>
      <c r="J34" s="6">
        <f t="shared" si="5"/>
        <v>17.965706113018946</v>
      </c>
      <c r="L34" s="7">
        <v>4.47083E-6</v>
      </c>
      <c r="M34" s="7">
        <v>2.46347E-5</v>
      </c>
      <c r="N34" s="6">
        <f t="shared" si="6"/>
        <v>0.58262863993849001</v>
      </c>
      <c r="O34" s="6">
        <f t="shared" si="7"/>
        <v>15.947576599146776</v>
      </c>
      <c r="Q34">
        <f t="shared" si="0"/>
        <v>5.12558E-6</v>
      </c>
      <c r="R34">
        <f t="shared" si="1"/>
        <v>3.3379E-5</v>
      </c>
      <c r="T34">
        <f t="shared" si="8"/>
        <v>0.559022270845976</v>
      </c>
      <c r="U34">
        <f t="shared" si="9"/>
        <v>17.6099432978571</v>
      </c>
      <c r="W34">
        <f t="shared" si="10"/>
        <v>0.3206882009374728</v>
      </c>
      <c r="X34">
        <f t="shared" si="11"/>
        <v>1.2379073646194079</v>
      </c>
    </row>
    <row r="35" spans="1:24" x14ac:dyDescent="0.35">
      <c r="A35">
        <v>211.864</v>
      </c>
      <c r="B35">
        <v>5.1809400000000001E-6</v>
      </c>
      <c r="C35">
        <v>5.2349699999999998E-5</v>
      </c>
      <c r="D35">
        <f t="shared" si="2"/>
        <v>0.15593686605707818</v>
      </c>
      <c r="E35">
        <f t="shared" si="3"/>
        <v>18.812082924567967</v>
      </c>
      <c r="G35" s="7">
        <v>5.5940500000000003E-6</v>
      </c>
      <c r="H35" s="7">
        <v>2.2600699999999999E-5</v>
      </c>
      <c r="I35" s="6">
        <f t="shared" si="4"/>
        <v>0.91294910607185686</v>
      </c>
      <c r="J35" s="6">
        <f t="shared" si="5"/>
        <v>17.760445726230422</v>
      </c>
      <c r="L35" s="7">
        <v>4.3770300000000002E-6</v>
      </c>
      <c r="M35" s="7">
        <v>2.4422399999999998E-5</v>
      </c>
      <c r="N35" s="6">
        <f t="shared" si="6"/>
        <v>0.57040483218327898</v>
      </c>
      <c r="O35" s="6">
        <f t="shared" si="7"/>
        <v>15.81014157813987</v>
      </c>
      <c r="Q35">
        <f t="shared" si="0"/>
        <v>5.0506733333333341E-6</v>
      </c>
      <c r="R35">
        <f t="shared" si="1"/>
        <v>3.3124266666666664E-5</v>
      </c>
      <c r="T35">
        <f t="shared" si="8"/>
        <v>0.54643026810407136</v>
      </c>
      <c r="U35">
        <f t="shared" si="9"/>
        <v>17.460890076312754</v>
      </c>
      <c r="W35">
        <f t="shared" si="10"/>
        <v>0.30951356208857711</v>
      </c>
      <c r="X35">
        <f t="shared" si="11"/>
        <v>1.2437076699387821</v>
      </c>
    </row>
    <row r="36" spans="1:24" x14ac:dyDescent="0.35">
      <c r="A36">
        <v>217.958</v>
      </c>
      <c r="B36">
        <v>5.1469200000000004E-6</v>
      </c>
      <c r="C36">
        <v>5.2025399999999998E-5</v>
      </c>
      <c r="D36">
        <f t="shared" si="2"/>
        <v>0.15491292596449621</v>
      </c>
      <c r="E36">
        <f t="shared" si="3"/>
        <v>18.695544367662436</v>
      </c>
      <c r="G36" s="7">
        <v>5.4649099999999998E-6</v>
      </c>
      <c r="H36" s="7">
        <v>2.2396799999999999E-5</v>
      </c>
      <c r="I36" s="6">
        <f t="shared" si="4"/>
        <v>0.89187345469975265</v>
      </c>
      <c r="J36" s="6">
        <f t="shared" si="5"/>
        <v>17.600213747416564</v>
      </c>
      <c r="L36" s="7">
        <v>4.3073799999999999E-6</v>
      </c>
      <c r="M36" s="7">
        <v>2.42778E-5</v>
      </c>
      <c r="N36" s="6">
        <f t="shared" si="6"/>
        <v>0.56132819881280505</v>
      </c>
      <c r="O36" s="6">
        <f t="shared" si="7"/>
        <v>15.716532986347129</v>
      </c>
      <c r="Q36">
        <f t="shared" si="0"/>
        <v>4.9730700000000003E-6</v>
      </c>
      <c r="R36">
        <f t="shared" si="1"/>
        <v>3.29E-5</v>
      </c>
      <c r="T36">
        <f t="shared" si="8"/>
        <v>0.53603819315901802</v>
      </c>
      <c r="U36">
        <f t="shared" si="9"/>
        <v>17.337430367142044</v>
      </c>
      <c r="W36">
        <f t="shared" si="10"/>
        <v>0.30139386580565258</v>
      </c>
      <c r="X36">
        <f t="shared" si="11"/>
        <v>1.230289540775642</v>
      </c>
    </row>
    <row r="37" spans="1:24" x14ac:dyDescent="0.35">
      <c r="A37">
        <v>224.30799999999999</v>
      </c>
      <c r="B37">
        <v>5.1298100000000003E-6</v>
      </c>
      <c r="C37">
        <v>5.1739800000000002E-5</v>
      </c>
      <c r="D37">
        <f t="shared" si="2"/>
        <v>0.15439794610017876</v>
      </c>
      <c r="E37">
        <f t="shared" si="3"/>
        <v>18.592912817085136</v>
      </c>
      <c r="G37" s="7">
        <v>5.3359099999999999E-6</v>
      </c>
      <c r="H37" s="7">
        <v>2.2203899999999999E-5</v>
      </c>
      <c r="I37" s="6">
        <f t="shared" si="4"/>
        <v>0.87082065133130415</v>
      </c>
      <c r="J37" s="6">
        <f t="shared" si="5"/>
        <v>17.448625965596097</v>
      </c>
      <c r="L37" s="7">
        <v>4.2488199999999996E-6</v>
      </c>
      <c r="M37" s="7">
        <v>2.4169099999999999E-5</v>
      </c>
      <c r="N37" s="6">
        <f t="shared" si="6"/>
        <v>0.55369678962149205</v>
      </c>
      <c r="O37" s="6">
        <f t="shared" si="7"/>
        <v>15.64616470192202</v>
      </c>
      <c r="Q37">
        <f t="shared" si="0"/>
        <v>4.9048466666666663E-6</v>
      </c>
      <c r="R37">
        <f t="shared" si="1"/>
        <v>3.2704266666666664E-5</v>
      </c>
      <c r="T37">
        <f t="shared" si="8"/>
        <v>0.52630512901765825</v>
      </c>
      <c r="U37">
        <f t="shared" si="9"/>
        <v>17.22923449486775</v>
      </c>
      <c r="W37">
        <f t="shared" si="10"/>
        <v>0.29311897521387426</v>
      </c>
      <c r="X37">
        <f t="shared" si="11"/>
        <v>1.2129662200917781</v>
      </c>
    </row>
    <row r="38" spans="1:24" x14ac:dyDescent="0.35">
      <c r="A38">
        <v>230.453</v>
      </c>
      <c r="B38">
        <v>5.0898099999999998E-6</v>
      </c>
      <c r="C38">
        <v>5.1564399999999997E-5</v>
      </c>
      <c r="D38">
        <f t="shared" si="2"/>
        <v>0.15319401888961792</v>
      </c>
      <c r="E38">
        <f t="shared" si="3"/>
        <v>18.52988209589725</v>
      </c>
      <c r="G38" s="7">
        <v>5.2349499999999997E-6</v>
      </c>
      <c r="H38" s="7">
        <v>2.2074900000000001E-5</v>
      </c>
      <c r="I38" s="6">
        <f t="shared" si="4"/>
        <v>0.85434397669503626</v>
      </c>
      <c r="J38" s="6">
        <f t="shared" si="5"/>
        <v>17.34725310994633</v>
      </c>
      <c r="L38" s="7">
        <v>4.1982900000000003E-6</v>
      </c>
      <c r="M38" s="7">
        <v>2.4061199999999999E-5</v>
      </c>
      <c r="N38" s="6">
        <f t="shared" si="6"/>
        <v>0.54711183220282666</v>
      </c>
      <c r="O38" s="6">
        <f t="shared" si="7"/>
        <v>15.576314307354682</v>
      </c>
      <c r="Q38">
        <f t="shared" si="0"/>
        <v>4.8410166666666666E-6</v>
      </c>
      <c r="R38">
        <f t="shared" si="1"/>
        <v>3.2566833333333335E-5</v>
      </c>
      <c r="T38">
        <f t="shared" si="8"/>
        <v>0.51821660926249358</v>
      </c>
      <c r="U38">
        <f t="shared" si="9"/>
        <v>17.151149837732756</v>
      </c>
      <c r="W38">
        <f t="shared" si="10"/>
        <v>0.28697156219645831</v>
      </c>
      <c r="X38">
        <f t="shared" si="11"/>
        <v>1.2137361164077121</v>
      </c>
    </row>
    <row r="39" spans="1:24" x14ac:dyDescent="0.35">
      <c r="A39">
        <v>236.73099999999999</v>
      </c>
      <c r="B39">
        <v>5.0941000000000001E-6</v>
      </c>
      <c r="C39">
        <v>5.1416999999999999E-5</v>
      </c>
      <c r="D39">
        <f t="shared" si="2"/>
        <v>0.15332314008295059</v>
      </c>
      <c r="E39">
        <f t="shared" si="3"/>
        <v>18.476913291432638</v>
      </c>
      <c r="G39" s="7">
        <v>5.1505299999999996E-6</v>
      </c>
      <c r="H39" s="7">
        <v>2.1959000000000001E-5</v>
      </c>
      <c r="I39" s="6">
        <f t="shared" si="4"/>
        <v>0.84056663049066083</v>
      </c>
      <c r="J39" s="6">
        <f t="shared" si="5"/>
        <v>17.256174707079598</v>
      </c>
      <c r="L39" s="7">
        <v>4.1403099999999998E-6</v>
      </c>
      <c r="M39" s="7">
        <v>2.3955899999999999E-5</v>
      </c>
      <c r="N39" s="6">
        <f t="shared" si="6"/>
        <v>0.53955600732385922</v>
      </c>
      <c r="O39" s="6">
        <f t="shared" si="7"/>
        <v>15.508147054825114</v>
      </c>
      <c r="Q39">
        <f t="shared" si="0"/>
        <v>4.7949799999999993E-6</v>
      </c>
      <c r="R39">
        <f t="shared" si="1"/>
        <v>3.2443966666666663E-5</v>
      </c>
      <c r="T39">
        <f t="shared" si="8"/>
        <v>0.51114859263249024</v>
      </c>
      <c r="U39">
        <f t="shared" si="9"/>
        <v>17.080411684445782</v>
      </c>
      <c r="W39">
        <f t="shared" si="10"/>
        <v>0.28128412644397915</v>
      </c>
      <c r="X39">
        <f t="shared" si="11"/>
        <v>1.218349353838827</v>
      </c>
    </row>
    <row r="40" spans="1:24" x14ac:dyDescent="0.35">
      <c r="A40">
        <v>242.83</v>
      </c>
      <c r="B40">
        <v>5.0550199999999996E-6</v>
      </c>
      <c r="C40">
        <v>5.1242100000000002E-5</v>
      </c>
      <c r="D40">
        <f t="shared" si="2"/>
        <v>0.15214690319823262</v>
      </c>
      <c r="E40">
        <f t="shared" si="3"/>
        <v>18.414062247329099</v>
      </c>
      <c r="G40" s="7">
        <v>5.0613400000000004E-6</v>
      </c>
      <c r="H40" s="7">
        <v>2.18458E-5</v>
      </c>
      <c r="I40" s="6">
        <f t="shared" si="4"/>
        <v>0.82601082016173122</v>
      </c>
      <c r="J40" s="6">
        <f t="shared" si="5"/>
        <v>17.167218061656701</v>
      </c>
      <c r="L40" s="7">
        <v>4.0970599999999999E-6</v>
      </c>
      <c r="M40" s="7">
        <v>2.3861300000000001E-5</v>
      </c>
      <c r="N40" s="6">
        <f t="shared" si="6"/>
        <v>0.53391976334291169</v>
      </c>
      <c r="O40" s="6">
        <f t="shared" si="7"/>
        <v>15.446906579143283</v>
      </c>
      <c r="Q40">
        <f t="shared" si="0"/>
        <v>4.7378066666666666E-6</v>
      </c>
      <c r="R40">
        <f t="shared" si="1"/>
        <v>3.2316400000000001E-5</v>
      </c>
      <c r="T40">
        <f t="shared" si="8"/>
        <v>0.50402582890095848</v>
      </c>
      <c r="U40">
        <f t="shared" si="9"/>
        <v>17.00939562937636</v>
      </c>
      <c r="W40">
        <f t="shared" si="10"/>
        <v>0.2759146971241439</v>
      </c>
      <c r="X40">
        <f t="shared" si="11"/>
        <v>1.2164659551092982</v>
      </c>
    </row>
    <row r="41" spans="1:24" x14ac:dyDescent="0.35">
      <c r="A41">
        <v>249.16</v>
      </c>
      <c r="B41">
        <v>5.0606999999999997E-6</v>
      </c>
      <c r="C41">
        <v>5.1087200000000001E-5</v>
      </c>
      <c r="D41">
        <f t="shared" si="2"/>
        <v>0.15231786086213225</v>
      </c>
      <c r="E41">
        <f t="shared" si="3"/>
        <v>18.358398286599321</v>
      </c>
      <c r="G41" s="7">
        <v>4.9865700000000003E-6</v>
      </c>
      <c r="H41" s="7">
        <v>2.1749699999999999E-5</v>
      </c>
      <c r="I41" s="6">
        <f t="shared" si="4"/>
        <v>0.81380835420933662</v>
      </c>
      <c r="J41" s="6">
        <f t="shared" si="5"/>
        <v>17.091699213378071</v>
      </c>
      <c r="L41" s="7">
        <v>4.0618499999999999E-6</v>
      </c>
      <c r="M41" s="7">
        <v>2.3785600000000001E-5</v>
      </c>
      <c r="N41" s="6">
        <f t="shared" si="6"/>
        <v>0.52933127431241089</v>
      </c>
      <c r="O41" s="6">
        <f t="shared" si="7"/>
        <v>15.397901251351371</v>
      </c>
      <c r="Q41">
        <f t="shared" si="0"/>
        <v>4.7030399999999991E-6</v>
      </c>
      <c r="R41">
        <f t="shared" si="1"/>
        <v>3.22075E-5</v>
      </c>
      <c r="T41">
        <f t="shared" si="8"/>
        <v>0.49848582979462658</v>
      </c>
      <c r="U41">
        <f t="shared" si="9"/>
        <v>16.949332917109587</v>
      </c>
      <c r="W41">
        <f t="shared" si="10"/>
        <v>0.27093172483463651</v>
      </c>
      <c r="X41">
        <f t="shared" si="11"/>
        <v>1.2128030331049584</v>
      </c>
    </row>
    <row r="42" spans="1:24" x14ac:dyDescent="0.35">
      <c r="A42">
        <v>262.286</v>
      </c>
      <c r="B42">
        <v>2.1636699999999999E-3</v>
      </c>
      <c r="C42">
        <v>2.28042E-4</v>
      </c>
      <c r="D42">
        <f t="shared" si="2"/>
        <v>65.122529691854822</v>
      </c>
      <c r="E42">
        <f t="shared" si="3"/>
        <v>81.94784333595662</v>
      </c>
      <c r="G42" s="7">
        <v>3.9666000000000001E-4</v>
      </c>
      <c r="H42" s="7">
        <v>1.15346E-4</v>
      </c>
      <c r="I42" s="6">
        <f t="shared" si="4"/>
        <v>64.734922357587578</v>
      </c>
      <c r="J42" s="6">
        <f t="shared" si="5"/>
        <v>90.643049672699277</v>
      </c>
      <c r="L42" s="7">
        <v>5.2183999999999998E-4</v>
      </c>
      <c r="M42" s="7">
        <v>1.4134600000000001E-4</v>
      </c>
      <c r="N42" s="6">
        <f t="shared" si="6"/>
        <v>68.005030266304388</v>
      </c>
      <c r="O42" s="6">
        <f t="shared" si="7"/>
        <v>91.502074796242709</v>
      </c>
      <c r="Q42">
        <f t="shared" si="0"/>
        <v>1.02739E-3</v>
      </c>
      <c r="R42">
        <f t="shared" si="1"/>
        <v>1.61578E-4</v>
      </c>
      <c r="T42">
        <f t="shared" si="8"/>
        <v>65.954160771915596</v>
      </c>
      <c r="U42">
        <f t="shared" si="9"/>
        <v>88.030989268299535</v>
      </c>
      <c r="W42">
        <f t="shared" si="10"/>
        <v>1.4587915372333233</v>
      </c>
      <c r="X42">
        <f t="shared" si="11"/>
        <v>4.3157061505123213</v>
      </c>
    </row>
    <row r="43" spans="1:24" x14ac:dyDescent="0.35">
      <c r="A43">
        <v>268.49799999999999</v>
      </c>
      <c r="B43">
        <v>2.1980400000000001E-3</v>
      </c>
      <c r="C43">
        <v>2.1587599999999999E-4</v>
      </c>
      <c r="D43">
        <f t="shared" si="2"/>
        <v>66.157004147529236</v>
      </c>
      <c r="E43">
        <f t="shared" si="3"/>
        <v>77.575940519697994</v>
      </c>
      <c r="G43" s="7">
        <v>4.0889099999999999E-4</v>
      </c>
      <c r="H43" s="7">
        <v>1.12569E-4</v>
      </c>
      <c r="I43" s="6">
        <f t="shared" si="4"/>
        <v>66.731021876963496</v>
      </c>
      <c r="J43" s="6">
        <f t="shared" si="5"/>
        <v>88.460782849913173</v>
      </c>
      <c r="L43" s="7">
        <v>5.36846E-4</v>
      </c>
      <c r="M43" s="7">
        <v>1.3860399999999999E-4</v>
      </c>
      <c r="N43" s="6">
        <f t="shared" si="6"/>
        <v>69.960578871578349</v>
      </c>
      <c r="O43" s="6">
        <f t="shared" si="7"/>
        <v>89.727007308720601</v>
      </c>
      <c r="Q43">
        <f t="shared" si="0"/>
        <v>1.0479256666666666E-3</v>
      </c>
      <c r="R43">
        <f t="shared" si="1"/>
        <v>1.5568299999999999E-4</v>
      </c>
      <c r="T43">
        <f t="shared" si="8"/>
        <v>67.616201632023689</v>
      </c>
      <c r="U43">
        <f t="shared" si="9"/>
        <v>85.254576892777251</v>
      </c>
      <c r="W43">
        <f t="shared" si="10"/>
        <v>1.674206791176575</v>
      </c>
      <c r="X43">
        <f t="shared" si="11"/>
        <v>5.4541680396740269</v>
      </c>
    </row>
    <row r="44" spans="1:24" x14ac:dyDescent="0.35">
      <c r="A44">
        <v>274.608</v>
      </c>
      <c r="B44">
        <v>2.2196400000000002E-3</v>
      </c>
      <c r="C44">
        <v>2.1133100000000001E-4</v>
      </c>
      <c r="D44">
        <f t="shared" si="2"/>
        <v>66.807124841232095</v>
      </c>
      <c r="E44">
        <f t="shared" si="3"/>
        <v>75.942675823010887</v>
      </c>
      <c r="G44" s="7">
        <v>4.1728199999999999E-4</v>
      </c>
      <c r="H44" s="7">
        <v>1.09196E-4</v>
      </c>
      <c r="I44" s="6">
        <f t="shared" si="4"/>
        <v>68.100433296069312</v>
      </c>
      <c r="J44" s="6">
        <f t="shared" si="5"/>
        <v>85.810157717303326</v>
      </c>
      <c r="L44" s="7">
        <v>5.4574400000000003E-4</v>
      </c>
      <c r="M44" s="7">
        <v>1.3485600000000001E-4</v>
      </c>
      <c r="N44" s="6">
        <f t="shared" si="6"/>
        <v>71.120146477184619</v>
      </c>
      <c r="O44" s="6">
        <f t="shared" si="7"/>
        <v>87.300693325047106</v>
      </c>
      <c r="Q44">
        <f t="shared" si="0"/>
        <v>1.0608886666666668E-3</v>
      </c>
      <c r="R44">
        <f t="shared" si="1"/>
        <v>1.5179433333333337E-4</v>
      </c>
      <c r="T44">
        <f t="shared" si="8"/>
        <v>68.675901538162009</v>
      </c>
      <c r="U44">
        <f t="shared" si="9"/>
        <v>83.017842288453778</v>
      </c>
      <c r="W44">
        <f t="shared" si="10"/>
        <v>1.8071915008822557</v>
      </c>
      <c r="X44">
        <f t="shared" si="11"/>
        <v>5.0397691405317184</v>
      </c>
    </row>
    <row r="45" spans="1:24" x14ac:dyDescent="0.35">
      <c r="A45">
        <v>280.779</v>
      </c>
      <c r="B45">
        <v>2.2318199999999998E-3</v>
      </c>
      <c r="C45">
        <v>2.0362900000000001E-4</v>
      </c>
      <c r="D45">
        <f t="shared" si="2"/>
        <v>67.173720676847864</v>
      </c>
      <c r="E45">
        <f t="shared" si="3"/>
        <v>73.174930015775658</v>
      </c>
      <c r="G45" s="7">
        <v>4.23263E-4</v>
      </c>
      <c r="H45" s="7">
        <v>1.0684900000000001E-4</v>
      </c>
      <c r="I45" s="6">
        <f t="shared" si="4"/>
        <v>69.07653265224522</v>
      </c>
      <c r="J45" s="6">
        <f t="shared" si="5"/>
        <v>83.965800413349783</v>
      </c>
      <c r="L45" s="7">
        <v>5.5336800000000005E-4</v>
      </c>
      <c r="M45" s="7">
        <v>1.32674E-4</v>
      </c>
      <c r="N45" s="6">
        <f t="shared" si="6"/>
        <v>72.113689231190264</v>
      </c>
      <c r="O45" s="6">
        <f t="shared" si="7"/>
        <v>85.888148737967157</v>
      </c>
      <c r="Q45">
        <f t="shared" si="0"/>
        <v>1.0694836666666667E-3</v>
      </c>
      <c r="R45">
        <f t="shared" si="1"/>
        <v>1.4771733333333333E-4</v>
      </c>
      <c r="T45">
        <f t="shared" si="8"/>
        <v>69.454647520094454</v>
      </c>
      <c r="U45">
        <f t="shared" si="9"/>
        <v>81.009626389030856</v>
      </c>
      <c r="W45">
        <f t="shared" si="10"/>
        <v>2.0343795892014866</v>
      </c>
      <c r="X45">
        <f t="shared" si="11"/>
        <v>5.5952781412016526</v>
      </c>
    </row>
    <row r="46" spans="1:24" x14ac:dyDescent="0.35">
      <c r="A46">
        <v>287.00099999999998</v>
      </c>
      <c r="B46">
        <v>2.2422700000000002E-3</v>
      </c>
      <c r="C46">
        <v>2.0031000000000001E-4</v>
      </c>
      <c r="D46">
        <f t="shared" si="2"/>
        <v>67.488246660606904</v>
      </c>
      <c r="E46">
        <f t="shared" si="3"/>
        <v>71.982233529900057</v>
      </c>
      <c r="G46" s="7">
        <v>4.2788800000000002E-4</v>
      </c>
      <c r="H46" s="7">
        <v>1.05747E-4</v>
      </c>
      <c r="I46" s="6">
        <f t="shared" si="4"/>
        <v>69.831332773013244</v>
      </c>
      <c r="J46" s="6">
        <f t="shared" si="5"/>
        <v>83.099809041830071</v>
      </c>
      <c r="L46" s="7">
        <v>5.5906E-4</v>
      </c>
      <c r="M46" s="7">
        <v>1.3077499999999999E-4</v>
      </c>
      <c r="N46" s="6">
        <f t="shared" si="6"/>
        <v>72.855458034416927</v>
      </c>
      <c r="O46" s="6">
        <f t="shared" si="7"/>
        <v>84.65880768807493</v>
      </c>
      <c r="Q46">
        <f t="shared" si="0"/>
        <v>1.076406E-3</v>
      </c>
      <c r="R46">
        <f t="shared" si="1"/>
        <v>1.4561066666666665E-4</v>
      </c>
      <c r="T46">
        <f t="shared" si="8"/>
        <v>70.05834582267903</v>
      </c>
      <c r="U46">
        <f t="shared" si="9"/>
        <v>79.913616753268357</v>
      </c>
      <c r="W46">
        <f t="shared" si="10"/>
        <v>2.1970268813903688</v>
      </c>
      <c r="X46">
        <f t="shared" si="11"/>
        <v>5.6443333867809029</v>
      </c>
    </row>
    <row r="47" spans="1:24" x14ac:dyDescent="0.35">
      <c r="A47">
        <v>293.27300000000002</v>
      </c>
      <c r="B47">
        <v>2.2513799999999999E-3</v>
      </c>
      <c r="C47">
        <v>1.9698299999999999E-4</v>
      </c>
      <c r="D47">
        <f t="shared" si="2"/>
        <v>67.762441082812131</v>
      </c>
      <c r="E47">
        <f t="shared" si="3"/>
        <v>70.786662210674962</v>
      </c>
      <c r="G47" s="7">
        <v>4.31292E-4</v>
      </c>
      <c r="H47" s="7">
        <v>1.0496E-4</v>
      </c>
      <c r="I47" s="6">
        <f t="shared" si="4"/>
        <v>70.386865661898497</v>
      </c>
      <c r="J47" s="6">
        <f t="shared" si="5"/>
        <v>82.48135603875744</v>
      </c>
      <c r="L47" s="7">
        <v>5.6383900000000001E-4</v>
      </c>
      <c r="M47" s="7">
        <v>1.3032199999999999E-4</v>
      </c>
      <c r="N47" s="6">
        <f t="shared" si="6"/>
        <v>73.478246704589139</v>
      </c>
      <c r="O47" s="6">
        <f t="shared" si="7"/>
        <v>84.365552556110117</v>
      </c>
      <c r="Q47">
        <f t="shared" si="0"/>
        <v>1.0821703333333333E-3</v>
      </c>
      <c r="R47">
        <f t="shared" si="1"/>
        <v>1.4408833333333333E-4</v>
      </c>
      <c r="T47">
        <f t="shared" si="8"/>
        <v>70.542517816433261</v>
      </c>
      <c r="U47">
        <f t="shared" si="9"/>
        <v>79.211190268514173</v>
      </c>
      <c r="W47">
        <f t="shared" si="10"/>
        <v>2.3360620955492455</v>
      </c>
      <c r="X47">
        <f t="shared" si="11"/>
        <v>6.006499472903835</v>
      </c>
    </row>
    <row r="48" spans="1:24" x14ac:dyDescent="0.35">
      <c r="A48">
        <v>299.46699999999998</v>
      </c>
      <c r="B48">
        <v>2.2586199999999998E-3</v>
      </c>
      <c r="C48">
        <v>1.9476300000000001E-4</v>
      </c>
      <c r="D48">
        <f t="shared" si="2"/>
        <v>67.980351907923648</v>
      </c>
      <c r="E48">
        <f t="shared" si="3"/>
        <v>69.988895956187534</v>
      </c>
      <c r="G48" s="7">
        <v>4.35024E-4</v>
      </c>
      <c r="H48" s="7">
        <v>1.04724E-4</v>
      </c>
      <c r="I48" s="6">
        <f t="shared" si="4"/>
        <v>70.995928159348495</v>
      </c>
      <c r="J48" s="6">
        <f t="shared" si="5"/>
        <v>82.295898721444686</v>
      </c>
      <c r="L48" s="7">
        <v>5.6684300000000003E-4</v>
      </c>
      <c r="M48" s="7">
        <v>1.30345E-4</v>
      </c>
      <c r="N48" s="6">
        <f t="shared" si="6"/>
        <v>73.869721315427682</v>
      </c>
      <c r="O48" s="6">
        <f t="shared" si="7"/>
        <v>84.380441889521151</v>
      </c>
      <c r="Q48">
        <f t="shared" si="0"/>
        <v>1.0868289999999999E-3</v>
      </c>
      <c r="R48">
        <f t="shared" si="1"/>
        <v>1.4327733333333332E-4</v>
      </c>
      <c r="T48">
        <f t="shared" si="8"/>
        <v>70.948667127566608</v>
      </c>
      <c r="U48">
        <f t="shared" si="9"/>
        <v>78.888412189051124</v>
      </c>
      <c r="W48">
        <f t="shared" si="10"/>
        <v>2.4045572299774056</v>
      </c>
      <c r="X48">
        <f t="shared" si="11"/>
        <v>6.3501901251928654</v>
      </c>
    </row>
    <row r="49" spans="1:24" x14ac:dyDescent="0.35">
      <c r="A49">
        <v>305.70800000000003</v>
      </c>
      <c r="B49">
        <v>2.26552E-3</v>
      </c>
      <c r="C49">
        <v>1.90891E-4</v>
      </c>
      <c r="D49">
        <f t="shared" si="2"/>
        <v>68.188029351745399</v>
      </c>
      <c r="E49">
        <f t="shared" si="3"/>
        <v>68.597476615027475</v>
      </c>
      <c r="G49" s="7">
        <v>4.3720100000000002E-4</v>
      </c>
      <c r="H49" s="7">
        <v>1.04314E-4</v>
      </c>
      <c r="I49" s="6">
        <f t="shared" si="4"/>
        <v>71.351214616194341</v>
      </c>
      <c r="J49" s="6">
        <f t="shared" si="5"/>
        <v>81.973705924418297</v>
      </c>
      <c r="L49" s="7">
        <v>5.6953699999999995E-4</v>
      </c>
      <c r="M49" s="7">
        <v>1.3065599999999999E-4</v>
      </c>
      <c r="N49" s="6">
        <f t="shared" si="6"/>
        <v>74.220797414495237</v>
      </c>
      <c r="O49" s="6">
        <f t="shared" si="7"/>
        <v>84.581771571730982</v>
      </c>
      <c r="Q49">
        <f t="shared" si="0"/>
        <v>1.0907526666666667E-3</v>
      </c>
      <c r="R49">
        <f t="shared" si="1"/>
        <v>1.4195366666666667E-4</v>
      </c>
      <c r="T49">
        <f t="shared" si="8"/>
        <v>71.253347127478321</v>
      </c>
      <c r="U49">
        <f t="shared" si="9"/>
        <v>78.384318037058918</v>
      </c>
      <c r="W49">
        <f t="shared" si="10"/>
        <v>2.4638393019492013</v>
      </c>
      <c r="X49">
        <f t="shared" si="11"/>
        <v>7.0017712221106825</v>
      </c>
    </row>
    <row r="50" spans="1:24" x14ac:dyDescent="0.35">
      <c r="A50">
        <v>311.89499999999998</v>
      </c>
      <c r="B50">
        <v>2.2704700000000001E-3</v>
      </c>
      <c r="C50">
        <v>1.88882E-4</v>
      </c>
      <c r="D50">
        <f t="shared" si="2"/>
        <v>68.337015344052304</v>
      </c>
      <c r="E50">
        <f t="shared" si="3"/>
        <v>67.875534090133215</v>
      </c>
      <c r="G50" s="7">
        <v>4.3861799999999999E-4</v>
      </c>
      <c r="H50" s="7">
        <v>1.0438999999999999E-4</v>
      </c>
      <c r="I50" s="6">
        <f t="shared" si="4"/>
        <v>71.582469053195041</v>
      </c>
      <c r="J50" s="6">
        <f t="shared" si="5"/>
        <v>82.033429467281721</v>
      </c>
      <c r="L50" s="7">
        <v>5.7234400000000002E-4</v>
      </c>
      <c r="M50" s="7">
        <v>1.30266E-4</v>
      </c>
      <c r="N50" s="6">
        <f t="shared" si="6"/>
        <v>74.586599422692245</v>
      </c>
      <c r="O50" s="6">
        <f t="shared" si="7"/>
        <v>84.329300266065914</v>
      </c>
      <c r="Q50">
        <f t="shared" si="0"/>
        <v>1.0938106666666667E-3</v>
      </c>
      <c r="R50">
        <f t="shared" si="1"/>
        <v>1.4117933333333333E-4</v>
      </c>
      <c r="T50">
        <f t="shared" si="8"/>
        <v>71.502027939979868</v>
      </c>
      <c r="U50">
        <f t="shared" si="9"/>
        <v>78.079421274493612</v>
      </c>
      <c r="W50">
        <f t="shared" si="10"/>
        <v>2.5520159832988156</v>
      </c>
      <c r="X50">
        <f t="shared" si="11"/>
        <v>7.2758615038378025</v>
      </c>
    </row>
    <row r="51" spans="1:24" x14ac:dyDescent="0.35">
      <c r="A51">
        <v>318.09899999999999</v>
      </c>
      <c r="B51">
        <v>2.2783E-3</v>
      </c>
      <c r="C51">
        <v>1.8904999999999999E-4</v>
      </c>
      <c r="D51">
        <f t="shared" si="2"/>
        <v>68.572684095519591</v>
      </c>
      <c r="E51">
        <f t="shared" si="3"/>
        <v>67.9359055904728</v>
      </c>
      <c r="G51" s="7">
        <v>4.4065E-4</v>
      </c>
      <c r="H51" s="7">
        <v>1.03917E-4</v>
      </c>
      <c r="I51" s="6">
        <f t="shared" si="4"/>
        <v>71.914091506254636</v>
      </c>
      <c r="J51" s="6">
        <f t="shared" si="5"/>
        <v>81.661728996565898</v>
      </c>
      <c r="L51" s="7">
        <v>5.7421100000000004E-4</v>
      </c>
      <c r="M51" s="7">
        <v>1.29784E-4</v>
      </c>
      <c r="N51" s="6">
        <f t="shared" si="6"/>
        <v>74.829902717777301</v>
      </c>
      <c r="O51" s="6">
        <f t="shared" si="7"/>
        <v>84.017271626756781</v>
      </c>
      <c r="Q51">
        <f t="shared" si="0"/>
        <v>1.0977203333333333E-3</v>
      </c>
      <c r="R51">
        <f t="shared" si="1"/>
        <v>1.4091699999999998E-4</v>
      </c>
      <c r="T51">
        <f t="shared" si="8"/>
        <v>71.772226106517181</v>
      </c>
      <c r="U51">
        <f t="shared" si="9"/>
        <v>77.871635404598493</v>
      </c>
      <c r="W51">
        <f t="shared" si="10"/>
        <v>2.5564676887473952</v>
      </c>
      <c r="X51">
        <f t="shared" si="11"/>
        <v>7.0911301626346921</v>
      </c>
    </row>
    <row r="52" spans="1:24" x14ac:dyDescent="0.35">
      <c r="A52">
        <v>324.33999999999997</v>
      </c>
      <c r="B52">
        <v>2.27327E-3</v>
      </c>
      <c r="C52">
        <v>1.9473299999999999E-4</v>
      </c>
      <c r="D52">
        <f t="shared" si="2"/>
        <v>68.42129024879155</v>
      </c>
      <c r="E52">
        <f t="shared" si="3"/>
        <v>69.978115331126901</v>
      </c>
      <c r="G52" s="7">
        <v>4.4163699999999999E-4</v>
      </c>
      <c r="H52" s="7">
        <v>1.03874E-4</v>
      </c>
      <c r="I52" s="6">
        <f t="shared" si="4"/>
        <v>72.07516993202718</v>
      </c>
      <c r="J52" s="6">
        <f t="shared" si="5"/>
        <v>81.627938044682651</v>
      </c>
      <c r="L52" s="7">
        <v>5.7600999999999996E-4</v>
      </c>
      <c r="M52" s="7">
        <v>1.2961900000000001E-4</v>
      </c>
      <c r="N52" s="6">
        <f t="shared" si="6"/>
        <v>75.064344403828727</v>
      </c>
      <c r="O52" s="6">
        <f t="shared" si="7"/>
        <v>83.910456843590794</v>
      </c>
      <c r="Q52">
        <f t="shared" si="0"/>
        <v>1.0969723333333333E-3</v>
      </c>
      <c r="R52">
        <f t="shared" si="1"/>
        <v>1.4274199999999998E-4</v>
      </c>
      <c r="T52">
        <f t="shared" si="8"/>
        <v>71.853601528215819</v>
      </c>
      <c r="U52">
        <f t="shared" si="9"/>
        <v>78.505503406466786</v>
      </c>
      <c r="W52">
        <f t="shared" si="10"/>
        <v>2.7165372007839701</v>
      </c>
      <c r="X52">
        <f t="shared" si="11"/>
        <v>6.1013514108175997</v>
      </c>
    </row>
    <row r="53" spans="1:24" x14ac:dyDescent="0.35">
      <c r="A53">
        <v>330.45299999999997</v>
      </c>
      <c r="B53">
        <v>2.28269E-3</v>
      </c>
      <c r="C53">
        <v>1.9052699999999999E-4</v>
      </c>
      <c r="D53">
        <f t="shared" si="2"/>
        <v>68.704815106878641</v>
      </c>
      <c r="E53">
        <f t="shared" si="3"/>
        <v>68.466671697625031</v>
      </c>
      <c r="G53" s="7">
        <v>4.4352299999999997E-4</v>
      </c>
      <c r="H53" s="7">
        <v>1.0257200000000001E-4</v>
      </c>
      <c r="I53" s="6">
        <f t="shared" si="4"/>
        <v>72.382965181274415</v>
      </c>
      <c r="J53" s="6">
        <f t="shared" si="5"/>
        <v>80.604779455101266</v>
      </c>
      <c r="L53" s="7">
        <v>5.7789099999999997E-4</v>
      </c>
      <c r="M53" s="7">
        <v>1.2918200000000001E-4</v>
      </c>
      <c r="N53" s="6">
        <f t="shared" si="6"/>
        <v>75.309472147832494</v>
      </c>
      <c r="O53" s="6">
        <f t="shared" si="7"/>
        <v>83.627559508781474</v>
      </c>
      <c r="Q53">
        <f t="shared" si="0"/>
        <v>1.1013679999999999E-3</v>
      </c>
      <c r="R53">
        <f t="shared" si="1"/>
        <v>1.4076033333333335E-4</v>
      </c>
      <c r="T53">
        <f t="shared" si="8"/>
        <v>72.13241747866185</v>
      </c>
      <c r="U53">
        <f t="shared" si="9"/>
        <v>77.566336887169257</v>
      </c>
      <c r="W53">
        <f t="shared" si="10"/>
        <v>2.7021539890266126</v>
      </c>
      <c r="X53">
        <f t="shared" si="11"/>
        <v>6.5517035817454348</v>
      </c>
    </row>
    <row r="54" spans="1:24" x14ac:dyDescent="0.35">
      <c r="A54">
        <v>336.67899999999997</v>
      </c>
      <c r="B54">
        <v>2.28751E-3</v>
      </c>
      <c r="C54">
        <v>1.9091099999999999E-4</v>
      </c>
      <c r="D54">
        <f t="shared" si="2"/>
        <v>68.849888335751217</v>
      </c>
      <c r="E54">
        <f t="shared" si="3"/>
        <v>68.604663698401225</v>
      </c>
      <c r="G54" s="7">
        <v>4.4460700000000002E-4</v>
      </c>
      <c r="H54" s="7">
        <v>1.01922E-4</v>
      </c>
      <c r="I54" s="6">
        <f t="shared" si="4"/>
        <v>72.559874009579843</v>
      </c>
      <c r="J54" s="6">
        <f t="shared" si="5"/>
        <v>80.093985996400875</v>
      </c>
      <c r="L54" s="7">
        <v>5.7996999999999996E-4</v>
      </c>
      <c r="M54" s="7">
        <v>1.2860599999999999E-4</v>
      </c>
      <c r="N54" s="6">
        <f t="shared" si="6"/>
        <v>75.580402812257702</v>
      </c>
      <c r="O54" s="6">
        <f t="shared" si="7"/>
        <v>83.254678811183837</v>
      </c>
      <c r="Q54">
        <f t="shared" si="0"/>
        <v>1.1040290000000001E-3</v>
      </c>
      <c r="R54">
        <f t="shared" si="1"/>
        <v>1.4047966666666666E-4</v>
      </c>
      <c r="T54">
        <f t="shared" si="8"/>
        <v>72.330055052529588</v>
      </c>
      <c r="U54">
        <f t="shared" si="9"/>
        <v>77.317776168661979</v>
      </c>
      <c r="W54">
        <f t="shared" si="10"/>
        <v>2.7525223395255236</v>
      </c>
      <c r="X54">
        <f t="shared" si="11"/>
        <v>6.2947725114794126</v>
      </c>
    </row>
    <row r="55" spans="1:24" x14ac:dyDescent="0.35">
      <c r="A55">
        <v>342.94200000000001</v>
      </c>
      <c r="B55">
        <v>2.2892199999999998E-3</v>
      </c>
      <c r="C55">
        <v>1.9056800000000001E-4</v>
      </c>
      <c r="D55">
        <f t="shared" si="2"/>
        <v>68.901356224002683</v>
      </c>
      <c r="E55">
        <f t="shared" si="3"/>
        <v>68.481405218541241</v>
      </c>
      <c r="G55" s="7">
        <v>4.46623E-4</v>
      </c>
      <c r="H55" s="7">
        <v>1.0215199999999999E-4</v>
      </c>
      <c r="I55" s="6">
        <f t="shared" si="4"/>
        <v>72.888885262221635</v>
      </c>
      <c r="J55" s="6">
        <f t="shared" si="5"/>
        <v>80.274728297171777</v>
      </c>
      <c r="L55" s="7">
        <v>5.8224399999999999E-4</v>
      </c>
      <c r="M55" s="7">
        <v>1.2796199999999999E-4</v>
      </c>
      <c r="N55" s="6">
        <f t="shared" si="6"/>
        <v>75.876745443764619</v>
      </c>
      <c r="O55" s="6">
        <f t="shared" si="7"/>
        <v>82.837777475675352</v>
      </c>
      <c r="Q55">
        <f t="shared" si="0"/>
        <v>1.1060289999999999E-3</v>
      </c>
      <c r="R55">
        <f t="shared" si="1"/>
        <v>1.4022733333333333E-4</v>
      </c>
      <c r="T55">
        <f t="shared" si="8"/>
        <v>72.555662309996308</v>
      </c>
      <c r="U55">
        <f t="shared" si="9"/>
        <v>77.197970330462795</v>
      </c>
      <c r="W55">
        <f t="shared" si="10"/>
        <v>2.857422130022103</v>
      </c>
      <c r="X55">
        <f t="shared" si="11"/>
        <v>6.2517296692266378</v>
      </c>
    </row>
    <row r="56" spans="1:24" x14ac:dyDescent="0.35">
      <c r="A56">
        <v>349.24099999999999</v>
      </c>
      <c r="B56">
        <v>2.2977700000000002E-3</v>
      </c>
      <c r="C56">
        <v>1.8989500000000001E-4</v>
      </c>
      <c r="D56">
        <f t="shared" si="2"/>
        <v>69.158695665260083</v>
      </c>
      <c r="E56">
        <f t="shared" si="3"/>
        <v>68.239559863014193</v>
      </c>
      <c r="G56" s="7">
        <v>4.4711499999999999E-4</v>
      </c>
      <c r="H56" s="7">
        <v>1.02872E-4</v>
      </c>
      <c r="I56" s="6">
        <f t="shared" si="4"/>
        <v>72.969179675068744</v>
      </c>
      <c r="J56" s="6">
        <f t="shared" si="5"/>
        <v>80.84053028219374</v>
      </c>
      <c r="L56" s="7">
        <v>5.8378800000000002E-4</v>
      </c>
      <c r="M56" s="7">
        <v>1.2923899999999999E-4</v>
      </c>
      <c r="N56" s="6">
        <f t="shared" si="6"/>
        <v>76.077956095939953</v>
      </c>
      <c r="O56" s="6">
        <f t="shared" si="7"/>
        <v>83.664459161147903</v>
      </c>
      <c r="Q56">
        <f t="shared" si="0"/>
        <v>1.1095576666666667E-3</v>
      </c>
      <c r="R56">
        <f t="shared" si="1"/>
        <v>1.4066866666666666E-4</v>
      </c>
      <c r="T56">
        <f t="shared" si="8"/>
        <v>72.735277145422927</v>
      </c>
      <c r="U56">
        <f t="shared" si="9"/>
        <v>77.581516435451945</v>
      </c>
      <c r="W56">
        <f t="shared" si="10"/>
        <v>2.8296141105486545</v>
      </c>
      <c r="X56">
        <f t="shared" si="11"/>
        <v>6.7056075056295237</v>
      </c>
    </row>
    <row r="57" spans="1:24" x14ac:dyDescent="0.35">
      <c r="A57">
        <v>355.43299999999999</v>
      </c>
      <c r="B57">
        <v>2.3051899999999999E-3</v>
      </c>
      <c r="C57">
        <v>1.9259100000000001E-4</v>
      </c>
      <c r="D57">
        <f t="shared" si="2"/>
        <v>69.382024162819107</v>
      </c>
      <c r="E57">
        <f t="shared" si="3"/>
        <v>69.20837870179713</v>
      </c>
      <c r="G57" s="7">
        <v>4.4833500000000001E-4</v>
      </c>
      <c r="H57" s="7">
        <v>1.02823E-4</v>
      </c>
      <c r="I57" s="6">
        <f t="shared" si="4"/>
        <v>73.168283706925379</v>
      </c>
      <c r="J57" s="6">
        <f t="shared" si="5"/>
        <v>80.802024313768641</v>
      </c>
      <c r="L57" s="7">
        <v>5.8579900000000002E-4</v>
      </c>
      <c r="M57" s="7">
        <v>1.29608E-4</v>
      </c>
      <c r="N57" s="6">
        <f t="shared" si="6"/>
        <v>76.340025151331531</v>
      </c>
      <c r="O57" s="6">
        <f t="shared" si="7"/>
        <v>83.90333585804639</v>
      </c>
      <c r="Q57">
        <f t="shared" si="0"/>
        <v>1.113108E-3</v>
      </c>
      <c r="R57">
        <f t="shared" si="1"/>
        <v>1.4167400000000003E-4</v>
      </c>
      <c r="T57">
        <f t="shared" si="8"/>
        <v>72.963444340358663</v>
      </c>
      <c r="U57">
        <f t="shared" si="9"/>
        <v>77.971246291204054</v>
      </c>
      <c r="W57">
        <f t="shared" si="10"/>
        <v>2.8442824301402228</v>
      </c>
      <c r="X57">
        <f t="shared" si="11"/>
        <v>6.3243139082842461</v>
      </c>
    </row>
    <row r="58" spans="1:24" x14ac:dyDescent="0.35">
      <c r="A58">
        <v>361.57799999999997</v>
      </c>
      <c r="B58">
        <v>2.30745E-3</v>
      </c>
      <c r="C58">
        <v>1.8914600000000001E-4</v>
      </c>
      <c r="D58">
        <f t="shared" si="2"/>
        <v>69.450046050215803</v>
      </c>
      <c r="E58">
        <f t="shared" si="3"/>
        <v>67.970403590666848</v>
      </c>
      <c r="G58" s="7">
        <v>4.4951300000000002E-4</v>
      </c>
      <c r="H58" s="7">
        <v>1.0283799999999999E-4</v>
      </c>
      <c r="I58" s="6">
        <f t="shared" si="4"/>
        <v>73.360533337685325</v>
      </c>
      <c r="J58" s="6">
        <f t="shared" si="5"/>
        <v>80.813811855123248</v>
      </c>
      <c r="L58" s="7">
        <v>5.8767800000000001E-4</v>
      </c>
      <c r="M58" s="7">
        <v>1.30412E-4</v>
      </c>
      <c r="N58" s="6">
        <f t="shared" si="6"/>
        <v>76.584892259775472</v>
      </c>
      <c r="O58" s="6">
        <f t="shared" si="7"/>
        <v>84.423815165109758</v>
      </c>
      <c r="Q58">
        <f t="shared" si="0"/>
        <v>1.1148803333333333E-3</v>
      </c>
      <c r="R58">
        <f t="shared" si="1"/>
        <v>1.4079866666666667E-4</v>
      </c>
      <c r="T58">
        <f t="shared" si="8"/>
        <v>73.131823882558862</v>
      </c>
      <c r="U58">
        <f t="shared" si="9"/>
        <v>77.736010203633285</v>
      </c>
      <c r="W58">
        <f t="shared" si="10"/>
        <v>2.9172748264622097</v>
      </c>
      <c r="X58">
        <f t="shared" si="11"/>
        <v>7.060846755828404</v>
      </c>
    </row>
    <row r="59" spans="1:24" x14ac:dyDescent="0.35">
      <c r="A59">
        <v>367.786</v>
      </c>
      <c r="B59">
        <v>2.31132E-3</v>
      </c>
      <c r="C59">
        <v>1.9212600000000001E-4</v>
      </c>
      <c r="D59">
        <f t="shared" si="2"/>
        <v>69.566526007837552</v>
      </c>
      <c r="E59">
        <f t="shared" si="3"/>
        <v>69.041279013357197</v>
      </c>
      <c r="G59" s="7">
        <v>4.5027400000000002E-4</v>
      </c>
      <c r="H59" s="7">
        <v>1.0271E-4</v>
      </c>
      <c r="I59" s="6">
        <f t="shared" si="4"/>
        <v>73.484728557556565</v>
      </c>
      <c r="J59" s="6">
        <f t="shared" si="5"/>
        <v>80.713224835563807</v>
      </c>
      <c r="L59" s="7">
        <v>5.88201E-4</v>
      </c>
      <c r="M59" s="7">
        <v>1.3037899999999999E-4</v>
      </c>
      <c r="N59" s="6">
        <f t="shared" si="6"/>
        <v>76.653048458666461</v>
      </c>
      <c r="O59" s="6">
        <f t="shared" si="7"/>
        <v>84.402452208476561</v>
      </c>
      <c r="Q59">
        <f t="shared" si="0"/>
        <v>1.1165983333333333E-3</v>
      </c>
      <c r="R59">
        <f t="shared" si="1"/>
        <v>1.4173833333333335E-4</v>
      </c>
      <c r="T59">
        <f t="shared" si="8"/>
        <v>73.234767674686864</v>
      </c>
      <c r="U59">
        <f t="shared" si="9"/>
        <v>78.052318685799193</v>
      </c>
      <c r="W59">
        <f t="shared" si="10"/>
        <v>2.8984548117631337</v>
      </c>
      <c r="X59">
        <f t="shared" si="11"/>
        <v>6.5473519652861585</v>
      </c>
    </row>
    <row r="60" spans="1:24" x14ac:dyDescent="0.35">
      <c r="A60">
        <v>374.03899999999999</v>
      </c>
      <c r="B60">
        <v>2.3176400000000002E-3</v>
      </c>
      <c r="C60">
        <v>1.90731E-4</v>
      </c>
      <c r="D60">
        <f t="shared" si="2"/>
        <v>69.756746507106186</v>
      </c>
      <c r="E60">
        <f t="shared" si="3"/>
        <v>68.539979948037384</v>
      </c>
      <c r="G60" s="7">
        <v>4.5092199999999998E-4</v>
      </c>
      <c r="H60" s="7">
        <v>1.02711E-4</v>
      </c>
      <c r="I60" s="6">
        <f t="shared" si="4"/>
        <v>73.590482174477131</v>
      </c>
      <c r="J60" s="6">
        <f t="shared" si="5"/>
        <v>80.714010671654108</v>
      </c>
      <c r="L60" s="7">
        <v>5.89475E-4</v>
      </c>
      <c r="M60" s="7">
        <v>1.3048899999999999E-4</v>
      </c>
      <c r="N60" s="6">
        <f t="shared" si="6"/>
        <v>76.8190733102671</v>
      </c>
      <c r="O60" s="6">
        <f t="shared" si="7"/>
        <v>84.473662063920557</v>
      </c>
      <c r="Q60">
        <f t="shared" si="0"/>
        <v>1.1193456666666666E-3</v>
      </c>
      <c r="R60">
        <f t="shared" si="1"/>
        <v>1.4131033333333333E-4</v>
      </c>
      <c r="T60">
        <f t="shared" si="8"/>
        <v>73.388767330616801</v>
      </c>
      <c r="U60">
        <f t="shared" si="9"/>
        <v>77.909217561204017</v>
      </c>
      <c r="W60">
        <f t="shared" si="10"/>
        <v>2.886708809623451</v>
      </c>
      <c r="X60">
        <f t="shared" si="11"/>
        <v>6.80052472175616</v>
      </c>
    </row>
    <row r="61" spans="1:24" x14ac:dyDescent="0.35">
      <c r="A61">
        <v>380.137</v>
      </c>
      <c r="B61">
        <v>2.3246500000000002E-3</v>
      </c>
      <c r="C61">
        <v>1.9120899999999999E-4</v>
      </c>
      <c r="D61">
        <f t="shared" si="2"/>
        <v>69.967734750756975</v>
      </c>
      <c r="E61">
        <f t="shared" si="3"/>
        <v>68.711751240670253</v>
      </c>
      <c r="G61" s="7">
        <v>4.5137600000000002E-4</v>
      </c>
      <c r="H61" s="7">
        <v>1.02223E-4</v>
      </c>
      <c r="I61" s="6">
        <f t="shared" si="4"/>
        <v>73.664574986331999</v>
      </c>
      <c r="J61" s="6">
        <f t="shared" si="5"/>
        <v>80.330522659583664</v>
      </c>
      <c r="L61" s="7">
        <v>5.9098899999999999E-4</v>
      </c>
      <c r="M61" s="7">
        <v>1.29751E-4</v>
      </c>
      <c r="N61" s="6">
        <f t="shared" si="6"/>
        <v>77.016374429045229</v>
      </c>
      <c r="O61" s="6">
        <f t="shared" si="7"/>
        <v>83.995908670123583</v>
      </c>
      <c r="Q61">
        <f t="shared" si="0"/>
        <v>1.1223383333333334E-3</v>
      </c>
      <c r="R61">
        <f t="shared" si="1"/>
        <v>1.41061E-4</v>
      </c>
      <c r="T61">
        <f t="shared" si="8"/>
        <v>73.54956138871141</v>
      </c>
      <c r="U61">
        <f t="shared" si="9"/>
        <v>77.679394190125834</v>
      </c>
      <c r="W61">
        <f t="shared" si="10"/>
        <v>2.8787441039815853</v>
      </c>
      <c r="X61">
        <f t="shared" si="11"/>
        <v>6.5152502486221113</v>
      </c>
    </row>
    <row r="62" spans="1:24" x14ac:dyDescent="0.35">
      <c r="A62">
        <v>386.49799999999999</v>
      </c>
      <c r="B62">
        <v>2.3291900000000001E-3</v>
      </c>
      <c r="C62">
        <v>1.8939799999999999E-4</v>
      </c>
      <c r="D62">
        <f t="shared" si="2"/>
        <v>70.104380489155631</v>
      </c>
      <c r="E62">
        <f t="shared" si="3"/>
        <v>68.060960841176239</v>
      </c>
      <c r="G62" s="7">
        <v>4.5276499999999999E-4</v>
      </c>
      <c r="H62" s="7">
        <v>1.02049E-4</v>
      </c>
      <c r="I62" s="6">
        <f t="shared" si="4"/>
        <v>73.891259822601569</v>
      </c>
      <c r="J62" s="6">
        <f t="shared" si="5"/>
        <v>80.193787179870029</v>
      </c>
      <c r="L62" s="7">
        <v>5.93448E-4</v>
      </c>
      <c r="M62" s="7">
        <v>1.2986399999999999E-4</v>
      </c>
      <c r="N62" s="6">
        <f t="shared" si="6"/>
        <v>77.336825849834824</v>
      </c>
      <c r="O62" s="6">
        <f t="shared" si="7"/>
        <v>84.069060612534216</v>
      </c>
      <c r="Q62">
        <f t="shared" si="0"/>
        <v>1.1251343333333332E-3</v>
      </c>
      <c r="R62">
        <f t="shared" si="1"/>
        <v>1.4043700000000001E-4</v>
      </c>
      <c r="T62">
        <f t="shared" si="8"/>
        <v>73.777488720530684</v>
      </c>
      <c r="U62">
        <f t="shared" si="9"/>
        <v>77.441269544526833</v>
      </c>
      <c r="W62">
        <f t="shared" si="10"/>
        <v>2.9537292102868102</v>
      </c>
      <c r="X62">
        <f t="shared" si="11"/>
        <v>6.8189480895562538</v>
      </c>
    </row>
    <row r="63" spans="1:24" x14ac:dyDescent="0.35">
      <c r="A63">
        <v>392.601</v>
      </c>
      <c r="B63">
        <v>2.33577E-3</v>
      </c>
      <c r="C63">
        <v>1.9073399999999999E-4</v>
      </c>
      <c r="D63">
        <f t="shared" si="2"/>
        <v>70.302426515292879</v>
      </c>
      <c r="E63">
        <f t="shared" si="3"/>
        <v>68.541058010543438</v>
      </c>
      <c r="G63" s="7">
        <v>4.53919E-4</v>
      </c>
      <c r="H63" s="7">
        <v>1.0206599999999999E-4</v>
      </c>
      <c r="I63" s="6">
        <f t="shared" si="4"/>
        <v>74.079592652734817</v>
      </c>
      <c r="J63" s="6">
        <f t="shared" si="5"/>
        <v>80.207146393405253</v>
      </c>
      <c r="L63" s="7">
        <v>5.9495800000000003E-4</v>
      </c>
      <c r="M63" s="7">
        <v>1.3029E-4</v>
      </c>
      <c r="N63" s="6">
        <f t="shared" si="6"/>
        <v>77.533605697493343</v>
      </c>
      <c r="O63" s="6">
        <f t="shared" si="7"/>
        <v>84.344836961799146</v>
      </c>
      <c r="Q63">
        <f t="shared" si="0"/>
        <v>1.1282156666666667E-3</v>
      </c>
      <c r="R63">
        <f t="shared" si="1"/>
        <v>1.4103E-4</v>
      </c>
      <c r="T63">
        <f t="shared" si="8"/>
        <v>73.971874955173675</v>
      </c>
      <c r="U63">
        <f t="shared" si="9"/>
        <v>77.697680455249284</v>
      </c>
      <c r="W63">
        <f t="shared" si="10"/>
        <v>2.9530989844622826</v>
      </c>
      <c r="X63">
        <f t="shared" si="11"/>
        <v>6.6914334167457241</v>
      </c>
    </row>
    <row r="64" spans="1:24" x14ac:dyDescent="0.35">
      <c r="A64">
        <v>398.83199999999999</v>
      </c>
      <c r="B64">
        <v>2.3432499999999998E-3</v>
      </c>
      <c r="C64">
        <v>1.9060999999999999E-4</v>
      </c>
      <c r="D64">
        <f t="shared" si="2"/>
        <v>70.527560903667748</v>
      </c>
      <c r="E64">
        <f t="shared" si="3"/>
        <v>68.49649809362613</v>
      </c>
      <c r="G64" s="7">
        <v>4.5475000000000002E-4</v>
      </c>
      <c r="H64" s="7">
        <v>1.0225699999999999E-4</v>
      </c>
      <c r="I64" s="6">
        <f t="shared" si="4"/>
        <v>74.215211874433891</v>
      </c>
      <c r="J64" s="6">
        <f t="shared" si="5"/>
        <v>80.357241086654142</v>
      </c>
      <c r="L64" s="7">
        <v>5.9602199999999998E-4</v>
      </c>
      <c r="M64" s="7">
        <v>1.3108E-4</v>
      </c>
      <c r="N64" s="6">
        <f t="shared" si="6"/>
        <v>77.672263815313642</v>
      </c>
      <c r="O64" s="6">
        <f t="shared" si="7"/>
        <v>84.856253196351474</v>
      </c>
      <c r="Q64">
        <f t="shared" si="0"/>
        <v>1.1313406666666665E-3</v>
      </c>
      <c r="R64">
        <f t="shared" si="1"/>
        <v>1.4131566666666665E-4</v>
      </c>
      <c r="T64">
        <f t="shared" si="8"/>
        <v>74.138345531138427</v>
      </c>
      <c r="U64">
        <f t="shared" si="9"/>
        <v>77.903330792210582</v>
      </c>
      <c r="W64">
        <f t="shared" si="10"/>
        <v>2.917319117496866</v>
      </c>
      <c r="X64">
        <f t="shared" si="11"/>
        <v>6.9005629507149173</v>
      </c>
    </row>
    <row r="65" spans="1:24" x14ac:dyDescent="0.35">
      <c r="A65">
        <v>405.02199999999999</v>
      </c>
      <c r="B65">
        <v>2.3484600000000001E-3</v>
      </c>
      <c r="C65">
        <v>1.92256E-4</v>
      </c>
      <c r="D65">
        <f t="shared" si="2"/>
        <v>70.68437242284331</v>
      </c>
      <c r="E65">
        <f t="shared" si="3"/>
        <v>69.087995055286626</v>
      </c>
      <c r="G65" s="7">
        <v>4.55561E-4</v>
      </c>
      <c r="H65" s="7">
        <v>1.0234300000000001E-4</v>
      </c>
      <c r="I65" s="6">
        <f t="shared" si="4"/>
        <v>74.347567095610728</v>
      </c>
      <c r="J65" s="6">
        <f t="shared" si="5"/>
        <v>80.424822990420665</v>
      </c>
      <c r="L65" s="7">
        <v>5.9840100000000003E-4</v>
      </c>
      <c r="M65" s="7">
        <v>1.3151699999999999E-4</v>
      </c>
      <c r="N65" s="6">
        <f t="shared" si="6"/>
        <v>77.98228981371075</v>
      </c>
      <c r="O65" s="6">
        <f t="shared" si="7"/>
        <v>85.13915053116078</v>
      </c>
      <c r="Q65">
        <f t="shared" si="0"/>
        <v>1.1341406666666668E-3</v>
      </c>
      <c r="R65">
        <f t="shared" si="1"/>
        <v>1.4203866666666665E-4</v>
      </c>
      <c r="T65">
        <f t="shared" si="8"/>
        <v>74.338076444054934</v>
      </c>
      <c r="U65">
        <f t="shared" si="9"/>
        <v>78.217322858956024</v>
      </c>
      <c r="W65">
        <f t="shared" si="10"/>
        <v>2.9793698567909255</v>
      </c>
      <c r="X65">
        <f t="shared" si="11"/>
        <v>6.7362051953348088</v>
      </c>
    </row>
    <row r="66" spans="1:24" x14ac:dyDescent="0.35">
      <c r="A66">
        <v>411.33699999999999</v>
      </c>
      <c r="B66">
        <v>2.3538600000000002E-3</v>
      </c>
      <c r="C66">
        <v>1.9130300000000001E-4</v>
      </c>
      <c r="D66">
        <f t="shared" si="2"/>
        <v>70.846902596269032</v>
      </c>
      <c r="E66">
        <f t="shared" si="3"/>
        <v>68.745530532526942</v>
      </c>
      <c r="G66" s="7">
        <v>4.5585500000000002E-4</v>
      </c>
      <c r="H66" s="7">
        <v>1.0252899999999999E-4</v>
      </c>
      <c r="I66" s="6">
        <f t="shared" si="4"/>
        <v>74.395547903287664</v>
      </c>
      <c r="J66" s="6">
        <f t="shared" si="5"/>
        <v>80.570988503218004</v>
      </c>
      <c r="L66" s="7">
        <v>6.0014900000000002E-4</v>
      </c>
      <c r="M66" s="7">
        <v>1.3204499999999999E-4</v>
      </c>
      <c r="N66" s="6">
        <f t="shared" si="6"/>
        <v>78.210085292986946</v>
      </c>
      <c r="O66" s="6">
        <f t="shared" si="7"/>
        <v>85.480957837291953</v>
      </c>
      <c r="Q66">
        <f t="shared" si="0"/>
        <v>1.1366213333333334E-3</v>
      </c>
      <c r="R66">
        <f t="shared" si="1"/>
        <v>1.4195899999999999E-4</v>
      </c>
      <c r="T66">
        <f t="shared" si="8"/>
        <v>74.484178597514543</v>
      </c>
      <c r="U66">
        <f t="shared" si="9"/>
        <v>78.265825624345624</v>
      </c>
      <c r="W66">
        <f t="shared" si="10"/>
        <v>3.0066599859069396</v>
      </c>
      <c r="X66">
        <f t="shared" si="11"/>
        <v>7.0239572745410372</v>
      </c>
    </row>
    <row r="67" spans="1:24" x14ac:dyDescent="0.35">
      <c r="A67">
        <v>417.42200000000003</v>
      </c>
      <c r="B67">
        <v>2.3585099999999999E-3</v>
      </c>
      <c r="C67">
        <v>1.95179E-4</v>
      </c>
      <c r="D67">
        <f t="shared" si="2"/>
        <v>70.986859134496711</v>
      </c>
      <c r="E67">
        <f t="shared" si="3"/>
        <v>70.138387290361763</v>
      </c>
      <c r="G67" s="7">
        <v>4.5653399999999998E-4</v>
      </c>
      <c r="H67" s="7">
        <v>1.02742E-4</v>
      </c>
      <c r="I67" s="6">
        <f t="shared" si="4"/>
        <v>74.5063607210177</v>
      </c>
      <c r="J67" s="6">
        <f t="shared" si="5"/>
        <v>80.738371590453667</v>
      </c>
      <c r="L67" s="7">
        <v>6.0135400000000002E-4</v>
      </c>
      <c r="M67" s="7">
        <v>1.3271499999999999E-4</v>
      </c>
      <c r="N67" s="6">
        <f t="shared" si="6"/>
        <v>78.367118217774049</v>
      </c>
      <c r="O67" s="6">
        <f t="shared" si="7"/>
        <v>85.914690593178094</v>
      </c>
      <c r="Q67">
        <f t="shared" ref="Q67:R109" si="12">AVERAGE(B67,G67,L67)</f>
        <v>1.1387993333333334E-3</v>
      </c>
      <c r="R67">
        <f t="shared" si="12"/>
        <v>1.4354533333333332E-4</v>
      </c>
      <c r="T67">
        <f t="shared" si="8"/>
        <v>74.620112691096153</v>
      </c>
      <c r="U67">
        <f t="shared" si="9"/>
        <v>78.930483157997841</v>
      </c>
      <c r="W67">
        <f t="shared" si="10"/>
        <v>3.0140516106062241</v>
      </c>
      <c r="X67">
        <f t="shared" si="11"/>
        <v>6.5662917954133517</v>
      </c>
    </row>
    <row r="68" spans="1:24" x14ac:dyDescent="0.35">
      <c r="A68">
        <v>423.74099999999999</v>
      </c>
      <c r="B68">
        <v>2.3612500000000001E-3</v>
      </c>
      <c r="C68">
        <v>1.9822500000000001E-4</v>
      </c>
      <c r="D68">
        <f t="shared" ref="D68:D109" si="13">B68/$B$3*100</f>
        <v>71.069328148420141</v>
      </c>
      <c r="E68">
        <f t="shared" ref="E68:E109" si="14">C68/$C$3*100</f>
        <v>71.232980088185514</v>
      </c>
      <c r="G68" s="7">
        <v>4.5738499999999999E-4</v>
      </c>
      <c r="H68" s="7">
        <v>1.0268999999999999E-4</v>
      </c>
      <c r="I68" s="6">
        <f t="shared" ref="I68:I109" si="15">G68/$G$3*100</f>
        <v>74.645243943239024</v>
      </c>
      <c r="J68" s="6">
        <f t="shared" ref="J68:J109" si="16">H68/$H$3*100</f>
        <v>80.697508113757635</v>
      </c>
      <c r="L68" s="7">
        <v>6.0255300000000003E-4</v>
      </c>
      <c r="M68" s="7">
        <v>1.33759E-4</v>
      </c>
      <c r="N68" s="6">
        <f t="shared" ref="N68:N109" si="17">L68/$L$3*100</f>
        <v>78.523369235881702</v>
      </c>
      <c r="O68" s="6">
        <f t="shared" ref="O68:O109" si="18">M68/$M$3*100</f>
        <v>86.590536857573824</v>
      </c>
      <c r="Q68">
        <f t="shared" si="12"/>
        <v>1.1403959999999999E-3</v>
      </c>
      <c r="R68">
        <f t="shared" si="12"/>
        <v>1.4489133333333334E-4</v>
      </c>
      <c r="T68">
        <f t="shared" ref="T68:T109" si="19">AVERAGE(D68,I68,N68)</f>
        <v>74.745980442513613</v>
      </c>
      <c r="U68">
        <f t="shared" ref="U68:U109" si="20">AVERAGE(E68,J68,O68)</f>
        <v>79.507008353172324</v>
      </c>
      <c r="W68">
        <f t="shared" ref="W68:W109" si="21">_xlfn.STDEV.P(D68,I68,N68)</f>
        <v>3.0439330933411202</v>
      </c>
      <c r="X68">
        <f t="shared" ref="X68:X109" si="22">_xlfn.STDEV.P(E68,J68,O68)</f>
        <v>6.3259573579135804</v>
      </c>
    </row>
    <row r="69" spans="1:24" x14ac:dyDescent="0.35">
      <c r="A69">
        <v>429.80099999999999</v>
      </c>
      <c r="B69">
        <v>2.3734099999999998E-3</v>
      </c>
      <c r="C69">
        <v>1.9470199999999999E-4</v>
      </c>
      <c r="D69">
        <f t="shared" si="13"/>
        <v>71.435322020430633</v>
      </c>
      <c r="E69">
        <f t="shared" si="14"/>
        <v>69.96697535189756</v>
      </c>
      <c r="G69" s="7">
        <v>4.5774200000000002E-4</v>
      </c>
      <c r="H69" s="7">
        <v>1.0252299999999999E-4</v>
      </c>
      <c r="I69" s="6">
        <f t="shared" si="15"/>
        <v>74.703506352561007</v>
      </c>
      <c r="J69" s="6">
        <f t="shared" si="16"/>
        <v>80.566273486676138</v>
      </c>
      <c r="L69" s="7">
        <v>6.0422899999999996E-4</v>
      </c>
      <c r="M69" s="7">
        <v>1.33738E-4</v>
      </c>
      <c r="N69" s="6">
        <f t="shared" si="17"/>
        <v>78.741781835004659</v>
      </c>
      <c r="O69" s="6">
        <f t="shared" si="18"/>
        <v>86.576942248807228</v>
      </c>
      <c r="Q69">
        <f t="shared" si="12"/>
        <v>1.1451269999999999E-3</v>
      </c>
      <c r="R69">
        <f t="shared" si="12"/>
        <v>1.4365433333333332E-4</v>
      </c>
      <c r="T69">
        <f t="shared" si="19"/>
        <v>74.960203402665442</v>
      </c>
      <c r="U69">
        <f t="shared" si="20"/>
        <v>79.036730362460304</v>
      </c>
      <c r="W69">
        <f t="shared" si="21"/>
        <v>2.9883673120000398</v>
      </c>
      <c r="X69">
        <f t="shared" si="22"/>
        <v>6.8667011344961315</v>
      </c>
    </row>
    <row r="70" spans="1:24" x14ac:dyDescent="0.35">
      <c r="A70">
        <v>436.18</v>
      </c>
      <c r="B70">
        <v>2.38047E-3</v>
      </c>
      <c r="C70">
        <v>1.95016E-4</v>
      </c>
      <c r="D70">
        <f t="shared" si="13"/>
        <v>71.647815173094628</v>
      </c>
      <c r="E70">
        <f t="shared" si="14"/>
        <v>70.079812560865619</v>
      </c>
      <c r="G70" s="7">
        <v>4.5859900000000002E-4</v>
      </c>
      <c r="H70" s="7">
        <v>1.0327699999999999E-4</v>
      </c>
      <c r="I70" s="6">
        <f t="shared" si="15"/>
        <v>74.843368774938995</v>
      </c>
      <c r="J70" s="6">
        <f t="shared" si="16"/>
        <v>81.158793898768593</v>
      </c>
      <c r="L70" s="7">
        <v>6.0678000000000001E-4</v>
      </c>
      <c r="M70" s="7">
        <v>1.3383899999999999E-4</v>
      </c>
      <c r="N70" s="6">
        <f t="shared" si="17"/>
        <v>79.07422249154564</v>
      </c>
      <c r="O70" s="6">
        <f t="shared" si="18"/>
        <v>86.642325843351259</v>
      </c>
      <c r="Q70">
        <f t="shared" si="12"/>
        <v>1.1486163333333332E-3</v>
      </c>
      <c r="R70">
        <f t="shared" si="12"/>
        <v>1.4404399999999999E-4</v>
      </c>
      <c r="T70">
        <f t="shared" si="19"/>
        <v>75.188468813193083</v>
      </c>
      <c r="U70">
        <f t="shared" si="20"/>
        <v>79.293644100995152</v>
      </c>
      <c r="W70">
        <f t="shared" si="21"/>
        <v>3.041622586952335</v>
      </c>
      <c r="X70">
        <f t="shared" si="22"/>
        <v>6.8890395742913748</v>
      </c>
    </row>
    <row r="71" spans="1:24" x14ac:dyDescent="0.35">
      <c r="A71">
        <v>449.34699999999998</v>
      </c>
      <c r="B71">
        <v>5.4027500000000001E-6</v>
      </c>
      <c r="C71">
        <v>5.2206999999999997E-5</v>
      </c>
      <c r="D71">
        <f t="shared" si="13"/>
        <v>0.16261294342144073</v>
      </c>
      <c r="E71">
        <f t="shared" si="14"/>
        <v>18.760803084696182</v>
      </c>
      <c r="G71" s="7">
        <v>4.7246599999999996E-6</v>
      </c>
      <c r="H71" s="7">
        <v>2.1384799999999999E-5</v>
      </c>
      <c r="I71" s="6">
        <f t="shared" si="15"/>
        <v>0.77106463537034153</v>
      </c>
      <c r="J71" s="6">
        <f t="shared" si="16"/>
        <v>16.804947624024578</v>
      </c>
      <c r="L71" s="7">
        <v>3.8427300000000001E-6</v>
      </c>
      <c r="M71" s="7">
        <v>2.3366999999999998E-5</v>
      </c>
      <c r="N71" s="6">
        <f t="shared" si="17"/>
        <v>0.50077604237934203</v>
      </c>
      <c r="O71" s="6">
        <f t="shared" si="18"/>
        <v>15.126915383270861</v>
      </c>
      <c r="Q71">
        <f t="shared" si="12"/>
        <v>4.6567133333333335E-6</v>
      </c>
      <c r="R71">
        <f t="shared" si="12"/>
        <v>3.2319599999999995E-5</v>
      </c>
      <c r="T71">
        <f t="shared" si="19"/>
        <v>0.47815120705704145</v>
      </c>
      <c r="U71">
        <f t="shared" si="20"/>
        <v>16.897555363997206</v>
      </c>
      <c r="W71">
        <f t="shared" si="21"/>
        <v>0.2489140115768107</v>
      </c>
      <c r="X71">
        <f t="shared" si="22"/>
        <v>1.4849729743376205</v>
      </c>
    </row>
    <row r="72" spans="1:24" x14ac:dyDescent="0.35">
      <c r="A72">
        <v>455.601</v>
      </c>
      <c r="B72">
        <v>5.4107499999999998E-6</v>
      </c>
      <c r="C72">
        <v>5.2233500000000001E-5</v>
      </c>
      <c r="D72">
        <f t="shared" si="13"/>
        <v>0.1628537288635529</v>
      </c>
      <c r="E72">
        <f t="shared" si="14"/>
        <v>18.770325970166414</v>
      </c>
      <c r="G72" s="7">
        <v>4.6621099999999997E-6</v>
      </c>
      <c r="H72" s="7">
        <v>2.13048E-5</v>
      </c>
      <c r="I72" s="6">
        <f t="shared" si="15"/>
        <v>0.76085647373703569</v>
      </c>
      <c r="J72" s="6">
        <f t="shared" si="16"/>
        <v>16.74208073679992</v>
      </c>
      <c r="L72" s="7">
        <v>3.7966799999999999E-6</v>
      </c>
      <c r="M72" s="7">
        <v>2.3290199999999999E-5</v>
      </c>
      <c r="N72" s="6">
        <f t="shared" si="17"/>
        <v>0.49477490861465684</v>
      </c>
      <c r="O72" s="6">
        <f t="shared" si="18"/>
        <v>15.077197956924513</v>
      </c>
      <c r="Q72">
        <f t="shared" si="12"/>
        <v>4.6231799999999995E-6</v>
      </c>
      <c r="R72">
        <f t="shared" si="12"/>
        <v>3.2276166666666668E-5</v>
      </c>
      <c r="T72">
        <f t="shared" si="19"/>
        <v>0.4728283704050818</v>
      </c>
      <c r="U72">
        <f t="shared" si="20"/>
        <v>16.863201554630283</v>
      </c>
      <c r="W72">
        <f t="shared" si="21"/>
        <v>0.24462632540753954</v>
      </c>
      <c r="X72">
        <f t="shared" si="22"/>
        <v>1.5101437723898876</v>
      </c>
    </row>
    <row r="73" spans="1:24" x14ac:dyDescent="0.35">
      <c r="A73">
        <v>461.72699999999998</v>
      </c>
      <c r="B73">
        <v>5.3782100000000003E-6</v>
      </c>
      <c r="C73">
        <v>5.2069800000000001E-5</v>
      </c>
      <c r="D73">
        <f t="shared" si="13"/>
        <v>0.16187433407776167</v>
      </c>
      <c r="E73">
        <f t="shared" si="14"/>
        <v>18.711499692752188</v>
      </c>
      <c r="G73" s="7">
        <v>4.5971000000000004E-6</v>
      </c>
      <c r="H73" s="7">
        <v>2.1212700000000001E-5</v>
      </c>
      <c r="I73" s="6">
        <f t="shared" si="15"/>
        <v>0.75024684003949449</v>
      </c>
      <c r="J73" s="6">
        <f t="shared" si="16"/>
        <v>16.669705232882524</v>
      </c>
      <c r="L73" s="7">
        <v>3.75704E-6</v>
      </c>
      <c r="M73" s="7">
        <v>2.3222199999999999E-5</v>
      </c>
      <c r="N73" s="6">
        <f t="shared" si="17"/>
        <v>0.48960911181917105</v>
      </c>
      <c r="O73" s="6">
        <f t="shared" si="18"/>
        <v>15.03317731901368</v>
      </c>
      <c r="Q73">
        <f t="shared" si="12"/>
        <v>4.5774500000000005E-6</v>
      </c>
      <c r="R73">
        <f t="shared" si="12"/>
        <v>3.2168233333333335E-5</v>
      </c>
      <c r="T73">
        <f t="shared" si="19"/>
        <v>0.46724342864547569</v>
      </c>
      <c r="U73">
        <f t="shared" si="20"/>
        <v>16.804794081549463</v>
      </c>
      <c r="W73">
        <f t="shared" si="21"/>
        <v>0.24072213480939941</v>
      </c>
      <c r="X73">
        <f t="shared" si="22"/>
        <v>1.5047038732060523</v>
      </c>
    </row>
    <row r="74" spans="1:24" x14ac:dyDescent="0.35">
      <c r="A74">
        <v>467.90100000000001</v>
      </c>
      <c r="B74">
        <v>5.3503799999999999E-6</v>
      </c>
      <c r="C74">
        <v>5.1912100000000001E-5</v>
      </c>
      <c r="D74">
        <f t="shared" si="13"/>
        <v>0.16103670172101392</v>
      </c>
      <c r="E74">
        <f t="shared" si="14"/>
        <v>18.654829540350082</v>
      </c>
      <c r="G74" s="7">
        <v>4.5383199999999999E-6</v>
      </c>
      <c r="H74" s="7">
        <v>2.1145299999999999E-5</v>
      </c>
      <c r="I74" s="6">
        <f t="shared" si="15"/>
        <v>0.74065394250463079</v>
      </c>
      <c r="J74" s="6">
        <f t="shared" si="16"/>
        <v>16.616739880395748</v>
      </c>
      <c r="L74" s="7">
        <v>3.7296799999999999E-6</v>
      </c>
      <c r="M74" s="7">
        <v>2.31809E-5</v>
      </c>
      <c r="N74" s="6">
        <f t="shared" si="17"/>
        <v>0.48604361736093465</v>
      </c>
      <c r="O74" s="6">
        <f t="shared" si="18"/>
        <v>15.00644125510607</v>
      </c>
      <c r="Q74">
        <f t="shared" si="12"/>
        <v>4.5394599999999992E-6</v>
      </c>
      <c r="R74">
        <f t="shared" si="12"/>
        <v>3.2079433333333337E-5</v>
      </c>
      <c r="T74">
        <f t="shared" si="19"/>
        <v>0.46257808719552646</v>
      </c>
      <c r="U74">
        <f t="shared" si="20"/>
        <v>16.759336891950635</v>
      </c>
      <c r="W74">
        <f t="shared" si="21"/>
        <v>0.23720878255643785</v>
      </c>
      <c r="X74">
        <f t="shared" si="22"/>
        <v>1.4928573722350311</v>
      </c>
    </row>
    <row r="75" spans="1:24" x14ac:dyDescent="0.35">
      <c r="A75">
        <v>474.11200000000002</v>
      </c>
      <c r="B75">
        <v>5.3716999999999997E-6</v>
      </c>
      <c r="C75">
        <v>5.1878500000000001E-5</v>
      </c>
      <c r="D75">
        <f t="shared" si="13"/>
        <v>0.16167839492424288</v>
      </c>
      <c r="E75">
        <f t="shared" si="14"/>
        <v>18.642755240282167</v>
      </c>
      <c r="G75" s="7">
        <v>4.4896000000000002E-6</v>
      </c>
      <c r="H75" s="7">
        <v>2.10826E-5</v>
      </c>
      <c r="I75" s="6">
        <f t="shared" si="15"/>
        <v>0.732702837232454</v>
      </c>
      <c r="J75" s="6">
        <f t="shared" si="16"/>
        <v>16.56746795753342</v>
      </c>
      <c r="L75" s="7">
        <v>3.69648E-6</v>
      </c>
      <c r="M75" s="7">
        <v>2.3123299999999999E-5</v>
      </c>
      <c r="N75" s="6">
        <f t="shared" si="17"/>
        <v>0.48171706706804546</v>
      </c>
      <c r="O75" s="6">
        <f t="shared" si="18"/>
        <v>14.969153185346308</v>
      </c>
      <c r="Q75">
        <f t="shared" si="12"/>
        <v>4.5192599999999998E-6</v>
      </c>
      <c r="R75">
        <f t="shared" si="12"/>
        <v>3.2028133333333333E-5</v>
      </c>
      <c r="T75">
        <f t="shared" si="19"/>
        <v>0.45869943307491412</v>
      </c>
      <c r="U75">
        <f t="shared" si="20"/>
        <v>16.726458794387298</v>
      </c>
      <c r="W75">
        <f t="shared" si="21"/>
        <v>0.23368723689914014</v>
      </c>
      <c r="X75">
        <f t="shared" si="22"/>
        <v>1.5039495956003899</v>
      </c>
    </row>
    <row r="76" spans="1:24" x14ac:dyDescent="0.35">
      <c r="A76">
        <v>480.45699999999999</v>
      </c>
      <c r="B76">
        <v>5.3655800000000002E-6</v>
      </c>
      <c r="C76">
        <v>5.1817100000000002E-5</v>
      </c>
      <c r="D76">
        <f t="shared" si="13"/>
        <v>0.16149419406102705</v>
      </c>
      <c r="E76">
        <f t="shared" si="14"/>
        <v>18.620690894324721</v>
      </c>
      <c r="G76" s="7">
        <v>4.4464000000000003E-6</v>
      </c>
      <c r="H76" s="7">
        <v>2.1036400000000001E-5</v>
      </c>
      <c r="I76" s="6">
        <f t="shared" si="15"/>
        <v>0.72565259610441535</v>
      </c>
      <c r="J76" s="6">
        <f t="shared" si="16"/>
        <v>16.531162330161177</v>
      </c>
      <c r="L76" s="7">
        <v>3.67089E-6</v>
      </c>
      <c r="M76" s="7">
        <v>2.3073599999999999E-5</v>
      </c>
      <c r="N76" s="6">
        <f t="shared" si="17"/>
        <v>0.47838223508024325</v>
      </c>
      <c r="O76" s="6">
        <f t="shared" si="18"/>
        <v>14.936979277932066</v>
      </c>
      <c r="Q76">
        <f t="shared" si="12"/>
        <v>4.4942900000000005E-6</v>
      </c>
      <c r="R76">
        <f t="shared" si="12"/>
        <v>3.1975700000000006E-5</v>
      </c>
      <c r="T76">
        <f t="shared" si="19"/>
        <v>0.45517634174856186</v>
      </c>
      <c r="U76">
        <f t="shared" si="20"/>
        <v>16.696277500805987</v>
      </c>
      <c r="W76">
        <f t="shared" si="21"/>
        <v>0.23090049915209282</v>
      </c>
      <c r="X76">
        <f t="shared" si="22"/>
        <v>1.5083943080572679</v>
      </c>
    </row>
    <row r="77" spans="1:24" x14ac:dyDescent="0.35">
      <c r="A77">
        <v>486.59</v>
      </c>
      <c r="B77">
        <v>5.3711600000000001E-6</v>
      </c>
      <c r="C77">
        <v>5.1773900000000002E-5</v>
      </c>
      <c r="D77">
        <f t="shared" si="13"/>
        <v>0.16166214190690029</v>
      </c>
      <c r="E77">
        <f t="shared" si="14"/>
        <v>18.605166794237395</v>
      </c>
      <c r="G77" s="7">
        <v>4.4050299999999997E-6</v>
      </c>
      <c r="H77" s="7">
        <v>2.0994900000000001E-5</v>
      </c>
      <c r="I77" s="6">
        <f t="shared" si="15"/>
        <v>0.71890101102416171</v>
      </c>
      <c r="J77" s="6">
        <f t="shared" si="16"/>
        <v>16.498550132413385</v>
      </c>
      <c r="L77" s="7">
        <v>3.6381899999999999E-6</v>
      </c>
      <c r="M77" s="7">
        <v>2.2987099999999999E-5</v>
      </c>
      <c r="N77" s="6">
        <f t="shared" si="17"/>
        <v>0.47412084367730711</v>
      </c>
      <c r="O77" s="6">
        <f t="shared" si="18"/>
        <v>14.880982437060197</v>
      </c>
      <c r="Q77">
        <f t="shared" si="12"/>
        <v>4.4714599999999992E-6</v>
      </c>
      <c r="R77">
        <f t="shared" si="12"/>
        <v>3.1918633333333336E-5</v>
      </c>
      <c r="T77">
        <f t="shared" si="19"/>
        <v>0.45156133220278977</v>
      </c>
      <c r="U77">
        <f t="shared" si="20"/>
        <v>16.661566454570323</v>
      </c>
      <c r="W77">
        <f t="shared" si="21"/>
        <v>0.22805041545273527</v>
      </c>
      <c r="X77">
        <f t="shared" si="22"/>
        <v>1.5247552858361708</v>
      </c>
    </row>
    <row r="78" spans="1:24" x14ac:dyDescent="0.35">
      <c r="A78">
        <v>492.80599999999998</v>
      </c>
      <c r="B78">
        <v>5.3595500000000002E-6</v>
      </c>
      <c r="C78">
        <v>5.1700199999999997E-5</v>
      </c>
      <c r="D78">
        <f t="shared" si="13"/>
        <v>0.16131270203403503</v>
      </c>
      <c r="E78">
        <f t="shared" si="14"/>
        <v>18.578682392005085</v>
      </c>
      <c r="G78" s="7">
        <v>4.36469E-6</v>
      </c>
      <c r="H78" s="7">
        <v>2.0951E-5</v>
      </c>
      <c r="I78" s="6">
        <f t="shared" si="15"/>
        <v>0.71231752197080345</v>
      </c>
      <c r="J78" s="6">
        <f t="shared" si="16"/>
        <v>16.464051928048846</v>
      </c>
      <c r="L78" s="7">
        <v>3.6165099999999999E-6</v>
      </c>
      <c r="M78" s="7">
        <v>2.2942199999999999E-5</v>
      </c>
      <c r="N78" s="6">
        <f t="shared" si="17"/>
        <v>0.47129555420893854</v>
      </c>
      <c r="O78" s="6">
        <f t="shared" si="18"/>
        <v>14.851915868792604</v>
      </c>
      <c r="Q78">
        <f t="shared" si="12"/>
        <v>4.4469166666666664E-6</v>
      </c>
      <c r="R78">
        <f t="shared" si="12"/>
        <v>3.1864466666666666E-5</v>
      </c>
      <c r="T78">
        <f t="shared" si="19"/>
        <v>0.44830859273792562</v>
      </c>
      <c r="U78">
        <f t="shared" si="20"/>
        <v>16.631550062948843</v>
      </c>
      <c r="W78">
        <f t="shared" si="21"/>
        <v>0.22553326169568286</v>
      </c>
      <c r="X78">
        <f t="shared" si="22"/>
        <v>1.5260491251443042</v>
      </c>
    </row>
    <row r="79" spans="1:24" x14ac:dyDescent="0.35">
      <c r="A79">
        <v>499.017</v>
      </c>
      <c r="B79">
        <v>5.3514000000000001E-6</v>
      </c>
      <c r="C79">
        <v>5.1671E-5</v>
      </c>
      <c r="D79">
        <f t="shared" si="13"/>
        <v>0.16106740186488325</v>
      </c>
      <c r="E79">
        <f t="shared" si="14"/>
        <v>18.568189250279399</v>
      </c>
      <c r="G79" s="7">
        <v>4.3245099999999997E-6</v>
      </c>
      <c r="H79" s="7">
        <v>2.0914400000000001E-5</v>
      </c>
      <c r="I79" s="6">
        <f t="shared" si="15"/>
        <v>0.70576014492162309</v>
      </c>
      <c r="J79" s="6">
        <f t="shared" si="16"/>
        <v>16.435290327143566</v>
      </c>
      <c r="L79" s="7">
        <v>3.59703E-6</v>
      </c>
      <c r="M79" s="7">
        <v>2.2920799999999999E-5</v>
      </c>
      <c r="N79" s="6">
        <f t="shared" si="17"/>
        <v>0.46875696385636378</v>
      </c>
      <c r="O79" s="6">
        <f t="shared" si="18"/>
        <v>14.838062315097137</v>
      </c>
      <c r="Q79">
        <f t="shared" si="12"/>
        <v>4.4243133333333338E-6</v>
      </c>
      <c r="R79">
        <f t="shared" si="12"/>
        <v>3.1835399999999997E-5</v>
      </c>
      <c r="T79">
        <f t="shared" si="19"/>
        <v>0.44519483688095668</v>
      </c>
      <c r="U79">
        <f t="shared" si="20"/>
        <v>16.613847297506698</v>
      </c>
      <c r="W79">
        <f t="shared" si="21"/>
        <v>0.22299316350562973</v>
      </c>
      <c r="X79">
        <f t="shared" si="22"/>
        <v>1.528043123713464</v>
      </c>
    </row>
    <row r="80" spans="1:24" x14ac:dyDescent="0.35">
      <c r="A80">
        <v>505.20699999999999</v>
      </c>
      <c r="B80">
        <v>5.3377700000000004E-6</v>
      </c>
      <c r="C80">
        <v>5.1583499999999998E-5</v>
      </c>
      <c r="D80">
        <f t="shared" si="13"/>
        <v>0.16065716366788463</v>
      </c>
      <c r="E80">
        <f t="shared" si="14"/>
        <v>18.536745760519192</v>
      </c>
      <c r="G80" s="7">
        <v>4.2924800000000003E-6</v>
      </c>
      <c r="H80" s="7">
        <v>2.0873399999999999E-5</v>
      </c>
      <c r="I80" s="6">
        <f t="shared" si="15"/>
        <v>0.70053284808525573</v>
      </c>
      <c r="J80" s="6">
        <f t="shared" si="16"/>
        <v>16.403071047440925</v>
      </c>
      <c r="L80" s="7">
        <v>3.5777699999999999E-6</v>
      </c>
      <c r="M80" s="7">
        <v>2.2902900000000001E-5</v>
      </c>
      <c r="N80" s="6">
        <f t="shared" si="17"/>
        <v>0.46624704341536838</v>
      </c>
      <c r="O80" s="6">
        <f t="shared" si="18"/>
        <v>14.826474529529431</v>
      </c>
      <c r="Q80">
        <f t="shared" si="12"/>
        <v>4.4026733333333337E-6</v>
      </c>
      <c r="R80">
        <f t="shared" si="12"/>
        <v>3.1786599999999998E-5</v>
      </c>
      <c r="T80">
        <f t="shared" si="19"/>
        <v>0.44247901838950288</v>
      </c>
      <c r="U80">
        <f t="shared" si="20"/>
        <v>16.588763779163184</v>
      </c>
      <c r="W80">
        <f t="shared" si="21"/>
        <v>0.22104317514383767</v>
      </c>
      <c r="X80">
        <f t="shared" si="22"/>
        <v>1.520392382432558</v>
      </c>
    </row>
    <row r="81" spans="1:24" x14ac:dyDescent="0.35">
      <c r="A81">
        <v>518.327</v>
      </c>
      <c r="B81">
        <v>2.3012699999999998E-3</v>
      </c>
      <c r="C81">
        <v>2.4265699999999999E-4</v>
      </c>
      <c r="D81">
        <f t="shared" si="13"/>
        <v>69.264039296184137</v>
      </c>
      <c r="E81">
        <f t="shared" si="14"/>
        <v>87.199804511332218</v>
      </c>
      <c r="G81" s="7">
        <v>3.87122E-4</v>
      </c>
      <c r="H81" s="7">
        <v>1.15573E-4</v>
      </c>
      <c r="I81" s="6">
        <f t="shared" si="15"/>
        <v>63.178320508531272</v>
      </c>
      <c r="J81" s="6">
        <f t="shared" si="16"/>
        <v>90.821434465199246</v>
      </c>
      <c r="L81" s="7">
        <v>5.0942399999999997E-4</v>
      </c>
      <c r="M81" s="7">
        <v>1.43399E-4</v>
      </c>
      <c r="N81" s="6">
        <f t="shared" si="17"/>
        <v>66.387004710987739</v>
      </c>
      <c r="O81" s="6">
        <f t="shared" si="18"/>
        <v>92.83110964375652</v>
      </c>
      <c r="Q81">
        <f t="shared" si="12"/>
        <v>1.0659386666666667E-3</v>
      </c>
      <c r="R81">
        <f t="shared" si="12"/>
        <v>1.6720966666666665E-4</v>
      </c>
      <c r="T81">
        <f t="shared" si="19"/>
        <v>66.276454838567716</v>
      </c>
      <c r="U81">
        <f t="shared" si="20"/>
        <v>90.284116206762675</v>
      </c>
      <c r="W81">
        <f t="shared" si="21"/>
        <v>2.4857137467693029</v>
      </c>
      <c r="X81">
        <f t="shared" si="22"/>
        <v>2.3301548670641421</v>
      </c>
    </row>
    <row r="82" spans="1:24" x14ac:dyDescent="0.35">
      <c r="A82">
        <v>524.44100000000003</v>
      </c>
      <c r="B82">
        <v>2.3374200000000002E-3</v>
      </c>
      <c r="C82">
        <v>2.3207800000000001E-4</v>
      </c>
      <c r="D82">
        <f t="shared" si="13"/>
        <v>70.352088512728528</v>
      </c>
      <c r="E82">
        <f t="shared" si="14"/>
        <v>83.398196760781531</v>
      </c>
      <c r="G82" s="7">
        <v>3.9844499999999998E-4</v>
      </c>
      <c r="H82" s="7">
        <v>1.1285099999999999E-4</v>
      </c>
      <c r="I82" s="6">
        <f t="shared" si="15"/>
        <v>65.02623440419751</v>
      </c>
      <c r="J82" s="6">
        <f t="shared" si="16"/>
        <v>88.682388627380107</v>
      </c>
      <c r="L82" s="7">
        <v>5.2338500000000002E-4</v>
      </c>
      <c r="M82" s="7">
        <v>1.4122700000000001E-4</v>
      </c>
      <c r="N82" s="6">
        <f t="shared" si="17"/>
        <v>68.206371236259628</v>
      </c>
      <c r="O82" s="6">
        <f t="shared" si="18"/>
        <v>91.425038679898762</v>
      </c>
      <c r="Q82">
        <f t="shared" si="12"/>
        <v>1.0864166666666667E-3</v>
      </c>
      <c r="R82">
        <f t="shared" si="12"/>
        <v>1.6205200000000001E-4</v>
      </c>
      <c r="T82">
        <f t="shared" si="19"/>
        <v>67.861564717728555</v>
      </c>
      <c r="U82">
        <f t="shared" si="20"/>
        <v>87.8352080226868</v>
      </c>
      <c r="W82">
        <f t="shared" si="21"/>
        <v>2.1878984052823114</v>
      </c>
      <c r="X82">
        <f t="shared" si="22"/>
        <v>3.3312494183965256</v>
      </c>
    </row>
    <row r="83" spans="1:24" x14ac:dyDescent="0.35">
      <c r="A83">
        <v>530.67700000000002</v>
      </c>
      <c r="B83">
        <v>2.3620799999999999E-3</v>
      </c>
      <c r="C83">
        <v>2.2484999999999999E-4</v>
      </c>
      <c r="D83">
        <f t="shared" si="13"/>
        <v>71.094309638039277</v>
      </c>
      <c r="E83">
        <f t="shared" si="14"/>
        <v>80.800784829504408</v>
      </c>
      <c r="G83" s="7">
        <v>4.0707699999999999E-4</v>
      </c>
      <c r="H83" s="7">
        <v>1.0921699999999999E-4</v>
      </c>
      <c r="I83" s="6">
        <f t="shared" si="15"/>
        <v>66.434977029596325</v>
      </c>
      <c r="J83" s="6">
        <f t="shared" si="16"/>
        <v>85.826660275199799</v>
      </c>
      <c r="L83" s="7">
        <v>5.3404400000000001E-4</v>
      </c>
      <c r="M83" s="7">
        <v>1.37033E-4</v>
      </c>
      <c r="N83" s="6">
        <f t="shared" si="17"/>
        <v>69.595428452280899</v>
      </c>
      <c r="O83" s="6">
        <f t="shared" si="18"/>
        <v>88.710001100515939</v>
      </c>
      <c r="Q83">
        <f t="shared" si="12"/>
        <v>1.1010670000000001E-3</v>
      </c>
      <c r="R83">
        <f t="shared" si="12"/>
        <v>1.5703333333333332E-4</v>
      </c>
      <c r="T83">
        <f t="shared" si="19"/>
        <v>69.041571706638834</v>
      </c>
      <c r="U83">
        <f t="shared" si="20"/>
        <v>85.11248206840672</v>
      </c>
      <c r="W83">
        <f t="shared" si="21"/>
        <v>1.9420630027619024</v>
      </c>
      <c r="X83">
        <f t="shared" si="22"/>
        <v>3.2681761874886757</v>
      </c>
    </row>
    <row r="84" spans="1:24" x14ac:dyDescent="0.35">
      <c r="A84">
        <v>536.91800000000001</v>
      </c>
      <c r="B84">
        <v>2.3784399999999999E-3</v>
      </c>
      <c r="C84">
        <v>2.2204399999999999E-4</v>
      </c>
      <c r="D84">
        <f t="shared" si="13"/>
        <v>71.586715867158674</v>
      </c>
      <c r="E84">
        <f t="shared" si="14"/>
        <v>79.792437032165793</v>
      </c>
      <c r="G84" s="7">
        <v>4.1357200000000002E-4</v>
      </c>
      <c r="H84" s="7">
        <v>1.07162E-4</v>
      </c>
      <c r="I84" s="6">
        <f t="shared" si="15"/>
        <v>67.494961199193796</v>
      </c>
      <c r="J84" s="6">
        <f t="shared" si="16"/>
        <v>84.211767109616275</v>
      </c>
      <c r="L84" s="7">
        <v>5.4209500000000003E-4</v>
      </c>
      <c r="M84" s="7">
        <v>1.3478000000000001E-4</v>
      </c>
      <c r="N84" s="6">
        <f t="shared" si="17"/>
        <v>70.644616898306538</v>
      </c>
      <c r="O84" s="6">
        <f t="shared" si="18"/>
        <v>87.25149378855852</v>
      </c>
      <c r="Q84">
        <f t="shared" si="12"/>
        <v>1.1113690000000001E-3</v>
      </c>
      <c r="R84">
        <f t="shared" si="12"/>
        <v>1.5466199999999999E-4</v>
      </c>
      <c r="T84">
        <f t="shared" si="19"/>
        <v>69.90876465488634</v>
      </c>
      <c r="U84">
        <f t="shared" si="20"/>
        <v>83.751899310113529</v>
      </c>
      <c r="W84">
        <f t="shared" si="21"/>
        <v>1.7496138543143362</v>
      </c>
      <c r="X84">
        <f t="shared" si="22"/>
        <v>3.0624598738635602</v>
      </c>
    </row>
    <row r="85" spans="1:24" x14ac:dyDescent="0.35">
      <c r="A85">
        <v>543.17700000000002</v>
      </c>
      <c r="B85">
        <v>2.3898000000000001E-3</v>
      </c>
      <c r="C85">
        <v>2.1897600000000001E-4</v>
      </c>
      <c r="D85">
        <f t="shared" si="13"/>
        <v>71.928631194957944</v>
      </c>
      <c r="E85">
        <f t="shared" si="14"/>
        <v>78.689938442630904</v>
      </c>
      <c r="G85" s="7">
        <v>4.1878599999999998E-4</v>
      </c>
      <c r="H85" s="7">
        <v>1.06161E-4</v>
      </c>
      <c r="I85" s="6">
        <f t="shared" si="15"/>
        <v>68.345886135341772</v>
      </c>
      <c r="J85" s="6">
        <f t="shared" si="16"/>
        <v>83.42514518321768</v>
      </c>
      <c r="L85" s="7">
        <v>5.4789200000000002E-4</v>
      </c>
      <c r="M85" s="7">
        <v>1.3403699999999999E-4</v>
      </c>
      <c r="N85" s="6">
        <f t="shared" si="17"/>
        <v>71.400069068423349</v>
      </c>
      <c r="O85" s="6">
        <f t="shared" si="18"/>
        <v>86.770503583150443</v>
      </c>
      <c r="Q85">
        <f t="shared" si="12"/>
        <v>1.1188260000000001E-3</v>
      </c>
      <c r="R85">
        <f t="shared" si="12"/>
        <v>1.53058E-4</v>
      </c>
      <c r="T85">
        <f t="shared" si="19"/>
        <v>70.558195466241031</v>
      </c>
      <c r="U85">
        <f t="shared" si="20"/>
        <v>82.961862402999671</v>
      </c>
      <c r="W85">
        <f t="shared" si="21"/>
        <v>1.5791514413527303</v>
      </c>
      <c r="X85">
        <f t="shared" si="22"/>
        <v>3.3151024567756355</v>
      </c>
    </row>
    <row r="86" spans="1:24" x14ac:dyDescent="0.35">
      <c r="A86">
        <v>549.27800000000002</v>
      </c>
      <c r="B86">
        <v>2.4025299999999999E-3</v>
      </c>
      <c r="C86">
        <v>2.1489999999999999E-4</v>
      </c>
      <c r="D86">
        <f t="shared" si="13"/>
        <v>72.311781029718929</v>
      </c>
      <c r="E86">
        <f t="shared" si="14"/>
        <v>77.225210851058463</v>
      </c>
      <c r="G86" s="7">
        <v>4.2278500000000001E-4</v>
      </c>
      <c r="H86" s="7">
        <v>1.0626E-4</v>
      </c>
      <c r="I86" s="6">
        <f t="shared" si="15"/>
        <v>68.998523039763683</v>
      </c>
      <c r="J86" s="6">
        <f t="shared" si="16"/>
        <v>83.502942956158208</v>
      </c>
      <c r="L86" s="7">
        <v>5.5539399999999996E-4</v>
      </c>
      <c r="M86" s="7">
        <v>1.3424899999999999E-4</v>
      </c>
      <c r="N86" s="6">
        <f t="shared" si="17"/>
        <v>72.377713053280416</v>
      </c>
      <c r="O86" s="6">
        <f t="shared" si="18"/>
        <v>86.907744395460696</v>
      </c>
      <c r="Q86">
        <f t="shared" si="12"/>
        <v>1.1269030000000001E-3</v>
      </c>
      <c r="R86">
        <f t="shared" si="12"/>
        <v>1.5180300000000002E-4</v>
      </c>
      <c r="T86">
        <f t="shared" si="19"/>
        <v>71.229339040921005</v>
      </c>
      <c r="U86">
        <f t="shared" si="20"/>
        <v>82.545299400892461</v>
      </c>
      <c r="W86">
        <f t="shared" si="21"/>
        <v>1.5776547533596406</v>
      </c>
      <c r="X86">
        <f t="shared" si="22"/>
        <v>4.0104592292176164</v>
      </c>
    </row>
    <row r="87" spans="1:24" x14ac:dyDescent="0.35">
      <c r="A87">
        <v>555.61199999999997</v>
      </c>
      <c r="B87">
        <v>2.4140799999999999E-3</v>
      </c>
      <c r="C87">
        <v>2.1221900000000001E-4</v>
      </c>
      <c r="D87">
        <f t="shared" si="13"/>
        <v>72.659415011768374</v>
      </c>
      <c r="E87">
        <f t="shared" si="14"/>
        <v>76.261782324805864</v>
      </c>
      <c r="G87" s="7">
        <v>4.2603399999999999E-4</v>
      </c>
      <c r="H87" s="7">
        <v>1.05925E-4</v>
      </c>
      <c r="I87" s="6">
        <f t="shared" si="15"/>
        <v>69.528759924601573</v>
      </c>
      <c r="J87" s="6">
        <f t="shared" si="16"/>
        <v>83.239687865904926</v>
      </c>
      <c r="L87" s="7">
        <v>5.5979399999999996E-4</v>
      </c>
      <c r="M87" s="7">
        <v>1.3468700000000001E-4</v>
      </c>
      <c r="N87" s="6">
        <f t="shared" si="17"/>
        <v>72.951111284868148</v>
      </c>
      <c r="O87" s="6">
        <f t="shared" si="18"/>
        <v>87.191289092592243</v>
      </c>
      <c r="Q87">
        <f t="shared" si="12"/>
        <v>1.1333026666666666E-3</v>
      </c>
      <c r="R87">
        <f t="shared" si="12"/>
        <v>1.5094366666666668E-4</v>
      </c>
      <c r="T87">
        <f t="shared" si="19"/>
        <v>71.713095407079365</v>
      </c>
      <c r="U87">
        <f t="shared" si="20"/>
        <v>82.230919761101006</v>
      </c>
      <c r="W87">
        <f t="shared" si="21"/>
        <v>1.5491423011769427</v>
      </c>
      <c r="X87">
        <f t="shared" si="22"/>
        <v>4.518608883548441</v>
      </c>
    </row>
    <row r="88" spans="1:24" x14ac:dyDescent="0.35">
      <c r="A88">
        <v>561.73</v>
      </c>
      <c r="B88">
        <v>2.42304E-3</v>
      </c>
      <c r="C88">
        <v>2.09583E-4</v>
      </c>
      <c r="D88">
        <f t="shared" si="13"/>
        <v>72.929094706934023</v>
      </c>
      <c r="E88">
        <f t="shared" si="14"/>
        <v>75.314524736144207</v>
      </c>
      <c r="G88" s="7">
        <v>4.2850000000000001E-4</v>
      </c>
      <c r="H88" s="7">
        <v>1.0567E-4</v>
      </c>
      <c r="I88" s="6">
        <f t="shared" si="15"/>
        <v>69.931211188993785</v>
      </c>
      <c r="J88" s="6">
        <f t="shared" si="16"/>
        <v>83.039299662876317</v>
      </c>
      <c r="L88" s="7">
        <v>5.6223799999999995E-4</v>
      </c>
      <c r="M88" s="7">
        <v>1.3609399999999999E-4</v>
      </c>
      <c r="N88" s="6">
        <f t="shared" si="17"/>
        <v>73.26960793895914</v>
      </c>
      <c r="O88" s="6">
        <f t="shared" si="18"/>
        <v>88.10212787995313</v>
      </c>
      <c r="Q88">
        <f t="shared" si="12"/>
        <v>1.137926E-3</v>
      </c>
      <c r="R88">
        <f t="shared" si="12"/>
        <v>1.5044899999999998E-4</v>
      </c>
      <c r="T88">
        <f t="shared" si="19"/>
        <v>72.043304611628983</v>
      </c>
      <c r="U88">
        <f t="shared" si="20"/>
        <v>82.151984092991214</v>
      </c>
      <c r="W88">
        <f t="shared" si="21"/>
        <v>1.4999313950422746</v>
      </c>
      <c r="X88">
        <f t="shared" si="22"/>
        <v>5.258085534444918</v>
      </c>
    </row>
    <row r="89" spans="1:24" x14ac:dyDescent="0.35">
      <c r="A89">
        <v>567.92600000000004</v>
      </c>
      <c r="B89">
        <v>2.4316300000000002E-3</v>
      </c>
      <c r="C89">
        <v>2.1020300000000001E-4</v>
      </c>
      <c r="D89">
        <f t="shared" si="13"/>
        <v>73.187638075401964</v>
      </c>
      <c r="E89">
        <f t="shared" si="14"/>
        <v>75.537324320730775</v>
      </c>
      <c r="G89" s="7">
        <v>4.3049899999999999E-4</v>
      </c>
      <c r="H89" s="7">
        <v>1.0610199999999999E-4</v>
      </c>
      <c r="I89" s="6">
        <f t="shared" si="15"/>
        <v>70.25744804119168</v>
      </c>
      <c r="J89" s="6">
        <f t="shared" si="16"/>
        <v>83.378780853889495</v>
      </c>
      <c r="L89" s="7">
        <v>5.6551699999999997E-4</v>
      </c>
      <c r="M89" s="7">
        <v>1.3712699999999999E-4</v>
      </c>
      <c r="N89" s="6">
        <f t="shared" si="17"/>
        <v>73.696919939271922</v>
      </c>
      <c r="O89" s="6">
        <f t="shared" si="18"/>
        <v>88.770853158804442</v>
      </c>
      <c r="Q89">
        <f t="shared" si="12"/>
        <v>1.1425486666666667E-3</v>
      </c>
      <c r="R89">
        <f t="shared" si="12"/>
        <v>1.51144E-4</v>
      </c>
      <c r="T89">
        <f t="shared" si="19"/>
        <v>72.380668685288526</v>
      </c>
      <c r="U89">
        <f t="shared" si="20"/>
        <v>82.562319444474909</v>
      </c>
      <c r="W89">
        <f t="shared" si="21"/>
        <v>1.5156717832600328</v>
      </c>
      <c r="X89">
        <f t="shared" si="22"/>
        <v>5.4333248446863722</v>
      </c>
    </row>
    <row r="90" spans="1:24" x14ac:dyDescent="0.35">
      <c r="A90">
        <v>574.19000000000005</v>
      </c>
      <c r="B90">
        <v>2.4364999999999999E-3</v>
      </c>
      <c r="C90">
        <v>2.1099500000000001E-4</v>
      </c>
      <c r="D90">
        <f t="shared" si="13"/>
        <v>73.334216213287746</v>
      </c>
      <c r="E90">
        <f t="shared" si="14"/>
        <v>75.821932822331704</v>
      </c>
      <c r="G90" s="7">
        <v>4.3226099999999997E-4</v>
      </c>
      <c r="H90" s="7">
        <v>1.05034E-4</v>
      </c>
      <c r="I90" s="6">
        <f t="shared" si="15"/>
        <v>70.545006487201036</v>
      </c>
      <c r="J90" s="6">
        <f t="shared" si="16"/>
        <v>82.539507909440246</v>
      </c>
      <c r="L90" s="7">
        <v>5.6884800000000005E-4</v>
      </c>
      <c r="M90" s="7">
        <v>1.36771E-4</v>
      </c>
      <c r="N90" s="6">
        <f t="shared" si="17"/>
        <v>74.131008464139811</v>
      </c>
      <c r="O90" s="6">
        <f t="shared" si="18"/>
        <v>88.540392172094798</v>
      </c>
      <c r="Q90">
        <f t="shared" si="12"/>
        <v>1.1458696666666668E-3</v>
      </c>
      <c r="R90">
        <f t="shared" si="12"/>
        <v>1.5093333333333333E-4</v>
      </c>
      <c r="T90">
        <f t="shared" si="19"/>
        <v>72.670077054876188</v>
      </c>
      <c r="U90">
        <f t="shared" si="20"/>
        <v>82.300610967955592</v>
      </c>
      <c r="W90">
        <f t="shared" si="21"/>
        <v>1.5374574597808985</v>
      </c>
      <c r="X90">
        <f t="shared" si="22"/>
        <v>5.1950364688730923</v>
      </c>
    </row>
    <row r="91" spans="1:24" x14ac:dyDescent="0.35">
      <c r="A91">
        <v>580.33500000000004</v>
      </c>
      <c r="B91">
        <v>2.4463699999999998E-3</v>
      </c>
      <c r="C91">
        <v>2.10254E-4</v>
      </c>
      <c r="D91">
        <f t="shared" si="13"/>
        <v>73.631285252493626</v>
      </c>
      <c r="E91">
        <f t="shared" si="14"/>
        <v>75.555651383333867</v>
      </c>
      <c r="G91" s="7">
        <v>4.3394700000000001E-4</v>
      </c>
      <c r="H91" s="7">
        <v>1.05265E-4</v>
      </c>
      <c r="I91" s="6">
        <f t="shared" si="15"/>
        <v>70.820161731225866</v>
      </c>
      <c r="J91" s="6">
        <f t="shared" si="16"/>
        <v>82.721036046301464</v>
      </c>
      <c r="L91" s="7">
        <v>5.7220299999999997E-4</v>
      </c>
      <c r="M91" s="7">
        <v>1.36389E-4</v>
      </c>
      <c r="N91" s="6">
        <f t="shared" si="17"/>
        <v>74.568224615725441</v>
      </c>
      <c r="O91" s="6">
        <f t="shared" si="18"/>
        <v>88.293099765007483</v>
      </c>
      <c r="Q91">
        <f t="shared" si="12"/>
        <v>1.15084E-3</v>
      </c>
      <c r="R91">
        <f t="shared" si="12"/>
        <v>1.50636E-4</v>
      </c>
      <c r="T91">
        <f t="shared" si="19"/>
        <v>73.006557199814992</v>
      </c>
      <c r="U91">
        <f t="shared" si="20"/>
        <v>82.189929064880928</v>
      </c>
      <c r="W91">
        <f t="shared" si="21"/>
        <v>1.5926304659050827</v>
      </c>
      <c r="X91">
        <f t="shared" si="22"/>
        <v>5.2135850613715684</v>
      </c>
    </row>
    <row r="92" spans="1:24" x14ac:dyDescent="0.35">
      <c r="A92">
        <v>586.61800000000005</v>
      </c>
      <c r="B92">
        <v>2.4507700000000001E-3</v>
      </c>
      <c r="C92">
        <v>2.0988300000000001E-4</v>
      </c>
      <c r="D92">
        <f t="shared" si="13"/>
        <v>73.763717245655329</v>
      </c>
      <c r="E92">
        <f t="shared" si="14"/>
        <v>75.422330986750623</v>
      </c>
      <c r="G92" s="7">
        <v>4.35902E-4</v>
      </c>
      <c r="H92" s="7">
        <v>1.0482199999999999E-4</v>
      </c>
      <c r="I92" s="6">
        <f t="shared" si="15"/>
        <v>71.139217782274841</v>
      </c>
      <c r="J92" s="6">
        <f t="shared" si="16"/>
        <v>82.372910658294899</v>
      </c>
      <c r="L92" s="7">
        <v>5.7325099999999999E-4</v>
      </c>
      <c r="M92" s="7">
        <v>1.36802E-4</v>
      </c>
      <c r="N92" s="6">
        <f t="shared" si="17"/>
        <v>74.70479764906726</v>
      </c>
      <c r="O92" s="6">
        <f t="shared" si="18"/>
        <v>88.560460404083557</v>
      </c>
      <c r="Q92">
        <f t="shared" si="12"/>
        <v>1.1533076666666666E-3</v>
      </c>
      <c r="R92">
        <f t="shared" si="12"/>
        <v>1.5050233333333332E-4</v>
      </c>
      <c r="T92">
        <f t="shared" si="19"/>
        <v>73.202577558999153</v>
      </c>
      <c r="U92">
        <f t="shared" si="20"/>
        <v>82.118567349709693</v>
      </c>
      <c r="W92">
        <f t="shared" si="21"/>
        <v>1.5087518588940356</v>
      </c>
      <c r="X92">
        <f t="shared" si="22"/>
        <v>5.3666332733296764</v>
      </c>
    </row>
    <row r="93" spans="1:24" x14ac:dyDescent="0.35">
      <c r="A93">
        <v>592.80999999999995</v>
      </c>
      <c r="B93">
        <v>2.4591399999999999E-3</v>
      </c>
      <c r="C93">
        <v>2.10266E-4</v>
      </c>
      <c r="D93">
        <f t="shared" si="13"/>
        <v>74.015639014465179</v>
      </c>
      <c r="E93">
        <f t="shared" si="14"/>
        <v>75.559963633358123</v>
      </c>
      <c r="G93" s="7">
        <v>4.3765999999999998E-4</v>
      </c>
      <c r="H93" s="7">
        <v>1.04038E-4</v>
      </c>
      <c r="I93" s="6">
        <f t="shared" si="15"/>
        <v>71.42612342817975</v>
      </c>
      <c r="J93" s="6">
        <f t="shared" si="16"/>
        <v>81.756815163493201</v>
      </c>
      <c r="L93" s="7">
        <v>5.7823399999999995E-4</v>
      </c>
      <c r="M93" s="7">
        <v>1.3597300000000001E-4</v>
      </c>
      <c r="N93" s="6">
        <f t="shared" si="17"/>
        <v>75.354171146340349</v>
      </c>
      <c r="O93" s="6">
        <f t="shared" si="18"/>
        <v>88.023797038964744</v>
      </c>
      <c r="Q93">
        <f t="shared" si="12"/>
        <v>1.1583446666666665E-3</v>
      </c>
      <c r="R93">
        <f t="shared" si="12"/>
        <v>1.5009233333333335E-4</v>
      </c>
      <c r="T93">
        <f t="shared" si="19"/>
        <v>73.598644529661755</v>
      </c>
      <c r="U93">
        <f t="shared" si="20"/>
        <v>81.780191945272023</v>
      </c>
      <c r="W93">
        <f t="shared" si="21"/>
        <v>1.6305015627722295</v>
      </c>
      <c r="X93">
        <f t="shared" si="22"/>
        <v>5.0883655297239043</v>
      </c>
    </row>
    <row r="94" spans="1:24" x14ac:dyDescent="0.35">
      <c r="A94">
        <v>598.93799999999999</v>
      </c>
      <c r="B94">
        <v>2.4647200000000001E-3</v>
      </c>
      <c r="C94">
        <v>2.10929E-4</v>
      </c>
      <c r="D94">
        <f t="shared" si="13"/>
        <v>74.183586860338423</v>
      </c>
      <c r="E94">
        <f t="shared" si="14"/>
        <v>75.798215447198288</v>
      </c>
      <c r="G94" s="7">
        <v>4.3954999999999998E-4</v>
      </c>
      <c r="H94" s="7">
        <v>1.04301E-4</v>
      </c>
      <c r="I94" s="6">
        <f t="shared" si="15"/>
        <v>71.734571477531432</v>
      </c>
      <c r="J94" s="6">
        <f t="shared" si="16"/>
        <v>81.963490055244279</v>
      </c>
      <c r="L94" s="7">
        <v>5.8246000000000003E-4</v>
      </c>
      <c r="M94" s="7">
        <v>1.3603399999999999E-4</v>
      </c>
      <c r="N94" s="6">
        <f t="shared" si="17"/>
        <v>75.904894084224395</v>
      </c>
      <c r="O94" s="6">
        <f t="shared" si="18"/>
        <v>88.06328614062005</v>
      </c>
      <c r="Q94">
        <f t="shared" si="12"/>
        <v>1.1622433333333332E-3</v>
      </c>
      <c r="R94">
        <f t="shared" si="12"/>
        <v>1.5042133333333332E-4</v>
      </c>
      <c r="T94">
        <f t="shared" si="19"/>
        <v>73.941017474031412</v>
      </c>
      <c r="U94">
        <f t="shared" si="20"/>
        <v>81.941663881020872</v>
      </c>
      <c r="W94">
        <f t="shared" si="21"/>
        <v>1.7111453457365169</v>
      </c>
      <c r="X94">
        <f t="shared" si="22"/>
        <v>5.0072179278230786</v>
      </c>
    </row>
    <row r="95" spans="1:24" x14ac:dyDescent="0.35">
      <c r="A95">
        <v>605.25900000000001</v>
      </c>
      <c r="B95">
        <v>2.4776099999999999E-3</v>
      </c>
      <c r="C95">
        <v>2.0982299999999999E-4</v>
      </c>
      <c r="D95">
        <f t="shared" si="13"/>
        <v>74.571552403941652</v>
      </c>
      <c r="E95">
        <f t="shared" si="14"/>
        <v>75.400769736629329</v>
      </c>
      <c r="G95" s="7">
        <v>4.4089800000000001E-4</v>
      </c>
      <c r="H95" s="7">
        <v>1.04769E-4</v>
      </c>
      <c r="I95" s="6">
        <f t="shared" si="15"/>
        <v>71.954565112730421</v>
      </c>
      <c r="J95" s="6">
        <f t="shared" si="16"/>
        <v>82.331261345508551</v>
      </c>
      <c r="L95" s="7">
        <v>5.8616799999999998E-4</v>
      </c>
      <c r="M95" s="7">
        <v>1.3771000000000001E-4</v>
      </c>
      <c r="N95" s="6">
        <f t="shared" si="17"/>
        <v>76.388112412116953</v>
      </c>
      <c r="O95" s="6">
        <f t="shared" si="18"/>
        <v>89.148265392657621</v>
      </c>
      <c r="Q95">
        <f t="shared" si="12"/>
        <v>1.1682253333333333E-3</v>
      </c>
      <c r="R95">
        <f t="shared" si="12"/>
        <v>1.5076733333333335E-4</v>
      </c>
      <c r="T95">
        <f t="shared" si="19"/>
        <v>74.304743309596333</v>
      </c>
      <c r="U95">
        <f t="shared" si="20"/>
        <v>82.293432158265162</v>
      </c>
      <c r="W95">
        <f t="shared" si="21"/>
        <v>1.8197940787523967</v>
      </c>
      <c r="X95">
        <f t="shared" si="22"/>
        <v>5.6124553443619076</v>
      </c>
    </row>
    <row r="96" spans="1:24" x14ac:dyDescent="0.35">
      <c r="A96">
        <v>611.42399999999998</v>
      </c>
      <c r="B96">
        <v>2.47599E-3</v>
      </c>
      <c r="C96">
        <v>2.08147E-4</v>
      </c>
      <c r="D96">
        <f t="shared" si="13"/>
        <v>74.522793351913947</v>
      </c>
      <c r="E96">
        <f t="shared" si="14"/>
        <v>74.798492149908185</v>
      </c>
      <c r="G96" s="7">
        <v>4.4309699999999999E-4</v>
      </c>
      <c r="H96" s="7">
        <v>1.05228E-4</v>
      </c>
      <c r="I96" s="6">
        <f t="shared" si="15"/>
        <v>72.313441970150706</v>
      </c>
      <c r="J96" s="6">
        <f t="shared" si="16"/>
        <v>82.691960110960068</v>
      </c>
      <c r="L96" s="7">
        <v>5.87609E-4</v>
      </c>
      <c r="M96" s="7">
        <v>1.3926800000000001E-4</v>
      </c>
      <c r="N96" s="6">
        <f t="shared" si="17"/>
        <v>76.575900332961936</v>
      </c>
      <c r="O96" s="6">
        <f t="shared" si="18"/>
        <v>90.156855890673455</v>
      </c>
      <c r="Q96">
        <f t="shared" si="12"/>
        <v>1.1688986666666668E-3</v>
      </c>
      <c r="R96">
        <f t="shared" si="12"/>
        <v>1.5088100000000001E-4</v>
      </c>
      <c r="T96">
        <f t="shared" si="19"/>
        <v>74.470711885008868</v>
      </c>
      <c r="U96">
        <f t="shared" si="20"/>
        <v>82.549102717180574</v>
      </c>
      <c r="W96">
        <f t="shared" si="21"/>
        <v>1.7405309885340714</v>
      </c>
      <c r="X96">
        <f t="shared" si="22"/>
        <v>6.2708394108301775</v>
      </c>
    </row>
    <row r="97" spans="1:24" x14ac:dyDescent="0.35">
      <c r="A97">
        <v>617.57000000000005</v>
      </c>
      <c r="B97">
        <v>2.4866799999999998E-3</v>
      </c>
      <c r="C97">
        <v>2.08703E-4</v>
      </c>
      <c r="D97">
        <f t="shared" si="13"/>
        <v>74.844542898936311</v>
      </c>
      <c r="E97">
        <f t="shared" si="14"/>
        <v>74.998293067698725</v>
      </c>
      <c r="G97" s="7">
        <v>4.4399100000000003E-4</v>
      </c>
      <c r="H97" s="7">
        <v>1.05022E-4</v>
      </c>
      <c r="I97" s="6">
        <f t="shared" si="15"/>
        <v>72.459342793494841</v>
      </c>
      <c r="J97" s="6">
        <f t="shared" si="16"/>
        <v>82.530077876356557</v>
      </c>
      <c r="L97" s="7">
        <v>5.8995499999999997E-4</v>
      </c>
      <c r="M97" s="7">
        <v>1.41006E-4</v>
      </c>
      <c r="N97" s="6">
        <f t="shared" si="17"/>
        <v>76.881625844622121</v>
      </c>
      <c r="O97" s="6">
        <f t="shared" si="18"/>
        <v>91.281971606688543</v>
      </c>
      <c r="Q97">
        <f t="shared" si="12"/>
        <v>1.1735419999999999E-3</v>
      </c>
      <c r="R97">
        <f t="shared" si="12"/>
        <v>1.5157699999999999E-4</v>
      </c>
      <c r="T97">
        <f t="shared" si="19"/>
        <v>74.728503845684429</v>
      </c>
      <c r="U97">
        <f t="shared" si="20"/>
        <v>82.936780850247942</v>
      </c>
      <c r="W97">
        <f t="shared" si="21"/>
        <v>1.807253098393913</v>
      </c>
      <c r="X97">
        <f t="shared" si="22"/>
        <v>6.6540014112822101</v>
      </c>
    </row>
    <row r="98" spans="1:24" x14ac:dyDescent="0.35">
      <c r="A98">
        <v>623.89099999999996</v>
      </c>
      <c r="B98">
        <v>2.4948700000000002E-3</v>
      </c>
      <c r="C98">
        <v>2.0973000000000001E-4</v>
      </c>
      <c r="D98">
        <f t="shared" si="13"/>
        <v>75.091046995298655</v>
      </c>
      <c r="E98">
        <f t="shared" si="14"/>
        <v>75.367349798941348</v>
      </c>
      <c r="G98" s="7">
        <v>4.4498200000000002E-4</v>
      </c>
      <c r="H98" s="7">
        <v>1.05247E-4</v>
      </c>
      <c r="I98" s="6">
        <f t="shared" si="15"/>
        <v>72.621074019371846</v>
      </c>
      <c r="J98" s="6">
        <f t="shared" si="16"/>
        <v>82.706890996675924</v>
      </c>
      <c r="L98" s="7">
        <v>5.9523499999999995E-4</v>
      </c>
      <c r="M98" s="7">
        <v>1.40195E-4</v>
      </c>
      <c r="N98" s="6">
        <f t="shared" si="17"/>
        <v>77.569703722527379</v>
      </c>
      <c r="O98" s="6">
        <f t="shared" si="18"/>
        <v>90.756960763369648</v>
      </c>
      <c r="Q98">
        <f t="shared" si="12"/>
        <v>1.1783623333333334E-3</v>
      </c>
      <c r="R98">
        <f t="shared" si="12"/>
        <v>1.51724E-4</v>
      </c>
      <c r="T98">
        <f t="shared" si="19"/>
        <v>75.093941579065969</v>
      </c>
      <c r="U98">
        <f t="shared" si="20"/>
        <v>82.943733852995635</v>
      </c>
      <c r="W98">
        <f t="shared" si="21"/>
        <v>2.0202706532706114</v>
      </c>
      <c r="X98">
        <f t="shared" si="22"/>
        <v>6.2850140446968616</v>
      </c>
    </row>
    <row r="99" spans="1:24" x14ac:dyDescent="0.35">
      <c r="A99">
        <v>630.03800000000001</v>
      </c>
      <c r="B99">
        <v>2.49607E-3</v>
      </c>
      <c r="C99">
        <v>2.10464E-4</v>
      </c>
      <c r="D99">
        <f t="shared" si="13"/>
        <v>75.127164811615486</v>
      </c>
      <c r="E99">
        <f t="shared" si="14"/>
        <v>75.631115758758355</v>
      </c>
      <c r="G99" s="7">
        <v>4.4568E-4</v>
      </c>
      <c r="H99" s="7">
        <v>1.05376E-4</v>
      </c>
      <c r="I99" s="6">
        <f t="shared" si="15"/>
        <v>72.73498763759801</v>
      </c>
      <c r="J99" s="6">
        <f t="shared" si="16"/>
        <v>82.80826385232568</v>
      </c>
      <c r="L99" s="7">
        <v>5.9829000000000002E-4</v>
      </c>
      <c r="M99" s="7">
        <v>1.40791E-4</v>
      </c>
      <c r="N99" s="6">
        <f t="shared" si="17"/>
        <v>77.967824540141137</v>
      </c>
      <c r="O99" s="6">
        <f t="shared" si="18"/>
        <v>91.142788707411654</v>
      </c>
      <c r="Q99">
        <f t="shared" si="12"/>
        <v>1.1800133333333333E-3</v>
      </c>
      <c r="R99">
        <f t="shared" si="12"/>
        <v>1.5221033333333333E-4</v>
      </c>
      <c r="T99">
        <f t="shared" si="19"/>
        <v>75.276658996451545</v>
      </c>
      <c r="U99">
        <f t="shared" si="20"/>
        <v>83.194056106165235</v>
      </c>
      <c r="W99">
        <f t="shared" si="21"/>
        <v>2.1389104540441668</v>
      </c>
      <c r="X99">
        <f t="shared" si="22"/>
        <v>6.3384869994785342</v>
      </c>
    </row>
    <row r="100" spans="1:24" x14ac:dyDescent="0.35">
      <c r="A100">
        <v>636.29200000000003</v>
      </c>
      <c r="B100">
        <v>2.5084199999999999E-3</v>
      </c>
      <c r="C100">
        <v>2.1179799999999999E-4</v>
      </c>
      <c r="D100">
        <f t="shared" si="13"/>
        <v>75.498877337876152</v>
      </c>
      <c r="E100">
        <f t="shared" si="14"/>
        <v>76.110494219788194</v>
      </c>
      <c r="G100" s="7">
        <v>4.4729900000000001E-4</v>
      </c>
      <c r="H100" s="7">
        <v>1.0477899999999999E-4</v>
      </c>
      <c r="I100" s="6">
        <f t="shared" si="15"/>
        <v>72.99920847987336</v>
      </c>
      <c r="J100" s="6">
        <f t="shared" si="16"/>
        <v>82.339119706411637</v>
      </c>
      <c r="L100" s="7">
        <v>5.9969799999999996E-4</v>
      </c>
      <c r="M100" s="7">
        <v>1.4147000000000001E-4</v>
      </c>
      <c r="N100" s="6">
        <f t="shared" si="17"/>
        <v>78.151311974249211</v>
      </c>
      <c r="O100" s="6">
        <f t="shared" si="18"/>
        <v>91.58234772419776</v>
      </c>
      <c r="Q100">
        <f t="shared" si="12"/>
        <v>1.185139E-3</v>
      </c>
      <c r="R100">
        <f t="shared" si="12"/>
        <v>1.5268233333333331E-4</v>
      </c>
      <c r="T100">
        <f t="shared" si="19"/>
        <v>75.549799263999574</v>
      </c>
      <c r="U100">
        <f t="shared" si="20"/>
        <v>83.343987216799192</v>
      </c>
      <c r="W100">
        <f t="shared" si="21"/>
        <v>2.1036456270183361</v>
      </c>
      <c r="X100">
        <f t="shared" si="22"/>
        <v>6.3561981168280148</v>
      </c>
    </row>
    <row r="101" spans="1:24" x14ac:dyDescent="0.35">
      <c r="A101">
        <v>642.43200000000002</v>
      </c>
      <c r="B101">
        <v>2.5154399999999999E-3</v>
      </c>
      <c r="C101">
        <v>2.1230899999999999E-4</v>
      </c>
      <c r="D101">
        <f t="shared" si="13"/>
        <v>75.71016656332958</v>
      </c>
      <c r="E101">
        <f t="shared" si="14"/>
        <v>76.294124199987778</v>
      </c>
      <c r="G101" s="7">
        <v>4.48682E-4</v>
      </c>
      <c r="H101" s="7">
        <v>1.05046E-4</v>
      </c>
      <c r="I101" s="6">
        <f t="shared" si="15"/>
        <v>73.224914115986252</v>
      </c>
      <c r="J101" s="6">
        <f t="shared" si="16"/>
        <v>82.548937942523949</v>
      </c>
      <c r="L101" s="7">
        <v>6.0400199999999997E-4</v>
      </c>
      <c r="M101" s="7">
        <v>1.4161100000000001E-4</v>
      </c>
      <c r="N101" s="6">
        <f t="shared" si="17"/>
        <v>78.712199698965932</v>
      </c>
      <c r="O101" s="6">
        <f t="shared" si="18"/>
        <v>91.673625811630515</v>
      </c>
      <c r="Q101">
        <f t="shared" si="12"/>
        <v>1.1893746666666665E-3</v>
      </c>
      <c r="R101">
        <f t="shared" si="12"/>
        <v>1.5298866666666667E-4</v>
      </c>
      <c r="T101">
        <f t="shared" si="19"/>
        <v>75.882426792760597</v>
      </c>
      <c r="U101">
        <f t="shared" si="20"/>
        <v>83.505562651380743</v>
      </c>
      <c r="W101">
        <f t="shared" si="21"/>
        <v>2.2434840401002605</v>
      </c>
      <c r="X101">
        <f t="shared" si="22"/>
        <v>6.3149882861241009</v>
      </c>
    </row>
    <row r="102" spans="1:24" x14ac:dyDescent="0.35">
      <c r="A102">
        <v>648.59</v>
      </c>
      <c r="B102">
        <v>2.5229800000000002E-3</v>
      </c>
      <c r="C102">
        <v>2.10686E-4</v>
      </c>
      <c r="D102">
        <f t="shared" si="13"/>
        <v>75.937106842520308</v>
      </c>
      <c r="E102">
        <f t="shared" si="14"/>
        <v>75.710892384207099</v>
      </c>
      <c r="G102" s="7">
        <v>4.50183E-4</v>
      </c>
      <c r="H102" s="7">
        <v>1.0511899999999999E-4</v>
      </c>
      <c r="I102" s="6">
        <f t="shared" si="15"/>
        <v>73.469877355180373</v>
      </c>
      <c r="J102" s="6">
        <f t="shared" si="16"/>
        <v>82.60630397711644</v>
      </c>
      <c r="L102" s="7">
        <v>6.0963399999999996E-4</v>
      </c>
      <c r="M102" s="7">
        <v>1.41383E-4</v>
      </c>
      <c r="N102" s="6">
        <f t="shared" si="17"/>
        <v>79.446149435398212</v>
      </c>
      <c r="O102" s="6">
        <f t="shared" si="18"/>
        <v>91.526027202164784</v>
      </c>
      <c r="Q102">
        <f t="shared" si="12"/>
        <v>1.1942656666666667E-3</v>
      </c>
      <c r="R102">
        <f t="shared" si="12"/>
        <v>1.5239599999999998E-4</v>
      </c>
      <c r="T102">
        <f t="shared" si="19"/>
        <v>76.28437787769964</v>
      </c>
      <c r="U102">
        <f t="shared" si="20"/>
        <v>83.281074521162779</v>
      </c>
      <c r="W102">
        <f t="shared" si="21"/>
        <v>2.4521289896881719</v>
      </c>
      <c r="X102">
        <f t="shared" si="22"/>
        <v>6.474107855804216</v>
      </c>
    </row>
    <row r="103" spans="1:24" x14ac:dyDescent="0.35">
      <c r="A103">
        <v>654.86</v>
      </c>
      <c r="B103">
        <v>2.5338299999999999E-3</v>
      </c>
      <c r="C103">
        <v>2.09345E-4</v>
      </c>
      <c r="D103">
        <f t="shared" si="13"/>
        <v>76.26367209838493</v>
      </c>
      <c r="E103">
        <f t="shared" si="14"/>
        <v>75.228998443996446</v>
      </c>
      <c r="G103" s="7">
        <v>4.50941E-4</v>
      </c>
      <c r="H103" s="7">
        <v>1.0576100000000001E-4</v>
      </c>
      <c r="I103" s="6">
        <f t="shared" si="15"/>
        <v>73.593582974973273</v>
      </c>
      <c r="J103" s="6">
        <f t="shared" si="16"/>
        <v>83.110810747094376</v>
      </c>
      <c r="L103" s="7">
        <v>6.1344199999999996E-4</v>
      </c>
      <c r="M103" s="7">
        <v>1.4201900000000001E-4</v>
      </c>
      <c r="N103" s="6">
        <f t="shared" si="17"/>
        <v>79.942399541281418</v>
      </c>
      <c r="O103" s="6">
        <f t="shared" si="18"/>
        <v>91.937749639095514</v>
      </c>
      <c r="Q103">
        <f t="shared" si="12"/>
        <v>1.1994043333333332E-3</v>
      </c>
      <c r="R103">
        <f t="shared" si="12"/>
        <v>1.52375E-4</v>
      </c>
      <c r="T103">
        <f t="shared" si="19"/>
        <v>76.599884871546536</v>
      </c>
      <c r="U103">
        <f t="shared" si="20"/>
        <v>83.425852943395441</v>
      </c>
      <c r="W103">
        <f t="shared" si="21"/>
        <v>2.6027738049735771</v>
      </c>
      <c r="X103">
        <f t="shared" si="22"/>
        <v>6.8249556928485529</v>
      </c>
    </row>
    <row r="104" spans="1:24" x14ac:dyDescent="0.35">
      <c r="A104">
        <v>661.11800000000005</v>
      </c>
      <c r="B104">
        <v>2.5364699999999999E-3</v>
      </c>
      <c r="C104">
        <v>2.14346E-4</v>
      </c>
      <c r="D104">
        <f t="shared" si="13"/>
        <v>76.343131294281946</v>
      </c>
      <c r="E104">
        <f t="shared" si="14"/>
        <v>77.026128641605311</v>
      </c>
      <c r="G104" s="7">
        <v>4.5283600000000003E-4</v>
      </c>
      <c r="H104" s="7">
        <v>1.0555700000000001E-4</v>
      </c>
      <c r="I104" s="6">
        <f t="shared" si="15"/>
        <v>73.902847024455525</v>
      </c>
      <c r="J104" s="6">
        <f t="shared" si="16"/>
        <v>82.950500184671498</v>
      </c>
      <c r="L104" s="7">
        <v>6.1769500000000003E-4</v>
      </c>
      <c r="M104" s="7">
        <v>1.4341399999999999E-4</v>
      </c>
      <c r="N104" s="6">
        <f t="shared" si="17"/>
        <v>80.496641059222924</v>
      </c>
      <c r="O104" s="6">
        <f t="shared" si="18"/>
        <v>92.840820078589786</v>
      </c>
      <c r="Q104">
        <f t="shared" si="12"/>
        <v>1.2023336666666666E-3</v>
      </c>
      <c r="R104">
        <f t="shared" si="12"/>
        <v>1.54439E-4</v>
      </c>
      <c r="T104">
        <f t="shared" si="19"/>
        <v>76.914206459320127</v>
      </c>
      <c r="U104">
        <f t="shared" si="20"/>
        <v>84.272482968288855</v>
      </c>
      <c r="W104">
        <f t="shared" si="21"/>
        <v>2.7220243785739164</v>
      </c>
      <c r="X104">
        <f t="shared" si="22"/>
        <v>6.5236413743600314</v>
      </c>
    </row>
    <row r="105" spans="1:24" x14ac:dyDescent="0.35">
      <c r="A105">
        <v>667.221</v>
      </c>
      <c r="B105">
        <v>2.5443499999999999E-3</v>
      </c>
      <c r="C105">
        <v>2.1445200000000001E-4</v>
      </c>
      <c r="D105">
        <f t="shared" si="13"/>
        <v>76.580304954762425</v>
      </c>
      <c r="E105">
        <f t="shared" si="14"/>
        <v>77.064220183486242</v>
      </c>
      <c r="G105" s="7">
        <v>4.5366699999999999E-4</v>
      </c>
      <c r="H105" s="7">
        <v>1.0653E-4</v>
      </c>
      <c r="I105" s="6">
        <f t="shared" si="15"/>
        <v>74.038466246154584</v>
      </c>
      <c r="J105" s="6">
        <f t="shared" si="16"/>
        <v>83.715118700541453</v>
      </c>
      <c r="L105" s="7">
        <v>6.2368899999999997E-4</v>
      </c>
      <c r="M105" s="7">
        <v>1.4418100000000001E-4</v>
      </c>
      <c r="N105" s="6">
        <f t="shared" si="17"/>
        <v>81.277765831981284</v>
      </c>
      <c r="O105" s="6">
        <f t="shared" si="18"/>
        <v>93.337346979731095</v>
      </c>
      <c r="Q105">
        <f t="shared" si="12"/>
        <v>1.2072353333333332E-3</v>
      </c>
      <c r="R105">
        <f t="shared" si="12"/>
        <v>1.5505433333333336E-4</v>
      </c>
      <c r="T105">
        <f t="shared" si="19"/>
        <v>77.298845677632769</v>
      </c>
      <c r="U105">
        <f t="shared" si="20"/>
        <v>84.705561954586258</v>
      </c>
      <c r="W105">
        <f t="shared" si="21"/>
        <v>2.9987875551245629</v>
      </c>
      <c r="X105">
        <f t="shared" si="22"/>
        <v>6.6802892807261829</v>
      </c>
    </row>
    <row r="106" spans="1:24" x14ac:dyDescent="0.35">
      <c r="A106">
        <v>673.51599999999996</v>
      </c>
      <c r="B106">
        <v>2.5513699999999999E-3</v>
      </c>
      <c r="C106">
        <v>2.1528899999999999E-4</v>
      </c>
      <c r="D106">
        <f t="shared" si="13"/>
        <v>76.791594180215867</v>
      </c>
      <c r="E106">
        <f t="shared" si="14"/>
        <v>77.364999622678127</v>
      </c>
      <c r="G106" s="7">
        <v>4.5448500000000002E-4</v>
      </c>
      <c r="H106" s="7">
        <v>1.06098E-4</v>
      </c>
      <c r="I106" s="6">
        <f t="shared" si="15"/>
        <v>74.171963867514208</v>
      </c>
      <c r="J106" s="6">
        <f t="shared" si="16"/>
        <v>83.375637509528261</v>
      </c>
      <c r="L106" s="7">
        <v>6.2916100000000004E-4</v>
      </c>
      <c r="M106" s="7">
        <v>1.4452000000000001E-4</v>
      </c>
      <c r="N106" s="6">
        <f t="shared" si="17"/>
        <v>81.990864723628576</v>
      </c>
      <c r="O106" s="6">
        <f t="shared" si="18"/>
        <v>93.556802806963034</v>
      </c>
      <c r="Q106">
        <f t="shared" si="12"/>
        <v>1.211672E-3</v>
      </c>
      <c r="R106">
        <f t="shared" si="12"/>
        <v>1.5530233333333333E-4</v>
      </c>
      <c r="T106">
        <f t="shared" si="19"/>
        <v>77.65147425711956</v>
      </c>
      <c r="U106">
        <f t="shared" si="20"/>
        <v>84.765813313056469</v>
      </c>
      <c r="W106">
        <f t="shared" si="21"/>
        <v>3.2494458973214098</v>
      </c>
      <c r="X106">
        <f t="shared" si="22"/>
        <v>6.682966614869537</v>
      </c>
    </row>
    <row r="107" spans="1:24" x14ac:dyDescent="0.35">
      <c r="A107">
        <v>679.74</v>
      </c>
      <c r="B107">
        <v>2.5565399999999999E-3</v>
      </c>
      <c r="C107">
        <v>2.1685399999999999E-4</v>
      </c>
      <c r="D107">
        <f t="shared" si="13"/>
        <v>76.947201772180847</v>
      </c>
      <c r="E107">
        <f t="shared" si="14"/>
        <v>77.927388896674884</v>
      </c>
      <c r="G107" s="7">
        <v>4.5495000000000003E-4</v>
      </c>
      <c r="H107" s="7">
        <v>1.06718E-4</v>
      </c>
      <c r="I107" s="6">
        <f t="shared" si="15"/>
        <v>74.247851879656295</v>
      </c>
      <c r="J107" s="6">
        <f t="shared" si="16"/>
        <v>83.862855885519409</v>
      </c>
      <c r="L107" s="7">
        <v>6.3293900000000001E-4</v>
      </c>
      <c r="M107" s="7">
        <v>1.4594900000000001E-4</v>
      </c>
      <c r="N107" s="6">
        <f t="shared" si="17"/>
        <v>82.483205296114576</v>
      </c>
      <c r="O107" s="6">
        <f t="shared" si="18"/>
        <v>94.481883565412744</v>
      </c>
      <c r="Q107">
        <f t="shared" si="12"/>
        <v>1.2148096666666666E-3</v>
      </c>
      <c r="R107">
        <f t="shared" si="12"/>
        <v>1.5650699999999998E-4</v>
      </c>
      <c r="T107">
        <f t="shared" si="19"/>
        <v>77.892752982650578</v>
      </c>
      <c r="U107">
        <f t="shared" si="20"/>
        <v>85.424042782535665</v>
      </c>
      <c r="W107">
        <f t="shared" si="21"/>
        <v>3.4279062406672622</v>
      </c>
      <c r="X107">
        <f t="shared" si="22"/>
        <v>6.8479097457973275</v>
      </c>
    </row>
    <row r="108" spans="1:24" x14ac:dyDescent="0.35">
      <c r="A108">
        <v>685.89499999999998</v>
      </c>
      <c r="B108">
        <v>2.5666199999999999E-3</v>
      </c>
      <c r="C108">
        <v>2.1696700000000001E-4</v>
      </c>
      <c r="D108">
        <f t="shared" si="13"/>
        <v>77.250591429242178</v>
      </c>
      <c r="E108">
        <f t="shared" si="14"/>
        <v>77.967995917736644</v>
      </c>
      <c r="G108" s="7">
        <v>4.5706799999999998E-4</v>
      </c>
      <c r="H108" s="7">
        <v>1.06714E-4</v>
      </c>
      <c r="I108" s="6">
        <f t="shared" si="15"/>
        <v>74.593509534961527</v>
      </c>
      <c r="J108" s="6">
        <f t="shared" si="16"/>
        <v>83.85971254115816</v>
      </c>
      <c r="L108" s="7">
        <v>6.3879300000000002E-4</v>
      </c>
      <c r="M108" s="7">
        <v>1.4645399999999999E-4</v>
      </c>
      <c r="N108" s="6">
        <f t="shared" si="17"/>
        <v>83.246085579686067</v>
      </c>
      <c r="O108" s="6">
        <f t="shared" si="18"/>
        <v>94.808801538132869</v>
      </c>
      <c r="Q108">
        <f t="shared" si="12"/>
        <v>1.2208270000000001E-3</v>
      </c>
      <c r="R108">
        <f t="shared" si="12"/>
        <v>1.5671166666666667E-4</v>
      </c>
      <c r="T108">
        <f t="shared" si="19"/>
        <v>78.363395514629929</v>
      </c>
      <c r="U108">
        <f t="shared" si="20"/>
        <v>85.545503332342548</v>
      </c>
      <c r="W108">
        <f t="shared" si="21"/>
        <v>3.6189793912811927</v>
      </c>
      <c r="X108">
        <f t="shared" si="22"/>
        <v>6.9778029698811768</v>
      </c>
    </row>
    <row r="109" spans="1:24" x14ac:dyDescent="0.35">
      <c r="A109">
        <v>692.197</v>
      </c>
      <c r="B109">
        <v>2.5726999999999998E-3</v>
      </c>
      <c r="C109">
        <v>2.1692599999999999E-4</v>
      </c>
      <c r="D109">
        <f t="shared" si="13"/>
        <v>77.433588365247431</v>
      </c>
      <c r="E109">
        <f t="shared" si="14"/>
        <v>77.953262396820435</v>
      </c>
      <c r="G109" s="7">
        <v>4.5816599999999998E-4</v>
      </c>
      <c r="H109" s="7">
        <v>1.0683699999999999E-4</v>
      </c>
      <c r="I109" s="6">
        <f t="shared" si="15"/>
        <v>74.772703163632485</v>
      </c>
      <c r="J109" s="6">
        <f t="shared" si="16"/>
        <v>83.95637038026608</v>
      </c>
      <c r="L109" s="7">
        <v>6.4590899999999996E-4</v>
      </c>
      <c r="M109" s="7">
        <v>1.4680300000000001E-4</v>
      </c>
      <c r="N109" s="6">
        <f t="shared" si="17"/>
        <v>84.173426901499298</v>
      </c>
      <c r="O109" s="6">
        <f t="shared" si="18"/>
        <v>95.034730988587015</v>
      </c>
      <c r="Q109">
        <f t="shared" si="12"/>
        <v>1.2255916666666666E-3</v>
      </c>
      <c r="R109">
        <f t="shared" si="12"/>
        <v>1.5685533333333331E-4</v>
      </c>
      <c r="T109">
        <f t="shared" si="19"/>
        <v>78.793239476793076</v>
      </c>
      <c r="U109">
        <f t="shared" si="20"/>
        <v>85.64812125522451</v>
      </c>
      <c r="W109">
        <f t="shared" si="21"/>
        <v>3.9564201038959967</v>
      </c>
      <c r="X109">
        <f t="shared" si="22"/>
        <v>7.0753401840509405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0699-3109-45DE-A519-0D9A8E40DE8A}">
  <dimension ref="A1:X109"/>
  <sheetViews>
    <sheetView workbookViewId="0">
      <selection activeCell="W3" sqref="W3"/>
    </sheetView>
  </sheetViews>
  <sheetFormatPr defaultColWidth="8.81640625" defaultRowHeight="14.5" x14ac:dyDescent="0.35"/>
  <cols>
    <col min="1" max="1" width="9.453125" bestFit="1" customWidth="1"/>
    <col min="2" max="2" width="12.1796875" bestFit="1" customWidth="1"/>
    <col min="3" max="3" width="9.36328125" bestFit="1" customWidth="1"/>
    <col min="4" max="5" width="12.453125" customWidth="1"/>
    <col min="7" max="7" width="12.1796875" bestFit="1" customWidth="1"/>
    <col min="8" max="8" width="11.81640625" bestFit="1" customWidth="1"/>
    <col min="9" max="10" width="11.81640625" customWidth="1"/>
    <col min="12" max="13" width="11.81640625" bestFit="1" customWidth="1"/>
    <col min="14" max="15" width="11.81640625" customWidth="1"/>
    <col min="16" max="16" width="8.81640625" style="1"/>
    <col min="17" max="18" width="11.81640625" bestFit="1" customWidth="1"/>
    <col min="20" max="21" width="11.81640625" bestFit="1" customWidth="1"/>
    <col min="23" max="24" width="9.453125" bestFit="1" customWidth="1"/>
  </cols>
  <sheetData>
    <row r="1" spans="1:24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L1" t="s">
        <v>0</v>
      </c>
      <c r="M1" t="s">
        <v>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L2" t="s">
        <v>2</v>
      </c>
      <c r="M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6.2696399999999999</v>
      </c>
      <c r="B3">
        <v>9.1700299999999992E-3</v>
      </c>
      <c r="C3">
        <v>1.1245300000000001E-3</v>
      </c>
      <c r="D3">
        <f>B3/$B$3*100</f>
        <v>100</v>
      </c>
      <c r="E3">
        <f>C3/$C$3*100</f>
        <v>100</v>
      </c>
      <c r="Q3">
        <f t="shared" ref="Q3:Q34" si="0">AVERAGE(B3,G3,L3)</f>
        <v>9.1700299999999992E-3</v>
      </c>
      <c r="R3">
        <f t="shared" ref="R3:R34" si="1">AVERAGE(C3,H3,M3)</f>
        <v>1.1245300000000001E-3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12.3698</v>
      </c>
      <c r="B4">
        <v>9.2079899999999992E-3</v>
      </c>
      <c r="C4">
        <v>1.09516E-3</v>
      </c>
      <c r="D4">
        <f t="shared" ref="D4:D67" si="2">B4/$B$3*100</f>
        <v>100.41395720624686</v>
      </c>
      <c r="E4">
        <f t="shared" ref="E4:E67" si="3">C4/$C$3*100</f>
        <v>97.388242198963113</v>
      </c>
      <c r="Q4">
        <f t="shared" si="0"/>
        <v>9.2079899999999992E-3</v>
      </c>
      <c r="R4">
        <f t="shared" si="1"/>
        <v>1.09516E-3</v>
      </c>
      <c r="T4">
        <f t="shared" ref="T4:U67" si="4">AVERAGE(D4,I4,N4)</f>
        <v>100.41395720624686</v>
      </c>
      <c r="U4">
        <f t="shared" si="4"/>
        <v>97.388242198963113</v>
      </c>
      <c r="W4">
        <f t="shared" ref="W4:X67" si="5">_xlfn.STDEV.P(D4,I4,N4)</f>
        <v>0</v>
      </c>
      <c r="X4">
        <f t="shared" si="5"/>
        <v>0</v>
      </c>
    </row>
    <row r="5" spans="1:24" x14ac:dyDescent="0.35">
      <c r="A5">
        <v>18.654</v>
      </c>
      <c r="B5">
        <v>9.2351199999999994E-3</v>
      </c>
      <c r="C5">
        <v>1.07884E-3</v>
      </c>
      <c r="D5">
        <f t="shared" si="2"/>
        <v>100.70981229069045</v>
      </c>
      <c r="E5">
        <f t="shared" si="3"/>
        <v>95.936969222697471</v>
      </c>
      <c r="Q5">
        <f t="shared" si="0"/>
        <v>9.2351199999999994E-3</v>
      </c>
      <c r="R5">
        <f t="shared" si="1"/>
        <v>1.07884E-3</v>
      </c>
      <c r="T5">
        <f t="shared" si="4"/>
        <v>100.70981229069045</v>
      </c>
      <c r="U5">
        <f t="shared" si="4"/>
        <v>95.936969222697471</v>
      </c>
      <c r="W5">
        <f t="shared" si="5"/>
        <v>0</v>
      </c>
      <c r="X5">
        <f t="shared" si="5"/>
        <v>0</v>
      </c>
    </row>
    <row r="6" spans="1:24" x14ac:dyDescent="0.35">
      <c r="A6">
        <v>24.779599999999999</v>
      </c>
      <c r="B6">
        <v>9.2612900000000001E-3</v>
      </c>
      <c r="C6">
        <v>1.0650499999999999E-3</v>
      </c>
      <c r="D6">
        <f t="shared" si="2"/>
        <v>100.99519848899077</v>
      </c>
      <c r="E6">
        <f t="shared" si="3"/>
        <v>94.71067912816909</v>
      </c>
      <c r="Q6">
        <f t="shared" si="0"/>
        <v>9.2612900000000001E-3</v>
      </c>
      <c r="R6">
        <f t="shared" si="1"/>
        <v>1.0650499999999999E-3</v>
      </c>
      <c r="T6">
        <f t="shared" si="4"/>
        <v>100.99519848899077</v>
      </c>
      <c r="U6">
        <f t="shared" si="4"/>
        <v>94.71067912816909</v>
      </c>
      <c r="W6">
        <f t="shared" si="5"/>
        <v>0</v>
      </c>
      <c r="X6">
        <f t="shared" si="5"/>
        <v>0</v>
      </c>
    </row>
    <row r="7" spans="1:24" x14ac:dyDescent="0.35">
      <c r="A7">
        <v>31.0945</v>
      </c>
      <c r="B7">
        <v>9.2872300000000005E-3</v>
      </c>
      <c r="C7">
        <v>1.05367E-3</v>
      </c>
      <c r="D7">
        <f t="shared" si="2"/>
        <v>101.27807651665263</v>
      </c>
      <c r="E7">
        <f t="shared" si="3"/>
        <v>93.698700790552493</v>
      </c>
      <c r="Q7">
        <f t="shared" si="0"/>
        <v>9.2872300000000005E-3</v>
      </c>
      <c r="R7">
        <f t="shared" si="1"/>
        <v>1.05367E-3</v>
      </c>
      <c r="T7">
        <f t="shared" si="4"/>
        <v>101.27807651665263</v>
      </c>
      <c r="U7">
        <f t="shared" si="4"/>
        <v>93.698700790552493</v>
      </c>
      <c r="W7">
        <f t="shared" si="5"/>
        <v>0</v>
      </c>
      <c r="X7">
        <f t="shared" si="5"/>
        <v>0</v>
      </c>
    </row>
    <row r="8" spans="1:24" x14ac:dyDescent="0.35">
      <c r="A8">
        <v>37.161900000000003</v>
      </c>
      <c r="B8">
        <v>9.3092499999999998E-3</v>
      </c>
      <c r="C8">
        <v>1.04448E-3</v>
      </c>
      <c r="D8">
        <f t="shared" si="2"/>
        <v>101.51820659256296</v>
      </c>
      <c r="E8">
        <f t="shared" si="3"/>
        <v>92.881470481000932</v>
      </c>
      <c r="Q8">
        <f t="shared" si="0"/>
        <v>9.3092499999999998E-3</v>
      </c>
      <c r="R8">
        <f t="shared" si="1"/>
        <v>1.04448E-3</v>
      </c>
      <c r="T8">
        <f t="shared" si="4"/>
        <v>101.51820659256296</v>
      </c>
      <c r="U8">
        <f t="shared" si="4"/>
        <v>92.881470481000932</v>
      </c>
      <c r="W8">
        <f t="shared" si="5"/>
        <v>0</v>
      </c>
      <c r="X8">
        <f t="shared" si="5"/>
        <v>0</v>
      </c>
    </row>
    <row r="9" spans="1:24" x14ac:dyDescent="0.35">
      <c r="A9">
        <v>43.441699999999997</v>
      </c>
      <c r="B9">
        <v>9.3253499999999996E-3</v>
      </c>
      <c r="C9">
        <v>1.03714E-3</v>
      </c>
      <c r="D9">
        <f t="shared" si="2"/>
        <v>101.69377853725669</v>
      </c>
      <c r="E9">
        <f t="shared" si="3"/>
        <v>92.22875334584225</v>
      </c>
      <c r="Q9">
        <f t="shared" si="0"/>
        <v>9.3253499999999996E-3</v>
      </c>
      <c r="R9">
        <f t="shared" si="1"/>
        <v>1.03714E-3</v>
      </c>
      <c r="T9">
        <f t="shared" si="4"/>
        <v>101.69377853725669</v>
      </c>
      <c r="U9">
        <f t="shared" si="4"/>
        <v>92.22875334584225</v>
      </c>
      <c r="W9">
        <f t="shared" si="5"/>
        <v>0</v>
      </c>
      <c r="X9">
        <f t="shared" si="5"/>
        <v>0</v>
      </c>
    </row>
    <row r="10" spans="1:24" x14ac:dyDescent="0.35">
      <c r="A10">
        <v>49.671799999999998</v>
      </c>
      <c r="B10">
        <v>9.3390999999999995E-3</v>
      </c>
      <c r="C10">
        <v>1.0309E-3</v>
      </c>
      <c r="D10">
        <f t="shared" si="2"/>
        <v>101.843723521079</v>
      </c>
      <c r="E10">
        <f t="shared" si="3"/>
        <v>91.673854854917153</v>
      </c>
      <c r="Q10">
        <f t="shared" si="0"/>
        <v>9.3390999999999995E-3</v>
      </c>
      <c r="R10">
        <f t="shared" si="1"/>
        <v>1.0309E-3</v>
      </c>
      <c r="T10">
        <f t="shared" si="4"/>
        <v>101.843723521079</v>
      </c>
      <c r="U10">
        <f t="shared" si="4"/>
        <v>91.673854854917153</v>
      </c>
      <c r="W10">
        <f t="shared" si="5"/>
        <v>0</v>
      </c>
      <c r="X10">
        <f t="shared" si="5"/>
        <v>0</v>
      </c>
    </row>
    <row r="11" spans="1:24" x14ac:dyDescent="0.35">
      <c r="A11">
        <v>55.927799999999998</v>
      </c>
      <c r="B11">
        <v>9.3541400000000004E-3</v>
      </c>
      <c r="C11">
        <v>1.0202799999999999E-3</v>
      </c>
      <c r="D11">
        <f t="shared" si="2"/>
        <v>102.00773607065628</v>
      </c>
      <c r="E11">
        <f t="shared" si="3"/>
        <v>90.729460307861928</v>
      </c>
      <c r="Q11">
        <f t="shared" si="0"/>
        <v>9.3541400000000004E-3</v>
      </c>
      <c r="R11">
        <f t="shared" si="1"/>
        <v>1.0202799999999999E-3</v>
      </c>
      <c r="T11">
        <f t="shared" si="4"/>
        <v>102.00773607065628</v>
      </c>
      <c r="U11">
        <f t="shared" si="4"/>
        <v>90.729460307861928</v>
      </c>
      <c r="W11">
        <f t="shared" si="5"/>
        <v>0</v>
      </c>
      <c r="X11">
        <f t="shared" si="5"/>
        <v>0</v>
      </c>
    </row>
    <row r="12" spans="1:24" x14ac:dyDescent="0.35">
      <c r="A12">
        <v>62.031100000000002</v>
      </c>
      <c r="B12">
        <v>9.3671399999999995E-3</v>
      </c>
      <c r="C12">
        <v>1.01869E-3</v>
      </c>
      <c r="D12">
        <f t="shared" si="2"/>
        <v>102.14950223717916</v>
      </c>
      <c r="E12">
        <f t="shared" si="3"/>
        <v>90.588067903924298</v>
      </c>
      <c r="Q12">
        <f t="shared" si="0"/>
        <v>9.3671399999999995E-3</v>
      </c>
      <c r="R12">
        <f t="shared" si="1"/>
        <v>1.01869E-3</v>
      </c>
      <c r="T12">
        <f t="shared" si="4"/>
        <v>102.14950223717916</v>
      </c>
      <c r="U12">
        <f t="shared" si="4"/>
        <v>90.588067903924298</v>
      </c>
      <c r="W12">
        <f t="shared" si="5"/>
        <v>0</v>
      </c>
      <c r="X12">
        <f t="shared" si="5"/>
        <v>0</v>
      </c>
    </row>
    <row r="13" spans="1:24" x14ac:dyDescent="0.35">
      <c r="A13">
        <v>68.213200000000001</v>
      </c>
      <c r="B13">
        <v>9.4013599999999992E-3</v>
      </c>
      <c r="C13">
        <v>1.0141900000000001E-3</v>
      </c>
      <c r="D13">
        <f t="shared" si="2"/>
        <v>102.52267440782636</v>
      </c>
      <c r="E13">
        <f t="shared" si="3"/>
        <v>90.187900722968706</v>
      </c>
      <c r="Q13">
        <f t="shared" si="0"/>
        <v>9.4013599999999992E-3</v>
      </c>
      <c r="R13">
        <f t="shared" si="1"/>
        <v>1.0141900000000001E-3</v>
      </c>
      <c r="T13">
        <f t="shared" si="4"/>
        <v>102.52267440782636</v>
      </c>
      <c r="U13">
        <f t="shared" si="4"/>
        <v>90.187900722968706</v>
      </c>
      <c r="W13">
        <f t="shared" si="5"/>
        <v>0</v>
      </c>
      <c r="X13">
        <f t="shared" si="5"/>
        <v>0</v>
      </c>
    </row>
    <row r="14" spans="1:24" x14ac:dyDescent="0.35">
      <c r="A14">
        <v>74.461600000000004</v>
      </c>
      <c r="B14">
        <v>9.3961500000000007E-3</v>
      </c>
      <c r="C14">
        <v>1.0085000000000001E-3</v>
      </c>
      <c r="D14">
        <f t="shared" si="2"/>
        <v>102.46585889031989</v>
      </c>
      <c r="E14">
        <f t="shared" si="3"/>
        <v>89.681911554160394</v>
      </c>
      <c r="Q14">
        <f t="shared" si="0"/>
        <v>9.3961500000000007E-3</v>
      </c>
      <c r="R14">
        <f t="shared" si="1"/>
        <v>1.0085000000000001E-3</v>
      </c>
      <c r="T14">
        <f t="shared" si="4"/>
        <v>102.46585889031989</v>
      </c>
      <c r="U14">
        <f t="shared" si="4"/>
        <v>89.681911554160394</v>
      </c>
      <c r="W14">
        <f t="shared" si="5"/>
        <v>0</v>
      </c>
      <c r="X14">
        <f t="shared" si="5"/>
        <v>0</v>
      </c>
    </row>
    <row r="15" spans="1:24" x14ac:dyDescent="0.35">
      <c r="A15">
        <v>80.745000000000005</v>
      </c>
      <c r="B15">
        <v>9.4093900000000001E-3</v>
      </c>
      <c r="C15">
        <v>1.0026200000000001E-3</v>
      </c>
      <c r="D15">
        <f t="shared" si="2"/>
        <v>102.61024227837861</v>
      </c>
      <c r="E15">
        <f t="shared" si="3"/>
        <v>89.159026437711759</v>
      </c>
      <c r="Q15">
        <f t="shared" si="0"/>
        <v>9.4093900000000001E-3</v>
      </c>
      <c r="R15">
        <f t="shared" si="1"/>
        <v>1.0026200000000001E-3</v>
      </c>
      <c r="T15">
        <f t="shared" si="4"/>
        <v>102.61024227837861</v>
      </c>
      <c r="U15">
        <f t="shared" si="4"/>
        <v>89.159026437711759</v>
      </c>
      <c r="W15">
        <f t="shared" si="5"/>
        <v>0</v>
      </c>
      <c r="X15">
        <f t="shared" si="5"/>
        <v>0</v>
      </c>
    </row>
    <row r="16" spans="1:24" x14ac:dyDescent="0.35">
      <c r="A16">
        <v>86.833600000000004</v>
      </c>
      <c r="B16">
        <v>9.4185499999999995E-3</v>
      </c>
      <c r="C16">
        <v>1.0013699999999999E-3</v>
      </c>
      <c r="D16">
        <f t="shared" si="2"/>
        <v>102.71013290032857</v>
      </c>
      <c r="E16">
        <f t="shared" si="3"/>
        <v>89.047868887446285</v>
      </c>
      <c r="Q16">
        <f t="shared" si="0"/>
        <v>9.4185499999999995E-3</v>
      </c>
      <c r="R16">
        <f t="shared" si="1"/>
        <v>1.0013699999999999E-3</v>
      </c>
      <c r="T16">
        <f t="shared" si="4"/>
        <v>102.71013290032857</v>
      </c>
      <c r="U16">
        <f t="shared" si="4"/>
        <v>89.047868887446285</v>
      </c>
      <c r="W16">
        <f t="shared" si="5"/>
        <v>0</v>
      </c>
      <c r="X16">
        <f t="shared" si="5"/>
        <v>0</v>
      </c>
    </row>
    <row r="17" spans="1:24" x14ac:dyDescent="0.35">
      <c r="A17">
        <v>93.167199999999994</v>
      </c>
      <c r="B17">
        <v>9.4337299999999995E-3</v>
      </c>
      <c r="C17">
        <v>9.9667000000000006E-4</v>
      </c>
      <c r="D17">
        <f t="shared" si="2"/>
        <v>102.8756721624684</v>
      </c>
      <c r="E17">
        <f t="shared" si="3"/>
        <v>88.629916498448239</v>
      </c>
      <c r="Q17">
        <f t="shared" si="0"/>
        <v>9.4337299999999995E-3</v>
      </c>
      <c r="R17">
        <f t="shared" si="1"/>
        <v>9.9667000000000006E-4</v>
      </c>
      <c r="T17">
        <f t="shared" si="4"/>
        <v>102.8756721624684</v>
      </c>
      <c r="U17">
        <f t="shared" si="4"/>
        <v>88.629916498448239</v>
      </c>
      <c r="W17">
        <f t="shared" si="5"/>
        <v>0</v>
      </c>
      <c r="X17">
        <f t="shared" si="5"/>
        <v>0</v>
      </c>
    </row>
    <row r="18" spans="1:24" x14ac:dyDescent="0.35">
      <c r="A18">
        <v>99.287099999999995</v>
      </c>
      <c r="B18">
        <v>9.4475199999999992E-3</v>
      </c>
      <c r="C18">
        <v>9.955840000000001E-4</v>
      </c>
      <c r="D18">
        <f t="shared" si="2"/>
        <v>103.02605334988</v>
      </c>
      <c r="E18">
        <f t="shared" si="3"/>
        <v>88.533342818777626</v>
      </c>
      <c r="Q18">
        <f t="shared" si="0"/>
        <v>9.4475199999999992E-3</v>
      </c>
      <c r="R18">
        <f t="shared" si="1"/>
        <v>9.955840000000001E-4</v>
      </c>
      <c r="T18">
        <f t="shared" si="4"/>
        <v>103.02605334988</v>
      </c>
      <c r="U18">
        <f t="shared" si="4"/>
        <v>88.533342818777626</v>
      </c>
      <c r="W18">
        <f t="shared" si="5"/>
        <v>0</v>
      </c>
      <c r="X18">
        <f t="shared" si="5"/>
        <v>0</v>
      </c>
    </row>
    <row r="19" spans="1:24" x14ac:dyDescent="0.35">
      <c r="A19">
        <v>105.572</v>
      </c>
      <c r="B19">
        <v>9.4596599999999999E-3</v>
      </c>
      <c r="C19">
        <v>9.8947399999999995E-4</v>
      </c>
      <c r="D19">
        <f t="shared" si="2"/>
        <v>103.15844113923292</v>
      </c>
      <c r="E19">
        <f t="shared" si="3"/>
        <v>87.990004713080111</v>
      </c>
      <c r="Q19">
        <f t="shared" si="0"/>
        <v>9.4596599999999999E-3</v>
      </c>
      <c r="R19">
        <f t="shared" si="1"/>
        <v>9.8947399999999995E-4</v>
      </c>
      <c r="T19">
        <f t="shared" si="4"/>
        <v>103.15844113923292</v>
      </c>
      <c r="U19">
        <f t="shared" si="4"/>
        <v>87.990004713080111</v>
      </c>
      <c r="W19">
        <f t="shared" si="5"/>
        <v>0</v>
      </c>
      <c r="X19">
        <f t="shared" si="5"/>
        <v>0</v>
      </c>
    </row>
    <row r="20" spans="1:24" x14ac:dyDescent="0.35">
      <c r="A20">
        <v>111.81699999999999</v>
      </c>
      <c r="B20">
        <v>9.4699499999999995E-3</v>
      </c>
      <c r="C20">
        <v>9.9066400000000004E-4</v>
      </c>
      <c r="D20">
        <f t="shared" si="2"/>
        <v>103.27065451258066</v>
      </c>
      <c r="E20">
        <f t="shared" si="3"/>
        <v>88.095826700932832</v>
      </c>
      <c r="Q20">
        <f t="shared" si="0"/>
        <v>9.4699499999999995E-3</v>
      </c>
      <c r="R20">
        <f t="shared" si="1"/>
        <v>9.9066400000000004E-4</v>
      </c>
      <c r="T20">
        <f t="shared" si="4"/>
        <v>103.27065451258066</v>
      </c>
      <c r="U20">
        <f t="shared" si="4"/>
        <v>88.095826700932832</v>
      </c>
      <c r="W20">
        <f t="shared" si="5"/>
        <v>0</v>
      </c>
      <c r="X20">
        <f t="shared" si="5"/>
        <v>0</v>
      </c>
    </row>
    <row r="21" spans="1:24" x14ac:dyDescent="0.35">
      <c r="A21">
        <v>117.977</v>
      </c>
      <c r="B21">
        <v>9.4842899999999994E-3</v>
      </c>
      <c r="C21">
        <v>9.892849999999999E-4</v>
      </c>
      <c r="D21">
        <f t="shared" si="2"/>
        <v>103.42703349934514</v>
      </c>
      <c r="E21">
        <f t="shared" si="3"/>
        <v>87.973197691479982</v>
      </c>
      <c r="Q21">
        <f t="shared" si="0"/>
        <v>9.4842899999999994E-3</v>
      </c>
      <c r="R21">
        <f t="shared" si="1"/>
        <v>9.892849999999999E-4</v>
      </c>
      <c r="T21">
        <f t="shared" si="4"/>
        <v>103.42703349934514</v>
      </c>
      <c r="U21">
        <f t="shared" si="4"/>
        <v>87.973197691479982</v>
      </c>
      <c r="W21">
        <f t="shared" si="5"/>
        <v>0</v>
      </c>
      <c r="X21">
        <f t="shared" si="5"/>
        <v>0</v>
      </c>
    </row>
    <row r="22" spans="1:24" x14ac:dyDescent="0.35">
      <c r="A22">
        <v>124.10599999999999</v>
      </c>
      <c r="B22">
        <v>9.4955999999999999E-3</v>
      </c>
      <c r="C22">
        <v>9.8852100000000002E-4</v>
      </c>
      <c r="D22">
        <f t="shared" si="2"/>
        <v>103.55037006422008</v>
      </c>
      <c r="E22">
        <f t="shared" si="3"/>
        <v>87.905258196757757</v>
      </c>
      <c r="Q22">
        <f t="shared" si="0"/>
        <v>9.4955999999999999E-3</v>
      </c>
      <c r="R22">
        <f t="shared" si="1"/>
        <v>9.8852100000000002E-4</v>
      </c>
      <c r="T22">
        <f t="shared" si="4"/>
        <v>103.55037006422008</v>
      </c>
      <c r="U22">
        <f t="shared" si="4"/>
        <v>87.905258196757757</v>
      </c>
      <c r="W22">
        <f t="shared" si="5"/>
        <v>0</v>
      </c>
      <c r="X22">
        <f t="shared" si="5"/>
        <v>0</v>
      </c>
    </row>
    <row r="23" spans="1:24" x14ac:dyDescent="0.35">
      <c r="A23">
        <v>130.37799999999999</v>
      </c>
      <c r="B23">
        <v>9.5055999999999995E-3</v>
      </c>
      <c r="C23">
        <v>9.8804699999999993E-4</v>
      </c>
      <c r="D23">
        <f t="shared" si="2"/>
        <v>103.65942096154539</v>
      </c>
      <c r="E23">
        <f t="shared" si="3"/>
        <v>87.863107253697081</v>
      </c>
      <c r="Q23">
        <f t="shared" si="0"/>
        <v>9.5055999999999995E-3</v>
      </c>
      <c r="R23">
        <f t="shared" si="1"/>
        <v>9.8804699999999993E-4</v>
      </c>
      <c r="T23">
        <f t="shared" si="4"/>
        <v>103.65942096154539</v>
      </c>
      <c r="U23">
        <f t="shared" si="4"/>
        <v>87.863107253697081</v>
      </c>
      <c r="W23">
        <f t="shared" si="5"/>
        <v>0</v>
      </c>
      <c r="X23">
        <f t="shared" si="5"/>
        <v>0</v>
      </c>
    </row>
    <row r="24" spans="1:24" x14ac:dyDescent="0.35">
      <c r="A24">
        <v>136.60400000000001</v>
      </c>
      <c r="B24">
        <v>9.5188800000000004E-3</v>
      </c>
      <c r="C24">
        <v>9.8457899999999997E-4</v>
      </c>
      <c r="D24">
        <f t="shared" si="2"/>
        <v>103.80424055319341</v>
      </c>
      <c r="E24">
        <f t="shared" si="3"/>
        <v>87.554711746240642</v>
      </c>
      <c r="Q24">
        <f t="shared" si="0"/>
        <v>9.5188800000000004E-3</v>
      </c>
      <c r="R24">
        <f t="shared" si="1"/>
        <v>9.8457899999999997E-4</v>
      </c>
      <c r="T24">
        <f t="shared" si="4"/>
        <v>103.80424055319341</v>
      </c>
      <c r="U24">
        <f t="shared" si="4"/>
        <v>87.554711746240642</v>
      </c>
      <c r="W24">
        <f t="shared" si="5"/>
        <v>0</v>
      </c>
      <c r="X24">
        <f t="shared" si="5"/>
        <v>0</v>
      </c>
    </row>
    <row r="25" spans="1:24" x14ac:dyDescent="0.35">
      <c r="A25">
        <v>142.80099999999999</v>
      </c>
      <c r="B25">
        <v>9.5281600000000008E-3</v>
      </c>
      <c r="C25">
        <v>9.8292200000000001E-4</v>
      </c>
      <c r="D25">
        <f t="shared" si="2"/>
        <v>103.90543978591128</v>
      </c>
      <c r="E25">
        <f t="shared" si="3"/>
        <v>87.407361297608773</v>
      </c>
      <c r="Q25">
        <f t="shared" si="0"/>
        <v>9.5281600000000008E-3</v>
      </c>
      <c r="R25">
        <f t="shared" si="1"/>
        <v>9.8292200000000001E-4</v>
      </c>
      <c r="T25">
        <f t="shared" si="4"/>
        <v>103.90543978591128</v>
      </c>
      <c r="U25">
        <f t="shared" si="4"/>
        <v>87.407361297608773</v>
      </c>
      <c r="W25">
        <f t="shared" si="5"/>
        <v>0</v>
      </c>
      <c r="X25">
        <f t="shared" si="5"/>
        <v>0</v>
      </c>
    </row>
    <row r="26" spans="1:24" x14ac:dyDescent="0.35">
      <c r="A26">
        <v>148.94900000000001</v>
      </c>
      <c r="B26">
        <v>9.5415900000000008E-3</v>
      </c>
      <c r="C26">
        <v>9.80236E-4</v>
      </c>
      <c r="D26">
        <f t="shared" si="2"/>
        <v>104.05189514101917</v>
      </c>
      <c r="E26">
        <f t="shared" si="3"/>
        <v>87.168505953598384</v>
      </c>
      <c r="Q26">
        <f t="shared" si="0"/>
        <v>9.5415900000000008E-3</v>
      </c>
      <c r="R26">
        <f t="shared" si="1"/>
        <v>9.80236E-4</v>
      </c>
      <c r="T26">
        <f t="shared" si="4"/>
        <v>104.05189514101917</v>
      </c>
      <c r="U26">
        <f t="shared" si="4"/>
        <v>87.168505953598384</v>
      </c>
      <c r="W26">
        <f t="shared" si="5"/>
        <v>0</v>
      </c>
      <c r="X26">
        <f t="shared" si="5"/>
        <v>0</v>
      </c>
    </row>
    <row r="27" spans="1:24" x14ac:dyDescent="0.35">
      <c r="A27">
        <v>155.233</v>
      </c>
      <c r="B27">
        <v>9.5528899999999996E-3</v>
      </c>
      <c r="C27">
        <v>9.8136899999999995E-4</v>
      </c>
      <c r="D27">
        <f t="shared" si="2"/>
        <v>104.17512265499678</v>
      </c>
      <c r="E27">
        <f t="shared" si="3"/>
        <v>87.26925915715897</v>
      </c>
      <c r="Q27">
        <f t="shared" si="0"/>
        <v>9.5528899999999996E-3</v>
      </c>
      <c r="R27">
        <f t="shared" si="1"/>
        <v>9.8136899999999995E-4</v>
      </c>
      <c r="T27">
        <f t="shared" si="4"/>
        <v>104.17512265499678</v>
      </c>
      <c r="U27">
        <f t="shared" si="4"/>
        <v>87.26925915715897</v>
      </c>
      <c r="W27">
        <f t="shared" si="5"/>
        <v>0</v>
      </c>
      <c r="X27">
        <f t="shared" si="5"/>
        <v>0</v>
      </c>
    </row>
    <row r="28" spans="1:24" x14ac:dyDescent="0.35">
      <c r="A28">
        <v>161.44499999999999</v>
      </c>
      <c r="B28">
        <v>9.5660599999999995E-3</v>
      </c>
      <c r="C28">
        <v>9.7929000000000006E-4</v>
      </c>
      <c r="D28">
        <f t="shared" si="2"/>
        <v>104.31874268677421</v>
      </c>
      <c r="E28">
        <f t="shared" si="3"/>
        <v>87.084381919557501</v>
      </c>
      <c r="Q28">
        <f t="shared" si="0"/>
        <v>9.5660599999999995E-3</v>
      </c>
      <c r="R28">
        <f t="shared" si="1"/>
        <v>9.7929000000000006E-4</v>
      </c>
      <c r="T28">
        <f t="shared" si="4"/>
        <v>104.31874268677421</v>
      </c>
      <c r="U28">
        <f t="shared" si="4"/>
        <v>87.084381919557501</v>
      </c>
      <c r="W28">
        <f t="shared" si="5"/>
        <v>0</v>
      </c>
      <c r="X28">
        <f t="shared" si="5"/>
        <v>0</v>
      </c>
    </row>
    <row r="29" spans="1:24" x14ac:dyDescent="0.35">
      <c r="A29">
        <v>167.59</v>
      </c>
      <c r="B29">
        <v>9.5780899999999992E-3</v>
      </c>
      <c r="C29">
        <v>9.8076400000000007E-4</v>
      </c>
      <c r="D29">
        <f t="shared" si="2"/>
        <v>104.44993091625653</v>
      </c>
      <c r="E29">
        <f t="shared" si="3"/>
        <v>87.215458902830505</v>
      </c>
      <c r="Q29">
        <f t="shared" si="0"/>
        <v>9.5780899999999992E-3</v>
      </c>
      <c r="R29">
        <f t="shared" si="1"/>
        <v>9.8076400000000007E-4</v>
      </c>
      <c r="T29">
        <f t="shared" si="4"/>
        <v>104.44993091625653</v>
      </c>
      <c r="U29">
        <f t="shared" si="4"/>
        <v>87.215458902830505</v>
      </c>
      <c r="W29">
        <f t="shared" si="5"/>
        <v>0</v>
      </c>
      <c r="X29">
        <f t="shared" si="5"/>
        <v>0</v>
      </c>
    </row>
    <row r="30" spans="1:24" x14ac:dyDescent="0.35">
      <c r="A30">
        <v>173.74799999999999</v>
      </c>
      <c r="B30">
        <v>9.5965200000000007E-3</v>
      </c>
      <c r="C30">
        <v>9.8379000000000001E-4</v>
      </c>
      <c r="D30">
        <f t="shared" si="2"/>
        <v>104.6509117200271</v>
      </c>
      <c r="E30">
        <f t="shared" si="3"/>
        <v>87.484549100513092</v>
      </c>
      <c r="Q30">
        <f t="shared" si="0"/>
        <v>9.5965200000000007E-3</v>
      </c>
      <c r="R30">
        <f t="shared" si="1"/>
        <v>9.8379000000000001E-4</v>
      </c>
      <c r="T30">
        <f t="shared" si="4"/>
        <v>104.6509117200271</v>
      </c>
      <c r="U30">
        <f t="shared" si="4"/>
        <v>87.484549100513092</v>
      </c>
      <c r="W30">
        <f t="shared" si="5"/>
        <v>0</v>
      </c>
      <c r="X30">
        <f t="shared" si="5"/>
        <v>0</v>
      </c>
    </row>
    <row r="31" spans="1:24" x14ac:dyDescent="0.35">
      <c r="A31">
        <v>179.999</v>
      </c>
      <c r="B31">
        <v>9.6044300000000006E-3</v>
      </c>
      <c r="C31">
        <v>9.8114699999999992E-4</v>
      </c>
      <c r="D31">
        <f t="shared" si="2"/>
        <v>104.73717097981144</v>
      </c>
      <c r="E31">
        <f t="shared" si="3"/>
        <v>87.249517576231824</v>
      </c>
      <c r="Q31">
        <f t="shared" si="0"/>
        <v>9.6044300000000006E-3</v>
      </c>
      <c r="R31">
        <f t="shared" si="1"/>
        <v>9.8114699999999992E-4</v>
      </c>
      <c r="T31">
        <f t="shared" si="4"/>
        <v>104.73717097981144</v>
      </c>
      <c r="U31">
        <f t="shared" si="4"/>
        <v>87.249517576231824</v>
      </c>
      <c r="W31">
        <f t="shared" si="5"/>
        <v>0</v>
      </c>
      <c r="X31">
        <f t="shared" si="5"/>
        <v>0</v>
      </c>
    </row>
    <row r="32" spans="1:24" x14ac:dyDescent="0.35">
      <c r="A32">
        <v>193.20699999999999</v>
      </c>
      <c r="B32">
        <v>5.5746699999999998E-6</v>
      </c>
      <c r="C32">
        <v>1.09671E-4</v>
      </c>
      <c r="D32">
        <f t="shared" si="2"/>
        <v>6.0792276579247836E-2</v>
      </c>
      <c r="E32">
        <f t="shared" si="3"/>
        <v>9.7526077561292261</v>
      </c>
      <c r="Q32">
        <f t="shared" si="0"/>
        <v>5.5746699999999998E-6</v>
      </c>
      <c r="R32">
        <f t="shared" si="1"/>
        <v>1.09671E-4</v>
      </c>
      <c r="T32">
        <f t="shared" si="4"/>
        <v>6.0792276579247836E-2</v>
      </c>
      <c r="U32">
        <f t="shared" si="4"/>
        <v>9.7526077561292261</v>
      </c>
      <c r="W32">
        <f t="shared" si="5"/>
        <v>0</v>
      </c>
      <c r="X32">
        <f t="shared" si="5"/>
        <v>0</v>
      </c>
    </row>
    <row r="33" spans="1:24" x14ac:dyDescent="0.35">
      <c r="A33">
        <v>199.40899999999999</v>
      </c>
      <c r="B33">
        <v>5.5821299999999999E-6</v>
      </c>
      <c r="C33">
        <v>1.08631E-4</v>
      </c>
      <c r="D33">
        <f t="shared" si="2"/>
        <v>6.0873628548652518E-2</v>
      </c>
      <c r="E33">
        <f t="shared" si="3"/>
        <v>9.660124674308376</v>
      </c>
      <c r="Q33">
        <f t="shared" si="0"/>
        <v>5.5821299999999999E-6</v>
      </c>
      <c r="R33">
        <f t="shared" si="1"/>
        <v>1.08631E-4</v>
      </c>
      <c r="T33">
        <f t="shared" si="4"/>
        <v>6.0873628548652518E-2</v>
      </c>
      <c r="U33">
        <f t="shared" si="4"/>
        <v>9.660124674308376</v>
      </c>
      <c r="W33">
        <f t="shared" si="5"/>
        <v>0</v>
      </c>
      <c r="X33">
        <f t="shared" si="5"/>
        <v>0</v>
      </c>
    </row>
    <row r="34" spans="1:24" x14ac:dyDescent="0.35">
      <c r="A34">
        <v>205.65700000000001</v>
      </c>
      <c r="B34">
        <v>5.55007E-6</v>
      </c>
      <c r="C34">
        <v>1.07271E-4</v>
      </c>
      <c r="D34">
        <f t="shared" si="2"/>
        <v>6.0524011371827585E-2</v>
      </c>
      <c r="E34">
        <f t="shared" si="3"/>
        <v>9.5391852596195736</v>
      </c>
      <c r="Q34">
        <f t="shared" si="0"/>
        <v>5.55007E-6</v>
      </c>
      <c r="R34">
        <f t="shared" si="1"/>
        <v>1.07271E-4</v>
      </c>
      <c r="T34">
        <f t="shared" si="4"/>
        <v>6.0524011371827585E-2</v>
      </c>
      <c r="U34">
        <f t="shared" si="4"/>
        <v>9.5391852596195736</v>
      </c>
      <c r="W34">
        <f t="shared" si="5"/>
        <v>0</v>
      </c>
      <c r="X34">
        <f t="shared" si="5"/>
        <v>0</v>
      </c>
    </row>
    <row r="35" spans="1:24" x14ac:dyDescent="0.35">
      <c r="A35">
        <v>211.864</v>
      </c>
      <c r="B35">
        <v>5.5126200000000001E-6</v>
      </c>
      <c r="C35">
        <v>1.06457E-4</v>
      </c>
      <c r="D35">
        <f t="shared" si="2"/>
        <v>6.0115615761344297E-2</v>
      </c>
      <c r="E35">
        <f t="shared" si="3"/>
        <v>9.4667994628867156</v>
      </c>
      <c r="Q35">
        <f t="shared" ref="Q35:Q66" si="6">AVERAGE(B35,G35,L35)</f>
        <v>5.5126200000000001E-6</v>
      </c>
      <c r="R35">
        <f t="shared" ref="R35:R66" si="7">AVERAGE(C35,H35,M35)</f>
        <v>1.06457E-4</v>
      </c>
      <c r="T35">
        <f t="shared" si="4"/>
        <v>6.0115615761344297E-2</v>
      </c>
      <c r="U35">
        <f t="shared" si="4"/>
        <v>9.4667994628867156</v>
      </c>
      <c r="W35">
        <f t="shared" si="5"/>
        <v>0</v>
      </c>
      <c r="X35">
        <f t="shared" si="5"/>
        <v>0</v>
      </c>
    </row>
    <row r="36" spans="1:24" x14ac:dyDescent="0.35">
      <c r="A36">
        <v>217.958</v>
      </c>
      <c r="B36">
        <v>5.5434600000000001E-6</v>
      </c>
      <c r="C36">
        <v>1.05864E-4</v>
      </c>
      <c r="D36">
        <f t="shared" si="2"/>
        <v>6.045192872869555E-2</v>
      </c>
      <c r="E36">
        <f t="shared" si="3"/>
        <v>9.4140663210407904</v>
      </c>
      <c r="Q36">
        <f t="shared" si="6"/>
        <v>5.5434600000000001E-6</v>
      </c>
      <c r="R36">
        <f t="shared" si="7"/>
        <v>1.05864E-4</v>
      </c>
      <c r="T36">
        <f t="shared" si="4"/>
        <v>6.045192872869555E-2</v>
      </c>
      <c r="U36">
        <f t="shared" si="4"/>
        <v>9.4140663210407904</v>
      </c>
      <c r="W36">
        <f t="shared" si="5"/>
        <v>0</v>
      </c>
      <c r="X36">
        <f t="shared" si="5"/>
        <v>0</v>
      </c>
    </row>
    <row r="37" spans="1:24" x14ac:dyDescent="0.35">
      <c r="A37">
        <v>224.30799999999999</v>
      </c>
      <c r="B37">
        <v>5.6305700000000004E-6</v>
      </c>
      <c r="C37">
        <v>1.05246E-4</v>
      </c>
      <c r="D37">
        <f t="shared" si="2"/>
        <v>6.1401871095296323E-2</v>
      </c>
      <c r="E37">
        <f t="shared" si="3"/>
        <v>9.359110028189555</v>
      </c>
      <c r="Q37">
        <f t="shared" si="6"/>
        <v>5.6305700000000004E-6</v>
      </c>
      <c r="R37">
        <f t="shared" si="7"/>
        <v>1.05246E-4</v>
      </c>
      <c r="T37">
        <f t="shared" si="4"/>
        <v>6.1401871095296323E-2</v>
      </c>
      <c r="U37">
        <f t="shared" si="4"/>
        <v>9.359110028189555</v>
      </c>
      <c r="W37">
        <f t="shared" si="5"/>
        <v>0</v>
      </c>
      <c r="X37">
        <f t="shared" si="5"/>
        <v>0</v>
      </c>
    </row>
    <row r="38" spans="1:24" x14ac:dyDescent="0.35">
      <c r="A38">
        <v>230.453</v>
      </c>
      <c r="B38">
        <v>5.5120400000000002E-6</v>
      </c>
      <c r="C38">
        <v>1.04418E-4</v>
      </c>
      <c r="D38">
        <f t="shared" si="2"/>
        <v>6.0109290809299436E-2</v>
      </c>
      <c r="E38">
        <f t="shared" si="3"/>
        <v>9.2854792668937236</v>
      </c>
      <c r="Q38">
        <f t="shared" si="6"/>
        <v>5.5120400000000002E-6</v>
      </c>
      <c r="R38">
        <f t="shared" si="7"/>
        <v>1.04418E-4</v>
      </c>
      <c r="T38">
        <f t="shared" si="4"/>
        <v>6.0109290809299436E-2</v>
      </c>
      <c r="U38">
        <f t="shared" si="4"/>
        <v>9.2854792668937236</v>
      </c>
      <c r="W38">
        <f t="shared" si="5"/>
        <v>0</v>
      </c>
      <c r="X38">
        <f t="shared" si="5"/>
        <v>0</v>
      </c>
    </row>
    <row r="39" spans="1:24" x14ac:dyDescent="0.35">
      <c r="A39">
        <v>236.73099999999999</v>
      </c>
      <c r="B39">
        <v>5.6186699999999997E-6</v>
      </c>
      <c r="C39">
        <v>1.04293E-4</v>
      </c>
      <c r="D39">
        <f t="shared" si="2"/>
        <v>6.1272100527479188E-2</v>
      </c>
      <c r="E39">
        <f t="shared" si="3"/>
        <v>9.274363511867179</v>
      </c>
      <c r="Q39">
        <f t="shared" si="6"/>
        <v>5.6186699999999997E-6</v>
      </c>
      <c r="R39">
        <f t="shared" si="7"/>
        <v>1.04293E-4</v>
      </c>
      <c r="T39">
        <f t="shared" si="4"/>
        <v>6.1272100527479188E-2</v>
      </c>
      <c r="U39">
        <f t="shared" si="4"/>
        <v>9.274363511867179</v>
      </c>
      <c r="W39">
        <f t="shared" si="5"/>
        <v>0</v>
      </c>
      <c r="X39">
        <f t="shared" si="5"/>
        <v>0</v>
      </c>
    </row>
    <row r="40" spans="1:24" x14ac:dyDescent="0.35">
      <c r="A40">
        <v>242.83</v>
      </c>
      <c r="B40">
        <v>5.6888800000000002E-6</v>
      </c>
      <c r="C40">
        <v>1.03992E-4</v>
      </c>
      <c r="D40">
        <f t="shared" si="2"/>
        <v>6.2037746877600192E-2</v>
      </c>
      <c r="E40">
        <f t="shared" si="3"/>
        <v>9.2475967737632594</v>
      </c>
      <c r="Q40">
        <f t="shared" si="6"/>
        <v>5.6888800000000002E-6</v>
      </c>
      <c r="R40">
        <f t="shared" si="7"/>
        <v>1.03992E-4</v>
      </c>
      <c r="T40">
        <f t="shared" si="4"/>
        <v>6.2037746877600192E-2</v>
      </c>
      <c r="U40">
        <f t="shared" si="4"/>
        <v>9.2475967737632594</v>
      </c>
      <c r="W40">
        <f t="shared" si="5"/>
        <v>0</v>
      </c>
      <c r="X40">
        <f t="shared" si="5"/>
        <v>0</v>
      </c>
    </row>
    <row r="41" spans="1:24" x14ac:dyDescent="0.35">
      <c r="A41">
        <v>249.16</v>
      </c>
      <c r="B41">
        <v>5.6763600000000001E-6</v>
      </c>
      <c r="C41">
        <v>1.03392E-4</v>
      </c>
      <c r="D41">
        <f t="shared" si="2"/>
        <v>6.1901215154148904E-2</v>
      </c>
      <c r="E41">
        <f t="shared" si="3"/>
        <v>9.1942411496358467</v>
      </c>
      <c r="Q41">
        <f t="shared" si="6"/>
        <v>5.6763600000000001E-6</v>
      </c>
      <c r="R41">
        <f t="shared" si="7"/>
        <v>1.03392E-4</v>
      </c>
      <c r="T41">
        <f t="shared" si="4"/>
        <v>6.1901215154148904E-2</v>
      </c>
      <c r="U41">
        <f t="shared" si="4"/>
        <v>9.1942411496358467</v>
      </c>
      <c r="W41">
        <f t="shared" si="5"/>
        <v>0</v>
      </c>
      <c r="X41">
        <f t="shared" si="5"/>
        <v>0</v>
      </c>
    </row>
    <row r="42" spans="1:24" x14ac:dyDescent="0.35">
      <c r="A42">
        <v>262.286</v>
      </c>
      <c r="B42">
        <v>5.5480199999999999E-3</v>
      </c>
      <c r="C42">
        <v>8.4899300000000003E-4</v>
      </c>
      <c r="D42">
        <f t="shared" si="2"/>
        <v>60.501655937875888</v>
      </c>
      <c r="E42">
        <f t="shared" si="3"/>
        <v>75.497585658008219</v>
      </c>
      <c r="Q42">
        <f t="shared" si="6"/>
        <v>5.5480199999999999E-3</v>
      </c>
      <c r="R42">
        <f t="shared" si="7"/>
        <v>8.4899300000000003E-4</v>
      </c>
      <c r="T42">
        <f t="shared" si="4"/>
        <v>60.501655937875888</v>
      </c>
      <c r="U42">
        <f t="shared" si="4"/>
        <v>75.497585658008219</v>
      </c>
      <c r="W42">
        <f t="shared" si="5"/>
        <v>0</v>
      </c>
      <c r="X42">
        <f t="shared" si="5"/>
        <v>0</v>
      </c>
    </row>
    <row r="43" spans="1:24" x14ac:dyDescent="0.35">
      <c r="A43">
        <v>268.49799999999999</v>
      </c>
      <c r="B43">
        <v>5.68002E-3</v>
      </c>
      <c r="C43">
        <v>8.1171800000000001E-4</v>
      </c>
      <c r="D43">
        <f t="shared" si="2"/>
        <v>61.941127782569957</v>
      </c>
      <c r="E43">
        <f t="shared" si="3"/>
        <v>72.182867509092688</v>
      </c>
      <c r="Q43">
        <f t="shared" si="6"/>
        <v>5.68002E-3</v>
      </c>
      <c r="R43">
        <f t="shared" si="7"/>
        <v>8.1171800000000001E-4</v>
      </c>
      <c r="T43">
        <f t="shared" si="4"/>
        <v>61.941127782569957</v>
      </c>
      <c r="U43">
        <f t="shared" si="4"/>
        <v>72.182867509092688</v>
      </c>
      <c r="W43">
        <f t="shared" si="5"/>
        <v>0</v>
      </c>
      <c r="X43">
        <f t="shared" si="5"/>
        <v>0</v>
      </c>
    </row>
    <row r="44" spans="1:24" x14ac:dyDescent="0.35">
      <c r="A44">
        <v>274.608</v>
      </c>
      <c r="B44">
        <v>5.7608499999999997E-3</v>
      </c>
      <c r="C44">
        <v>7.9270499999999999E-4</v>
      </c>
      <c r="D44">
        <f t="shared" si="2"/>
        <v>62.82258618565043</v>
      </c>
      <c r="E44">
        <f t="shared" si="3"/>
        <v>70.492116706535171</v>
      </c>
      <c r="Q44">
        <f t="shared" si="6"/>
        <v>5.7608499999999997E-3</v>
      </c>
      <c r="R44">
        <f t="shared" si="7"/>
        <v>7.9270499999999999E-4</v>
      </c>
      <c r="T44">
        <f t="shared" si="4"/>
        <v>62.82258618565043</v>
      </c>
      <c r="U44">
        <f t="shared" si="4"/>
        <v>70.492116706535171</v>
      </c>
      <c r="W44">
        <f t="shared" si="5"/>
        <v>0</v>
      </c>
      <c r="X44">
        <f t="shared" si="5"/>
        <v>0</v>
      </c>
    </row>
    <row r="45" spans="1:24" x14ac:dyDescent="0.35">
      <c r="A45">
        <v>280.779</v>
      </c>
      <c r="B45">
        <v>5.8275100000000002E-3</v>
      </c>
      <c r="C45">
        <v>7.8001600000000002E-4</v>
      </c>
      <c r="D45">
        <f t="shared" si="2"/>
        <v>63.549519467220939</v>
      </c>
      <c r="E45">
        <f t="shared" si="3"/>
        <v>69.363734182280595</v>
      </c>
      <c r="Q45">
        <f t="shared" si="6"/>
        <v>5.8275100000000002E-3</v>
      </c>
      <c r="R45">
        <f t="shared" si="7"/>
        <v>7.8001600000000002E-4</v>
      </c>
      <c r="T45">
        <f t="shared" si="4"/>
        <v>63.549519467220939</v>
      </c>
      <c r="U45">
        <f t="shared" si="4"/>
        <v>69.363734182280595</v>
      </c>
      <c r="W45">
        <f t="shared" si="5"/>
        <v>0</v>
      </c>
      <c r="X45">
        <f t="shared" si="5"/>
        <v>0</v>
      </c>
    </row>
    <row r="46" spans="1:24" x14ac:dyDescent="0.35">
      <c r="A46">
        <v>287.00099999999998</v>
      </c>
      <c r="B46">
        <v>5.8853600000000001E-3</v>
      </c>
      <c r="C46">
        <v>7.6999700000000002E-4</v>
      </c>
      <c r="D46">
        <f t="shared" si="2"/>
        <v>64.180378908247846</v>
      </c>
      <c r="E46">
        <f t="shared" si="3"/>
        <v>68.472784185392996</v>
      </c>
      <c r="Q46">
        <f t="shared" si="6"/>
        <v>5.8853600000000001E-3</v>
      </c>
      <c r="R46">
        <f t="shared" si="7"/>
        <v>7.6999700000000002E-4</v>
      </c>
      <c r="T46">
        <f t="shared" si="4"/>
        <v>64.180378908247846</v>
      </c>
      <c r="U46">
        <f t="shared" si="4"/>
        <v>68.472784185392996</v>
      </c>
      <c r="W46">
        <f t="shared" si="5"/>
        <v>0</v>
      </c>
      <c r="X46">
        <f t="shared" si="5"/>
        <v>0</v>
      </c>
    </row>
    <row r="47" spans="1:24" x14ac:dyDescent="0.35">
      <c r="A47">
        <v>293.27300000000002</v>
      </c>
      <c r="B47">
        <v>5.9390099999999998E-3</v>
      </c>
      <c r="C47">
        <v>7.62621E-4</v>
      </c>
      <c r="D47">
        <f t="shared" si="2"/>
        <v>64.76543697239812</v>
      </c>
      <c r="E47">
        <f t="shared" si="3"/>
        <v>67.816865712786665</v>
      </c>
      <c r="Q47">
        <f t="shared" si="6"/>
        <v>5.9390099999999998E-3</v>
      </c>
      <c r="R47">
        <f t="shared" si="7"/>
        <v>7.62621E-4</v>
      </c>
      <c r="T47">
        <f t="shared" si="4"/>
        <v>64.76543697239812</v>
      </c>
      <c r="U47">
        <f t="shared" si="4"/>
        <v>67.816865712786665</v>
      </c>
      <c r="W47">
        <f t="shared" si="5"/>
        <v>0</v>
      </c>
      <c r="X47">
        <f t="shared" si="5"/>
        <v>0</v>
      </c>
    </row>
    <row r="48" spans="1:24" x14ac:dyDescent="0.35">
      <c r="A48">
        <v>299.46699999999998</v>
      </c>
      <c r="B48">
        <v>5.9849999999999999E-3</v>
      </c>
      <c r="C48">
        <v>7.5489600000000002E-4</v>
      </c>
      <c r="D48">
        <f t="shared" si="2"/>
        <v>65.266962049197232</v>
      </c>
      <c r="E48">
        <f t="shared" si="3"/>
        <v>67.129912052146224</v>
      </c>
      <c r="Q48">
        <f t="shared" si="6"/>
        <v>5.9849999999999999E-3</v>
      </c>
      <c r="R48">
        <f t="shared" si="7"/>
        <v>7.5489600000000002E-4</v>
      </c>
      <c r="T48">
        <f t="shared" si="4"/>
        <v>65.266962049197232</v>
      </c>
      <c r="U48">
        <f t="shared" si="4"/>
        <v>67.129912052146224</v>
      </c>
      <c r="W48">
        <f t="shared" si="5"/>
        <v>0</v>
      </c>
      <c r="X48">
        <f t="shared" si="5"/>
        <v>0</v>
      </c>
    </row>
    <row r="49" spans="1:24" x14ac:dyDescent="0.35">
      <c r="A49">
        <v>305.70800000000003</v>
      </c>
      <c r="B49">
        <v>6.0246099999999997E-3</v>
      </c>
      <c r="C49">
        <v>7.4906099999999998E-4</v>
      </c>
      <c r="D49">
        <f t="shared" si="2"/>
        <v>65.698912653502774</v>
      </c>
      <c r="E49">
        <f t="shared" si="3"/>
        <v>66.611028607507123</v>
      </c>
      <c r="Q49">
        <f t="shared" si="6"/>
        <v>6.0246099999999997E-3</v>
      </c>
      <c r="R49">
        <f t="shared" si="7"/>
        <v>7.4906099999999998E-4</v>
      </c>
      <c r="T49">
        <f t="shared" si="4"/>
        <v>65.698912653502774</v>
      </c>
      <c r="U49">
        <f t="shared" si="4"/>
        <v>66.611028607507123</v>
      </c>
      <c r="W49">
        <f t="shared" si="5"/>
        <v>0</v>
      </c>
      <c r="X49">
        <f t="shared" si="5"/>
        <v>0</v>
      </c>
    </row>
    <row r="50" spans="1:24" x14ac:dyDescent="0.35">
      <c r="A50">
        <v>311.89499999999998</v>
      </c>
      <c r="B50">
        <v>6.06647E-3</v>
      </c>
      <c r="C50">
        <v>7.4749199999999999E-4</v>
      </c>
      <c r="D50">
        <f t="shared" si="2"/>
        <v>66.155399709706515</v>
      </c>
      <c r="E50">
        <f t="shared" si="3"/>
        <v>66.47150365041395</v>
      </c>
      <c r="Q50">
        <f t="shared" si="6"/>
        <v>6.06647E-3</v>
      </c>
      <c r="R50">
        <f t="shared" si="7"/>
        <v>7.4749199999999999E-4</v>
      </c>
      <c r="T50">
        <f t="shared" si="4"/>
        <v>66.155399709706515</v>
      </c>
      <c r="U50">
        <f t="shared" si="4"/>
        <v>66.47150365041395</v>
      </c>
      <c r="W50">
        <f t="shared" si="5"/>
        <v>0</v>
      </c>
      <c r="X50">
        <f t="shared" si="5"/>
        <v>0</v>
      </c>
    </row>
    <row r="51" spans="1:24" x14ac:dyDescent="0.35">
      <c r="A51">
        <v>318.09899999999999</v>
      </c>
      <c r="B51">
        <v>6.1004900000000001E-3</v>
      </c>
      <c r="C51">
        <v>7.4517599999999995E-4</v>
      </c>
      <c r="D51">
        <f t="shared" si="2"/>
        <v>66.526390862407212</v>
      </c>
      <c r="E51">
        <f t="shared" si="3"/>
        <v>66.265550941282129</v>
      </c>
      <c r="Q51">
        <f t="shared" si="6"/>
        <v>6.1004900000000001E-3</v>
      </c>
      <c r="R51">
        <f t="shared" si="7"/>
        <v>7.4517599999999995E-4</v>
      </c>
      <c r="T51">
        <f t="shared" si="4"/>
        <v>66.526390862407212</v>
      </c>
      <c r="U51">
        <f t="shared" si="4"/>
        <v>66.265550941282129</v>
      </c>
      <c r="W51">
        <f t="shared" si="5"/>
        <v>0</v>
      </c>
      <c r="X51">
        <f t="shared" si="5"/>
        <v>0</v>
      </c>
    </row>
    <row r="52" spans="1:24" x14ac:dyDescent="0.35">
      <c r="A52">
        <v>324.33999999999997</v>
      </c>
      <c r="B52">
        <v>6.1349300000000002E-3</v>
      </c>
      <c r="C52">
        <v>7.4368999999999998E-4</v>
      </c>
      <c r="D52">
        <f t="shared" si="2"/>
        <v>66.901962152795576</v>
      </c>
      <c r="E52">
        <f t="shared" si="3"/>
        <v>66.133406845526565</v>
      </c>
      <c r="Q52">
        <f t="shared" si="6"/>
        <v>6.1349300000000002E-3</v>
      </c>
      <c r="R52">
        <f t="shared" si="7"/>
        <v>7.4368999999999998E-4</v>
      </c>
      <c r="T52">
        <f t="shared" si="4"/>
        <v>66.901962152795576</v>
      </c>
      <c r="U52">
        <f t="shared" si="4"/>
        <v>66.133406845526565</v>
      </c>
      <c r="W52">
        <f t="shared" si="5"/>
        <v>0</v>
      </c>
      <c r="X52">
        <f t="shared" si="5"/>
        <v>0</v>
      </c>
    </row>
    <row r="53" spans="1:24" x14ac:dyDescent="0.35">
      <c r="A53">
        <v>330.45299999999997</v>
      </c>
      <c r="B53">
        <v>6.1703000000000001E-3</v>
      </c>
      <c r="C53">
        <v>7.4127899999999996E-4</v>
      </c>
      <c r="D53">
        <f t="shared" si="2"/>
        <v>67.287675176635204</v>
      </c>
      <c r="E53">
        <f t="shared" si="3"/>
        <v>65.919006162574576</v>
      </c>
      <c r="Q53">
        <f t="shared" si="6"/>
        <v>6.1703000000000001E-3</v>
      </c>
      <c r="R53">
        <f t="shared" si="7"/>
        <v>7.4127899999999996E-4</v>
      </c>
      <c r="T53">
        <f t="shared" si="4"/>
        <v>67.287675176635204</v>
      </c>
      <c r="U53">
        <f t="shared" si="4"/>
        <v>65.919006162574576</v>
      </c>
      <c r="W53">
        <f t="shared" si="5"/>
        <v>0</v>
      </c>
      <c r="X53">
        <f t="shared" si="5"/>
        <v>0</v>
      </c>
    </row>
    <row r="54" spans="1:24" x14ac:dyDescent="0.35">
      <c r="A54">
        <v>336.67899999999997</v>
      </c>
      <c r="B54">
        <v>6.1981800000000002E-3</v>
      </c>
      <c r="C54">
        <v>7.3870900000000005E-4</v>
      </c>
      <c r="D54">
        <f t="shared" si="2"/>
        <v>67.591709078378159</v>
      </c>
      <c r="E54">
        <f t="shared" si="3"/>
        <v>65.690466239228826</v>
      </c>
      <c r="Q54">
        <f t="shared" si="6"/>
        <v>6.1981800000000002E-3</v>
      </c>
      <c r="R54">
        <f t="shared" si="7"/>
        <v>7.3870900000000005E-4</v>
      </c>
      <c r="T54">
        <f t="shared" si="4"/>
        <v>67.591709078378159</v>
      </c>
      <c r="U54">
        <f t="shared" si="4"/>
        <v>65.690466239228826</v>
      </c>
      <c r="W54">
        <f t="shared" si="5"/>
        <v>0</v>
      </c>
      <c r="X54">
        <f t="shared" si="5"/>
        <v>0</v>
      </c>
    </row>
    <row r="55" spans="1:24" x14ac:dyDescent="0.35">
      <c r="A55">
        <v>342.94200000000001</v>
      </c>
      <c r="B55">
        <v>6.2370699999999999E-3</v>
      </c>
      <c r="C55">
        <v>7.3679599999999996E-4</v>
      </c>
      <c r="D55">
        <f t="shared" si="2"/>
        <v>68.015808018076285</v>
      </c>
      <c r="E55">
        <f t="shared" si="3"/>
        <v>65.520350724302588</v>
      </c>
      <c r="Q55">
        <f t="shared" si="6"/>
        <v>6.2370699999999999E-3</v>
      </c>
      <c r="R55">
        <f t="shared" si="7"/>
        <v>7.3679599999999996E-4</v>
      </c>
      <c r="T55">
        <f t="shared" si="4"/>
        <v>68.015808018076285</v>
      </c>
      <c r="U55">
        <f t="shared" si="4"/>
        <v>65.520350724302588</v>
      </c>
      <c r="W55">
        <f t="shared" si="5"/>
        <v>0</v>
      </c>
      <c r="X55">
        <f t="shared" si="5"/>
        <v>0</v>
      </c>
    </row>
    <row r="56" spans="1:24" x14ac:dyDescent="0.35">
      <c r="A56">
        <v>349.24099999999999</v>
      </c>
      <c r="B56">
        <v>6.2669700000000002E-3</v>
      </c>
      <c r="C56">
        <v>7.3893899999999998E-4</v>
      </c>
      <c r="D56">
        <f t="shared" si="2"/>
        <v>68.341870201078962</v>
      </c>
      <c r="E56">
        <f t="shared" si="3"/>
        <v>65.710919228477678</v>
      </c>
      <c r="Q56">
        <f t="shared" si="6"/>
        <v>6.2669700000000002E-3</v>
      </c>
      <c r="R56">
        <f t="shared" si="7"/>
        <v>7.3893899999999998E-4</v>
      </c>
      <c r="T56">
        <f t="shared" si="4"/>
        <v>68.341870201078962</v>
      </c>
      <c r="U56">
        <f t="shared" si="4"/>
        <v>65.710919228477678</v>
      </c>
      <c r="W56">
        <f t="shared" si="5"/>
        <v>0</v>
      </c>
      <c r="X56">
        <f t="shared" si="5"/>
        <v>0</v>
      </c>
    </row>
    <row r="57" spans="1:24" x14ac:dyDescent="0.35">
      <c r="A57">
        <v>355.43299999999999</v>
      </c>
      <c r="B57">
        <v>6.2955499999999996E-3</v>
      </c>
      <c r="C57">
        <v>7.3832300000000004E-4</v>
      </c>
      <c r="D57">
        <f t="shared" si="2"/>
        <v>68.653537665634673</v>
      </c>
      <c r="E57">
        <f t="shared" si="3"/>
        <v>65.65614078770686</v>
      </c>
      <c r="Q57">
        <f t="shared" si="6"/>
        <v>6.2955499999999996E-3</v>
      </c>
      <c r="R57">
        <f t="shared" si="7"/>
        <v>7.3832300000000004E-4</v>
      </c>
      <c r="T57">
        <f t="shared" si="4"/>
        <v>68.653537665634673</v>
      </c>
      <c r="U57">
        <f t="shared" si="4"/>
        <v>65.65614078770686</v>
      </c>
      <c r="W57">
        <f t="shared" si="5"/>
        <v>0</v>
      </c>
      <c r="X57">
        <f t="shared" si="5"/>
        <v>0</v>
      </c>
    </row>
    <row r="58" spans="1:24" x14ac:dyDescent="0.35">
      <c r="A58">
        <v>361.57799999999997</v>
      </c>
      <c r="B58">
        <v>6.3331500000000001E-3</v>
      </c>
      <c r="C58">
        <v>7.3824700000000004E-4</v>
      </c>
      <c r="D58">
        <f t="shared" si="2"/>
        <v>69.063569039577857</v>
      </c>
      <c r="E58">
        <f t="shared" si="3"/>
        <v>65.649382408650723</v>
      </c>
      <c r="Q58">
        <f t="shared" si="6"/>
        <v>6.3331500000000001E-3</v>
      </c>
      <c r="R58">
        <f t="shared" si="7"/>
        <v>7.3824700000000004E-4</v>
      </c>
      <c r="T58">
        <f t="shared" si="4"/>
        <v>69.063569039577857</v>
      </c>
      <c r="U58">
        <f t="shared" si="4"/>
        <v>65.649382408650723</v>
      </c>
      <c r="W58">
        <f t="shared" si="5"/>
        <v>0</v>
      </c>
      <c r="X58">
        <f t="shared" si="5"/>
        <v>0</v>
      </c>
    </row>
    <row r="59" spans="1:24" x14ac:dyDescent="0.35">
      <c r="A59">
        <v>367.786</v>
      </c>
      <c r="B59">
        <v>6.3624600000000003E-3</v>
      </c>
      <c r="C59">
        <v>7.4008699999999995E-4</v>
      </c>
      <c r="D59">
        <f t="shared" si="2"/>
        <v>69.383197219638333</v>
      </c>
      <c r="E59">
        <f t="shared" si="3"/>
        <v>65.813006322641442</v>
      </c>
      <c r="Q59">
        <f t="shared" si="6"/>
        <v>6.3624600000000003E-3</v>
      </c>
      <c r="R59">
        <f t="shared" si="7"/>
        <v>7.4008699999999995E-4</v>
      </c>
      <c r="T59">
        <f t="shared" si="4"/>
        <v>69.383197219638333</v>
      </c>
      <c r="U59">
        <f t="shared" si="4"/>
        <v>65.813006322641442</v>
      </c>
      <c r="W59">
        <f t="shared" si="5"/>
        <v>0</v>
      </c>
      <c r="X59">
        <f t="shared" si="5"/>
        <v>0</v>
      </c>
    </row>
    <row r="60" spans="1:24" x14ac:dyDescent="0.35">
      <c r="A60">
        <v>374.03899999999999</v>
      </c>
      <c r="B60">
        <v>6.3825399999999999E-3</v>
      </c>
      <c r="C60">
        <v>7.4069800000000003E-4</v>
      </c>
      <c r="D60">
        <f t="shared" si="2"/>
        <v>69.602171421467546</v>
      </c>
      <c r="E60">
        <f t="shared" si="3"/>
        <v>65.867340133211201</v>
      </c>
      <c r="Q60">
        <f t="shared" si="6"/>
        <v>6.3825399999999999E-3</v>
      </c>
      <c r="R60">
        <f t="shared" si="7"/>
        <v>7.4069800000000003E-4</v>
      </c>
      <c r="T60">
        <f t="shared" si="4"/>
        <v>69.602171421467546</v>
      </c>
      <c r="U60">
        <f t="shared" si="4"/>
        <v>65.867340133211201</v>
      </c>
      <c r="W60">
        <f t="shared" si="5"/>
        <v>0</v>
      </c>
      <c r="X60">
        <f t="shared" si="5"/>
        <v>0</v>
      </c>
    </row>
    <row r="61" spans="1:24" x14ac:dyDescent="0.35">
      <c r="A61">
        <v>380.137</v>
      </c>
      <c r="B61">
        <v>6.4209000000000002E-3</v>
      </c>
      <c r="C61">
        <v>7.3996499999999998E-4</v>
      </c>
      <c r="D61">
        <f t="shared" si="2"/>
        <v>70.020490663607433</v>
      </c>
      <c r="E61">
        <f t="shared" si="3"/>
        <v>65.802157345735552</v>
      </c>
      <c r="Q61">
        <f t="shared" si="6"/>
        <v>6.4209000000000002E-3</v>
      </c>
      <c r="R61">
        <f t="shared" si="7"/>
        <v>7.3996499999999998E-4</v>
      </c>
      <c r="T61">
        <f t="shared" si="4"/>
        <v>70.020490663607433</v>
      </c>
      <c r="U61">
        <f t="shared" si="4"/>
        <v>65.802157345735552</v>
      </c>
      <c r="W61">
        <f t="shared" si="5"/>
        <v>0</v>
      </c>
      <c r="X61">
        <f t="shared" si="5"/>
        <v>0</v>
      </c>
    </row>
    <row r="62" spans="1:24" x14ac:dyDescent="0.35">
      <c r="A62">
        <v>386.49799999999999</v>
      </c>
      <c r="B62">
        <v>6.4533699999999999E-3</v>
      </c>
      <c r="C62">
        <v>7.4271899999999997E-4</v>
      </c>
      <c r="D62">
        <f t="shared" si="2"/>
        <v>70.374578927222714</v>
      </c>
      <c r="E62">
        <f t="shared" si="3"/>
        <v>66.047059660480372</v>
      </c>
      <c r="Q62">
        <f t="shared" si="6"/>
        <v>6.4533699999999999E-3</v>
      </c>
      <c r="R62">
        <f t="shared" si="7"/>
        <v>7.4271899999999997E-4</v>
      </c>
      <c r="T62">
        <f t="shared" si="4"/>
        <v>70.374578927222714</v>
      </c>
      <c r="U62">
        <f t="shared" si="4"/>
        <v>66.047059660480372</v>
      </c>
      <c r="W62">
        <f t="shared" si="5"/>
        <v>0</v>
      </c>
      <c r="X62">
        <f t="shared" si="5"/>
        <v>0</v>
      </c>
    </row>
    <row r="63" spans="1:24" x14ac:dyDescent="0.35">
      <c r="A63">
        <v>392.601</v>
      </c>
      <c r="B63">
        <v>6.4394300000000003E-3</v>
      </c>
      <c r="C63">
        <v>7.58627E-4</v>
      </c>
      <c r="D63">
        <f t="shared" si="2"/>
        <v>70.22256197635123</v>
      </c>
      <c r="E63">
        <f t="shared" si="3"/>
        <v>67.461695108178517</v>
      </c>
      <c r="Q63">
        <f t="shared" si="6"/>
        <v>6.4394300000000003E-3</v>
      </c>
      <c r="R63">
        <f t="shared" si="7"/>
        <v>7.58627E-4</v>
      </c>
      <c r="T63">
        <f t="shared" si="4"/>
        <v>70.22256197635123</v>
      </c>
      <c r="U63">
        <f t="shared" si="4"/>
        <v>67.461695108178517</v>
      </c>
      <c r="W63">
        <f t="shared" si="5"/>
        <v>0</v>
      </c>
      <c r="X63">
        <f t="shared" si="5"/>
        <v>0</v>
      </c>
    </row>
    <row r="64" spans="1:24" x14ac:dyDescent="0.35">
      <c r="A64">
        <v>398.83199999999999</v>
      </c>
      <c r="B64">
        <v>6.4807199999999997E-3</v>
      </c>
      <c r="C64">
        <v>7.4956000000000003E-4</v>
      </c>
      <c r="D64">
        <f t="shared" si="2"/>
        <v>70.672833131407415</v>
      </c>
      <c r="E64">
        <f t="shared" si="3"/>
        <v>66.655402701573095</v>
      </c>
      <c r="Q64">
        <f t="shared" si="6"/>
        <v>6.4807199999999997E-3</v>
      </c>
      <c r="R64">
        <f t="shared" si="7"/>
        <v>7.4956000000000003E-4</v>
      </c>
      <c r="T64">
        <f t="shared" si="4"/>
        <v>70.672833131407415</v>
      </c>
      <c r="U64">
        <f t="shared" si="4"/>
        <v>66.655402701573095</v>
      </c>
      <c r="W64">
        <f t="shared" si="5"/>
        <v>0</v>
      </c>
      <c r="X64">
        <f t="shared" si="5"/>
        <v>0</v>
      </c>
    </row>
    <row r="65" spans="1:24" x14ac:dyDescent="0.35">
      <c r="A65">
        <v>405.02199999999999</v>
      </c>
      <c r="B65">
        <v>6.5135699999999998E-3</v>
      </c>
      <c r="C65">
        <v>7.5195500000000001E-4</v>
      </c>
      <c r="D65">
        <f t="shared" si="2"/>
        <v>71.031065329121063</v>
      </c>
      <c r="E65">
        <f t="shared" si="3"/>
        <v>66.868380567881687</v>
      </c>
      <c r="Q65">
        <f t="shared" si="6"/>
        <v>6.5135699999999998E-3</v>
      </c>
      <c r="R65">
        <f t="shared" si="7"/>
        <v>7.5195500000000001E-4</v>
      </c>
      <c r="T65">
        <f t="shared" si="4"/>
        <v>71.031065329121063</v>
      </c>
      <c r="U65">
        <f t="shared" si="4"/>
        <v>66.868380567881687</v>
      </c>
      <c r="W65">
        <f t="shared" si="5"/>
        <v>0</v>
      </c>
      <c r="X65">
        <f t="shared" si="5"/>
        <v>0</v>
      </c>
    </row>
    <row r="66" spans="1:24" x14ac:dyDescent="0.35">
      <c r="A66">
        <v>411.33699999999999</v>
      </c>
      <c r="B66">
        <v>6.5477299999999999E-3</v>
      </c>
      <c r="C66">
        <v>7.5206700000000003E-4</v>
      </c>
      <c r="D66">
        <f t="shared" si="2"/>
        <v>71.403583194384325</v>
      </c>
      <c r="E66">
        <f t="shared" si="3"/>
        <v>66.878340284385473</v>
      </c>
      <c r="Q66">
        <f t="shared" si="6"/>
        <v>6.5477299999999999E-3</v>
      </c>
      <c r="R66">
        <f t="shared" si="7"/>
        <v>7.5206700000000003E-4</v>
      </c>
      <c r="T66">
        <f t="shared" si="4"/>
        <v>71.403583194384325</v>
      </c>
      <c r="U66">
        <f t="shared" si="4"/>
        <v>66.878340284385473</v>
      </c>
      <c r="W66">
        <f t="shared" si="5"/>
        <v>0</v>
      </c>
      <c r="X66">
        <f t="shared" si="5"/>
        <v>0</v>
      </c>
    </row>
    <row r="67" spans="1:24" x14ac:dyDescent="0.35">
      <c r="A67">
        <v>417.42200000000003</v>
      </c>
      <c r="B67">
        <v>6.58436E-3</v>
      </c>
      <c r="C67">
        <v>7.52223E-4</v>
      </c>
      <c r="D67">
        <f t="shared" si="2"/>
        <v>71.803036631286929</v>
      </c>
      <c r="E67">
        <f t="shared" si="3"/>
        <v>66.892212746658601</v>
      </c>
      <c r="Q67">
        <f t="shared" ref="Q67:Q98" si="8">AVERAGE(B67,G67,L67)</f>
        <v>6.58436E-3</v>
      </c>
      <c r="R67">
        <f t="shared" ref="R67:R98" si="9">AVERAGE(C67,H67,M67)</f>
        <v>7.52223E-4</v>
      </c>
      <c r="T67">
        <f t="shared" si="4"/>
        <v>71.803036631286929</v>
      </c>
      <c r="U67">
        <f t="shared" si="4"/>
        <v>66.892212746658601</v>
      </c>
      <c r="W67">
        <f t="shared" si="5"/>
        <v>0</v>
      </c>
      <c r="X67">
        <f t="shared" si="5"/>
        <v>0</v>
      </c>
    </row>
    <row r="68" spans="1:24" x14ac:dyDescent="0.35">
      <c r="A68">
        <v>423.74099999999999</v>
      </c>
      <c r="B68">
        <v>6.6203499999999997E-3</v>
      </c>
      <c r="C68">
        <v>7.5296300000000005E-4</v>
      </c>
      <c r="D68">
        <f t="shared" ref="D68:D109" si="10">B68/$B$3*100</f>
        <v>72.195510810760709</v>
      </c>
      <c r="E68">
        <f t="shared" ref="E68:E109" si="11">C68/$C$3*100</f>
        <v>66.95801801641575</v>
      </c>
      <c r="Q68">
        <f t="shared" si="8"/>
        <v>6.6203499999999997E-3</v>
      </c>
      <c r="R68">
        <f t="shared" si="9"/>
        <v>7.5296300000000005E-4</v>
      </c>
      <c r="T68">
        <f t="shared" ref="T68:U109" si="12">AVERAGE(D68,I68,N68)</f>
        <v>72.195510810760709</v>
      </c>
      <c r="U68">
        <f t="shared" si="12"/>
        <v>66.95801801641575</v>
      </c>
      <c r="W68">
        <f t="shared" ref="W68:X109" si="13">_xlfn.STDEV.P(D68,I68,N68)</f>
        <v>0</v>
      </c>
      <c r="X68">
        <f t="shared" si="13"/>
        <v>0</v>
      </c>
    </row>
    <row r="69" spans="1:24" x14ac:dyDescent="0.35">
      <c r="A69">
        <v>429.80099999999999</v>
      </c>
      <c r="B69">
        <v>6.6485600000000004E-3</v>
      </c>
      <c r="C69">
        <v>7.56093E-4</v>
      </c>
      <c r="D69">
        <f t="shared" si="10"/>
        <v>72.503143392115405</v>
      </c>
      <c r="E69">
        <f t="shared" si="11"/>
        <v>67.236356522280417</v>
      </c>
      <c r="Q69">
        <f t="shared" si="8"/>
        <v>6.6485600000000004E-3</v>
      </c>
      <c r="R69">
        <f t="shared" si="9"/>
        <v>7.56093E-4</v>
      </c>
      <c r="T69">
        <f t="shared" si="12"/>
        <v>72.503143392115405</v>
      </c>
      <c r="U69">
        <f t="shared" si="12"/>
        <v>67.236356522280417</v>
      </c>
      <c r="W69">
        <f t="shared" si="13"/>
        <v>0</v>
      </c>
      <c r="X69">
        <f t="shared" si="13"/>
        <v>0</v>
      </c>
    </row>
    <row r="70" spans="1:24" x14ac:dyDescent="0.35">
      <c r="A70">
        <v>436.18</v>
      </c>
      <c r="B70">
        <v>6.6865300000000004E-3</v>
      </c>
      <c r="C70">
        <v>7.56775E-4</v>
      </c>
      <c r="D70">
        <f t="shared" si="10"/>
        <v>72.917209649259604</v>
      </c>
      <c r="E70">
        <f t="shared" si="11"/>
        <v>67.297004081705239</v>
      </c>
      <c r="Q70">
        <f t="shared" si="8"/>
        <v>6.6865300000000004E-3</v>
      </c>
      <c r="R70">
        <f t="shared" si="9"/>
        <v>7.56775E-4</v>
      </c>
      <c r="T70">
        <f t="shared" si="12"/>
        <v>72.917209649259604</v>
      </c>
      <c r="U70">
        <f t="shared" si="12"/>
        <v>67.297004081705239</v>
      </c>
      <c r="W70">
        <f t="shared" si="13"/>
        <v>0</v>
      </c>
      <c r="X70">
        <f t="shared" si="13"/>
        <v>0</v>
      </c>
    </row>
    <row r="71" spans="1:24" x14ac:dyDescent="0.35">
      <c r="A71">
        <v>449.34699999999998</v>
      </c>
      <c r="B71">
        <v>6.7717900000000003E-6</v>
      </c>
      <c r="C71">
        <v>1.07705E-4</v>
      </c>
      <c r="D71">
        <f t="shared" si="10"/>
        <v>7.3846977599855188E-2</v>
      </c>
      <c r="E71">
        <f t="shared" si="11"/>
        <v>9.5777791610717351</v>
      </c>
      <c r="Q71">
        <f t="shared" si="8"/>
        <v>6.7717900000000003E-6</v>
      </c>
      <c r="R71">
        <f t="shared" si="9"/>
        <v>1.07705E-4</v>
      </c>
      <c r="T71">
        <f t="shared" si="12"/>
        <v>7.3846977599855188E-2</v>
      </c>
      <c r="U71">
        <f t="shared" si="12"/>
        <v>9.5777791610717351</v>
      </c>
      <c r="W71">
        <f t="shared" si="13"/>
        <v>0</v>
      </c>
      <c r="X71">
        <f t="shared" si="13"/>
        <v>0</v>
      </c>
    </row>
    <row r="72" spans="1:24" x14ac:dyDescent="0.35">
      <c r="A72">
        <v>455.601</v>
      </c>
      <c r="B72">
        <v>6.5958700000000003E-6</v>
      </c>
      <c r="C72">
        <v>1.08118E-4</v>
      </c>
      <c r="D72">
        <f t="shared" si="10"/>
        <v>7.1928554214108362E-2</v>
      </c>
      <c r="E72">
        <f t="shared" si="11"/>
        <v>9.6145056156794393</v>
      </c>
      <c r="Q72">
        <f t="shared" si="8"/>
        <v>6.5958700000000003E-6</v>
      </c>
      <c r="R72">
        <f t="shared" si="9"/>
        <v>1.08118E-4</v>
      </c>
      <c r="T72">
        <f t="shared" si="12"/>
        <v>7.1928554214108362E-2</v>
      </c>
      <c r="U72">
        <f t="shared" si="12"/>
        <v>9.6145056156794393</v>
      </c>
      <c r="W72">
        <f t="shared" si="13"/>
        <v>0</v>
      </c>
      <c r="X72">
        <f t="shared" si="13"/>
        <v>0</v>
      </c>
    </row>
    <row r="73" spans="1:24" x14ac:dyDescent="0.35">
      <c r="A73">
        <v>461.72699999999998</v>
      </c>
      <c r="B73">
        <v>6.6440500000000004E-6</v>
      </c>
      <c r="C73">
        <v>1.07409E-4</v>
      </c>
      <c r="D73">
        <f t="shared" si="10"/>
        <v>7.2453961437421707E-2</v>
      </c>
      <c r="E73">
        <f t="shared" si="11"/>
        <v>9.5514570531688783</v>
      </c>
      <c r="Q73">
        <f t="shared" si="8"/>
        <v>6.6440500000000004E-6</v>
      </c>
      <c r="R73">
        <f t="shared" si="9"/>
        <v>1.07409E-4</v>
      </c>
      <c r="T73">
        <f t="shared" si="12"/>
        <v>7.2453961437421707E-2</v>
      </c>
      <c r="U73">
        <f t="shared" si="12"/>
        <v>9.5514570531688783</v>
      </c>
      <c r="W73">
        <f t="shared" si="13"/>
        <v>0</v>
      </c>
      <c r="X73">
        <f t="shared" si="13"/>
        <v>0</v>
      </c>
    </row>
    <row r="74" spans="1:24" x14ac:dyDescent="0.35">
      <c r="A74">
        <v>467.90100000000001</v>
      </c>
      <c r="B74">
        <v>6.4255800000000002E-6</v>
      </c>
      <c r="C74">
        <v>1.06337E-4</v>
      </c>
      <c r="D74">
        <f t="shared" si="10"/>
        <v>7.0071526483555677E-2</v>
      </c>
      <c r="E74">
        <f t="shared" si="11"/>
        <v>9.4561283380612338</v>
      </c>
      <c r="Q74">
        <f t="shared" si="8"/>
        <v>6.4255800000000002E-6</v>
      </c>
      <c r="R74">
        <f t="shared" si="9"/>
        <v>1.06337E-4</v>
      </c>
      <c r="T74">
        <f t="shared" si="12"/>
        <v>7.0071526483555677E-2</v>
      </c>
      <c r="U74">
        <f t="shared" si="12"/>
        <v>9.4561283380612338</v>
      </c>
      <c r="W74">
        <f t="shared" si="13"/>
        <v>0</v>
      </c>
      <c r="X74">
        <f t="shared" si="13"/>
        <v>0</v>
      </c>
    </row>
    <row r="75" spans="1:24" x14ac:dyDescent="0.35">
      <c r="A75">
        <v>474.11200000000002</v>
      </c>
      <c r="B75">
        <v>6.5550799999999996E-6</v>
      </c>
      <c r="C75">
        <v>1.0592899999999999E-4</v>
      </c>
      <c r="D75">
        <f t="shared" si="10"/>
        <v>7.1483735603918422E-2</v>
      </c>
      <c r="E75">
        <f t="shared" si="11"/>
        <v>9.4198465136545924</v>
      </c>
      <c r="Q75">
        <f t="shared" si="8"/>
        <v>6.5550799999999996E-6</v>
      </c>
      <c r="R75">
        <f t="shared" si="9"/>
        <v>1.0592899999999999E-4</v>
      </c>
      <c r="T75">
        <f t="shared" si="12"/>
        <v>7.1483735603918422E-2</v>
      </c>
      <c r="U75">
        <f t="shared" si="12"/>
        <v>9.4198465136545924</v>
      </c>
      <c r="W75">
        <f t="shared" si="13"/>
        <v>0</v>
      </c>
      <c r="X75">
        <f t="shared" si="13"/>
        <v>0</v>
      </c>
    </row>
    <row r="76" spans="1:24" x14ac:dyDescent="0.35">
      <c r="A76">
        <v>480.45699999999999</v>
      </c>
      <c r="B76">
        <v>6.61444E-6</v>
      </c>
      <c r="C76">
        <v>1.0547700000000001E-4</v>
      </c>
      <c r="D76">
        <f t="shared" si="10"/>
        <v>7.2131061730441454E-2</v>
      </c>
      <c r="E76">
        <f t="shared" si="11"/>
        <v>9.3796519434786099</v>
      </c>
      <c r="Q76">
        <f t="shared" si="8"/>
        <v>6.61444E-6</v>
      </c>
      <c r="R76">
        <f t="shared" si="9"/>
        <v>1.0547700000000001E-4</v>
      </c>
      <c r="T76">
        <f t="shared" si="12"/>
        <v>7.2131061730441454E-2</v>
      </c>
      <c r="U76">
        <f t="shared" si="12"/>
        <v>9.3796519434786099</v>
      </c>
      <c r="W76">
        <f t="shared" si="13"/>
        <v>0</v>
      </c>
      <c r="X76">
        <f t="shared" si="13"/>
        <v>0</v>
      </c>
    </row>
    <row r="77" spans="1:24" x14ac:dyDescent="0.35">
      <c r="A77">
        <v>486.59</v>
      </c>
      <c r="B77">
        <v>6.6032900000000001E-6</v>
      </c>
      <c r="C77">
        <v>1.05028E-4</v>
      </c>
      <c r="D77">
        <f t="shared" si="10"/>
        <v>7.2009469979923732E-2</v>
      </c>
      <c r="E77">
        <f t="shared" si="11"/>
        <v>9.3397241514232601</v>
      </c>
      <c r="Q77">
        <f t="shared" si="8"/>
        <v>6.6032900000000001E-6</v>
      </c>
      <c r="R77">
        <f t="shared" si="9"/>
        <v>1.05028E-4</v>
      </c>
      <c r="T77">
        <f t="shared" si="12"/>
        <v>7.2009469979923732E-2</v>
      </c>
      <c r="U77">
        <f t="shared" si="12"/>
        <v>9.3397241514232601</v>
      </c>
      <c r="W77">
        <f t="shared" si="13"/>
        <v>0</v>
      </c>
      <c r="X77">
        <f t="shared" si="13"/>
        <v>0</v>
      </c>
    </row>
    <row r="78" spans="1:24" x14ac:dyDescent="0.35">
      <c r="A78">
        <v>492.80599999999998</v>
      </c>
      <c r="B78">
        <v>6.6609500000000002E-6</v>
      </c>
      <c r="C78">
        <v>1.04802E-4</v>
      </c>
      <c r="D78">
        <f t="shared" si="10"/>
        <v>7.263825745390147E-2</v>
      </c>
      <c r="E78">
        <f t="shared" si="11"/>
        <v>9.3196268663352697</v>
      </c>
      <c r="Q78">
        <f t="shared" si="8"/>
        <v>6.6609500000000002E-6</v>
      </c>
      <c r="R78">
        <f t="shared" si="9"/>
        <v>1.04802E-4</v>
      </c>
      <c r="T78">
        <f t="shared" si="12"/>
        <v>7.263825745390147E-2</v>
      </c>
      <c r="U78">
        <f t="shared" si="12"/>
        <v>9.3196268663352697</v>
      </c>
      <c r="W78">
        <f t="shared" si="13"/>
        <v>0</v>
      </c>
      <c r="X78">
        <f t="shared" si="13"/>
        <v>0</v>
      </c>
    </row>
    <row r="79" spans="1:24" x14ac:dyDescent="0.35">
      <c r="A79">
        <v>499.017</v>
      </c>
      <c r="B79">
        <v>6.7984E-6</v>
      </c>
      <c r="C79">
        <v>1.04417E-4</v>
      </c>
      <c r="D79">
        <f t="shared" si="10"/>
        <v>7.413716203763783E-2</v>
      </c>
      <c r="E79">
        <f t="shared" si="11"/>
        <v>9.2853903408535103</v>
      </c>
      <c r="Q79">
        <f t="shared" si="8"/>
        <v>6.7984E-6</v>
      </c>
      <c r="R79">
        <f t="shared" si="9"/>
        <v>1.04417E-4</v>
      </c>
      <c r="T79">
        <f t="shared" si="12"/>
        <v>7.413716203763783E-2</v>
      </c>
      <c r="U79">
        <f t="shared" si="12"/>
        <v>9.2853903408535103</v>
      </c>
      <c r="W79">
        <f t="shared" si="13"/>
        <v>0</v>
      </c>
      <c r="X79">
        <f t="shared" si="13"/>
        <v>0</v>
      </c>
    </row>
    <row r="80" spans="1:24" x14ac:dyDescent="0.35">
      <c r="A80">
        <v>505.20699999999999</v>
      </c>
      <c r="B80">
        <v>6.7344100000000001E-6</v>
      </c>
      <c r="C80">
        <v>1.03984E-4</v>
      </c>
      <c r="D80">
        <f t="shared" si="10"/>
        <v>7.343934534565319E-2</v>
      </c>
      <c r="E80">
        <f t="shared" si="11"/>
        <v>9.2468853654415604</v>
      </c>
      <c r="Q80">
        <f t="shared" si="8"/>
        <v>6.7344100000000001E-6</v>
      </c>
      <c r="R80">
        <f t="shared" si="9"/>
        <v>1.03984E-4</v>
      </c>
      <c r="T80">
        <f t="shared" si="12"/>
        <v>7.343934534565319E-2</v>
      </c>
      <c r="U80">
        <f t="shared" si="12"/>
        <v>9.2468853654415604</v>
      </c>
      <c r="W80">
        <f t="shared" si="13"/>
        <v>0</v>
      </c>
      <c r="X80">
        <f t="shared" si="13"/>
        <v>0</v>
      </c>
    </row>
    <row r="81" spans="1:24" x14ac:dyDescent="0.35">
      <c r="A81">
        <v>518.327</v>
      </c>
      <c r="B81">
        <v>5.2126200000000003E-3</v>
      </c>
      <c r="C81">
        <v>8.1124799999999998E-4</v>
      </c>
      <c r="D81">
        <f t="shared" si="10"/>
        <v>56.844088841585041</v>
      </c>
      <c r="E81">
        <f t="shared" si="11"/>
        <v>72.141072270192879</v>
      </c>
      <c r="Q81">
        <f t="shared" si="8"/>
        <v>5.2126200000000003E-3</v>
      </c>
      <c r="R81">
        <f t="shared" si="9"/>
        <v>8.1124799999999998E-4</v>
      </c>
      <c r="T81">
        <f t="shared" si="12"/>
        <v>56.844088841585041</v>
      </c>
      <c r="U81">
        <f t="shared" si="12"/>
        <v>72.141072270192879</v>
      </c>
      <c r="W81">
        <f t="shared" si="13"/>
        <v>0</v>
      </c>
      <c r="X81">
        <f t="shared" si="13"/>
        <v>0</v>
      </c>
    </row>
    <row r="82" spans="1:24" x14ac:dyDescent="0.35">
      <c r="A82">
        <v>524.44100000000003</v>
      </c>
      <c r="B82">
        <v>5.3314499999999997E-3</v>
      </c>
      <c r="C82">
        <v>7.7975099999999997E-4</v>
      </c>
      <c r="D82">
        <f t="shared" si="10"/>
        <v>58.139940654501679</v>
      </c>
      <c r="E82">
        <f t="shared" si="11"/>
        <v>69.340168781624314</v>
      </c>
      <c r="Q82">
        <f t="shared" si="8"/>
        <v>5.3314499999999997E-3</v>
      </c>
      <c r="R82">
        <f t="shared" si="9"/>
        <v>7.7975099999999997E-4</v>
      </c>
      <c r="T82">
        <f t="shared" si="12"/>
        <v>58.139940654501679</v>
      </c>
      <c r="U82">
        <f t="shared" si="12"/>
        <v>69.340168781624314</v>
      </c>
      <c r="W82">
        <f t="shared" si="13"/>
        <v>0</v>
      </c>
      <c r="X82">
        <f t="shared" si="13"/>
        <v>0</v>
      </c>
    </row>
    <row r="83" spans="1:24" x14ac:dyDescent="0.35">
      <c r="A83">
        <v>530.67700000000002</v>
      </c>
      <c r="B83">
        <v>5.4016699999999999E-3</v>
      </c>
      <c r="C83">
        <v>7.6178499999999996E-4</v>
      </c>
      <c r="D83">
        <f t="shared" si="10"/>
        <v>58.905696055519996</v>
      </c>
      <c r="E83">
        <f t="shared" si="11"/>
        <v>67.742523543169128</v>
      </c>
      <c r="Q83">
        <f t="shared" si="8"/>
        <v>5.4016699999999999E-3</v>
      </c>
      <c r="R83">
        <f t="shared" si="9"/>
        <v>7.6178499999999996E-4</v>
      </c>
      <c r="T83">
        <f t="shared" si="12"/>
        <v>58.905696055519996</v>
      </c>
      <c r="U83">
        <f t="shared" si="12"/>
        <v>67.742523543169128</v>
      </c>
      <c r="W83">
        <f t="shared" si="13"/>
        <v>0</v>
      </c>
      <c r="X83">
        <f t="shared" si="13"/>
        <v>0</v>
      </c>
    </row>
    <row r="84" spans="1:24" x14ac:dyDescent="0.35">
      <c r="A84">
        <v>536.91800000000001</v>
      </c>
      <c r="B84">
        <v>5.4695200000000003E-3</v>
      </c>
      <c r="C84">
        <v>7.5451399999999997E-4</v>
      </c>
      <c r="D84">
        <f t="shared" si="10"/>
        <v>59.645606393872221</v>
      </c>
      <c r="E84">
        <f t="shared" si="11"/>
        <v>67.095942304785112</v>
      </c>
      <c r="Q84">
        <f t="shared" si="8"/>
        <v>5.4695200000000003E-3</v>
      </c>
      <c r="R84">
        <f t="shared" si="9"/>
        <v>7.5451399999999997E-4</v>
      </c>
      <c r="T84">
        <f t="shared" si="12"/>
        <v>59.645606393872221</v>
      </c>
      <c r="U84">
        <f t="shared" si="12"/>
        <v>67.095942304785112</v>
      </c>
      <c r="W84">
        <f t="shared" si="13"/>
        <v>0</v>
      </c>
      <c r="X84">
        <f t="shared" si="13"/>
        <v>0</v>
      </c>
    </row>
    <row r="85" spans="1:24" x14ac:dyDescent="0.35">
      <c r="A85">
        <v>543.17700000000002</v>
      </c>
      <c r="B85">
        <v>5.51631E-3</v>
      </c>
      <c r="C85">
        <v>7.4477600000000005E-4</v>
      </c>
      <c r="D85">
        <f t="shared" si="10"/>
        <v>60.155855542457338</v>
      </c>
      <c r="E85">
        <f t="shared" si="11"/>
        <v>66.229980525197192</v>
      </c>
      <c r="Q85">
        <f t="shared" si="8"/>
        <v>5.51631E-3</v>
      </c>
      <c r="R85">
        <f t="shared" si="9"/>
        <v>7.4477600000000005E-4</v>
      </c>
      <c r="T85">
        <f t="shared" si="12"/>
        <v>60.155855542457338</v>
      </c>
      <c r="U85">
        <f t="shared" si="12"/>
        <v>66.229980525197192</v>
      </c>
      <c r="W85">
        <f t="shared" si="13"/>
        <v>0</v>
      </c>
      <c r="X85">
        <f t="shared" si="13"/>
        <v>0</v>
      </c>
    </row>
    <row r="86" spans="1:24" x14ac:dyDescent="0.35">
      <c r="A86">
        <v>549.27800000000002</v>
      </c>
      <c r="B86">
        <v>5.5579699999999998E-3</v>
      </c>
      <c r="C86">
        <v>7.3750599999999997E-4</v>
      </c>
      <c r="D86">
        <f t="shared" si="10"/>
        <v>60.610161580714575</v>
      </c>
      <c r="E86">
        <f t="shared" si="11"/>
        <v>65.583488212853354</v>
      </c>
      <c r="Q86">
        <f t="shared" si="8"/>
        <v>5.5579699999999998E-3</v>
      </c>
      <c r="R86">
        <f t="shared" si="9"/>
        <v>7.3750599999999997E-4</v>
      </c>
      <c r="T86">
        <f t="shared" si="12"/>
        <v>60.610161580714575</v>
      </c>
      <c r="U86">
        <f t="shared" si="12"/>
        <v>65.583488212853354</v>
      </c>
      <c r="W86">
        <f t="shared" si="13"/>
        <v>0</v>
      </c>
      <c r="X86">
        <f t="shared" si="13"/>
        <v>0</v>
      </c>
    </row>
    <row r="87" spans="1:24" x14ac:dyDescent="0.35">
      <c r="A87">
        <v>555.61199999999997</v>
      </c>
      <c r="B87">
        <v>5.6021700000000001E-3</v>
      </c>
      <c r="C87">
        <v>7.3061600000000001E-4</v>
      </c>
      <c r="D87">
        <f t="shared" si="10"/>
        <v>61.092166546892436</v>
      </c>
      <c r="E87">
        <f t="shared" si="11"/>
        <v>64.970787795790244</v>
      </c>
      <c r="Q87">
        <f t="shared" si="8"/>
        <v>5.6021700000000001E-3</v>
      </c>
      <c r="R87">
        <f t="shared" si="9"/>
        <v>7.3061600000000001E-4</v>
      </c>
      <c r="T87">
        <f t="shared" si="12"/>
        <v>61.092166546892436</v>
      </c>
      <c r="U87">
        <f t="shared" si="12"/>
        <v>64.970787795790244</v>
      </c>
      <c r="W87">
        <f t="shared" si="13"/>
        <v>0</v>
      </c>
      <c r="X87">
        <f t="shared" si="13"/>
        <v>0</v>
      </c>
    </row>
    <row r="88" spans="1:24" x14ac:dyDescent="0.35">
      <c r="A88">
        <v>561.73</v>
      </c>
      <c r="B88">
        <v>5.6414000000000004E-3</v>
      </c>
      <c r="C88">
        <v>7.2526899999999996E-4</v>
      </c>
      <c r="D88">
        <f t="shared" si="10"/>
        <v>61.519973217099619</v>
      </c>
      <c r="E88">
        <f t="shared" si="11"/>
        <v>64.495300258774762</v>
      </c>
      <c r="Q88">
        <f t="shared" si="8"/>
        <v>5.6414000000000004E-3</v>
      </c>
      <c r="R88">
        <f t="shared" si="9"/>
        <v>7.2526899999999996E-4</v>
      </c>
      <c r="T88">
        <f t="shared" si="12"/>
        <v>61.519973217099619</v>
      </c>
      <c r="U88">
        <f t="shared" si="12"/>
        <v>64.495300258774762</v>
      </c>
      <c r="W88">
        <f t="shared" si="13"/>
        <v>0</v>
      </c>
      <c r="X88">
        <f t="shared" si="13"/>
        <v>0</v>
      </c>
    </row>
    <row r="89" spans="1:24" x14ac:dyDescent="0.35">
      <c r="A89">
        <v>567.92600000000004</v>
      </c>
      <c r="B89">
        <v>5.6812900000000003E-3</v>
      </c>
      <c r="C89">
        <v>7.2050499999999997E-4</v>
      </c>
      <c r="D89">
        <f t="shared" si="10"/>
        <v>61.954977246530284</v>
      </c>
      <c r="E89">
        <f t="shared" si="11"/>
        <v>64.07165660320311</v>
      </c>
      <c r="Q89">
        <f t="shared" si="8"/>
        <v>5.6812900000000003E-3</v>
      </c>
      <c r="R89">
        <f t="shared" si="9"/>
        <v>7.2050499999999997E-4</v>
      </c>
      <c r="T89">
        <f t="shared" si="12"/>
        <v>61.954977246530284</v>
      </c>
      <c r="U89">
        <f t="shared" si="12"/>
        <v>64.07165660320311</v>
      </c>
      <c r="W89">
        <f t="shared" si="13"/>
        <v>0</v>
      </c>
      <c r="X89">
        <f t="shared" si="13"/>
        <v>0</v>
      </c>
    </row>
    <row r="90" spans="1:24" x14ac:dyDescent="0.35">
      <c r="A90">
        <v>574.19000000000005</v>
      </c>
      <c r="B90">
        <v>5.7171100000000001E-3</v>
      </c>
      <c r="C90">
        <v>7.0750800000000003E-4</v>
      </c>
      <c r="D90">
        <f t="shared" si="10"/>
        <v>62.345597560749532</v>
      </c>
      <c r="E90">
        <f t="shared" si="11"/>
        <v>62.915884858563132</v>
      </c>
      <c r="Q90">
        <f t="shared" si="8"/>
        <v>5.7171100000000001E-3</v>
      </c>
      <c r="R90">
        <f t="shared" si="9"/>
        <v>7.0750800000000003E-4</v>
      </c>
      <c r="T90">
        <f t="shared" si="12"/>
        <v>62.345597560749532</v>
      </c>
      <c r="U90">
        <f t="shared" si="12"/>
        <v>62.915884858563132</v>
      </c>
      <c r="W90">
        <f t="shared" si="13"/>
        <v>0</v>
      </c>
      <c r="X90">
        <f t="shared" si="13"/>
        <v>0</v>
      </c>
    </row>
    <row r="91" spans="1:24" x14ac:dyDescent="0.35">
      <c r="A91">
        <v>580.33500000000004</v>
      </c>
      <c r="B91">
        <v>5.7521999999999998E-3</v>
      </c>
      <c r="C91">
        <v>7.1864599999999998E-4</v>
      </c>
      <c r="D91">
        <f t="shared" si="10"/>
        <v>62.728257159464043</v>
      </c>
      <c r="E91">
        <f t="shared" si="11"/>
        <v>63.906343094448339</v>
      </c>
      <c r="Q91">
        <f t="shared" si="8"/>
        <v>5.7521999999999998E-3</v>
      </c>
      <c r="R91">
        <f t="shared" si="9"/>
        <v>7.1864599999999998E-4</v>
      </c>
      <c r="T91">
        <f t="shared" si="12"/>
        <v>62.728257159464043</v>
      </c>
      <c r="U91">
        <f t="shared" si="12"/>
        <v>63.906343094448339</v>
      </c>
      <c r="W91">
        <f t="shared" si="13"/>
        <v>0</v>
      </c>
      <c r="X91">
        <f t="shared" si="13"/>
        <v>0</v>
      </c>
    </row>
    <row r="92" spans="1:24" x14ac:dyDescent="0.35">
      <c r="A92">
        <v>586.61800000000005</v>
      </c>
      <c r="B92">
        <v>5.7817900000000002E-3</v>
      </c>
      <c r="C92">
        <v>7.1881799999999997E-4</v>
      </c>
      <c r="D92">
        <f t="shared" si="10"/>
        <v>63.050938764649636</v>
      </c>
      <c r="E92">
        <f t="shared" si="11"/>
        <v>63.921638373364864</v>
      </c>
      <c r="Q92">
        <f t="shared" si="8"/>
        <v>5.7817900000000002E-3</v>
      </c>
      <c r="R92">
        <f t="shared" si="9"/>
        <v>7.1881799999999997E-4</v>
      </c>
      <c r="T92">
        <f t="shared" si="12"/>
        <v>63.050938764649636</v>
      </c>
      <c r="U92">
        <f t="shared" si="12"/>
        <v>63.921638373364864</v>
      </c>
      <c r="W92">
        <f t="shared" si="13"/>
        <v>0</v>
      </c>
      <c r="X92">
        <f t="shared" si="13"/>
        <v>0</v>
      </c>
    </row>
    <row r="93" spans="1:24" x14ac:dyDescent="0.35">
      <c r="A93">
        <v>592.80999999999995</v>
      </c>
      <c r="B93">
        <v>5.8033399999999997E-3</v>
      </c>
      <c r="C93">
        <v>7.17346E-4</v>
      </c>
      <c r="D93">
        <f t="shared" si="10"/>
        <v>63.285943448385673</v>
      </c>
      <c r="E93">
        <f t="shared" si="11"/>
        <v>63.790739242172279</v>
      </c>
      <c r="Q93">
        <f t="shared" si="8"/>
        <v>5.8033399999999997E-3</v>
      </c>
      <c r="R93">
        <f t="shared" si="9"/>
        <v>7.17346E-4</v>
      </c>
      <c r="T93">
        <f t="shared" si="12"/>
        <v>63.285943448385673</v>
      </c>
      <c r="U93">
        <f t="shared" si="12"/>
        <v>63.790739242172279</v>
      </c>
      <c r="W93">
        <f t="shared" si="13"/>
        <v>0</v>
      </c>
      <c r="X93">
        <f t="shared" si="13"/>
        <v>0</v>
      </c>
    </row>
    <row r="94" spans="1:24" x14ac:dyDescent="0.35">
      <c r="A94">
        <v>598.93799999999999</v>
      </c>
      <c r="B94">
        <v>5.8389499999999999E-3</v>
      </c>
      <c r="C94">
        <v>7.1699399999999999E-4</v>
      </c>
      <c r="D94">
        <f t="shared" si="10"/>
        <v>63.674273693761094</v>
      </c>
      <c r="E94">
        <f t="shared" si="11"/>
        <v>63.759437276017529</v>
      </c>
      <c r="Q94">
        <f t="shared" si="8"/>
        <v>5.8389499999999999E-3</v>
      </c>
      <c r="R94">
        <f t="shared" si="9"/>
        <v>7.1699399999999999E-4</v>
      </c>
      <c r="T94">
        <f t="shared" si="12"/>
        <v>63.674273693761094</v>
      </c>
      <c r="U94">
        <f t="shared" si="12"/>
        <v>63.759437276017529</v>
      </c>
      <c r="W94">
        <f t="shared" si="13"/>
        <v>0</v>
      </c>
      <c r="X94">
        <f t="shared" si="13"/>
        <v>0</v>
      </c>
    </row>
    <row r="95" spans="1:24" x14ac:dyDescent="0.35">
      <c r="A95">
        <v>605.25900000000001</v>
      </c>
      <c r="B95">
        <v>5.8674399999999998E-3</v>
      </c>
      <c r="C95">
        <v>7.1624899999999997E-4</v>
      </c>
      <c r="D95">
        <f t="shared" si="10"/>
        <v>63.984959700240893</v>
      </c>
      <c r="E95">
        <f t="shared" si="11"/>
        <v>63.693187376059321</v>
      </c>
      <c r="Q95">
        <f t="shared" si="8"/>
        <v>5.8674399999999998E-3</v>
      </c>
      <c r="R95">
        <f t="shared" si="9"/>
        <v>7.1624899999999997E-4</v>
      </c>
      <c r="T95">
        <f t="shared" si="12"/>
        <v>63.984959700240893</v>
      </c>
      <c r="U95">
        <f t="shared" si="12"/>
        <v>63.693187376059321</v>
      </c>
      <c r="W95">
        <f t="shared" si="13"/>
        <v>0</v>
      </c>
      <c r="X95">
        <f t="shared" si="13"/>
        <v>0</v>
      </c>
    </row>
    <row r="96" spans="1:24" x14ac:dyDescent="0.35">
      <c r="A96">
        <v>611.42399999999998</v>
      </c>
      <c r="B96">
        <v>5.8973799999999998E-3</v>
      </c>
      <c r="C96">
        <v>7.1573999999999997E-4</v>
      </c>
      <c r="D96">
        <f t="shared" si="10"/>
        <v>64.311458086832872</v>
      </c>
      <c r="E96">
        <f t="shared" si="11"/>
        <v>63.64792402159123</v>
      </c>
      <c r="Q96">
        <f t="shared" si="8"/>
        <v>5.8973799999999998E-3</v>
      </c>
      <c r="R96">
        <f t="shared" si="9"/>
        <v>7.1573999999999997E-4</v>
      </c>
      <c r="T96">
        <f t="shared" si="12"/>
        <v>64.311458086832872</v>
      </c>
      <c r="U96">
        <f t="shared" si="12"/>
        <v>63.64792402159123</v>
      </c>
      <c r="W96">
        <f t="shared" si="13"/>
        <v>0</v>
      </c>
      <c r="X96">
        <f t="shared" si="13"/>
        <v>0</v>
      </c>
    </row>
    <row r="97" spans="1:24" x14ac:dyDescent="0.35">
      <c r="A97">
        <v>617.57000000000005</v>
      </c>
      <c r="B97">
        <v>5.9294400000000002E-3</v>
      </c>
      <c r="C97">
        <v>7.1700900000000001E-4</v>
      </c>
      <c r="D97">
        <f t="shared" si="10"/>
        <v>64.661075263657821</v>
      </c>
      <c r="E97">
        <f t="shared" si="11"/>
        <v>63.760771166620714</v>
      </c>
      <c r="Q97">
        <f t="shared" si="8"/>
        <v>5.9294400000000002E-3</v>
      </c>
      <c r="R97">
        <f t="shared" si="9"/>
        <v>7.1700900000000001E-4</v>
      </c>
      <c r="T97">
        <f t="shared" si="12"/>
        <v>64.661075263657821</v>
      </c>
      <c r="U97">
        <f t="shared" si="12"/>
        <v>63.760771166620714</v>
      </c>
      <c r="W97">
        <f t="shared" si="13"/>
        <v>0</v>
      </c>
      <c r="X97">
        <f t="shared" si="13"/>
        <v>0</v>
      </c>
    </row>
    <row r="98" spans="1:24" x14ac:dyDescent="0.35">
      <c r="A98">
        <v>623.89099999999996</v>
      </c>
      <c r="B98">
        <v>5.9536499999999996E-3</v>
      </c>
      <c r="C98">
        <v>7.1621599999999999E-4</v>
      </c>
      <c r="D98">
        <f t="shared" si="10"/>
        <v>64.925087486082376</v>
      </c>
      <c r="E98">
        <f t="shared" si="11"/>
        <v>63.690252816732318</v>
      </c>
      <c r="Q98">
        <f t="shared" si="8"/>
        <v>5.9536499999999996E-3</v>
      </c>
      <c r="R98">
        <f t="shared" si="9"/>
        <v>7.1621599999999999E-4</v>
      </c>
      <c r="T98">
        <f t="shared" si="12"/>
        <v>64.925087486082376</v>
      </c>
      <c r="U98">
        <f t="shared" si="12"/>
        <v>63.690252816732318</v>
      </c>
      <c r="W98">
        <f t="shared" si="13"/>
        <v>0</v>
      </c>
      <c r="X98">
        <f t="shared" si="13"/>
        <v>0</v>
      </c>
    </row>
    <row r="99" spans="1:24" x14ac:dyDescent="0.35">
      <c r="A99">
        <v>630.03800000000001</v>
      </c>
      <c r="B99">
        <v>5.9871600000000001E-3</v>
      </c>
      <c r="C99">
        <v>7.1573199999999996E-4</v>
      </c>
      <c r="D99">
        <f t="shared" si="10"/>
        <v>65.290517043019491</v>
      </c>
      <c r="E99">
        <f t="shared" si="11"/>
        <v>63.647212613269531</v>
      </c>
      <c r="Q99">
        <f t="shared" ref="Q99:Q109" si="14">AVERAGE(B99,G99,L99)</f>
        <v>5.9871600000000001E-3</v>
      </c>
      <c r="R99">
        <f t="shared" ref="R99:R109" si="15">AVERAGE(C99,H99,M99)</f>
        <v>7.1573199999999996E-4</v>
      </c>
      <c r="T99">
        <f t="shared" si="12"/>
        <v>65.290517043019491</v>
      </c>
      <c r="U99">
        <f t="shared" si="12"/>
        <v>63.647212613269531</v>
      </c>
      <c r="W99">
        <f t="shared" si="13"/>
        <v>0</v>
      </c>
      <c r="X99">
        <f t="shared" si="13"/>
        <v>0</v>
      </c>
    </row>
    <row r="100" spans="1:24" x14ac:dyDescent="0.35">
      <c r="A100">
        <v>636.29200000000003</v>
      </c>
      <c r="B100">
        <v>6.0104900000000003E-3</v>
      </c>
      <c r="C100">
        <v>7.1459500000000005E-4</v>
      </c>
      <c r="D100">
        <f t="shared" si="10"/>
        <v>65.544932786479436</v>
      </c>
      <c r="E100">
        <f t="shared" si="11"/>
        <v>63.546103705548099</v>
      </c>
      <c r="Q100">
        <f t="shared" si="14"/>
        <v>6.0104900000000003E-3</v>
      </c>
      <c r="R100">
        <f t="shared" si="15"/>
        <v>7.1459500000000005E-4</v>
      </c>
      <c r="T100">
        <f t="shared" si="12"/>
        <v>65.544932786479436</v>
      </c>
      <c r="U100">
        <f t="shared" si="12"/>
        <v>63.546103705548099</v>
      </c>
      <c r="W100">
        <f t="shared" si="13"/>
        <v>0</v>
      </c>
      <c r="X100">
        <f t="shared" si="13"/>
        <v>0</v>
      </c>
    </row>
    <row r="101" spans="1:24" x14ac:dyDescent="0.35">
      <c r="A101">
        <v>642.43200000000002</v>
      </c>
      <c r="B101">
        <v>6.0410699999999999E-3</v>
      </c>
      <c r="C101">
        <v>7.1797099999999997E-4</v>
      </c>
      <c r="D101">
        <f t="shared" si="10"/>
        <v>65.878410430500239</v>
      </c>
      <c r="E101">
        <f t="shared" si="11"/>
        <v>63.846318017305002</v>
      </c>
      <c r="Q101">
        <f t="shared" si="14"/>
        <v>6.0410699999999999E-3</v>
      </c>
      <c r="R101">
        <f t="shared" si="15"/>
        <v>7.1797099999999997E-4</v>
      </c>
      <c r="T101">
        <f t="shared" si="12"/>
        <v>65.878410430500239</v>
      </c>
      <c r="U101">
        <f t="shared" si="12"/>
        <v>63.846318017305002</v>
      </c>
      <c r="W101">
        <f t="shared" si="13"/>
        <v>0</v>
      </c>
      <c r="X101">
        <f t="shared" si="13"/>
        <v>0</v>
      </c>
    </row>
    <row r="102" spans="1:24" x14ac:dyDescent="0.35">
      <c r="A102">
        <v>648.59</v>
      </c>
      <c r="B102">
        <v>6.06823E-3</v>
      </c>
      <c r="C102">
        <v>7.1898299999999997E-4</v>
      </c>
      <c r="D102">
        <f t="shared" si="10"/>
        <v>66.174592667635764</v>
      </c>
      <c r="E102">
        <f t="shared" si="11"/>
        <v>63.936311169999904</v>
      </c>
      <c r="Q102">
        <f t="shared" si="14"/>
        <v>6.06823E-3</v>
      </c>
      <c r="R102">
        <f t="shared" si="15"/>
        <v>7.1898299999999997E-4</v>
      </c>
      <c r="T102">
        <f t="shared" si="12"/>
        <v>66.174592667635764</v>
      </c>
      <c r="U102">
        <f t="shared" si="12"/>
        <v>63.936311169999904</v>
      </c>
      <c r="W102">
        <f t="shared" si="13"/>
        <v>0</v>
      </c>
      <c r="X102">
        <f t="shared" si="13"/>
        <v>0</v>
      </c>
    </row>
    <row r="103" spans="1:24" x14ac:dyDescent="0.35">
      <c r="A103">
        <v>654.86</v>
      </c>
      <c r="B103">
        <v>6.0969199999999996E-3</v>
      </c>
      <c r="C103">
        <v>7.1967099999999996E-4</v>
      </c>
      <c r="D103">
        <f t="shared" si="10"/>
        <v>66.487459692062075</v>
      </c>
      <c r="E103">
        <f t="shared" si="11"/>
        <v>63.997492285665999</v>
      </c>
      <c r="Q103">
        <f t="shared" si="14"/>
        <v>6.0969199999999996E-3</v>
      </c>
      <c r="R103">
        <f t="shared" si="15"/>
        <v>7.1967099999999996E-4</v>
      </c>
      <c r="T103">
        <f t="shared" si="12"/>
        <v>66.487459692062075</v>
      </c>
      <c r="U103">
        <f t="shared" si="12"/>
        <v>63.997492285665999</v>
      </c>
      <c r="W103">
        <f t="shared" si="13"/>
        <v>0</v>
      </c>
      <c r="X103">
        <f t="shared" si="13"/>
        <v>0</v>
      </c>
    </row>
    <row r="104" spans="1:24" x14ac:dyDescent="0.35">
      <c r="A104">
        <v>661.11800000000005</v>
      </c>
      <c r="B104">
        <v>6.1095400000000001E-3</v>
      </c>
      <c r="C104">
        <v>7.2610100000000005E-4</v>
      </c>
      <c r="D104">
        <f t="shared" si="10"/>
        <v>66.625081924486622</v>
      </c>
      <c r="E104">
        <f t="shared" si="11"/>
        <v>64.569286724231461</v>
      </c>
      <c r="Q104">
        <f t="shared" si="14"/>
        <v>6.1095400000000001E-3</v>
      </c>
      <c r="R104">
        <f t="shared" si="15"/>
        <v>7.2610100000000005E-4</v>
      </c>
      <c r="T104">
        <f t="shared" si="12"/>
        <v>66.625081924486622</v>
      </c>
      <c r="U104">
        <f t="shared" si="12"/>
        <v>64.569286724231461</v>
      </c>
      <c r="W104">
        <f t="shared" si="13"/>
        <v>0</v>
      </c>
      <c r="X104">
        <f t="shared" si="13"/>
        <v>0</v>
      </c>
    </row>
    <row r="105" spans="1:24" x14ac:dyDescent="0.35">
      <c r="A105">
        <v>667.221</v>
      </c>
      <c r="B105">
        <v>6.1398499999999996E-3</v>
      </c>
      <c r="C105">
        <v>7.2016099999999998E-4</v>
      </c>
      <c r="D105">
        <f t="shared" si="10"/>
        <v>66.95561519427963</v>
      </c>
      <c r="E105">
        <f t="shared" si="11"/>
        <v>64.041066045370059</v>
      </c>
      <c r="Q105">
        <f t="shared" si="14"/>
        <v>6.1398499999999996E-3</v>
      </c>
      <c r="R105">
        <f t="shared" si="15"/>
        <v>7.2016099999999998E-4</v>
      </c>
      <c r="T105">
        <f t="shared" si="12"/>
        <v>66.95561519427963</v>
      </c>
      <c r="U105">
        <f t="shared" si="12"/>
        <v>64.041066045370059</v>
      </c>
      <c r="W105">
        <f t="shared" si="13"/>
        <v>0</v>
      </c>
      <c r="X105">
        <f t="shared" si="13"/>
        <v>0</v>
      </c>
    </row>
    <row r="106" spans="1:24" x14ac:dyDescent="0.35">
      <c r="A106">
        <v>673.51599999999996</v>
      </c>
      <c r="B106">
        <v>6.1705800000000002E-3</v>
      </c>
      <c r="C106">
        <v>7.2362200000000005E-4</v>
      </c>
      <c r="D106">
        <f t="shared" si="10"/>
        <v>67.290728601760307</v>
      </c>
      <c r="E106">
        <f t="shared" si="11"/>
        <v>64.348839070545026</v>
      </c>
      <c r="Q106">
        <f t="shared" si="14"/>
        <v>6.1705800000000002E-3</v>
      </c>
      <c r="R106">
        <f t="shared" si="15"/>
        <v>7.2362200000000005E-4</v>
      </c>
      <c r="T106">
        <f t="shared" si="12"/>
        <v>67.290728601760307</v>
      </c>
      <c r="U106">
        <f t="shared" si="12"/>
        <v>64.348839070545026</v>
      </c>
      <c r="W106">
        <f t="shared" si="13"/>
        <v>0</v>
      </c>
      <c r="X106">
        <f t="shared" si="13"/>
        <v>0</v>
      </c>
    </row>
    <row r="107" spans="1:24" x14ac:dyDescent="0.35">
      <c r="A107">
        <v>679.74</v>
      </c>
      <c r="B107">
        <v>6.1991399999999997E-3</v>
      </c>
      <c r="C107">
        <v>7.2967300000000002E-4</v>
      </c>
      <c r="D107">
        <f t="shared" si="10"/>
        <v>67.602177964521388</v>
      </c>
      <c r="E107">
        <f t="shared" si="11"/>
        <v>64.886930539869979</v>
      </c>
      <c r="Q107">
        <f t="shared" si="14"/>
        <v>6.1991399999999997E-3</v>
      </c>
      <c r="R107">
        <f t="shared" si="15"/>
        <v>7.2967300000000002E-4</v>
      </c>
      <c r="T107">
        <f t="shared" si="12"/>
        <v>67.602177964521388</v>
      </c>
      <c r="U107">
        <f t="shared" si="12"/>
        <v>64.886930539869979</v>
      </c>
      <c r="W107">
        <f t="shared" si="13"/>
        <v>0</v>
      </c>
      <c r="X107">
        <f t="shared" si="13"/>
        <v>0</v>
      </c>
    </row>
    <row r="108" spans="1:24" x14ac:dyDescent="0.35">
      <c r="A108">
        <v>685.89499999999998</v>
      </c>
      <c r="B108">
        <v>6.2239799999999996E-3</v>
      </c>
      <c r="C108">
        <v>7.2880700000000004E-4</v>
      </c>
      <c r="D108">
        <f t="shared" si="10"/>
        <v>67.873060393477445</v>
      </c>
      <c r="E108">
        <f t="shared" si="11"/>
        <v>64.809920589046087</v>
      </c>
      <c r="Q108">
        <f t="shared" si="14"/>
        <v>6.2239799999999996E-3</v>
      </c>
      <c r="R108">
        <f t="shared" si="15"/>
        <v>7.2880700000000004E-4</v>
      </c>
      <c r="T108">
        <f t="shared" si="12"/>
        <v>67.873060393477445</v>
      </c>
      <c r="U108">
        <f t="shared" si="12"/>
        <v>64.809920589046087</v>
      </c>
      <c r="W108">
        <f t="shared" si="13"/>
        <v>0</v>
      </c>
      <c r="X108">
        <f t="shared" si="13"/>
        <v>0</v>
      </c>
    </row>
    <row r="109" spans="1:24" x14ac:dyDescent="0.35">
      <c r="A109">
        <v>692.197</v>
      </c>
      <c r="B109">
        <v>6.2475899999999999E-3</v>
      </c>
      <c r="C109">
        <v>7.2679099999999996E-4</v>
      </c>
      <c r="D109">
        <f t="shared" si="10"/>
        <v>68.130529562062506</v>
      </c>
      <c r="E109">
        <f t="shared" si="11"/>
        <v>64.630645691977975</v>
      </c>
      <c r="Q109">
        <f t="shared" si="14"/>
        <v>6.2475899999999999E-3</v>
      </c>
      <c r="R109">
        <f t="shared" si="15"/>
        <v>7.2679099999999996E-4</v>
      </c>
      <c r="T109">
        <f t="shared" si="12"/>
        <v>68.130529562062506</v>
      </c>
      <c r="U109">
        <f t="shared" si="12"/>
        <v>64.630645691977975</v>
      </c>
      <c r="W109">
        <f t="shared" si="13"/>
        <v>0</v>
      </c>
      <c r="X109">
        <f t="shared" si="13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DEA0-942B-446A-ACB7-3CAB855C562C}">
  <dimension ref="A1:AI109"/>
  <sheetViews>
    <sheetView topLeftCell="AF1" workbookViewId="0">
      <selection activeCell="BC52" sqref="BC52"/>
    </sheetView>
  </sheetViews>
  <sheetFormatPr defaultColWidth="8.81640625" defaultRowHeight="14.5" x14ac:dyDescent="0.35"/>
  <cols>
    <col min="1" max="1" width="9.453125" bestFit="1" customWidth="1"/>
    <col min="2" max="3" width="12.1796875" bestFit="1" customWidth="1"/>
    <col min="4" max="5" width="12.453125" customWidth="1"/>
    <col min="7" max="8" width="12.1796875" bestFit="1" customWidth="1"/>
    <col min="9" max="10" width="12.453125" customWidth="1"/>
    <col min="14" max="15" width="12.453125" customWidth="1"/>
    <col min="19" max="20" width="12.453125" customWidth="1"/>
    <col min="22" max="23" width="11.81640625" bestFit="1" customWidth="1"/>
    <col min="24" max="25" width="12.453125" customWidth="1"/>
    <col min="26" max="26" width="8.6328125" style="1"/>
    <col min="27" max="28" width="11.81640625" bestFit="1" customWidth="1"/>
    <col min="30" max="31" width="11.81640625" bestFit="1" customWidth="1"/>
    <col min="33" max="34" width="9.453125" bestFit="1" customWidth="1"/>
    <col min="35" max="35" width="8.81640625" style="1"/>
  </cols>
  <sheetData>
    <row r="1" spans="1:34" ht="29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s="2" t="s">
        <v>0</v>
      </c>
      <c r="H1" s="2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s="2" t="s">
        <v>0</v>
      </c>
      <c r="R1" s="2" t="s">
        <v>1</v>
      </c>
      <c r="S1" t="s">
        <v>70</v>
      </c>
      <c r="T1" t="s">
        <v>71</v>
      </c>
      <c r="V1" s="2" t="s">
        <v>0</v>
      </c>
      <c r="W1" s="2" t="s">
        <v>1</v>
      </c>
      <c r="X1" t="s">
        <v>70</v>
      </c>
      <c r="Y1" t="s">
        <v>71</v>
      </c>
      <c r="AA1" t="s">
        <v>3</v>
      </c>
      <c r="AB1" t="s">
        <v>4</v>
      </c>
      <c r="AD1" t="s">
        <v>68</v>
      </c>
      <c r="AE1" t="s">
        <v>69</v>
      </c>
      <c r="AG1" t="s">
        <v>66</v>
      </c>
      <c r="AH1" t="s">
        <v>67</v>
      </c>
    </row>
    <row r="2" spans="1:3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s="2" t="s">
        <v>2</v>
      </c>
      <c r="R2" s="2" t="s">
        <v>2</v>
      </c>
      <c r="S2" t="s">
        <v>2</v>
      </c>
      <c r="T2" t="s">
        <v>2</v>
      </c>
      <c r="V2" s="2" t="s">
        <v>2</v>
      </c>
      <c r="W2" s="2" t="s">
        <v>2</v>
      </c>
      <c r="X2" t="s">
        <v>2</v>
      </c>
      <c r="Y2" t="s">
        <v>2</v>
      </c>
      <c r="AA2" t="s">
        <v>2</v>
      </c>
      <c r="AB2" t="s">
        <v>2</v>
      </c>
      <c r="AD2" t="s">
        <v>2</v>
      </c>
      <c r="AE2" t="s">
        <v>2</v>
      </c>
      <c r="AG2" t="s">
        <v>2</v>
      </c>
      <c r="AH2" t="s">
        <v>2</v>
      </c>
    </row>
    <row r="3" spans="1:34" x14ac:dyDescent="0.35">
      <c r="A3">
        <v>6.2696399999999999</v>
      </c>
      <c r="B3">
        <v>1.74361E-3</v>
      </c>
      <c r="C3">
        <v>2.66529E-4</v>
      </c>
      <c r="D3">
        <f>B3/$B$3*100</f>
        <v>100</v>
      </c>
      <c r="E3">
        <f>C3/$C$3*100</f>
        <v>100</v>
      </c>
      <c r="G3" s="7">
        <v>1.8047E-3</v>
      </c>
      <c r="H3" s="7">
        <v>2.7780699999999998E-4</v>
      </c>
      <c r="I3" s="6">
        <f>G3/$G$3*100</f>
        <v>100</v>
      </c>
      <c r="J3" s="6">
        <f>H3/$H$3*100</f>
        <v>100</v>
      </c>
      <c r="L3" s="7">
        <v>1.6979300000000001E-3</v>
      </c>
      <c r="M3" s="7">
        <v>2.3485499999999999E-4</v>
      </c>
      <c r="N3" s="6">
        <f>L3/$L$3*100</f>
        <v>100</v>
      </c>
      <c r="O3" s="6">
        <f>M3/$M$3*100</f>
        <v>100</v>
      </c>
      <c r="Q3" s="7">
        <v>1.7693100000000001E-3</v>
      </c>
      <c r="R3" s="7">
        <v>2.7343799999999998E-4</v>
      </c>
      <c r="S3" s="6">
        <f>Q3/$Q$3*100</f>
        <v>100</v>
      </c>
      <c r="T3" s="6">
        <f>R3/$R$3*100</f>
        <v>100</v>
      </c>
      <c r="V3" s="7">
        <v>1.4904300000000001E-3</v>
      </c>
      <c r="W3" s="7">
        <v>2.2957899999999999E-4</v>
      </c>
      <c r="X3" s="6">
        <f>V3/$V$3*100</f>
        <v>100</v>
      </c>
      <c r="Y3" s="6">
        <f>W3/$W$3*100</f>
        <v>100</v>
      </c>
      <c r="AA3" s="6">
        <f>AVERAGE(B3,G3,L3,Q3,V3)</f>
        <v>1.7011959999999999E-3</v>
      </c>
      <c r="AB3" s="6">
        <f>AVERAGE(C3,H3,M3,R3,W3)</f>
        <v>2.5644159999999993E-4</v>
      </c>
      <c r="AD3" s="6">
        <f>AVERAGE(D3,I3,N3,S3,X3)</f>
        <v>100</v>
      </c>
      <c r="AE3" s="6">
        <f>AVERAGE(E3,J3,O3,T3,Y3)</f>
        <v>100</v>
      </c>
      <c r="AG3">
        <f>_xlfn.STDEV.P(D3,I3,N3,S3,X3)</f>
        <v>0</v>
      </c>
      <c r="AH3">
        <f>_xlfn.STDEV.P(E3,J3,O3,T3,Y3)</f>
        <v>0</v>
      </c>
    </row>
    <row r="4" spans="1:34" x14ac:dyDescent="0.35">
      <c r="A4">
        <v>12.3698</v>
      </c>
      <c r="B4">
        <v>1.74599E-3</v>
      </c>
      <c r="C4">
        <v>2.6546099999999998E-4</v>
      </c>
      <c r="D4">
        <f t="shared" ref="D4:D67" si="0">B4/$B$3*100</f>
        <v>100.1364984142096</v>
      </c>
      <c r="E4">
        <f t="shared" ref="E4:E67" si="1">C4/$C$3*100</f>
        <v>99.599293135080984</v>
      </c>
      <c r="G4" s="7">
        <v>1.84078E-3</v>
      </c>
      <c r="H4" s="7">
        <v>2.8409000000000003E-4</v>
      </c>
      <c r="I4" s="6">
        <f t="shared" ref="I4:I67" si="2">G4/$G$3*100</f>
        <v>101.99922424779741</v>
      </c>
      <c r="J4" s="6">
        <f t="shared" ref="J4:J67" si="3">H4/$H$3*100</f>
        <v>102.2616420752537</v>
      </c>
      <c r="L4" s="7">
        <v>1.7416300000000001E-3</v>
      </c>
      <c r="M4" s="7">
        <v>2.38581E-4</v>
      </c>
      <c r="N4" s="6">
        <f t="shared" ref="N4:N67" si="4">L4/$L$3*100</f>
        <v>102.57372212046434</v>
      </c>
      <c r="O4" s="6">
        <f t="shared" ref="O4:O67" si="5">M4/$M$3*100</f>
        <v>101.5865108258287</v>
      </c>
      <c r="Q4" s="7">
        <v>1.80583E-3</v>
      </c>
      <c r="R4" s="7">
        <v>2.8088000000000001E-4</v>
      </c>
      <c r="S4" s="6">
        <f t="shared" ref="S4:S67" si="6">Q4/$Q$3*100</f>
        <v>102.06408147809032</v>
      </c>
      <c r="T4" s="6">
        <f t="shared" ref="T4:T67" si="7">R4/$R$3*100</f>
        <v>102.72164073757124</v>
      </c>
      <c r="V4" s="7">
        <v>1.5048500000000001E-3</v>
      </c>
      <c r="W4" s="7">
        <v>2.3059400000000001E-4</v>
      </c>
      <c r="X4" s="6">
        <f t="shared" ref="X4:X67" si="8">V4/$V$3*100</f>
        <v>100.9675060217521</v>
      </c>
      <c r="Y4" s="6">
        <f t="shared" ref="Y4:Y67" si="9">W4/$W$3*100</f>
        <v>100.44211360795194</v>
      </c>
      <c r="AA4" s="6">
        <f t="shared" ref="AA4:AA67" si="10">AVERAGE(B4,G4,L4,Q4,V4)</f>
        <v>1.7278160000000001E-3</v>
      </c>
      <c r="AB4" s="6">
        <f t="shared" ref="AB4:AB67" si="11">AVERAGE(C4,H4,M4,R4,W4)</f>
        <v>2.5992119999999999E-4</v>
      </c>
      <c r="AD4" s="6">
        <f t="shared" ref="AD4:AD67" si="12">AVERAGE(D4,I4,N4,S4,X4)</f>
        <v>101.54820645646275</v>
      </c>
      <c r="AE4" s="6">
        <f t="shared" ref="AE4:AE67" si="13">AVERAGE(E4,J4,O4,T4,Y4)</f>
        <v>101.32224007633731</v>
      </c>
      <c r="AG4">
        <f t="shared" ref="AG4:AG67" si="14">_xlfn.STDEV.P(D4,I4,N4,S4,X4)</f>
        <v>0.87765130371778355</v>
      </c>
      <c r="AH4">
        <f t="shared" ref="AH4:AH67" si="15">_xlfn.STDEV.P(E4,J4,O4,T4,Y4)</f>
        <v>1.1535862445438432</v>
      </c>
    </row>
    <row r="5" spans="1:34" x14ac:dyDescent="0.35">
      <c r="A5">
        <v>18.654</v>
      </c>
      <c r="B5">
        <v>1.75022E-3</v>
      </c>
      <c r="C5">
        <v>2.6397200000000001E-4</v>
      </c>
      <c r="D5">
        <f t="shared" si="0"/>
        <v>100.37909853694347</v>
      </c>
      <c r="E5">
        <f t="shared" si="1"/>
        <v>99.040629725095584</v>
      </c>
      <c r="G5" s="7">
        <v>1.87484E-3</v>
      </c>
      <c r="H5" s="7">
        <v>2.8951699999999999E-4</v>
      </c>
      <c r="I5" s="6">
        <f t="shared" si="2"/>
        <v>103.88651853493656</v>
      </c>
      <c r="J5" s="6">
        <f t="shared" si="3"/>
        <v>104.21515656552931</v>
      </c>
      <c r="L5" s="7">
        <v>1.7817499999999999E-3</v>
      </c>
      <c r="M5" s="7">
        <v>2.4228800000000001E-4</v>
      </c>
      <c r="N5" s="6">
        <f t="shared" si="4"/>
        <v>104.93659927087688</v>
      </c>
      <c r="O5" s="6">
        <f t="shared" si="5"/>
        <v>103.16493155351174</v>
      </c>
      <c r="Q5" s="7">
        <v>1.8488599999999999E-3</v>
      </c>
      <c r="R5" s="7">
        <v>2.83823E-4</v>
      </c>
      <c r="S5" s="6">
        <f t="shared" si="6"/>
        <v>104.49610300060475</v>
      </c>
      <c r="T5" s="6">
        <f t="shared" si="7"/>
        <v>103.79793591234576</v>
      </c>
      <c r="V5" s="7">
        <v>1.51885E-3</v>
      </c>
      <c r="W5" s="7">
        <v>2.3004699999999999E-4</v>
      </c>
      <c r="X5" s="6">
        <f t="shared" si="8"/>
        <v>101.90683225646289</v>
      </c>
      <c r="Y5" s="6">
        <f t="shared" si="9"/>
        <v>100.20385139755814</v>
      </c>
      <c r="AA5" s="6">
        <f t="shared" si="10"/>
        <v>1.7549039999999998E-3</v>
      </c>
      <c r="AB5" s="6">
        <f t="shared" si="11"/>
        <v>2.6192939999999997E-4</v>
      </c>
      <c r="AD5" s="6">
        <f t="shared" si="12"/>
        <v>103.12103031996492</v>
      </c>
      <c r="AE5" s="6">
        <f t="shared" si="13"/>
        <v>102.0845010308081</v>
      </c>
      <c r="AG5">
        <f t="shared" si="14"/>
        <v>1.7184617854333144</v>
      </c>
      <c r="AH5">
        <f t="shared" si="15"/>
        <v>2.0709842000402126</v>
      </c>
    </row>
    <row r="6" spans="1:34" x14ac:dyDescent="0.35">
      <c r="A6">
        <v>24.779599999999999</v>
      </c>
      <c r="B6">
        <v>1.7535000000000001E-3</v>
      </c>
      <c r="C6">
        <v>2.6169099999999999E-4</v>
      </c>
      <c r="D6">
        <f t="shared" si="0"/>
        <v>100.56721399854325</v>
      </c>
      <c r="E6">
        <f t="shared" si="1"/>
        <v>98.184812909664615</v>
      </c>
      <c r="G6" s="7">
        <v>1.92738E-3</v>
      </c>
      <c r="H6" s="7">
        <v>2.9811799999999999E-4</v>
      </c>
      <c r="I6" s="6">
        <f t="shared" si="2"/>
        <v>106.79780572948412</v>
      </c>
      <c r="J6" s="6">
        <f t="shared" si="3"/>
        <v>107.31119086272125</v>
      </c>
      <c r="L6" s="7">
        <v>1.8232999999999999E-3</v>
      </c>
      <c r="M6" s="7">
        <v>2.43417E-4</v>
      </c>
      <c r="N6" s="6">
        <f t="shared" si="4"/>
        <v>107.3836966188241</v>
      </c>
      <c r="O6" s="6">
        <f t="shared" si="5"/>
        <v>103.64565370121991</v>
      </c>
      <c r="Q6" s="7">
        <v>1.8854E-3</v>
      </c>
      <c r="R6" s="7">
        <v>2.8946499999999998E-4</v>
      </c>
      <c r="S6" s="6">
        <f t="shared" si="6"/>
        <v>106.56131486285614</v>
      </c>
      <c r="T6" s="6">
        <f t="shared" si="7"/>
        <v>105.86129213935152</v>
      </c>
      <c r="V6" s="7">
        <v>1.53061E-3</v>
      </c>
      <c r="W6" s="7">
        <v>2.2992499999999999E-4</v>
      </c>
      <c r="X6" s="6">
        <f t="shared" si="8"/>
        <v>102.69586629361996</v>
      </c>
      <c r="Y6" s="6">
        <f t="shared" si="9"/>
        <v>100.15071064862204</v>
      </c>
      <c r="AA6" s="6">
        <f t="shared" si="10"/>
        <v>1.7840379999999999E-3</v>
      </c>
      <c r="AB6" s="6">
        <f t="shared" si="11"/>
        <v>2.6452319999999997E-4</v>
      </c>
      <c r="AD6" s="6">
        <f t="shared" si="12"/>
        <v>104.80117950066551</v>
      </c>
      <c r="AE6" s="6">
        <f t="shared" si="13"/>
        <v>103.03073205231586</v>
      </c>
      <c r="AG6">
        <f t="shared" si="14"/>
        <v>2.6874819080077299</v>
      </c>
      <c r="AH6">
        <f t="shared" si="15"/>
        <v>3.4202333923589374</v>
      </c>
    </row>
    <row r="7" spans="1:34" x14ac:dyDescent="0.35">
      <c r="A7">
        <v>31.0945</v>
      </c>
      <c r="B7">
        <v>1.7583200000000001E-3</v>
      </c>
      <c r="C7">
        <v>2.6179399999999998E-4</v>
      </c>
      <c r="D7">
        <f t="shared" si="0"/>
        <v>100.84365196345513</v>
      </c>
      <c r="E7">
        <f t="shared" si="1"/>
        <v>98.223457860120277</v>
      </c>
      <c r="G7" s="7">
        <v>1.9805600000000001E-3</v>
      </c>
      <c r="H7" s="7">
        <v>3.0705800000000003E-4</v>
      </c>
      <c r="I7" s="6">
        <f t="shared" si="2"/>
        <v>109.74455588186403</v>
      </c>
      <c r="J7" s="6">
        <f t="shared" si="3"/>
        <v>110.52925232265567</v>
      </c>
      <c r="L7" s="7">
        <v>1.86494E-3</v>
      </c>
      <c r="M7" s="7">
        <v>2.4745399999999998E-4</v>
      </c>
      <c r="N7" s="6">
        <f t="shared" si="4"/>
        <v>109.83609453864412</v>
      </c>
      <c r="O7" s="6">
        <f t="shared" si="5"/>
        <v>105.36458665985396</v>
      </c>
      <c r="Q7" s="7">
        <v>1.92301E-3</v>
      </c>
      <c r="R7" s="7">
        <v>2.9347299999999999E-4</v>
      </c>
      <c r="S7" s="6">
        <f t="shared" si="6"/>
        <v>108.68700227772408</v>
      </c>
      <c r="T7" s="6">
        <f t="shared" si="7"/>
        <v>107.32707231621062</v>
      </c>
      <c r="V7" s="7">
        <v>1.54893E-3</v>
      </c>
      <c r="W7" s="7">
        <v>2.31864E-4</v>
      </c>
      <c r="X7" s="6">
        <f t="shared" si="8"/>
        <v>103.92504176647009</v>
      </c>
      <c r="Y7" s="6">
        <f t="shared" si="9"/>
        <v>100.99530009277854</v>
      </c>
      <c r="AA7" s="6">
        <f t="shared" si="10"/>
        <v>1.815152E-3</v>
      </c>
      <c r="AB7" s="6">
        <f t="shared" si="11"/>
        <v>2.6832860000000001E-4</v>
      </c>
      <c r="AD7" s="6">
        <f t="shared" si="12"/>
        <v>106.60726928563149</v>
      </c>
      <c r="AE7" s="6">
        <f t="shared" si="13"/>
        <v>104.48793385032381</v>
      </c>
      <c r="AG7">
        <f t="shared" si="14"/>
        <v>3.6057398164822971</v>
      </c>
      <c r="AH7">
        <f t="shared" si="15"/>
        <v>4.3992932672704299</v>
      </c>
    </row>
    <row r="8" spans="1:34" x14ac:dyDescent="0.35">
      <c r="A8">
        <v>37.161900000000003</v>
      </c>
      <c r="B8">
        <v>1.76199E-3</v>
      </c>
      <c r="C8">
        <v>2.6123800000000001E-4</v>
      </c>
      <c r="D8">
        <f t="shared" si="0"/>
        <v>101.05413481225732</v>
      </c>
      <c r="E8">
        <f t="shared" si="1"/>
        <v>98.014850166398404</v>
      </c>
      <c r="G8" s="7">
        <v>2.01922E-3</v>
      </c>
      <c r="H8" s="7">
        <v>3.13553E-4</v>
      </c>
      <c r="I8" s="6">
        <f t="shared" si="2"/>
        <v>111.886740178423</v>
      </c>
      <c r="J8" s="6">
        <f t="shared" si="3"/>
        <v>112.8672063698899</v>
      </c>
      <c r="L8" s="7">
        <v>1.9032999999999999E-3</v>
      </c>
      <c r="M8" s="7">
        <v>2.5273899999999998E-4</v>
      </c>
      <c r="N8" s="6">
        <f t="shared" si="4"/>
        <v>112.09531606132172</v>
      </c>
      <c r="O8" s="6">
        <f t="shared" si="5"/>
        <v>107.61491132826637</v>
      </c>
      <c r="Q8" s="7">
        <v>1.9640600000000001E-3</v>
      </c>
      <c r="R8" s="7">
        <v>2.9392600000000002E-4</v>
      </c>
      <c r="S8" s="6">
        <f t="shared" si="6"/>
        <v>111.00711576829386</v>
      </c>
      <c r="T8" s="6">
        <f t="shared" si="7"/>
        <v>107.49274058470294</v>
      </c>
      <c r="V8" s="7">
        <v>1.5619500000000001E-3</v>
      </c>
      <c r="W8" s="7">
        <v>2.32613E-4</v>
      </c>
      <c r="X8" s="6">
        <f t="shared" si="8"/>
        <v>104.79861516475111</v>
      </c>
      <c r="Y8" s="6">
        <f t="shared" si="9"/>
        <v>101.3215494448534</v>
      </c>
      <c r="AA8" s="6">
        <f t="shared" si="10"/>
        <v>1.842104E-3</v>
      </c>
      <c r="AB8" s="6">
        <f t="shared" si="11"/>
        <v>2.7081380000000001E-4</v>
      </c>
      <c r="AD8" s="6">
        <f t="shared" si="12"/>
        <v>108.16838439700942</v>
      </c>
      <c r="AE8" s="6">
        <f t="shared" si="13"/>
        <v>105.4622515788222</v>
      </c>
      <c r="AG8">
        <f t="shared" si="14"/>
        <v>4.4558556898644071</v>
      </c>
      <c r="AH8">
        <f t="shared" si="15"/>
        <v>5.2191835954996222</v>
      </c>
    </row>
    <row r="9" spans="1:34" x14ac:dyDescent="0.35">
      <c r="A9">
        <v>43.441699999999997</v>
      </c>
      <c r="B9">
        <v>1.7604700000000001E-3</v>
      </c>
      <c r="C9">
        <v>2.6051699999999999E-4</v>
      </c>
      <c r="D9">
        <f t="shared" si="0"/>
        <v>100.96695935444279</v>
      </c>
      <c r="E9">
        <f t="shared" si="1"/>
        <v>97.744335513208696</v>
      </c>
      <c r="G9" s="7">
        <v>2.06383E-3</v>
      </c>
      <c r="H9" s="7">
        <v>3.1783799999999997E-4</v>
      </c>
      <c r="I9" s="6">
        <f t="shared" si="2"/>
        <v>114.35861916107942</v>
      </c>
      <c r="J9" s="6">
        <f t="shared" si="3"/>
        <v>114.40964410544009</v>
      </c>
      <c r="L9" s="7">
        <v>1.9473299999999999E-3</v>
      </c>
      <c r="M9" s="7">
        <v>2.54245E-4</v>
      </c>
      <c r="N9" s="6">
        <f t="shared" si="4"/>
        <v>114.68847361198635</v>
      </c>
      <c r="O9" s="6">
        <f t="shared" si="5"/>
        <v>108.25615805497009</v>
      </c>
      <c r="Q9" s="7">
        <v>2.00308E-3</v>
      </c>
      <c r="R9" s="7">
        <v>2.9817100000000002E-4</v>
      </c>
      <c r="S9" s="6">
        <f t="shared" si="6"/>
        <v>113.21249526651631</v>
      </c>
      <c r="T9" s="6">
        <f t="shared" si="7"/>
        <v>109.0451948887865</v>
      </c>
      <c r="V9" s="7">
        <v>1.57417E-3</v>
      </c>
      <c r="W9" s="7">
        <v>2.3392899999999999E-4</v>
      </c>
      <c r="X9" s="6">
        <f t="shared" si="8"/>
        <v>105.61851277819152</v>
      </c>
      <c r="Y9" s="6">
        <f t="shared" si="9"/>
        <v>101.89477260550834</v>
      </c>
      <c r="AA9" s="6">
        <f t="shared" si="10"/>
        <v>1.8697760000000001E-3</v>
      </c>
      <c r="AB9" s="6">
        <f t="shared" si="11"/>
        <v>2.7294E-4</v>
      </c>
      <c r="AD9" s="6">
        <f t="shared" si="12"/>
        <v>109.76901203444326</v>
      </c>
      <c r="AE9" s="6">
        <f t="shared" si="13"/>
        <v>106.27002103358275</v>
      </c>
      <c r="AG9">
        <f t="shared" si="14"/>
        <v>5.5104618321336769</v>
      </c>
      <c r="AH9">
        <f t="shared" si="15"/>
        <v>5.8263179855879415</v>
      </c>
    </row>
    <row r="10" spans="1:34" x14ac:dyDescent="0.35">
      <c r="A10">
        <v>49.671799999999998</v>
      </c>
      <c r="B10">
        <v>1.7627400000000001E-3</v>
      </c>
      <c r="C10">
        <v>2.6015000000000001E-4</v>
      </c>
      <c r="D10">
        <f t="shared" si="0"/>
        <v>101.09714901841582</v>
      </c>
      <c r="E10">
        <f t="shared" si="1"/>
        <v>97.606639427604506</v>
      </c>
      <c r="G10" s="7">
        <v>2.1300899999999998E-3</v>
      </c>
      <c r="H10" s="7">
        <v>3.2922600000000001E-4</v>
      </c>
      <c r="I10" s="6">
        <f t="shared" si="2"/>
        <v>118.03014351415746</v>
      </c>
      <c r="J10" s="6">
        <f t="shared" si="3"/>
        <v>118.50889286447067</v>
      </c>
      <c r="L10" s="7">
        <v>1.9872599999999998E-3</v>
      </c>
      <c r="M10" s="7">
        <v>2.5841500000000001E-4</v>
      </c>
      <c r="N10" s="6">
        <f t="shared" si="4"/>
        <v>117.04016066622299</v>
      </c>
      <c r="O10" s="6">
        <f t="shared" si="5"/>
        <v>110.03172170062381</v>
      </c>
      <c r="Q10" s="7">
        <v>2.0389900000000001E-3</v>
      </c>
      <c r="R10" s="7">
        <v>3.0092600000000003E-4</v>
      </c>
      <c r="S10" s="6">
        <f t="shared" si="6"/>
        <v>115.24210002769442</v>
      </c>
      <c r="T10" s="6">
        <f t="shared" si="7"/>
        <v>110.05273590356866</v>
      </c>
      <c r="V10" s="7">
        <v>1.5868600000000001E-3</v>
      </c>
      <c r="W10" s="7">
        <v>2.3730499999999999E-4</v>
      </c>
      <c r="X10" s="6">
        <f t="shared" si="8"/>
        <v>106.46994491522581</v>
      </c>
      <c r="Y10" s="6">
        <f t="shared" si="9"/>
        <v>103.36529037934655</v>
      </c>
      <c r="AA10" s="6">
        <f t="shared" si="10"/>
        <v>1.9011879999999998E-3</v>
      </c>
      <c r="AB10" s="6">
        <f t="shared" si="11"/>
        <v>2.772044E-4</v>
      </c>
      <c r="AD10" s="6">
        <f t="shared" si="12"/>
        <v>111.57589962834329</v>
      </c>
      <c r="AE10" s="6">
        <f t="shared" si="13"/>
        <v>107.91305605512282</v>
      </c>
      <c r="AG10">
        <f t="shared" si="14"/>
        <v>6.6457719803394397</v>
      </c>
      <c r="AH10">
        <f t="shared" si="15"/>
        <v>7.0461780846549269</v>
      </c>
    </row>
    <row r="11" spans="1:34" x14ac:dyDescent="0.35">
      <c r="A11">
        <v>55.927799999999998</v>
      </c>
      <c r="B11">
        <v>1.7650299999999999E-3</v>
      </c>
      <c r="C11">
        <v>2.5931400000000002E-4</v>
      </c>
      <c r="D11">
        <f t="shared" si="0"/>
        <v>101.22848572788638</v>
      </c>
      <c r="E11">
        <f t="shared" si="1"/>
        <v>97.292977499634191</v>
      </c>
      <c r="G11" s="7">
        <v>2.1865700000000001E-3</v>
      </c>
      <c r="H11" s="7">
        <v>3.3976999999999998E-4</v>
      </c>
      <c r="I11" s="6">
        <f t="shared" si="2"/>
        <v>121.15974954286031</v>
      </c>
      <c r="J11" s="6">
        <f t="shared" si="3"/>
        <v>122.30433358410696</v>
      </c>
      <c r="L11" s="7">
        <v>2.0276299999999999E-3</v>
      </c>
      <c r="M11" s="7">
        <v>2.6268899999999998E-4</v>
      </c>
      <c r="N11" s="6">
        <f t="shared" si="4"/>
        <v>119.41776162739335</v>
      </c>
      <c r="O11" s="6">
        <f t="shared" si="5"/>
        <v>111.85156798875902</v>
      </c>
      <c r="Q11" s="7">
        <v>2.0747700000000001E-3</v>
      </c>
      <c r="R11" s="7">
        <v>3.0540899999999998E-4</v>
      </c>
      <c r="S11" s="6">
        <f t="shared" si="6"/>
        <v>117.26435729182563</v>
      </c>
      <c r="T11" s="6">
        <f t="shared" si="7"/>
        <v>111.69223004849363</v>
      </c>
      <c r="V11" s="7">
        <v>1.60111E-3</v>
      </c>
      <c r="W11" s="7">
        <v>2.3630799999999999E-4</v>
      </c>
      <c r="X11" s="6">
        <f t="shared" si="8"/>
        <v>107.42604483269929</v>
      </c>
      <c r="Y11" s="6">
        <f t="shared" si="9"/>
        <v>102.93101720976222</v>
      </c>
      <c r="AA11" s="6">
        <f t="shared" si="10"/>
        <v>1.9310219999999997E-3</v>
      </c>
      <c r="AB11" s="6">
        <f t="shared" si="11"/>
        <v>2.8069799999999996E-4</v>
      </c>
      <c r="AD11" s="6">
        <f t="shared" si="12"/>
        <v>113.29927980453299</v>
      </c>
      <c r="AE11" s="6">
        <f t="shared" si="13"/>
        <v>109.2144252661512</v>
      </c>
      <c r="AG11">
        <f t="shared" si="14"/>
        <v>7.6830150654446134</v>
      </c>
      <c r="AH11">
        <f t="shared" si="15"/>
        <v>8.5561892417615102</v>
      </c>
    </row>
    <row r="12" spans="1:34" x14ac:dyDescent="0.35">
      <c r="A12">
        <v>62.031100000000002</v>
      </c>
      <c r="B12">
        <v>1.76604E-3</v>
      </c>
      <c r="C12">
        <v>2.5842299999999998E-4</v>
      </c>
      <c r="D12">
        <f t="shared" si="0"/>
        <v>101.28641152551316</v>
      </c>
      <c r="E12">
        <f t="shared" si="1"/>
        <v>96.958679918507912</v>
      </c>
      <c r="G12" s="7">
        <v>2.2375099999999998E-3</v>
      </c>
      <c r="H12" s="7">
        <v>3.4611599999999999E-4</v>
      </c>
      <c r="I12" s="6">
        <f t="shared" si="2"/>
        <v>123.98237934282706</v>
      </c>
      <c r="J12" s="6">
        <f t="shared" si="3"/>
        <v>124.5886532736756</v>
      </c>
      <c r="L12" s="7">
        <v>2.0718099999999999E-3</v>
      </c>
      <c r="M12" s="7">
        <v>2.63355E-4</v>
      </c>
      <c r="N12" s="6">
        <f t="shared" si="4"/>
        <v>122.01975346451266</v>
      </c>
      <c r="O12" s="6">
        <f t="shared" si="5"/>
        <v>112.13514721849653</v>
      </c>
      <c r="Q12" s="7">
        <v>2.1207800000000001E-3</v>
      </c>
      <c r="R12" s="7">
        <v>3.0886999999999999E-4</v>
      </c>
      <c r="S12" s="6">
        <f t="shared" si="6"/>
        <v>119.86480605433756</v>
      </c>
      <c r="T12" s="6">
        <f t="shared" si="7"/>
        <v>112.95796487686422</v>
      </c>
      <c r="V12" s="7">
        <v>1.6084199999999999E-3</v>
      </c>
      <c r="W12" s="7">
        <v>2.4181800000000001E-4</v>
      </c>
      <c r="X12" s="6">
        <f t="shared" si="8"/>
        <v>107.91650731668041</v>
      </c>
      <c r="Y12" s="6">
        <f t="shared" si="9"/>
        <v>105.33106251007278</v>
      </c>
      <c r="AA12" s="6">
        <f t="shared" si="10"/>
        <v>1.960912E-3</v>
      </c>
      <c r="AB12" s="6">
        <f t="shared" si="11"/>
        <v>2.8371639999999997E-4</v>
      </c>
      <c r="AD12" s="6">
        <f t="shared" si="12"/>
        <v>115.01397154077418</v>
      </c>
      <c r="AE12" s="6">
        <f t="shared" si="13"/>
        <v>110.39430155952341</v>
      </c>
      <c r="AG12">
        <f t="shared" si="14"/>
        <v>8.8528392816063892</v>
      </c>
      <c r="AH12">
        <f t="shared" si="15"/>
        <v>9.1349313336281348</v>
      </c>
    </row>
    <row r="13" spans="1:34" x14ac:dyDescent="0.35">
      <c r="A13">
        <v>68.213200000000001</v>
      </c>
      <c r="B13">
        <v>1.76439E-3</v>
      </c>
      <c r="C13">
        <v>2.5951499999999998E-4</v>
      </c>
      <c r="D13">
        <f t="shared" si="0"/>
        <v>101.19178027196449</v>
      </c>
      <c r="E13">
        <f t="shared" si="1"/>
        <v>97.368391432076805</v>
      </c>
      <c r="G13" s="7">
        <v>2.2903300000000001E-3</v>
      </c>
      <c r="H13" s="7">
        <v>3.5420200000000002E-4</v>
      </c>
      <c r="I13" s="6">
        <f t="shared" si="2"/>
        <v>126.90918158142628</v>
      </c>
      <c r="J13" s="6">
        <f t="shared" si="3"/>
        <v>127.49930707289595</v>
      </c>
      <c r="L13" s="7">
        <v>2.1114599999999999E-3</v>
      </c>
      <c r="M13" s="7">
        <v>2.6966499999999999E-4</v>
      </c>
      <c r="N13" s="6">
        <f t="shared" si="4"/>
        <v>124.35494985070055</v>
      </c>
      <c r="O13" s="6">
        <f t="shared" si="5"/>
        <v>114.82191139213558</v>
      </c>
      <c r="Q13" s="7">
        <v>2.1594600000000002E-3</v>
      </c>
      <c r="R13" s="7">
        <v>3.1287699999999998E-4</v>
      </c>
      <c r="S13" s="6">
        <f t="shared" si="6"/>
        <v>122.05096902182207</v>
      </c>
      <c r="T13" s="6">
        <f t="shared" si="7"/>
        <v>114.42337934010635</v>
      </c>
      <c r="V13" s="7">
        <v>1.62488E-3</v>
      </c>
      <c r="W13" s="7">
        <v>2.4187500000000001E-4</v>
      </c>
      <c r="X13" s="6">
        <f t="shared" si="8"/>
        <v>109.02088658977608</v>
      </c>
      <c r="Y13" s="6">
        <f t="shared" si="9"/>
        <v>105.3558905649036</v>
      </c>
      <c r="AA13" s="6">
        <f t="shared" si="10"/>
        <v>1.9901040000000004E-3</v>
      </c>
      <c r="AB13" s="6">
        <f t="shared" si="11"/>
        <v>2.8762679999999998E-4</v>
      </c>
      <c r="AD13" s="6">
        <f t="shared" si="12"/>
        <v>116.7055534631379</v>
      </c>
      <c r="AE13" s="6">
        <f t="shared" si="13"/>
        <v>111.89377596042365</v>
      </c>
      <c r="AG13">
        <f t="shared" si="14"/>
        <v>9.9089053174114028</v>
      </c>
      <c r="AH13">
        <f t="shared" si="15"/>
        <v>10.121622526142554</v>
      </c>
    </row>
    <row r="14" spans="1:34" x14ac:dyDescent="0.35">
      <c r="A14">
        <v>74.461600000000004</v>
      </c>
      <c r="B14">
        <v>1.7638199999999999E-3</v>
      </c>
      <c r="C14">
        <v>2.5869499999999998E-4</v>
      </c>
      <c r="D14">
        <f t="shared" si="0"/>
        <v>101.15908947528402</v>
      </c>
      <c r="E14">
        <f t="shared" si="1"/>
        <v>97.060732603206404</v>
      </c>
      <c r="G14" s="7">
        <v>2.3636500000000001E-3</v>
      </c>
      <c r="H14" s="7">
        <v>3.6650099999999998E-4</v>
      </c>
      <c r="I14" s="6">
        <f t="shared" si="2"/>
        <v>130.97190668809219</v>
      </c>
      <c r="J14" s="6">
        <f t="shared" si="3"/>
        <v>131.92648133416364</v>
      </c>
      <c r="L14" s="7">
        <v>2.1565600000000001E-3</v>
      </c>
      <c r="M14" s="7">
        <v>2.69456E-4</v>
      </c>
      <c r="N14" s="6">
        <f t="shared" si="4"/>
        <v>127.01112531140859</v>
      </c>
      <c r="O14" s="6">
        <f t="shared" si="5"/>
        <v>114.73292031253328</v>
      </c>
      <c r="Q14" s="7">
        <v>2.1948900000000001E-3</v>
      </c>
      <c r="R14" s="7">
        <v>3.16865E-4</v>
      </c>
      <c r="S14" s="6">
        <f t="shared" si="6"/>
        <v>124.05344456313479</v>
      </c>
      <c r="T14" s="6">
        <f t="shared" si="7"/>
        <v>115.88184524462584</v>
      </c>
      <c r="V14" s="7">
        <v>1.6413899999999999E-3</v>
      </c>
      <c r="W14" s="7">
        <v>2.4548799999999998E-4</v>
      </c>
      <c r="X14" s="6">
        <f t="shared" si="8"/>
        <v>110.12862059942432</v>
      </c>
      <c r="Y14" s="6">
        <f t="shared" si="9"/>
        <v>106.92964077724878</v>
      </c>
      <c r="AA14" s="6">
        <f t="shared" si="10"/>
        <v>2.0240620000000001E-3</v>
      </c>
      <c r="AB14" s="6">
        <f t="shared" si="11"/>
        <v>2.91401E-4</v>
      </c>
      <c r="AD14" s="6">
        <f t="shared" si="12"/>
        <v>118.66483732746879</v>
      </c>
      <c r="AE14" s="6">
        <f t="shared" si="13"/>
        <v>113.30632405435558</v>
      </c>
      <c r="AG14">
        <f t="shared" si="14"/>
        <v>11.220336636578628</v>
      </c>
      <c r="AH14">
        <f t="shared" si="15"/>
        <v>11.48877778203016</v>
      </c>
    </row>
    <row r="15" spans="1:34" x14ac:dyDescent="0.35">
      <c r="A15">
        <v>80.745000000000005</v>
      </c>
      <c r="B15">
        <v>1.7621500000000001E-3</v>
      </c>
      <c r="C15">
        <v>2.5768399999999999E-4</v>
      </c>
      <c r="D15">
        <f t="shared" si="0"/>
        <v>101.06331117623782</v>
      </c>
      <c r="E15">
        <f t="shared" si="1"/>
        <v>96.681411778830821</v>
      </c>
      <c r="G15" s="7">
        <v>2.4222900000000001E-3</v>
      </c>
      <c r="H15" s="7">
        <v>3.75103E-4</v>
      </c>
      <c r="I15" s="6">
        <f t="shared" si="2"/>
        <v>134.22120019947914</v>
      </c>
      <c r="J15" s="6">
        <f t="shared" si="3"/>
        <v>135.02287559348758</v>
      </c>
      <c r="L15" s="7">
        <v>2.2052299999999999E-3</v>
      </c>
      <c r="M15" s="7">
        <v>2.7556400000000001E-4</v>
      </c>
      <c r="N15" s="6">
        <f t="shared" si="4"/>
        <v>129.87755678973809</v>
      </c>
      <c r="O15" s="6">
        <f t="shared" si="5"/>
        <v>117.33367396904475</v>
      </c>
      <c r="Q15" s="7">
        <v>2.2355999999999999E-3</v>
      </c>
      <c r="R15" s="7">
        <v>3.1749700000000003E-4</v>
      </c>
      <c r="S15" s="6">
        <f t="shared" si="6"/>
        <v>126.35434152296656</v>
      </c>
      <c r="T15" s="6">
        <f t="shared" si="7"/>
        <v>116.11297625055774</v>
      </c>
      <c r="V15" s="7">
        <v>1.65745E-3</v>
      </c>
      <c r="W15" s="7">
        <v>2.4643700000000001E-4</v>
      </c>
      <c r="X15" s="6">
        <f t="shared" si="8"/>
        <v>111.20616198009969</v>
      </c>
      <c r="Y15" s="6">
        <f t="shared" si="9"/>
        <v>107.34300611118614</v>
      </c>
      <c r="AA15" s="6">
        <f t="shared" si="10"/>
        <v>2.056544E-3</v>
      </c>
      <c r="AB15" s="6">
        <f t="shared" si="11"/>
        <v>2.9445699999999998E-4</v>
      </c>
      <c r="AD15" s="6">
        <f t="shared" si="12"/>
        <v>120.54451433370427</v>
      </c>
      <c r="AE15" s="6">
        <f t="shared" si="13"/>
        <v>114.49878874062139</v>
      </c>
      <c r="AG15">
        <f t="shared" si="14"/>
        <v>12.446956341763727</v>
      </c>
      <c r="AH15">
        <f t="shared" si="15"/>
        <v>12.653414270921845</v>
      </c>
    </row>
    <row r="16" spans="1:34" x14ac:dyDescent="0.35">
      <c r="A16">
        <v>86.833600000000004</v>
      </c>
      <c r="B16">
        <v>1.7633600000000001E-3</v>
      </c>
      <c r="C16">
        <v>2.5938600000000001E-4</v>
      </c>
      <c r="D16">
        <f t="shared" si="0"/>
        <v>101.13270742884018</v>
      </c>
      <c r="E16">
        <f t="shared" si="1"/>
        <v>97.319991445583781</v>
      </c>
      <c r="G16" s="7">
        <v>2.4785800000000002E-3</v>
      </c>
      <c r="H16" s="7">
        <v>3.8333399999999999E-4</v>
      </c>
      <c r="I16" s="6">
        <f t="shared" si="2"/>
        <v>137.34027816257552</v>
      </c>
      <c r="J16" s="6">
        <f t="shared" si="3"/>
        <v>137.98572390184555</v>
      </c>
      <c r="L16" s="7">
        <v>2.2515500000000002E-3</v>
      </c>
      <c r="M16" s="7">
        <v>2.8241300000000002E-4</v>
      </c>
      <c r="N16" s="6">
        <f t="shared" si="4"/>
        <v>132.60558444694425</v>
      </c>
      <c r="O16" s="6">
        <f t="shared" si="5"/>
        <v>120.24994145323713</v>
      </c>
      <c r="Q16" s="7">
        <v>2.2875199999999999E-3</v>
      </c>
      <c r="R16" s="7">
        <v>3.2411799999999998E-4</v>
      </c>
      <c r="S16" s="6">
        <f t="shared" si="6"/>
        <v>129.28881880507092</v>
      </c>
      <c r="T16" s="6">
        <f t="shared" si="7"/>
        <v>118.53436610858769</v>
      </c>
      <c r="V16" s="7">
        <v>1.6691200000000001E-3</v>
      </c>
      <c r="W16" s="7">
        <v>2.4881700000000003E-4</v>
      </c>
      <c r="X16" s="6">
        <f t="shared" si="8"/>
        <v>111.98915749146219</v>
      </c>
      <c r="Y16" s="6">
        <f t="shared" si="9"/>
        <v>108.37968629534933</v>
      </c>
      <c r="AA16" s="6">
        <f t="shared" si="10"/>
        <v>2.090026E-3</v>
      </c>
      <c r="AB16" s="6">
        <f t="shared" si="11"/>
        <v>2.9961359999999999E-4</v>
      </c>
      <c r="AD16" s="6">
        <f t="shared" si="12"/>
        <v>122.47130926697859</v>
      </c>
      <c r="AE16" s="6">
        <f t="shared" si="13"/>
        <v>116.49394184092068</v>
      </c>
      <c r="AG16">
        <f t="shared" si="14"/>
        <v>13.678301356492064</v>
      </c>
      <c r="AH16">
        <f t="shared" si="15"/>
        <v>13.517759261473708</v>
      </c>
    </row>
    <row r="17" spans="1:34" x14ac:dyDescent="0.35">
      <c r="A17">
        <v>93.167199999999994</v>
      </c>
      <c r="B17">
        <v>1.7645499999999999E-3</v>
      </c>
      <c r="C17">
        <v>2.5757200000000002E-4</v>
      </c>
      <c r="D17">
        <f t="shared" si="0"/>
        <v>101.20095663594495</v>
      </c>
      <c r="E17">
        <f t="shared" si="1"/>
        <v>96.639390085131467</v>
      </c>
      <c r="G17" s="7">
        <v>2.5403399999999999E-3</v>
      </c>
      <c r="H17" s="7">
        <v>3.95082E-4</v>
      </c>
      <c r="I17" s="6">
        <f t="shared" si="2"/>
        <v>140.76245359339501</v>
      </c>
      <c r="J17" s="6">
        <f t="shared" si="3"/>
        <v>142.21455902839023</v>
      </c>
      <c r="L17" s="7">
        <v>2.2966499999999999E-3</v>
      </c>
      <c r="M17" s="7">
        <v>2.8583599999999998E-4</v>
      </c>
      <c r="N17" s="6">
        <f t="shared" si="4"/>
        <v>135.26175990765225</v>
      </c>
      <c r="O17" s="6">
        <f t="shared" si="5"/>
        <v>121.70743650337441</v>
      </c>
      <c r="Q17" s="7">
        <v>2.34008E-3</v>
      </c>
      <c r="R17" s="7">
        <v>3.3104E-4</v>
      </c>
      <c r="S17" s="6">
        <f t="shared" si="6"/>
        <v>132.25946838032905</v>
      </c>
      <c r="T17" s="6">
        <f t="shared" si="7"/>
        <v>121.0658357653289</v>
      </c>
      <c r="V17" s="7">
        <v>1.6760799999999999E-3</v>
      </c>
      <c r="W17" s="7">
        <v>2.50974E-4</v>
      </c>
      <c r="X17" s="6">
        <f t="shared" si="8"/>
        <v>112.45613681957556</v>
      </c>
      <c r="Y17" s="6">
        <f t="shared" si="9"/>
        <v>109.31923215973586</v>
      </c>
      <c r="AA17" s="6">
        <f t="shared" si="10"/>
        <v>2.1235399999999997E-3</v>
      </c>
      <c r="AB17" s="6">
        <f t="shared" si="11"/>
        <v>3.0410080000000002E-4</v>
      </c>
      <c r="AD17" s="6">
        <f t="shared" si="12"/>
        <v>124.38815506737937</v>
      </c>
      <c r="AE17" s="6">
        <f t="shared" si="13"/>
        <v>118.18929070839218</v>
      </c>
      <c r="AG17">
        <f t="shared" si="14"/>
        <v>15.022181854023279</v>
      </c>
      <c r="AH17">
        <f t="shared" si="15"/>
        <v>15.105903049313214</v>
      </c>
    </row>
    <row r="18" spans="1:34" x14ac:dyDescent="0.35">
      <c r="A18">
        <v>99.287099999999995</v>
      </c>
      <c r="B18">
        <v>1.76494E-3</v>
      </c>
      <c r="C18">
        <v>2.5781699999999997E-4</v>
      </c>
      <c r="D18">
        <f t="shared" si="0"/>
        <v>101.22332402314737</v>
      </c>
      <c r="E18">
        <f t="shared" si="1"/>
        <v>96.731312540098813</v>
      </c>
      <c r="G18" s="7">
        <v>2.6329299999999999E-3</v>
      </c>
      <c r="H18" s="7">
        <v>4.0932700000000002E-4</v>
      </c>
      <c r="I18" s="6">
        <f t="shared" si="2"/>
        <v>145.89294619604365</v>
      </c>
      <c r="J18" s="6">
        <f t="shared" si="3"/>
        <v>147.34221959849825</v>
      </c>
      <c r="L18" s="7">
        <v>2.3449999999999999E-3</v>
      </c>
      <c r="M18" s="7">
        <v>2.8720200000000002E-4</v>
      </c>
      <c r="N18" s="6">
        <f t="shared" si="4"/>
        <v>138.10934490821177</v>
      </c>
      <c r="O18" s="6">
        <f t="shared" si="5"/>
        <v>122.28907198058378</v>
      </c>
      <c r="Q18" s="7">
        <v>2.3856300000000001E-3</v>
      </c>
      <c r="R18" s="7">
        <v>3.3382600000000001E-4</v>
      </c>
      <c r="S18" s="6">
        <f t="shared" si="6"/>
        <v>134.83391830713668</v>
      </c>
      <c r="T18" s="6">
        <f t="shared" si="7"/>
        <v>122.08471390223745</v>
      </c>
      <c r="V18" s="7">
        <v>1.6978500000000001E-3</v>
      </c>
      <c r="W18" s="7">
        <v>2.55247E-4</v>
      </c>
      <c r="X18" s="6">
        <f t="shared" si="8"/>
        <v>113.91678911455084</v>
      </c>
      <c r="Y18" s="6">
        <f t="shared" si="9"/>
        <v>111.18046511222717</v>
      </c>
      <c r="AA18" s="6">
        <f t="shared" si="10"/>
        <v>2.16527E-3</v>
      </c>
      <c r="AB18" s="6">
        <f t="shared" si="11"/>
        <v>3.0868379999999997E-4</v>
      </c>
      <c r="AD18" s="6">
        <f t="shared" si="12"/>
        <v>126.79526450981805</v>
      </c>
      <c r="AE18" s="6">
        <f t="shared" si="13"/>
        <v>119.9255566267291</v>
      </c>
      <c r="AG18">
        <f t="shared" si="14"/>
        <v>16.595957849327036</v>
      </c>
      <c r="AH18">
        <f t="shared" si="15"/>
        <v>16.591390284259248</v>
      </c>
    </row>
    <row r="19" spans="1:34" x14ac:dyDescent="0.35">
      <c r="A19">
        <v>105.572</v>
      </c>
      <c r="B19">
        <v>1.76403E-3</v>
      </c>
      <c r="C19">
        <v>2.5616400000000002E-4</v>
      </c>
      <c r="D19">
        <f t="shared" si="0"/>
        <v>101.17113345300841</v>
      </c>
      <c r="E19">
        <f t="shared" si="1"/>
        <v>96.11111736433935</v>
      </c>
      <c r="G19" s="7">
        <v>2.70499E-3</v>
      </c>
      <c r="H19" s="7">
        <v>4.2443500000000002E-4</v>
      </c>
      <c r="I19" s="6">
        <f t="shared" si="2"/>
        <v>149.88585360447721</v>
      </c>
      <c r="J19" s="6">
        <f t="shared" si="3"/>
        <v>152.78052748850823</v>
      </c>
      <c r="L19" s="7">
        <v>2.3971499999999998E-3</v>
      </c>
      <c r="M19" s="7">
        <v>2.97695E-4</v>
      </c>
      <c r="N19" s="6">
        <f t="shared" si="4"/>
        <v>141.18073183228989</v>
      </c>
      <c r="O19" s="6">
        <f t="shared" si="5"/>
        <v>126.7569351301867</v>
      </c>
      <c r="Q19" s="7">
        <v>2.4291099999999999E-3</v>
      </c>
      <c r="R19" s="7">
        <v>3.3880599999999998E-4</v>
      </c>
      <c r="S19" s="6">
        <f t="shared" si="6"/>
        <v>137.29137347327489</v>
      </c>
      <c r="T19" s="6">
        <f t="shared" si="7"/>
        <v>123.90596771480189</v>
      </c>
      <c r="V19" s="7">
        <v>1.7129599999999999E-3</v>
      </c>
      <c r="W19" s="7">
        <v>2.5786400000000001E-4</v>
      </c>
      <c r="X19" s="6">
        <f t="shared" si="8"/>
        <v>114.93059050072796</v>
      </c>
      <c r="Y19" s="6">
        <f t="shared" si="9"/>
        <v>112.32037773489736</v>
      </c>
      <c r="AA19" s="6">
        <f t="shared" si="10"/>
        <v>2.2016479999999996E-3</v>
      </c>
      <c r="AB19" s="6">
        <f t="shared" si="11"/>
        <v>3.149928E-4</v>
      </c>
      <c r="AD19" s="6">
        <f t="shared" si="12"/>
        <v>128.89193657275567</v>
      </c>
      <c r="AE19" s="6">
        <f t="shared" si="13"/>
        <v>122.37498508654672</v>
      </c>
      <c r="AG19">
        <f t="shared" si="14"/>
        <v>18.031481865105203</v>
      </c>
      <c r="AH19">
        <f t="shared" si="15"/>
        <v>18.638284682212056</v>
      </c>
    </row>
    <row r="20" spans="1:34" x14ac:dyDescent="0.35">
      <c r="A20">
        <v>111.81699999999999</v>
      </c>
      <c r="B20">
        <v>1.76603E-3</v>
      </c>
      <c r="C20">
        <v>2.5700000000000001E-4</v>
      </c>
      <c r="D20">
        <f t="shared" si="0"/>
        <v>101.28583800276438</v>
      </c>
      <c r="E20">
        <f t="shared" si="1"/>
        <v>96.424779292309665</v>
      </c>
      <c r="G20" s="7">
        <v>2.7609800000000001E-3</v>
      </c>
      <c r="H20" s="7">
        <v>4.37231E-4</v>
      </c>
      <c r="I20" s="6">
        <f t="shared" si="2"/>
        <v>152.98830830608966</v>
      </c>
      <c r="J20" s="6">
        <f t="shared" si="3"/>
        <v>157.38660292937183</v>
      </c>
      <c r="L20" s="7">
        <v>2.4509699999999998E-3</v>
      </c>
      <c r="M20" s="7">
        <v>3.0102999999999998E-4</v>
      </c>
      <c r="N20" s="6">
        <f t="shared" si="4"/>
        <v>144.35047381223015</v>
      </c>
      <c r="O20" s="6">
        <f t="shared" si="5"/>
        <v>128.17696025207042</v>
      </c>
      <c r="Q20" s="7">
        <v>2.4805700000000001E-3</v>
      </c>
      <c r="R20" s="7">
        <v>3.4657399999999999E-4</v>
      </c>
      <c r="S20" s="6">
        <f t="shared" si="6"/>
        <v>140.1998519196749</v>
      </c>
      <c r="T20" s="6">
        <f t="shared" si="7"/>
        <v>126.74683109150887</v>
      </c>
      <c r="V20" s="7">
        <v>1.72748E-3</v>
      </c>
      <c r="W20" s="7">
        <v>2.63665E-4</v>
      </c>
      <c r="X20" s="6">
        <f t="shared" si="8"/>
        <v>115.90480599558516</v>
      </c>
      <c r="Y20" s="6">
        <f t="shared" si="9"/>
        <v>114.84717678881779</v>
      </c>
      <c r="AA20" s="6">
        <f t="shared" si="10"/>
        <v>2.2372059999999998E-3</v>
      </c>
      <c r="AB20" s="6">
        <f t="shared" si="11"/>
        <v>3.211E-4</v>
      </c>
      <c r="AD20" s="6">
        <f t="shared" si="12"/>
        <v>130.94585560726884</v>
      </c>
      <c r="AE20" s="6">
        <f t="shared" si="13"/>
        <v>124.71647007081572</v>
      </c>
      <c r="AG20">
        <f t="shared" si="14"/>
        <v>19.272466244210761</v>
      </c>
      <c r="AH20">
        <f t="shared" si="15"/>
        <v>19.906067698856528</v>
      </c>
    </row>
    <row r="21" spans="1:34" x14ac:dyDescent="0.35">
      <c r="A21">
        <v>117.977</v>
      </c>
      <c r="B21">
        <v>1.76618E-3</v>
      </c>
      <c r="C21">
        <v>2.5772499999999999E-4</v>
      </c>
      <c r="D21">
        <f t="shared" si="0"/>
        <v>101.29444084399609</v>
      </c>
      <c r="E21">
        <f t="shared" si="1"/>
        <v>96.69679472027434</v>
      </c>
      <c r="G21" s="7">
        <v>2.8314500000000001E-3</v>
      </c>
      <c r="H21" s="7">
        <v>4.3068099999999998E-4</v>
      </c>
      <c r="I21" s="6">
        <f t="shared" si="2"/>
        <v>156.8931124286585</v>
      </c>
      <c r="J21" s="6">
        <f t="shared" si="3"/>
        <v>155.0288509648785</v>
      </c>
      <c r="L21" s="7">
        <v>2.50278E-3</v>
      </c>
      <c r="M21" s="7">
        <v>3.0190700000000002E-4</v>
      </c>
      <c r="N21" s="6">
        <f t="shared" si="4"/>
        <v>147.40183635367771</v>
      </c>
      <c r="O21" s="6">
        <f t="shared" si="5"/>
        <v>128.55038215068873</v>
      </c>
      <c r="Q21" s="7">
        <v>2.5333199999999999E-3</v>
      </c>
      <c r="R21" s="7">
        <v>3.4790199999999998E-4</v>
      </c>
      <c r="S21" s="6">
        <f t="shared" si="6"/>
        <v>143.18124014446309</v>
      </c>
      <c r="T21" s="6">
        <f t="shared" si="7"/>
        <v>127.23249877485938</v>
      </c>
      <c r="V21" s="7">
        <v>1.74815E-3</v>
      </c>
      <c r="W21" s="7">
        <v>2.6296499999999999E-4</v>
      </c>
      <c r="X21" s="6">
        <f t="shared" si="8"/>
        <v>117.29165408640458</v>
      </c>
      <c r="Y21" s="6">
        <f t="shared" si="9"/>
        <v>114.5422708522992</v>
      </c>
      <c r="AA21" s="6">
        <f t="shared" si="10"/>
        <v>2.2763760000000001E-3</v>
      </c>
      <c r="AB21" s="6">
        <f t="shared" si="11"/>
        <v>3.20236E-4</v>
      </c>
      <c r="AD21" s="6">
        <f t="shared" si="12"/>
        <v>133.21245677144</v>
      </c>
      <c r="AE21" s="6">
        <f t="shared" si="13"/>
        <v>124.41015949260002</v>
      </c>
      <c r="AG21">
        <f t="shared" si="14"/>
        <v>20.657784421874698</v>
      </c>
      <c r="AH21">
        <f t="shared" si="15"/>
        <v>19.120758998421969</v>
      </c>
    </row>
    <row r="22" spans="1:34" x14ac:dyDescent="0.35">
      <c r="A22">
        <v>124.10599999999999</v>
      </c>
      <c r="B22">
        <v>1.76743E-3</v>
      </c>
      <c r="C22">
        <v>2.5745299999999999E-4</v>
      </c>
      <c r="D22">
        <f t="shared" si="0"/>
        <v>101.36613118759354</v>
      </c>
      <c r="E22">
        <f t="shared" si="1"/>
        <v>96.594742035575862</v>
      </c>
      <c r="G22" s="7">
        <v>2.8892700000000002E-3</v>
      </c>
      <c r="H22" s="7">
        <v>4.42378E-4</v>
      </c>
      <c r="I22" s="6">
        <f t="shared" si="2"/>
        <v>160.09696902532278</v>
      </c>
      <c r="J22" s="6">
        <f t="shared" si="3"/>
        <v>159.23932802269204</v>
      </c>
      <c r="L22" s="7">
        <v>2.55047E-3</v>
      </c>
      <c r="M22" s="7">
        <v>3.1316699999999999E-4</v>
      </c>
      <c r="N22" s="6">
        <f t="shared" si="4"/>
        <v>150.21055049383659</v>
      </c>
      <c r="O22" s="6">
        <f t="shared" si="5"/>
        <v>133.34482978859296</v>
      </c>
      <c r="Q22" s="7">
        <v>2.5754100000000002E-3</v>
      </c>
      <c r="R22" s="7">
        <v>3.53901E-4</v>
      </c>
      <c r="S22" s="6">
        <f t="shared" si="6"/>
        <v>145.56013361140785</v>
      </c>
      <c r="T22" s="6">
        <f t="shared" si="7"/>
        <v>129.4264147631273</v>
      </c>
      <c r="V22" s="7">
        <v>1.77085E-3</v>
      </c>
      <c r="W22" s="7">
        <v>2.6534200000000001E-4</v>
      </c>
      <c r="X22" s="6">
        <f t="shared" si="8"/>
        <v>118.81470448125708</v>
      </c>
      <c r="Y22" s="6">
        <f t="shared" si="9"/>
        <v>115.57764429673448</v>
      </c>
      <c r="AA22" s="6">
        <f t="shared" si="10"/>
        <v>2.3106860000000002E-3</v>
      </c>
      <c r="AB22" s="6">
        <f t="shared" si="11"/>
        <v>3.2644819999999998E-4</v>
      </c>
      <c r="AD22" s="6">
        <f t="shared" si="12"/>
        <v>135.20969775988357</v>
      </c>
      <c r="AE22" s="6">
        <f t="shared" si="13"/>
        <v>126.83659178134454</v>
      </c>
      <c r="AG22">
        <f t="shared" si="14"/>
        <v>21.751855916408896</v>
      </c>
      <c r="AH22">
        <f t="shared" si="15"/>
        <v>20.689780257263063</v>
      </c>
    </row>
    <row r="23" spans="1:34" x14ac:dyDescent="0.35">
      <c r="A23">
        <v>130.37799999999999</v>
      </c>
      <c r="B23">
        <v>1.7722700000000001E-3</v>
      </c>
      <c r="C23">
        <v>2.5828E-4</v>
      </c>
      <c r="D23">
        <f t="shared" si="0"/>
        <v>101.64371619800299</v>
      </c>
      <c r="E23">
        <f t="shared" si="1"/>
        <v>96.905027220302486</v>
      </c>
      <c r="G23" s="7">
        <v>2.9433100000000002E-3</v>
      </c>
      <c r="H23" s="7">
        <v>4.4881700000000001E-4</v>
      </c>
      <c r="I23" s="6">
        <f t="shared" si="2"/>
        <v>163.09137252728988</v>
      </c>
      <c r="J23" s="6">
        <f t="shared" si="3"/>
        <v>161.55712419053515</v>
      </c>
      <c r="L23" s="7">
        <v>2.6086400000000002E-3</v>
      </c>
      <c r="M23" s="7">
        <v>3.1761300000000001E-4</v>
      </c>
      <c r="N23" s="6">
        <f t="shared" si="4"/>
        <v>153.63648678096271</v>
      </c>
      <c r="O23" s="6">
        <f t="shared" si="5"/>
        <v>135.23791275467843</v>
      </c>
      <c r="Q23" s="7">
        <v>2.6198599999999999E-3</v>
      </c>
      <c r="R23" s="7">
        <v>3.57654E-4</v>
      </c>
      <c r="S23" s="6">
        <f t="shared" si="6"/>
        <v>148.0724124093573</v>
      </c>
      <c r="T23" s="6">
        <f t="shared" si="7"/>
        <v>130.79893796765629</v>
      </c>
      <c r="V23" s="7">
        <v>1.7909200000000001E-3</v>
      </c>
      <c r="W23" s="7">
        <v>2.7001E-4</v>
      </c>
      <c r="X23" s="6">
        <f t="shared" si="8"/>
        <v>120.16129573344605</v>
      </c>
      <c r="Y23" s="6">
        <f t="shared" si="9"/>
        <v>117.61093131340409</v>
      </c>
      <c r="AA23" s="6">
        <f t="shared" si="10"/>
        <v>2.3470000000000001E-3</v>
      </c>
      <c r="AB23" s="6">
        <f t="shared" si="11"/>
        <v>3.3047480000000004E-4</v>
      </c>
      <c r="AD23" s="6">
        <f t="shared" si="12"/>
        <v>137.3210567298118</v>
      </c>
      <c r="AE23" s="6">
        <f t="shared" si="13"/>
        <v>128.42198668931528</v>
      </c>
      <c r="AG23">
        <f t="shared" si="14"/>
        <v>22.861426499144258</v>
      </c>
      <c r="AH23">
        <f t="shared" si="15"/>
        <v>21.261428622015387</v>
      </c>
    </row>
    <row r="24" spans="1:34" x14ac:dyDescent="0.35">
      <c r="A24">
        <v>136.60400000000001</v>
      </c>
      <c r="B24">
        <v>1.7750000000000001E-3</v>
      </c>
      <c r="C24">
        <v>2.57199E-4</v>
      </c>
      <c r="D24">
        <f t="shared" si="0"/>
        <v>101.80028790841989</v>
      </c>
      <c r="E24">
        <f t="shared" si="1"/>
        <v>96.499442837364796</v>
      </c>
      <c r="G24" s="7">
        <v>3.0041500000000001E-3</v>
      </c>
      <c r="H24" s="7">
        <v>4.5023699999999998E-4</v>
      </c>
      <c r="I24" s="6">
        <f t="shared" si="2"/>
        <v>166.46256995622542</v>
      </c>
      <c r="J24" s="6">
        <f t="shared" si="3"/>
        <v>162.06827041795205</v>
      </c>
      <c r="L24" s="7">
        <v>2.66366E-3</v>
      </c>
      <c r="M24" s="7">
        <v>3.2117199999999999E-4</v>
      </c>
      <c r="N24" s="6">
        <f t="shared" si="4"/>
        <v>156.87690305254046</v>
      </c>
      <c r="O24" s="6">
        <f t="shared" si="5"/>
        <v>136.75331587575312</v>
      </c>
      <c r="Q24" s="7">
        <v>2.6708600000000002E-3</v>
      </c>
      <c r="R24" s="7">
        <v>3.6204500000000002E-4</v>
      </c>
      <c r="S24" s="6">
        <f t="shared" si="6"/>
        <v>150.95489202005302</v>
      </c>
      <c r="T24" s="6">
        <f t="shared" si="7"/>
        <v>132.40478645981906</v>
      </c>
      <c r="V24" s="7">
        <v>1.8191399999999999E-3</v>
      </c>
      <c r="W24" s="7">
        <v>2.7136800000000002E-4</v>
      </c>
      <c r="X24" s="6">
        <f t="shared" si="8"/>
        <v>122.05470904369879</v>
      </c>
      <c r="Y24" s="6">
        <f t="shared" si="9"/>
        <v>118.20244883025018</v>
      </c>
      <c r="AA24" s="6">
        <f t="shared" si="10"/>
        <v>2.3865620000000001E-3</v>
      </c>
      <c r="AB24" s="6">
        <f t="shared" si="11"/>
        <v>3.3240420000000003E-4</v>
      </c>
      <c r="AD24" s="6">
        <f t="shared" si="12"/>
        <v>139.62987239618752</v>
      </c>
      <c r="AE24" s="6">
        <f t="shared" si="13"/>
        <v>129.18565288422786</v>
      </c>
      <c r="AG24">
        <f t="shared" si="14"/>
        <v>24.023628467300068</v>
      </c>
      <c r="AH24">
        <f t="shared" si="15"/>
        <v>21.623681363352233</v>
      </c>
    </row>
    <row r="25" spans="1:34" x14ac:dyDescent="0.35">
      <c r="A25">
        <v>142.80099999999999</v>
      </c>
      <c r="B25">
        <v>1.77754E-3</v>
      </c>
      <c r="C25">
        <v>2.5875699999999998E-4</v>
      </c>
      <c r="D25">
        <f t="shared" si="0"/>
        <v>101.94596268660996</v>
      </c>
      <c r="E25">
        <f t="shared" si="1"/>
        <v>97.083994612218547</v>
      </c>
      <c r="G25" s="7">
        <v>3.0667200000000002E-3</v>
      </c>
      <c r="H25" s="7">
        <v>4.6609599999999999E-4</v>
      </c>
      <c r="I25" s="6">
        <f t="shared" si="2"/>
        <v>169.92962819305149</v>
      </c>
      <c r="J25" s="6">
        <f t="shared" si="3"/>
        <v>167.77690986908178</v>
      </c>
      <c r="L25" s="7">
        <v>2.7180300000000002E-3</v>
      </c>
      <c r="M25" s="7">
        <v>3.2218900000000001E-4</v>
      </c>
      <c r="N25" s="6">
        <f t="shared" si="4"/>
        <v>160.07903741614791</v>
      </c>
      <c r="O25" s="6">
        <f t="shared" si="5"/>
        <v>137.1863490238658</v>
      </c>
      <c r="Q25" s="7">
        <v>2.7158500000000001E-3</v>
      </c>
      <c r="R25" s="7">
        <v>3.65421E-4</v>
      </c>
      <c r="S25" s="6">
        <f t="shared" si="6"/>
        <v>153.49769119035105</v>
      </c>
      <c r="T25" s="6">
        <f t="shared" si="7"/>
        <v>133.63943563074631</v>
      </c>
      <c r="V25" s="7">
        <v>1.84235E-3</v>
      </c>
      <c r="W25" s="7">
        <v>2.7339600000000002E-4</v>
      </c>
      <c r="X25" s="6">
        <f t="shared" si="8"/>
        <v>123.61197775138717</v>
      </c>
      <c r="Y25" s="6">
        <f t="shared" si="9"/>
        <v>119.08580488633544</v>
      </c>
      <c r="AA25" s="6">
        <f t="shared" si="10"/>
        <v>2.4240980000000004E-3</v>
      </c>
      <c r="AB25" s="6">
        <f t="shared" si="11"/>
        <v>3.3717179999999999E-4</v>
      </c>
      <c r="AD25" s="6">
        <f t="shared" si="12"/>
        <v>141.81285944750951</v>
      </c>
      <c r="AE25" s="6">
        <f t="shared" si="13"/>
        <v>130.95449880444957</v>
      </c>
      <c r="AG25">
        <f t="shared" si="14"/>
        <v>25.224522936980438</v>
      </c>
      <c r="AH25">
        <f t="shared" si="15"/>
        <v>23.194877663350624</v>
      </c>
    </row>
    <row r="26" spans="1:34" x14ac:dyDescent="0.35">
      <c r="A26">
        <v>148.94900000000001</v>
      </c>
      <c r="B26">
        <v>1.78028E-3</v>
      </c>
      <c r="C26">
        <v>2.5884500000000001E-4</v>
      </c>
      <c r="D26">
        <f t="shared" si="0"/>
        <v>102.10310791977564</v>
      </c>
      <c r="E26">
        <f t="shared" si="1"/>
        <v>97.117011657268066</v>
      </c>
      <c r="G26" s="7">
        <v>3.14636E-3</v>
      </c>
      <c r="H26" s="7">
        <v>4.7460100000000001E-4</v>
      </c>
      <c r="I26" s="6">
        <f t="shared" si="2"/>
        <v>174.34255000831163</v>
      </c>
      <c r="J26" s="6">
        <f t="shared" si="3"/>
        <v>170.83838780160329</v>
      </c>
      <c r="L26" s="7">
        <v>2.7700200000000002E-3</v>
      </c>
      <c r="M26" s="7">
        <v>3.2600000000000001E-4</v>
      </c>
      <c r="N26" s="6">
        <f t="shared" si="4"/>
        <v>163.14100110134103</v>
      </c>
      <c r="O26" s="6">
        <f t="shared" si="5"/>
        <v>138.80905239403037</v>
      </c>
      <c r="Q26" s="7">
        <v>2.75816E-3</v>
      </c>
      <c r="R26" s="7">
        <v>3.6665899999999997E-4</v>
      </c>
      <c r="S26" s="6">
        <f t="shared" si="6"/>
        <v>155.88901888306742</v>
      </c>
      <c r="T26" s="6">
        <f t="shared" si="7"/>
        <v>134.09218908856852</v>
      </c>
      <c r="V26" s="7">
        <v>1.8697E-3</v>
      </c>
      <c r="W26" s="7">
        <v>2.7854799999999999E-4</v>
      </c>
      <c r="X26" s="6">
        <f t="shared" si="8"/>
        <v>125.44701864562575</v>
      </c>
      <c r="Y26" s="6">
        <f t="shared" si="9"/>
        <v>121.3299125791122</v>
      </c>
      <c r="AA26" s="6">
        <f t="shared" si="10"/>
        <v>2.464904E-3</v>
      </c>
      <c r="AB26" s="6">
        <f t="shared" si="11"/>
        <v>3.4093060000000002E-4</v>
      </c>
      <c r="AD26" s="6">
        <f t="shared" si="12"/>
        <v>144.18453931162429</v>
      </c>
      <c r="AE26" s="6">
        <f t="shared" si="13"/>
        <v>132.4373107041165</v>
      </c>
      <c r="AG26">
        <f t="shared" si="14"/>
        <v>26.562339669164679</v>
      </c>
      <c r="AH26">
        <f t="shared" si="15"/>
        <v>24.036964262333942</v>
      </c>
    </row>
    <row r="27" spans="1:34" x14ac:dyDescent="0.35">
      <c r="A27">
        <v>155.233</v>
      </c>
      <c r="B27">
        <v>1.7878E-3</v>
      </c>
      <c r="C27">
        <v>2.5901500000000003E-4</v>
      </c>
      <c r="D27">
        <f t="shared" si="0"/>
        <v>102.53439702685807</v>
      </c>
      <c r="E27">
        <f t="shared" si="1"/>
        <v>97.180794585204623</v>
      </c>
      <c r="G27" s="7">
        <v>3.2111399999999999E-3</v>
      </c>
      <c r="H27" s="7">
        <v>4.8288299999999998E-4</v>
      </c>
      <c r="I27" s="6">
        <f t="shared" si="2"/>
        <v>177.93206627140245</v>
      </c>
      <c r="J27" s="6">
        <f t="shared" si="3"/>
        <v>173.81959417869243</v>
      </c>
      <c r="L27" s="7">
        <v>2.8218900000000001E-3</v>
      </c>
      <c r="M27" s="7">
        <v>3.3585199999999998E-4</v>
      </c>
      <c r="N27" s="6">
        <f t="shared" si="4"/>
        <v>166.19589735737043</v>
      </c>
      <c r="O27" s="6">
        <f t="shared" si="5"/>
        <v>143.00398117987694</v>
      </c>
      <c r="Q27" s="7">
        <v>2.7991800000000001E-3</v>
      </c>
      <c r="R27" s="7">
        <v>3.7172399999999998E-4</v>
      </c>
      <c r="S27" s="6">
        <f t="shared" si="6"/>
        <v>158.20743679739559</v>
      </c>
      <c r="T27" s="6">
        <f t="shared" si="7"/>
        <v>135.94452855857634</v>
      </c>
      <c r="V27" s="7">
        <v>1.89945E-3</v>
      </c>
      <c r="W27" s="7">
        <v>2.8107700000000002E-4</v>
      </c>
      <c r="X27" s="6">
        <f t="shared" si="8"/>
        <v>127.44308689438617</v>
      </c>
      <c r="Y27" s="6">
        <f t="shared" si="9"/>
        <v>122.43149416976293</v>
      </c>
      <c r="AA27" s="6">
        <f t="shared" si="10"/>
        <v>2.5038920000000002E-3</v>
      </c>
      <c r="AB27" s="6">
        <f t="shared" si="11"/>
        <v>3.4611019999999996E-4</v>
      </c>
      <c r="AD27" s="6">
        <f t="shared" si="12"/>
        <v>146.46257686948255</v>
      </c>
      <c r="AE27" s="6">
        <f t="shared" si="13"/>
        <v>134.47607853442267</v>
      </c>
      <c r="AG27">
        <f t="shared" si="14"/>
        <v>27.601088451799505</v>
      </c>
      <c r="AH27">
        <f t="shared" si="15"/>
        <v>25.134851937598043</v>
      </c>
    </row>
    <row r="28" spans="1:34" x14ac:dyDescent="0.35">
      <c r="A28">
        <v>161.44499999999999</v>
      </c>
      <c r="B28">
        <v>1.79499E-3</v>
      </c>
      <c r="C28">
        <v>2.6067400000000002E-4</v>
      </c>
      <c r="D28">
        <f t="shared" si="0"/>
        <v>102.94675988323077</v>
      </c>
      <c r="E28">
        <f t="shared" si="1"/>
        <v>97.80324092312658</v>
      </c>
      <c r="G28" s="7">
        <v>3.2724799999999999E-3</v>
      </c>
      <c r="H28" s="7">
        <v>4.8967300000000004E-4</v>
      </c>
      <c r="I28" s="6">
        <f t="shared" si="2"/>
        <v>181.33096913614452</v>
      </c>
      <c r="J28" s="6">
        <f t="shared" si="3"/>
        <v>176.26373705486185</v>
      </c>
      <c r="L28" s="7">
        <v>2.8801199999999999E-3</v>
      </c>
      <c r="M28" s="7">
        <v>3.3570900000000001E-4</v>
      </c>
      <c r="N28" s="6">
        <f t="shared" si="4"/>
        <v>169.62536735907841</v>
      </c>
      <c r="O28" s="6">
        <f t="shared" si="5"/>
        <v>142.94309254646484</v>
      </c>
      <c r="Q28" s="7">
        <v>2.84016E-3</v>
      </c>
      <c r="R28" s="7">
        <v>3.7424499999999999E-4</v>
      </c>
      <c r="S28" s="6">
        <f t="shared" si="6"/>
        <v>160.52359394340166</v>
      </c>
      <c r="T28" s="6">
        <f t="shared" si="7"/>
        <v>136.866492586985</v>
      </c>
      <c r="V28" s="7">
        <v>1.9232299999999999E-3</v>
      </c>
      <c r="W28" s="7">
        <v>2.8791999999999999E-4</v>
      </c>
      <c r="X28" s="6">
        <f t="shared" si="8"/>
        <v>129.03859959877352</v>
      </c>
      <c r="Y28" s="6">
        <f t="shared" si="9"/>
        <v>125.41216748918673</v>
      </c>
      <c r="AA28" s="6">
        <f t="shared" si="10"/>
        <v>2.542196E-3</v>
      </c>
      <c r="AB28" s="6">
        <f t="shared" si="11"/>
        <v>3.4964420000000004E-4</v>
      </c>
      <c r="AD28" s="6">
        <f t="shared" si="12"/>
        <v>148.6930579841258</v>
      </c>
      <c r="AE28" s="6">
        <f t="shared" si="13"/>
        <v>135.857746120125</v>
      </c>
      <c r="AG28">
        <f t="shared" si="14"/>
        <v>28.713682890137907</v>
      </c>
      <c r="AH28">
        <f t="shared" si="15"/>
        <v>25.460240711969657</v>
      </c>
    </row>
    <row r="29" spans="1:34" x14ac:dyDescent="0.35">
      <c r="A29">
        <v>167.59</v>
      </c>
      <c r="B29">
        <v>1.79944E-3</v>
      </c>
      <c r="C29">
        <v>2.6077499999999998E-4</v>
      </c>
      <c r="D29">
        <f t="shared" si="0"/>
        <v>103.20197750643779</v>
      </c>
      <c r="E29">
        <f t="shared" si="1"/>
        <v>97.841135486194744</v>
      </c>
      <c r="G29" s="7">
        <v>3.3364200000000001E-3</v>
      </c>
      <c r="H29" s="7">
        <v>4.9625799999999996E-4</v>
      </c>
      <c r="I29" s="6">
        <f t="shared" si="2"/>
        <v>184.8739402670804</v>
      </c>
      <c r="J29" s="6">
        <f t="shared" si="3"/>
        <v>178.63408769397461</v>
      </c>
      <c r="L29" s="7">
        <v>2.9284699999999999E-3</v>
      </c>
      <c r="M29" s="7">
        <v>3.46354E-4</v>
      </c>
      <c r="N29" s="6">
        <f t="shared" si="4"/>
        <v>172.4729523596379</v>
      </c>
      <c r="O29" s="6">
        <f t="shared" si="5"/>
        <v>147.47567648123311</v>
      </c>
      <c r="Q29" s="7">
        <v>2.8786200000000001E-3</v>
      </c>
      <c r="R29" s="7">
        <v>3.7920500000000003E-4</v>
      </c>
      <c r="S29" s="6">
        <f t="shared" si="6"/>
        <v>162.69732268511456</v>
      </c>
      <c r="T29" s="6">
        <f t="shared" si="7"/>
        <v>138.68043212720983</v>
      </c>
      <c r="V29" s="7">
        <v>1.94702E-3</v>
      </c>
      <c r="W29" s="7">
        <v>2.9190599999999998E-4</v>
      </c>
      <c r="X29" s="6">
        <f t="shared" si="8"/>
        <v>130.63478325047134</v>
      </c>
      <c r="Y29" s="6">
        <f t="shared" si="9"/>
        <v>127.1483890077054</v>
      </c>
      <c r="AA29" s="6">
        <f t="shared" si="10"/>
        <v>2.5779940000000001E-3</v>
      </c>
      <c r="AB29" s="6">
        <f t="shared" si="11"/>
        <v>3.5489959999999998E-4</v>
      </c>
      <c r="AD29" s="6">
        <f t="shared" si="12"/>
        <v>150.77619521374839</v>
      </c>
      <c r="AE29" s="6">
        <f t="shared" si="13"/>
        <v>137.95594415926354</v>
      </c>
      <c r="AG29">
        <f t="shared" si="14"/>
        <v>29.814430851167703</v>
      </c>
      <c r="AH29">
        <f t="shared" si="15"/>
        <v>26.350949398301097</v>
      </c>
    </row>
    <row r="30" spans="1:34" x14ac:dyDescent="0.35">
      <c r="A30">
        <v>173.74799999999999</v>
      </c>
      <c r="B30">
        <v>1.80697E-3</v>
      </c>
      <c r="C30">
        <v>2.61096E-4</v>
      </c>
      <c r="D30">
        <f t="shared" si="0"/>
        <v>103.633840136269</v>
      </c>
      <c r="E30">
        <f t="shared" si="1"/>
        <v>97.961572661886692</v>
      </c>
      <c r="G30" s="7">
        <v>3.4042299999999998E-3</v>
      </c>
      <c r="H30" s="7">
        <v>4.9898800000000001E-4</v>
      </c>
      <c r="I30" s="6">
        <f t="shared" si="2"/>
        <v>188.63135147115864</v>
      </c>
      <c r="J30" s="6">
        <f t="shared" si="3"/>
        <v>179.61678431429016</v>
      </c>
      <c r="L30" s="7">
        <v>2.9837900000000001E-3</v>
      </c>
      <c r="M30" s="7">
        <v>3.5125500000000002E-4</v>
      </c>
      <c r="N30" s="6">
        <f t="shared" si="4"/>
        <v>175.73103720412502</v>
      </c>
      <c r="O30" s="6">
        <f t="shared" si="5"/>
        <v>149.56249600817529</v>
      </c>
      <c r="Q30" s="7">
        <v>2.9183299999999998E-3</v>
      </c>
      <c r="R30" s="7">
        <v>3.7784599999999999E-4</v>
      </c>
      <c r="S30" s="6">
        <f t="shared" si="6"/>
        <v>164.94170043689346</v>
      </c>
      <c r="T30" s="6">
        <f t="shared" si="7"/>
        <v>138.18342732173289</v>
      </c>
      <c r="V30" s="7">
        <v>1.9821299999999999E-3</v>
      </c>
      <c r="W30" s="7">
        <v>2.9523E-4</v>
      </c>
      <c r="X30" s="6">
        <f t="shared" si="8"/>
        <v>132.99047925766391</v>
      </c>
      <c r="Y30" s="6">
        <f t="shared" si="9"/>
        <v>128.59625662625939</v>
      </c>
      <c r="AA30" s="6">
        <f t="shared" si="10"/>
        <v>2.6190900000000001E-3</v>
      </c>
      <c r="AB30" s="6">
        <f t="shared" si="11"/>
        <v>3.56883E-4</v>
      </c>
      <c r="AD30" s="6">
        <f t="shared" si="12"/>
        <v>153.18568170122199</v>
      </c>
      <c r="AE30" s="6">
        <f t="shared" si="13"/>
        <v>138.78410738646889</v>
      </c>
      <c r="AG30">
        <f t="shared" si="14"/>
        <v>30.874338020173429</v>
      </c>
      <c r="AH30">
        <f t="shared" si="15"/>
        <v>26.661258887623983</v>
      </c>
    </row>
    <row r="31" spans="1:34" x14ac:dyDescent="0.35">
      <c r="A31">
        <v>179.999</v>
      </c>
      <c r="B31">
        <v>1.81145E-3</v>
      </c>
      <c r="C31">
        <v>2.6157600000000002E-4</v>
      </c>
      <c r="D31">
        <f t="shared" si="0"/>
        <v>103.89077832772237</v>
      </c>
      <c r="E31">
        <f t="shared" si="1"/>
        <v>98.141665634884006</v>
      </c>
      <c r="G31" s="7">
        <v>3.4561100000000001E-3</v>
      </c>
      <c r="H31" s="7">
        <v>5.0814399999999998E-4</v>
      </c>
      <c r="I31" s="6">
        <f t="shared" si="2"/>
        <v>191.50606749044164</v>
      </c>
      <c r="J31" s="6">
        <f t="shared" si="3"/>
        <v>182.91259759473303</v>
      </c>
      <c r="L31" s="7">
        <v>3.0438900000000001E-3</v>
      </c>
      <c r="M31" s="7">
        <v>3.5108200000000001E-4</v>
      </c>
      <c r="N31" s="6">
        <f t="shared" si="4"/>
        <v>179.27064131030136</v>
      </c>
      <c r="O31" s="6">
        <f t="shared" si="5"/>
        <v>149.4888335355858</v>
      </c>
      <c r="Q31" s="7">
        <v>2.9529199999999999E-3</v>
      </c>
      <c r="R31" s="7">
        <v>3.81314E-4</v>
      </c>
      <c r="S31" s="6">
        <f t="shared" si="6"/>
        <v>166.89669984344178</v>
      </c>
      <c r="T31" s="6">
        <f t="shared" si="7"/>
        <v>139.45172214542237</v>
      </c>
      <c r="V31" s="7">
        <v>2.0112799999999998E-3</v>
      </c>
      <c r="W31" s="7">
        <v>3.0491200000000001E-4</v>
      </c>
      <c r="X31" s="6">
        <f t="shared" si="8"/>
        <v>134.94629066779385</v>
      </c>
      <c r="Y31" s="6">
        <f t="shared" si="9"/>
        <v>132.81354130822072</v>
      </c>
      <c r="AA31" s="6">
        <f t="shared" si="10"/>
        <v>2.6551299999999999E-3</v>
      </c>
      <c r="AB31" s="6">
        <f t="shared" si="11"/>
        <v>3.6140560000000001E-4</v>
      </c>
      <c r="AD31" s="6">
        <f t="shared" si="12"/>
        <v>155.3020955279402</v>
      </c>
      <c r="AE31" s="6">
        <f t="shared" si="13"/>
        <v>140.56167204376919</v>
      </c>
      <c r="AG31">
        <f t="shared" si="14"/>
        <v>31.865768309524679</v>
      </c>
      <c r="AH31">
        <f t="shared" si="15"/>
        <v>27.327705976631524</v>
      </c>
    </row>
    <row r="32" spans="1:34" x14ac:dyDescent="0.35">
      <c r="A32">
        <v>193.20699999999999</v>
      </c>
      <c r="B32">
        <v>4.0172899999999998E-6</v>
      </c>
      <c r="C32">
        <v>3.6486699999999997E-5</v>
      </c>
      <c r="D32">
        <f t="shared" si="0"/>
        <v>0.23040072034457246</v>
      </c>
      <c r="E32">
        <f t="shared" si="1"/>
        <v>13.689579745543638</v>
      </c>
      <c r="G32" s="7">
        <v>1.72918E-6</v>
      </c>
      <c r="H32" s="7">
        <v>2.3373199999999998E-5</v>
      </c>
      <c r="I32" s="6">
        <f t="shared" si="2"/>
        <v>9.5815370975785449E-2</v>
      </c>
      <c r="J32" s="6">
        <f t="shared" si="3"/>
        <v>8.4134669032817744</v>
      </c>
      <c r="L32" s="7">
        <v>2.1525300000000001E-6</v>
      </c>
      <c r="M32" s="7">
        <v>2.8556700000000001E-5</v>
      </c>
      <c r="N32" s="6">
        <f t="shared" si="4"/>
        <v>0.12677377748199278</v>
      </c>
      <c r="O32" s="6">
        <f t="shared" si="5"/>
        <v>12.15928977454174</v>
      </c>
      <c r="Q32" s="7">
        <v>1.60443E-6</v>
      </c>
      <c r="R32" s="7">
        <v>2.6998199999999998E-5</v>
      </c>
      <c r="S32" s="6">
        <f t="shared" si="6"/>
        <v>9.0681112976244982E-2</v>
      </c>
      <c r="T32" s="6">
        <f t="shared" si="7"/>
        <v>9.8736093739714299</v>
      </c>
      <c r="V32" s="7">
        <v>2.0015299999999998E-6</v>
      </c>
      <c r="W32" s="7">
        <v>2.3090200000000001E-5</v>
      </c>
      <c r="X32" s="6">
        <f t="shared" si="8"/>
        <v>0.13429211704004881</v>
      </c>
      <c r="Y32" s="6">
        <f t="shared" si="9"/>
        <v>10.057627222002013</v>
      </c>
      <c r="AA32" s="6">
        <f t="shared" si="10"/>
        <v>2.3009919999999999E-6</v>
      </c>
      <c r="AB32" s="6">
        <f t="shared" si="11"/>
        <v>2.7701000000000001E-5</v>
      </c>
      <c r="AD32" s="6">
        <f t="shared" si="12"/>
        <v>0.13559261976372888</v>
      </c>
      <c r="AE32" s="6">
        <f t="shared" si="13"/>
        <v>10.838714603868118</v>
      </c>
      <c r="AG32">
        <f t="shared" si="14"/>
        <v>5.0333512067671095E-2</v>
      </c>
      <c r="AH32">
        <f t="shared" si="15"/>
        <v>1.8598227253963717</v>
      </c>
    </row>
    <row r="33" spans="1:34" x14ac:dyDescent="0.35">
      <c r="A33">
        <v>199.40899999999999</v>
      </c>
      <c r="B33">
        <v>3.9768699999999996E-6</v>
      </c>
      <c r="C33">
        <v>3.6071600000000002E-5</v>
      </c>
      <c r="D33">
        <f t="shared" si="0"/>
        <v>0.22808254139400436</v>
      </c>
      <c r="E33">
        <f t="shared" si="1"/>
        <v>13.533836843270338</v>
      </c>
      <c r="G33" s="7">
        <v>1.84514E-6</v>
      </c>
      <c r="H33" s="7">
        <v>2.30185E-5</v>
      </c>
      <c r="I33" s="6">
        <f t="shared" si="2"/>
        <v>0.10224081564803014</v>
      </c>
      <c r="J33" s="6">
        <f t="shared" si="3"/>
        <v>8.2857883350671511</v>
      </c>
      <c r="L33" s="7">
        <v>2.1766200000000002E-6</v>
      </c>
      <c r="M33" s="7">
        <v>2.81145E-5</v>
      </c>
      <c r="N33" s="6">
        <f t="shared" si="4"/>
        <v>0.1281925638866149</v>
      </c>
      <c r="O33" s="6">
        <f t="shared" si="5"/>
        <v>11.971003385067384</v>
      </c>
      <c r="Q33" s="7">
        <v>1.62594E-6</v>
      </c>
      <c r="R33" s="7">
        <v>2.6224299999999999E-5</v>
      </c>
      <c r="S33" s="6">
        <f t="shared" si="6"/>
        <v>9.1896841141461919E-2</v>
      </c>
      <c r="T33" s="6">
        <f t="shared" si="7"/>
        <v>9.5905836057899769</v>
      </c>
      <c r="V33" s="7">
        <v>2.0545099999999998E-6</v>
      </c>
      <c r="W33" s="7">
        <v>2.2925399999999999E-5</v>
      </c>
      <c r="X33" s="6">
        <f t="shared" si="8"/>
        <v>0.13784679589111865</v>
      </c>
      <c r="Y33" s="6">
        <f t="shared" si="9"/>
        <v>9.9858436529473522</v>
      </c>
      <c r="AA33" s="6">
        <f t="shared" si="10"/>
        <v>2.3358160000000002E-6</v>
      </c>
      <c r="AB33" s="6">
        <f t="shared" si="11"/>
        <v>2.7270860000000001E-5</v>
      </c>
      <c r="AD33" s="6">
        <f t="shared" si="12"/>
        <v>0.13765191159224602</v>
      </c>
      <c r="AE33" s="6">
        <f t="shared" si="13"/>
        <v>10.67341116442844</v>
      </c>
      <c r="AG33">
        <f t="shared" si="14"/>
        <v>4.819686345225236E-2</v>
      </c>
      <c r="AH33">
        <f t="shared" si="15"/>
        <v>1.8553591574204298</v>
      </c>
    </row>
    <row r="34" spans="1:34" x14ac:dyDescent="0.35">
      <c r="A34">
        <v>205.65700000000001</v>
      </c>
      <c r="B34">
        <v>3.8693499999999996E-6</v>
      </c>
      <c r="C34">
        <v>3.53815E-5</v>
      </c>
      <c r="D34">
        <f t="shared" si="0"/>
        <v>0.22191602479912365</v>
      </c>
      <c r="E34">
        <f t="shared" si="1"/>
        <v>13.274915675217331</v>
      </c>
      <c r="G34" s="7">
        <v>1.8663499999999999E-6</v>
      </c>
      <c r="H34" s="7">
        <v>2.2903200000000001E-5</v>
      </c>
      <c r="I34" s="6">
        <f t="shared" si="2"/>
        <v>0.1034160802349421</v>
      </c>
      <c r="J34" s="6">
        <f t="shared" si="3"/>
        <v>8.2442847012494305</v>
      </c>
      <c r="L34" s="7">
        <v>2.1545100000000001E-6</v>
      </c>
      <c r="M34" s="7">
        <v>2.6956100000000001E-5</v>
      </c>
      <c r="N34" s="6">
        <f t="shared" si="4"/>
        <v>0.12689039006319461</v>
      </c>
      <c r="O34" s="6">
        <f t="shared" si="5"/>
        <v>11.477762874965405</v>
      </c>
      <c r="Q34" s="7">
        <v>1.61526E-6</v>
      </c>
      <c r="R34" s="7">
        <v>2.5286499999999999E-5</v>
      </c>
      <c r="S34" s="6">
        <f t="shared" si="6"/>
        <v>9.1293215999457417E-2</v>
      </c>
      <c r="T34" s="6">
        <f t="shared" si="7"/>
        <v>9.2476173757853708</v>
      </c>
      <c r="V34" s="7">
        <v>2.0626299999999999E-6</v>
      </c>
      <c r="W34" s="7">
        <v>2.2810300000000001E-5</v>
      </c>
      <c r="X34" s="6">
        <f t="shared" si="8"/>
        <v>0.1383916051072509</v>
      </c>
      <c r="Y34" s="6">
        <f t="shared" si="9"/>
        <v>9.9357084053855118</v>
      </c>
      <c r="AA34" s="6">
        <f t="shared" si="10"/>
        <v>2.3136199999999999E-6</v>
      </c>
      <c r="AB34" s="6">
        <f t="shared" si="11"/>
        <v>2.6667520000000003E-5</v>
      </c>
      <c r="AD34" s="6">
        <f t="shared" si="12"/>
        <v>0.13638146324079373</v>
      </c>
      <c r="AE34" s="6">
        <f t="shared" si="13"/>
        <v>10.436057806520612</v>
      </c>
      <c r="AG34">
        <f t="shared" si="14"/>
        <v>4.5891064222525819E-2</v>
      </c>
      <c r="AH34">
        <f t="shared" si="15"/>
        <v>1.7669676269755041</v>
      </c>
    </row>
    <row r="35" spans="1:34" x14ac:dyDescent="0.35">
      <c r="A35">
        <v>211.864</v>
      </c>
      <c r="B35">
        <v>3.7873999999999999E-6</v>
      </c>
      <c r="C35">
        <v>3.4763700000000001E-5</v>
      </c>
      <c r="D35">
        <f t="shared" si="0"/>
        <v>0.21721600587287296</v>
      </c>
      <c r="E35">
        <f t="shared" si="1"/>
        <v>13.043121011222045</v>
      </c>
      <c r="G35" s="7">
        <v>1.8787900000000001E-6</v>
      </c>
      <c r="H35" s="7">
        <v>2.2771900000000001E-5</v>
      </c>
      <c r="I35" s="6">
        <f t="shared" si="2"/>
        <v>0.10410539147780795</v>
      </c>
      <c r="J35" s="6">
        <f t="shared" si="3"/>
        <v>8.1970216733199681</v>
      </c>
      <c r="L35" s="7">
        <v>2.1389399999999998E-6</v>
      </c>
      <c r="M35" s="7">
        <v>2.6528799999999999E-5</v>
      </c>
      <c r="N35" s="6">
        <f t="shared" si="4"/>
        <v>0.12597339112919848</v>
      </c>
      <c r="O35" s="6">
        <f t="shared" si="5"/>
        <v>11.295820825615806</v>
      </c>
      <c r="Q35" s="7">
        <v>1.5762099999999999E-6</v>
      </c>
      <c r="R35" s="7">
        <v>2.4823700000000001E-5</v>
      </c>
      <c r="S35" s="6">
        <f t="shared" si="6"/>
        <v>8.9086140924993354E-2</v>
      </c>
      <c r="T35" s="6">
        <f t="shared" si="7"/>
        <v>9.0783651138466492</v>
      </c>
      <c r="V35" s="7">
        <v>2.06794E-6</v>
      </c>
      <c r="W35" s="7">
        <v>2.2812000000000001E-5</v>
      </c>
      <c r="X35" s="6">
        <f t="shared" si="8"/>
        <v>0.1387478781291305</v>
      </c>
      <c r="Y35" s="6">
        <f t="shared" si="9"/>
        <v>9.9364488912313416</v>
      </c>
      <c r="AA35" s="6">
        <f t="shared" si="10"/>
        <v>2.2898559999999999E-6</v>
      </c>
      <c r="AB35" s="6">
        <f t="shared" si="11"/>
        <v>2.6340020000000003E-5</v>
      </c>
      <c r="AD35" s="6">
        <f t="shared" si="12"/>
        <v>0.13502576150680062</v>
      </c>
      <c r="AE35" s="6">
        <f t="shared" si="13"/>
        <v>10.310155503047163</v>
      </c>
      <c r="AG35">
        <f t="shared" si="14"/>
        <v>4.4536622800765771E-2</v>
      </c>
      <c r="AH35">
        <f t="shared" si="15"/>
        <v>1.7066303275148398</v>
      </c>
    </row>
    <row r="36" spans="1:34" x14ac:dyDescent="0.35">
      <c r="A36">
        <v>217.958</v>
      </c>
      <c r="B36">
        <v>3.7452199999999999E-6</v>
      </c>
      <c r="C36">
        <v>3.4301999999999998E-5</v>
      </c>
      <c r="D36">
        <f t="shared" si="0"/>
        <v>0.21479688691851961</v>
      </c>
      <c r="E36">
        <f t="shared" si="1"/>
        <v>12.869894082820254</v>
      </c>
      <c r="G36" s="7">
        <v>1.8891400000000001E-6</v>
      </c>
      <c r="H36" s="7">
        <v>2.27495E-5</v>
      </c>
      <c r="I36" s="6">
        <f t="shared" si="2"/>
        <v>0.1046788939990026</v>
      </c>
      <c r="J36" s="6">
        <f t="shared" si="3"/>
        <v>8.1889585215635314</v>
      </c>
      <c r="L36" s="7">
        <v>2.15837E-6</v>
      </c>
      <c r="M36" s="7">
        <v>2.64397E-5</v>
      </c>
      <c r="N36" s="6">
        <f t="shared" si="4"/>
        <v>0.12711772570129509</v>
      </c>
      <c r="O36" s="6">
        <f t="shared" si="5"/>
        <v>11.257882523259033</v>
      </c>
      <c r="Q36" s="7">
        <v>1.5709799999999999E-6</v>
      </c>
      <c r="R36" s="7">
        <v>2.4638400000000001E-5</v>
      </c>
      <c r="S36" s="6">
        <f t="shared" si="6"/>
        <v>8.8790545466876911E-2</v>
      </c>
      <c r="T36" s="6">
        <f t="shared" si="7"/>
        <v>9.010598380620106</v>
      </c>
      <c r="V36" s="7">
        <v>2.0676400000000002E-6</v>
      </c>
      <c r="W36" s="7">
        <v>2.2785700000000001E-5</v>
      </c>
      <c r="X36" s="6">
        <f t="shared" si="8"/>
        <v>0.1387277497098153</v>
      </c>
      <c r="Y36" s="6">
        <f t="shared" si="9"/>
        <v>9.9249931396164293</v>
      </c>
      <c r="AA36" s="6">
        <f t="shared" si="10"/>
        <v>2.2862699999999996E-6</v>
      </c>
      <c r="AB36" s="6">
        <f t="shared" si="11"/>
        <v>2.6183060000000001E-5</v>
      </c>
      <c r="AD36" s="6">
        <f t="shared" si="12"/>
        <v>0.13482236035910189</v>
      </c>
      <c r="AE36" s="6">
        <f t="shared" si="13"/>
        <v>10.250465329575871</v>
      </c>
      <c r="AG36">
        <f t="shared" si="14"/>
        <v>4.3584618631045666E-2</v>
      </c>
      <c r="AH36">
        <f t="shared" si="15"/>
        <v>1.659476357920344</v>
      </c>
    </row>
    <row r="37" spans="1:34" x14ac:dyDescent="0.35">
      <c r="A37">
        <v>224.30799999999999</v>
      </c>
      <c r="B37">
        <v>3.70363E-6</v>
      </c>
      <c r="C37">
        <v>3.3957900000000002E-5</v>
      </c>
      <c r="D37">
        <f t="shared" si="0"/>
        <v>0.2124116058063443</v>
      </c>
      <c r="E37">
        <f t="shared" si="1"/>
        <v>12.740789932802809</v>
      </c>
      <c r="G37" s="7">
        <v>1.8901600000000001E-6</v>
      </c>
      <c r="H37" s="7">
        <v>2.2466599999999999E-5</v>
      </c>
      <c r="I37" s="6">
        <f t="shared" si="2"/>
        <v>0.10473541308804789</v>
      </c>
      <c r="J37" s="6">
        <f t="shared" si="3"/>
        <v>8.0871252344253399</v>
      </c>
      <c r="L37" s="7">
        <v>2.1120599999999998E-6</v>
      </c>
      <c r="M37" s="7">
        <v>2.63191E-5</v>
      </c>
      <c r="N37" s="6">
        <f t="shared" si="4"/>
        <v>0.12439028699651929</v>
      </c>
      <c r="O37" s="6">
        <f t="shared" si="5"/>
        <v>11.206531689766026</v>
      </c>
      <c r="Q37" s="7">
        <v>1.56687E-6</v>
      </c>
      <c r="R37" s="7">
        <v>2.4592699999999999E-5</v>
      </c>
      <c r="S37" s="6">
        <f t="shared" si="6"/>
        <v>8.8558251521779666E-2</v>
      </c>
      <c r="T37" s="6">
        <f t="shared" si="7"/>
        <v>8.9938852683240817</v>
      </c>
      <c r="V37" s="7">
        <v>2.0777800000000001E-6</v>
      </c>
      <c r="W37" s="7">
        <v>2.2782800000000001E-5</v>
      </c>
      <c r="X37" s="6">
        <f t="shared" si="8"/>
        <v>0.13940809028267009</v>
      </c>
      <c r="Y37" s="6">
        <f t="shared" si="9"/>
        <v>9.9237299578794236</v>
      </c>
      <c r="AA37" s="6">
        <f t="shared" si="10"/>
        <v>2.2700999999999997E-6</v>
      </c>
      <c r="AB37" s="6">
        <f t="shared" si="11"/>
        <v>2.6023820000000001E-5</v>
      </c>
      <c r="AD37" s="6">
        <f t="shared" si="12"/>
        <v>0.13390072953907223</v>
      </c>
      <c r="AE37" s="6">
        <f t="shared" si="13"/>
        <v>10.190412416639536</v>
      </c>
      <c r="AG37">
        <f t="shared" si="14"/>
        <v>4.2874918608452876E-2</v>
      </c>
      <c r="AH37">
        <f t="shared" si="15"/>
        <v>1.640947139520526</v>
      </c>
    </row>
    <row r="38" spans="1:34" x14ac:dyDescent="0.35">
      <c r="A38">
        <v>230.453</v>
      </c>
      <c r="B38">
        <v>3.6481899999999998E-6</v>
      </c>
      <c r="C38">
        <v>3.3483799999999999E-5</v>
      </c>
      <c r="D38">
        <f t="shared" si="0"/>
        <v>0.2092319956871089</v>
      </c>
      <c r="E38">
        <f t="shared" si="1"/>
        <v>12.562910602598592</v>
      </c>
      <c r="G38" s="7">
        <v>1.9100200000000001E-6</v>
      </c>
      <c r="H38" s="7">
        <v>2.23508E-5</v>
      </c>
      <c r="I38" s="6">
        <f t="shared" si="2"/>
        <v>0.10583587299828226</v>
      </c>
      <c r="J38" s="6">
        <f t="shared" si="3"/>
        <v>8.0454416195416254</v>
      </c>
      <c r="L38" s="7">
        <v>2.1067600000000001E-6</v>
      </c>
      <c r="M38" s="7">
        <v>2.6261000000000001E-5</v>
      </c>
      <c r="N38" s="6">
        <f t="shared" si="4"/>
        <v>0.12407814220845381</v>
      </c>
      <c r="O38" s="6">
        <f t="shared" si="5"/>
        <v>11.181793021225864</v>
      </c>
      <c r="Q38" s="7">
        <v>1.56094E-6</v>
      </c>
      <c r="R38" s="7">
        <v>2.4542999999999999E-5</v>
      </c>
      <c r="S38" s="6">
        <f t="shared" si="6"/>
        <v>8.8223092618026244E-2</v>
      </c>
      <c r="T38" s="6">
        <f t="shared" si="7"/>
        <v>8.9757093015601352</v>
      </c>
      <c r="V38" s="7">
        <v>2.0855199999999999E-6</v>
      </c>
      <c r="W38" s="7">
        <v>2.28222E-5</v>
      </c>
      <c r="X38" s="6">
        <f t="shared" si="8"/>
        <v>0.13992740350100305</v>
      </c>
      <c r="Y38" s="6">
        <f t="shared" si="9"/>
        <v>9.9408918063063254</v>
      </c>
      <c r="AA38" s="6">
        <f t="shared" si="10"/>
        <v>2.262286E-6</v>
      </c>
      <c r="AB38" s="6">
        <f t="shared" si="11"/>
        <v>2.589216E-5</v>
      </c>
      <c r="AD38" s="6">
        <f t="shared" si="12"/>
        <v>0.13345930140257486</v>
      </c>
      <c r="AE38" s="6">
        <f t="shared" si="13"/>
        <v>10.14134927024651</v>
      </c>
      <c r="AG38">
        <f t="shared" si="14"/>
        <v>4.1667042308579878E-2</v>
      </c>
      <c r="AH38">
        <f t="shared" si="15"/>
        <v>1.5961335217973769</v>
      </c>
    </row>
    <row r="39" spans="1:34" x14ac:dyDescent="0.35">
      <c r="A39">
        <v>236.73099999999999</v>
      </c>
      <c r="B39">
        <v>3.6237000000000001E-6</v>
      </c>
      <c r="C39">
        <v>3.32832E-5</v>
      </c>
      <c r="D39">
        <f t="shared" si="0"/>
        <v>0.20782743847534715</v>
      </c>
      <c r="E39">
        <f t="shared" si="1"/>
        <v>12.487646747633466</v>
      </c>
      <c r="G39" s="7">
        <v>1.9116699999999999E-6</v>
      </c>
      <c r="H39" s="7">
        <v>2.23063E-5</v>
      </c>
      <c r="I39" s="6">
        <f t="shared" si="2"/>
        <v>0.10592730093644373</v>
      </c>
      <c r="J39" s="6">
        <f t="shared" si="3"/>
        <v>8.0294233046683505</v>
      </c>
      <c r="L39" s="7">
        <v>2.0847199999999998E-6</v>
      </c>
      <c r="M39" s="7">
        <v>2.6089400000000001E-5</v>
      </c>
      <c r="N39" s="6">
        <f t="shared" si="4"/>
        <v>0.12278009105204571</v>
      </c>
      <c r="O39" s="6">
        <f t="shared" si="5"/>
        <v>11.108726661131337</v>
      </c>
      <c r="Q39" s="7">
        <v>1.56021E-6</v>
      </c>
      <c r="R39" s="7">
        <v>2.4539E-5</v>
      </c>
      <c r="S39" s="6">
        <f t="shared" si="6"/>
        <v>8.8181833596147646E-2</v>
      </c>
      <c r="T39" s="6">
        <f t="shared" si="7"/>
        <v>8.9742464470922112</v>
      </c>
      <c r="V39" s="7">
        <v>2.08379E-6</v>
      </c>
      <c r="W39" s="7">
        <v>2.28595E-5</v>
      </c>
      <c r="X39" s="6">
        <f t="shared" si="8"/>
        <v>0.13981132961628523</v>
      </c>
      <c r="Y39" s="6">
        <f t="shared" si="9"/>
        <v>9.9571389369236734</v>
      </c>
      <c r="AA39" s="6">
        <f t="shared" si="10"/>
        <v>2.2528179999999999E-6</v>
      </c>
      <c r="AB39" s="6">
        <f t="shared" si="11"/>
        <v>2.5815479999999996E-5</v>
      </c>
      <c r="AD39" s="6">
        <f t="shared" si="12"/>
        <v>0.13290559873525387</v>
      </c>
      <c r="AE39" s="6">
        <f t="shared" si="13"/>
        <v>10.111436419489809</v>
      </c>
      <c r="AG39">
        <f t="shared" si="14"/>
        <v>4.1210534612458952E-2</v>
      </c>
      <c r="AH39">
        <f t="shared" si="15"/>
        <v>1.5679764479344913</v>
      </c>
    </row>
    <row r="40" spans="1:34" x14ac:dyDescent="0.35">
      <c r="A40">
        <v>242.83</v>
      </c>
      <c r="B40">
        <v>3.59479E-6</v>
      </c>
      <c r="C40">
        <v>3.3052300000000002E-5</v>
      </c>
      <c r="D40">
        <f t="shared" si="0"/>
        <v>0.20616938420862466</v>
      </c>
      <c r="E40">
        <f t="shared" si="1"/>
        <v>12.401014523747886</v>
      </c>
      <c r="G40" s="7">
        <v>1.9166699999999998E-6</v>
      </c>
      <c r="H40" s="7">
        <v>2.21779E-5</v>
      </c>
      <c r="I40" s="6">
        <f t="shared" si="2"/>
        <v>0.10620435529450876</v>
      </c>
      <c r="J40" s="6">
        <f t="shared" si="3"/>
        <v>7.9832041669216407</v>
      </c>
      <c r="L40" s="7">
        <v>2.0686E-6</v>
      </c>
      <c r="M40" s="7">
        <v>2.60237E-5</v>
      </c>
      <c r="N40" s="6">
        <f t="shared" si="4"/>
        <v>0.12183069973438244</v>
      </c>
      <c r="O40" s="6">
        <f t="shared" si="5"/>
        <v>11.080751953332909</v>
      </c>
      <c r="Q40" s="7">
        <v>1.5601300000000001E-6</v>
      </c>
      <c r="R40" s="7">
        <v>2.4515299999999999E-5</v>
      </c>
      <c r="S40" s="6">
        <f t="shared" si="6"/>
        <v>8.8177312059503424E-2</v>
      </c>
      <c r="T40" s="6">
        <f t="shared" si="7"/>
        <v>8.9655790343697674</v>
      </c>
      <c r="V40" s="7">
        <v>2.0819700000000002E-6</v>
      </c>
      <c r="W40" s="7">
        <v>2.2879900000000001E-5</v>
      </c>
      <c r="X40" s="6">
        <f t="shared" si="8"/>
        <v>0.13968921720577285</v>
      </c>
      <c r="Y40" s="6">
        <f t="shared" si="9"/>
        <v>9.9660247670736446</v>
      </c>
      <c r="AA40" s="6">
        <f t="shared" si="10"/>
        <v>2.2444320000000001E-6</v>
      </c>
      <c r="AB40" s="6">
        <f t="shared" si="11"/>
        <v>2.572982E-5</v>
      </c>
      <c r="AD40" s="6">
        <f t="shared" si="12"/>
        <v>0.13241419370055843</v>
      </c>
      <c r="AE40" s="6">
        <f t="shared" si="13"/>
        <v>10.07931488908917</v>
      </c>
      <c r="AG40">
        <f t="shared" si="14"/>
        <v>4.0616798901465939E-2</v>
      </c>
      <c r="AH40">
        <f t="shared" si="15"/>
        <v>1.551778834282445</v>
      </c>
    </row>
    <row r="41" spans="1:34" x14ac:dyDescent="0.35">
      <c r="A41">
        <v>249.16</v>
      </c>
      <c r="B41">
        <v>3.54261E-6</v>
      </c>
      <c r="C41">
        <v>3.2707399999999998E-5</v>
      </c>
      <c r="D41">
        <f t="shared" si="0"/>
        <v>0.20317674250549148</v>
      </c>
      <c r="E41">
        <f t="shared" si="1"/>
        <v>12.271610218775441</v>
      </c>
      <c r="G41" s="7">
        <v>1.9167499999999999E-6</v>
      </c>
      <c r="H41" s="7">
        <v>2.2133E-5</v>
      </c>
      <c r="I41" s="6">
        <f t="shared" si="2"/>
        <v>0.10620878816423782</v>
      </c>
      <c r="J41" s="6">
        <f t="shared" si="3"/>
        <v>7.9670418671955723</v>
      </c>
      <c r="L41" s="7">
        <v>2.0703899999999998E-6</v>
      </c>
      <c r="M41" s="7">
        <v>2.5939400000000001E-5</v>
      </c>
      <c r="N41" s="6">
        <f t="shared" si="4"/>
        <v>0.12193612221940832</v>
      </c>
      <c r="O41" s="6">
        <f t="shared" si="5"/>
        <v>11.044857465244514</v>
      </c>
      <c r="Q41" s="7">
        <v>1.5634600000000001E-6</v>
      </c>
      <c r="R41" s="7">
        <v>2.45114E-5</v>
      </c>
      <c r="S41" s="6">
        <f t="shared" si="6"/>
        <v>8.8365521022319427E-2</v>
      </c>
      <c r="T41" s="6">
        <f t="shared" si="7"/>
        <v>8.9641527512635424</v>
      </c>
      <c r="V41" s="7">
        <v>2.0850400000000002E-6</v>
      </c>
      <c r="W41" s="7">
        <v>2.29102E-5</v>
      </c>
      <c r="X41" s="6">
        <f t="shared" si="8"/>
        <v>0.13989519803009873</v>
      </c>
      <c r="Y41" s="6">
        <f t="shared" si="9"/>
        <v>9.9792228383258053</v>
      </c>
      <c r="AA41" s="6">
        <f t="shared" si="10"/>
        <v>2.2356500000000004E-6</v>
      </c>
      <c r="AB41" s="6">
        <f t="shared" si="11"/>
        <v>2.5640279999999998E-5</v>
      </c>
      <c r="AD41" s="6">
        <f t="shared" si="12"/>
        <v>0.13191647438831117</v>
      </c>
      <c r="AE41" s="6">
        <f t="shared" si="13"/>
        <v>10.045377028160974</v>
      </c>
      <c r="AG41">
        <f t="shared" si="14"/>
        <v>3.9493958886346069E-2</v>
      </c>
      <c r="AH41">
        <f t="shared" si="15"/>
        <v>1.5131407547347653</v>
      </c>
    </row>
    <row r="42" spans="1:34" x14ac:dyDescent="0.35">
      <c r="A42">
        <v>262.286</v>
      </c>
      <c r="B42">
        <v>9.8215999999999993E-4</v>
      </c>
      <c r="C42">
        <v>2.0976400000000001E-4</v>
      </c>
      <c r="D42">
        <f t="shared" si="0"/>
        <v>56.329110294159811</v>
      </c>
      <c r="E42">
        <f t="shared" si="1"/>
        <v>78.702129974599387</v>
      </c>
      <c r="G42" s="7">
        <v>1.14606E-3</v>
      </c>
      <c r="H42" s="7">
        <v>2.24007E-4</v>
      </c>
      <c r="I42" s="6">
        <f t="shared" si="2"/>
        <v>63.504183520806777</v>
      </c>
      <c r="J42" s="6">
        <f t="shared" si="3"/>
        <v>80.634037299276116</v>
      </c>
      <c r="L42" s="7">
        <v>1.03213E-3</v>
      </c>
      <c r="M42" s="7">
        <v>1.8117400000000001E-4</v>
      </c>
      <c r="N42" s="6">
        <f t="shared" si="4"/>
        <v>60.787547189813473</v>
      </c>
      <c r="O42" s="6">
        <f t="shared" si="5"/>
        <v>77.142917970662765</v>
      </c>
      <c r="Q42" s="7">
        <v>1.1043400000000001E-3</v>
      </c>
      <c r="R42" s="7">
        <v>2.3047899999999999E-4</v>
      </c>
      <c r="S42" s="6">
        <f t="shared" si="6"/>
        <v>62.416422221091835</v>
      </c>
      <c r="T42" s="6">
        <f t="shared" si="7"/>
        <v>84.289308728121185</v>
      </c>
      <c r="V42" s="7">
        <v>1.04235E-3</v>
      </c>
      <c r="W42" s="7">
        <v>2.05417E-4</v>
      </c>
      <c r="X42" s="6">
        <f t="shared" si="8"/>
        <v>69.936192910770728</v>
      </c>
      <c r="Y42" s="6">
        <f t="shared" si="9"/>
        <v>89.4755182311971</v>
      </c>
      <c r="AA42" s="6">
        <f t="shared" si="10"/>
        <v>1.061408E-3</v>
      </c>
      <c r="AB42" s="6">
        <f t="shared" si="11"/>
        <v>2.1016820000000001E-4</v>
      </c>
      <c r="AD42" s="6">
        <f t="shared" si="12"/>
        <v>62.594691227328532</v>
      </c>
      <c r="AE42" s="6">
        <f t="shared" si="13"/>
        <v>82.048782440771305</v>
      </c>
      <c r="AG42">
        <f t="shared" si="14"/>
        <v>4.4108928130454315</v>
      </c>
      <c r="AH42">
        <f t="shared" si="15"/>
        <v>4.4146450658889771</v>
      </c>
    </row>
    <row r="43" spans="1:34" x14ac:dyDescent="0.35">
      <c r="A43">
        <v>268.49799999999999</v>
      </c>
      <c r="B43">
        <v>1.0106099999999999E-3</v>
      </c>
      <c r="C43">
        <v>1.9914100000000001E-4</v>
      </c>
      <c r="D43">
        <f t="shared" si="0"/>
        <v>57.960782514438428</v>
      </c>
      <c r="E43">
        <f t="shared" si="1"/>
        <v>74.716447365952675</v>
      </c>
      <c r="G43" s="7">
        <v>1.2540800000000001E-3</v>
      </c>
      <c r="H43" s="7">
        <v>2.3431799999999999E-4</v>
      </c>
      <c r="I43" s="6">
        <f t="shared" si="2"/>
        <v>69.489665872444178</v>
      </c>
      <c r="J43" s="6">
        <f t="shared" si="3"/>
        <v>84.345606842160208</v>
      </c>
      <c r="L43" s="7">
        <v>1.08395E-3</v>
      </c>
      <c r="M43" s="7">
        <v>1.8069700000000001E-4</v>
      </c>
      <c r="N43" s="6">
        <f t="shared" si="4"/>
        <v>63.839498683691311</v>
      </c>
      <c r="O43" s="6">
        <f t="shared" si="5"/>
        <v>76.939813927742662</v>
      </c>
      <c r="Q43" s="7">
        <v>1.16848E-3</v>
      </c>
      <c r="R43" s="7">
        <v>2.3195999999999999E-4</v>
      </c>
      <c r="S43" s="6">
        <f t="shared" si="6"/>
        <v>66.041564225602073</v>
      </c>
      <c r="T43" s="6">
        <f t="shared" si="7"/>
        <v>84.83093059486977</v>
      </c>
      <c r="V43" s="7">
        <v>1.1002E-3</v>
      </c>
      <c r="W43" s="7">
        <v>2.0657299999999999E-4</v>
      </c>
      <c r="X43" s="6">
        <f t="shared" si="8"/>
        <v>73.817623102057794</v>
      </c>
      <c r="Y43" s="6">
        <f t="shared" si="9"/>
        <v>89.979048606362085</v>
      </c>
      <c r="AA43" s="6">
        <f t="shared" si="10"/>
        <v>1.1234639999999998E-3</v>
      </c>
      <c r="AB43" s="6">
        <f t="shared" si="11"/>
        <v>2.1053780000000001E-4</v>
      </c>
      <c r="AD43" s="6">
        <f t="shared" si="12"/>
        <v>66.229826879646765</v>
      </c>
      <c r="AE43" s="6">
        <f t="shared" si="13"/>
        <v>82.162369467417477</v>
      </c>
      <c r="AG43">
        <f t="shared" si="14"/>
        <v>5.3353052058316006</v>
      </c>
      <c r="AH43">
        <f t="shared" si="15"/>
        <v>5.580413228296</v>
      </c>
    </row>
    <row r="44" spans="1:34" x14ac:dyDescent="0.35">
      <c r="A44">
        <v>274.608</v>
      </c>
      <c r="B44">
        <v>1.0290399999999999E-3</v>
      </c>
      <c r="C44">
        <v>1.9707899999999999E-4</v>
      </c>
      <c r="D44">
        <f t="shared" si="0"/>
        <v>59.017784940439654</v>
      </c>
      <c r="E44">
        <f t="shared" si="1"/>
        <v>73.942797969451718</v>
      </c>
      <c r="G44" s="7">
        <v>1.33522E-3</v>
      </c>
      <c r="H44" s="7">
        <v>2.4142400000000001E-4</v>
      </c>
      <c r="I44" s="6">
        <f t="shared" si="2"/>
        <v>73.985703995123842</v>
      </c>
      <c r="J44" s="6">
        <f t="shared" si="3"/>
        <v>86.9034977520365</v>
      </c>
      <c r="L44" s="7">
        <v>1.12367E-3</v>
      </c>
      <c r="M44" s="7">
        <v>1.80385E-4</v>
      </c>
      <c r="N44" s="6">
        <f t="shared" si="4"/>
        <v>66.178817736891389</v>
      </c>
      <c r="O44" s="6">
        <f t="shared" si="5"/>
        <v>76.806966000298061</v>
      </c>
      <c r="Q44" s="7">
        <v>1.2167199999999999E-3</v>
      </c>
      <c r="R44" s="7">
        <v>2.33336E-4</v>
      </c>
      <c r="S44" s="6">
        <f t="shared" si="6"/>
        <v>68.768050822071871</v>
      </c>
      <c r="T44" s="6">
        <f t="shared" si="7"/>
        <v>85.334152531835386</v>
      </c>
      <c r="V44" s="7">
        <v>1.14186E-3</v>
      </c>
      <c r="W44" s="7">
        <v>2.09624E-4</v>
      </c>
      <c r="X44" s="6">
        <f t="shared" si="8"/>
        <v>76.612789597632897</v>
      </c>
      <c r="Y44" s="6">
        <f t="shared" si="9"/>
        <v>91.308002909673789</v>
      </c>
      <c r="AA44" s="6">
        <f t="shared" si="10"/>
        <v>1.1693020000000001E-3</v>
      </c>
      <c r="AB44" s="6">
        <f t="shared" si="11"/>
        <v>2.123696E-4</v>
      </c>
      <c r="AD44" s="6">
        <f t="shared" si="12"/>
        <v>68.912629418431933</v>
      </c>
      <c r="AE44" s="6">
        <f t="shared" si="13"/>
        <v>82.859083432659105</v>
      </c>
      <c r="AG44">
        <f t="shared" si="14"/>
        <v>6.1714038754620058</v>
      </c>
      <c r="AH44">
        <f t="shared" si="15"/>
        <v>6.4806753727995368</v>
      </c>
    </row>
    <row r="45" spans="1:34" x14ac:dyDescent="0.35">
      <c r="A45">
        <v>280.779</v>
      </c>
      <c r="B45">
        <v>1.0398899999999999E-3</v>
      </c>
      <c r="C45">
        <v>1.95262E-4</v>
      </c>
      <c r="D45">
        <f t="shared" si="0"/>
        <v>59.640057122865777</v>
      </c>
      <c r="E45">
        <f t="shared" si="1"/>
        <v>73.261071027918163</v>
      </c>
      <c r="G45" s="7">
        <v>1.4042799999999999E-3</v>
      </c>
      <c r="H45" s="7">
        <v>2.4515399999999998E-4</v>
      </c>
      <c r="I45" s="6">
        <f t="shared" si="2"/>
        <v>77.812378788718334</v>
      </c>
      <c r="J45" s="6">
        <f t="shared" si="3"/>
        <v>88.246156504335744</v>
      </c>
      <c r="L45" s="7">
        <v>1.1576900000000001E-3</v>
      </c>
      <c r="M45" s="7">
        <v>1.7992600000000001E-4</v>
      </c>
      <c r="N45" s="6">
        <f t="shared" si="4"/>
        <v>68.182433904813507</v>
      </c>
      <c r="O45" s="6">
        <f t="shared" si="5"/>
        <v>76.611526260884389</v>
      </c>
      <c r="Q45" s="7">
        <v>1.25724E-3</v>
      </c>
      <c r="R45" s="7">
        <v>2.3586200000000001E-4</v>
      </c>
      <c r="S45" s="6">
        <f t="shared" si="6"/>
        <v>71.058209132373634</v>
      </c>
      <c r="T45" s="6">
        <f t="shared" si="7"/>
        <v>86.257945128328913</v>
      </c>
      <c r="V45" s="7">
        <v>1.1812299999999999E-3</v>
      </c>
      <c r="W45" s="7">
        <v>2.1072899999999999E-4</v>
      </c>
      <c r="X45" s="6">
        <f t="shared" si="8"/>
        <v>79.254309159101737</v>
      </c>
      <c r="Y45" s="6">
        <f t="shared" si="9"/>
        <v>91.789318709463842</v>
      </c>
      <c r="AA45" s="6">
        <f t="shared" si="10"/>
        <v>1.208066E-3</v>
      </c>
      <c r="AB45" s="6">
        <f t="shared" si="11"/>
        <v>2.1338659999999999E-4</v>
      </c>
      <c r="AD45" s="6">
        <f t="shared" si="12"/>
        <v>71.189477621574596</v>
      </c>
      <c r="AE45" s="6">
        <f t="shared" si="13"/>
        <v>83.233203526186202</v>
      </c>
      <c r="AG45">
        <f t="shared" si="14"/>
        <v>7.0901760878727282</v>
      </c>
      <c r="AH45">
        <f t="shared" si="15"/>
        <v>7.0820322326181744</v>
      </c>
    </row>
    <row r="46" spans="1:34" x14ac:dyDescent="0.35">
      <c r="A46">
        <v>287.00099999999998</v>
      </c>
      <c r="B46">
        <v>1.0486E-3</v>
      </c>
      <c r="C46">
        <v>1.9416E-4</v>
      </c>
      <c r="D46">
        <f t="shared" si="0"/>
        <v>60.139595437053003</v>
      </c>
      <c r="E46">
        <f t="shared" si="1"/>
        <v>72.84760757741185</v>
      </c>
      <c r="G46" s="7">
        <v>1.4646800000000001E-3</v>
      </c>
      <c r="H46" s="7">
        <v>2.5119500000000001E-4</v>
      </c>
      <c r="I46" s="6">
        <f t="shared" si="2"/>
        <v>81.159195434144181</v>
      </c>
      <c r="J46" s="6">
        <f t="shared" si="3"/>
        <v>90.420687743649381</v>
      </c>
      <c r="L46" s="7">
        <v>1.19118E-3</v>
      </c>
      <c r="M46" s="7">
        <v>1.8207E-4</v>
      </c>
      <c r="N46" s="6">
        <f t="shared" si="4"/>
        <v>70.154835593929079</v>
      </c>
      <c r="O46" s="6">
        <f t="shared" si="5"/>
        <v>77.524429967426713</v>
      </c>
      <c r="Q46" s="7">
        <v>1.2950500000000001E-3</v>
      </c>
      <c r="R46" s="7">
        <v>2.3777800000000001E-4</v>
      </c>
      <c r="S46" s="6">
        <f t="shared" si="6"/>
        <v>73.195200388852157</v>
      </c>
      <c r="T46" s="6">
        <f t="shared" si="7"/>
        <v>86.958652418464155</v>
      </c>
      <c r="V46" s="7">
        <v>1.2134400000000001E-3</v>
      </c>
      <c r="W46" s="7">
        <v>2.1384600000000001E-4</v>
      </c>
      <c r="X46" s="6">
        <f t="shared" si="8"/>
        <v>81.415430446247058</v>
      </c>
      <c r="Y46" s="6">
        <f t="shared" si="9"/>
        <v>93.147021286790178</v>
      </c>
      <c r="AA46" s="6">
        <f t="shared" si="10"/>
        <v>1.24259E-3</v>
      </c>
      <c r="AB46" s="6">
        <f t="shared" si="11"/>
        <v>2.1580980000000002E-4</v>
      </c>
      <c r="AD46" s="6">
        <f t="shared" si="12"/>
        <v>73.212851460045101</v>
      </c>
      <c r="AE46" s="6">
        <f t="shared" si="13"/>
        <v>84.179679798748452</v>
      </c>
      <c r="AG46">
        <f t="shared" si="14"/>
        <v>7.8827467321994744</v>
      </c>
      <c r="AH46">
        <f t="shared" si="15"/>
        <v>7.7433105775178257</v>
      </c>
    </row>
    <row r="47" spans="1:34" x14ac:dyDescent="0.35">
      <c r="A47">
        <v>293.27300000000002</v>
      </c>
      <c r="B47">
        <v>1.0554E-3</v>
      </c>
      <c r="C47">
        <v>1.92924E-4</v>
      </c>
      <c r="D47">
        <f t="shared" si="0"/>
        <v>60.529590906223298</v>
      </c>
      <c r="E47">
        <f t="shared" si="1"/>
        <v>72.38386817194376</v>
      </c>
      <c r="G47" s="7">
        <v>1.52629E-3</v>
      </c>
      <c r="H47" s="7">
        <v>2.5685999999999998E-4</v>
      </c>
      <c r="I47" s="6">
        <f t="shared" si="2"/>
        <v>84.573059234221759</v>
      </c>
      <c r="J47" s="6">
        <f t="shared" si="3"/>
        <v>92.459873221337119</v>
      </c>
      <c r="L47" s="7">
        <v>1.22576E-3</v>
      </c>
      <c r="M47" s="7">
        <v>1.8690100000000001E-4</v>
      </c>
      <c r="N47" s="6">
        <f t="shared" si="4"/>
        <v>72.191433097948675</v>
      </c>
      <c r="O47" s="6">
        <f t="shared" si="5"/>
        <v>79.581443869621694</v>
      </c>
      <c r="Q47" s="7">
        <v>1.33175E-3</v>
      </c>
      <c r="R47" s="7">
        <v>2.3831500000000001E-4</v>
      </c>
      <c r="S47" s="6">
        <f t="shared" si="6"/>
        <v>75.269455324391998</v>
      </c>
      <c r="T47" s="6">
        <f t="shared" si="7"/>
        <v>87.15504063078285</v>
      </c>
      <c r="V47" s="7">
        <v>1.2512300000000001E-3</v>
      </c>
      <c r="W47" s="7">
        <v>2.17968E-4</v>
      </c>
      <c r="X47" s="6">
        <f t="shared" si="8"/>
        <v>83.950940332655676</v>
      </c>
      <c r="Y47" s="6">
        <f t="shared" si="9"/>
        <v>94.942481672975319</v>
      </c>
      <c r="AA47" s="6">
        <f t="shared" si="10"/>
        <v>1.2780859999999999E-3</v>
      </c>
      <c r="AB47" s="6">
        <f t="shared" si="11"/>
        <v>2.1859359999999999E-4</v>
      </c>
      <c r="AD47" s="6">
        <f t="shared" si="12"/>
        <v>75.302895779088288</v>
      </c>
      <c r="AE47" s="6">
        <f t="shared" si="13"/>
        <v>85.304541513332154</v>
      </c>
      <c r="AG47">
        <f t="shared" si="14"/>
        <v>8.8165464920468697</v>
      </c>
      <c r="AH47">
        <f t="shared" si="15"/>
        <v>8.3331945325959893</v>
      </c>
    </row>
    <row r="48" spans="1:34" x14ac:dyDescent="0.35">
      <c r="A48">
        <v>299.46699999999998</v>
      </c>
      <c r="B48">
        <v>1.06044E-3</v>
      </c>
      <c r="C48">
        <v>1.9180099999999999E-4</v>
      </c>
      <c r="D48">
        <f t="shared" si="0"/>
        <v>60.818646371608324</v>
      </c>
      <c r="E48">
        <f t="shared" si="1"/>
        <v>71.962525653868809</v>
      </c>
      <c r="G48" s="7">
        <v>1.57639E-3</v>
      </c>
      <c r="H48" s="7">
        <v>2.6457999999999999E-4</v>
      </c>
      <c r="I48" s="6">
        <f t="shared" si="2"/>
        <v>87.349143902033575</v>
      </c>
      <c r="J48" s="6">
        <f t="shared" si="3"/>
        <v>95.238780880251412</v>
      </c>
      <c r="L48" s="7">
        <v>1.2626600000000001E-3</v>
      </c>
      <c r="M48" s="7">
        <v>1.9054200000000001E-4</v>
      </c>
      <c r="N48" s="6">
        <f t="shared" si="4"/>
        <v>74.364667565800715</v>
      </c>
      <c r="O48" s="6">
        <f t="shared" si="5"/>
        <v>81.131762151114529</v>
      </c>
      <c r="Q48" s="7">
        <v>1.3655E-3</v>
      </c>
      <c r="R48" s="7">
        <v>2.41995E-4</v>
      </c>
      <c r="S48" s="6">
        <f t="shared" si="6"/>
        <v>77.1769785961759</v>
      </c>
      <c r="T48" s="6">
        <f t="shared" si="7"/>
        <v>88.500866741272262</v>
      </c>
      <c r="V48" s="7">
        <v>1.2894200000000001E-3</v>
      </c>
      <c r="W48" s="7">
        <v>2.2176499999999999E-4</v>
      </c>
      <c r="X48" s="6">
        <f t="shared" si="8"/>
        <v>86.513288111484613</v>
      </c>
      <c r="Y48" s="6">
        <f t="shared" si="9"/>
        <v>96.596378588633982</v>
      </c>
      <c r="AA48" s="6">
        <f t="shared" si="10"/>
        <v>1.310882E-3</v>
      </c>
      <c r="AB48" s="6">
        <f t="shared" si="11"/>
        <v>2.2213660000000002E-4</v>
      </c>
      <c r="AD48" s="6">
        <f t="shared" si="12"/>
        <v>77.244544909420625</v>
      </c>
      <c r="AE48" s="6">
        <f t="shared" si="13"/>
        <v>86.686062803028193</v>
      </c>
      <c r="AG48">
        <f t="shared" si="14"/>
        <v>9.6552671930176412</v>
      </c>
      <c r="AH48">
        <f t="shared" si="15"/>
        <v>9.1900996809357309</v>
      </c>
    </row>
    <row r="49" spans="1:34" x14ac:dyDescent="0.35">
      <c r="A49">
        <v>305.70800000000003</v>
      </c>
      <c r="B49">
        <v>1.0665099999999999E-3</v>
      </c>
      <c r="C49">
        <v>1.91125E-4</v>
      </c>
      <c r="D49">
        <f t="shared" si="0"/>
        <v>61.166774680117676</v>
      </c>
      <c r="E49">
        <f t="shared" si="1"/>
        <v>71.708894716897603</v>
      </c>
      <c r="G49" s="7">
        <v>1.6328600000000001E-3</v>
      </c>
      <c r="H49" s="7">
        <v>2.7272800000000002E-4</v>
      </c>
      <c r="I49" s="6">
        <f t="shared" si="2"/>
        <v>90.478195822020282</v>
      </c>
      <c r="J49" s="6">
        <f t="shared" si="3"/>
        <v>98.17175233165473</v>
      </c>
      <c r="L49" s="7">
        <v>1.2953800000000001E-3</v>
      </c>
      <c r="M49" s="7">
        <v>1.929E-4</v>
      </c>
      <c r="N49" s="6">
        <f t="shared" si="4"/>
        <v>76.291719917782245</v>
      </c>
      <c r="O49" s="6">
        <f t="shared" si="5"/>
        <v>82.135785910455397</v>
      </c>
      <c r="Q49" s="7">
        <v>1.4060100000000001E-3</v>
      </c>
      <c r="R49" s="7">
        <v>2.4474099999999998E-4</v>
      </c>
      <c r="S49" s="6">
        <f t="shared" si="6"/>
        <v>79.466571714397134</v>
      </c>
      <c r="T49" s="6">
        <f t="shared" si="7"/>
        <v>89.505116333501562</v>
      </c>
      <c r="V49" s="7">
        <v>1.32587E-3</v>
      </c>
      <c r="W49" s="7">
        <v>2.2716699999999999E-4</v>
      </c>
      <c r="X49" s="6">
        <f t="shared" si="8"/>
        <v>88.95889105828519</v>
      </c>
      <c r="Y49" s="6">
        <f t="shared" si="9"/>
        <v>98.949381258738825</v>
      </c>
      <c r="AA49" s="6">
        <f t="shared" si="10"/>
        <v>1.345326E-3</v>
      </c>
      <c r="AB49" s="6">
        <f t="shared" si="11"/>
        <v>2.2573219999999999E-4</v>
      </c>
      <c r="AD49" s="6">
        <f t="shared" si="12"/>
        <v>79.272430638520504</v>
      </c>
      <c r="AE49" s="6">
        <f t="shared" si="13"/>
        <v>88.094186110249623</v>
      </c>
      <c r="AG49">
        <f t="shared" si="14"/>
        <v>10.546409755490432</v>
      </c>
      <c r="AH49">
        <f t="shared" si="15"/>
        <v>10.250498853611388</v>
      </c>
    </row>
    <row r="50" spans="1:34" x14ac:dyDescent="0.35">
      <c r="A50">
        <v>311.89499999999998</v>
      </c>
      <c r="B50">
        <v>1.0706400000000001E-3</v>
      </c>
      <c r="C50">
        <v>1.9032399999999999E-4</v>
      </c>
      <c r="D50">
        <f t="shared" si="0"/>
        <v>61.403639575363755</v>
      </c>
      <c r="E50">
        <f t="shared" si="1"/>
        <v>71.408364568208341</v>
      </c>
      <c r="G50" s="7">
        <v>1.6869000000000001E-3</v>
      </c>
      <c r="H50" s="7">
        <v>2.82694E-4</v>
      </c>
      <c r="I50" s="6">
        <f t="shared" si="2"/>
        <v>93.472599323987367</v>
      </c>
      <c r="J50" s="6">
        <f t="shared" si="3"/>
        <v>101.75913493900441</v>
      </c>
      <c r="L50" s="7">
        <v>1.3268100000000001E-3</v>
      </c>
      <c r="M50" s="7">
        <v>1.94947E-4</v>
      </c>
      <c r="N50" s="6">
        <f t="shared" si="4"/>
        <v>78.142797406253493</v>
      </c>
      <c r="O50" s="6">
        <f t="shared" si="5"/>
        <v>83.007387536990919</v>
      </c>
      <c r="Q50" s="7">
        <v>1.4425799999999999E-3</v>
      </c>
      <c r="R50" s="7">
        <v>2.4769000000000001E-4</v>
      </c>
      <c r="S50" s="6">
        <f t="shared" si="6"/>
        <v>81.533479152890095</v>
      </c>
      <c r="T50" s="6">
        <f t="shared" si="7"/>
        <v>90.583605789977995</v>
      </c>
      <c r="V50" s="7">
        <v>1.3613500000000001E-3</v>
      </c>
      <c r="W50" s="7">
        <v>2.3260199999999999E-4</v>
      </c>
      <c r="X50" s="6">
        <f t="shared" si="8"/>
        <v>91.339412115966539</v>
      </c>
      <c r="Y50" s="6">
        <f t="shared" si="9"/>
        <v>101.31675806585096</v>
      </c>
      <c r="AA50" s="6">
        <f t="shared" si="10"/>
        <v>1.3776560000000001E-3</v>
      </c>
      <c r="AB50" s="6">
        <f t="shared" si="11"/>
        <v>2.2965139999999999E-4</v>
      </c>
      <c r="AD50" s="6">
        <f t="shared" si="12"/>
        <v>81.178385514892241</v>
      </c>
      <c r="AE50" s="6">
        <f t="shared" si="13"/>
        <v>89.615050180006534</v>
      </c>
      <c r="AG50">
        <f t="shared" si="14"/>
        <v>11.44356254320693</v>
      </c>
      <c r="AH50">
        <f t="shared" si="15"/>
        <v>11.493402182293369</v>
      </c>
    </row>
    <row r="51" spans="1:34" x14ac:dyDescent="0.35">
      <c r="A51">
        <v>318.09899999999999</v>
      </c>
      <c r="B51">
        <v>1.07446E-3</v>
      </c>
      <c r="C51">
        <v>1.9163599999999999E-4</v>
      </c>
      <c r="D51">
        <f t="shared" si="0"/>
        <v>61.622725265397648</v>
      </c>
      <c r="E51">
        <f t="shared" si="1"/>
        <v>71.90061869440099</v>
      </c>
      <c r="G51" s="7">
        <v>1.74653E-3</v>
      </c>
      <c r="H51" s="7">
        <v>2.8623199999999998E-4</v>
      </c>
      <c r="I51" s="6">
        <f t="shared" si="2"/>
        <v>96.776749598271181</v>
      </c>
      <c r="J51" s="6">
        <f t="shared" si="3"/>
        <v>103.03268096196281</v>
      </c>
      <c r="L51" s="7">
        <v>1.36012E-3</v>
      </c>
      <c r="M51" s="7">
        <v>2.0171499999999999E-4</v>
      </c>
      <c r="N51" s="6">
        <f t="shared" si="4"/>
        <v>80.104597951623447</v>
      </c>
      <c r="O51" s="6">
        <f t="shared" si="5"/>
        <v>85.889165655404398</v>
      </c>
      <c r="Q51" s="7">
        <v>1.4769200000000001E-3</v>
      </c>
      <c r="R51" s="7">
        <v>2.4997799999999998E-4</v>
      </c>
      <c r="S51" s="6">
        <f t="shared" si="6"/>
        <v>83.474348757425204</v>
      </c>
      <c r="T51" s="6">
        <f t="shared" si="7"/>
        <v>91.42035854563008</v>
      </c>
      <c r="V51" s="7">
        <v>1.3965099999999999E-3</v>
      </c>
      <c r="W51" s="7">
        <v>2.3949600000000001E-4</v>
      </c>
      <c r="X51" s="6">
        <f t="shared" si="8"/>
        <v>93.698462859711611</v>
      </c>
      <c r="Y51" s="6">
        <f t="shared" si="9"/>
        <v>104.31964596064971</v>
      </c>
      <c r="AA51" s="6">
        <f t="shared" si="10"/>
        <v>1.410908E-3</v>
      </c>
      <c r="AB51" s="6">
        <f t="shared" si="11"/>
        <v>2.338114E-4</v>
      </c>
      <c r="AD51" s="6">
        <f t="shared" si="12"/>
        <v>83.13537688648583</v>
      </c>
      <c r="AE51" s="6">
        <f t="shared" si="13"/>
        <v>91.312493963609612</v>
      </c>
      <c r="AG51">
        <f t="shared" si="14"/>
        <v>12.407743851250334</v>
      </c>
      <c r="AH51">
        <f t="shared" si="15"/>
        <v>11.939797423109077</v>
      </c>
    </row>
    <row r="52" spans="1:34" x14ac:dyDescent="0.35">
      <c r="A52">
        <v>324.33999999999997</v>
      </c>
      <c r="B52">
        <v>1.07756E-3</v>
      </c>
      <c r="C52">
        <v>1.9015699999999999E-4</v>
      </c>
      <c r="D52">
        <f t="shared" si="0"/>
        <v>61.8005173175194</v>
      </c>
      <c r="E52">
        <f t="shared" si="1"/>
        <v>71.34570722135301</v>
      </c>
      <c r="G52" s="7">
        <v>1.7966900000000001E-3</v>
      </c>
      <c r="H52" s="7">
        <v>2.8987400000000002E-4</v>
      </c>
      <c r="I52" s="6">
        <f t="shared" si="2"/>
        <v>99.556158918379793</v>
      </c>
      <c r="J52" s="6">
        <f t="shared" si="3"/>
        <v>104.34366304664751</v>
      </c>
      <c r="L52" s="7">
        <v>1.3961399999999999E-3</v>
      </c>
      <c r="M52" s="7">
        <v>2.0376300000000001E-4</v>
      </c>
      <c r="N52" s="6">
        <f t="shared" si="4"/>
        <v>82.226004605607997</v>
      </c>
      <c r="O52" s="6">
        <f t="shared" si="5"/>
        <v>86.761193076579161</v>
      </c>
      <c r="Q52" s="7">
        <v>1.5137499999999999E-3</v>
      </c>
      <c r="R52" s="7">
        <v>2.57295E-4</v>
      </c>
      <c r="S52" s="6">
        <f t="shared" si="6"/>
        <v>85.555951190011911</v>
      </c>
      <c r="T52" s="6">
        <f t="shared" si="7"/>
        <v>94.096285081078719</v>
      </c>
      <c r="V52" s="7">
        <v>1.4372E-3</v>
      </c>
      <c r="W52" s="7">
        <v>2.4045199999999999E-4</v>
      </c>
      <c r="X52" s="6">
        <f t="shared" si="8"/>
        <v>96.428547466167487</v>
      </c>
      <c r="Y52" s="6">
        <f t="shared" si="9"/>
        <v>104.73606035395224</v>
      </c>
      <c r="AA52" s="6">
        <f t="shared" si="10"/>
        <v>1.4442679999999999E-3</v>
      </c>
      <c r="AB52" s="6">
        <f t="shared" si="11"/>
        <v>2.3630819999999997E-4</v>
      </c>
      <c r="AD52" s="6">
        <f t="shared" si="12"/>
        <v>85.113435899537308</v>
      </c>
      <c r="AE52" s="6">
        <f t="shared" si="13"/>
        <v>92.256581755922113</v>
      </c>
      <c r="AG52">
        <f t="shared" si="14"/>
        <v>13.331535920782365</v>
      </c>
      <c r="AH52">
        <f t="shared" si="15"/>
        <v>12.431278285594264</v>
      </c>
    </row>
    <row r="53" spans="1:34" x14ac:dyDescent="0.35">
      <c r="A53">
        <v>330.45299999999997</v>
      </c>
      <c r="B53">
        <v>1.08099E-3</v>
      </c>
      <c r="C53">
        <v>1.8944200000000001E-4</v>
      </c>
      <c r="D53">
        <f t="shared" si="0"/>
        <v>61.997235620350878</v>
      </c>
      <c r="E53">
        <f t="shared" si="1"/>
        <v>71.077443730325783</v>
      </c>
      <c r="G53" s="7">
        <v>1.8458400000000001E-3</v>
      </c>
      <c r="H53" s="7">
        <v>2.9192500000000001E-4</v>
      </c>
      <c r="I53" s="6">
        <f t="shared" si="2"/>
        <v>102.27960325815926</v>
      </c>
      <c r="J53" s="6">
        <f t="shared" si="3"/>
        <v>105.0819453793461</v>
      </c>
      <c r="L53" s="7">
        <v>1.4320299999999999E-3</v>
      </c>
      <c r="M53" s="7">
        <v>2.05069E-4</v>
      </c>
      <c r="N53" s="6">
        <f t="shared" si="4"/>
        <v>84.339754877998502</v>
      </c>
      <c r="O53" s="6">
        <f t="shared" si="5"/>
        <v>87.317280875433781</v>
      </c>
      <c r="Q53" s="7">
        <v>1.5591699999999999E-3</v>
      </c>
      <c r="R53" s="7">
        <v>2.6271200000000001E-4</v>
      </c>
      <c r="S53" s="6">
        <f t="shared" si="6"/>
        <v>88.123053619772676</v>
      </c>
      <c r="T53" s="6">
        <f t="shared" si="7"/>
        <v>96.077355744263798</v>
      </c>
      <c r="V53" s="7">
        <v>1.4756599999999999E-3</v>
      </c>
      <c r="W53" s="7">
        <v>2.4355000000000001E-4</v>
      </c>
      <c r="X53" s="6">
        <f t="shared" si="8"/>
        <v>99.00901082238012</v>
      </c>
      <c r="Y53" s="6">
        <f t="shared" si="9"/>
        <v>106.08548691300163</v>
      </c>
      <c r="AA53" s="6">
        <f t="shared" si="10"/>
        <v>1.4787379999999998E-3</v>
      </c>
      <c r="AB53" s="6">
        <f t="shared" si="11"/>
        <v>2.385396E-4</v>
      </c>
      <c r="AD53" s="6">
        <f t="shared" si="12"/>
        <v>87.149731639732281</v>
      </c>
      <c r="AE53" s="6">
        <f t="shared" si="13"/>
        <v>93.127902528474209</v>
      </c>
      <c r="AG53">
        <f t="shared" si="14"/>
        <v>14.220034451472898</v>
      </c>
      <c r="AH53">
        <f t="shared" si="15"/>
        <v>12.957495630239643</v>
      </c>
    </row>
    <row r="54" spans="1:34" x14ac:dyDescent="0.35">
      <c r="A54">
        <v>336.67899999999997</v>
      </c>
      <c r="B54">
        <v>1.08412E-3</v>
      </c>
      <c r="C54">
        <v>1.9060600000000001E-4</v>
      </c>
      <c r="D54">
        <f t="shared" si="0"/>
        <v>62.176748240718972</v>
      </c>
      <c r="E54">
        <f t="shared" si="1"/>
        <v>71.514169189844267</v>
      </c>
      <c r="G54" s="7">
        <v>1.8958200000000001E-3</v>
      </c>
      <c r="H54" s="7">
        <v>3.0304300000000002E-4</v>
      </c>
      <c r="I54" s="6">
        <f t="shared" si="2"/>
        <v>105.04903862137751</v>
      </c>
      <c r="J54" s="6">
        <f t="shared" si="3"/>
        <v>109.08400436274106</v>
      </c>
      <c r="L54" s="7">
        <v>1.4652999999999999E-3</v>
      </c>
      <c r="M54" s="7">
        <v>2.1078500000000001E-4</v>
      </c>
      <c r="N54" s="6">
        <f t="shared" si="4"/>
        <v>86.29919961364719</v>
      </c>
      <c r="O54" s="6">
        <f t="shared" si="5"/>
        <v>89.751123033361011</v>
      </c>
      <c r="Q54" s="7">
        <v>1.60013E-3</v>
      </c>
      <c r="R54" s="7">
        <v>2.6509400000000001E-4</v>
      </c>
      <c r="S54" s="6">
        <f t="shared" si="6"/>
        <v>90.438080381617695</v>
      </c>
      <c r="T54" s="6">
        <f t="shared" si="7"/>
        <v>96.948485579912088</v>
      </c>
      <c r="V54" s="7">
        <v>1.51264E-3</v>
      </c>
      <c r="W54" s="7">
        <v>2.51652E-4</v>
      </c>
      <c r="X54" s="6">
        <f t="shared" si="8"/>
        <v>101.49017397663762</v>
      </c>
      <c r="Y54" s="6">
        <f t="shared" si="9"/>
        <v>109.61455533824957</v>
      </c>
      <c r="AA54" s="6">
        <f t="shared" si="10"/>
        <v>1.5116020000000001E-3</v>
      </c>
      <c r="AB54" s="6">
        <f t="shared" si="11"/>
        <v>2.44236E-4</v>
      </c>
      <c r="AD54" s="6">
        <f t="shared" si="12"/>
        <v>89.090648166799795</v>
      </c>
      <c r="AE54" s="6">
        <f t="shared" si="13"/>
        <v>95.382467500821605</v>
      </c>
      <c r="AG54">
        <f t="shared" si="14"/>
        <v>15.115450598901237</v>
      </c>
      <c r="AH54">
        <f t="shared" si="15"/>
        <v>14.100670579712434</v>
      </c>
    </row>
    <row r="55" spans="1:34" x14ac:dyDescent="0.35">
      <c r="A55">
        <v>342.94200000000001</v>
      </c>
      <c r="B55">
        <v>1.0867800000000001E-3</v>
      </c>
      <c r="C55">
        <v>1.90266E-4</v>
      </c>
      <c r="D55">
        <f t="shared" si="0"/>
        <v>62.329305291894407</v>
      </c>
      <c r="E55">
        <f t="shared" si="1"/>
        <v>71.386603333971166</v>
      </c>
      <c r="G55" s="7">
        <v>1.9508800000000001E-3</v>
      </c>
      <c r="H55" s="7">
        <v>3.07056E-4</v>
      </c>
      <c r="I55" s="6">
        <f t="shared" si="2"/>
        <v>108.09996121238987</v>
      </c>
      <c r="J55" s="6">
        <f t="shared" si="3"/>
        <v>110.52853239839169</v>
      </c>
      <c r="L55" s="7">
        <v>1.5037099999999999E-3</v>
      </c>
      <c r="M55" s="7">
        <v>2.16453E-4</v>
      </c>
      <c r="N55" s="6">
        <f t="shared" si="4"/>
        <v>88.561365898476367</v>
      </c>
      <c r="O55" s="6">
        <f t="shared" si="5"/>
        <v>92.164527048604455</v>
      </c>
      <c r="Q55" s="7">
        <v>1.63649E-3</v>
      </c>
      <c r="R55" s="7">
        <v>2.6895899999999998E-4</v>
      </c>
      <c r="S55" s="6">
        <f t="shared" si="6"/>
        <v>92.493118786419558</v>
      </c>
      <c r="T55" s="6">
        <f t="shared" si="7"/>
        <v>98.361968709542936</v>
      </c>
      <c r="V55" s="7">
        <v>1.55758E-3</v>
      </c>
      <c r="W55" s="7">
        <v>2.5463500000000002E-4</v>
      </c>
      <c r="X55" s="6">
        <f t="shared" si="8"/>
        <v>104.50541119005925</v>
      </c>
      <c r="Y55" s="6">
        <f t="shared" si="9"/>
        <v>110.91389020772806</v>
      </c>
      <c r="AA55" s="6">
        <f t="shared" si="10"/>
        <v>1.5470880000000001E-3</v>
      </c>
      <c r="AB55" s="6">
        <f t="shared" si="11"/>
        <v>2.4747380000000001E-4</v>
      </c>
      <c r="AD55" s="6">
        <f t="shared" si="12"/>
        <v>91.197832475847889</v>
      </c>
      <c r="AE55" s="6">
        <f t="shared" si="13"/>
        <v>96.671104339647655</v>
      </c>
      <c r="AG55">
        <f t="shared" si="14"/>
        <v>16.154220448366921</v>
      </c>
      <c r="AH55">
        <f t="shared" si="15"/>
        <v>14.542073538466575</v>
      </c>
    </row>
    <row r="56" spans="1:34" x14ac:dyDescent="0.35">
      <c r="A56">
        <v>349.24099999999999</v>
      </c>
      <c r="B56">
        <v>1.0881300000000001E-3</v>
      </c>
      <c r="C56">
        <v>1.9122900000000001E-4</v>
      </c>
      <c r="D56">
        <f t="shared" si="0"/>
        <v>62.406730862979686</v>
      </c>
      <c r="E56">
        <f t="shared" si="1"/>
        <v>71.747914861047022</v>
      </c>
      <c r="G56" s="7">
        <v>1.99628E-3</v>
      </c>
      <c r="H56" s="7">
        <v>3.1581799999999999E-4</v>
      </c>
      <c r="I56" s="6">
        <f t="shared" si="2"/>
        <v>110.61561478362054</v>
      </c>
      <c r="J56" s="6">
        <f t="shared" si="3"/>
        <v>113.68252059883301</v>
      </c>
      <c r="L56" s="7">
        <v>1.54068E-3</v>
      </c>
      <c r="M56" s="7">
        <v>2.1956499999999999E-4</v>
      </c>
      <c r="N56" s="6">
        <f t="shared" si="4"/>
        <v>90.738723033340591</v>
      </c>
      <c r="O56" s="6">
        <f t="shared" si="5"/>
        <v>93.489599965936435</v>
      </c>
      <c r="Q56" s="7">
        <v>1.67493E-3</v>
      </c>
      <c r="R56" s="7">
        <v>2.7187400000000002E-4</v>
      </c>
      <c r="S56" s="6">
        <f t="shared" si="6"/>
        <v>94.665717143971378</v>
      </c>
      <c r="T56" s="6">
        <f t="shared" si="7"/>
        <v>99.428023903042018</v>
      </c>
      <c r="V56" s="7">
        <v>1.59815E-3</v>
      </c>
      <c r="W56" s="7">
        <v>2.6247999999999999E-4</v>
      </c>
      <c r="X56" s="6">
        <f t="shared" si="8"/>
        <v>107.227444428789</v>
      </c>
      <c r="Y56" s="6">
        <f t="shared" si="9"/>
        <v>114.33101459628277</v>
      </c>
      <c r="AA56" s="6">
        <f t="shared" si="10"/>
        <v>1.5796339999999999E-3</v>
      </c>
      <c r="AB56" s="6">
        <f t="shared" si="11"/>
        <v>2.5219320000000002E-4</v>
      </c>
      <c r="AD56" s="6">
        <f t="shared" si="12"/>
        <v>93.130846050540242</v>
      </c>
      <c r="AE56" s="6">
        <f t="shared" si="13"/>
        <v>98.535814785028236</v>
      </c>
      <c r="AG56">
        <f t="shared" si="14"/>
        <v>17.067399095048451</v>
      </c>
      <c r="AH56">
        <f t="shared" si="15"/>
        <v>15.638177243754043</v>
      </c>
    </row>
    <row r="57" spans="1:34" x14ac:dyDescent="0.35">
      <c r="A57">
        <v>355.43299999999999</v>
      </c>
      <c r="B57">
        <v>1.0914500000000001E-3</v>
      </c>
      <c r="C57">
        <v>1.9101599999999999E-4</v>
      </c>
      <c r="D57">
        <f t="shared" si="0"/>
        <v>62.597140415574593</v>
      </c>
      <c r="E57">
        <f t="shared" si="1"/>
        <v>71.667998604279461</v>
      </c>
      <c r="G57" s="7">
        <v>2.0453099999999998E-3</v>
      </c>
      <c r="H57" s="7">
        <v>3.20508E-4</v>
      </c>
      <c r="I57" s="6">
        <f t="shared" si="2"/>
        <v>113.33240981880644</v>
      </c>
      <c r="J57" s="6">
        <f t="shared" si="3"/>
        <v>115.37074299783663</v>
      </c>
      <c r="L57" s="7">
        <v>1.57566E-3</v>
      </c>
      <c r="M57" s="7">
        <v>2.2567900000000001E-4</v>
      </c>
      <c r="N57" s="6">
        <f t="shared" si="4"/>
        <v>92.798878634572674</v>
      </c>
      <c r="O57" s="6">
        <f t="shared" si="5"/>
        <v>96.09290839028337</v>
      </c>
      <c r="Q57" s="7">
        <v>1.7146399999999999E-3</v>
      </c>
      <c r="R57" s="7">
        <v>2.7553899999999999E-4</v>
      </c>
      <c r="S57" s="6">
        <f t="shared" si="6"/>
        <v>96.910094895750305</v>
      </c>
      <c r="T57" s="6">
        <f t="shared" si="7"/>
        <v>100.76836430927669</v>
      </c>
      <c r="V57" s="7">
        <v>1.6377799999999999E-3</v>
      </c>
      <c r="W57" s="7">
        <v>2.6478500000000002E-4</v>
      </c>
      <c r="X57" s="6">
        <f t="shared" si="8"/>
        <v>109.88640862033104</v>
      </c>
      <c r="Y57" s="6">
        <f t="shared" si="9"/>
        <v>115.33502628724754</v>
      </c>
      <c r="AA57" s="6">
        <f t="shared" si="10"/>
        <v>1.612968E-3</v>
      </c>
      <c r="AB57" s="6">
        <f t="shared" si="11"/>
        <v>2.5550540000000003E-4</v>
      </c>
      <c r="AD57" s="6">
        <f t="shared" si="12"/>
        <v>95.104986477007017</v>
      </c>
      <c r="AE57" s="6">
        <f t="shared" si="13"/>
        <v>99.847008117784739</v>
      </c>
      <c r="AG57">
        <f t="shared" si="14"/>
        <v>17.97813120209365</v>
      </c>
      <c r="AH57">
        <f t="shared" si="15"/>
        <v>16.061530379148824</v>
      </c>
    </row>
    <row r="58" spans="1:34" x14ac:dyDescent="0.35">
      <c r="A58">
        <v>361.57799999999997</v>
      </c>
      <c r="B58">
        <v>1.0942899999999999E-3</v>
      </c>
      <c r="C58">
        <v>1.90538E-4</v>
      </c>
      <c r="D58">
        <f t="shared" si="0"/>
        <v>62.760020876228054</v>
      </c>
      <c r="E58">
        <f t="shared" si="1"/>
        <v>71.488656018669644</v>
      </c>
      <c r="G58" s="7">
        <v>2.09034E-3</v>
      </c>
      <c r="H58" s="7">
        <v>3.3225699999999997E-4</v>
      </c>
      <c r="I58" s="6">
        <f t="shared" si="2"/>
        <v>115.82756136754031</v>
      </c>
      <c r="J58" s="6">
        <f t="shared" si="3"/>
        <v>119.5999380865133</v>
      </c>
      <c r="L58" s="7">
        <v>1.61589E-3</v>
      </c>
      <c r="M58" s="7">
        <v>2.3349199999999999E-4</v>
      </c>
      <c r="N58" s="6">
        <f t="shared" si="4"/>
        <v>95.168234261718681</v>
      </c>
      <c r="O58" s="6">
        <f t="shared" si="5"/>
        <v>99.419641906708407</v>
      </c>
      <c r="Q58" s="7">
        <v>1.7539400000000001E-3</v>
      </c>
      <c r="R58" s="7">
        <v>2.77605E-4</v>
      </c>
      <c r="S58" s="6">
        <f t="shared" si="6"/>
        <v>99.131299772227592</v>
      </c>
      <c r="T58" s="6">
        <f t="shared" si="7"/>
        <v>101.52392864195907</v>
      </c>
      <c r="V58" s="7">
        <v>1.67611E-3</v>
      </c>
      <c r="W58" s="7">
        <v>2.7417300000000001E-4</v>
      </c>
      <c r="X58" s="6">
        <f t="shared" si="8"/>
        <v>112.45814966150706</v>
      </c>
      <c r="Y58" s="6">
        <f t="shared" si="9"/>
        <v>119.42425047587106</v>
      </c>
      <c r="AA58" s="6">
        <f t="shared" si="10"/>
        <v>1.646114E-3</v>
      </c>
      <c r="AB58" s="6">
        <f t="shared" si="11"/>
        <v>2.6161299999999995E-4</v>
      </c>
      <c r="AD58" s="6">
        <f t="shared" si="12"/>
        <v>97.069053187844332</v>
      </c>
      <c r="AE58" s="6">
        <f t="shared" si="13"/>
        <v>102.2912830259443</v>
      </c>
      <c r="AG58">
        <f t="shared" si="14"/>
        <v>18.834444993828022</v>
      </c>
      <c r="AH58">
        <f t="shared" si="15"/>
        <v>17.611161799629244</v>
      </c>
    </row>
    <row r="59" spans="1:34" x14ac:dyDescent="0.35">
      <c r="A59">
        <v>367.786</v>
      </c>
      <c r="B59">
        <v>1.0966800000000001E-3</v>
      </c>
      <c r="C59">
        <v>1.9017599999999999E-4</v>
      </c>
      <c r="D59">
        <f t="shared" si="0"/>
        <v>62.89709281318644</v>
      </c>
      <c r="E59">
        <f t="shared" si="1"/>
        <v>71.352835901534164</v>
      </c>
      <c r="G59" s="7">
        <v>2.1431000000000002E-3</v>
      </c>
      <c r="H59" s="7">
        <v>3.4261600000000001E-4</v>
      </c>
      <c r="I59" s="6">
        <f t="shared" si="2"/>
        <v>118.75103895384275</v>
      </c>
      <c r="J59" s="6">
        <f t="shared" si="3"/>
        <v>123.32878581173262</v>
      </c>
      <c r="L59" s="7">
        <v>1.66015E-3</v>
      </c>
      <c r="M59" s="7">
        <v>2.3442600000000001E-4</v>
      </c>
      <c r="N59" s="6">
        <f t="shared" si="4"/>
        <v>97.774937718280484</v>
      </c>
      <c r="O59" s="6">
        <f t="shared" si="5"/>
        <v>99.817334099763684</v>
      </c>
      <c r="Q59" s="7">
        <v>1.7902899999999999E-3</v>
      </c>
      <c r="R59" s="7">
        <v>2.8214000000000001E-4</v>
      </c>
      <c r="S59" s="6">
        <f t="shared" si="6"/>
        <v>101.18577298494893</v>
      </c>
      <c r="T59" s="6">
        <f t="shared" si="7"/>
        <v>103.18243989496705</v>
      </c>
      <c r="V59" s="7">
        <v>1.72215E-3</v>
      </c>
      <c r="W59" s="7">
        <v>2.7563899999999999E-4</v>
      </c>
      <c r="X59" s="6">
        <f t="shared" si="8"/>
        <v>115.54719107908456</v>
      </c>
      <c r="Y59" s="6">
        <f t="shared" si="9"/>
        <v>120.06281062292284</v>
      </c>
      <c r="AA59" s="6">
        <f t="shared" si="10"/>
        <v>1.6824740000000002E-3</v>
      </c>
      <c r="AB59" s="6">
        <f t="shared" si="11"/>
        <v>2.649994E-4</v>
      </c>
      <c r="AD59" s="6">
        <f t="shared" si="12"/>
        <v>99.23120670986863</v>
      </c>
      <c r="AE59" s="6">
        <f t="shared" si="13"/>
        <v>103.54884126618408</v>
      </c>
      <c r="AG59">
        <f t="shared" si="14"/>
        <v>19.866273320006488</v>
      </c>
      <c r="AH59">
        <f t="shared" si="15"/>
        <v>18.518091409638938</v>
      </c>
    </row>
    <row r="60" spans="1:34" x14ac:dyDescent="0.35">
      <c r="A60">
        <v>374.03899999999999</v>
      </c>
      <c r="B60">
        <v>1.09903E-3</v>
      </c>
      <c r="C60">
        <v>1.9044999999999999E-4</v>
      </c>
      <c r="D60">
        <f t="shared" si="0"/>
        <v>63.031870659149689</v>
      </c>
      <c r="E60">
        <f t="shared" si="1"/>
        <v>71.455638973620125</v>
      </c>
      <c r="G60" s="7">
        <v>2.2002200000000001E-3</v>
      </c>
      <c r="H60" s="7">
        <v>3.4457800000000001E-4</v>
      </c>
      <c r="I60" s="6">
        <f t="shared" si="2"/>
        <v>121.9161079403779</v>
      </c>
      <c r="J60" s="6">
        <f t="shared" si="3"/>
        <v>124.03503151468468</v>
      </c>
      <c r="L60" s="7">
        <v>1.69977E-3</v>
      </c>
      <c r="M60" s="7">
        <v>2.3687400000000001E-4</v>
      </c>
      <c r="N60" s="6">
        <f t="shared" si="4"/>
        <v>100.10836724717744</v>
      </c>
      <c r="O60" s="6">
        <f t="shared" si="5"/>
        <v>100.85967937663666</v>
      </c>
      <c r="Q60" s="7">
        <v>1.82909E-3</v>
      </c>
      <c r="R60" s="7">
        <v>2.9004600000000002E-4</v>
      </c>
      <c r="S60" s="6">
        <f t="shared" si="6"/>
        <v>103.37871825739977</v>
      </c>
      <c r="T60" s="6">
        <f t="shared" si="7"/>
        <v>106.07377175081739</v>
      </c>
      <c r="V60" s="7">
        <v>1.7595099999999999E-3</v>
      </c>
      <c r="W60" s="7">
        <v>2.8383199999999998E-4</v>
      </c>
      <c r="X60" s="6">
        <f t="shared" si="8"/>
        <v>118.05385023114134</v>
      </c>
      <c r="Y60" s="6">
        <f t="shared" si="9"/>
        <v>123.6315168199182</v>
      </c>
      <c r="AA60" s="6">
        <f t="shared" si="10"/>
        <v>1.7175240000000002E-3</v>
      </c>
      <c r="AB60" s="6">
        <f t="shared" si="11"/>
        <v>2.69156E-4</v>
      </c>
      <c r="AD60" s="6">
        <f t="shared" si="12"/>
        <v>101.29778286704922</v>
      </c>
      <c r="AE60" s="6">
        <f t="shared" si="13"/>
        <v>105.21112768713542</v>
      </c>
      <c r="AG60">
        <f t="shared" si="14"/>
        <v>20.860997871903098</v>
      </c>
      <c r="AH60">
        <f t="shared" si="15"/>
        <v>19.249739564886397</v>
      </c>
    </row>
    <row r="61" spans="1:34" x14ac:dyDescent="0.35">
      <c r="A61">
        <v>380.137</v>
      </c>
      <c r="B61">
        <v>1.10264E-3</v>
      </c>
      <c r="C61">
        <v>1.9117099999999999E-4</v>
      </c>
      <c r="D61">
        <f t="shared" si="0"/>
        <v>63.238912371459207</v>
      </c>
      <c r="E61">
        <f t="shared" si="1"/>
        <v>71.726153626809847</v>
      </c>
      <c r="G61" s="7">
        <v>2.2451699999999999E-3</v>
      </c>
      <c r="H61" s="7">
        <v>3.6195599999999997E-4</v>
      </c>
      <c r="I61" s="6">
        <f t="shared" si="2"/>
        <v>124.40682661938271</v>
      </c>
      <c r="J61" s="6">
        <f t="shared" si="3"/>
        <v>130.29045344429767</v>
      </c>
      <c r="L61" s="7">
        <v>1.7401999999999999E-3</v>
      </c>
      <c r="M61" s="7">
        <v>2.38373E-4</v>
      </c>
      <c r="N61" s="6">
        <f t="shared" si="4"/>
        <v>102.48950192292968</v>
      </c>
      <c r="O61" s="6">
        <f t="shared" si="5"/>
        <v>101.49794554086564</v>
      </c>
      <c r="Q61" s="7">
        <v>1.8727699999999999E-3</v>
      </c>
      <c r="R61" s="7">
        <v>2.9441599999999998E-4</v>
      </c>
      <c r="S61" s="6">
        <f t="shared" si="6"/>
        <v>105.84747726514856</v>
      </c>
      <c r="T61" s="6">
        <f t="shared" si="7"/>
        <v>107.67194025702354</v>
      </c>
      <c r="V61" s="7">
        <v>1.80529E-3</v>
      </c>
      <c r="W61" s="7">
        <v>2.8581800000000002E-4</v>
      </c>
      <c r="X61" s="6">
        <f t="shared" si="8"/>
        <v>121.12544701864563</v>
      </c>
      <c r="Y61" s="6">
        <f t="shared" si="9"/>
        <v>124.49657851981237</v>
      </c>
      <c r="AA61" s="6">
        <f t="shared" si="10"/>
        <v>1.7532139999999999E-3</v>
      </c>
      <c r="AB61" s="6">
        <f t="shared" si="11"/>
        <v>2.7434679999999997E-4</v>
      </c>
      <c r="AD61" s="6">
        <f t="shared" si="12"/>
        <v>103.42163303951315</v>
      </c>
      <c r="AE61" s="6">
        <f t="shared" si="13"/>
        <v>107.13661427776182</v>
      </c>
      <c r="AG61">
        <f t="shared" si="14"/>
        <v>21.795449102529343</v>
      </c>
      <c r="AH61">
        <f t="shared" si="15"/>
        <v>20.608010622940863</v>
      </c>
    </row>
    <row r="62" spans="1:34" x14ac:dyDescent="0.35">
      <c r="A62">
        <v>386.49799999999999</v>
      </c>
      <c r="B62">
        <v>1.10366E-3</v>
      </c>
      <c r="C62">
        <v>1.9190599999999999E-4</v>
      </c>
      <c r="D62">
        <f t="shared" si="0"/>
        <v>63.29741169183476</v>
      </c>
      <c r="E62">
        <f t="shared" si="1"/>
        <v>72.00192099171197</v>
      </c>
      <c r="G62" s="7">
        <v>2.3013500000000002E-3</v>
      </c>
      <c r="H62" s="7">
        <v>3.7415499999999998E-4</v>
      </c>
      <c r="I62" s="6">
        <f t="shared" si="2"/>
        <v>127.51980938660165</v>
      </c>
      <c r="J62" s="6">
        <f t="shared" si="3"/>
        <v>134.68163149236702</v>
      </c>
      <c r="L62" s="7">
        <v>1.77484E-3</v>
      </c>
      <c r="M62" s="7">
        <v>2.4709299999999999E-4</v>
      </c>
      <c r="N62" s="6">
        <f t="shared" si="4"/>
        <v>104.52963314153116</v>
      </c>
      <c r="O62" s="6">
        <f t="shared" si="5"/>
        <v>105.21087479508633</v>
      </c>
      <c r="Q62" s="7">
        <v>1.91822E-3</v>
      </c>
      <c r="R62" s="7">
        <v>2.94231E-4</v>
      </c>
      <c r="S62" s="6">
        <f t="shared" si="6"/>
        <v>108.41627527115089</v>
      </c>
      <c r="T62" s="6">
        <f t="shared" si="7"/>
        <v>107.60428323788209</v>
      </c>
      <c r="V62" s="7">
        <v>1.8450700000000001E-3</v>
      </c>
      <c r="W62" s="7">
        <v>2.9479000000000002E-4</v>
      </c>
      <c r="X62" s="6">
        <f t="shared" si="8"/>
        <v>123.79447541984527</v>
      </c>
      <c r="Y62" s="6">
        <f t="shared" si="9"/>
        <v>128.40460146616201</v>
      </c>
      <c r="AA62" s="6">
        <f t="shared" si="10"/>
        <v>1.788628E-3</v>
      </c>
      <c r="AB62" s="6">
        <f t="shared" si="11"/>
        <v>2.8043499999999999E-4</v>
      </c>
      <c r="AD62" s="6">
        <f t="shared" si="12"/>
        <v>105.51152098219275</v>
      </c>
      <c r="AE62" s="6">
        <f t="shared" si="13"/>
        <v>109.58066239664188</v>
      </c>
      <c r="AG62">
        <f t="shared" si="14"/>
        <v>22.847599024186611</v>
      </c>
      <c r="AH62">
        <f t="shared" si="15"/>
        <v>21.998010162185331</v>
      </c>
    </row>
    <row r="63" spans="1:34" x14ac:dyDescent="0.35">
      <c r="A63">
        <v>392.601</v>
      </c>
      <c r="B63">
        <v>1.10501E-3</v>
      </c>
      <c r="C63">
        <v>1.92692E-4</v>
      </c>
      <c r="D63">
        <f t="shared" si="0"/>
        <v>63.374837262920039</v>
      </c>
      <c r="E63">
        <f t="shared" si="1"/>
        <v>72.29682323499506</v>
      </c>
      <c r="G63" s="7">
        <v>2.36565E-3</v>
      </c>
      <c r="H63" s="7">
        <v>3.74951E-4</v>
      </c>
      <c r="I63" s="6">
        <f t="shared" si="2"/>
        <v>131.08272843131823</v>
      </c>
      <c r="J63" s="6">
        <f t="shared" si="3"/>
        <v>134.96816134942605</v>
      </c>
      <c r="L63" s="7">
        <v>1.8178599999999999E-3</v>
      </c>
      <c r="M63" s="7">
        <v>2.5006300000000002E-4</v>
      </c>
      <c r="N63" s="6">
        <f t="shared" si="4"/>
        <v>107.06330649673426</v>
      </c>
      <c r="O63" s="6">
        <f t="shared" si="5"/>
        <v>106.47548487364547</v>
      </c>
      <c r="Q63" s="7">
        <v>1.95327E-3</v>
      </c>
      <c r="R63" s="7">
        <v>3.0152100000000002E-4</v>
      </c>
      <c r="S63" s="6">
        <f t="shared" si="6"/>
        <v>110.39727351340352</v>
      </c>
      <c r="T63" s="6">
        <f t="shared" si="7"/>
        <v>110.27033550567222</v>
      </c>
      <c r="V63" s="7">
        <v>1.8871999999999999E-3</v>
      </c>
      <c r="W63" s="7">
        <v>3.0120199999999998E-4</v>
      </c>
      <c r="X63" s="6">
        <f t="shared" si="8"/>
        <v>126.62117643901422</v>
      </c>
      <c r="Y63" s="6">
        <f t="shared" si="9"/>
        <v>131.19753984467221</v>
      </c>
      <c r="AA63" s="6">
        <f t="shared" si="10"/>
        <v>1.825798E-3</v>
      </c>
      <c r="AB63" s="6">
        <f t="shared" si="11"/>
        <v>2.840858E-4</v>
      </c>
      <c r="AD63" s="6">
        <f t="shared" si="12"/>
        <v>107.70786442867805</v>
      </c>
      <c r="AE63" s="6">
        <f t="shared" si="13"/>
        <v>111.04166896168219</v>
      </c>
      <c r="AG63">
        <f t="shared" si="14"/>
        <v>23.988177555515669</v>
      </c>
      <c r="AH63">
        <f t="shared" si="15"/>
        <v>22.366690554677586</v>
      </c>
    </row>
    <row r="64" spans="1:34" x14ac:dyDescent="0.35">
      <c r="A64">
        <v>398.83199999999999</v>
      </c>
      <c r="B64">
        <v>1.10794E-3</v>
      </c>
      <c r="C64">
        <v>1.9236399999999999E-4</v>
      </c>
      <c r="D64">
        <f t="shared" si="0"/>
        <v>63.542879428312517</v>
      </c>
      <c r="E64">
        <f t="shared" si="1"/>
        <v>72.173759703446905</v>
      </c>
      <c r="G64" s="7">
        <v>2.41953E-3</v>
      </c>
      <c r="H64" s="7">
        <v>3.8588700000000001E-4</v>
      </c>
      <c r="I64" s="6">
        <f t="shared" si="2"/>
        <v>134.06826619382724</v>
      </c>
      <c r="J64" s="6">
        <f t="shared" si="3"/>
        <v>138.90470722479998</v>
      </c>
      <c r="L64" s="7">
        <v>1.86042E-3</v>
      </c>
      <c r="M64" s="7">
        <v>2.5228199999999999E-4</v>
      </c>
      <c r="N64" s="6">
        <f t="shared" si="4"/>
        <v>109.569888040143</v>
      </c>
      <c r="O64" s="6">
        <f t="shared" si="5"/>
        <v>107.4203231781312</v>
      </c>
      <c r="Q64" s="7">
        <v>1.9915900000000001E-3</v>
      </c>
      <c r="R64" s="7">
        <v>3.06316E-4</v>
      </c>
      <c r="S64" s="6">
        <f t="shared" si="6"/>
        <v>112.56308956598899</v>
      </c>
      <c r="T64" s="6">
        <f t="shared" si="7"/>
        <v>112.02393229909524</v>
      </c>
      <c r="V64" s="7">
        <v>1.9281299999999999E-3</v>
      </c>
      <c r="W64" s="7">
        <v>3.0778499999999998E-4</v>
      </c>
      <c r="X64" s="6">
        <f t="shared" si="8"/>
        <v>129.36736378092226</v>
      </c>
      <c r="Y64" s="6">
        <f t="shared" si="9"/>
        <v>134.06496238767483</v>
      </c>
      <c r="AA64" s="6">
        <f t="shared" si="10"/>
        <v>1.8615220000000002E-3</v>
      </c>
      <c r="AB64" s="6">
        <f t="shared" si="11"/>
        <v>2.8892680000000006E-4</v>
      </c>
      <c r="AD64" s="6">
        <f t="shared" si="12"/>
        <v>109.8222974018388</v>
      </c>
      <c r="AE64" s="6">
        <f t="shared" si="13"/>
        <v>112.91753695862963</v>
      </c>
      <c r="AG64">
        <f t="shared" si="14"/>
        <v>24.976936571830247</v>
      </c>
      <c r="AH64">
        <f t="shared" si="15"/>
        <v>23.721803870599533</v>
      </c>
    </row>
    <row r="65" spans="1:34" x14ac:dyDescent="0.35">
      <c r="A65">
        <v>405.02199999999999</v>
      </c>
      <c r="B65">
        <v>1.1102099999999999E-3</v>
      </c>
      <c r="C65">
        <v>1.9241000000000001E-4</v>
      </c>
      <c r="D65">
        <f t="shared" si="0"/>
        <v>63.673069092285537</v>
      </c>
      <c r="E65">
        <f t="shared" si="1"/>
        <v>72.191018613359148</v>
      </c>
      <c r="G65" s="7">
        <v>2.46933E-3</v>
      </c>
      <c r="H65" s="7">
        <v>3.9650299999999998E-4</v>
      </c>
      <c r="I65" s="6">
        <f t="shared" si="2"/>
        <v>136.82772760015516</v>
      </c>
      <c r="J65" s="6">
        <f t="shared" si="3"/>
        <v>142.72606521793907</v>
      </c>
      <c r="L65" s="7">
        <v>1.8978599999999999E-3</v>
      </c>
      <c r="M65" s="7">
        <v>2.5801399999999999E-4</v>
      </c>
      <c r="N65" s="6">
        <f t="shared" si="4"/>
        <v>111.77492593923188</v>
      </c>
      <c r="O65" s="6">
        <f t="shared" si="5"/>
        <v>109.86097805028633</v>
      </c>
      <c r="Q65" s="7">
        <v>2.0308399999999999E-3</v>
      </c>
      <c r="R65" s="7">
        <v>3.1117900000000002E-4</v>
      </c>
      <c r="S65" s="6">
        <f t="shared" si="6"/>
        <v>114.78146848206362</v>
      </c>
      <c r="T65" s="6">
        <f t="shared" si="7"/>
        <v>113.80239761847295</v>
      </c>
      <c r="V65" s="7">
        <v>1.9745299999999999E-3</v>
      </c>
      <c r="W65" s="7">
        <v>3.0775600000000001E-4</v>
      </c>
      <c r="X65" s="6">
        <f t="shared" si="8"/>
        <v>132.48055930167803</v>
      </c>
      <c r="Y65" s="6">
        <f t="shared" si="9"/>
        <v>134.05233057030478</v>
      </c>
      <c r="AA65" s="6">
        <f t="shared" si="10"/>
        <v>1.8965539999999999E-3</v>
      </c>
      <c r="AB65" s="6">
        <f t="shared" si="11"/>
        <v>2.9317239999999999E-4</v>
      </c>
      <c r="AD65" s="6">
        <f t="shared" si="12"/>
        <v>111.90755008308284</v>
      </c>
      <c r="AE65" s="6">
        <f t="shared" si="13"/>
        <v>114.52655801407245</v>
      </c>
      <c r="AG65">
        <f t="shared" si="14"/>
        <v>25.996561727928309</v>
      </c>
      <c r="AH65">
        <f t="shared" si="15"/>
        <v>24.458364383110421</v>
      </c>
    </row>
    <row r="66" spans="1:34" x14ac:dyDescent="0.35">
      <c r="A66">
        <v>411.33699999999999</v>
      </c>
      <c r="B66">
        <v>1.1111599999999999E-3</v>
      </c>
      <c r="C66">
        <v>1.9159900000000001E-4</v>
      </c>
      <c r="D66">
        <f t="shared" si="0"/>
        <v>63.72755375341962</v>
      </c>
      <c r="E66">
        <f t="shared" si="1"/>
        <v>71.886736527732438</v>
      </c>
      <c r="G66" s="7">
        <v>2.53082E-3</v>
      </c>
      <c r="H66" s="7">
        <v>4.02595E-4</v>
      </c>
      <c r="I66" s="6">
        <f t="shared" si="2"/>
        <v>140.23494209563916</v>
      </c>
      <c r="J66" s="6">
        <f t="shared" si="3"/>
        <v>144.91895452598388</v>
      </c>
      <c r="L66" s="7">
        <v>1.9379E-3</v>
      </c>
      <c r="M66" s="7">
        <v>2.60807E-4</v>
      </c>
      <c r="N66" s="6">
        <f t="shared" si="4"/>
        <v>114.13309147020195</v>
      </c>
      <c r="O66" s="6">
        <f t="shared" si="5"/>
        <v>111.05022247769899</v>
      </c>
      <c r="Q66" s="7">
        <v>2.06676E-3</v>
      </c>
      <c r="R66" s="7">
        <v>3.1533899999999998E-4</v>
      </c>
      <c r="S66" s="6">
        <f t="shared" si="6"/>
        <v>116.81163843532222</v>
      </c>
      <c r="T66" s="6">
        <f t="shared" si="7"/>
        <v>115.32376626511311</v>
      </c>
      <c r="V66" s="7">
        <v>2.0172200000000001E-3</v>
      </c>
      <c r="W66" s="7">
        <v>3.2297199999999998E-4</v>
      </c>
      <c r="X66" s="6">
        <f t="shared" si="8"/>
        <v>135.34483337023545</v>
      </c>
      <c r="Y66" s="6">
        <f t="shared" si="9"/>
        <v>140.68011447040016</v>
      </c>
      <c r="AA66" s="6">
        <f t="shared" si="10"/>
        <v>1.9327719999999999E-3</v>
      </c>
      <c r="AB66" s="6">
        <f t="shared" si="11"/>
        <v>2.9866239999999997E-4</v>
      </c>
      <c r="AD66" s="6">
        <f t="shared" si="12"/>
        <v>114.05041182496367</v>
      </c>
      <c r="AE66" s="6">
        <f t="shared" si="13"/>
        <v>116.7719588533857</v>
      </c>
      <c r="AG66">
        <f t="shared" si="14"/>
        <v>27.126014330343097</v>
      </c>
      <c r="AH66">
        <f t="shared" si="15"/>
        <v>26.128038512485293</v>
      </c>
    </row>
    <row r="67" spans="1:34" x14ac:dyDescent="0.35">
      <c r="A67">
        <v>417.42200000000003</v>
      </c>
      <c r="B67">
        <v>1.1135800000000001E-3</v>
      </c>
      <c r="C67">
        <v>1.9260699999999999E-4</v>
      </c>
      <c r="D67">
        <f t="shared" si="0"/>
        <v>63.866346258624354</v>
      </c>
      <c r="E67">
        <f t="shared" si="1"/>
        <v>72.264931771026795</v>
      </c>
      <c r="G67" s="7">
        <v>2.5829300000000002E-3</v>
      </c>
      <c r="H67" s="7">
        <v>4.1256799999999998E-4</v>
      </c>
      <c r="I67" s="6">
        <f t="shared" si="2"/>
        <v>143.12240261539316</v>
      </c>
      <c r="J67" s="6">
        <f t="shared" si="3"/>
        <v>148.50885686825745</v>
      </c>
      <c r="L67" s="7">
        <v>1.9790599999999999E-3</v>
      </c>
      <c r="M67" s="7">
        <v>2.6677299999999999E-4</v>
      </c>
      <c r="N67" s="6">
        <f t="shared" si="4"/>
        <v>116.55721967336699</v>
      </c>
      <c r="O67" s="6">
        <f t="shared" si="5"/>
        <v>113.59051329543762</v>
      </c>
      <c r="Q67" s="7">
        <v>2.1036200000000001E-3</v>
      </c>
      <c r="R67" s="7">
        <v>3.2136300000000002E-4</v>
      </c>
      <c r="S67" s="6">
        <f t="shared" si="6"/>
        <v>118.89493644415055</v>
      </c>
      <c r="T67" s="6">
        <f t="shared" si="7"/>
        <v>117.52682509380557</v>
      </c>
      <c r="V67" s="7">
        <v>2.0750199999999999E-3</v>
      </c>
      <c r="W67" s="7">
        <v>3.3316299999999998E-4</v>
      </c>
      <c r="X67" s="6">
        <f t="shared" si="8"/>
        <v>139.22290882496998</v>
      </c>
      <c r="Y67" s="6">
        <f t="shared" si="9"/>
        <v>145.11910932620145</v>
      </c>
      <c r="AA67" s="6">
        <f t="shared" si="10"/>
        <v>1.970842E-3</v>
      </c>
      <c r="AB67" s="6">
        <f t="shared" si="11"/>
        <v>3.0529480000000001E-4</v>
      </c>
      <c r="AD67" s="6">
        <f t="shared" si="12"/>
        <v>116.33276276330101</v>
      </c>
      <c r="AE67" s="6">
        <f t="shared" si="13"/>
        <v>119.40204727094579</v>
      </c>
      <c r="AG67">
        <f t="shared" si="14"/>
        <v>28.287748464120877</v>
      </c>
      <c r="AH67">
        <f t="shared" si="15"/>
        <v>27.45094420490069</v>
      </c>
    </row>
    <row r="68" spans="1:34" x14ac:dyDescent="0.35">
      <c r="A68">
        <v>423.74099999999999</v>
      </c>
      <c r="B68">
        <v>1.1167099999999999E-3</v>
      </c>
      <c r="C68">
        <v>1.92898E-4</v>
      </c>
      <c r="D68">
        <f t="shared" ref="D68:D109" si="16">B68/$B$3*100</f>
        <v>64.045858878992433</v>
      </c>
      <c r="E68">
        <f t="shared" ref="E68:E109" si="17">C68/$C$3*100</f>
        <v>72.374113135906413</v>
      </c>
      <c r="G68" s="7">
        <v>2.6380700000000002E-3</v>
      </c>
      <c r="H68" s="7">
        <v>4.1830300000000002E-4</v>
      </c>
      <c r="I68" s="6">
        <f t="shared" ref="I68:I109" si="18">G68/$G$3*100</f>
        <v>146.17775807613455</v>
      </c>
      <c r="J68" s="6">
        <f t="shared" ref="J68:J109" si="19">H68/$H$3*100</f>
        <v>150.57323969518407</v>
      </c>
      <c r="L68" s="7">
        <v>2.0204699999999999E-3</v>
      </c>
      <c r="M68" s="7">
        <v>2.6788400000000003E-4</v>
      </c>
      <c r="N68" s="6">
        <f t="shared" ref="N68:N109" si="20">L68/$L$3*100</f>
        <v>118.9960716872898</v>
      </c>
      <c r="O68" s="6">
        <f t="shared" ref="O68:O109" si="21">M68/$M$3*100</f>
        <v>114.06357113963936</v>
      </c>
      <c r="Q68" s="7">
        <v>2.1415399999999999E-3</v>
      </c>
      <c r="R68" s="7">
        <v>3.27466E-4</v>
      </c>
      <c r="S68" s="6">
        <f t="shared" ref="S68:S109" si="22">Q68/$Q$3*100</f>
        <v>121.03814481351488</v>
      </c>
      <c r="T68" s="6">
        <f t="shared" ref="T68:T109" si="23">R68/$R$3*100</f>
        <v>119.75877529823946</v>
      </c>
      <c r="V68" s="7">
        <v>2.134E-3</v>
      </c>
      <c r="W68" s="7">
        <v>3.3875799999999998E-4</v>
      </c>
      <c r="X68" s="6">
        <f t="shared" ref="X68:X109" si="24">V68/$V$3*100</f>
        <v>143.18015606234442</v>
      </c>
      <c r="Y68" s="6">
        <f t="shared" ref="Y68:Y109" si="25">W68/$W$3*100</f>
        <v>147.55617891880354</v>
      </c>
      <c r="AA68" s="6">
        <f t="shared" ref="AA68:AA109" si="26">AVERAGE(B68,G68,L68,Q68,V68)</f>
        <v>2.0101580000000002E-3</v>
      </c>
      <c r="AB68" s="6">
        <f t="shared" ref="AB68:AB109" si="27">AVERAGE(C68,H68,M68,R68,W68)</f>
        <v>3.0906180000000002E-4</v>
      </c>
      <c r="AD68" s="6">
        <f t="shared" ref="AD68:AD109" si="28">AVERAGE(D68,I68,N68,S68,X68)</f>
        <v>118.68759790365523</v>
      </c>
      <c r="AE68" s="6">
        <f t="shared" ref="AE68:AE109" si="29">AVERAGE(E68,J68,O68,T68,Y68)</f>
        <v>120.86517563755456</v>
      </c>
      <c r="AG68">
        <f t="shared" ref="AG68:AG109" si="30">_xlfn.STDEV.P(D68,I68,N68,S68,X68)</f>
        <v>29.48536647883261</v>
      </c>
      <c r="AH68">
        <f t="shared" ref="AH68:AH109" si="31">_xlfn.STDEV.P(E68,J68,O68,T68,Y68)</f>
        <v>28.262511615946352</v>
      </c>
    </row>
    <row r="69" spans="1:34" x14ac:dyDescent="0.35">
      <c r="A69">
        <v>429.80099999999999</v>
      </c>
      <c r="B69">
        <v>1.11944E-3</v>
      </c>
      <c r="C69">
        <v>1.9340500000000001E-4</v>
      </c>
      <c r="D69">
        <f t="shared" si="16"/>
        <v>64.202430589409317</v>
      </c>
      <c r="E69">
        <f t="shared" si="17"/>
        <v>72.564336338634831</v>
      </c>
      <c r="G69" s="7">
        <v>2.6919999999999999E-3</v>
      </c>
      <c r="H69" s="7">
        <v>4.2479099999999999E-4</v>
      </c>
      <c r="I69" s="6">
        <f t="shared" si="18"/>
        <v>149.16606638222419</v>
      </c>
      <c r="J69" s="6">
        <f t="shared" si="19"/>
        <v>152.90867400749443</v>
      </c>
      <c r="L69" s="7">
        <v>2.0592900000000001E-3</v>
      </c>
      <c r="M69" s="7">
        <v>2.7170200000000002E-4</v>
      </c>
      <c r="N69" s="6">
        <f t="shared" si="20"/>
        <v>121.28238502176178</v>
      </c>
      <c r="O69" s="6">
        <f t="shared" si="21"/>
        <v>115.68925507227866</v>
      </c>
      <c r="Q69" s="7">
        <v>2.1825899999999999E-3</v>
      </c>
      <c r="R69" s="7">
        <v>3.2910600000000002E-4</v>
      </c>
      <c r="S69" s="6">
        <f t="shared" si="22"/>
        <v>123.35825830408463</v>
      </c>
      <c r="T69" s="6">
        <f t="shared" si="23"/>
        <v>120.358545630088</v>
      </c>
      <c r="V69" s="7">
        <v>2.1876299999999999E-3</v>
      </c>
      <c r="W69" s="7">
        <v>3.4539599999999998E-4</v>
      </c>
      <c r="X69" s="6">
        <f t="shared" si="24"/>
        <v>146.77844648859724</v>
      </c>
      <c r="Y69" s="6">
        <f t="shared" si="25"/>
        <v>150.44755835681835</v>
      </c>
      <c r="AA69" s="6">
        <f t="shared" si="26"/>
        <v>2.0481899999999996E-3</v>
      </c>
      <c r="AB69" s="6">
        <f t="shared" si="27"/>
        <v>3.1288000000000003E-4</v>
      </c>
      <c r="AD69" s="6">
        <f t="shared" si="28"/>
        <v>120.95751735721542</v>
      </c>
      <c r="AE69" s="6">
        <f t="shared" si="29"/>
        <v>122.39367388106287</v>
      </c>
      <c r="AG69">
        <f t="shared" si="30"/>
        <v>30.624994985856961</v>
      </c>
      <c r="AH69">
        <f t="shared" si="31"/>
        <v>29.155581027905658</v>
      </c>
    </row>
    <row r="70" spans="1:34" x14ac:dyDescent="0.35">
      <c r="A70">
        <v>436.18</v>
      </c>
      <c r="B70">
        <v>1.12104E-3</v>
      </c>
      <c r="C70">
        <v>1.9313300000000001E-4</v>
      </c>
      <c r="D70">
        <f t="shared" si="16"/>
        <v>64.294194229214099</v>
      </c>
      <c r="E70">
        <f t="shared" si="17"/>
        <v>72.462283653936353</v>
      </c>
      <c r="G70" s="7">
        <v>2.74683E-3</v>
      </c>
      <c r="H70" s="7">
        <v>4.3324299999999999E-4</v>
      </c>
      <c r="I70" s="6">
        <f t="shared" si="18"/>
        <v>152.20424447276554</v>
      </c>
      <c r="J70" s="6">
        <f t="shared" si="19"/>
        <v>155.9510739470208</v>
      </c>
      <c r="L70" s="7">
        <v>2.0939000000000001E-3</v>
      </c>
      <c r="M70" s="7">
        <v>2.8159799999999998E-4</v>
      </c>
      <c r="N70" s="6">
        <f t="shared" si="20"/>
        <v>123.32074938307234</v>
      </c>
      <c r="O70" s="6">
        <f t="shared" si="21"/>
        <v>119.90291882225203</v>
      </c>
      <c r="Q70" s="7">
        <v>2.21616E-3</v>
      </c>
      <c r="R70" s="7">
        <v>3.3322199999999999E-4</v>
      </c>
      <c r="S70" s="6">
        <f t="shared" si="22"/>
        <v>125.25560811841905</v>
      </c>
      <c r="T70" s="6">
        <f t="shared" si="23"/>
        <v>121.86382287758101</v>
      </c>
      <c r="V70" s="7">
        <v>2.2413799999999998E-3</v>
      </c>
      <c r="W70" s="7">
        <v>3.51529E-4</v>
      </c>
      <c r="X70" s="6">
        <f t="shared" si="24"/>
        <v>150.38478828257615</v>
      </c>
      <c r="Y70" s="6">
        <f t="shared" si="25"/>
        <v>153.11896994063045</v>
      </c>
      <c r="AA70" s="6">
        <f t="shared" si="26"/>
        <v>2.0838619999999997E-3</v>
      </c>
      <c r="AB70" s="6">
        <f t="shared" si="27"/>
        <v>3.1854499999999999E-4</v>
      </c>
      <c r="AD70" s="6">
        <f t="shared" si="28"/>
        <v>123.09191689720942</v>
      </c>
      <c r="AE70" s="6">
        <f t="shared" si="29"/>
        <v>124.65981384828414</v>
      </c>
      <c r="AG70">
        <f t="shared" si="30"/>
        <v>31.794133296174262</v>
      </c>
      <c r="AH70">
        <f t="shared" si="31"/>
        <v>30.146622690583737</v>
      </c>
    </row>
    <row r="71" spans="1:34" x14ac:dyDescent="0.35">
      <c r="A71">
        <v>449.34699999999998</v>
      </c>
      <c r="B71">
        <v>3.4176499999999998E-6</v>
      </c>
      <c r="C71">
        <v>3.1720800000000003E-5</v>
      </c>
      <c r="D71">
        <f t="shared" si="16"/>
        <v>0.19601000223673873</v>
      </c>
      <c r="E71">
        <f t="shared" si="17"/>
        <v>11.901444120527223</v>
      </c>
      <c r="G71" s="7">
        <v>1.8049099999999999E-6</v>
      </c>
      <c r="H71" s="7">
        <v>2.1969600000000001E-5</v>
      </c>
      <c r="I71" s="6">
        <f t="shared" si="18"/>
        <v>0.10001163628303873</v>
      </c>
      <c r="J71" s="6">
        <f t="shared" si="19"/>
        <v>7.9082240548294322</v>
      </c>
      <c r="L71" s="7">
        <v>2.07377E-6</v>
      </c>
      <c r="M71" s="7">
        <v>2.7559299999999999E-5</v>
      </c>
      <c r="N71" s="6">
        <f t="shared" si="20"/>
        <v>0.12213518814085386</v>
      </c>
      <c r="O71" s="6">
        <f t="shared" si="21"/>
        <v>11.734602201358285</v>
      </c>
      <c r="Q71" s="7">
        <v>1.52005E-6</v>
      </c>
      <c r="R71" s="7">
        <v>2.6105499999999999E-5</v>
      </c>
      <c r="S71" s="6">
        <f t="shared" si="22"/>
        <v>8.5912022200744925E-2</v>
      </c>
      <c r="T71" s="6">
        <f t="shared" si="23"/>
        <v>9.5471368280926576</v>
      </c>
      <c r="V71" s="7">
        <v>1.9849299999999998E-6</v>
      </c>
      <c r="W71" s="7">
        <v>2.35841E-5</v>
      </c>
      <c r="X71" s="6">
        <f t="shared" si="24"/>
        <v>0.13317834450460603</v>
      </c>
      <c r="Y71" s="6">
        <f t="shared" si="25"/>
        <v>10.272760139211339</v>
      </c>
      <c r="AA71" s="6">
        <f t="shared" si="26"/>
        <v>2.1602619999999997E-6</v>
      </c>
      <c r="AB71" s="6">
        <f t="shared" si="27"/>
        <v>2.6187859999999998E-5</v>
      </c>
      <c r="AD71" s="6">
        <f t="shared" si="28"/>
        <v>0.12744943867319644</v>
      </c>
      <c r="AE71" s="6">
        <f t="shared" si="29"/>
        <v>10.272833468803787</v>
      </c>
      <c r="AG71">
        <f t="shared" si="30"/>
        <v>3.8052076064528768E-2</v>
      </c>
      <c r="AH71">
        <f t="shared" si="31"/>
        <v>1.4769667418566825</v>
      </c>
    </row>
    <row r="72" spans="1:34" x14ac:dyDescent="0.35">
      <c r="A72">
        <v>455.601</v>
      </c>
      <c r="B72">
        <v>3.4440800000000001E-6</v>
      </c>
      <c r="C72">
        <v>3.1800100000000001E-5</v>
      </c>
      <c r="D72">
        <f t="shared" si="16"/>
        <v>0.19752582286176379</v>
      </c>
      <c r="E72">
        <f t="shared" si="17"/>
        <v>11.931196980441152</v>
      </c>
      <c r="G72" s="7">
        <v>1.85147E-6</v>
      </c>
      <c r="H72" s="7">
        <v>2.1781400000000001E-5</v>
      </c>
      <c r="I72" s="6">
        <f t="shared" si="18"/>
        <v>0.10259156646534051</v>
      </c>
      <c r="J72" s="6">
        <f t="shared" si="19"/>
        <v>7.8404791815900969</v>
      </c>
      <c r="L72" s="7">
        <v>2.08439E-6</v>
      </c>
      <c r="M72" s="7">
        <v>2.74873E-5</v>
      </c>
      <c r="N72" s="6">
        <f t="shared" si="20"/>
        <v>0.1227606556218454</v>
      </c>
      <c r="O72" s="6">
        <f t="shared" si="21"/>
        <v>11.70394498733261</v>
      </c>
      <c r="Q72" s="7">
        <v>1.55791E-6</v>
      </c>
      <c r="R72" s="7">
        <v>2.5871999999999999E-5</v>
      </c>
      <c r="S72" s="6">
        <f t="shared" si="22"/>
        <v>8.8051839417626079E-2</v>
      </c>
      <c r="T72" s="6">
        <f t="shared" si="23"/>
        <v>9.4617426985276385</v>
      </c>
      <c r="V72" s="7">
        <v>2.0368000000000001E-6</v>
      </c>
      <c r="W72" s="7">
        <v>2.3403800000000001E-5</v>
      </c>
      <c r="X72" s="6">
        <f t="shared" si="24"/>
        <v>0.13665854820420953</v>
      </c>
      <c r="Y72" s="6">
        <f t="shared" si="25"/>
        <v>10.194225081562339</v>
      </c>
      <c r="AA72" s="6">
        <f t="shared" si="26"/>
        <v>2.1949300000000003E-6</v>
      </c>
      <c r="AB72" s="6">
        <f t="shared" si="27"/>
        <v>2.6068919999999998E-5</v>
      </c>
      <c r="AD72" s="6">
        <f t="shared" si="28"/>
        <v>0.12951768651415707</v>
      </c>
      <c r="AE72" s="6">
        <f t="shared" si="29"/>
        <v>10.226317785890767</v>
      </c>
      <c r="AG72">
        <f t="shared" si="30"/>
        <v>3.7858125674541623E-2</v>
      </c>
      <c r="AH72">
        <f t="shared" si="31"/>
        <v>1.5078346106990981</v>
      </c>
    </row>
    <row r="73" spans="1:34" x14ac:dyDescent="0.35">
      <c r="A73">
        <v>461.72699999999998</v>
      </c>
      <c r="B73">
        <v>3.4247800000000001E-6</v>
      </c>
      <c r="C73">
        <v>3.1681299999999998E-5</v>
      </c>
      <c r="D73">
        <f t="shared" si="16"/>
        <v>0.19641892395661875</v>
      </c>
      <c r="E73">
        <f t="shared" si="17"/>
        <v>11.886623969624317</v>
      </c>
      <c r="G73" s="7">
        <v>1.8601500000000001E-6</v>
      </c>
      <c r="H73" s="7">
        <v>2.1620999999999998E-5</v>
      </c>
      <c r="I73" s="6">
        <f t="shared" si="18"/>
        <v>0.10307253283094144</v>
      </c>
      <c r="J73" s="6">
        <f t="shared" si="19"/>
        <v>7.7827412556199089</v>
      </c>
      <c r="L73" s="7">
        <v>2.0416999999999999E-6</v>
      </c>
      <c r="M73" s="7">
        <v>2.68212E-5</v>
      </c>
      <c r="N73" s="6">
        <f t="shared" si="20"/>
        <v>0.12024641769684261</v>
      </c>
      <c r="O73" s="6">
        <f t="shared" si="21"/>
        <v>11.420323178131188</v>
      </c>
      <c r="Q73" s="7">
        <v>1.5552900000000001E-6</v>
      </c>
      <c r="R73" s="7">
        <v>2.5803E-5</v>
      </c>
      <c r="S73" s="6">
        <f t="shared" si="22"/>
        <v>8.7903759092527595E-2</v>
      </c>
      <c r="T73" s="6">
        <f t="shared" si="23"/>
        <v>9.4365084589559611</v>
      </c>
      <c r="V73" s="7">
        <v>2.0443500000000002E-6</v>
      </c>
      <c r="W73" s="7">
        <v>2.3266300000000001E-5</v>
      </c>
      <c r="X73" s="6">
        <f t="shared" si="24"/>
        <v>0.13716511342364285</v>
      </c>
      <c r="Y73" s="6">
        <f t="shared" si="25"/>
        <v>10.134332844031903</v>
      </c>
      <c r="AA73" s="6">
        <f t="shared" si="26"/>
        <v>2.1852540000000001E-6</v>
      </c>
      <c r="AB73" s="6">
        <f t="shared" si="27"/>
        <v>2.5838559999999997E-5</v>
      </c>
      <c r="AD73" s="6">
        <f t="shared" si="28"/>
        <v>0.12896134940011464</v>
      </c>
      <c r="AE73" s="6">
        <f t="shared" si="29"/>
        <v>10.132105941272656</v>
      </c>
      <c r="AG73">
        <f t="shared" si="30"/>
        <v>3.7549254823526723E-2</v>
      </c>
      <c r="AH73">
        <f t="shared" si="31"/>
        <v>1.4656883982514168</v>
      </c>
    </row>
    <row r="74" spans="1:34" x14ac:dyDescent="0.35">
      <c r="A74">
        <v>467.90100000000001</v>
      </c>
      <c r="B74">
        <v>3.4081999999999998E-6</v>
      </c>
      <c r="C74">
        <v>3.1585000000000003E-5</v>
      </c>
      <c r="D74">
        <f t="shared" si="16"/>
        <v>0.19546802323914175</v>
      </c>
      <c r="E74">
        <f t="shared" si="17"/>
        <v>11.850492816916734</v>
      </c>
      <c r="G74" s="7">
        <v>1.8628199999999999E-6</v>
      </c>
      <c r="H74" s="7">
        <v>2.1565299999999998E-5</v>
      </c>
      <c r="I74" s="6">
        <f t="shared" si="18"/>
        <v>0.10322047985814817</v>
      </c>
      <c r="J74" s="6">
        <f t="shared" si="19"/>
        <v>7.7626913648684157</v>
      </c>
      <c r="L74" s="7">
        <v>2.0436199999999999E-6</v>
      </c>
      <c r="M74" s="7">
        <v>2.67687E-5</v>
      </c>
      <c r="N74" s="6">
        <f t="shared" si="20"/>
        <v>0.12035949656346255</v>
      </c>
      <c r="O74" s="6">
        <f t="shared" si="21"/>
        <v>11.397968959570798</v>
      </c>
      <c r="Q74" s="7">
        <v>1.55511E-6</v>
      </c>
      <c r="R74" s="7">
        <v>2.5768499999999999E-5</v>
      </c>
      <c r="S74" s="6">
        <f t="shared" si="22"/>
        <v>8.7893585635078084E-2</v>
      </c>
      <c r="T74" s="6">
        <f t="shared" si="23"/>
        <v>9.4238913391701242</v>
      </c>
      <c r="V74" s="7">
        <v>2.05194E-6</v>
      </c>
      <c r="W74" s="7">
        <v>2.3212599999999999E-5</v>
      </c>
      <c r="X74" s="6">
        <f t="shared" si="24"/>
        <v>0.13767436243231818</v>
      </c>
      <c r="Y74" s="6">
        <f t="shared" si="25"/>
        <v>10.110942202901834</v>
      </c>
      <c r="AA74" s="6">
        <f t="shared" si="26"/>
        <v>2.1843380000000002E-6</v>
      </c>
      <c r="AB74" s="6">
        <f t="shared" si="27"/>
        <v>2.5780019999999999E-5</v>
      </c>
      <c r="AD74" s="6">
        <f t="shared" si="28"/>
        <v>0.12892318954562976</v>
      </c>
      <c r="AE74" s="6">
        <f t="shared" si="29"/>
        <v>10.109197336685581</v>
      </c>
      <c r="AG74">
        <f t="shared" si="30"/>
        <v>3.7208043318665368E-2</v>
      </c>
      <c r="AH74">
        <f t="shared" si="31"/>
        <v>1.4607381610672054</v>
      </c>
    </row>
    <row r="75" spans="1:34" x14ac:dyDescent="0.35">
      <c r="A75">
        <v>474.11200000000002</v>
      </c>
      <c r="B75">
        <v>3.39027E-6</v>
      </c>
      <c r="C75">
        <v>3.1514399999999998E-5</v>
      </c>
      <c r="D75">
        <f t="shared" si="16"/>
        <v>0.19443969695057955</v>
      </c>
      <c r="E75">
        <f t="shared" si="17"/>
        <v>11.824004142138378</v>
      </c>
      <c r="G75" s="7">
        <v>1.8717E-6</v>
      </c>
      <c r="H75" s="7">
        <v>2.1738200000000001E-5</v>
      </c>
      <c r="I75" s="6">
        <f t="shared" si="18"/>
        <v>0.1037125283980717</v>
      </c>
      <c r="J75" s="6">
        <f t="shared" si="19"/>
        <v>7.8249288174884013</v>
      </c>
      <c r="L75" s="7">
        <v>2.04066E-6</v>
      </c>
      <c r="M75" s="7">
        <v>2.6851000000000001E-5</v>
      </c>
      <c r="N75" s="6">
        <f t="shared" si="20"/>
        <v>0.12018516664409015</v>
      </c>
      <c r="O75" s="6">
        <f t="shared" si="21"/>
        <v>11.433011858380704</v>
      </c>
      <c r="Q75" s="7">
        <v>1.5535799999999999E-6</v>
      </c>
      <c r="R75" s="7">
        <v>2.5658400000000002E-5</v>
      </c>
      <c r="S75" s="6">
        <f t="shared" si="22"/>
        <v>8.7807111246757205E-2</v>
      </c>
      <c r="T75" s="6">
        <f t="shared" si="23"/>
        <v>9.3836262699405353</v>
      </c>
      <c r="V75" s="7">
        <v>2.0570700000000002E-6</v>
      </c>
      <c r="W75" s="7">
        <v>2.32115E-5</v>
      </c>
      <c r="X75" s="6">
        <f t="shared" si="24"/>
        <v>0.13801855840260865</v>
      </c>
      <c r="Y75" s="6">
        <f t="shared" si="25"/>
        <v>10.110463065001591</v>
      </c>
      <c r="AA75" s="6">
        <f t="shared" si="26"/>
        <v>2.1826560000000004E-6</v>
      </c>
      <c r="AB75" s="6">
        <f t="shared" si="27"/>
        <v>2.5794700000000002E-5</v>
      </c>
      <c r="AD75" s="6">
        <f t="shared" si="28"/>
        <v>0.12883261232842147</v>
      </c>
      <c r="AE75" s="6">
        <f t="shared" si="29"/>
        <v>10.115206830589923</v>
      </c>
      <c r="AG75">
        <f t="shared" si="30"/>
        <v>3.6817278091759525E-2</v>
      </c>
      <c r="AH75">
        <f t="shared" si="31"/>
        <v>1.4447978641010111</v>
      </c>
    </row>
    <row r="76" spans="1:34" x14ac:dyDescent="0.35">
      <c r="A76">
        <v>480.45699999999999</v>
      </c>
      <c r="B76">
        <v>3.3808400000000001E-6</v>
      </c>
      <c r="C76">
        <v>3.1458399999999997E-5</v>
      </c>
      <c r="D76">
        <f t="shared" si="16"/>
        <v>0.19389886499848016</v>
      </c>
      <c r="E76">
        <f t="shared" si="17"/>
        <v>11.802993295288692</v>
      </c>
      <c r="G76" s="7">
        <v>1.87565E-6</v>
      </c>
      <c r="H76" s="7">
        <v>2.18443E-5</v>
      </c>
      <c r="I76" s="6">
        <f t="shared" si="18"/>
        <v>0.10393140134094309</v>
      </c>
      <c r="J76" s="6">
        <f t="shared" si="19"/>
        <v>7.8631207996918739</v>
      </c>
      <c r="L76" s="7">
        <v>2.0443200000000002E-6</v>
      </c>
      <c r="M76" s="7">
        <v>2.68274E-5</v>
      </c>
      <c r="N76" s="6">
        <f t="shared" si="20"/>
        <v>0.12040072323358443</v>
      </c>
      <c r="O76" s="6">
        <f t="shared" si="21"/>
        <v>11.42296310489451</v>
      </c>
      <c r="Q76" s="7">
        <v>1.57576E-6</v>
      </c>
      <c r="R76" s="7">
        <v>2.56207E-5</v>
      </c>
      <c r="S76" s="6">
        <f t="shared" si="22"/>
        <v>8.9060707281369569E-2</v>
      </c>
      <c r="T76" s="6">
        <f t="shared" si="23"/>
        <v>9.3698388665803591</v>
      </c>
      <c r="V76" s="7">
        <v>2.0606400000000001E-6</v>
      </c>
      <c r="W76" s="7">
        <v>2.3183499999999999E-5</v>
      </c>
      <c r="X76" s="6">
        <f t="shared" si="24"/>
        <v>0.13825808659245989</v>
      </c>
      <c r="Y76" s="6">
        <f t="shared" si="25"/>
        <v>10.098266827540847</v>
      </c>
      <c r="AA76" s="6">
        <f t="shared" si="26"/>
        <v>2.1874419999999999E-6</v>
      </c>
      <c r="AB76" s="6">
        <f t="shared" si="27"/>
        <v>2.5786859999999996E-5</v>
      </c>
      <c r="AD76" s="6">
        <f t="shared" si="28"/>
        <v>0.12910995668936742</v>
      </c>
      <c r="AE76" s="6">
        <f t="shared" si="29"/>
        <v>10.111436578799255</v>
      </c>
      <c r="AG76">
        <f t="shared" si="30"/>
        <v>3.631815990816574E-2</v>
      </c>
      <c r="AH76">
        <f t="shared" si="31"/>
        <v>1.4273423139143508</v>
      </c>
    </row>
    <row r="77" spans="1:34" x14ac:dyDescent="0.35">
      <c r="A77">
        <v>486.59</v>
      </c>
      <c r="B77">
        <v>3.3745699999999999E-6</v>
      </c>
      <c r="C77">
        <v>3.14504E-5</v>
      </c>
      <c r="D77">
        <f t="shared" si="16"/>
        <v>0.19353926623499521</v>
      </c>
      <c r="E77">
        <f t="shared" si="17"/>
        <v>11.799991745738737</v>
      </c>
      <c r="G77" s="7">
        <v>1.8976700000000001E-6</v>
      </c>
      <c r="H77" s="7">
        <v>2.1841999999999999E-5</v>
      </c>
      <c r="I77" s="6">
        <f t="shared" si="18"/>
        <v>0.10515154873386159</v>
      </c>
      <c r="J77" s="6">
        <f t="shared" si="19"/>
        <v>7.8622928867883095</v>
      </c>
      <c r="L77" s="7">
        <v>2.0555000000000001E-6</v>
      </c>
      <c r="M77" s="7">
        <v>2.6902000000000001E-5</v>
      </c>
      <c r="N77" s="6">
        <f t="shared" si="20"/>
        <v>0.12105917205067346</v>
      </c>
      <c r="O77" s="6">
        <f t="shared" si="21"/>
        <v>11.454727384982224</v>
      </c>
      <c r="Q77" s="7">
        <v>1.5652700000000001E-6</v>
      </c>
      <c r="R77" s="7">
        <v>2.5614099999999999E-5</v>
      </c>
      <c r="S77" s="6">
        <f t="shared" si="22"/>
        <v>8.8467820788895118E-2</v>
      </c>
      <c r="T77" s="6">
        <f t="shared" si="23"/>
        <v>9.3674251567082845</v>
      </c>
      <c r="V77" s="7">
        <v>2.0687100000000001E-6</v>
      </c>
      <c r="W77" s="7">
        <v>2.3189399999999999E-5</v>
      </c>
      <c r="X77" s="6">
        <f t="shared" si="24"/>
        <v>0.13879954107203962</v>
      </c>
      <c r="Y77" s="6">
        <f t="shared" si="25"/>
        <v>10.100836749005788</v>
      </c>
      <c r="AA77" s="6">
        <f t="shared" si="26"/>
        <v>2.1923440000000001E-6</v>
      </c>
      <c r="AB77" s="6">
        <f t="shared" si="27"/>
        <v>2.5799579999999995E-5</v>
      </c>
      <c r="AD77" s="6">
        <f t="shared" si="28"/>
        <v>0.12940346977609302</v>
      </c>
      <c r="AE77" s="6">
        <f t="shared" si="29"/>
        <v>10.117054784644669</v>
      </c>
      <c r="AG77">
        <f t="shared" si="30"/>
        <v>3.615299954357426E-2</v>
      </c>
      <c r="AH77">
        <f t="shared" si="31"/>
        <v>1.4330250256359947</v>
      </c>
    </row>
    <row r="78" spans="1:34" x14ac:dyDescent="0.35">
      <c r="A78">
        <v>492.80599999999998</v>
      </c>
      <c r="B78">
        <v>3.3708899999999999E-6</v>
      </c>
      <c r="C78">
        <v>3.1428099999999998E-5</v>
      </c>
      <c r="D78">
        <f t="shared" si="16"/>
        <v>0.19332820986344423</v>
      </c>
      <c r="E78">
        <f t="shared" si="17"/>
        <v>11.791624926368236</v>
      </c>
      <c r="G78" s="7">
        <v>1.9141E-6</v>
      </c>
      <c r="H78" s="7">
        <v>2.19864E-5</v>
      </c>
      <c r="I78" s="6">
        <f t="shared" si="18"/>
        <v>0.10606194935446334</v>
      </c>
      <c r="J78" s="6">
        <f t="shared" si="19"/>
        <v>7.9142714186467593</v>
      </c>
      <c r="L78" s="7">
        <v>2.0544900000000001E-6</v>
      </c>
      <c r="M78" s="7">
        <v>2.6928300000000001E-5</v>
      </c>
      <c r="N78" s="6">
        <f t="shared" si="20"/>
        <v>0.12099968785521194</v>
      </c>
      <c r="O78" s="6">
        <f t="shared" si="21"/>
        <v>11.465925783994381</v>
      </c>
      <c r="Q78" s="7">
        <v>1.5655000000000001E-6</v>
      </c>
      <c r="R78" s="7">
        <v>2.55837E-5</v>
      </c>
      <c r="S78" s="6">
        <f t="shared" si="22"/>
        <v>8.848082020674726E-2</v>
      </c>
      <c r="T78" s="6">
        <f t="shared" si="23"/>
        <v>9.3563074627520688</v>
      </c>
      <c r="V78" s="7">
        <v>2.07253E-6</v>
      </c>
      <c r="W78" s="7">
        <v>2.3237299999999999E-5</v>
      </c>
      <c r="X78" s="6">
        <f t="shared" si="24"/>
        <v>0.13905584294465353</v>
      </c>
      <c r="Y78" s="6">
        <f t="shared" si="25"/>
        <v>10.121701026661846</v>
      </c>
      <c r="AA78" s="6">
        <f t="shared" si="26"/>
        <v>2.195502E-6</v>
      </c>
      <c r="AB78" s="6">
        <f t="shared" si="27"/>
        <v>2.5832759999999998E-5</v>
      </c>
      <c r="AD78" s="6">
        <f t="shared" si="28"/>
        <v>0.12958530204490407</v>
      </c>
      <c r="AE78" s="6">
        <f t="shared" si="29"/>
        <v>10.129966123684659</v>
      </c>
      <c r="AG78">
        <f t="shared" si="30"/>
        <v>3.597079026680735E-2</v>
      </c>
      <c r="AH78">
        <f t="shared" si="31"/>
        <v>1.4180139105035865</v>
      </c>
    </row>
    <row r="79" spans="1:34" x14ac:dyDescent="0.35">
      <c r="A79">
        <v>499.017</v>
      </c>
      <c r="B79">
        <v>3.3634299999999998E-6</v>
      </c>
      <c r="C79">
        <v>3.1418899999999998E-5</v>
      </c>
      <c r="D79">
        <f t="shared" si="16"/>
        <v>0.19290036189285445</v>
      </c>
      <c r="E79">
        <f t="shared" si="17"/>
        <v>11.788173144385789</v>
      </c>
      <c r="G79" s="7">
        <v>1.9218399999999998E-6</v>
      </c>
      <c r="H79" s="7">
        <v>2.2078200000000001E-5</v>
      </c>
      <c r="I79" s="6">
        <f t="shared" si="18"/>
        <v>0.10649082950074804</v>
      </c>
      <c r="J79" s="6">
        <f t="shared" si="19"/>
        <v>7.9473159423628648</v>
      </c>
      <c r="L79" s="7">
        <v>2.0598799999999998E-6</v>
      </c>
      <c r="M79" s="7">
        <v>2.7018399999999999E-5</v>
      </c>
      <c r="N79" s="6">
        <f t="shared" si="20"/>
        <v>0.1213171332151502</v>
      </c>
      <c r="O79" s="6">
        <f t="shared" si="21"/>
        <v>11.504289880990399</v>
      </c>
      <c r="Q79" s="7">
        <v>1.56312E-6</v>
      </c>
      <c r="R79" s="7">
        <v>2.5579899999999999E-5</v>
      </c>
      <c r="S79" s="6">
        <f t="shared" si="22"/>
        <v>8.8346304491581457E-2</v>
      </c>
      <c r="T79" s="6">
        <f t="shared" si="23"/>
        <v>9.354917751007541</v>
      </c>
      <c r="V79" s="7">
        <v>2.0779099999999999E-6</v>
      </c>
      <c r="W79" s="7">
        <v>2.3244999999999999E-5</v>
      </c>
      <c r="X79" s="6">
        <f t="shared" si="24"/>
        <v>0.13941681259770669</v>
      </c>
      <c r="Y79" s="6">
        <f t="shared" si="25"/>
        <v>10.12505499196355</v>
      </c>
      <c r="AA79" s="6">
        <f t="shared" si="26"/>
        <v>2.1972359999999996E-6</v>
      </c>
      <c r="AB79" s="6">
        <f t="shared" si="27"/>
        <v>2.5868080000000003E-5</v>
      </c>
      <c r="AD79" s="6">
        <f t="shared" si="28"/>
        <v>0.12969428833960817</v>
      </c>
      <c r="AE79" s="6">
        <f t="shared" si="29"/>
        <v>10.143950342142029</v>
      </c>
      <c r="AG79">
        <f t="shared" si="30"/>
        <v>3.5798793863286174E-2</v>
      </c>
      <c r="AH79">
        <f t="shared" si="31"/>
        <v>1.4143637746206947</v>
      </c>
    </row>
    <row r="80" spans="1:34" x14ac:dyDescent="0.35">
      <c r="A80">
        <v>505.20699999999999</v>
      </c>
      <c r="B80">
        <v>3.3503100000000002E-6</v>
      </c>
      <c r="C80">
        <v>3.1390599999999997E-5</v>
      </c>
      <c r="D80">
        <f t="shared" si="16"/>
        <v>0.19214790004645535</v>
      </c>
      <c r="E80">
        <f t="shared" si="17"/>
        <v>11.777555162852822</v>
      </c>
      <c r="G80" s="7">
        <v>1.9389000000000002E-6</v>
      </c>
      <c r="H80" s="7">
        <v>2.20745E-5</v>
      </c>
      <c r="I80" s="6">
        <f t="shared" si="18"/>
        <v>0.107436138970466</v>
      </c>
      <c r="J80" s="6">
        <f t="shared" si="19"/>
        <v>7.9459840824745251</v>
      </c>
      <c r="L80" s="7">
        <v>2.04574E-6</v>
      </c>
      <c r="M80" s="7">
        <v>2.7089599999999999E-5</v>
      </c>
      <c r="N80" s="6">
        <f t="shared" si="20"/>
        <v>0.12048435447868876</v>
      </c>
      <c r="O80" s="6">
        <f t="shared" si="21"/>
        <v>11.534606459304678</v>
      </c>
      <c r="Q80" s="7">
        <v>1.5763000000000001E-6</v>
      </c>
      <c r="R80" s="7">
        <v>2.56934E-5</v>
      </c>
      <c r="S80" s="6">
        <f t="shared" si="22"/>
        <v>8.9091227653718116E-2</v>
      </c>
      <c r="T80" s="6">
        <f t="shared" si="23"/>
        <v>9.3964262465348636</v>
      </c>
      <c r="V80" s="7">
        <v>2.0815899999999998E-6</v>
      </c>
      <c r="W80" s="7">
        <v>2.3268299999999999E-5</v>
      </c>
      <c r="X80" s="6">
        <f t="shared" si="24"/>
        <v>0.13966372120797352</v>
      </c>
      <c r="Y80" s="6">
        <f t="shared" si="25"/>
        <v>10.135204003850525</v>
      </c>
      <c r="AA80" s="6">
        <f t="shared" si="26"/>
        <v>2.198568E-6</v>
      </c>
      <c r="AB80" s="6">
        <f t="shared" si="27"/>
        <v>2.5903279999999998E-5</v>
      </c>
      <c r="AD80" s="6">
        <f t="shared" si="28"/>
        <v>0.12976466847146034</v>
      </c>
      <c r="AE80" s="6">
        <f t="shared" si="29"/>
        <v>10.157955191003484</v>
      </c>
      <c r="AG80">
        <f t="shared" si="30"/>
        <v>3.5294971517923927E-2</v>
      </c>
      <c r="AH80">
        <f t="shared" si="31"/>
        <v>1.4136147224811144</v>
      </c>
    </row>
    <row r="81" spans="1:34" x14ac:dyDescent="0.35">
      <c r="A81">
        <v>518.327</v>
      </c>
      <c r="B81">
        <v>9.4989399999999996E-4</v>
      </c>
      <c r="C81">
        <v>1.95918E-4</v>
      </c>
      <c r="D81">
        <f t="shared" si="16"/>
        <v>54.478581792946812</v>
      </c>
      <c r="E81">
        <f t="shared" si="17"/>
        <v>73.507198091014487</v>
      </c>
      <c r="G81" s="7">
        <v>1.11955E-3</v>
      </c>
      <c r="H81" s="7">
        <v>2.3162399999999999E-4</v>
      </c>
      <c r="I81" s="6">
        <f t="shared" si="18"/>
        <v>62.035241314345868</v>
      </c>
      <c r="J81" s="6">
        <f t="shared" si="19"/>
        <v>83.375868858596078</v>
      </c>
      <c r="L81" s="7">
        <v>1.0782000000000001E-3</v>
      </c>
      <c r="M81" s="7">
        <v>1.9274799999999999E-4</v>
      </c>
      <c r="N81" s="6">
        <f t="shared" si="20"/>
        <v>63.500851036261807</v>
      </c>
      <c r="O81" s="6">
        <f t="shared" si="21"/>
        <v>82.071065125290076</v>
      </c>
      <c r="Q81" s="7">
        <v>1.2172000000000001E-3</v>
      </c>
      <c r="R81" s="7">
        <v>2.53928E-4</v>
      </c>
      <c r="S81" s="6">
        <f t="shared" si="22"/>
        <v>68.795180041937257</v>
      </c>
      <c r="T81" s="6">
        <f t="shared" si="23"/>
        <v>92.864927332704312</v>
      </c>
      <c r="V81" s="7">
        <v>9.5597900000000003E-4</v>
      </c>
      <c r="W81" s="7">
        <v>1.9816899999999999E-4</v>
      </c>
      <c r="X81" s="6">
        <f t="shared" si="24"/>
        <v>64.141153895184615</v>
      </c>
      <c r="Y81" s="6">
        <f t="shared" si="25"/>
        <v>86.318435048501811</v>
      </c>
      <c r="AA81" s="6">
        <f t="shared" si="26"/>
        <v>1.0641646E-3</v>
      </c>
      <c r="AB81" s="6">
        <f t="shared" si="27"/>
        <v>2.144774E-4</v>
      </c>
      <c r="AD81" s="6">
        <f t="shared" si="28"/>
        <v>62.590201616135275</v>
      </c>
      <c r="AE81" s="6">
        <f t="shared" si="29"/>
        <v>83.62749889122135</v>
      </c>
      <c r="AG81">
        <f t="shared" si="30"/>
        <v>4.6441974483313988</v>
      </c>
      <c r="AH81">
        <f t="shared" si="31"/>
        <v>6.284544751082537</v>
      </c>
    </row>
    <row r="82" spans="1:34" x14ac:dyDescent="0.35">
      <c r="A82">
        <v>524.44100000000003</v>
      </c>
      <c r="B82">
        <v>9.7780200000000005E-4</v>
      </c>
      <c r="C82">
        <v>1.9673100000000001E-4</v>
      </c>
      <c r="D82">
        <f t="shared" si="16"/>
        <v>56.079169080241563</v>
      </c>
      <c r="E82">
        <f t="shared" si="17"/>
        <v>73.812230564028681</v>
      </c>
      <c r="G82" s="7">
        <v>1.1920100000000001E-3</v>
      </c>
      <c r="H82" s="7">
        <v>2.40268E-4</v>
      </c>
      <c r="I82" s="6">
        <f t="shared" si="18"/>
        <v>66.050313071424611</v>
      </c>
      <c r="J82" s="6">
        <f t="shared" si="19"/>
        <v>86.487381527463313</v>
      </c>
      <c r="L82" s="7">
        <v>1.1200299999999999E-3</v>
      </c>
      <c r="M82" s="7">
        <v>1.9167000000000001E-4</v>
      </c>
      <c r="N82" s="6">
        <f t="shared" si="20"/>
        <v>65.964439052257745</v>
      </c>
      <c r="O82" s="6">
        <f t="shared" si="21"/>
        <v>81.612058504183437</v>
      </c>
      <c r="Q82" s="7">
        <v>1.2829E-3</v>
      </c>
      <c r="R82" s="7">
        <v>2.51962E-4</v>
      </c>
      <c r="S82" s="6">
        <f t="shared" si="22"/>
        <v>72.508492011009935</v>
      </c>
      <c r="T82" s="6">
        <f t="shared" si="23"/>
        <v>92.145934361720023</v>
      </c>
      <c r="V82" s="7">
        <v>1.0288599999999999E-3</v>
      </c>
      <c r="W82" s="7">
        <v>2.04167E-4</v>
      </c>
      <c r="X82" s="6">
        <f t="shared" si="24"/>
        <v>69.031084988895813</v>
      </c>
      <c r="Y82" s="6">
        <f t="shared" si="25"/>
        <v>88.931043344556784</v>
      </c>
      <c r="AA82" s="6">
        <f t="shared" si="26"/>
        <v>1.1203204000000001E-3</v>
      </c>
      <c r="AB82" s="6">
        <f t="shared" si="27"/>
        <v>2.1695960000000001E-4</v>
      </c>
      <c r="AD82" s="6">
        <f t="shared" si="28"/>
        <v>65.926699640765932</v>
      </c>
      <c r="AE82" s="6">
        <f t="shared" si="29"/>
        <v>84.597729660390456</v>
      </c>
      <c r="AG82">
        <f t="shared" si="30"/>
        <v>5.4762717587527732</v>
      </c>
      <c r="AH82">
        <f t="shared" si="31"/>
        <v>6.3963272100153867</v>
      </c>
    </row>
    <row r="83" spans="1:34" x14ac:dyDescent="0.35">
      <c r="A83">
        <v>530.67700000000002</v>
      </c>
      <c r="B83">
        <v>9.94497E-4</v>
      </c>
      <c r="C83">
        <v>1.94181E-4</v>
      </c>
      <c r="D83">
        <f t="shared" si="16"/>
        <v>57.036665309329493</v>
      </c>
      <c r="E83">
        <f t="shared" si="17"/>
        <v>72.855486644980473</v>
      </c>
      <c r="G83" s="7">
        <v>1.2493999999999999E-3</v>
      </c>
      <c r="H83" s="7">
        <v>2.42024E-4</v>
      </c>
      <c r="I83" s="6">
        <f t="shared" si="18"/>
        <v>69.230342993295281</v>
      </c>
      <c r="J83" s="6">
        <f t="shared" si="19"/>
        <v>87.119475031226727</v>
      </c>
      <c r="L83" s="7">
        <v>1.15256E-3</v>
      </c>
      <c r="M83" s="7">
        <v>1.8933200000000001E-4</v>
      </c>
      <c r="N83" s="6">
        <f t="shared" si="20"/>
        <v>67.880301308063338</v>
      </c>
      <c r="O83" s="6">
        <f t="shared" si="21"/>
        <v>80.616550637627483</v>
      </c>
      <c r="Q83" s="7">
        <v>1.3290000000000001E-3</v>
      </c>
      <c r="R83" s="7">
        <v>2.5059600000000001E-4</v>
      </c>
      <c r="S83" s="6">
        <f t="shared" si="22"/>
        <v>75.114027502246643</v>
      </c>
      <c r="T83" s="6">
        <f t="shared" si="23"/>
        <v>91.646369560924242</v>
      </c>
      <c r="V83" s="7">
        <v>1.09037E-3</v>
      </c>
      <c r="W83" s="7">
        <v>2.1187300000000001E-4</v>
      </c>
      <c r="X83" s="6">
        <f t="shared" si="24"/>
        <v>73.158081895828715</v>
      </c>
      <c r="Y83" s="6">
        <f t="shared" si="25"/>
        <v>92.287622125717078</v>
      </c>
      <c r="AA83" s="6">
        <f t="shared" si="26"/>
        <v>1.1631654E-3</v>
      </c>
      <c r="AB83" s="6">
        <f t="shared" si="27"/>
        <v>2.1760120000000001E-4</v>
      </c>
      <c r="AD83" s="6">
        <f t="shared" si="28"/>
        <v>68.483883801752697</v>
      </c>
      <c r="AE83" s="6">
        <f t="shared" si="29"/>
        <v>84.905100800095198</v>
      </c>
      <c r="AG83">
        <f t="shared" si="30"/>
        <v>6.2891534832036955</v>
      </c>
      <c r="AH83">
        <f t="shared" si="31"/>
        <v>7.3271364481307941</v>
      </c>
    </row>
    <row r="84" spans="1:34" x14ac:dyDescent="0.35">
      <c r="A84">
        <v>536.91800000000001</v>
      </c>
      <c r="B84">
        <v>1.0073E-3</v>
      </c>
      <c r="C84">
        <v>1.9318300000000001E-4</v>
      </c>
      <c r="D84">
        <f t="shared" si="16"/>
        <v>57.770946484592315</v>
      </c>
      <c r="E84">
        <f t="shared" si="17"/>
        <v>72.481043338623579</v>
      </c>
      <c r="G84" s="7">
        <v>1.2971300000000001E-3</v>
      </c>
      <c r="H84" s="7">
        <v>2.4505300000000001E-4</v>
      </c>
      <c r="I84" s="6">
        <f t="shared" si="18"/>
        <v>71.875103895384271</v>
      </c>
      <c r="J84" s="6">
        <f t="shared" si="19"/>
        <v>88.209800329005404</v>
      </c>
      <c r="L84" s="7">
        <v>1.1822200000000001E-3</v>
      </c>
      <c r="M84" s="7">
        <v>1.8893100000000001E-4</v>
      </c>
      <c r="N84" s="6">
        <f t="shared" si="20"/>
        <v>69.627134216369342</v>
      </c>
      <c r="O84" s="6">
        <f t="shared" si="21"/>
        <v>80.445806987290041</v>
      </c>
      <c r="Q84" s="7">
        <v>1.3687700000000001E-3</v>
      </c>
      <c r="R84" s="7">
        <v>2.50323E-4</v>
      </c>
      <c r="S84" s="6">
        <f t="shared" si="22"/>
        <v>77.361796406508759</v>
      </c>
      <c r="T84" s="6">
        <f t="shared" si="23"/>
        <v>91.546529743488463</v>
      </c>
      <c r="V84" s="7">
        <v>1.14941E-3</v>
      </c>
      <c r="W84" s="7">
        <v>2.1884000000000001E-4</v>
      </c>
      <c r="X84" s="6">
        <f t="shared" si="24"/>
        <v>77.11935481706621</v>
      </c>
      <c r="Y84" s="6">
        <f t="shared" si="25"/>
        <v>95.322307353895624</v>
      </c>
      <c r="AA84" s="6">
        <f t="shared" si="26"/>
        <v>1.2009659999999999E-3</v>
      </c>
      <c r="AB84" s="6">
        <f t="shared" si="27"/>
        <v>2.1926600000000002E-4</v>
      </c>
      <c r="AD84" s="6">
        <f t="shared" si="28"/>
        <v>70.750867163984182</v>
      </c>
      <c r="AE84" s="6">
        <f t="shared" si="29"/>
        <v>85.601097550460622</v>
      </c>
      <c r="AG84">
        <f t="shared" si="30"/>
        <v>7.1451668314492167</v>
      </c>
      <c r="AH84">
        <f t="shared" si="31"/>
        <v>8.1898505176021192</v>
      </c>
    </row>
    <row r="85" spans="1:34" x14ac:dyDescent="0.35">
      <c r="A85">
        <v>543.17700000000002</v>
      </c>
      <c r="B85">
        <v>1.0187E-3</v>
      </c>
      <c r="C85">
        <v>1.91652E-4</v>
      </c>
      <c r="D85">
        <f t="shared" si="16"/>
        <v>58.424762418201311</v>
      </c>
      <c r="E85">
        <f t="shared" si="17"/>
        <v>71.906621793500889</v>
      </c>
      <c r="G85" s="7">
        <v>1.34413E-3</v>
      </c>
      <c r="H85" s="7">
        <v>2.5103300000000001E-4</v>
      </c>
      <c r="I85" s="6">
        <f t="shared" si="18"/>
        <v>74.479414861195764</v>
      </c>
      <c r="J85" s="6">
        <f t="shared" si="19"/>
        <v>90.362373878268016</v>
      </c>
      <c r="L85" s="7">
        <v>1.2099599999999999E-3</v>
      </c>
      <c r="M85" s="7">
        <v>1.9033599999999999E-4</v>
      </c>
      <c r="N85" s="6">
        <f t="shared" si="20"/>
        <v>71.260888258055388</v>
      </c>
      <c r="O85" s="6">
        <f t="shared" si="21"/>
        <v>81.044048455429945</v>
      </c>
      <c r="Q85" s="7">
        <v>1.4070899999999999E-3</v>
      </c>
      <c r="R85" s="7">
        <v>2.5413999999999998E-4</v>
      </c>
      <c r="S85" s="6">
        <f t="shared" si="22"/>
        <v>79.527612459094215</v>
      </c>
      <c r="T85" s="6">
        <f t="shared" si="23"/>
        <v>92.942458619504237</v>
      </c>
      <c r="V85" s="7">
        <v>1.20082E-3</v>
      </c>
      <c r="W85" s="7">
        <v>2.25508E-4</v>
      </c>
      <c r="X85" s="6">
        <f t="shared" si="24"/>
        <v>80.568694940386337</v>
      </c>
      <c r="Y85" s="6">
        <f t="shared" si="25"/>
        <v>98.226754189189776</v>
      </c>
      <c r="AA85" s="6">
        <f t="shared" si="26"/>
        <v>1.2361399999999999E-3</v>
      </c>
      <c r="AB85" s="6">
        <f t="shared" si="27"/>
        <v>2.2253379999999999E-4</v>
      </c>
      <c r="AD85" s="6">
        <f t="shared" si="28"/>
        <v>72.852274587386589</v>
      </c>
      <c r="AE85" s="6">
        <f t="shared" si="29"/>
        <v>86.896451387178573</v>
      </c>
      <c r="AG85">
        <f t="shared" si="30"/>
        <v>7.9678915916002557</v>
      </c>
      <c r="AH85">
        <f t="shared" si="31"/>
        <v>9.3368966479860838</v>
      </c>
    </row>
    <row r="86" spans="1:34" x14ac:dyDescent="0.35">
      <c r="A86">
        <v>549.27800000000002</v>
      </c>
      <c r="B86">
        <v>1.02688E-3</v>
      </c>
      <c r="C86">
        <v>1.9238E-4</v>
      </c>
      <c r="D86">
        <f t="shared" si="16"/>
        <v>58.893904026703211</v>
      </c>
      <c r="E86">
        <f t="shared" si="17"/>
        <v>72.179762802546804</v>
      </c>
      <c r="G86" s="7">
        <v>1.3913E-3</v>
      </c>
      <c r="H86" s="7">
        <v>2.55147E-4</v>
      </c>
      <c r="I86" s="6">
        <f t="shared" si="18"/>
        <v>77.093145675181475</v>
      </c>
      <c r="J86" s="6">
        <f t="shared" si="19"/>
        <v>91.843258089249019</v>
      </c>
      <c r="L86" s="7">
        <v>1.23824E-3</v>
      </c>
      <c r="M86" s="7">
        <v>1.9148799999999999E-4</v>
      </c>
      <c r="N86" s="6">
        <f t="shared" si="20"/>
        <v>72.926445730978301</v>
      </c>
      <c r="O86" s="6">
        <f t="shared" si="21"/>
        <v>81.534563879840761</v>
      </c>
      <c r="Q86" s="7">
        <v>1.4460600000000001E-3</v>
      </c>
      <c r="R86" s="7">
        <v>2.55997E-4</v>
      </c>
      <c r="S86" s="6">
        <f t="shared" si="22"/>
        <v>81.730165996914053</v>
      </c>
      <c r="T86" s="6">
        <f t="shared" si="23"/>
        <v>93.621588806237625</v>
      </c>
      <c r="V86" s="7">
        <v>1.2503200000000001E-3</v>
      </c>
      <c r="W86" s="7">
        <v>2.3130700000000001E-4</v>
      </c>
      <c r="X86" s="6">
        <f t="shared" si="24"/>
        <v>83.889884127399469</v>
      </c>
      <c r="Y86" s="6">
        <f t="shared" si="25"/>
        <v>100.7526820832916</v>
      </c>
      <c r="AA86" s="6">
        <f t="shared" si="26"/>
        <v>1.27056E-3</v>
      </c>
      <c r="AB86" s="6">
        <f t="shared" si="27"/>
        <v>2.2526379999999999E-4</v>
      </c>
      <c r="AD86" s="6">
        <f t="shared" si="28"/>
        <v>74.906709111435291</v>
      </c>
      <c r="AE86" s="6">
        <f t="shared" si="29"/>
        <v>87.986371132233174</v>
      </c>
      <c r="AG86">
        <f t="shared" si="30"/>
        <v>8.8585424514456363</v>
      </c>
      <c r="AH86">
        <f t="shared" si="31"/>
        <v>10.010840466632677</v>
      </c>
    </row>
    <row r="87" spans="1:34" x14ac:dyDescent="0.35">
      <c r="A87">
        <v>555.61199999999997</v>
      </c>
      <c r="B87">
        <v>1.0348E-3</v>
      </c>
      <c r="C87">
        <v>1.92478E-4</v>
      </c>
      <c r="D87">
        <f t="shared" si="16"/>
        <v>59.348134043736842</v>
      </c>
      <c r="E87">
        <f t="shared" si="17"/>
        <v>72.216531784533771</v>
      </c>
      <c r="G87" s="7">
        <v>1.4352E-3</v>
      </c>
      <c r="H87" s="7">
        <v>2.6189300000000002E-4</v>
      </c>
      <c r="I87" s="6">
        <f t="shared" si="18"/>
        <v>79.525682938992631</v>
      </c>
      <c r="J87" s="6">
        <f t="shared" si="19"/>
        <v>94.271562631611175</v>
      </c>
      <c r="L87" s="7">
        <v>1.2641E-3</v>
      </c>
      <c r="M87" s="7">
        <v>1.9542499999999999E-4</v>
      </c>
      <c r="N87" s="6">
        <f t="shared" si="20"/>
        <v>74.449476715765655</v>
      </c>
      <c r="O87" s="6">
        <f t="shared" si="21"/>
        <v>83.210917374550249</v>
      </c>
      <c r="Q87" s="7">
        <v>1.48207E-3</v>
      </c>
      <c r="R87" s="7">
        <v>2.58793E-4</v>
      </c>
      <c r="S87" s="6">
        <f t="shared" si="22"/>
        <v>83.765422678897423</v>
      </c>
      <c r="T87" s="6">
        <f t="shared" si="23"/>
        <v>94.644124079315972</v>
      </c>
      <c r="V87" s="7">
        <v>1.29725E-3</v>
      </c>
      <c r="W87" s="7">
        <v>2.41019E-4</v>
      </c>
      <c r="X87" s="6">
        <f t="shared" si="24"/>
        <v>87.038639855612132</v>
      </c>
      <c r="Y87" s="6">
        <f t="shared" si="25"/>
        <v>104.98303416253229</v>
      </c>
      <c r="AA87" s="6">
        <f t="shared" si="26"/>
        <v>1.3026839999999999E-3</v>
      </c>
      <c r="AB87" s="6">
        <f t="shared" si="27"/>
        <v>2.2992160000000002E-4</v>
      </c>
      <c r="AD87" s="6">
        <f t="shared" si="28"/>
        <v>76.825471246600927</v>
      </c>
      <c r="AE87" s="6">
        <f t="shared" si="29"/>
        <v>89.8652340065087</v>
      </c>
      <c r="AG87">
        <f t="shared" si="30"/>
        <v>9.7042830525045449</v>
      </c>
      <c r="AH87">
        <f t="shared" si="31"/>
        <v>11.194266602115059</v>
      </c>
    </row>
    <row r="88" spans="1:34" x14ac:dyDescent="0.35">
      <c r="A88">
        <v>561.73</v>
      </c>
      <c r="B88">
        <v>1.0398300000000001E-3</v>
      </c>
      <c r="C88">
        <v>1.9393899999999999E-4</v>
      </c>
      <c r="D88">
        <f t="shared" si="16"/>
        <v>59.636615986373101</v>
      </c>
      <c r="E88">
        <f t="shared" si="17"/>
        <v>72.764689771094325</v>
      </c>
      <c r="G88" s="7">
        <v>1.4696799999999999E-3</v>
      </c>
      <c r="H88" s="7">
        <v>2.6772100000000001E-4</v>
      </c>
      <c r="I88" s="6">
        <f t="shared" si="18"/>
        <v>81.436249792209225</v>
      </c>
      <c r="J88" s="6">
        <f t="shared" si="19"/>
        <v>96.369421936812259</v>
      </c>
      <c r="L88" s="7">
        <v>1.2899599999999999E-3</v>
      </c>
      <c r="M88" s="7">
        <v>1.98183E-4</v>
      </c>
      <c r="N88" s="6">
        <f t="shared" si="20"/>
        <v>75.97250770055301</v>
      </c>
      <c r="O88" s="6">
        <f t="shared" si="21"/>
        <v>84.385258989589332</v>
      </c>
      <c r="Q88" s="7">
        <v>1.51418E-3</v>
      </c>
      <c r="R88" s="7">
        <v>2.6269999999999999E-4</v>
      </c>
      <c r="S88" s="6">
        <f t="shared" si="22"/>
        <v>85.580254449474651</v>
      </c>
      <c r="T88" s="6">
        <f t="shared" si="23"/>
        <v>96.072967180860019</v>
      </c>
      <c r="V88" s="7">
        <v>1.3429799999999999E-3</v>
      </c>
      <c r="W88" s="7">
        <v>2.48354E-4</v>
      </c>
      <c r="X88" s="6">
        <f t="shared" si="24"/>
        <v>90.106881906563871</v>
      </c>
      <c r="Y88" s="6">
        <f t="shared" si="25"/>
        <v>108.17801279733774</v>
      </c>
      <c r="AA88" s="6">
        <f t="shared" si="26"/>
        <v>1.3313259999999999E-3</v>
      </c>
      <c r="AB88" s="6">
        <f t="shared" si="27"/>
        <v>2.3417940000000002E-4</v>
      </c>
      <c r="AD88" s="6">
        <f t="shared" si="28"/>
        <v>78.546501967034757</v>
      </c>
      <c r="AE88" s="6">
        <f t="shared" si="29"/>
        <v>91.55407013513873</v>
      </c>
      <c r="AG88">
        <f t="shared" si="30"/>
        <v>10.542067492755972</v>
      </c>
      <c r="AH88">
        <f t="shared" si="31"/>
        <v>12.03657908896948</v>
      </c>
    </row>
    <row r="89" spans="1:34" x14ac:dyDescent="0.35">
      <c r="A89">
        <v>567.92600000000004</v>
      </c>
      <c r="B89">
        <v>1.04528E-3</v>
      </c>
      <c r="C89">
        <v>1.93501E-4</v>
      </c>
      <c r="D89">
        <f t="shared" si="16"/>
        <v>59.949185884458103</v>
      </c>
      <c r="E89">
        <f t="shared" si="17"/>
        <v>72.600354933234286</v>
      </c>
      <c r="G89" s="7">
        <v>1.5073E-3</v>
      </c>
      <c r="H89" s="7">
        <v>2.7368100000000001E-4</v>
      </c>
      <c r="I89" s="6">
        <f t="shared" si="18"/>
        <v>83.520806782290691</v>
      </c>
      <c r="J89" s="6">
        <f t="shared" si="19"/>
        <v>98.5147962434352</v>
      </c>
      <c r="L89" s="7">
        <v>1.3142900000000001E-3</v>
      </c>
      <c r="M89" s="7">
        <v>1.99815E-4</v>
      </c>
      <c r="N89" s="6">
        <f t="shared" si="20"/>
        <v>77.405428963502615</v>
      </c>
      <c r="O89" s="6">
        <f t="shared" si="21"/>
        <v>85.080155840837961</v>
      </c>
      <c r="Q89" s="7">
        <v>1.5466099999999999E-3</v>
      </c>
      <c r="R89" s="7">
        <v>2.64226E-4</v>
      </c>
      <c r="S89" s="6">
        <f t="shared" si="22"/>
        <v>87.413172366628785</v>
      </c>
      <c r="T89" s="6">
        <f t="shared" si="23"/>
        <v>96.631046160372748</v>
      </c>
      <c r="V89" s="7">
        <v>1.3929700000000001E-3</v>
      </c>
      <c r="W89" s="7">
        <v>2.55725E-4</v>
      </c>
      <c r="X89" s="6">
        <f t="shared" si="24"/>
        <v>93.4609475117919</v>
      </c>
      <c r="Y89" s="6">
        <f t="shared" si="25"/>
        <v>111.38867230887843</v>
      </c>
      <c r="AA89" s="6">
        <f t="shared" si="26"/>
        <v>1.36129E-3</v>
      </c>
      <c r="AB89" s="6">
        <f t="shared" si="27"/>
        <v>2.373896E-4</v>
      </c>
      <c r="AD89" s="6">
        <f t="shared" si="28"/>
        <v>80.349908301734416</v>
      </c>
      <c r="AE89" s="6">
        <f t="shared" si="29"/>
        <v>92.843005097351721</v>
      </c>
      <c r="AG89">
        <f t="shared" si="30"/>
        <v>11.460393355484046</v>
      </c>
      <c r="AH89">
        <f t="shared" si="31"/>
        <v>13.118589531400255</v>
      </c>
    </row>
    <row r="90" spans="1:34" x14ac:dyDescent="0.35">
      <c r="A90">
        <v>574.19000000000005</v>
      </c>
      <c r="B90">
        <v>1.04874E-3</v>
      </c>
      <c r="C90">
        <v>1.9348E-4</v>
      </c>
      <c r="D90">
        <f t="shared" si="16"/>
        <v>60.147624755535936</v>
      </c>
      <c r="E90">
        <f t="shared" si="17"/>
        <v>72.592475865665648</v>
      </c>
      <c r="G90" s="7">
        <v>1.5397399999999999E-3</v>
      </c>
      <c r="H90" s="7">
        <v>2.7966999999999998E-4</v>
      </c>
      <c r="I90" s="6">
        <f t="shared" si="18"/>
        <v>85.318335457416737</v>
      </c>
      <c r="J90" s="6">
        <f t="shared" si="19"/>
        <v>100.67060945188567</v>
      </c>
      <c r="L90" s="7">
        <v>1.3406799999999999E-3</v>
      </c>
      <c r="M90" s="7">
        <v>2.0252200000000001E-4</v>
      </c>
      <c r="N90" s="6">
        <f t="shared" si="20"/>
        <v>78.959674427096516</v>
      </c>
      <c r="O90" s="6">
        <f t="shared" si="21"/>
        <v>86.232781929275518</v>
      </c>
      <c r="Q90" s="7">
        <v>1.5775699999999999E-3</v>
      </c>
      <c r="R90" s="7">
        <v>2.6681200000000001E-4</v>
      </c>
      <c r="S90" s="6">
        <f t="shared" si="22"/>
        <v>89.163007047945243</v>
      </c>
      <c r="T90" s="6">
        <f t="shared" si="23"/>
        <v>97.576781573885128</v>
      </c>
      <c r="V90" s="7">
        <v>1.4316800000000001E-3</v>
      </c>
      <c r="W90" s="7">
        <v>2.69208E-4</v>
      </c>
      <c r="X90" s="6">
        <f t="shared" si="24"/>
        <v>96.058184550767237</v>
      </c>
      <c r="Y90" s="6">
        <f t="shared" si="25"/>
        <v>117.26159622613568</v>
      </c>
      <c r="AA90" s="6">
        <f t="shared" si="26"/>
        <v>1.3876819999999999E-3</v>
      </c>
      <c r="AB90" s="6">
        <f t="shared" si="27"/>
        <v>2.4233839999999998E-4</v>
      </c>
      <c r="AD90" s="6">
        <f t="shared" si="28"/>
        <v>81.92936524775233</v>
      </c>
      <c r="AE90" s="6">
        <f t="shared" si="29"/>
        <v>94.866849009369531</v>
      </c>
      <c r="AG90">
        <f t="shared" si="30"/>
        <v>12.220454247803456</v>
      </c>
      <c r="AH90">
        <f t="shared" si="31"/>
        <v>14.921440184980247</v>
      </c>
    </row>
    <row r="91" spans="1:34" x14ac:dyDescent="0.35">
      <c r="A91">
        <v>580.33500000000004</v>
      </c>
      <c r="B91">
        <v>1.0539900000000001E-3</v>
      </c>
      <c r="C91">
        <v>1.9173399999999999E-4</v>
      </c>
      <c r="D91">
        <f t="shared" si="16"/>
        <v>60.448724198645344</v>
      </c>
      <c r="E91">
        <f t="shared" si="17"/>
        <v>71.937387676387928</v>
      </c>
      <c r="G91" s="7">
        <v>1.5732599999999999E-3</v>
      </c>
      <c r="H91" s="7">
        <v>2.8668200000000002E-4</v>
      </c>
      <c r="I91" s="6">
        <f t="shared" si="18"/>
        <v>87.175707873884861</v>
      </c>
      <c r="J91" s="6">
        <f t="shared" si="19"/>
        <v>103.19466392135548</v>
      </c>
      <c r="L91" s="7">
        <v>1.36462E-3</v>
      </c>
      <c r="M91" s="7">
        <v>2.05634E-4</v>
      </c>
      <c r="N91" s="6">
        <f t="shared" si="20"/>
        <v>80.369626545263941</v>
      </c>
      <c r="O91" s="6">
        <f t="shared" si="21"/>
        <v>87.557854846607484</v>
      </c>
      <c r="Q91" s="7">
        <v>1.6067200000000001E-3</v>
      </c>
      <c r="R91" s="7">
        <v>2.6860300000000002E-4</v>
      </c>
      <c r="S91" s="6">
        <f t="shared" si="22"/>
        <v>90.810541962686017</v>
      </c>
      <c r="T91" s="6">
        <f t="shared" si="23"/>
        <v>98.231774661897774</v>
      </c>
      <c r="V91" s="7">
        <v>1.4778899999999999E-3</v>
      </c>
      <c r="W91" s="7">
        <v>2.7837599999999999E-4</v>
      </c>
      <c r="X91" s="6">
        <f t="shared" si="24"/>
        <v>99.158632072623334</v>
      </c>
      <c r="Y91" s="6">
        <f t="shared" si="25"/>
        <v>121.25499283471048</v>
      </c>
      <c r="AA91" s="6">
        <f t="shared" si="26"/>
        <v>1.4152959999999999E-3</v>
      </c>
      <c r="AB91" s="6">
        <f t="shared" si="27"/>
        <v>2.4620580000000005E-4</v>
      </c>
      <c r="AD91" s="6">
        <f t="shared" si="28"/>
        <v>83.592646530620698</v>
      </c>
      <c r="AE91" s="6">
        <f t="shared" si="29"/>
        <v>96.435334788191824</v>
      </c>
      <c r="AG91">
        <f t="shared" si="30"/>
        <v>13.063424112277593</v>
      </c>
      <c r="AH91">
        <f t="shared" si="31"/>
        <v>16.394451591330355</v>
      </c>
    </row>
    <row r="92" spans="1:34" x14ac:dyDescent="0.35">
      <c r="A92">
        <v>586.61800000000005</v>
      </c>
      <c r="B92">
        <v>1.0579700000000001E-3</v>
      </c>
      <c r="C92">
        <v>1.9174200000000001E-4</v>
      </c>
      <c r="D92">
        <f t="shared" si="16"/>
        <v>60.676986252659717</v>
      </c>
      <c r="E92">
        <f t="shared" si="17"/>
        <v>71.940389225937892</v>
      </c>
      <c r="G92" s="7">
        <v>1.61429E-3</v>
      </c>
      <c r="H92" s="7">
        <v>2.8726400000000002E-4</v>
      </c>
      <c r="I92" s="6">
        <f t="shared" si="18"/>
        <v>89.449215936166667</v>
      </c>
      <c r="J92" s="6">
        <f t="shared" si="19"/>
        <v>103.40416188217002</v>
      </c>
      <c r="L92" s="7">
        <v>1.3897099999999999E-3</v>
      </c>
      <c r="M92" s="7">
        <v>2.0913E-4</v>
      </c>
      <c r="N92" s="6">
        <f t="shared" si="20"/>
        <v>81.847308192917254</v>
      </c>
      <c r="O92" s="6">
        <f t="shared" si="21"/>
        <v>89.046432905409716</v>
      </c>
      <c r="Q92" s="7">
        <v>1.63765E-3</v>
      </c>
      <c r="R92" s="7">
        <v>2.7085599999999998E-4</v>
      </c>
      <c r="S92" s="6">
        <f t="shared" si="22"/>
        <v>92.558681067760872</v>
      </c>
      <c r="T92" s="6">
        <f t="shared" si="23"/>
        <v>99.055727440955536</v>
      </c>
      <c r="V92" s="7">
        <v>1.5259799999999999E-3</v>
      </c>
      <c r="W92" s="7">
        <v>2.8465800000000002E-4</v>
      </c>
      <c r="X92" s="6">
        <f t="shared" si="24"/>
        <v>102.38521768885489</v>
      </c>
      <c r="Y92" s="6">
        <f t="shared" si="25"/>
        <v>123.99130582501014</v>
      </c>
      <c r="AA92" s="6">
        <f t="shared" si="26"/>
        <v>1.4451199999999998E-3</v>
      </c>
      <c r="AB92" s="6">
        <f t="shared" si="27"/>
        <v>2.4873000000000001E-4</v>
      </c>
      <c r="AD92" s="6">
        <f t="shared" si="28"/>
        <v>85.383481827671872</v>
      </c>
      <c r="AE92" s="6">
        <f t="shared" si="29"/>
        <v>97.487603455896661</v>
      </c>
      <c r="AG92">
        <f t="shared" si="30"/>
        <v>13.999915341477049</v>
      </c>
      <c r="AH92">
        <f t="shared" si="31"/>
        <v>17.110373642258057</v>
      </c>
    </row>
    <row r="93" spans="1:34" x14ac:dyDescent="0.35">
      <c r="A93">
        <v>592.80999999999995</v>
      </c>
      <c r="B93">
        <v>1.0627099999999999E-3</v>
      </c>
      <c r="C93">
        <v>1.9144999999999999E-4</v>
      </c>
      <c r="D93">
        <f t="shared" si="16"/>
        <v>60.948836035581344</v>
      </c>
      <c r="E93">
        <f t="shared" si="17"/>
        <v>71.830832667364533</v>
      </c>
      <c r="G93" s="7">
        <v>1.6515799999999999E-3</v>
      </c>
      <c r="H93" s="7">
        <v>2.8878900000000002E-4</v>
      </c>
      <c r="I93" s="6">
        <f t="shared" si="18"/>
        <v>91.515487338615827</v>
      </c>
      <c r="J93" s="6">
        <f t="shared" si="19"/>
        <v>103.95310413344518</v>
      </c>
      <c r="L93" s="7">
        <v>1.4154599999999999E-3</v>
      </c>
      <c r="M93" s="7">
        <v>2.12418E-4</v>
      </c>
      <c r="N93" s="6">
        <f t="shared" si="20"/>
        <v>83.363860700971173</v>
      </c>
      <c r="O93" s="6">
        <f t="shared" si="21"/>
        <v>90.446445679248896</v>
      </c>
      <c r="Q93" s="7">
        <v>1.6672799999999999E-3</v>
      </c>
      <c r="R93" s="7">
        <v>2.72386E-4</v>
      </c>
      <c r="S93" s="6">
        <f t="shared" si="22"/>
        <v>94.233345202367019</v>
      </c>
      <c r="T93" s="6">
        <f t="shared" si="23"/>
        <v>99.615269274936196</v>
      </c>
      <c r="V93" s="7">
        <v>1.56525E-3</v>
      </c>
      <c r="W93" s="7">
        <v>2.9794499999999998E-4</v>
      </c>
      <c r="X93" s="6">
        <f t="shared" si="24"/>
        <v>105.02002777721866</v>
      </c>
      <c r="Y93" s="6">
        <f t="shared" si="25"/>
        <v>129.77885608004215</v>
      </c>
      <c r="AA93" s="6">
        <f t="shared" si="26"/>
        <v>1.472456E-3</v>
      </c>
      <c r="AB93" s="6">
        <f t="shared" si="27"/>
        <v>2.5259760000000001E-4</v>
      </c>
      <c r="AD93" s="6">
        <f t="shared" si="28"/>
        <v>87.016311410950806</v>
      </c>
      <c r="AE93" s="6">
        <f t="shared" si="29"/>
        <v>99.124901567007399</v>
      </c>
      <c r="AG93">
        <f t="shared" si="30"/>
        <v>14.76018721023468</v>
      </c>
      <c r="AH93">
        <f t="shared" si="31"/>
        <v>18.88649634788278</v>
      </c>
    </row>
    <row r="94" spans="1:34" x14ac:dyDescent="0.35">
      <c r="A94">
        <v>598.93799999999999</v>
      </c>
      <c r="B94">
        <v>1.06656E-3</v>
      </c>
      <c r="C94">
        <v>1.91182E-4</v>
      </c>
      <c r="D94">
        <f t="shared" si="16"/>
        <v>61.169642293861578</v>
      </c>
      <c r="E94">
        <f t="shared" si="17"/>
        <v>71.730280757441037</v>
      </c>
      <c r="G94" s="7">
        <v>1.68677E-3</v>
      </c>
      <c r="H94" s="7">
        <v>2.9767299999999998E-4</v>
      </c>
      <c r="I94" s="6">
        <f t="shared" si="18"/>
        <v>93.465395910677671</v>
      </c>
      <c r="J94" s="6">
        <f t="shared" si="19"/>
        <v>107.15100771398849</v>
      </c>
      <c r="L94" s="7">
        <v>1.4411999999999999E-3</v>
      </c>
      <c r="M94" s="7">
        <v>2.1602599999999999E-4</v>
      </c>
      <c r="N94" s="6">
        <f t="shared" si="20"/>
        <v>84.879824256594787</v>
      </c>
      <c r="O94" s="6">
        <f t="shared" si="21"/>
        <v>91.982712737646636</v>
      </c>
      <c r="Q94" s="7">
        <v>1.69644E-3</v>
      </c>
      <c r="R94" s="7">
        <v>2.7555199999999998E-4</v>
      </c>
      <c r="S94" s="6">
        <f t="shared" si="22"/>
        <v>95.881445309188322</v>
      </c>
      <c r="T94" s="6">
        <f t="shared" si="23"/>
        <v>100.77311858629744</v>
      </c>
      <c r="V94" s="7">
        <v>1.60618E-3</v>
      </c>
      <c r="W94" s="7">
        <v>3.0760999999999999E-4</v>
      </c>
      <c r="X94" s="6">
        <f t="shared" si="24"/>
        <v>107.7662151191267</v>
      </c>
      <c r="Y94" s="6">
        <f t="shared" si="25"/>
        <v>133.98873590354518</v>
      </c>
      <c r="AA94" s="6">
        <f t="shared" si="26"/>
        <v>1.4994300000000002E-3</v>
      </c>
      <c r="AB94" s="6">
        <f t="shared" si="27"/>
        <v>2.5760859999999998E-4</v>
      </c>
      <c r="AD94" s="6">
        <f t="shared" si="28"/>
        <v>88.632504577889819</v>
      </c>
      <c r="AE94" s="6">
        <f t="shared" si="29"/>
        <v>101.12517113978375</v>
      </c>
      <c r="AG94">
        <f t="shared" si="30"/>
        <v>15.558240735131918</v>
      </c>
      <c r="AH94">
        <f t="shared" si="31"/>
        <v>20.317936227019437</v>
      </c>
    </row>
    <row r="95" spans="1:34" x14ac:dyDescent="0.35">
      <c r="A95">
        <v>605.25900000000001</v>
      </c>
      <c r="B95">
        <v>1.0693600000000001E-3</v>
      </c>
      <c r="C95">
        <v>1.9301100000000001E-4</v>
      </c>
      <c r="D95">
        <f t="shared" si="16"/>
        <v>61.330228663519947</v>
      </c>
      <c r="E95">
        <f t="shared" si="17"/>
        <v>72.416510023299523</v>
      </c>
      <c r="G95" s="7">
        <v>1.7261100000000001E-3</v>
      </c>
      <c r="H95" s="7">
        <v>3.0371700000000001E-4</v>
      </c>
      <c r="I95" s="6">
        <f t="shared" si="18"/>
        <v>95.64525959993351</v>
      </c>
      <c r="J95" s="6">
        <f t="shared" si="19"/>
        <v>109.32661883969807</v>
      </c>
      <c r="L95" s="7">
        <v>1.4692100000000001E-3</v>
      </c>
      <c r="M95" s="7">
        <v>2.18032E-4</v>
      </c>
      <c r="N95" s="6">
        <f t="shared" si="20"/>
        <v>86.529480013899288</v>
      </c>
      <c r="O95" s="6">
        <f t="shared" si="21"/>
        <v>92.836856783973104</v>
      </c>
      <c r="Q95" s="7">
        <v>1.72336E-3</v>
      </c>
      <c r="R95" s="7">
        <v>2.7949600000000001E-4</v>
      </c>
      <c r="S95" s="6">
        <f t="shared" si="22"/>
        <v>97.40294238997123</v>
      </c>
      <c r="T95" s="6">
        <f t="shared" si="23"/>
        <v>102.2154930916698</v>
      </c>
      <c r="V95" s="7">
        <v>1.6416E-3</v>
      </c>
      <c r="W95" s="7">
        <v>3.2037599999999998E-4</v>
      </c>
      <c r="X95" s="6">
        <f t="shared" si="24"/>
        <v>110.142710492945</v>
      </c>
      <c r="Y95" s="6">
        <f t="shared" si="25"/>
        <v>139.54934902582551</v>
      </c>
      <c r="AA95" s="6">
        <f t="shared" si="26"/>
        <v>1.5259280000000002E-3</v>
      </c>
      <c r="AB95" s="6">
        <f t="shared" si="27"/>
        <v>2.629264E-4</v>
      </c>
      <c r="AD95" s="6">
        <f t="shared" si="28"/>
        <v>90.210124232053801</v>
      </c>
      <c r="AE95" s="6">
        <f t="shared" si="29"/>
        <v>103.26896555289322</v>
      </c>
      <c r="AG95">
        <f t="shared" si="30"/>
        <v>16.28607278921443</v>
      </c>
      <c r="AH95">
        <f t="shared" si="31"/>
        <v>21.976233062491996</v>
      </c>
    </row>
    <row r="96" spans="1:34" x14ac:dyDescent="0.35">
      <c r="A96">
        <v>611.42399999999998</v>
      </c>
      <c r="B96">
        <v>1.0729100000000001E-3</v>
      </c>
      <c r="C96">
        <v>1.93649E-4</v>
      </c>
      <c r="D96">
        <f t="shared" si="16"/>
        <v>61.533829239336782</v>
      </c>
      <c r="E96">
        <f t="shared" si="17"/>
        <v>72.655883599908449</v>
      </c>
      <c r="G96" s="7">
        <v>1.76425E-3</v>
      </c>
      <c r="H96" s="7">
        <v>3.0397099999999999E-4</v>
      </c>
      <c r="I96" s="6">
        <f t="shared" si="18"/>
        <v>97.75863024325372</v>
      </c>
      <c r="J96" s="6">
        <f t="shared" si="19"/>
        <v>109.41804922122193</v>
      </c>
      <c r="L96" s="7">
        <v>1.4950899999999999E-3</v>
      </c>
      <c r="M96" s="7">
        <v>2.2377000000000001E-4</v>
      </c>
      <c r="N96" s="6">
        <f t="shared" si="20"/>
        <v>88.053688903547254</v>
      </c>
      <c r="O96" s="6">
        <f t="shared" si="21"/>
        <v>95.280066423963731</v>
      </c>
      <c r="Q96" s="7">
        <v>1.74552E-3</v>
      </c>
      <c r="R96" s="7">
        <v>2.8633400000000001E-4</v>
      </c>
      <c r="S96" s="6">
        <f t="shared" si="22"/>
        <v>98.655408040422529</v>
      </c>
      <c r="T96" s="6">
        <f t="shared" si="23"/>
        <v>104.7162428045846</v>
      </c>
      <c r="V96" s="7">
        <v>1.69535E-3</v>
      </c>
      <c r="W96" s="7">
        <v>3.1985800000000001E-4</v>
      </c>
      <c r="X96" s="6">
        <f t="shared" si="24"/>
        <v>113.74905228692391</v>
      </c>
      <c r="Y96" s="6">
        <f t="shared" si="25"/>
        <v>139.32371863280179</v>
      </c>
      <c r="AA96" s="6">
        <f t="shared" si="26"/>
        <v>1.5546239999999999E-3</v>
      </c>
      <c r="AB96" s="6">
        <f t="shared" si="27"/>
        <v>2.6551639999999996E-4</v>
      </c>
      <c r="AD96" s="6">
        <f t="shared" si="28"/>
        <v>91.950121742696837</v>
      </c>
      <c r="AE96" s="6">
        <f t="shared" si="29"/>
        <v>104.27879213649608</v>
      </c>
      <c r="AG96">
        <f t="shared" si="30"/>
        <v>17.287139999013743</v>
      </c>
      <c r="AH96">
        <f t="shared" si="31"/>
        <v>21.613586506474061</v>
      </c>
    </row>
    <row r="97" spans="1:34" x14ac:dyDescent="0.35">
      <c r="A97">
        <v>617.57000000000005</v>
      </c>
      <c r="B97">
        <v>1.0756100000000001E-3</v>
      </c>
      <c r="C97">
        <v>1.9502000000000001E-4</v>
      </c>
      <c r="D97">
        <f t="shared" si="16"/>
        <v>61.688680381507332</v>
      </c>
      <c r="E97">
        <f t="shared" si="17"/>
        <v>73.170274154032029</v>
      </c>
      <c r="G97" s="7">
        <v>1.80203E-3</v>
      </c>
      <c r="H97" s="7">
        <v>3.0694400000000002E-4</v>
      </c>
      <c r="I97" s="6">
        <f t="shared" si="18"/>
        <v>99.85205297279326</v>
      </c>
      <c r="J97" s="6">
        <f t="shared" si="19"/>
        <v>110.48821663960953</v>
      </c>
      <c r="L97" s="7">
        <v>1.5235800000000001E-3</v>
      </c>
      <c r="M97" s="7">
        <v>2.2342E-4</v>
      </c>
      <c r="N97" s="6">
        <f t="shared" si="20"/>
        <v>89.73161437750673</v>
      </c>
      <c r="O97" s="6">
        <f t="shared" si="21"/>
        <v>95.131038300227814</v>
      </c>
      <c r="Q97" s="7">
        <v>1.7734199999999999E-3</v>
      </c>
      <c r="R97" s="7">
        <v>2.8967899999999999E-4</v>
      </c>
      <c r="S97" s="6">
        <f t="shared" si="22"/>
        <v>100.23229394509723</v>
      </c>
      <c r="T97" s="6">
        <f t="shared" si="23"/>
        <v>105.93955485338542</v>
      </c>
      <c r="V97" s="7">
        <v>1.7365200000000001E-3</v>
      </c>
      <c r="W97" s="7">
        <v>3.25889E-4</v>
      </c>
      <c r="X97" s="6">
        <f t="shared" si="24"/>
        <v>116.51134236428413</v>
      </c>
      <c r="Y97" s="6">
        <f t="shared" si="25"/>
        <v>141.95070106586405</v>
      </c>
      <c r="AA97" s="6">
        <f t="shared" si="26"/>
        <v>1.582232E-3</v>
      </c>
      <c r="AB97" s="6">
        <f t="shared" si="27"/>
        <v>2.6819039999999999E-4</v>
      </c>
      <c r="AD97" s="6">
        <f t="shared" si="28"/>
        <v>93.60319680823774</v>
      </c>
      <c r="AE97" s="6">
        <f t="shared" si="29"/>
        <v>105.33595700262376</v>
      </c>
      <c r="AG97">
        <f t="shared" si="30"/>
        <v>18.117956696615785</v>
      </c>
      <c r="AH97">
        <f t="shared" si="31"/>
        <v>22.388930797997723</v>
      </c>
    </row>
    <row r="98" spans="1:34" x14ac:dyDescent="0.35">
      <c r="A98">
        <v>623.89099999999996</v>
      </c>
      <c r="B98">
        <v>1.07818E-3</v>
      </c>
      <c r="C98">
        <v>1.9387199999999999E-4</v>
      </c>
      <c r="D98">
        <f t="shared" si="16"/>
        <v>61.836075727943751</v>
      </c>
      <c r="E98">
        <f t="shared" si="17"/>
        <v>72.739551793613458</v>
      </c>
      <c r="G98" s="7">
        <v>1.8370000000000001E-3</v>
      </c>
      <c r="H98" s="7">
        <v>3.1253200000000002E-4</v>
      </c>
      <c r="I98" s="6">
        <f t="shared" si="18"/>
        <v>101.78977115310023</v>
      </c>
      <c r="J98" s="6">
        <f t="shared" si="19"/>
        <v>112.49968503313453</v>
      </c>
      <c r="L98" s="7">
        <v>1.53999E-3</v>
      </c>
      <c r="M98" s="7">
        <v>2.3783300000000001E-4</v>
      </c>
      <c r="N98" s="6">
        <f t="shared" si="20"/>
        <v>90.698085315649053</v>
      </c>
      <c r="O98" s="6">
        <f t="shared" si="21"/>
        <v>101.26801643567309</v>
      </c>
      <c r="Q98" s="7">
        <v>1.7978099999999999E-3</v>
      </c>
      <c r="R98" s="7">
        <v>2.9358100000000001E-4</v>
      </c>
      <c r="S98" s="6">
        <f t="shared" si="22"/>
        <v>101.61079742950641</v>
      </c>
      <c r="T98" s="6">
        <f t="shared" si="23"/>
        <v>107.36656938684457</v>
      </c>
      <c r="V98" s="7">
        <v>1.77944E-3</v>
      </c>
      <c r="W98" s="7">
        <v>3.3226000000000002E-4</v>
      </c>
      <c r="X98" s="6">
        <f t="shared" si="24"/>
        <v>119.39104822098321</v>
      </c>
      <c r="Y98" s="6">
        <f t="shared" si="25"/>
        <v>144.72578066809248</v>
      </c>
      <c r="AA98" s="6">
        <f t="shared" si="26"/>
        <v>1.606484E-3</v>
      </c>
      <c r="AB98" s="6">
        <f t="shared" si="27"/>
        <v>2.740156E-4</v>
      </c>
      <c r="AD98" s="6">
        <f t="shared" si="28"/>
        <v>95.065155569436527</v>
      </c>
      <c r="AE98" s="6">
        <f t="shared" si="29"/>
        <v>107.71992066347161</v>
      </c>
      <c r="AG98">
        <f t="shared" si="30"/>
        <v>18.989776118305056</v>
      </c>
      <c r="AH98">
        <f t="shared" si="31"/>
        <v>23.054968894673578</v>
      </c>
    </row>
    <row r="99" spans="1:34" x14ac:dyDescent="0.35">
      <c r="A99">
        <v>630.03800000000001</v>
      </c>
      <c r="B99">
        <v>1.07941E-3</v>
      </c>
      <c r="C99">
        <v>1.9379799999999999E-4</v>
      </c>
      <c r="D99">
        <f t="shared" si="16"/>
        <v>61.906619026043671</v>
      </c>
      <c r="E99">
        <f t="shared" si="17"/>
        <v>72.711787460276369</v>
      </c>
      <c r="G99" s="7">
        <v>1.8742100000000001E-3</v>
      </c>
      <c r="H99" s="7">
        <v>3.1650800000000001E-4</v>
      </c>
      <c r="I99" s="6">
        <f t="shared" si="18"/>
        <v>103.85160968582036</v>
      </c>
      <c r="J99" s="6">
        <f t="shared" si="19"/>
        <v>113.93089446990179</v>
      </c>
      <c r="L99" s="7">
        <v>1.5776799999999999E-3</v>
      </c>
      <c r="M99" s="7">
        <v>2.2796599999999999E-4</v>
      </c>
      <c r="N99" s="6">
        <f t="shared" si="20"/>
        <v>92.917847025495746</v>
      </c>
      <c r="O99" s="6">
        <f t="shared" si="21"/>
        <v>97.066700730237812</v>
      </c>
      <c r="Q99" s="7">
        <v>1.82544E-3</v>
      </c>
      <c r="R99" s="7">
        <v>2.9362700000000003E-4</v>
      </c>
      <c r="S99" s="6">
        <f t="shared" si="22"/>
        <v>103.17242314800686</v>
      </c>
      <c r="T99" s="6">
        <f t="shared" si="23"/>
        <v>107.38339221322568</v>
      </c>
      <c r="V99" s="7">
        <v>1.82401E-3</v>
      </c>
      <c r="W99" s="7">
        <v>3.3680800000000002E-4</v>
      </c>
      <c r="X99" s="6">
        <f t="shared" si="24"/>
        <v>122.38146038391604</v>
      </c>
      <c r="Y99" s="6">
        <f t="shared" si="25"/>
        <v>146.70679809564464</v>
      </c>
      <c r="AA99" s="6">
        <f t="shared" si="26"/>
        <v>1.6361500000000001E-3</v>
      </c>
      <c r="AB99" s="6">
        <f t="shared" si="27"/>
        <v>2.7374140000000001E-4</v>
      </c>
      <c r="AD99" s="6">
        <f t="shared" si="28"/>
        <v>96.845991853856532</v>
      </c>
      <c r="AE99" s="6">
        <f t="shared" si="29"/>
        <v>107.55991459385726</v>
      </c>
      <c r="AG99">
        <f t="shared" si="30"/>
        <v>19.88644092124219</v>
      </c>
      <c r="AH99">
        <f t="shared" si="31"/>
        <v>24.073215549818912</v>
      </c>
    </row>
    <row r="100" spans="1:34" x14ac:dyDescent="0.35">
      <c r="A100">
        <v>636.29200000000003</v>
      </c>
      <c r="B100">
        <v>1.0827E-3</v>
      </c>
      <c r="C100">
        <v>1.93062E-4</v>
      </c>
      <c r="D100">
        <f t="shared" si="16"/>
        <v>62.095308010392237</v>
      </c>
      <c r="E100">
        <f t="shared" si="17"/>
        <v>72.43564490168049</v>
      </c>
      <c r="G100" s="7">
        <v>1.9098800000000001E-3</v>
      </c>
      <c r="H100" s="7">
        <v>3.1848599999999999E-4</v>
      </c>
      <c r="I100" s="6">
        <f t="shared" si="18"/>
        <v>105.82811547625643</v>
      </c>
      <c r="J100" s="6">
        <f t="shared" si="19"/>
        <v>114.64289956696557</v>
      </c>
      <c r="L100" s="7">
        <v>1.61068E-3</v>
      </c>
      <c r="M100" s="7">
        <v>2.3167199999999999E-4</v>
      </c>
      <c r="N100" s="6">
        <f t="shared" si="20"/>
        <v>94.861390045526022</v>
      </c>
      <c r="O100" s="6">
        <f t="shared" si="21"/>
        <v>98.644695663281595</v>
      </c>
      <c r="Q100" s="7">
        <v>1.8494E-3</v>
      </c>
      <c r="R100" s="7">
        <v>2.9932E-4</v>
      </c>
      <c r="S100" s="6">
        <f t="shared" si="22"/>
        <v>104.52662337295328</v>
      </c>
      <c r="T100" s="6">
        <f t="shared" si="23"/>
        <v>109.46539983469745</v>
      </c>
      <c r="V100" s="7">
        <v>1.86699E-3</v>
      </c>
      <c r="W100" s="7">
        <v>3.4424899999999998E-4</v>
      </c>
      <c r="X100" s="6">
        <f t="shared" si="24"/>
        <v>125.26519192447816</v>
      </c>
      <c r="Y100" s="6">
        <f t="shared" si="25"/>
        <v>149.94794820083717</v>
      </c>
      <c r="AA100" s="6">
        <f t="shared" si="26"/>
        <v>1.6639299999999999E-3</v>
      </c>
      <c r="AB100" s="6">
        <f t="shared" si="27"/>
        <v>2.773578E-4</v>
      </c>
      <c r="AD100" s="6">
        <f t="shared" si="28"/>
        <v>98.515325765921219</v>
      </c>
      <c r="AE100" s="6">
        <f t="shared" si="29"/>
        <v>109.02731763349246</v>
      </c>
      <c r="AG100">
        <f t="shared" si="30"/>
        <v>20.712010386876692</v>
      </c>
      <c r="AH100">
        <f t="shared" si="31"/>
        <v>25.11164683880375</v>
      </c>
    </row>
    <row r="101" spans="1:34" x14ac:dyDescent="0.35">
      <c r="A101">
        <v>642.43200000000002</v>
      </c>
      <c r="B101">
        <v>1.08624E-3</v>
      </c>
      <c r="C101">
        <v>1.9241000000000001E-4</v>
      </c>
      <c r="D101">
        <f t="shared" si="16"/>
        <v>62.2983350634603</v>
      </c>
      <c r="E101">
        <f t="shared" si="17"/>
        <v>72.191018613359148</v>
      </c>
      <c r="G101" s="7">
        <v>1.94433E-3</v>
      </c>
      <c r="H101" s="7">
        <v>3.2442199999999999E-4</v>
      </c>
      <c r="I101" s="6">
        <f t="shared" si="18"/>
        <v>107.73702000332466</v>
      </c>
      <c r="J101" s="6">
        <f t="shared" si="19"/>
        <v>116.7796347824209</v>
      </c>
      <c r="L101" s="7">
        <v>1.6376299999999999E-3</v>
      </c>
      <c r="M101" s="7">
        <v>2.3684300000000001E-4</v>
      </c>
      <c r="N101" s="6">
        <f t="shared" si="20"/>
        <v>96.448616845217401</v>
      </c>
      <c r="O101" s="6">
        <f t="shared" si="21"/>
        <v>100.84647974282004</v>
      </c>
      <c r="Q101" s="7">
        <v>1.8734400000000001E-3</v>
      </c>
      <c r="R101" s="7">
        <v>3.0321299999999999E-4</v>
      </c>
      <c r="S101" s="6">
        <f t="shared" si="22"/>
        <v>105.88534513454397</v>
      </c>
      <c r="T101" s="6">
        <f t="shared" si="23"/>
        <v>110.88912294560376</v>
      </c>
      <c r="V101" s="7">
        <v>1.9035600000000001E-3</v>
      </c>
      <c r="W101" s="7">
        <v>3.4943399999999998E-4</v>
      </c>
      <c r="X101" s="6">
        <f t="shared" si="24"/>
        <v>127.71884623900485</v>
      </c>
      <c r="Y101" s="6">
        <f t="shared" si="25"/>
        <v>152.20643003062128</v>
      </c>
      <c r="AA101" s="6">
        <f t="shared" si="26"/>
        <v>1.6890399999999999E-3</v>
      </c>
      <c r="AB101" s="6">
        <f t="shared" si="27"/>
        <v>2.8126440000000006E-4</v>
      </c>
      <c r="AD101" s="6">
        <f t="shared" si="28"/>
        <v>100.01763265711024</v>
      </c>
      <c r="AE101" s="6">
        <f t="shared" si="29"/>
        <v>110.58253722296502</v>
      </c>
      <c r="AG101">
        <f t="shared" si="30"/>
        <v>21.432962975064029</v>
      </c>
      <c r="AH101">
        <f t="shared" si="31"/>
        <v>25.844713122178018</v>
      </c>
    </row>
    <row r="102" spans="1:34" x14ac:dyDescent="0.35">
      <c r="A102">
        <v>648.59</v>
      </c>
      <c r="B102">
        <v>1.08964E-3</v>
      </c>
      <c r="C102">
        <v>1.9413699999999999E-4</v>
      </c>
      <c r="D102">
        <f t="shared" si="16"/>
        <v>62.493332798045429</v>
      </c>
      <c r="E102">
        <f t="shared" si="17"/>
        <v>72.838978122455714</v>
      </c>
      <c r="G102" s="7">
        <v>1.9822099999999999E-3</v>
      </c>
      <c r="H102" s="7">
        <v>3.2689600000000002E-4</v>
      </c>
      <c r="I102" s="6">
        <f t="shared" si="18"/>
        <v>109.83598382002549</v>
      </c>
      <c r="J102" s="6">
        <f t="shared" si="19"/>
        <v>117.67018109694862</v>
      </c>
      <c r="L102" s="7">
        <v>1.6682699999999999E-3</v>
      </c>
      <c r="M102" s="7">
        <v>2.39022E-4</v>
      </c>
      <c r="N102" s="6">
        <f t="shared" si="20"/>
        <v>98.253167091693996</v>
      </c>
      <c r="O102" s="6">
        <f t="shared" si="21"/>
        <v>101.77428626173597</v>
      </c>
      <c r="Q102" s="7">
        <v>1.90165E-3</v>
      </c>
      <c r="R102" s="7">
        <v>3.0694400000000002E-4</v>
      </c>
      <c r="S102" s="6">
        <f t="shared" si="22"/>
        <v>107.47975199371507</v>
      </c>
      <c r="T102" s="6">
        <f t="shared" si="23"/>
        <v>112.25360045055919</v>
      </c>
      <c r="V102" s="7">
        <v>1.9406499999999999E-3</v>
      </c>
      <c r="W102" s="7">
        <v>3.5794899999999998E-4</v>
      </c>
      <c r="X102" s="6">
        <f t="shared" si="24"/>
        <v>130.20738981367793</v>
      </c>
      <c r="Y102" s="6">
        <f t="shared" si="25"/>
        <v>155.9153929584152</v>
      </c>
      <c r="AA102" s="6">
        <f t="shared" si="26"/>
        <v>1.7164840000000001E-3</v>
      </c>
      <c r="AB102" s="6">
        <f t="shared" si="27"/>
        <v>2.8498959999999997E-4</v>
      </c>
      <c r="AD102" s="6">
        <f t="shared" si="28"/>
        <v>101.65392510343159</v>
      </c>
      <c r="AE102" s="6">
        <f t="shared" si="29"/>
        <v>112.09048777802295</v>
      </c>
      <c r="AG102">
        <f t="shared" si="30"/>
        <v>22.18695037863333</v>
      </c>
      <c r="AH102">
        <f t="shared" si="31"/>
        <v>26.828667209957711</v>
      </c>
    </row>
    <row r="103" spans="1:34" x14ac:dyDescent="0.35">
      <c r="A103">
        <v>654.86</v>
      </c>
      <c r="B103">
        <v>1.0922200000000001E-3</v>
      </c>
      <c r="C103">
        <v>1.9413399999999999E-4</v>
      </c>
      <c r="D103">
        <f t="shared" si="16"/>
        <v>62.641301667230628</v>
      </c>
      <c r="E103">
        <f t="shared" si="17"/>
        <v>72.837852541374488</v>
      </c>
      <c r="G103" s="7">
        <v>2.0194800000000001E-3</v>
      </c>
      <c r="H103" s="7">
        <v>3.2868699999999998E-4</v>
      </c>
      <c r="I103" s="6">
        <f t="shared" si="18"/>
        <v>111.90114700504239</v>
      </c>
      <c r="J103" s="6">
        <f t="shared" si="19"/>
        <v>118.31487327533144</v>
      </c>
      <c r="L103" s="7">
        <v>1.69776E-3</v>
      </c>
      <c r="M103" s="7">
        <v>2.43768E-4</v>
      </c>
      <c r="N103" s="6">
        <f t="shared" si="20"/>
        <v>99.989987808684688</v>
      </c>
      <c r="O103" s="6">
        <f t="shared" si="21"/>
        <v>103.79510761959507</v>
      </c>
      <c r="Q103" s="7">
        <v>1.9277999999999999E-3</v>
      </c>
      <c r="R103" s="7">
        <v>3.1117200000000002E-4</v>
      </c>
      <c r="S103" s="6">
        <f t="shared" si="22"/>
        <v>108.95772928429726</v>
      </c>
      <c r="T103" s="6">
        <f t="shared" si="23"/>
        <v>113.79983762315409</v>
      </c>
      <c r="V103" s="7">
        <v>1.9904499999999999E-3</v>
      </c>
      <c r="W103" s="7">
        <v>3.5587200000000002E-4</v>
      </c>
      <c r="X103" s="6">
        <f t="shared" si="24"/>
        <v>133.54870742000631</v>
      </c>
      <c r="Y103" s="6">
        <f t="shared" si="25"/>
        <v>155.01069348677362</v>
      </c>
      <c r="AA103" s="6">
        <f t="shared" si="26"/>
        <v>1.7455419999999999E-3</v>
      </c>
      <c r="AB103" s="6">
        <f t="shared" si="27"/>
        <v>2.8672660000000005E-4</v>
      </c>
      <c r="AD103" s="6">
        <f t="shared" si="28"/>
        <v>103.40777463705226</v>
      </c>
      <c r="AE103" s="6">
        <f t="shared" si="29"/>
        <v>112.75167290924574</v>
      </c>
      <c r="AG103">
        <f t="shared" si="30"/>
        <v>23.173268155345394</v>
      </c>
      <c r="AH103">
        <f t="shared" si="31"/>
        <v>26.42425320003991</v>
      </c>
    </row>
    <row r="104" spans="1:34" x14ac:dyDescent="0.35">
      <c r="A104">
        <v>661.11800000000005</v>
      </c>
      <c r="B104">
        <v>1.09341E-3</v>
      </c>
      <c r="C104">
        <v>1.9532499999999999E-4</v>
      </c>
      <c r="D104">
        <f t="shared" si="16"/>
        <v>62.709550874335427</v>
      </c>
      <c r="E104">
        <f t="shared" si="17"/>
        <v>73.284708230624062</v>
      </c>
      <c r="G104" s="7">
        <v>2.0533299999999999E-3</v>
      </c>
      <c r="H104" s="7">
        <v>3.3621299999999997E-4</v>
      </c>
      <c r="I104" s="6">
        <f t="shared" si="18"/>
        <v>113.77680500914278</v>
      </c>
      <c r="J104" s="6">
        <f t="shared" si="19"/>
        <v>121.02394828064087</v>
      </c>
      <c r="L104" s="7">
        <v>1.7292799999999999E-3</v>
      </c>
      <c r="M104" s="7">
        <v>2.47438E-4</v>
      </c>
      <c r="N104" s="6">
        <f t="shared" si="20"/>
        <v>101.84636586902876</v>
      </c>
      <c r="O104" s="6">
        <f t="shared" si="21"/>
        <v>105.35777394562602</v>
      </c>
      <c r="Q104" s="7">
        <v>1.95236E-3</v>
      </c>
      <c r="R104" s="7">
        <v>3.1435799999999999E-4</v>
      </c>
      <c r="S104" s="6">
        <f t="shared" si="22"/>
        <v>110.34584103407543</v>
      </c>
      <c r="T104" s="6">
        <f t="shared" si="23"/>
        <v>114.96500120685494</v>
      </c>
      <c r="V104" s="7">
        <v>2.0316499999999999E-3</v>
      </c>
      <c r="W104" s="7">
        <v>3.6014199999999998E-4</v>
      </c>
      <c r="X104" s="6">
        <f t="shared" si="24"/>
        <v>136.31301033929805</v>
      </c>
      <c r="Y104" s="6">
        <f t="shared" si="25"/>
        <v>156.87061969953697</v>
      </c>
      <c r="AA104" s="6">
        <f t="shared" si="26"/>
        <v>1.772006E-3</v>
      </c>
      <c r="AB104" s="6">
        <f t="shared" si="27"/>
        <v>2.9069520000000001E-4</v>
      </c>
      <c r="AD104" s="6">
        <f t="shared" si="28"/>
        <v>104.99831462517609</v>
      </c>
      <c r="AE104" s="6">
        <f t="shared" si="29"/>
        <v>114.30041027265656</v>
      </c>
      <c r="AG104">
        <f t="shared" si="30"/>
        <v>24.018919294252683</v>
      </c>
      <c r="AH104">
        <f t="shared" si="31"/>
        <v>26.907727267762393</v>
      </c>
    </row>
    <row r="105" spans="1:34" x14ac:dyDescent="0.35">
      <c r="A105">
        <v>667.221</v>
      </c>
      <c r="B105">
        <v>1.09662E-3</v>
      </c>
      <c r="C105">
        <v>1.96486E-4</v>
      </c>
      <c r="D105">
        <f t="shared" si="16"/>
        <v>62.89365167669375</v>
      </c>
      <c r="E105">
        <f t="shared" si="17"/>
        <v>73.720308109061307</v>
      </c>
      <c r="G105" s="7">
        <v>2.0868499999999999E-3</v>
      </c>
      <c r="H105" s="7">
        <v>3.4044099999999997E-4</v>
      </c>
      <c r="I105" s="6">
        <f t="shared" si="18"/>
        <v>115.6341774256109</v>
      </c>
      <c r="J105" s="6">
        <f t="shared" si="19"/>
        <v>122.54586817466802</v>
      </c>
      <c r="L105" s="7">
        <v>1.7597800000000001E-3</v>
      </c>
      <c r="M105" s="7">
        <v>2.5169199999999997E-4</v>
      </c>
      <c r="N105" s="6">
        <f t="shared" si="20"/>
        <v>103.64267078148097</v>
      </c>
      <c r="O105" s="6">
        <f t="shared" si="21"/>
        <v>107.16910434097635</v>
      </c>
      <c r="Q105" s="7">
        <v>1.9833099999999998E-3</v>
      </c>
      <c r="R105" s="7">
        <v>3.1214300000000002E-4</v>
      </c>
      <c r="S105" s="6">
        <f t="shared" si="22"/>
        <v>112.09511052331133</v>
      </c>
      <c r="T105" s="6">
        <f t="shared" si="23"/>
        <v>114.15494554524246</v>
      </c>
      <c r="V105" s="7">
        <v>2.0741000000000002E-3</v>
      </c>
      <c r="W105" s="7">
        <v>3.6036599999999998E-4</v>
      </c>
      <c r="X105" s="6">
        <f t="shared" si="24"/>
        <v>139.16118167240327</v>
      </c>
      <c r="Y105" s="6">
        <f t="shared" si="25"/>
        <v>156.96818959922291</v>
      </c>
      <c r="AA105" s="6">
        <f t="shared" si="26"/>
        <v>1.8001320000000001E-3</v>
      </c>
      <c r="AB105" s="6">
        <f t="shared" si="27"/>
        <v>2.922256E-4</v>
      </c>
      <c r="AD105" s="6">
        <f t="shared" si="28"/>
        <v>106.68535841590005</v>
      </c>
      <c r="AE105" s="6">
        <f t="shared" si="29"/>
        <v>114.9116831538342</v>
      </c>
      <c r="AG105">
        <f t="shared" si="30"/>
        <v>24.863617608437927</v>
      </c>
      <c r="AH105">
        <f t="shared" si="31"/>
        <v>26.774166922181042</v>
      </c>
    </row>
    <row r="106" spans="1:34" x14ac:dyDescent="0.35">
      <c r="A106">
        <v>673.51599999999996</v>
      </c>
      <c r="B106">
        <v>1.0985000000000001E-3</v>
      </c>
      <c r="C106">
        <v>1.9633500000000001E-4</v>
      </c>
      <c r="D106">
        <f t="shared" si="16"/>
        <v>63.00147395346437</v>
      </c>
      <c r="E106">
        <f t="shared" si="17"/>
        <v>73.663653861305903</v>
      </c>
      <c r="G106" s="7">
        <v>2.1231900000000001E-3</v>
      </c>
      <c r="H106" s="7">
        <v>3.5241999999999999E-4</v>
      </c>
      <c r="I106" s="6">
        <f t="shared" si="18"/>
        <v>117.64780850002772</v>
      </c>
      <c r="J106" s="6">
        <f t="shared" si="19"/>
        <v>126.85785455370096</v>
      </c>
      <c r="L106" s="7">
        <v>1.7916500000000001E-3</v>
      </c>
      <c r="M106" s="7">
        <v>2.5176099999999998E-4</v>
      </c>
      <c r="N106" s="6">
        <f t="shared" si="20"/>
        <v>105.51966217688597</v>
      </c>
      <c r="O106" s="6">
        <f t="shared" si="21"/>
        <v>107.19848417108429</v>
      </c>
      <c r="Q106" s="7">
        <v>2.0087500000000001E-3</v>
      </c>
      <c r="R106" s="7">
        <v>3.1607800000000002E-4</v>
      </c>
      <c r="S106" s="6">
        <f t="shared" si="22"/>
        <v>113.53295917617604</v>
      </c>
      <c r="T106" s="6">
        <f t="shared" si="23"/>
        <v>115.59402862806196</v>
      </c>
      <c r="V106" s="7">
        <v>2.1056E-3</v>
      </c>
      <c r="W106" s="7">
        <v>3.7425300000000001E-4</v>
      </c>
      <c r="X106" s="6">
        <f t="shared" si="24"/>
        <v>141.27466570050254</v>
      </c>
      <c r="Y106" s="6">
        <f t="shared" si="25"/>
        <v>163.01708779984233</v>
      </c>
      <c r="AA106" s="6">
        <f t="shared" si="26"/>
        <v>1.8255380000000002E-3</v>
      </c>
      <c r="AB106" s="6">
        <f t="shared" si="27"/>
        <v>2.9816939999999996E-4</v>
      </c>
      <c r="AD106" s="6">
        <f t="shared" si="28"/>
        <v>108.19531390141132</v>
      </c>
      <c r="AE106" s="6">
        <f t="shared" si="29"/>
        <v>117.26622180279909</v>
      </c>
      <c r="AG106">
        <f t="shared" si="30"/>
        <v>25.541048952835617</v>
      </c>
      <c r="AH106">
        <f t="shared" si="31"/>
        <v>28.949890018564069</v>
      </c>
    </row>
    <row r="107" spans="1:34" x14ac:dyDescent="0.35">
      <c r="A107">
        <v>679.74</v>
      </c>
      <c r="B107">
        <v>1.0993800000000001E-3</v>
      </c>
      <c r="C107">
        <v>1.9652499999999999E-4</v>
      </c>
      <c r="D107">
        <f t="shared" si="16"/>
        <v>63.05194395535699</v>
      </c>
      <c r="E107">
        <f t="shared" si="17"/>
        <v>73.734940663117328</v>
      </c>
      <c r="G107" s="7">
        <v>2.1652899999999998E-3</v>
      </c>
      <c r="H107" s="7">
        <v>3.5669400000000001E-4</v>
      </c>
      <c r="I107" s="6">
        <f t="shared" si="18"/>
        <v>119.98060619493545</v>
      </c>
      <c r="J107" s="6">
        <f t="shared" si="19"/>
        <v>128.39633270579935</v>
      </c>
      <c r="L107" s="7">
        <v>1.8225699999999999E-3</v>
      </c>
      <c r="M107" s="7">
        <v>2.54913E-4</v>
      </c>
      <c r="N107" s="6">
        <f t="shared" si="20"/>
        <v>107.3407030914113</v>
      </c>
      <c r="O107" s="6">
        <f t="shared" si="21"/>
        <v>108.54058887398608</v>
      </c>
      <c r="Q107" s="7">
        <v>2.0340699999999998E-3</v>
      </c>
      <c r="R107" s="7">
        <v>3.2001000000000002E-4</v>
      </c>
      <c r="S107" s="6">
        <f t="shared" si="22"/>
        <v>114.96402552407434</v>
      </c>
      <c r="T107" s="6">
        <f t="shared" si="23"/>
        <v>117.03201457003051</v>
      </c>
      <c r="V107" s="7">
        <v>2.15877E-3</v>
      </c>
      <c r="W107" s="7">
        <v>3.6653500000000003E-4</v>
      </c>
      <c r="X107" s="6">
        <f t="shared" si="24"/>
        <v>144.84209255047199</v>
      </c>
      <c r="Y107" s="6">
        <f t="shared" si="25"/>
        <v>159.65528205977029</v>
      </c>
      <c r="AA107" s="6">
        <f t="shared" si="26"/>
        <v>1.8560159999999998E-3</v>
      </c>
      <c r="AB107" s="6">
        <f t="shared" si="27"/>
        <v>2.9893539999999998E-4</v>
      </c>
      <c r="AD107" s="6">
        <f t="shared" si="28"/>
        <v>110.03587426325001</v>
      </c>
      <c r="AE107" s="6">
        <f t="shared" si="29"/>
        <v>117.47183177454072</v>
      </c>
      <c r="AG107">
        <f t="shared" si="30"/>
        <v>26.643614072880048</v>
      </c>
      <c r="AH107">
        <f t="shared" si="31"/>
        <v>27.898617820881732</v>
      </c>
    </row>
    <row r="108" spans="1:34" x14ac:dyDescent="0.35">
      <c r="A108">
        <v>685.89499999999998</v>
      </c>
      <c r="B108">
        <v>1.10279E-3</v>
      </c>
      <c r="C108">
        <v>1.96472E-4</v>
      </c>
      <c r="D108">
        <f t="shared" si="16"/>
        <v>63.247515212690907</v>
      </c>
      <c r="E108">
        <f t="shared" si="17"/>
        <v>73.715055397348877</v>
      </c>
      <c r="G108" s="7">
        <v>2.2067900000000001E-3</v>
      </c>
      <c r="H108" s="7">
        <v>3.5837599999999999E-4</v>
      </c>
      <c r="I108" s="6">
        <f t="shared" si="18"/>
        <v>122.28015736687539</v>
      </c>
      <c r="J108" s="6">
        <f t="shared" si="19"/>
        <v>129.00178901179595</v>
      </c>
      <c r="L108" s="7">
        <v>1.85494E-3</v>
      </c>
      <c r="M108" s="7">
        <v>2.5530600000000001E-4</v>
      </c>
      <c r="N108" s="6">
        <f t="shared" si="20"/>
        <v>109.2471421083319</v>
      </c>
      <c r="O108" s="6">
        <f t="shared" si="21"/>
        <v>108.70792616720956</v>
      </c>
      <c r="Q108" s="7">
        <v>2.06244E-3</v>
      </c>
      <c r="R108" s="7">
        <v>3.2301299999999998E-4</v>
      </c>
      <c r="S108" s="6">
        <f t="shared" si="22"/>
        <v>116.5674754565339</v>
      </c>
      <c r="T108" s="6">
        <f t="shared" si="23"/>
        <v>118.13025256182388</v>
      </c>
      <c r="V108" s="7">
        <v>2.1964900000000002E-3</v>
      </c>
      <c r="W108" s="7">
        <v>3.7923600000000003E-4</v>
      </c>
      <c r="X108" s="6">
        <f t="shared" si="24"/>
        <v>147.37290580570709</v>
      </c>
      <c r="Y108" s="6">
        <f t="shared" si="25"/>
        <v>165.18758248794535</v>
      </c>
      <c r="AA108" s="6">
        <f t="shared" si="26"/>
        <v>1.8846900000000003E-3</v>
      </c>
      <c r="AB108" s="6">
        <f t="shared" si="27"/>
        <v>3.0248060000000003E-4</v>
      </c>
      <c r="AD108" s="6">
        <f t="shared" si="28"/>
        <v>111.74303919002782</v>
      </c>
      <c r="AE108" s="6">
        <f t="shared" si="29"/>
        <v>118.94852112522472</v>
      </c>
      <c r="AG108">
        <f t="shared" si="30"/>
        <v>27.429322951514592</v>
      </c>
      <c r="AH108">
        <f t="shared" si="31"/>
        <v>29.633510629675708</v>
      </c>
    </row>
    <row r="109" spans="1:34" x14ac:dyDescent="0.35">
      <c r="A109">
        <v>692.197</v>
      </c>
      <c r="B109">
        <v>1.10615E-3</v>
      </c>
      <c r="C109">
        <v>1.95E-4</v>
      </c>
      <c r="D109">
        <f t="shared" si="16"/>
        <v>63.440218856280929</v>
      </c>
      <c r="E109">
        <f t="shared" si="17"/>
        <v>73.162770280157133</v>
      </c>
      <c r="G109" s="7">
        <v>2.24829E-3</v>
      </c>
      <c r="H109" s="7">
        <v>3.6271099999999999E-4</v>
      </c>
      <c r="I109" s="6">
        <f t="shared" si="18"/>
        <v>124.57970853881532</v>
      </c>
      <c r="J109" s="6">
        <f t="shared" si="19"/>
        <v>130.56222485394537</v>
      </c>
      <c r="L109" s="7">
        <v>1.8837299999999999E-3</v>
      </c>
      <c r="M109" s="7">
        <v>2.5964500000000003E-4</v>
      </c>
      <c r="N109" s="6">
        <f t="shared" si="20"/>
        <v>110.94273615520073</v>
      </c>
      <c r="O109" s="6">
        <f t="shared" si="21"/>
        <v>110.55544910689576</v>
      </c>
      <c r="Q109" s="7">
        <v>2.0833100000000001E-3</v>
      </c>
      <c r="R109" s="7">
        <v>3.31212E-4</v>
      </c>
      <c r="S109" s="6">
        <f t="shared" si="22"/>
        <v>117.74703132859703</v>
      </c>
      <c r="T109" s="6">
        <f t="shared" si="23"/>
        <v>121.12873850744958</v>
      </c>
      <c r="V109" s="7">
        <v>2.2415999999999998E-3</v>
      </c>
      <c r="W109" s="7">
        <v>3.8083399999999998E-4</v>
      </c>
      <c r="X109" s="6">
        <f t="shared" si="24"/>
        <v>150.39954912340733</v>
      </c>
      <c r="Y109" s="6">
        <f t="shared" si="25"/>
        <v>165.8836391830263</v>
      </c>
      <c r="AA109" s="6">
        <f t="shared" si="26"/>
        <v>1.912616E-3</v>
      </c>
      <c r="AB109" s="6">
        <f t="shared" si="27"/>
        <v>3.0588039999999999E-4</v>
      </c>
      <c r="AD109" s="6">
        <f t="shared" si="28"/>
        <v>113.42184880046027</v>
      </c>
      <c r="AE109" s="6">
        <f t="shared" si="29"/>
        <v>120.25856438629482</v>
      </c>
      <c r="AG109">
        <f t="shared" si="30"/>
        <v>28.336777129380607</v>
      </c>
      <c r="AH109">
        <f t="shared" si="31"/>
        <v>30.002447702992932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2A42-3AED-4518-968F-C63025B93B25}">
  <dimension ref="A1:X109"/>
  <sheetViews>
    <sheetView workbookViewId="0">
      <selection activeCell="T1" sqref="T1:X1048576"/>
    </sheetView>
  </sheetViews>
  <sheetFormatPr defaultColWidth="8.81640625" defaultRowHeight="14.5" x14ac:dyDescent="0.35"/>
  <cols>
    <col min="1" max="1" width="9.453125" bestFit="1" customWidth="1"/>
    <col min="2" max="3" width="12.1796875" bestFit="1" customWidth="1"/>
    <col min="4" max="5" width="12.453125" customWidth="1"/>
    <col min="7" max="8" width="12.1796875" bestFit="1" customWidth="1"/>
    <col min="9" max="10" width="12.1796875" customWidth="1"/>
    <col min="12" max="13" width="11.81640625" bestFit="1" customWidth="1"/>
    <col min="14" max="15" width="11.81640625" customWidth="1"/>
    <col min="16" max="16" width="8.81640625" style="1"/>
    <col min="17" max="18" width="11.81640625" bestFit="1" customWidth="1"/>
    <col min="20" max="21" width="11.81640625" bestFit="1" customWidth="1"/>
    <col min="23" max="24" width="9.453125" bestFit="1" customWidth="1"/>
  </cols>
  <sheetData>
    <row r="1" spans="1:24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L1" t="s">
        <v>0</v>
      </c>
      <c r="M1" t="s">
        <v>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L2" t="s">
        <v>2</v>
      </c>
      <c r="M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6.2696399999999999</v>
      </c>
      <c r="B3">
        <v>1.4816600000000001E-3</v>
      </c>
      <c r="C3">
        <v>2.30831E-4</v>
      </c>
      <c r="D3">
        <f>B3/$B$3*100</f>
        <v>100</v>
      </c>
      <c r="E3">
        <f>C3/$C$3*100</f>
        <v>100</v>
      </c>
      <c r="Q3">
        <f t="shared" ref="Q3:Q34" si="0">AVERAGE(B3,G3,L3)</f>
        <v>1.4816600000000001E-3</v>
      </c>
      <c r="R3">
        <f t="shared" ref="R3:R34" si="1">AVERAGE(C3,H3,M3)</f>
        <v>2.30831E-4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12.3698</v>
      </c>
      <c r="B4">
        <v>1.49146E-3</v>
      </c>
      <c r="C4">
        <v>2.29428E-4</v>
      </c>
      <c r="D4">
        <f t="shared" ref="D4:D67" si="2">B4/$B$3*100</f>
        <v>100.66142029885398</v>
      </c>
      <c r="E4">
        <f t="shared" ref="E4:E67" si="3">C4/$C$3*100</f>
        <v>99.39219602219805</v>
      </c>
      <c r="Q4">
        <f t="shared" si="0"/>
        <v>1.49146E-3</v>
      </c>
      <c r="R4">
        <f t="shared" si="1"/>
        <v>2.29428E-4</v>
      </c>
      <c r="T4">
        <f t="shared" ref="T4:U67" si="4">AVERAGE(D4,I4,N4)</f>
        <v>100.66142029885398</v>
      </c>
      <c r="U4">
        <f t="shared" si="4"/>
        <v>99.39219602219805</v>
      </c>
      <c r="W4">
        <f t="shared" ref="W4:X67" si="5">_xlfn.STDEV.P(D4,I4,N4)</f>
        <v>0</v>
      </c>
      <c r="X4">
        <f t="shared" si="5"/>
        <v>0</v>
      </c>
    </row>
    <row r="5" spans="1:24" x14ac:dyDescent="0.35">
      <c r="A5">
        <v>18.654</v>
      </c>
      <c r="B5">
        <v>1.5011200000000001E-3</v>
      </c>
      <c r="C5">
        <v>2.2936300000000001E-4</v>
      </c>
      <c r="D5">
        <f t="shared" si="2"/>
        <v>101.31339173629577</v>
      </c>
      <c r="E5">
        <f t="shared" si="3"/>
        <v>99.364036892791702</v>
      </c>
      <c r="Q5">
        <f t="shared" si="0"/>
        <v>1.5011200000000001E-3</v>
      </c>
      <c r="R5">
        <f t="shared" si="1"/>
        <v>2.2936300000000001E-4</v>
      </c>
      <c r="T5">
        <f t="shared" si="4"/>
        <v>101.31339173629577</v>
      </c>
      <c r="U5">
        <f t="shared" si="4"/>
        <v>99.364036892791702</v>
      </c>
      <c r="W5">
        <f t="shared" si="5"/>
        <v>0</v>
      </c>
      <c r="X5">
        <f t="shared" si="5"/>
        <v>0</v>
      </c>
    </row>
    <row r="6" spans="1:24" x14ac:dyDescent="0.35">
      <c r="A6">
        <v>24.779599999999999</v>
      </c>
      <c r="B6">
        <v>1.51104E-3</v>
      </c>
      <c r="C6">
        <v>2.29311E-4</v>
      </c>
      <c r="D6">
        <f t="shared" si="2"/>
        <v>101.98291105921736</v>
      </c>
      <c r="E6">
        <f t="shared" si="3"/>
        <v>99.341509589266607</v>
      </c>
      <c r="Q6">
        <f t="shared" si="0"/>
        <v>1.51104E-3</v>
      </c>
      <c r="R6">
        <f t="shared" si="1"/>
        <v>2.29311E-4</v>
      </c>
      <c r="T6">
        <f t="shared" si="4"/>
        <v>101.98291105921736</v>
      </c>
      <c r="U6">
        <f t="shared" si="4"/>
        <v>99.341509589266607</v>
      </c>
      <c r="W6">
        <f t="shared" si="5"/>
        <v>0</v>
      </c>
      <c r="X6">
        <f t="shared" si="5"/>
        <v>0</v>
      </c>
    </row>
    <row r="7" spans="1:24" x14ac:dyDescent="0.35">
      <c r="A7">
        <v>31.0945</v>
      </c>
      <c r="B7">
        <v>1.5208400000000001E-3</v>
      </c>
      <c r="C7">
        <v>2.3028299999999999E-4</v>
      </c>
      <c r="D7">
        <f t="shared" si="2"/>
        <v>102.64433135807135</v>
      </c>
      <c r="E7">
        <f t="shared" si="3"/>
        <v>99.762596878235584</v>
      </c>
      <c r="Q7">
        <f t="shared" si="0"/>
        <v>1.5208400000000001E-3</v>
      </c>
      <c r="R7">
        <f t="shared" si="1"/>
        <v>2.3028299999999999E-4</v>
      </c>
      <c r="T7">
        <f t="shared" si="4"/>
        <v>102.64433135807135</v>
      </c>
      <c r="U7">
        <f t="shared" si="4"/>
        <v>99.762596878235584</v>
      </c>
      <c r="W7">
        <f t="shared" si="5"/>
        <v>0</v>
      </c>
      <c r="X7">
        <f t="shared" si="5"/>
        <v>0</v>
      </c>
    </row>
    <row r="8" spans="1:24" x14ac:dyDescent="0.35">
      <c r="A8">
        <v>37.161900000000003</v>
      </c>
      <c r="B8">
        <v>1.52951E-3</v>
      </c>
      <c r="C8">
        <v>2.3105900000000001E-4</v>
      </c>
      <c r="D8">
        <f t="shared" si="2"/>
        <v>103.22948584695544</v>
      </c>
      <c r="E8">
        <f t="shared" si="3"/>
        <v>100.09877356161002</v>
      </c>
      <c r="Q8">
        <f t="shared" si="0"/>
        <v>1.52951E-3</v>
      </c>
      <c r="R8">
        <f t="shared" si="1"/>
        <v>2.3105900000000001E-4</v>
      </c>
      <c r="T8">
        <f t="shared" si="4"/>
        <v>103.22948584695544</v>
      </c>
      <c r="U8">
        <f t="shared" si="4"/>
        <v>100.09877356161002</v>
      </c>
      <c r="W8">
        <f t="shared" si="5"/>
        <v>0</v>
      </c>
      <c r="X8">
        <f t="shared" si="5"/>
        <v>0</v>
      </c>
    </row>
    <row r="9" spans="1:24" x14ac:dyDescent="0.35">
      <c r="A9">
        <v>43.441699999999997</v>
      </c>
      <c r="B9">
        <v>1.53706E-3</v>
      </c>
      <c r="C9">
        <v>2.3168900000000001E-4</v>
      </c>
      <c r="D9">
        <f t="shared" si="2"/>
        <v>103.73904944454193</v>
      </c>
      <c r="E9">
        <f t="shared" si="3"/>
        <v>100.371700508164</v>
      </c>
      <c r="Q9">
        <f t="shared" si="0"/>
        <v>1.53706E-3</v>
      </c>
      <c r="R9">
        <f t="shared" si="1"/>
        <v>2.3168900000000001E-4</v>
      </c>
      <c r="T9">
        <f t="shared" si="4"/>
        <v>103.73904944454193</v>
      </c>
      <c r="U9">
        <f t="shared" si="4"/>
        <v>100.371700508164</v>
      </c>
      <c r="W9">
        <f t="shared" si="5"/>
        <v>0</v>
      </c>
      <c r="X9">
        <f t="shared" si="5"/>
        <v>0</v>
      </c>
    </row>
    <row r="10" spans="1:24" x14ac:dyDescent="0.35">
      <c r="A10">
        <v>49.671799999999998</v>
      </c>
      <c r="B10">
        <v>1.54532E-3</v>
      </c>
      <c r="C10">
        <v>2.3232799999999999E-4</v>
      </c>
      <c r="D10">
        <f t="shared" si="2"/>
        <v>104.29653226786171</v>
      </c>
      <c r="E10">
        <f t="shared" si="3"/>
        <v>100.64852641109729</v>
      </c>
      <c r="Q10">
        <f t="shared" si="0"/>
        <v>1.54532E-3</v>
      </c>
      <c r="R10">
        <f t="shared" si="1"/>
        <v>2.3232799999999999E-4</v>
      </c>
      <c r="T10">
        <f t="shared" si="4"/>
        <v>104.29653226786171</v>
      </c>
      <c r="U10">
        <f t="shared" si="4"/>
        <v>100.64852641109729</v>
      </c>
      <c r="W10">
        <f t="shared" si="5"/>
        <v>0</v>
      </c>
      <c r="X10">
        <f t="shared" si="5"/>
        <v>0</v>
      </c>
    </row>
    <row r="11" spans="1:24" x14ac:dyDescent="0.35">
      <c r="A11">
        <v>55.927799999999998</v>
      </c>
      <c r="B11">
        <v>1.5535799999999999E-3</v>
      </c>
      <c r="C11">
        <v>2.33114E-4</v>
      </c>
      <c r="D11">
        <f t="shared" si="2"/>
        <v>104.85401509118151</v>
      </c>
      <c r="E11">
        <f t="shared" si="3"/>
        <v>100.98903526822653</v>
      </c>
      <c r="Q11">
        <f t="shared" si="0"/>
        <v>1.5535799999999999E-3</v>
      </c>
      <c r="R11">
        <f t="shared" si="1"/>
        <v>2.33114E-4</v>
      </c>
      <c r="T11">
        <f t="shared" si="4"/>
        <v>104.85401509118151</v>
      </c>
      <c r="U11">
        <f t="shared" si="4"/>
        <v>100.98903526822653</v>
      </c>
      <c r="W11">
        <f t="shared" si="5"/>
        <v>0</v>
      </c>
      <c r="X11">
        <f t="shared" si="5"/>
        <v>0</v>
      </c>
    </row>
    <row r="12" spans="1:24" x14ac:dyDescent="0.35">
      <c r="A12">
        <v>62.031100000000002</v>
      </c>
      <c r="B12">
        <v>1.5611500000000001E-3</v>
      </c>
      <c r="C12">
        <v>2.3320099999999999E-4</v>
      </c>
      <c r="D12">
        <f t="shared" si="2"/>
        <v>105.36492852611261</v>
      </c>
      <c r="E12">
        <f t="shared" si="3"/>
        <v>101.0267251798935</v>
      </c>
      <c r="Q12">
        <f t="shared" si="0"/>
        <v>1.5611500000000001E-3</v>
      </c>
      <c r="R12">
        <f t="shared" si="1"/>
        <v>2.3320099999999999E-4</v>
      </c>
      <c r="T12">
        <f t="shared" si="4"/>
        <v>105.36492852611261</v>
      </c>
      <c r="U12">
        <f t="shared" si="4"/>
        <v>101.0267251798935</v>
      </c>
      <c r="W12">
        <f t="shared" si="5"/>
        <v>0</v>
      </c>
      <c r="X12">
        <f t="shared" si="5"/>
        <v>0</v>
      </c>
    </row>
    <row r="13" spans="1:24" x14ac:dyDescent="0.35">
      <c r="A13">
        <v>68.213200000000001</v>
      </c>
      <c r="B13">
        <v>1.5679699999999999E-3</v>
      </c>
      <c r="C13">
        <v>2.3394E-4</v>
      </c>
      <c r="D13">
        <f t="shared" si="2"/>
        <v>105.82522306062118</v>
      </c>
      <c r="E13">
        <f t="shared" si="3"/>
        <v>101.34687282037508</v>
      </c>
      <c r="Q13">
        <f t="shared" si="0"/>
        <v>1.5679699999999999E-3</v>
      </c>
      <c r="R13">
        <f t="shared" si="1"/>
        <v>2.3394E-4</v>
      </c>
      <c r="T13">
        <f t="shared" si="4"/>
        <v>105.82522306062118</v>
      </c>
      <c r="U13">
        <f t="shared" si="4"/>
        <v>101.34687282037508</v>
      </c>
      <c r="W13">
        <f t="shared" si="5"/>
        <v>0</v>
      </c>
      <c r="X13">
        <f t="shared" si="5"/>
        <v>0</v>
      </c>
    </row>
    <row r="14" spans="1:24" x14ac:dyDescent="0.35">
      <c r="A14">
        <v>74.461600000000004</v>
      </c>
      <c r="B14">
        <v>1.57923E-3</v>
      </c>
      <c r="C14">
        <v>2.3435400000000001E-4</v>
      </c>
      <c r="D14">
        <f t="shared" si="2"/>
        <v>106.58518148563098</v>
      </c>
      <c r="E14">
        <f t="shared" si="3"/>
        <v>101.52622481382483</v>
      </c>
      <c r="Q14">
        <f t="shared" si="0"/>
        <v>1.57923E-3</v>
      </c>
      <c r="R14">
        <f t="shared" si="1"/>
        <v>2.3435400000000001E-4</v>
      </c>
      <c r="T14">
        <f t="shared" si="4"/>
        <v>106.58518148563098</v>
      </c>
      <c r="U14">
        <f t="shared" si="4"/>
        <v>101.52622481382483</v>
      </c>
      <c r="W14">
        <f t="shared" si="5"/>
        <v>0</v>
      </c>
      <c r="X14">
        <f t="shared" si="5"/>
        <v>0</v>
      </c>
    </row>
    <row r="15" spans="1:24" x14ac:dyDescent="0.35">
      <c r="A15">
        <v>80.745000000000005</v>
      </c>
      <c r="B15">
        <v>1.58793E-3</v>
      </c>
      <c r="C15">
        <v>2.3468999999999999E-4</v>
      </c>
      <c r="D15">
        <f t="shared" si="2"/>
        <v>107.17236073053196</v>
      </c>
      <c r="E15">
        <f t="shared" si="3"/>
        <v>101.67178585198695</v>
      </c>
      <c r="Q15">
        <f t="shared" si="0"/>
        <v>1.58793E-3</v>
      </c>
      <c r="R15">
        <f t="shared" si="1"/>
        <v>2.3468999999999999E-4</v>
      </c>
      <c r="T15">
        <f t="shared" si="4"/>
        <v>107.17236073053196</v>
      </c>
      <c r="U15">
        <f t="shared" si="4"/>
        <v>101.67178585198695</v>
      </c>
      <c r="W15">
        <f t="shared" si="5"/>
        <v>0</v>
      </c>
      <c r="X15">
        <f t="shared" si="5"/>
        <v>0</v>
      </c>
    </row>
    <row r="16" spans="1:24" x14ac:dyDescent="0.35">
      <c r="A16">
        <v>86.833600000000004</v>
      </c>
      <c r="B16">
        <v>1.5939000000000001E-3</v>
      </c>
      <c r="C16">
        <v>2.3551999999999999E-4</v>
      </c>
      <c r="D16">
        <f t="shared" si="2"/>
        <v>107.57528717789506</v>
      </c>
      <c r="E16">
        <f t="shared" si="3"/>
        <v>102.03135627363741</v>
      </c>
      <c r="Q16">
        <f t="shared" si="0"/>
        <v>1.5939000000000001E-3</v>
      </c>
      <c r="R16">
        <f t="shared" si="1"/>
        <v>2.3551999999999999E-4</v>
      </c>
      <c r="T16">
        <f t="shared" si="4"/>
        <v>107.57528717789506</v>
      </c>
      <c r="U16">
        <f t="shared" si="4"/>
        <v>102.03135627363741</v>
      </c>
      <c r="W16">
        <f t="shared" si="5"/>
        <v>0</v>
      </c>
      <c r="X16">
        <f t="shared" si="5"/>
        <v>0</v>
      </c>
    </row>
    <row r="17" spans="1:24" x14ac:dyDescent="0.35">
      <c r="A17">
        <v>93.167199999999994</v>
      </c>
      <c r="B17">
        <v>1.60001E-3</v>
      </c>
      <c r="C17">
        <v>2.3577200000000001E-4</v>
      </c>
      <c r="D17">
        <f t="shared" si="2"/>
        <v>107.98766248667036</v>
      </c>
      <c r="E17">
        <f t="shared" si="3"/>
        <v>102.14052705225902</v>
      </c>
      <c r="Q17">
        <f t="shared" si="0"/>
        <v>1.60001E-3</v>
      </c>
      <c r="R17">
        <f t="shared" si="1"/>
        <v>2.3577200000000001E-4</v>
      </c>
      <c r="T17">
        <f t="shared" si="4"/>
        <v>107.98766248667036</v>
      </c>
      <c r="U17">
        <f t="shared" si="4"/>
        <v>102.14052705225902</v>
      </c>
      <c r="W17">
        <f t="shared" si="5"/>
        <v>0</v>
      </c>
      <c r="X17">
        <f t="shared" si="5"/>
        <v>0</v>
      </c>
    </row>
    <row r="18" spans="1:24" x14ac:dyDescent="0.35">
      <c r="A18">
        <v>99.287099999999995</v>
      </c>
      <c r="B18">
        <v>1.6079499999999999E-3</v>
      </c>
      <c r="C18">
        <v>2.35696E-4</v>
      </c>
      <c r="D18">
        <f t="shared" si="2"/>
        <v>108.52354791247653</v>
      </c>
      <c r="E18">
        <f t="shared" si="3"/>
        <v>102.10760253172235</v>
      </c>
      <c r="Q18">
        <f t="shared" si="0"/>
        <v>1.6079499999999999E-3</v>
      </c>
      <c r="R18">
        <f t="shared" si="1"/>
        <v>2.35696E-4</v>
      </c>
      <c r="T18">
        <f t="shared" si="4"/>
        <v>108.52354791247653</v>
      </c>
      <c r="U18">
        <f t="shared" si="4"/>
        <v>102.10760253172235</v>
      </c>
      <c r="W18">
        <f t="shared" si="5"/>
        <v>0</v>
      </c>
      <c r="X18">
        <f t="shared" si="5"/>
        <v>0</v>
      </c>
    </row>
    <row r="19" spans="1:24" x14ac:dyDescent="0.35">
      <c r="A19">
        <v>105.572</v>
      </c>
      <c r="B19">
        <v>1.6158399999999999E-3</v>
      </c>
      <c r="C19">
        <v>2.37834E-4</v>
      </c>
      <c r="D19">
        <f t="shared" si="2"/>
        <v>109.05605874492122</v>
      </c>
      <c r="E19">
        <f t="shared" si="3"/>
        <v>103.03382128050391</v>
      </c>
      <c r="Q19">
        <f t="shared" si="0"/>
        <v>1.6158399999999999E-3</v>
      </c>
      <c r="R19">
        <f t="shared" si="1"/>
        <v>2.37834E-4</v>
      </c>
      <c r="T19">
        <f t="shared" si="4"/>
        <v>109.05605874492122</v>
      </c>
      <c r="U19">
        <f t="shared" si="4"/>
        <v>103.03382128050391</v>
      </c>
      <c r="W19">
        <f t="shared" si="5"/>
        <v>0</v>
      </c>
      <c r="X19">
        <f t="shared" si="5"/>
        <v>0</v>
      </c>
    </row>
    <row r="20" spans="1:24" x14ac:dyDescent="0.35">
      <c r="A20">
        <v>111.81699999999999</v>
      </c>
      <c r="B20">
        <v>1.6220500000000001E-3</v>
      </c>
      <c r="C20">
        <v>2.3844299999999999E-4</v>
      </c>
      <c r="D20">
        <f t="shared" si="2"/>
        <v>109.47518324041954</v>
      </c>
      <c r="E20">
        <f t="shared" si="3"/>
        <v>103.29765066217276</v>
      </c>
      <c r="Q20">
        <f t="shared" si="0"/>
        <v>1.6220500000000001E-3</v>
      </c>
      <c r="R20">
        <f t="shared" si="1"/>
        <v>2.3844299999999999E-4</v>
      </c>
      <c r="T20">
        <f t="shared" si="4"/>
        <v>109.47518324041954</v>
      </c>
      <c r="U20">
        <f t="shared" si="4"/>
        <v>103.29765066217276</v>
      </c>
      <c r="W20">
        <f t="shared" si="5"/>
        <v>0</v>
      </c>
      <c r="X20">
        <f t="shared" si="5"/>
        <v>0</v>
      </c>
    </row>
    <row r="21" spans="1:24" x14ac:dyDescent="0.35">
      <c r="A21">
        <v>117.977</v>
      </c>
      <c r="B21">
        <v>1.6265100000000001E-3</v>
      </c>
      <c r="C21">
        <v>2.3898499999999999E-4</v>
      </c>
      <c r="D21">
        <f t="shared" si="2"/>
        <v>109.77619696826532</v>
      </c>
      <c r="E21">
        <f t="shared" si="3"/>
        <v>103.53245447968426</v>
      </c>
      <c r="Q21">
        <f t="shared" si="0"/>
        <v>1.6265100000000001E-3</v>
      </c>
      <c r="R21">
        <f t="shared" si="1"/>
        <v>2.3898499999999999E-4</v>
      </c>
      <c r="T21">
        <f t="shared" si="4"/>
        <v>109.77619696826532</v>
      </c>
      <c r="U21">
        <f t="shared" si="4"/>
        <v>103.53245447968426</v>
      </c>
      <c r="W21">
        <f t="shared" si="5"/>
        <v>0</v>
      </c>
      <c r="X21">
        <f t="shared" si="5"/>
        <v>0</v>
      </c>
    </row>
    <row r="22" spans="1:24" x14ac:dyDescent="0.35">
      <c r="A22">
        <v>124.10599999999999</v>
      </c>
      <c r="B22">
        <v>1.63459E-3</v>
      </c>
      <c r="C22">
        <v>2.3875E-4</v>
      </c>
      <c r="D22">
        <f t="shared" si="2"/>
        <v>110.32153125548372</v>
      </c>
      <c r="E22">
        <f t="shared" si="3"/>
        <v>103.43064839644589</v>
      </c>
      <c r="Q22">
        <f t="shared" si="0"/>
        <v>1.63459E-3</v>
      </c>
      <c r="R22">
        <f t="shared" si="1"/>
        <v>2.3875E-4</v>
      </c>
      <c r="T22">
        <f t="shared" si="4"/>
        <v>110.32153125548372</v>
      </c>
      <c r="U22">
        <f t="shared" si="4"/>
        <v>103.43064839644589</v>
      </c>
      <c r="W22">
        <f t="shared" si="5"/>
        <v>0</v>
      </c>
      <c r="X22">
        <f t="shared" si="5"/>
        <v>0</v>
      </c>
    </row>
    <row r="23" spans="1:24" x14ac:dyDescent="0.35">
      <c r="A23">
        <v>130.37799999999999</v>
      </c>
      <c r="B23">
        <v>1.64369E-3</v>
      </c>
      <c r="C23">
        <v>2.3957399999999999E-4</v>
      </c>
      <c r="D23">
        <f t="shared" si="2"/>
        <v>110.93570724727668</v>
      </c>
      <c r="E23">
        <f t="shared" si="3"/>
        <v>103.78761951384345</v>
      </c>
      <c r="Q23">
        <f t="shared" si="0"/>
        <v>1.64369E-3</v>
      </c>
      <c r="R23">
        <f t="shared" si="1"/>
        <v>2.3957399999999999E-4</v>
      </c>
      <c r="T23">
        <f t="shared" si="4"/>
        <v>110.93570724727668</v>
      </c>
      <c r="U23">
        <f t="shared" si="4"/>
        <v>103.78761951384345</v>
      </c>
      <c r="W23">
        <f t="shared" si="5"/>
        <v>0</v>
      </c>
      <c r="X23">
        <f t="shared" si="5"/>
        <v>0</v>
      </c>
    </row>
    <row r="24" spans="1:24" x14ac:dyDescent="0.35">
      <c r="A24">
        <v>136.60400000000001</v>
      </c>
      <c r="B24">
        <v>1.65065E-3</v>
      </c>
      <c r="C24">
        <v>2.4071800000000001E-4</v>
      </c>
      <c r="D24">
        <f t="shared" si="2"/>
        <v>111.4054506431975</v>
      </c>
      <c r="E24">
        <f t="shared" si="3"/>
        <v>104.28322019139544</v>
      </c>
      <c r="Q24">
        <f t="shared" si="0"/>
        <v>1.65065E-3</v>
      </c>
      <c r="R24">
        <f t="shared" si="1"/>
        <v>2.4071800000000001E-4</v>
      </c>
      <c r="T24">
        <f t="shared" si="4"/>
        <v>111.4054506431975</v>
      </c>
      <c r="U24">
        <f t="shared" si="4"/>
        <v>104.28322019139544</v>
      </c>
      <c r="W24">
        <f t="shared" si="5"/>
        <v>0</v>
      </c>
      <c r="X24">
        <f t="shared" si="5"/>
        <v>0</v>
      </c>
    </row>
    <row r="25" spans="1:24" x14ac:dyDescent="0.35">
      <c r="A25">
        <v>142.80099999999999</v>
      </c>
      <c r="B25">
        <v>1.6581899999999999E-3</v>
      </c>
      <c r="C25">
        <v>2.40468E-4</v>
      </c>
      <c r="D25">
        <f t="shared" si="2"/>
        <v>111.91433932211167</v>
      </c>
      <c r="E25">
        <f t="shared" si="3"/>
        <v>104.1749158475248</v>
      </c>
      <c r="Q25">
        <f t="shared" si="0"/>
        <v>1.6581899999999999E-3</v>
      </c>
      <c r="R25">
        <f t="shared" si="1"/>
        <v>2.40468E-4</v>
      </c>
      <c r="T25">
        <f t="shared" si="4"/>
        <v>111.91433932211167</v>
      </c>
      <c r="U25">
        <f t="shared" si="4"/>
        <v>104.1749158475248</v>
      </c>
      <c r="W25">
        <f t="shared" si="5"/>
        <v>0</v>
      </c>
      <c r="X25">
        <f t="shared" si="5"/>
        <v>0</v>
      </c>
    </row>
    <row r="26" spans="1:24" x14ac:dyDescent="0.35">
      <c r="A26">
        <v>148.94900000000001</v>
      </c>
      <c r="B26">
        <v>1.6648399999999999E-3</v>
      </c>
      <c r="C26">
        <v>2.4174299999999999E-4</v>
      </c>
      <c r="D26">
        <f t="shared" si="2"/>
        <v>112.36316023919117</v>
      </c>
      <c r="E26">
        <f t="shared" si="3"/>
        <v>104.72726800126499</v>
      </c>
      <c r="Q26">
        <f t="shared" si="0"/>
        <v>1.6648399999999999E-3</v>
      </c>
      <c r="R26">
        <f t="shared" si="1"/>
        <v>2.4174299999999999E-4</v>
      </c>
      <c r="T26">
        <f t="shared" si="4"/>
        <v>112.36316023919117</v>
      </c>
      <c r="U26">
        <f t="shared" si="4"/>
        <v>104.72726800126499</v>
      </c>
      <c r="W26">
        <f t="shared" si="5"/>
        <v>0</v>
      </c>
      <c r="X26">
        <f t="shared" si="5"/>
        <v>0</v>
      </c>
    </row>
    <row r="27" spans="1:24" x14ac:dyDescent="0.35">
      <c r="A27">
        <v>155.233</v>
      </c>
      <c r="B27">
        <v>1.67238E-3</v>
      </c>
      <c r="C27">
        <v>2.4327300000000001E-4</v>
      </c>
      <c r="D27">
        <f t="shared" si="2"/>
        <v>112.87204891810536</v>
      </c>
      <c r="E27">
        <f t="shared" si="3"/>
        <v>105.39009058575321</v>
      </c>
      <c r="Q27">
        <f t="shared" si="0"/>
        <v>1.67238E-3</v>
      </c>
      <c r="R27">
        <f t="shared" si="1"/>
        <v>2.4327300000000001E-4</v>
      </c>
      <c r="T27">
        <f t="shared" si="4"/>
        <v>112.87204891810536</v>
      </c>
      <c r="U27">
        <f t="shared" si="4"/>
        <v>105.39009058575321</v>
      </c>
      <c r="W27">
        <f t="shared" si="5"/>
        <v>0</v>
      </c>
      <c r="X27">
        <f t="shared" si="5"/>
        <v>0</v>
      </c>
    </row>
    <row r="28" spans="1:24" x14ac:dyDescent="0.35">
      <c r="A28">
        <v>161.44499999999999</v>
      </c>
      <c r="B28">
        <v>1.67801E-3</v>
      </c>
      <c r="C28">
        <v>2.4509899999999998E-4</v>
      </c>
      <c r="D28">
        <f t="shared" si="2"/>
        <v>113.25202813061026</v>
      </c>
      <c r="E28">
        <f t="shared" si="3"/>
        <v>106.18114551338425</v>
      </c>
      <c r="Q28">
        <f t="shared" si="0"/>
        <v>1.67801E-3</v>
      </c>
      <c r="R28">
        <f t="shared" si="1"/>
        <v>2.4509899999999998E-4</v>
      </c>
      <c r="T28">
        <f t="shared" si="4"/>
        <v>113.25202813061026</v>
      </c>
      <c r="U28">
        <f t="shared" si="4"/>
        <v>106.18114551338425</v>
      </c>
      <c r="W28">
        <f t="shared" si="5"/>
        <v>0</v>
      </c>
      <c r="X28">
        <f t="shared" si="5"/>
        <v>0</v>
      </c>
    </row>
    <row r="29" spans="1:24" x14ac:dyDescent="0.35">
      <c r="A29">
        <v>167.59</v>
      </c>
      <c r="B29">
        <v>1.6867200000000001E-3</v>
      </c>
      <c r="C29">
        <v>2.4341599999999999E-4</v>
      </c>
      <c r="D29">
        <f t="shared" si="2"/>
        <v>113.83988229418355</v>
      </c>
      <c r="E29">
        <f t="shared" si="3"/>
        <v>105.4520406704472</v>
      </c>
      <c r="Q29">
        <f t="shared" si="0"/>
        <v>1.6867200000000001E-3</v>
      </c>
      <c r="R29">
        <f t="shared" si="1"/>
        <v>2.4341599999999999E-4</v>
      </c>
      <c r="T29">
        <f t="shared" si="4"/>
        <v>113.83988229418355</v>
      </c>
      <c r="U29">
        <f t="shared" si="4"/>
        <v>105.4520406704472</v>
      </c>
      <c r="W29">
        <f t="shared" si="5"/>
        <v>0</v>
      </c>
      <c r="X29">
        <f t="shared" si="5"/>
        <v>0</v>
      </c>
    </row>
    <row r="30" spans="1:24" x14ac:dyDescent="0.35">
      <c r="A30">
        <v>173.74799999999999</v>
      </c>
      <c r="B30">
        <v>1.6952200000000001E-3</v>
      </c>
      <c r="C30">
        <v>2.4514300000000002E-4</v>
      </c>
      <c r="D30">
        <f t="shared" si="2"/>
        <v>114.41356316563854</v>
      </c>
      <c r="E30">
        <f t="shared" si="3"/>
        <v>106.20020707790549</v>
      </c>
      <c r="Q30">
        <f t="shared" si="0"/>
        <v>1.6952200000000001E-3</v>
      </c>
      <c r="R30">
        <f t="shared" si="1"/>
        <v>2.4514300000000002E-4</v>
      </c>
      <c r="T30">
        <f t="shared" si="4"/>
        <v>114.41356316563854</v>
      </c>
      <c r="U30">
        <f t="shared" si="4"/>
        <v>106.20020707790549</v>
      </c>
      <c r="W30">
        <f t="shared" si="5"/>
        <v>0</v>
      </c>
      <c r="X30">
        <f t="shared" si="5"/>
        <v>0</v>
      </c>
    </row>
    <row r="31" spans="1:24" x14ac:dyDescent="0.35">
      <c r="A31">
        <v>179.999</v>
      </c>
      <c r="B31">
        <v>1.7025199999999999E-3</v>
      </c>
      <c r="C31">
        <v>2.4565500000000001E-4</v>
      </c>
      <c r="D31">
        <f t="shared" si="2"/>
        <v>114.90625379641753</v>
      </c>
      <c r="E31">
        <f t="shared" si="3"/>
        <v>106.42201437415252</v>
      </c>
      <c r="Q31">
        <f t="shared" si="0"/>
        <v>1.7025199999999999E-3</v>
      </c>
      <c r="R31">
        <f t="shared" si="1"/>
        <v>2.4565500000000001E-4</v>
      </c>
      <c r="T31">
        <f t="shared" si="4"/>
        <v>114.90625379641753</v>
      </c>
      <c r="U31">
        <f t="shared" si="4"/>
        <v>106.42201437415252</v>
      </c>
      <c r="W31">
        <f t="shared" si="5"/>
        <v>0</v>
      </c>
      <c r="X31">
        <f t="shared" si="5"/>
        <v>0</v>
      </c>
    </row>
    <row r="32" spans="1:24" x14ac:dyDescent="0.35">
      <c r="A32">
        <v>193.20699999999999</v>
      </c>
      <c r="B32">
        <v>3.3998399999999999E-6</v>
      </c>
      <c r="C32">
        <v>3.2589599999999997E-5</v>
      </c>
      <c r="D32">
        <f t="shared" si="2"/>
        <v>0.22946154988323905</v>
      </c>
      <c r="E32">
        <f t="shared" si="3"/>
        <v>14.118380980024344</v>
      </c>
      <c r="Q32">
        <f t="shared" si="0"/>
        <v>3.3998399999999999E-6</v>
      </c>
      <c r="R32">
        <f t="shared" si="1"/>
        <v>3.2589599999999997E-5</v>
      </c>
      <c r="T32">
        <f t="shared" si="4"/>
        <v>0.22946154988323905</v>
      </c>
      <c r="U32">
        <f t="shared" si="4"/>
        <v>14.118380980024344</v>
      </c>
      <c r="W32">
        <f t="shared" si="5"/>
        <v>0</v>
      </c>
      <c r="X32">
        <f t="shared" si="5"/>
        <v>0</v>
      </c>
    </row>
    <row r="33" spans="1:24" x14ac:dyDescent="0.35">
      <c r="A33">
        <v>199.40899999999999</v>
      </c>
      <c r="B33">
        <v>3.3799200000000002E-6</v>
      </c>
      <c r="C33">
        <v>3.2175200000000003E-5</v>
      </c>
      <c r="D33">
        <f t="shared" si="2"/>
        <v>0.2281171118880175</v>
      </c>
      <c r="E33">
        <f t="shared" si="3"/>
        <v>13.938855699624403</v>
      </c>
      <c r="Q33">
        <f t="shared" si="0"/>
        <v>3.3799200000000002E-6</v>
      </c>
      <c r="R33">
        <f t="shared" si="1"/>
        <v>3.2175200000000003E-5</v>
      </c>
      <c r="T33">
        <f t="shared" si="4"/>
        <v>0.2281171118880175</v>
      </c>
      <c r="U33">
        <f t="shared" si="4"/>
        <v>13.938855699624403</v>
      </c>
      <c r="W33">
        <f t="shared" si="5"/>
        <v>0</v>
      </c>
      <c r="X33">
        <f t="shared" si="5"/>
        <v>0</v>
      </c>
    </row>
    <row r="34" spans="1:24" x14ac:dyDescent="0.35">
      <c r="A34">
        <v>205.65700000000001</v>
      </c>
      <c r="B34">
        <v>3.30182E-6</v>
      </c>
      <c r="C34">
        <v>3.15307E-5</v>
      </c>
      <c r="D34">
        <f t="shared" si="2"/>
        <v>0.22284599705735458</v>
      </c>
      <c r="E34">
        <f t="shared" si="3"/>
        <v>13.659647101125932</v>
      </c>
      <c r="Q34">
        <f t="shared" si="0"/>
        <v>3.30182E-6</v>
      </c>
      <c r="R34">
        <f t="shared" si="1"/>
        <v>3.15307E-5</v>
      </c>
      <c r="T34">
        <f t="shared" si="4"/>
        <v>0.22284599705735458</v>
      </c>
      <c r="U34">
        <f t="shared" si="4"/>
        <v>13.659647101125932</v>
      </c>
      <c r="W34">
        <f t="shared" si="5"/>
        <v>0</v>
      </c>
      <c r="X34">
        <f t="shared" si="5"/>
        <v>0</v>
      </c>
    </row>
    <row r="35" spans="1:24" x14ac:dyDescent="0.35">
      <c r="A35">
        <v>211.864</v>
      </c>
      <c r="B35">
        <v>3.2443699999999998E-6</v>
      </c>
      <c r="C35">
        <v>3.1065500000000003E-5</v>
      </c>
      <c r="D35">
        <f t="shared" si="2"/>
        <v>0.21896858928499113</v>
      </c>
      <c r="E35">
        <f t="shared" si="3"/>
        <v>13.458114378051475</v>
      </c>
      <c r="Q35">
        <f t="shared" ref="Q35:Q66" si="6">AVERAGE(B35,G35,L35)</f>
        <v>3.2443699999999998E-6</v>
      </c>
      <c r="R35">
        <f t="shared" ref="R35:R66" si="7">AVERAGE(C35,H35,M35)</f>
        <v>3.1065500000000003E-5</v>
      </c>
      <c r="T35">
        <f t="shared" si="4"/>
        <v>0.21896858928499113</v>
      </c>
      <c r="U35">
        <f t="shared" si="4"/>
        <v>13.458114378051475</v>
      </c>
      <c r="W35">
        <f t="shared" si="5"/>
        <v>0</v>
      </c>
      <c r="X35">
        <f t="shared" si="5"/>
        <v>0</v>
      </c>
    </row>
    <row r="36" spans="1:24" x14ac:dyDescent="0.35">
      <c r="A36">
        <v>217.958</v>
      </c>
      <c r="B36">
        <v>3.2010700000000002E-6</v>
      </c>
      <c r="C36">
        <v>3.0741499999999997E-5</v>
      </c>
      <c r="D36">
        <f t="shared" si="2"/>
        <v>0.21604619143393219</v>
      </c>
      <c r="E36">
        <f t="shared" si="3"/>
        <v>13.317751948395145</v>
      </c>
      <c r="Q36">
        <f t="shared" si="6"/>
        <v>3.2010700000000002E-6</v>
      </c>
      <c r="R36">
        <f t="shared" si="7"/>
        <v>3.0741499999999997E-5</v>
      </c>
      <c r="T36">
        <f t="shared" si="4"/>
        <v>0.21604619143393219</v>
      </c>
      <c r="U36">
        <f t="shared" si="4"/>
        <v>13.317751948395145</v>
      </c>
      <c r="W36">
        <f t="shared" si="5"/>
        <v>0</v>
      </c>
      <c r="X36">
        <f t="shared" si="5"/>
        <v>0</v>
      </c>
    </row>
    <row r="37" spans="1:24" x14ac:dyDescent="0.35">
      <c r="A37">
        <v>224.30799999999999</v>
      </c>
      <c r="B37">
        <v>3.16949E-6</v>
      </c>
      <c r="C37">
        <v>3.0448200000000001E-5</v>
      </c>
      <c r="D37">
        <f t="shared" si="2"/>
        <v>0.21391479826680884</v>
      </c>
      <c r="E37">
        <f t="shared" si="3"/>
        <v>13.19068929216613</v>
      </c>
      <c r="Q37">
        <f t="shared" si="6"/>
        <v>3.16949E-6</v>
      </c>
      <c r="R37">
        <f t="shared" si="7"/>
        <v>3.0448200000000001E-5</v>
      </c>
      <c r="T37">
        <f t="shared" si="4"/>
        <v>0.21391479826680884</v>
      </c>
      <c r="U37">
        <f t="shared" si="4"/>
        <v>13.19068929216613</v>
      </c>
      <c r="W37">
        <f t="shared" si="5"/>
        <v>0</v>
      </c>
      <c r="X37">
        <f t="shared" si="5"/>
        <v>0</v>
      </c>
    </row>
    <row r="38" spans="1:24" x14ac:dyDescent="0.35">
      <c r="A38">
        <v>230.453</v>
      </c>
      <c r="B38">
        <v>3.1502400000000002E-6</v>
      </c>
      <c r="C38">
        <v>3.0257399999999999E-5</v>
      </c>
      <c r="D38">
        <f t="shared" si="2"/>
        <v>0.21261557982263138</v>
      </c>
      <c r="E38">
        <f t="shared" si="3"/>
        <v>13.108031416924071</v>
      </c>
      <c r="Q38">
        <f t="shared" si="6"/>
        <v>3.1502400000000002E-6</v>
      </c>
      <c r="R38">
        <f t="shared" si="7"/>
        <v>3.0257399999999999E-5</v>
      </c>
      <c r="T38">
        <f t="shared" si="4"/>
        <v>0.21261557982263138</v>
      </c>
      <c r="U38">
        <f t="shared" si="4"/>
        <v>13.108031416924071</v>
      </c>
      <c r="W38">
        <f t="shared" si="5"/>
        <v>0</v>
      </c>
      <c r="X38">
        <f t="shared" si="5"/>
        <v>0</v>
      </c>
    </row>
    <row r="39" spans="1:24" x14ac:dyDescent="0.35">
      <c r="A39">
        <v>236.73099999999999</v>
      </c>
      <c r="B39">
        <v>3.1228099999999998E-6</v>
      </c>
      <c r="C39">
        <v>3.0170300000000001E-5</v>
      </c>
      <c r="D39">
        <f t="shared" si="2"/>
        <v>0.21076427790451246</v>
      </c>
      <c r="E39">
        <f t="shared" si="3"/>
        <v>13.070298183519547</v>
      </c>
      <c r="Q39">
        <f t="shared" si="6"/>
        <v>3.1228099999999998E-6</v>
      </c>
      <c r="R39">
        <f t="shared" si="7"/>
        <v>3.0170300000000001E-5</v>
      </c>
      <c r="T39">
        <f t="shared" si="4"/>
        <v>0.21076427790451246</v>
      </c>
      <c r="U39">
        <f t="shared" si="4"/>
        <v>13.070298183519547</v>
      </c>
      <c r="W39">
        <f t="shared" si="5"/>
        <v>0</v>
      </c>
      <c r="X39">
        <f t="shared" si="5"/>
        <v>0</v>
      </c>
    </row>
    <row r="40" spans="1:24" x14ac:dyDescent="0.35">
      <c r="A40">
        <v>242.83</v>
      </c>
      <c r="B40">
        <v>3.1092600000000002E-6</v>
      </c>
      <c r="C40">
        <v>3.0062599999999999E-5</v>
      </c>
      <c r="D40">
        <f t="shared" si="2"/>
        <v>0.20984976310354603</v>
      </c>
      <c r="E40">
        <f t="shared" si="3"/>
        <v>13.023640672180079</v>
      </c>
      <c r="Q40">
        <f t="shared" si="6"/>
        <v>3.1092600000000002E-6</v>
      </c>
      <c r="R40">
        <f t="shared" si="7"/>
        <v>3.0062599999999999E-5</v>
      </c>
      <c r="T40">
        <f t="shared" si="4"/>
        <v>0.20984976310354603</v>
      </c>
      <c r="U40">
        <f t="shared" si="4"/>
        <v>13.023640672180079</v>
      </c>
      <c r="W40">
        <f t="shared" si="5"/>
        <v>0</v>
      </c>
      <c r="X40">
        <f t="shared" si="5"/>
        <v>0</v>
      </c>
    </row>
    <row r="41" spans="1:24" x14ac:dyDescent="0.35">
      <c r="A41">
        <v>249.16</v>
      </c>
      <c r="B41">
        <v>3.0886500000000001E-6</v>
      </c>
      <c r="C41">
        <v>2.9955999999999999E-5</v>
      </c>
      <c r="D41">
        <f t="shared" si="2"/>
        <v>0.20845875571993575</v>
      </c>
      <c r="E41">
        <f t="shared" si="3"/>
        <v>12.977459699953645</v>
      </c>
      <c r="Q41">
        <f t="shared" si="6"/>
        <v>3.0886500000000001E-6</v>
      </c>
      <c r="R41">
        <f t="shared" si="7"/>
        <v>2.9955999999999999E-5</v>
      </c>
      <c r="T41">
        <f t="shared" si="4"/>
        <v>0.20845875571993575</v>
      </c>
      <c r="U41">
        <f t="shared" si="4"/>
        <v>12.977459699953645</v>
      </c>
      <c r="W41">
        <f t="shared" si="5"/>
        <v>0</v>
      </c>
      <c r="X41">
        <f t="shared" si="5"/>
        <v>0</v>
      </c>
    </row>
    <row r="42" spans="1:24" x14ac:dyDescent="0.35">
      <c r="A42">
        <v>262.286</v>
      </c>
      <c r="B42">
        <v>9.4102400000000005E-4</v>
      </c>
      <c r="C42">
        <v>1.8825100000000001E-4</v>
      </c>
      <c r="D42">
        <f t="shared" si="2"/>
        <v>63.511466868242373</v>
      </c>
      <c r="E42">
        <f t="shared" si="3"/>
        <v>81.553604151955327</v>
      </c>
      <c r="Q42">
        <f t="shared" si="6"/>
        <v>9.4102400000000005E-4</v>
      </c>
      <c r="R42">
        <f t="shared" si="7"/>
        <v>1.8825100000000001E-4</v>
      </c>
      <c r="T42">
        <f t="shared" si="4"/>
        <v>63.511466868242373</v>
      </c>
      <c r="U42">
        <f t="shared" si="4"/>
        <v>81.553604151955327</v>
      </c>
      <c r="W42">
        <f t="shared" si="5"/>
        <v>0</v>
      </c>
      <c r="X42">
        <f t="shared" si="5"/>
        <v>0</v>
      </c>
    </row>
    <row r="43" spans="1:24" x14ac:dyDescent="0.35">
      <c r="A43">
        <v>268.49799999999999</v>
      </c>
      <c r="B43">
        <v>9.6648800000000005E-4</v>
      </c>
      <c r="C43">
        <v>1.8792799999999999E-4</v>
      </c>
      <c r="D43">
        <f t="shared" si="2"/>
        <v>65.230079775387068</v>
      </c>
      <c r="E43">
        <f t="shared" si="3"/>
        <v>81.413674939674479</v>
      </c>
      <c r="Q43">
        <f t="shared" si="6"/>
        <v>9.6648800000000005E-4</v>
      </c>
      <c r="R43">
        <f t="shared" si="7"/>
        <v>1.8792799999999999E-4</v>
      </c>
      <c r="T43">
        <f t="shared" si="4"/>
        <v>65.230079775387068</v>
      </c>
      <c r="U43">
        <f t="shared" si="4"/>
        <v>81.413674939674479</v>
      </c>
      <c r="W43">
        <f t="shared" si="5"/>
        <v>0</v>
      </c>
      <c r="X43">
        <f t="shared" si="5"/>
        <v>0</v>
      </c>
    </row>
    <row r="44" spans="1:24" x14ac:dyDescent="0.35">
      <c r="A44">
        <v>274.608</v>
      </c>
      <c r="B44">
        <v>9.8106600000000006E-4</v>
      </c>
      <c r="C44">
        <v>1.8536599999999999E-4</v>
      </c>
      <c r="D44">
        <f t="shared" si="2"/>
        <v>66.213976215865983</v>
      </c>
      <c r="E44">
        <f t="shared" si="3"/>
        <v>80.303772023688325</v>
      </c>
      <c r="Q44">
        <f t="shared" si="6"/>
        <v>9.8106600000000006E-4</v>
      </c>
      <c r="R44">
        <f t="shared" si="7"/>
        <v>1.8536599999999999E-4</v>
      </c>
      <c r="T44">
        <f t="shared" si="4"/>
        <v>66.213976215865983</v>
      </c>
      <c r="U44">
        <f t="shared" si="4"/>
        <v>80.303772023688325</v>
      </c>
      <c r="W44">
        <f t="shared" si="5"/>
        <v>0</v>
      </c>
      <c r="X44">
        <f t="shared" si="5"/>
        <v>0</v>
      </c>
    </row>
    <row r="45" spans="1:24" x14ac:dyDescent="0.35">
      <c r="A45">
        <v>280.779</v>
      </c>
      <c r="B45">
        <v>9.9332299999999995E-4</v>
      </c>
      <c r="C45">
        <v>1.8296600000000001E-4</v>
      </c>
      <c r="D45">
        <f t="shared" si="2"/>
        <v>67.041224032504076</v>
      </c>
      <c r="E45">
        <f t="shared" si="3"/>
        <v>79.264050322530338</v>
      </c>
      <c r="Q45">
        <f t="shared" si="6"/>
        <v>9.9332299999999995E-4</v>
      </c>
      <c r="R45">
        <f t="shared" si="7"/>
        <v>1.8296600000000001E-4</v>
      </c>
      <c r="T45">
        <f t="shared" si="4"/>
        <v>67.041224032504076</v>
      </c>
      <c r="U45">
        <f t="shared" si="4"/>
        <v>79.264050322530338</v>
      </c>
      <c r="W45">
        <f t="shared" si="5"/>
        <v>0</v>
      </c>
      <c r="X45">
        <f t="shared" si="5"/>
        <v>0</v>
      </c>
    </row>
    <row r="46" spans="1:24" x14ac:dyDescent="0.35">
      <c r="A46">
        <v>287.00099999999998</v>
      </c>
      <c r="B46">
        <v>1.0039000000000001E-3</v>
      </c>
      <c r="C46">
        <v>1.8290299999999999E-4</v>
      </c>
      <c r="D46">
        <f t="shared" si="2"/>
        <v>67.755085512195777</v>
      </c>
      <c r="E46">
        <f t="shared" si="3"/>
        <v>79.236757627874937</v>
      </c>
      <c r="Q46">
        <f t="shared" si="6"/>
        <v>1.0039000000000001E-3</v>
      </c>
      <c r="R46">
        <f t="shared" si="7"/>
        <v>1.8290299999999999E-4</v>
      </c>
      <c r="T46">
        <f t="shared" si="4"/>
        <v>67.755085512195777</v>
      </c>
      <c r="U46">
        <f t="shared" si="4"/>
        <v>79.236757627874937</v>
      </c>
      <c r="W46">
        <f t="shared" si="5"/>
        <v>0</v>
      </c>
      <c r="X46">
        <f t="shared" si="5"/>
        <v>0</v>
      </c>
    </row>
    <row r="47" spans="1:24" x14ac:dyDescent="0.35">
      <c r="A47">
        <v>293.27300000000002</v>
      </c>
      <c r="B47">
        <v>1.0111899999999999E-3</v>
      </c>
      <c r="C47">
        <v>1.83019E-4</v>
      </c>
      <c r="D47">
        <f t="shared" si="2"/>
        <v>68.247101224302469</v>
      </c>
      <c r="E47">
        <f t="shared" si="3"/>
        <v>79.287010843430906</v>
      </c>
      <c r="Q47">
        <f t="shared" si="6"/>
        <v>1.0111899999999999E-3</v>
      </c>
      <c r="R47">
        <f t="shared" si="7"/>
        <v>1.83019E-4</v>
      </c>
      <c r="T47">
        <f t="shared" si="4"/>
        <v>68.247101224302469</v>
      </c>
      <c r="U47">
        <f t="shared" si="4"/>
        <v>79.287010843430906</v>
      </c>
      <c r="W47">
        <f t="shared" si="5"/>
        <v>0</v>
      </c>
      <c r="X47">
        <f t="shared" si="5"/>
        <v>0</v>
      </c>
    </row>
    <row r="48" spans="1:24" x14ac:dyDescent="0.35">
      <c r="A48">
        <v>299.46699999999998</v>
      </c>
      <c r="B48">
        <v>1.01844E-3</v>
      </c>
      <c r="C48">
        <v>1.8186600000000001E-4</v>
      </c>
      <c r="D48">
        <f t="shared" si="2"/>
        <v>68.736417261719964</v>
      </c>
      <c r="E48">
        <f t="shared" si="3"/>
        <v>78.787511209499598</v>
      </c>
      <c r="Q48">
        <f t="shared" si="6"/>
        <v>1.01844E-3</v>
      </c>
      <c r="R48">
        <f t="shared" si="7"/>
        <v>1.8186600000000001E-4</v>
      </c>
      <c r="T48">
        <f t="shared" si="4"/>
        <v>68.736417261719964</v>
      </c>
      <c r="U48">
        <f t="shared" si="4"/>
        <v>78.787511209499598</v>
      </c>
      <c r="W48">
        <f t="shared" si="5"/>
        <v>0</v>
      </c>
      <c r="X48">
        <f t="shared" si="5"/>
        <v>0</v>
      </c>
    </row>
    <row r="49" spans="1:24" x14ac:dyDescent="0.35">
      <c r="A49">
        <v>305.70800000000003</v>
      </c>
      <c r="B49">
        <v>1.0244900000000001E-3</v>
      </c>
      <c r="C49">
        <v>1.8153700000000001E-4</v>
      </c>
      <c r="D49">
        <f t="shared" si="2"/>
        <v>69.144743058461458</v>
      </c>
      <c r="E49">
        <f t="shared" si="3"/>
        <v>78.644982692965854</v>
      </c>
      <c r="Q49">
        <f t="shared" si="6"/>
        <v>1.0244900000000001E-3</v>
      </c>
      <c r="R49">
        <f t="shared" si="7"/>
        <v>1.8153700000000001E-4</v>
      </c>
      <c r="T49">
        <f t="shared" si="4"/>
        <v>69.144743058461458</v>
      </c>
      <c r="U49">
        <f t="shared" si="4"/>
        <v>78.644982692965854</v>
      </c>
      <c r="W49">
        <f t="shared" si="5"/>
        <v>0</v>
      </c>
      <c r="X49">
        <f t="shared" si="5"/>
        <v>0</v>
      </c>
    </row>
    <row r="50" spans="1:24" x14ac:dyDescent="0.35">
      <c r="A50">
        <v>311.89499999999998</v>
      </c>
      <c r="B50">
        <v>1.03034E-3</v>
      </c>
      <c r="C50">
        <v>1.8243600000000001E-4</v>
      </c>
      <c r="D50">
        <f t="shared" si="2"/>
        <v>69.53957048175694</v>
      </c>
      <c r="E50">
        <f t="shared" si="3"/>
        <v>79.034445113524626</v>
      </c>
      <c r="Q50">
        <f t="shared" si="6"/>
        <v>1.03034E-3</v>
      </c>
      <c r="R50">
        <f t="shared" si="7"/>
        <v>1.8243600000000001E-4</v>
      </c>
      <c r="T50">
        <f t="shared" si="4"/>
        <v>69.53957048175694</v>
      </c>
      <c r="U50">
        <f t="shared" si="4"/>
        <v>79.034445113524626</v>
      </c>
      <c r="W50">
        <f t="shared" si="5"/>
        <v>0</v>
      </c>
      <c r="X50">
        <f t="shared" si="5"/>
        <v>0</v>
      </c>
    </row>
    <row r="51" spans="1:24" x14ac:dyDescent="0.35">
      <c r="A51">
        <v>318.09899999999999</v>
      </c>
      <c r="B51">
        <v>1.0355900000000001E-3</v>
      </c>
      <c r="C51">
        <v>1.8221200000000001E-4</v>
      </c>
      <c r="D51">
        <f t="shared" si="2"/>
        <v>69.893902784714442</v>
      </c>
      <c r="E51">
        <f t="shared" si="3"/>
        <v>78.937404421416531</v>
      </c>
      <c r="Q51">
        <f t="shared" si="6"/>
        <v>1.0355900000000001E-3</v>
      </c>
      <c r="R51">
        <f t="shared" si="7"/>
        <v>1.8221200000000001E-4</v>
      </c>
      <c r="T51">
        <f t="shared" si="4"/>
        <v>69.893902784714442</v>
      </c>
      <c r="U51">
        <f t="shared" si="4"/>
        <v>78.937404421416531</v>
      </c>
      <c r="W51">
        <f t="shared" si="5"/>
        <v>0</v>
      </c>
      <c r="X51">
        <f t="shared" si="5"/>
        <v>0</v>
      </c>
    </row>
    <row r="52" spans="1:24" x14ac:dyDescent="0.35">
      <c r="A52">
        <v>324.33999999999997</v>
      </c>
      <c r="B52">
        <v>1.03958E-3</v>
      </c>
      <c r="C52">
        <v>1.81516E-4</v>
      </c>
      <c r="D52">
        <f t="shared" si="2"/>
        <v>70.16319533496214</v>
      </c>
      <c r="E52">
        <f t="shared" si="3"/>
        <v>78.635885128080716</v>
      </c>
      <c r="Q52">
        <f t="shared" si="6"/>
        <v>1.03958E-3</v>
      </c>
      <c r="R52">
        <f t="shared" si="7"/>
        <v>1.81516E-4</v>
      </c>
      <c r="T52">
        <f t="shared" si="4"/>
        <v>70.16319533496214</v>
      </c>
      <c r="U52">
        <f t="shared" si="4"/>
        <v>78.635885128080716</v>
      </c>
      <c r="W52">
        <f t="shared" si="5"/>
        <v>0</v>
      </c>
      <c r="X52">
        <f t="shared" si="5"/>
        <v>0</v>
      </c>
    </row>
    <row r="53" spans="1:24" x14ac:dyDescent="0.35">
      <c r="A53">
        <v>330.45299999999997</v>
      </c>
      <c r="B53">
        <v>1.0456E-3</v>
      </c>
      <c r="C53">
        <v>1.8165400000000001E-4</v>
      </c>
      <c r="D53">
        <f t="shared" si="2"/>
        <v>70.569496375686725</v>
      </c>
      <c r="E53">
        <f t="shared" si="3"/>
        <v>78.695669125897311</v>
      </c>
      <c r="Q53">
        <f t="shared" si="6"/>
        <v>1.0456E-3</v>
      </c>
      <c r="R53">
        <f t="shared" si="7"/>
        <v>1.8165400000000001E-4</v>
      </c>
      <c r="T53">
        <f t="shared" si="4"/>
        <v>70.569496375686725</v>
      </c>
      <c r="U53">
        <f t="shared" si="4"/>
        <v>78.695669125897311</v>
      </c>
      <c r="W53">
        <f t="shared" si="5"/>
        <v>0</v>
      </c>
      <c r="X53">
        <f t="shared" si="5"/>
        <v>0</v>
      </c>
    </row>
    <row r="54" spans="1:24" x14ac:dyDescent="0.35">
      <c r="A54">
        <v>336.67899999999997</v>
      </c>
      <c r="B54">
        <v>1.04985E-3</v>
      </c>
      <c r="C54">
        <v>1.8165E-4</v>
      </c>
      <c r="D54">
        <f t="shared" si="2"/>
        <v>70.856336811414224</v>
      </c>
      <c r="E54">
        <f t="shared" si="3"/>
        <v>78.693936256395375</v>
      </c>
      <c r="Q54">
        <f t="shared" si="6"/>
        <v>1.04985E-3</v>
      </c>
      <c r="R54">
        <f t="shared" si="7"/>
        <v>1.8165E-4</v>
      </c>
      <c r="T54">
        <f t="shared" si="4"/>
        <v>70.856336811414224</v>
      </c>
      <c r="U54">
        <f t="shared" si="4"/>
        <v>78.693936256395375</v>
      </c>
      <c r="W54">
        <f t="shared" si="5"/>
        <v>0</v>
      </c>
      <c r="X54">
        <f t="shared" si="5"/>
        <v>0</v>
      </c>
    </row>
    <row r="55" spans="1:24" x14ac:dyDescent="0.35">
      <c r="A55">
        <v>342.94200000000001</v>
      </c>
      <c r="B55">
        <v>1.0551600000000001E-3</v>
      </c>
      <c r="C55">
        <v>1.8231399999999999E-4</v>
      </c>
      <c r="D55">
        <f t="shared" si="2"/>
        <v>71.214718626405514</v>
      </c>
      <c r="E55">
        <f t="shared" si="3"/>
        <v>78.981592593715746</v>
      </c>
      <c r="Q55">
        <f t="shared" si="6"/>
        <v>1.0551600000000001E-3</v>
      </c>
      <c r="R55">
        <f t="shared" si="7"/>
        <v>1.8231399999999999E-4</v>
      </c>
      <c r="T55">
        <f t="shared" si="4"/>
        <v>71.214718626405514</v>
      </c>
      <c r="U55">
        <f t="shared" si="4"/>
        <v>78.981592593715746</v>
      </c>
      <c r="W55">
        <f t="shared" si="5"/>
        <v>0</v>
      </c>
      <c r="X55">
        <f t="shared" si="5"/>
        <v>0</v>
      </c>
    </row>
    <row r="56" spans="1:24" x14ac:dyDescent="0.35">
      <c r="A56">
        <v>349.24099999999999</v>
      </c>
      <c r="B56">
        <v>1.0595299999999999E-3</v>
      </c>
      <c r="C56">
        <v>1.83179E-4</v>
      </c>
      <c r="D56">
        <f t="shared" si="2"/>
        <v>71.509658086200602</v>
      </c>
      <c r="E56">
        <f t="shared" si="3"/>
        <v>79.356325623508113</v>
      </c>
      <c r="Q56">
        <f t="shared" si="6"/>
        <v>1.0595299999999999E-3</v>
      </c>
      <c r="R56">
        <f t="shared" si="7"/>
        <v>1.83179E-4</v>
      </c>
      <c r="T56">
        <f t="shared" si="4"/>
        <v>71.509658086200602</v>
      </c>
      <c r="U56">
        <f t="shared" si="4"/>
        <v>79.356325623508113</v>
      </c>
      <c r="W56">
        <f t="shared" si="5"/>
        <v>0</v>
      </c>
      <c r="X56">
        <f t="shared" si="5"/>
        <v>0</v>
      </c>
    </row>
    <row r="57" spans="1:24" x14ac:dyDescent="0.35">
      <c r="A57">
        <v>355.43299999999999</v>
      </c>
      <c r="B57">
        <v>1.0649399999999999E-3</v>
      </c>
      <c r="C57">
        <v>1.8406799999999999E-4</v>
      </c>
      <c r="D57">
        <f t="shared" si="2"/>
        <v>71.874789087914891</v>
      </c>
      <c r="E57">
        <f t="shared" si="3"/>
        <v>79.741455870312038</v>
      </c>
      <c r="Q57">
        <f t="shared" si="6"/>
        <v>1.0649399999999999E-3</v>
      </c>
      <c r="R57">
        <f t="shared" si="7"/>
        <v>1.8406799999999999E-4</v>
      </c>
      <c r="T57">
        <f t="shared" si="4"/>
        <v>71.874789087914891</v>
      </c>
      <c r="U57">
        <f t="shared" si="4"/>
        <v>79.741455870312038</v>
      </c>
      <c r="W57">
        <f t="shared" si="5"/>
        <v>0</v>
      </c>
      <c r="X57">
        <f t="shared" si="5"/>
        <v>0</v>
      </c>
    </row>
    <row r="58" spans="1:24" x14ac:dyDescent="0.35">
      <c r="A58">
        <v>361.57799999999997</v>
      </c>
      <c r="B58">
        <v>1.0691800000000001E-3</v>
      </c>
      <c r="C58">
        <v>1.8306600000000001E-4</v>
      </c>
      <c r="D58">
        <f t="shared" si="2"/>
        <v>72.160954604970101</v>
      </c>
      <c r="E58">
        <f t="shared" si="3"/>
        <v>79.307372060078592</v>
      </c>
      <c r="Q58">
        <f t="shared" si="6"/>
        <v>1.0691800000000001E-3</v>
      </c>
      <c r="R58">
        <f t="shared" si="7"/>
        <v>1.8306600000000001E-4</v>
      </c>
      <c r="T58">
        <f t="shared" si="4"/>
        <v>72.160954604970101</v>
      </c>
      <c r="U58">
        <f t="shared" si="4"/>
        <v>79.307372060078592</v>
      </c>
      <c r="W58">
        <f t="shared" si="5"/>
        <v>0</v>
      </c>
      <c r="X58">
        <f t="shared" si="5"/>
        <v>0</v>
      </c>
    </row>
    <row r="59" spans="1:24" x14ac:dyDescent="0.35">
      <c r="A59">
        <v>367.786</v>
      </c>
      <c r="B59">
        <v>1.07328E-3</v>
      </c>
      <c r="C59">
        <v>1.8366500000000001E-4</v>
      </c>
      <c r="D59">
        <f t="shared" si="2"/>
        <v>72.437671260613087</v>
      </c>
      <c r="E59">
        <f t="shared" si="3"/>
        <v>79.566869267992601</v>
      </c>
      <c r="Q59">
        <f t="shared" si="6"/>
        <v>1.07328E-3</v>
      </c>
      <c r="R59">
        <f t="shared" si="7"/>
        <v>1.8366500000000001E-4</v>
      </c>
      <c r="T59">
        <f t="shared" si="4"/>
        <v>72.437671260613087</v>
      </c>
      <c r="U59">
        <f t="shared" si="4"/>
        <v>79.566869267992601</v>
      </c>
      <c r="W59">
        <f t="shared" si="5"/>
        <v>0</v>
      </c>
      <c r="X59">
        <f t="shared" si="5"/>
        <v>0</v>
      </c>
    </row>
    <row r="60" spans="1:24" x14ac:dyDescent="0.35">
      <c r="A60">
        <v>374.03899999999999</v>
      </c>
      <c r="B60">
        <v>1.07771E-3</v>
      </c>
      <c r="C60">
        <v>1.8433600000000001E-4</v>
      </c>
      <c r="D60">
        <f t="shared" si="2"/>
        <v>72.736660232441992</v>
      </c>
      <c r="E60">
        <f t="shared" si="3"/>
        <v>79.857558126941356</v>
      </c>
      <c r="Q60">
        <f t="shared" si="6"/>
        <v>1.07771E-3</v>
      </c>
      <c r="R60">
        <f t="shared" si="7"/>
        <v>1.8433600000000001E-4</v>
      </c>
      <c r="T60">
        <f t="shared" si="4"/>
        <v>72.736660232441992</v>
      </c>
      <c r="U60">
        <f t="shared" si="4"/>
        <v>79.857558126941356</v>
      </c>
      <c r="W60">
        <f t="shared" si="5"/>
        <v>0</v>
      </c>
      <c r="X60">
        <f t="shared" si="5"/>
        <v>0</v>
      </c>
    </row>
    <row r="61" spans="1:24" x14ac:dyDescent="0.35">
      <c r="A61">
        <v>380.137</v>
      </c>
      <c r="B61">
        <v>1.08058E-3</v>
      </c>
      <c r="C61">
        <v>1.8432400000000001E-4</v>
      </c>
      <c r="D61">
        <f t="shared" si="2"/>
        <v>72.930361891392081</v>
      </c>
      <c r="E61">
        <f t="shared" si="3"/>
        <v>79.852359518435563</v>
      </c>
      <c r="Q61">
        <f t="shared" si="6"/>
        <v>1.08058E-3</v>
      </c>
      <c r="R61">
        <f t="shared" si="7"/>
        <v>1.8432400000000001E-4</v>
      </c>
      <c r="T61">
        <f t="shared" si="4"/>
        <v>72.930361891392081</v>
      </c>
      <c r="U61">
        <f t="shared" si="4"/>
        <v>79.852359518435563</v>
      </c>
      <c r="W61">
        <f t="shared" si="5"/>
        <v>0</v>
      </c>
      <c r="X61">
        <f t="shared" si="5"/>
        <v>0</v>
      </c>
    </row>
    <row r="62" spans="1:24" x14ac:dyDescent="0.35">
      <c r="A62">
        <v>386.49799999999999</v>
      </c>
      <c r="B62">
        <v>1.08617E-3</v>
      </c>
      <c r="C62">
        <v>1.8516999999999999E-4</v>
      </c>
      <c r="D62">
        <f t="shared" si="2"/>
        <v>73.307641429207777</v>
      </c>
      <c r="E62">
        <f t="shared" si="3"/>
        <v>80.218861418093752</v>
      </c>
      <c r="Q62">
        <f t="shared" si="6"/>
        <v>1.08617E-3</v>
      </c>
      <c r="R62">
        <f t="shared" si="7"/>
        <v>1.8516999999999999E-4</v>
      </c>
      <c r="T62">
        <f t="shared" si="4"/>
        <v>73.307641429207777</v>
      </c>
      <c r="U62">
        <f t="shared" si="4"/>
        <v>80.218861418093752</v>
      </c>
      <c r="W62">
        <f t="shared" si="5"/>
        <v>0</v>
      </c>
      <c r="X62">
        <f t="shared" si="5"/>
        <v>0</v>
      </c>
    </row>
    <row r="63" spans="1:24" x14ac:dyDescent="0.35">
      <c r="A63">
        <v>392.601</v>
      </c>
      <c r="B63">
        <v>1.0917699999999999E-3</v>
      </c>
      <c r="C63">
        <v>1.85403E-4</v>
      </c>
      <c r="D63">
        <f t="shared" si="2"/>
        <v>73.685595885695761</v>
      </c>
      <c r="E63">
        <f t="shared" si="3"/>
        <v>80.319801066581178</v>
      </c>
      <c r="Q63">
        <f t="shared" si="6"/>
        <v>1.0917699999999999E-3</v>
      </c>
      <c r="R63">
        <f t="shared" si="7"/>
        <v>1.85403E-4</v>
      </c>
      <c r="T63">
        <f t="shared" si="4"/>
        <v>73.685595885695761</v>
      </c>
      <c r="U63">
        <f t="shared" si="4"/>
        <v>80.319801066581178</v>
      </c>
      <c r="W63">
        <f t="shared" si="5"/>
        <v>0</v>
      </c>
      <c r="X63">
        <f t="shared" si="5"/>
        <v>0</v>
      </c>
    </row>
    <row r="64" spans="1:24" x14ac:dyDescent="0.35">
      <c r="A64">
        <v>398.83199999999999</v>
      </c>
      <c r="B64">
        <v>1.0950300000000001E-3</v>
      </c>
      <c r="C64">
        <v>1.8601699999999999E-4</v>
      </c>
      <c r="D64">
        <f t="shared" si="2"/>
        <v>73.905619372865573</v>
      </c>
      <c r="E64">
        <f t="shared" si="3"/>
        <v>80.585796535127429</v>
      </c>
      <c r="Q64">
        <f t="shared" si="6"/>
        <v>1.0950300000000001E-3</v>
      </c>
      <c r="R64">
        <f t="shared" si="7"/>
        <v>1.8601699999999999E-4</v>
      </c>
      <c r="T64">
        <f t="shared" si="4"/>
        <v>73.905619372865573</v>
      </c>
      <c r="U64">
        <f t="shared" si="4"/>
        <v>80.585796535127429</v>
      </c>
      <c r="W64">
        <f t="shared" si="5"/>
        <v>0</v>
      </c>
      <c r="X64">
        <f t="shared" si="5"/>
        <v>0</v>
      </c>
    </row>
    <row r="65" spans="1:24" x14ac:dyDescent="0.35">
      <c r="A65">
        <v>405.02199999999999</v>
      </c>
      <c r="B65">
        <v>1.1007E-3</v>
      </c>
      <c r="C65">
        <v>1.8706199999999999E-4</v>
      </c>
      <c r="D65">
        <f t="shared" si="2"/>
        <v>74.288298260059662</v>
      </c>
      <c r="E65">
        <f t="shared" si="3"/>
        <v>81.038508692506639</v>
      </c>
      <c r="Q65">
        <f t="shared" si="6"/>
        <v>1.1007E-3</v>
      </c>
      <c r="R65">
        <f t="shared" si="7"/>
        <v>1.8706199999999999E-4</v>
      </c>
      <c r="T65">
        <f t="shared" si="4"/>
        <v>74.288298260059662</v>
      </c>
      <c r="U65">
        <f t="shared" si="4"/>
        <v>81.038508692506639</v>
      </c>
      <c r="W65">
        <f t="shared" si="5"/>
        <v>0</v>
      </c>
      <c r="X65">
        <f t="shared" si="5"/>
        <v>0</v>
      </c>
    </row>
    <row r="66" spans="1:24" x14ac:dyDescent="0.35">
      <c r="A66">
        <v>411.33699999999999</v>
      </c>
      <c r="B66">
        <v>1.1041200000000001E-3</v>
      </c>
      <c r="C66">
        <v>1.8782200000000001E-4</v>
      </c>
      <c r="D66">
        <f t="shared" si="2"/>
        <v>74.51912044598626</v>
      </c>
      <c r="E66">
        <f t="shared" si="3"/>
        <v>81.367753897873342</v>
      </c>
      <c r="Q66">
        <f t="shared" si="6"/>
        <v>1.1041200000000001E-3</v>
      </c>
      <c r="R66">
        <f t="shared" si="7"/>
        <v>1.8782200000000001E-4</v>
      </c>
      <c r="T66">
        <f t="shared" si="4"/>
        <v>74.51912044598626</v>
      </c>
      <c r="U66">
        <f t="shared" si="4"/>
        <v>81.367753897873342</v>
      </c>
      <c r="W66">
        <f t="shared" si="5"/>
        <v>0</v>
      </c>
      <c r="X66">
        <f t="shared" si="5"/>
        <v>0</v>
      </c>
    </row>
    <row r="67" spans="1:24" x14ac:dyDescent="0.35">
      <c r="A67">
        <v>417.42200000000003</v>
      </c>
      <c r="B67">
        <v>1.1100999999999999E-3</v>
      </c>
      <c r="C67">
        <v>1.8847199999999999E-4</v>
      </c>
      <c r="D67">
        <f t="shared" si="2"/>
        <v>74.922721812021649</v>
      </c>
      <c r="E67">
        <f t="shared" si="3"/>
        <v>81.649345191936945</v>
      </c>
      <c r="Q67">
        <f t="shared" ref="Q67:Q98" si="8">AVERAGE(B67,G67,L67)</f>
        <v>1.1100999999999999E-3</v>
      </c>
      <c r="R67">
        <f t="shared" ref="R67:R98" si="9">AVERAGE(C67,H67,M67)</f>
        <v>1.8847199999999999E-4</v>
      </c>
      <c r="T67">
        <f t="shared" si="4"/>
        <v>74.922721812021649</v>
      </c>
      <c r="U67">
        <f t="shared" si="4"/>
        <v>81.649345191936945</v>
      </c>
      <c r="W67">
        <f t="shared" si="5"/>
        <v>0</v>
      </c>
      <c r="X67">
        <f t="shared" si="5"/>
        <v>0</v>
      </c>
    </row>
    <row r="68" spans="1:24" x14ac:dyDescent="0.35">
      <c r="A68">
        <v>423.74099999999999</v>
      </c>
      <c r="B68">
        <v>1.11523E-3</v>
      </c>
      <c r="C68">
        <v>1.8947199999999999E-4</v>
      </c>
      <c r="D68">
        <f t="shared" ref="D68:D109" si="10">B68/$B$3*100</f>
        <v>75.268955090911533</v>
      </c>
      <c r="E68">
        <f t="shared" ref="E68:E109" si="11">C68/$C$3*100</f>
        <v>82.082562567419444</v>
      </c>
      <c r="Q68">
        <f t="shared" si="8"/>
        <v>1.11523E-3</v>
      </c>
      <c r="R68">
        <f t="shared" si="9"/>
        <v>1.8947199999999999E-4</v>
      </c>
      <c r="T68">
        <f t="shared" ref="T68:U109" si="12">AVERAGE(D68,I68,N68)</f>
        <v>75.268955090911533</v>
      </c>
      <c r="U68">
        <f t="shared" si="12"/>
        <v>82.082562567419444</v>
      </c>
      <c r="W68">
        <f t="shared" ref="W68:X109" si="13">_xlfn.STDEV.P(D68,I68,N68)</f>
        <v>0</v>
      </c>
      <c r="X68">
        <f t="shared" si="13"/>
        <v>0</v>
      </c>
    </row>
    <row r="69" spans="1:24" x14ac:dyDescent="0.35">
      <c r="A69">
        <v>429.80099999999999</v>
      </c>
      <c r="B69">
        <v>1.1194600000000001E-3</v>
      </c>
      <c r="C69">
        <v>1.90101E-4</v>
      </c>
      <c r="D69">
        <f t="shared" si="10"/>
        <v>75.55444568929444</v>
      </c>
      <c r="E69">
        <f t="shared" si="11"/>
        <v>82.355056296597937</v>
      </c>
      <c r="Q69">
        <f t="shared" si="8"/>
        <v>1.1194600000000001E-3</v>
      </c>
      <c r="R69">
        <f t="shared" si="9"/>
        <v>1.90101E-4</v>
      </c>
      <c r="T69">
        <f t="shared" si="12"/>
        <v>75.55444568929444</v>
      </c>
      <c r="U69">
        <f t="shared" si="12"/>
        <v>82.355056296597937</v>
      </c>
      <c r="W69">
        <f t="shared" si="13"/>
        <v>0</v>
      </c>
      <c r="X69">
        <f t="shared" si="13"/>
        <v>0</v>
      </c>
    </row>
    <row r="70" spans="1:24" x14ac:dyDescent="0.35">
      <c r="A70">
        <v>436.18</v>
      </c>
      <c r="B70">
        <v>1.12655E-3</v>
      </c>
      <c r="C70">
        <v>1.9140199999999999E-4</v>
      </c>
      <c r="D70">
        <f t="shared" si="10"/>
        <v>76.03296302795512</v>
      </c>
      <c r="E70">
        <f t="shared" si="11"/>
        <v>82.918672102100672</v>
      </c>
      <c r="Q70">
        <f t="shared" si="8"/>
        <v>1.12655E-3</v>
      </c>
      <c r="R70">
        <f t="shared" si="9"/>
        <v>1.9140199999999999E-4</v>
      </c>
      <c r="T70">
        <f t="shared" si="12"/>
        <v>76.03296302795512</v>
      </c>
      <c r="U70">
        <f t="shared" si="12"/>
        <v>82.918672102100672</v>
      </c>
      <c r="W70">
        <f t="shared" si="13"/>
        <v>0</v>
      </c>
      <c r="X70">
        <f t="shared" si="13"/>
        <v>0</v>
      </c>
    </row>
    <row r="71" spans="1:24" x14ac:dyDescent="0.35">
      <c r="A71">
        <v>449.34699999999998</v>
      </c>
      <c r="B71">
        <v>3.0151300000000001E-6</v>
      </c>
      <c r="C71">
        <v>2.99315E-5</v>
      </c>
      <c r="D71">
        <f t="shared" si="10"/>
        <v>0.20349675364118625</v>
      </c>
      <c r="E71">
        <f t="shared" si="11"/>
        <v>12.966845874254323</v>
      </c>
      <c r="Q71">
        <f t="shared" si="8"/>
        <v>3.0151300000000001E-6</v>
      </c>
      <c r="R71">
        <f t="shared" si="9"/>
        <v>2.99315E-5</v>
      </c>
      <c r="T71">
        <f t="shared" si="12"/>
        <v>0.20349675364118625</v>
      </c>
      <c r="U71">
        <f t="shared" si="12"/>
        <v>12.966845874254323</v>
      </c>
      <c r="W71">
        <f t="shared" si="13"/>
        <v>0</v>
      </c>
      <c r="X71">
        <f t="shared" si="13"/>
        <v>0</v>
      </c>
    </row>
    <row r="72" spans="1:24" x14ac:dyDescent="0.35">
      <c r="A72">
        <v>455.601</v>
      </c>
      <c r="B72">
        <v>3.0369399999999999E-6</v>
      </c>
      <c r="C72">
        <v>2.9983000000000001E-5</v>
      </c>
      <c r="D72">
        <f t="shared" si="10"/>
        <v>0.20496875126547248</v>
      </c>
      <c r="E72">
        <f t="shared" si="11"/>
        <v>12.989156569091673</v>
      </c>
      <c r="Q72">
        <f t="shared" si="8"/>
        <v>3.0369399999999999E-6</v>
      </c>
      <c r="R72">
        <f t="shared" si="9"/>
        <v>2.9983000000000001E-5</v>
      </c>
      <c r="T72">
        <f t="shared" si="12"/>
        <v>0.20496875126547248</v>
      </c>
      <c r="U72">
        <f t="shared" si="12"/>
        <v>12.989156569091673</v>
      </c>
      <c r="W72">
        <f t="shared" si="13"/>
        <v>0</v>
      </c>
      <c r="X72">
        <f t="shared" si="13"/>
        <v>0</v>
      </c>
    </row>
    <row r="73" spans="1:24" x14ac:dyDescent="0.35">
      <c r="A73">
        <v>461.72699999999998</v>
      </c>
      <c r="B73">
        <v>3.0367800000000002E-6</v>
      </c>
      <c r="C73">
        <v>2.99331E-5</v>
      </c>
      <c r="D73">
        <f t="shared" si="10"/>
        <v>0.2049579525667157</v>
      </c>
      <c r="E73">
        <f t="shared" si="11"/>
        <v>12.967539022055096</v>
      </c>
      <c r="Q73">
        <f t="shared" si="8"/>
        <v>3.0367800000000002E-6</v>
      </c>
      <c r="R73">
        <f t="shared" si="9"/>
        <v>2.99331E-5</v>
      </c>
      <c r="T73">
        <f t="shared" si="12"/>
        <v>0.2049579525667157</v>
      </c>
      <c r="U73">
        <f t="shared" si="12"/>
        <v>12.967539022055096</v>
      </c>
      <c r="W73">
        <f t="shared" si="13"/>
        <v>0</v>
      </c>
      <c r="X73">
        <f t="shared" si="13"/>
        <v>0</v>
      </c>
    </row>
    <row r="74" spans="1:24" x14ac:dyDescent="0.35">
      <c r="A74">
        <v>467.90100000000001</v>
      </c>
      <c r="B74">
        <v>3.0268800000000001E-6</v>
      </c>
      <c r="C74">
        <v>2.9903199999999999E-5</v>
      </c>
      <c r="D74">
        <f t="shared" si="10"/>
        <v>0.20428978308113874</v>
      </c>
      <c r="E74">
        <f t="shared" si="11"/>
        <v>12.95458582252817</v>
      </c>
      <c r="Q74">
        <f t="shared" si="8"/>
        <v>3.0268800000000001E-6</v>
      </c>
      <c r="R74">
        <f t="shared" si="9"/>
        <v>2.9903199999999999E-5</v>
      </c>
      <c r="T74">
        <f t="shared" si="12"/>
        <v>0.20428978308113874</v>
      </c>
      <c r="U74">
        <f t="shared" si="12"/>
        <v>12.95458582252817</v>
      </c>
      <c r="W74">
        <f t="shared" si="13"/>
        <v>0</v>
      </c>
      <c r="X74">
        <f t="shared" si="13"/>
        <v>0</v>
      </c>
    </row>
    <row r="75" spans="1:24" x14ac:dyDescent="0.35">
      <c r="A75">
        <v>474.11200000000002</v>
      </c>
      <c r="B75">
        <v>3.02482E-6</v>
      </c>
      <c r="C75">
        <v>2.98824E-5</v>
      </c>
      <c r="D75">
        <f t="shared" si="10"/>
        <v>0.20415074983464487</v>
      </c>
      <c r="E75">
        <f t="shared" si="11"/>
        <v>12.945574901118134</v>
      </c>
      <c r="Q75">
        <f t="shared" si="8"/>
        <v>3.02482E-6</v>
      </c>
      <c r="R75">
        <f t="shared" si="9"/>
        <v>2.98824E-5</v>
      </c>
      <c r="T75">
        <f t="shared" si="12"/>
        <v>0.20415074983464487</v>
      </c>
      <c r="U75">
        <f t="shared" si="12"/>
        <v>12.945574901118134</v>
      </c>
      <c r="W75">
        <f t="shared" si="13"/>
        <v>0</v>
      </c>
      <c r="X75">
        <f t="shared" si="13"/>
        <v>0</v>
      </c>
    </row>
    <row r="76" spans="1:24" x14ac:dyDescent="0.35">
      <c r="A76">
        <v>480.45699999999999</v>
      </c>
      <c r="B76">
        <v>3.0277799999999999E-6</v>
      </c>
      <c r="C76">
        <v>2.9856799999999998E-5</v>
      </c>
      <c r="D76">
        <f t="shared" si="10"/>
        <v>0.2043505257616457</v>
      </c>
      <c r="E76">
        <f t="shared" si="11"/>
        <v>12.934484536305781</v>
      </c>
      <c r="Q76">
        <f t="shared" si="8"/>
        <v>3.0277799999999999E-6</v>
      </c>
      <c r="R76">
        <f t="shared" si="9"/>
        <v>2.9856799999999998E-5</v>
      </c>
      <c r="T76">
        <f t="shared" si="12"/>
        <v>0.2043505257616457</v>
      </c>
      <c r="U76">
        <f t="shared" si="12"/>
        <v>12.934484536305781</v>
      </c>
      <c r="W76">
        <f t="shared" si="13"/>
        <v>0</v>
      </c>
      <c r="X76">
        <f t="shared" si="13"/>
        <v>0</v>
      </c>
    </row>
    <row r="77" spans="1:24" x14ac:dyDescent="0.35">
      <c r="A77">
        <v>486.59</v>
      </c>
      <c r="B77">
        <v>3.02545E-6</v>
      </c>
      <c r="C77">
        <v>2.9857099999999999E-5</v>
      </c>
      <c r="D77">
        <f t="shared" si="10"/>
        <v>0.2041932697109998</v>
      </c>
      <c r="E77">
        <f t="shared" si="11"/>
        <v>12.934614501518427</v>
      </c>
      <c r="Q77">
        <f t="shared" si="8"/>
        <v>3.02545E-6</v>
      </c>
      <c r="R77">
        <f t="shared" si="9"/>
        <v>2.9857099999999999E-5</v>
      </c>
      <c r="T77">
        <f t="shared" si="12"/>
        <v>0.2041932697109998</v>
      </c>
      <c r="U77">
        <f t="shared" si="12"/>
        <v>12.934614501518427</v>
      </c>
      <c r="W77">
        <f t="shared" si="13"/>
        <v>0</v>
      </c>
      <c r="X77">
        <f t="shared" si="13"/>
        <v>0</v>
      </c>
    </row>
    <row r="78" spans="1:24" x14ac:dyDescent="0.35">
      <c r="A78">
        <v>492.80599999999998</v>
      </c>
      <c r="B78">
        <v>3.0248700000000001E-6</v>
      </c>
      <c r="C78">
        <v>2.98512E-5</v>
      </c>
      <c r="D78">
        <f t="shared" si="10"/>
        <v>0.2041541244280064</v>
      </c>
      <c r="E78">
        <f t="shared" si="11"/>
        <v>12.932058519003082</v>
      </c>
      <c r="Q78">
        <f t="shared" si="8"/>
        <v>3.0248700000000001E-6</v>
      </c>
      <c r="R78">
        <f t="shared" si="9"/>
        <v>2.98512E-5</v>
      </c>
      <c r="T78">
        <f t="shared" si="12"/>
        <v>0.2041541244280064</v>
      </c>
      <c r="U78">
        <f t="shared" si="12"/>
        <v>12.932058519003082</v>
      </c>
      <c r="W78">
        <f t="shared" si="13"/>
        <v>0</v>
      </c>
      <c r="X78">
        <f t="shared" si="13"/>
        <v>0</v>
      </c>
    </row>
    <row r="79" spans="1:24" x14ac:dyDescent="0.35">
      <c r="A79">
        <v>499.017</v>
      </c>
      <c r="B79">
        <v>3.0190900000000002E-6</v>
      </c>
      <c r="C79">
        <v>2.9858399999999999E-5</v>
      </c>
      <c r="D79">
        <f t="shared" si="10"/>
        <v>0.203764021435417</v>
      </c>
      <c r="E79">
        <f t="shared" si="11"/>
        <v>12.935177684106552</v>
      </c>
      <c r="Q79">
        <f t="shared" si="8"/>
        <v>3.0190900000000002E-6</v>
      </c>
      <c r="R79">
        <f t="shared" si="9"/>
        <v>2.9858399999999999E-5</v>
      </c>
      <c r="T79">
        <f t="shared" si="12"/>
        <v>0.203764021435417</v>
      </c>
      <c r="U79">
        <f t="shared" si="12"/>
        <v>12.935177684106552</v>
      </c>
      <c r="W79">
        <f t="shared" si="13"/>
        <v>0</v>
      </c>
      <c r="X79">
        <f t="shared" si="13"/>
        <v>0</v>
      </c>
    </row>
    <row r="80" spans="1:24" x14ac:dyDescent="0.35">
      <c r="A80">
        <v>505.20699999999999</v>
      </c>
      <c r="B80">
        <v>3.0170500000000002E-6</v>
      </c>
      <c r="C80">
        <v>2.98774E-5</v>
      </c>
      <c r="D80">
        <f t="shared" si="10"/>
        <v>0.20362633802626784</v>
      </c>
      <c r="E80">
        <f t="shared" si="11"/>
        <v>12.943408814240723</v>
      </c>
      <c r="Q80">
        <f t="shared" si="8"/>
        <v>3.0170500000000002E-6</v>
      </c>
      <c r="R80">
        <f t="shared" si="9"/>
        <v>2.98774E-5</v>
      </c>
      <c r="T80">
        <f t="shared" si="12"/>
        <v>0.20362633802626784</v>
      </c>
      <c r="U80">
        <f t="shared" si="12"/>
        <v>12.943408814240723</v>
      </c>
      <c r="W80">
        <f t="shared" si="13"/>
        <v>0</v>
      </c>
      <c r="X80">
        <f t="shared" si="13"/>
        <v>0</v>
      </c>
    </row>
    <row r="81" spans="1:24" x14ac:dyDescent="0.35">
      <c r="A81">
        <v>518.327</v>
      </c>
      <c r="B81">
        <v>8.04845E-4</v>
      </c>
      <c r="C81">
        <v>1.6712199999999999E-4</v>
      </c>
      <c r="D81">
        <f t="shared" si="10"/>
        <v>54.320491880728369</v>
      </c>
      <c r="E81">
        <f t="shared" si="11"/>
        <v>72.400154225385677</v>
      </c>
      <c r="Q81">
        <f t="shared" si="8"/>
        <v>8.04845E-4</v>
      </c>
      <c r="R81">
        <f t="shared" si="9"/>
        <v>1.6712199999999999E-4</v>
      </c>
      <c r="T81">
        <f t="shared" si="12"/>
        <v>54.320491880728369</v>
      </c>
      <c r="U81">
        <f t="shared" si="12"/>
        <v>72.400154225385677</v>
      </c>
      <c r="W81">
        <f t="shared" si="13"/>
        <v>0</v>
      </c>
      <c r="X81">
        <f t="shared" si="13"/>
        <v>0</v>
      </c>
    </row>
    <row r="82" spans="1:24" x14ac:dyDescent="0.35">
      <c r="A82">
        <v>524.44100000000003</v>
      </c>
      <c r="B82">
        <v>8.3063099999999997E-4</v>
      </c>
      <c r="C82">
        <v>1.6744700000000001E-4</v>
      </c>
      <c r="D82">
        <f t="shared" si="10"/>
        <v>56.060837169121115</v>
      </c>
      <c r="E82">
        <f t="shared" si="11"/>
        <v>72.540949872417499</v>
      </c>
      <c r="Q82">
        <f t="shared" si="8"/>
        <v>8.3063099999999997E-4</v>
      </c>
      <c r="R82">
        <f t="shared" si="9"/>
        <v>1.6744700000000001E-4</v>
      </c>
      <c r="T82">
        <f t="shared" si="12"/>
        <v>56.060837169121115</v>
      </c>
      <c r="U82">
        <f t="shared" si="12"/>
        <v>72.540949872417499</v>
      </c>
      <c r="W82">
        <f t="shared" si="13"/>
        <v>0</v>
      </c>
      <c r="X82">
        <f t="shared" si="13"/>
        <v>0</v>
      </c>
    </row>
    <row r="83" spans="1:24" x14ac:dyDescent="0.35">
      <c r="A83">
        <v>530.67700000000002</v>
      </c>
      <c r="B83">
        <v>8.4629599999999996E-4</v>
      </c>
      <c r="C83">
        <v>1.6688599999999999E-4</v>
      </c>
      <c r="D83">
        <f t="shared" si="10"/>
        <v>57.118097269279048</v>
      </c>
      <c r="E83">
        <f t="shared" si="11"/>
        <v>72.297914924771803</v>
      </c>
      <c r="Q83">
        <f t="shared" si="8"/>
        <v>8.4629599999999996E-4</v>
      </c>
      <c r="R83">
        <f t="shared" si="9"/>
        <v>1.6688599999999999E-4</v>
      </c>
      <c r="T83">
        <f t="shared" si="12"/>
        <v>57.118097269279048</v>
      </c>
      <c r="U83">
        <f t="shared" si="12"/>
        <v>72.297914924771803</v>
      </c>
      <c r="W83">
        <f t="shared" si="13"/>
        <v>0</v>
      </c>
      <c r="X83">
        <f t="shared" si="13"/>
        <v>0</v>
      </c>
    </row>
    <row r="84" spans="1:24" x14ac:dyDescent="0.35">
      <c r="A84">
        <v>536.91800000000001</v>
      </c>
      <c r="B84">
        <v>8.6045900000000005E-4</v>
      </c>
      <c r="C84">
        <v>1.6741999999999999E-4</v>
      </c>
      <c r="D84">
        <f t="shared" si="10"/>
        <v>58.073984584857527</v>
      </c>
      <c r="E84">
        <f t="shared" si="11"/>
        <v>72.52925300327945</v>
      </c>
      <c r="Q84">
        <f t="shared" si="8"/>
        <v>8.6045900000000005E-4</v>
      </c>
      <c r="R84">
        <f t="shared" si="9"/>
        <v>1.6741999999999999E-4</v>
      </c>
      <c r="T84">
        <f t="shared" si="12"/>
        <v>58.073984584857527</v>
      </c>
      <c r="U84">
        <f t="shared" si="12"/>
        <v>72.52925300327945</v>
      </c>
      <c r="W84">
        <f t="shared" si="13"/>
        <v>0</v>
      </c>
      <c r="X84">
        <f t="shared" si="13"/>
        <v>0</v>
      </c>
    </row>
    <row r="85" spans="1:24" x14ac:dyDescent="0.35">
      <c r="A85">
        <v>543.17700000000002</v>
      </c>
      <c r="B85">
        <v>8.7184399999999998E-4</v>
      </c>
      <c r="C85">
        <v>1.6579600000000001E-4</v>
      </c>
      <c r="D85">
        <f t="shared" si="10"/>
        <v>58.842379493271061</v>
      </c>
      <c r="E85">
        <f t="shared" si="11"/>
        <v>71.825707985495896</v>
      </c>
      <c r="Q85">
        <f t="shared" si="8"/>
        <v>8.7184399999999998E-4</v>
      </c>
      <c r="R85">
        <f t="shared" si="9"/>
        <v>1.6579600000000001E-4</v>
      </c>
      <c r="T85">
        <f t="shared" si="12"/>
        <v>58.842379493271061</v>
      </c>
      <c r="U85">
        <f t="shared" si="12"/>
        <v>71.825707985495896</v>
      </c>
      <c r="W85">
        <f t="shared" si="13"/>
        <v>0</v>
      </c>
      <c r="X85">
        <f t="shared" si="13"/>
        <v>0</v>
      </c>
    </row>
    <row r="86" spans="1:24" x14ac:dyDescent="0.35">
      <c r="A86">
        <v>549.27800000000002</v>
      </c>
      <c r="B86">
        <v>8.7839400000000001E-4</v>
      </c>
      <c r="C86">
        <v>1.6799E-4</v>
      </c>
      <c r="D86">
        <f t="shared" si="10"/>
        <v>59.284451223627556</v>
      </c>
      <c r="E86">
        <f t="shared" si="11"/>
        <v>72.776186907304478</v>
      </c>
      <c r="Q86">
        <f t="shared" si="8"/>
        <v>8.7839400000000001E-4</v>
      </c>
      <c r="R86">
        <f t="shared" si="9"/>
        <v>1.6799E-4</v>
      </c>
      <c r="T86">
        <f t="shared" si="12"/>
        <v>59.284451223627556</v>
      </c>
      <c r="U86">
        <f t="shared" si="12"/>
        <v>72.776186907304478</v>
      </c>
      <c r="W86">
        <f t="shared" si="13"/>
        <v>0</v>
      </c>
      <c r="X86">
        <f t="shared" si="13"/>
        <v>0</v>
      </c>
    </row>
    <row r="87" spans="1:24" x14ac:dyDescent="0.35">
      <c r="A87">
        <v>555.61199999999997</v>
      </c>
      <c r="B87">
        <v>8.9024799999999995E-4</v>
      </c>
      <c r="C87">
        <v>1.6779100000000001E-4</v>
      </c>
      <c r="D87">
        <f t="shared" si="10"/>
        <v>60.084499817771956</v>
      </c>
      <c r="E87">
        <f t="shared" si="11"/>
        <v>72.689976649583471</v>
      </c>
      <c r="Q87">
        <f t="shared" si="8"/>
        <v>8.9024799999999995E-4</v>
      </c>
      <c r="R87">
        <f t="shared" si="9"/>
        <v>1.6779100000000001E-4</v>
      </c>
      <c r="T87">
        <f t="shared" si="12"/>
        <v>60.084499817771956</v>
      </c>
      <c r="U87">
        <f t="shared" si="12"/>
        <v>72.689976649583471</v>
      </c>
      <c r="W87">
        <f t="shared" si="13"/>
        <v>0</v>
      </c>
      <c r="X87">
        <f t="shared" si="13"/>
        <v>0</v>
      </c>
    </row>
    <row r="88" spans="1:24" x14ac:dyDescent="0.35">
      <c r="A88">
        <v>561.73</v>
      </c>
      <c r="B88">
        <v>8.9752500000000004E-4</v>
      </c>
      <c r="C88">
        <v>1.6714E-4</v>
      </c>
      <c r="D88">
        <f t="shared" si="10"/>
        <v>60.575638135604656</v>
      </c>
      <c r="E88">
        <f t="shared" si="11"/>
        <v>72.407952138144367</v>
      </c>
      <c r="Q88">
        <f t="shared" si="8"/>
        <v>8.9752500000000004E-4</v>
      </c>
      <c r="R88">
        <f t="shared" si="9"/>
        <v>1.6714E-4</v>
      </c>
      <c r="T88">
        <f t="shared" si="12"/>
        <v>60.575638135604656</v>
      </c>
      <c r="U88">
        <f t="shared" si="12"/>
        <v>72.407952138144367</v>
      </c>
      <c r="W88">
        <f t="shared" si="13"/>
        <v>0</v>
      </c>
      <c r="X88">
        <f t="shared" si="13"/>
        <v>0</v>
      </c>
    </row>
    <row r="89" spans="1:24" x14ac:dyDescent="0.35">
      <c r="A89">
        <v>567.92600000000004</v>
      </c>
      <c r="B89">
        <v>9.0500200000000002E-4</v>
      </c>
      <c r="C89">
        <v>1.6667299999999999E-4</v>
      </c>
      <c r="D89">
        <f t="shared" si="10"/>
        <v>61.080274826883361</v>
      </c>
      <c r="E89">
        <f t="shared" si="11"/>
        <v>72.205639623794028</v>
      </c>
      <c r="Q89">
        <f t="shared" si="8"/>
        <v>9.0500200000000002E-4</v>
      </c>
      <c r="R89">
        <f t="shared" si="9"/>
        <v>1.6667299999999999E-4</v>
      </c>
      <c r="T89">
        <f t="shared" si="12"/>
        <v>61.080274826883361</v>
      </c>
      <c r="U89">
        <f t="shared" si="12"/>
        <v>72.205639623794028</v>
      </c>
      <c r="W89">
        <f t="shared" si="13"/>
        <v>0</v>
      </c>
      <c r="X89">
        <f t="shared" si="13"/>
        <v>0</v>
      </c>
    </row>
    <row r="90" spans="1:24" x14ac:dyDescent="0.35">
      <c r="A90">
        <v>574.19000000000005</v>
      </c>
      <c r="B90">
        <v>9.1212599999999997E-4</v>
      </c>
      <c r="C90">
        <v>1.6814600000000001E-4</v>
      </c>
      <c r="D90">
        <f t="shared" si="10"/>
        <v>61.561086889029873</v>
      </c>
      <c r="E90">
        <f t="shared" si="11"/>
        <v>72.843768817879749</v>
      </c>
      <c r="Q90">
        <f t="shared" si="8"/>
        <v>9.1212599999999997E-4</v>
      </c>
      <c r="R90">
        <f t="shared" si="9"/>
        <v>1.6814600000000001E-4</v>
      </c>
      <c r="T90">
        <f t="shared" si="12"/>
        <v>61.561086889029873</v>
      </c>
      <c r="U90">
        <f t="shared" si="12"/>
        <v>72.843768817879749</v>
      </c>
      <c r="W90">
        <f t="shared" si="13"/>
        <v>0</v>
      </c>
      <c r="X90">
        <f t="shared" si="13"/>
        <v>0</v>
      </c>
    </row>
    <row r="91" spans="1:24" x14ac:dyDescent="0.35">
      <c r="A91">
        <v>580.33500000000004</v>
      </c>
      <c r="B91">
        <v>9.1891499999999997E-4</v>
      </c>
      <c r="C91">
        <v>1.68343E-4</v>
      </c>
      <c r="D91">
        <f t="shared" si="10"/>
        <v>62.019289175654322</v>
      </c>
      <c r="E91">
        <f t="shared" si="11"/>
        <v>72.929112640849809</v>
      </c>
      <c r="Q91">
        <f t="shared" si="8"/>
        <v>9.1891499999999997E-4</v>
      </c>
      <c r="R91">
        <f t="shared" si="9"/>
        <v>1.68343E-4</v>
      </c>
      <c r="T91">
        <f t="shared" si="12"/>
        <v>62.019289175654322</v>
      </c>
      <c r="U91">
        <f t="shared" si="12"/>
        <v>72.929112640849809</v>
      </c>
      <c r="W91">
        <f t="shared" si="13"/>
        <v>0</v>
      </c>
      <c r="X91">
        <f t="shared" si="13"/>
        <v>0</v>
      </c>
    </row>
    <row r="92" spans="1:24" x14ac:dyDescent="0.35">
      <c r="A92">
        <v>586.61800000000005</v>
      </c>
      <c r="B92">
        <v>9.2563900000000002E-4</v>
      </c>
      <c r="C92">
        <v>1.6893100000000001E-4</v>
      </c>
      <c r="D92">
        <f t="shared" si="10"/>
        <v>62.473104490908838</v>
      </c>
      <c r="E92">
        <f t="shared" si="11"/>
        <v>73.183844457633512</v>
      </c>
      <c r="Q92">
        <f t="shared" si="8"/>
        <v>9.2563900000000002E-4</v>
      </c>
      <c r="R92">
        <f t="shared" si="9"/>
        <v>1.6893100000000001E-4</v>
      </c>
      <c r="T92">
        <f t="shared" si="12"/>
        <v>62.473104490908838</v>
      </c>
      <c r="U92">
        <f t="shared" si="12"/>
        <v>73.183844457633512</v>
      </c>
      <c r="W92">
        <f t="shared" si="13"/>
        <v>0</v>
      </c>
      <c r="X92">
        <f t="shared" si="13"/>
        <v>0</v>
      </c>
    </row>
    <row r="93" spans="1:24" x14ac:dyDescent="0.35">
      <c r="A93">
        <v>592.80999999999995</v>
      </c>
      <c r="B93">
        <v>9.3204200000000001E-4</v>
      </c>
      <c r="C93">
        <v>1.6933399999999999E-4</v>
      </c>
      <c r="D93">
        <f t="shared" si="10"/>
        <v>62.905254916782525</v>
      </c>
      <c r="E93">
        <f t="shared" si="11"/>
        <v>73.358431059952949</v>
      </c>
      <c r="Q93">
        <f t="shared" si="8"/>
        <v>9.3204200000000001E-4</v>
      </c>
      <c r="R93">
        <f t="shared" si="9"/>
        <v>1.6933399999999999E-4</v>
      </c>
      <c r="T93">
        <f t="shared" si="12"/>
        <v>62.905254916782525</v>
      </c>
      <c r="U93">
        <f t="shared" si="12"/>
        <v>73.358431059952949</v>
      </c>
      <c r="W93">
        <f t="shared" si="13"/>
        <v>0</v>
      </c>
      <c r="X93">
        <f t="shared" si="13"/>
        <v>0</v>
      </c>
    </row>
    <row r="94" spans="1:24" x14ac:dyDescent="0.35">
      <c r="A94">
        <v>598.93799999999999</v>
      </c>
      <c r="B94">
        <v>9.3791700000000003E-4</v>
      </c>
      <c r="C94">
        <v>1.7070599999999999E-4</v>
      </c>
      <c r="D94">
        <f t="shared" si="10"/>
        <v>63.301769636758763</v>
      </c>
      <c r="E94">
        <f t="shared" si="11"/>
        <v>73.952805299114928</v>
      </c>
      <c r="Q94">
        <f t="shared" si="8"/>
        <v>9.3791700000000003E-4</v>
      </c>
      <c r="R94">
        <f t="shared" si="9"/>
        <v>1.7070599999999999E-4</v>
      </c>
      <c r="T94">
        <f t="shared" si="12"/>
        <v>63.301769636758763</v>
      </c>
      <c r="U94">
        <f t="shared" si="12"/>
        <v>73.952805299114928</v>
      </c>
      <c r="W94">
        <f t="shared" si="13"/>
        <v>0</v>
      </c>
      <c r="X94">
        <f t="shared" si="13"/>
        <v>0</v>
      </c>
    </row>
    <row r="95" spans="1:24" x14ac:dyDescent="0.35">
      <c r="A95">
        <v>605.25900000000001</v>
      </c>
      <c r="B95">
        <v>9.4537600000000005E-4</v>
      </c>
      <c r="C95">
        <v>1.7126199999999999E-4</v>
      </c>
      <c r="D95">
        <f t="shared" si="10"/>
        <v>63.805191474427339</v>
      </c>
      <c r="E95">
        <f t="shared" si="11"/>
        <v>74.193674159883187</v>
      </c>
      <c r="Q95">
        <f t="shared" si="8"/>
        <v>9.4537600000000005E-4</v>
      </c>
      <c r="R95">
        <f t="shared" si="9"/>
        <v>1.7126199999999999E-4</v>
      </c>
      <c r="T95">
        <f t="shared" si="12"/>
        <v>63.805191474427339</v>
      </c>
      <c r="U95">
        <f t="shared" si="12"/>
        <v>74.193674159883187</v>
      </c>
      <c r="W95">
        <f t="shared" si="13"/>
        <v>0</v>
      </c>
      <c r="X95">
        <f t="shared" si="13"/>
        <v>0</v>
      </c>
    </row>
    <row r="96" spans="1:24" x14ac:dyDescent="0.35">
      <c r="A96">
        <v>611.42399999999998</v>
      </c>
      <c r="B96">
        <v>9.5145799999999997E-4</v>
      </c>
      <c r="C96">
        <v>1.7147399999999999E-4</v>
      </c>
      <c r="D96">
        <f t="shared" si="10"/>
        <v>64.215677010920174</v>
      </c>
      <c r="E96">
        <f t="shared" si="11"/>
        <v>74.285516243485489</v>
      </c>
      <c r="Q96">
        <f t="shared" si="8"/>
        <v>9.5145799999999997E-4</v>
      </c>
      <c r="R96">
        <f t="shared" si="9"/>
        <v>1.7147399999999999E-4</v>
      </c>
      <c r="T96">
        <f t="shared" si="12"/>
        <v>64.215677010920174</v>
      </c>
      <c r="U96">
        <f t="shared" si="12"/>
        <v>74.285516243485489</v>
      </c>
      <c r="W96">
        <f t="shared" si="13"/>
        <v>0</v>
      </c>
      <c r="X96">
        <f t="shared" si="13"/>
        <v>0</v>
      </c>
    </row>
    <row r="97" spans="1:24" x14ac:dyDescent="0.35">
      <c r="A97">
        <v>617.57000000000005</v>
      </c>
      <c r="B97">
        <v>9.5789099999999999E-4</v>
      </c>
      <c r="C97">
        <v>1.7291E-4</v>
      </c>
      <c r="D97">
        <f t="shared" si="10"/>
        <v>64.649852192810769</v>
      </c>
      <c r="E97">
        <f t="shared" si="11"/>
        <v>74.907616394678357</v>
      </c>
      <c r="Q97">
        <f t="shared" si="8"/>
        <v>9.5789099999999999E-4</v>
      </c>
      <c r="R97">
        <f t="shared" si="9"/>
        <v>1.7291E-4</v>
      </c>
      <c r="T97">
        <f t="shared" si="12"/>
        <v>64.649852192810769</v>
      </c>
      <c r="U97">
        <f t="shared" si="12"/>
        <v>74.907616394678357</v>
      </c>
      <c r="W97">
        <f t="shared" si="13"/>
        <v>0</v>
      </c>
      <c r="X97">
        <f t="shared" si="13"/>
        <v>0</v>
      </c>
    </row>
    <row r="98" spans="1:24" x14ac:dyDescent="0.35">
      <c r="A98">
        <v>623.89099999999996</v>
      </c>
      <c r="B98">
        <v>9.6438399999999999E-4</v>
      </c>
      <c r="C98">
        <v>1.7248E-4</v>
      </c>
      <c r="D98">
        <f t="shared" si="10"/>
        <v>65.088076886735152</v>
      </c>
      <c r="E98">
        <f t="shared" si="11"/>
        <v>74.721332923220885</v>
      </c>
      <c r="Q98">
        <f t="shared" si="8"/>
        <v>9.6438399999999999E-4</v>
      </c>
      <c r="R98">
        <f t="shared" si="9"/>
        <v>1.7248E-4</v>
      </c>
      <c r="T98">
        <f t="shared" si="12"/>
        <v>65.088076886735152</v>
      </c>
      <c r="U98">
        <f t="shared" si="12"/>
        <v>74.721332923220885</v>
      </c>
      <c r="W98">
        <f t="shared" si="13"/>
        <v>0</v>
      </c>
      <c r="X98">
        <f t="shared" si="13"/>
        <v>0</v>
      </c>
    </row>
    <row r="99" spans="1:24" x14ac:dyDescent="0.35">
      <c r="A99">
        <v>630.03800000000001</v>
      </c>
      <c r="B99">
        <v>9.7015999999999997E-4</v>
      </c>
      <c r="C99">
        <v>1.7479999999999999E-4</v>
      </c>
      <c r="D99">
        <f t="shared" si="10"/>
        <v>65.477909911855619</v>
      </c>
      <c r="E99">
        <f t="shared" si="11"/>
        <v>75.726397234340268</v>
      </c>
      <c r="Q99">
        <f t="shared" ref="Q99:Q109" si="14">AVERAGE(B99,G99,L99)</f>
        <v>9.7015999999999997E-4</v>
      </c>
      <c r="R99">
        <f t="shared" ref="R99:R109" si="15">AVERAGE(C99,H99,M99)</f>
        <v>1.7479999999999999E-4</v>
      </c>
      <c r="T99">
        <f t="shared" si="12"/>
        <v>65.477909911855619</v>
      </c>
      <c r="U99">
        <f t="shared" si="12"/>
        <v>75.726397234340268</v>
      </c>
      <c r="W99">
        <f t="shared" si="13"/>
        <v>0</v>
      </c>
      <c r="X99">
        <f t="shared" si="13"/>
        <v>0</v>
      </c>
    </row>
    <row r="100" spans="1:24" x14ac:dyDescent="0.35">
      <c r="A100">
        <v>636.29200000000003</v>
      </c>
      <c r="B100">
        <v>9.7703799999999995E-4</v>
      </c>
      <c r="C100">
        <v>1.7520799999999999E-4</v>
      </c>
      <c r="D100">
        <f t="shared" si="10"/>
        <v>65.942118974663543</v>
      </c>
      <c r="E100">
        <f t="shared" si="11"/>
        <v>75.903149923537129</v>
      </c>
      <c r="Q100">
        <f t="shared" si="14"/>
        <v>9.7703799999999995E-4</v>
      </c>
      <c r="R100">
        <f t="shared" si="15"/>
        <v>1.7520799999999999E-4</v>
      </c>
      <c r="T100">
        <f t="shared" si="12"/>
        <v>65.942118974663543</v>
      </c>
      <c r="U100">
        <f t="shared" si="12"/>
        <v>75.903149923537129</v>
      </c>
      <c r="W100">
        <f t="shared" si="13"/>
        <v>0</v>
      </c>
      <c r="X100">
        <f t="shared" si="13"/>
        <v>0</v>
      </c>
    </row>
    <row r="101" spans="1:24" x14ac:dyDescent="0.35">
      <c r="A101">
        <v>642.43200000000002</v>
      </c>
      <c r="B101">
        <v>9.8314400000000003E-4</v>
      </c>
      <c r="C101">
        <v>1.7634500000000001E-4</v>
      </c>
      <c r="D101">
        <f t="shared" si="10"/>
        <v>66.35422431596993</v>
      </c>
      <c r="E101">
        <f t="shared" si="11"/>
        <v>76.395718079460735</v>
      </c>
      <c r="Q101">
        <f t="shared" si="14"/>
        <v>9.8314400000000003E-4</v>
      </c>
      <c r="R101">
        <f t="shared" si="15"/>
        <v>1.7634500000000001E-4</v>
      </c>
      <c r="T101">
        <f t="shared" si="12"/>
        <v>66.35422431596993</v>
      </c>
      <c r="U101">
        <f t="shared" si="12"/>
        <v>76.395718079460735</v>
      </c>
      <c r="W101">
        <f t="shared" si="13"/>
        <v>0</v>
      </c>
      <c r="X101">
        <f t="shared" si="13"/>
        <v>0</v>
      </c>
    </row>
    <row r="102" spans="1:24" x14ac:dyDescent="0.35">
      <c r="A102">
        <v>648.59</v>
      </c>
      <c r="B102">
        <v>9.8994899999999995E-4</v>
      </c>
      <c r="C102">
        <v>1.7641E-4</v>
      </c>
      <c r="D102">
        <f t="shared" si="10"/>
        <v>66.813506472470067</v>
      </c>
      <c r="E102">
        <f t="shared" si="11"/>
        <v>76.423877208867097</v>
      </c>
      <c r="Q102">
        <f t="shared" si="14"/>
        <v>9.8994899999999995E-4</v>
      </c>
      <c r="R102">
        <f t="shared" si="15"/>
        <v>1.7641E-4</v>
      </c>
      <c r="T102">
        <f t="shared" si="12"/>
        <v>66.813506472470067</v>
      </c>
      <c r="U102">
        <f t="shared" si="12"/>
        <v>76.423877208867097</v>
      </c>
      <c r="W102">
        <f t="shared" si="13"/>
        <v>0</v>
      </c>
      <c r="X102">
        <f t="shared" si="13"/>
        <v>0</v>
      </c>
    </row>
    <row r="103" spans="1:24" x14ac:dyDescent="0.35">
      <c r="A103">
        <v>654.86</v>
      </c>
      <c r="B103">
        <v>9.9695199999999995E-4</v>
      </c>
      <c r="C103">
        <v>1.7836600000000001E-4</v>
      </c>
      <c r="D103">
        <f t="shared" si="10"/>
        <v>67.286152018681747</v>
      </c>
      <c r="E103">
        <f t="shared" si="11"/>
        <v>77.271250395310858</v>
      </c>
      <c r="Q103">
        <f t="shared" si="14"/>
        <v>9.9695199999999995E-4</v>
      </c>
      <c r="R103">
        <f t="shared" si="15"/>
        <v>1.7836600000000001E-4</v>
      </c>
      <c r="T103">
        <f t="shared" si="12"/>
        <v>67.286152018681747</v>
      </c>
      <c r="U103">
        <f t="shared" si="12"/>
        <v>77.271250395310858</v>
      </c>
      <c r="W103">
        <f t="shared" si="13"/>
        <v>0</v>
      </c>
      <c r="X103">
        <f t="shared" si="13"/>
        <v>0</v>
      </c>
    </row>
    <row r="104" spans="1:24" x14ac:dyDescent="0.35">
      <c r="A104">
        <v>661.11800000000005</v>
      </c>
      <c r="B104">
        <v>1.00366E-3</v>
      </c>
      <c r="C104">
        <v>1.7899100000000001E-4</v>
      </c>
      <c r="D104">
        <f t="shared" si="10"/>
        <v>67.738887464060568</v>
      </c>
      <c r="E104">
        <f t="shared" si="11"/>
        <v>77.542011254987415</v>
      </c>
      <c r="Q104">
        <f t="shared" si="14"/>
        <v>1.00366E-3</v>
      </c>
      <c r="R104">
        <f t="shared" si="15"/>
        <v>1.7899100000000001E-4</v>
      </c>
      <c r="T104">
        <f t="shared" si="12"/>
        <v>67.738887464060568</v>
      </c>
      <c r="U104">
        <f t="shared" si="12"/>
        <v>77.542011254987415</v>
      </c>
      <c r="W104">
        <f t="shared" si="13"/>
        <v>0</v>
      </c>
      <c r="X104">
        <f t="shared" si="13"/>
        <v>0</v>
      </c>
    </row>
    <row r="105" spans="1:24" x14ac:dyDescent="0.35">
      <c r="A105">
        <v>667.221</v>
      </c>
      <c r="B105">
        <v>1.0100300000000001E-3</v>
      </c>
      <c r="C105">
        <v>1.78961E-4</v>
      </c>
      <c r="D105">
        <f t="shared" si="10"/>
        <v>68.168810658315664</v>
      </c>
      <c r="E105">
        <f t="shared" si="11"/>
        <v>77.529014733722931</v>
      </c>
      <c r="Q105">
        <f t="shared" si="14"/>
        <v>1.0100300000000001E-3</v>
      </c>
      <c r="R105">
        <f t="shared" si="15"/>
        <v>1.78961E-4</v>
      </c>
      <c r="T105">
        <f t="shared" si="12"/>
        <v>68.168810658315664</v>
      </c>
      <c r="U105">
        <f t="shared" si="12"/>
        <v>77.529014733722931</v>
      </c>
      <c r="W105">
        <f t="shared" si="13"/>
        <v>0</v>
      </c>
      <c r="X105">
        <f t="shared" si="13"/>
        <v>0</v>
      </c>
    </row>
    <row r="106" spans="1:24" x14ac:dyDescent="0.35">
      <c r="A106">
        <v>673.51599999999996</v>
      </c>
      <c r="B106">
        <v>1.0160799999999999E-3</v>
      </c>
      <c r="C106">
        <v>1.8264400000000001E-4</v>
      </c>
      <c r="D106">
        <f t="shared" si="10"/>
        <v>68.577136455057158</v>
      </c>
      <c r="E106">
        <f t="shared" si="11"/>
        <v>79.124554327624978</v>
      </c>
      <c r="Q106">
        <f t="shared" si="14"/>
        <v>1.0160799999999999E-3</v>
      </c>
      <c r="R106">
        <f t="shared" si="15"/>
        <v>1.8264400000000001E-4</v>
      </c>
      <c r="T106">
        <f t="shared" si="12"/>
        <v>68.577136455057158</v>
      </c>
      <c r="U106">
        <f t="shared" si="12"/>
        <v>79.124554327624978</v>
      </c>
      <c r="W106">
        <f t="shared" si="13"/>
        <v>0</v>
      </c>
      <c r="X106">
        <f t="shared" si="13"/>
        <v>0</v>
      </c>
    </row>
    <row r="107" spans="1:24" x14ac:dyDescent="0.35">
      <c r="A107">
        <v>679.74</v>
      </c>
      <c r="B107">
        <v>1.0233099999999999E-3</v>
      </c>
      <c r="C107">
        <v>1.8208699999999999E-4</v>
      </c>
      <c r="D107">
        <f t="shared" si="10"/>
        <v>69.065102655130048</v>
      </c>
      <c r="E107">
        <f t="shared" si="11"/>
        <v>78.883252249481217</v>
      </c>
      <c r="Q107">
        <f t="shared" si="14"/>
        <v>1.0233099999999999E-3</v>
      </c>
      <c r="R107">
        <f t="shared" si="15"/>
        <v>1.8208699999999999E-4</v>
      </c>
      <c r="T107">
        <f t="shared" si="12"/>
        <v>69.065102655130048</v>
      </c>
      <c r="U107">
        <f t="shared" si="12"/>
        <v>78.883252249481217</v>
      </c>
      <c r="W107">
        <f t="shared" si="13"/>
        <v>0</v>
      </c>
      <c r="X107">
        <f t="shared" si="13"/>
        <v>0</v>
      </c>
    </row>
    <row r="108" spans="1:24" x14ac:dyDescent="0.35">
      <c r="A108">
        <v>685.89499999999998</v>
      </c>
      <c r="B108">
        <v>1.0314199999999999E-3</v>
      </c>
      <c r="C108">
        <v>1.8317999999999999E-4</v>
      </c>
      <c r="D108">
        <f t="shared" si="10"/>
        <v>69.612461698365337</v>
      </c>
      <c r="E108">
        <f t="shared" si="11"/>
        <v>79.356758840883586</v>
      </c>
      <c r="Q108">
        <f t="shared" si="14"/>
        <v>1.0314199999999999E-3</v>
      </c>
      <c r="R108">
        <f t="shared" si="15"/>
        <v>1.8317999999999999E-4</v>
      </c>
      <c r="T108">
        <f t="shared" si="12"/>
        <v>69.612461698365337</v>
      </c>
      <c r="U108">
        <f t="shared" si="12"/>
        <v>79.356758840883586</v>
      </c>
      <c r="W108">
        <f t="shared" si="13"/>
        <v>0</v>
      </c>
      <c r="X108">
        <f t="shared" si="13"/>
        <v>0</v>
      </c>
    </row>
    <row r="109" spans="1:24" x14ac:dyDescent="0.35">
      <c r="A109">
        <v>692.197</v>
      </c>
      <c r="B109">
        <v>1.03611E-3</v>
      </c>
      <c r="C109">
        <v>1.8312600000000001E-4</v>
      </c>
      <c r="D109">
        <f t="shared" si="10"/>
        <v>69.928998555674042</v>
      </c>
      <c r="E109">
        <f t="shared" si="11"/>
        <v>79.33336510260753</v>
      </c>
      <c r="Q109">
        <f t="shared" si="14"/>
        <v>1.03611E-3</v>
      </c>
      <c r="R109">
        <f t="shared" si="15"/>
        <v>1.8312600000000001E-4</v>
      </c>
      <c r="T109">
        <f t="shared" si="12"/>
        <v>69.928998555674042</v>
      </c>
      <c r="U109">
        <f t="shared" si="12"/>
        <v>79.33336510260753</v>
      </c>
      <c r="W109">
        <f t="shared" si="13"/>
        <v>0</v>
      </c>
      <c r="X109">
        <f t="shared" si="13"/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4241-225D-45F4-A886-D42BCDF4A09B}">
  <dimension ref="A1:X109"/>
  <sheetViews>
    <sheetView tabSelected="1" workbookViewId="0">
      <selection activeCell="Y4" sqref="Y4"/>
    </sheetView>
  </sheetViews>
  <sheetFormatPr defaultColWidth="8.81640625" defaultRowHeight="14.5" x14ac:dyDescent="0.35"/>
  <cols>
    <col min="1" max="1" width="9.453125" bestFit="1" customWidth="1"/>
    <col min="4" max="5" width="12.453125" customWidth="1"/>
    <col min="9" max="10" width="12.453125" customWidth="1"/>
    <col min="14" max="15" width="12.453125" customWidth="1"/>
    <col min="16" max="16" width="8.81640625" style="1"/>
    <col min="17" max="18" width="11.81640625" bestFit="1" customWidth="1"/>
    <col min="20" max="21" width="11.81640625" bestFit="1" customWidth="1"/>
    <col min="23" max="24" width="9.453125" bestFit="1" customWidth="1"/>
  </cols>
  <sheetData>
    <row r="1" spans="1:24" ht="29" x14ac:dyDescent="0.35">
      <c r="A1" s="2" t="s">
        <v>5</v>
      </c>
      <c r="B1" s="2" t="s">
        <v>0</v>
      </c>
      <c r="C1" s="2" t="s">
        <v>1</v>
      </c>
      <c r="D1" t="s">
        <v>70</v>
      </c>
      <c r="E1" t="s">
        <v>71</v>
      </c>
      <c r="G1" s="2" t="s">
        <v>0</v>
      </c>
      <c r="H1" s="2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s="2" t="s">
        <v>6</v>
      </c>
      <c r="B2" s="2" t="s">
        <v>2</v>
      </c>
      <c r="C2" s="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 s="3">
        <v>6.1608999999999998</v>
      </c>
      <c r="B3" s="7">
        <v>7.7557799999999997E-4</v>
      </c>
      <c r="C3" s="7">
        <v>1.8880599999999999E-4</v>
      </c>
      <c r="D3">
        <f>B3/$B$3*100</f>
        <v>100</v>
      </c>
      <c r="E3">
        <f>C3/$C$3*100</f>
        <v>100</v>
      </c>
      <c r="G3" s="7">
        <v>6.9233100000000002E-4</v>
      </c>
      <c r="H3" s="7">
        <v>1.6295799999999999E-4</v>
      </c>
      <c r="I3" s="6">
        <f>G3/$G$3*100</f>
        <v>100</v>
      </c>
      <c r="J3" s="6">
        <f>H3/$H$3*100</f>
        <v>100</v>
      </c>
      <c r="L3" s="7">
        <v>1.13937E-3</v>
      </c>
      <c r="M3" s="7">
        <v>1.96376E-4</v>
      </c>
      <c r="N3" s="6">
        <f>L3/$L$3*100</f>
        <v>100</v>
      </c>
      <c r="O3" s="6">
        <f>M3/$M$3*100</f>
        <v>100</v>
      </c>
      <c r="Q3">
        <f t="shared" ref="Q3:Q66" si="0">AVERAGE(B3,G3,L3)</f>
        <v>8.6909299999999993E-4</v>
      </c>
      <c r="R3">
        <f t="shared" ref="R3:R66" si="1">AVERAGE(C3,H3,M3)</f>
        <v>1.827133333333333E-4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 s="3">
        <v>12.3779</v>
      </c>
      <c r="B4" s="7">
        <v>7.9058000000000004E-4</v>
      </c>
      <c r="C4" s="7">
        <v>1.8767799999999999E-4</v>
      </c>
      <c r="D4">
        <f t="shared" ref="D4:D67" si="2">B4/$B$3*100</f>
        <v>101.93429932256977</v>
      </c>
      <c r="E4">
        <f t="shared" ref="E4:E67" si="3">C4/$C$3*100</f>
        <v>99.402561359278835</v>
      </c>
      <c r="G4" s="7">
        <v>7.1278400000000005E-4</v>
      </c>
      <c r="H4" s="7">
        <v>1.6596199999999999E-4</v>
      </c>
      <c r="I4" s="6">
        <f t="shared" ref="I4:I67" si="4">G4/$G$3*100</f>
        <v>102.9542227633892</v>
      </c>
      <c r="J4" s="6">
        <f t="shared" ref="J4:J67" si="5">H4/$H$3*100</f>
        <v>101.84341977687504</v>
      </c>
      <c r="L4" s="7">
        <v>1.1587699999999999E-3</v>
      </c>
      <c r="M4" s="7">
        <v>1.9643899999999999E-4</v>
      </c>
      <c r="N4" s="6">
        <f t="shared" ref="N4:N67" si="6">L4/$L$3*100</f>
        <v>101.7026953491842</v>
      </c>
      <c r="O4" s="6">
        <f t="shared" ref="O4:O67" si="7">M4/$M$3*100</f>
        <v>100.03208131339878</v>
      </c>
      <c r="Q4">
        <f t="shared" si="0"/>
        <v>8.8737799999999997E-4</v>
      </c>
      <c r="R4">
        <f t="shared" si="1"/>
        <v>1.8335966666666666E-4</v>
      </c>
      <c r="T4">
        <f t="shared" ref="T4:T67" si="8">AVERAGE(D4,I4,N4)</f>
        <v>102.19707247838106</v>
      </c>
      <c r="U4">
        <f t="shared" ref="U4:U67" si="9">AVERAGE(E4,J4,O4)</f>
        <v>100.42602081651755</v>
      </c>
      <c r="W4">
        <f t="shared" ref="W4:W67" si="10">_xlfn.STDEV.P(D4,I4,N4)</f>
        <v>0.54367117248567909</v>
      </c>
      <c r="X4">
        <f t="shared" ref="X4:X67" si="11">_xlfn.STDEV.P(E4,J4,O4)</f>
        <v>1.0346782761727304</v>
      </c>
    </row>
    <row r="5" spans="1:24" x14ac:dyDescent="0.35">
      <c r="A5" s="3">
        <v>18.584199999999999</v>
      </c>
      <c r="B5" s="7">
        <v>8.0926399999999997E-4</v>
      </c>
      <c r="C5" s="7">
        <v>1.87216E-4</v>
      </c>
      <c r="D5">
        <f t="shared" si="2"/>
        <v>104.34334135315855</v>
      </c>
      <c r="E5">
        <f t="shared" si="3"/>
        <v>99.15786574579198</v>
      </c>
      <c r="G5" s="7">
        <v>7.3182E-4</v>
      </c>
      <c r="H5" s="7">
        <v>1.69586E-4</v>
      </c>
      <c r="I5" s="6">
        <f t="shared" si="4"/>
        <v>105.70377463958714</v>
      </c>
      <c r="J5" s="6">
        <f t="shared" si="5"/>
        <v>104.06730568612772</v>
      </c>
      <c r="L5" s="7">
        <v>1.1747699999999999E-3</v>
      </c>
      <c r="M5" s="7">
        <v>1.9943200000000001E-4</v>
      </c>
      <c r="N5" s="6">
        <f t="shared" si="6"/>
        <v>103.10698017325363</v>
      </c>
      <c r="O5" s="6">
        <f t="shared" si="7"/>
        <v>101.55619831343952</v>
      </c>
      <c r="Q5">
        <f t="shared" si="0"/>
        <v>9.0528466666666655E-4</v>
      </c>
      <c r="R5">
        <f t="shared" si="1"/>
        <v>1.8541133333333337E-4</v>
      </c>
      <c r="T5">
        <f t="shared" si="8"/>
        <v>104.38469872199977</v>
      </c>
      <c r="U5">
        <f t="shared" si="9"/>
        <v>101.59378991511976</v>
      </c>
      <c r="W5">
        <f t="shared" si="10"/>
        <v>1.060540176533695</v>
      </c>
      <c r="X5">
        <f t="shared" si="11"/>
        <v>2.0044467197256908</v>
      </c>
    </row>
    <row r="6" spans="1:24" x14ac:dyDescent="0.35">
      <c r="A6" s="3">
        <v>24.814599999999999</v>
      </c>
      <c r="B6" s="7">
        <v>8.2186E-4</v>
      </c>
      <c r="C6" s="7">
        <v>1.9059799999999999E-4</v>
      </c>
      <c r="D6">
        <f t="shared" si="2"/>
        <v>105.96742042708793</v>
      </c>
      <c r="E6">
        <f t="shared" si="3"/>
        <v>100.9491223795854</v>
      </c>
      <c r="G6" s="7">
        <v>7.5295699999999995E-4</v>
      </c>
      <c r="H6" s="7">
        <v>1.6829E-4</v>
      </c>
      <c r="I6" s="6">
        <f t="shared" si="4"/>
        <v>108.75679407682162</v>
      </c>
      <c r="J6" s="6">
        <f t="shared" si="5"/>
        <v>103.27200873844795</v>
      </c>
      <c r="L6" s="7">
        <v>1.1983899999999999E-3</v>
      </c>
      <c r="M6" s="7">
        <v>2.00621E-4</v>
      </c>
      <c r="N6" s="6">
        <f t="shared" si="6"/>
        <v>105.18005564478614</v>
      </c>
      <c r="O6" s="6">
        <f t="shared" si="7"/>
        <v>102.16166945044201</v>
      </c>
      <c r="Q6">
        <f t="shared" si="0"/>
        <v>9.2440233333333322E-4</v>
      </c>
      <c r="R6">
        <f t="shared" si="1"/>
        <v>1.86503E-4</v>
      </c>
      <c r="T6">
        <f t="shared" si="8"/>
        <v>106.63475671623189</v>
      </c>
      <c r="U6">
        <f t="shared" si="9"/>
        <v>102.12760018949179</v>
      </c>
      <c r="W6">
        <f t="shared" si="10"/>
        <v>1.534550475960575</v>
      </c>
      <c r="X6">
        <f t="shared" si="11"/>
        <v>0.94862032972582377</v>
      </c>
    </row>
    <row r="7" spans="1:24" x14ac:dyDescent="0.35">
      <c r="A7" s="3">
        <v>30.955500000000001</v>
      </c>
      <c r="B7" s="7">
        <v>8.3539200000000001E-4</v>
      </c>
      <c r="C7" s="7">
        <v>1.92172E-4</v>
      </c>
      <c r="D7">
        <f t="shared" si="2"/>
        <v>107.71218368752081</v>
      </c>
      <c r="E7">
        <f t="shared" si="3"/>
        <v>101.78278232683284</v>
      </c>
      <c r="G7" s="7">
        <v>7.7565999999999996E-4</v>
      </c>
      <c r="H7" s="7">
        <v>1.74866E-4</v>
      </c>
      <c r="I7" s="6">
        <f t="shared" si="4"/>
        <v>112.03600589891249</v>
      </c>
      <c r="J7" s="6">
        <f t="shared" si="5"/>
        <v>107.30740436186012</v>
      </c>
      <c r="L7" s="7">
        <v>1.21623E-3</v>
      </c>
      <c r="M7" s="7">
        <v>2.0504900000000001E-4</v>
      </c>
      <c r="N7" s="6">
        <f t="shared" si="6"/>
        <v>106.74583322362359</v>
      </c>
      <c r="O7" s="6">
        <f t="shared" si="7"/>
        <v>104.41652747789954</v>
      </c>
      <c r="Q7">
        <f t="shared" si="0"/>
        <v>9.4242733333333329E-4</v>
      </c>
      <c r="R7">
        <f t="shared" si="1"/>
        <v>1.9069566666666667E-4</v>
      </c>
      <c r="T7">
        <f t="shared" si="8"/>
        <v>108.83134093668563</v>
      </c>
      <c r="U7">
        <f t="shared" si="9"/>
        <v>104.50223805553082</v>
      </c>
      <c r="W7">
        <f t="shared" si="10"/>
        <v>2.3001255682914303</v>
      </c>
      <c r="X7">
        <f t="shared" si="11"/>
        <v>2.2562316495749655</v>
      </c>
    </row>
    <row r="8" spans="1:24" x14ac:dyDescent="0.35">
      <c r="A8" s="3">
        <v>37.193899999999999</v>
      </c>
      <c r="B8" s="7">
        <v>8.5028999999999997E-4</v>
      </c>
      <c r="C8" s="7">
        <v>1.93931E-4</v>
      </c>
      <c r="D8">
        <f t="shared" si="2"/>
        <v>109.63307365603458</v>
      </c>
      <c r="E8">
        <f t="shared" si="3"/>
        <v>102.71442644831204</v>
      </c>
      <c r="G8" s="7">
        <v>7.9360599999999998E-4</v>
      </c>
      <c r="H8" s="7">
        <v>1.7909600000000001E-4</v>
      </c>
      <c r="I8" s="6">
        <f t="shared" si="4"/>
        <v>114.62811863111719</v>
      </c>
      <c r="J8" s="6">
        <f t="shared" si="5"/>
        <v>109.90316523275938</v>
      </c>
      <c r="L8" s="7">
        <v>1.2322100000000001E-3</v>
      </c>
      <c r="M8" s="7">
        <v>2.0470500000000001E-4</v>
      </c>
      <c r="N8" s="6">
        <f t="shared" si="6"/>
        <v>108.14836269166295</v>
      </c>
      <c r="O8" s="6">
        <f t="shared" si="7"/>
        <v>104.24135332219824</v>
      </c>
      <c r="Q8">
        <f t="shared" si="0"/>
        <v>9.5870199999999997E-4</v>
      </c>
      <c r="R8">
        <f t="shared" si="1"/>
        <v>1.9257733333333336E-4</v>
      </c>
      <c r="T8">
        <f t="shared" si="8"/>
        <v>110.80318499293826</v>
      </c>
      <c r="U8">
        <f t="shared" si="9"/>
        <v>105.61964833442322</v>
      </c>
      <c r="W8">
        <f t="shared" si="10"/>
        <v>2.7717238515992131</v>
      </c>
      <c r="X8">
        <f t="shared" si="11"/>
        <v>3.0923846443909642</v>
      </c>
    </row>
    <row r="9" spans="1:24" x14ac:dyDescent="0.35">
      <c r="A9" s="3">
        <v>43.328000000000003</v>
      </c>
      <c r="B9" s="7">
        <v>8.6897899999999998E-4</v>
      </c>
      <c r="C9" s="7">
        <v>1.9551700000000001E-4</v>
      </c>
      <c r="D9">
        <f t="shared" si="2"/>
        <v>112.04276036710685</v>
      </c>
      <c r="E9">
        <f t="shared" si="3"/>
        <v>103.55444212577991</v>
      </c>
      <c r="G9" s="7">
        <v>8.1747500000000002E-4</v>
      </c>
      <c r="H9" s="7">
        <v>1.8073699999999999E-4</v>
      </c>
      <c r="I9" s="6">
        <f t="shared" si="4"/>
        <v>118.07574700540637</v>
      </c>
      <c r="J9" s="6">
        <f t="shared" si="5"/>
        <v>110.91017317345573</v>
      </c>
      <c r="L9" s="7">
        <v>1.24592E-3</v>
      </c>
      <c r="M9" s="7">
        <v>2.0666200000000001E-4</v>
      </c>
      <c r="N9" s="6">
        <f t="shared" si="6"/>
        <v>109.35165925028743</v>
      </c>
      <c r="O9" s="6">
        <f t="shared" si="7"/>
        <v>105.23791094634782</v>
      </c>
      <c r="Q9">
        <f t="shared" si="0"/>
        <v>9.7745799999999984E-4</v>
      </c>
      <c r="R9">
        <f t="shared" si="1"/>
        <v>1.9430533333333335E-4</v>
      </c>
      <c r="T9">
        <f t="shared" si="8"/>
        <v>113.15672220760023</v>
      </c>
      <c r="U9">
        <f t="shared" si="9"/>
        <v>106.56750874852783</v>
      </c>
      <c r="W9">
        <f t="shared" si="10"/>
        <v>3.6476576983328717</v>
      </c>
      <c r="X9">
        <f t="shared" si="11"/>
        <v>3.1466985395391691</v>
      </c>
    </row>
    <row r="10" spans="1:24" x14ac:dyDescent="0.35">
      <c r="A10" s="3">
        <v>49.5092</v>
      </c>
      <c r="B10" s="7">
        <v>8.8430400000000004E-4</v>
      </c>
      <c r="C10" s="7">
        <v>1.97553E-4</v>
      </c>
      <c r="D10">
        <f t="shared" si="2"/>
        <v>114.01870604890804</v>
      </c>
      <c r="E10">
        <f t="shared" si="3"/>
        <v>104.63279768651421</v>
      </c>
      <c r="G10" s="7">
        <v>8.4311200000000003E-4</v>
      </c>
      <c r="H10" s="7">
        <v>1.85434E-4</v>
      </c>
      <c r="I10" s="6">
        <f t="shared" si="4"/>
        <v>121.77874456004425</v>
      </c>
      <c r="J10" s="6">
        <f t="shared" si="5"/>
        <v>113.79251095374268</v>
      </c>
      <c r="L10" s="7">
        <v>1.2621399999999999E-3</v>
      </c>
      <c r="M10" s="7">
        <v>2.0910300000000001E-4</v>
      </c>
      <c r="N10" s="6">
        <f t="shared" si="6"/>
        <v>110.77525299068782</v>
      </c>
      <c r="O10" s="6">
        <f t="shared" si="7"/>
        <v>106.48093453375158</v>
      </c>
      <c r="Q10">
        <f t="shared" si="0"/>
        <v>9.9651866666666659E-4</v>
      </c>
      <c r="R10">
        <f t="shared" si="1"/>
        <v>1.9736333333333333E-4</v>
      </c>
      <c r="T10">
        <f t="shared" si="8"/>
        <v>115.52423453321337</v>
      </c>
      <c r="U10">
        <f t="shared" si="9"/>
        <v>108.30208105800283</v>
      </c>
      <c r="W10">
        <f t="shared" si="10"/>
        <v>4.6165765593143089</v>
      </c>
      <c r="X10">
        <f t="shared" si="11"/>
        <v>3.9549561971071685</v>
      </c>
    </row>
    <row r="11" spans="1:24" x14ac:dyDescent="0.35">
      <c r="A11" s="3">
        <v>55.8187</v>
      </c>
      <c r="B11" s="7">
        <v>8.9763099999999997E-4</v>
      </c>
      <c r="C11" s="7">
        <v>1.9856999999999999E-4</v>
      </c>
      <c r="D11">
        <f t="shared" si="2"/>
        <v>115.7370374095191</v>
      </c>
      <c r="E11">
        <f t="shared" si="3"/>
        <v>105.17144582269631</v>
      </c>
      <c r="G11" s="7">
        <v>8.6681699999999998E-4</v>
      </c>
      <c r="H11" s="7">
        <v>1.8889800000000001E-4</v>
      </c>
      <c r="I11" s="6">
        <f t="shared" si="4"/>
        <v>125.20268484294361</v>
      </c>
      <c r="J11" s="6">
        <f t="shared" si="5"/>
        <v>115.91821205463985</v>
      </c>
      <c r="L11" s="7">
        <v>1.2787E-3</v>
      </c>
      <c r="M11" s="7">
        <v>2.14203E-4</v>
      </c>
      <c r="N11" s="6">
        <f t="shared" si="6"/>
        <v>112.22868778359971</v>
      </c>
      <c r="O11" s="6">
        <f t="shared" si="7"/>
        <v>109.07799323746281</v>
      </c>
      <c r="Q11">
        <f t="shared" si="0"/>
        <v>1.0143826666666666E-3</v>
      </c>
      <c r="R11">
        <f t="shared" si="1"/>
        <v>2.00557E-4</v>
      </c>
      <c r="T11">
        <f t="shared" si="8"/>
        <v>117.72280334535414</v>
      </c>
      <c r="U11">
        <f t="shared" si="9"/>
        <v>110.05588370493298</v>
      </c>
      <c r="W11">
        <f t="shared" si="10"/>
        <v>5.4795741737175252</v>
      </c>
      <c r="X11">
        <f t="shared" si="11"/>
        <v>4.4415048827912127</v>
      </c>
    </row>
    <row r="12" spans="1:24" x14ac:dyDescent="0.35">
      <c r="A12" s="3">
        <v>61.948399999999999</v>
      </c>
      <c r="B12" s="7">
        <v>9.17967E-4</v>
      </c>
      <c r="C12" s="7">
        <v>2.0174200000000001E-4</v>
      </c>
      <c r="D12">
        <f t="shared" si="2"/>
        <v>118.35908187184268</v>
      </c>
      <c r="E12">
        <f t="shared" si="3"/>
        <v>106.85147717763208</v>
      </c>
      <c r="G12" s="7">
        <v>8.8382599999999999E-4</v>
      </c>
      <c r="H12" s="7">
        <v>1.9267899999999999E-4</v>
      </c>
      <c r="I12" s="6">
        <f t="shared" si="4"/>
        <v>127.65945768714676</v>
      </c>
      <c r="J12" s="6">
        <f t="shared" si="5"/>
        <v>118.23844180709141</v>
      </c>
      <c r="L12" s="7">
        <v>1.2926599999999999E-3</v>
      </c>
      <c r="M12" s="7">
        <v>2.07999E-4</v>
      </c>
      <c r="N12" s="6">
        <f t="shared" si="6"/>
        <v>113.4539262926003</v>
      </c>
      <c r="O12" s="6">
        <f t="shared" si="7"/>
        <v>105.9187477084776</v>
      </c>
      <c r="Q12">
        <f t="shared" si="0"/>
        <v>1.0314843333333332E-3</v>
      </c>
      <c r="R12">
        <f t="shared" si="1"/>
        <v>2.0080666666666666E-4</v>
      </c>
      <c r="T12">
        <f t="shared" si="8"/>
        <v>119.82415528386325</v>
      </c>
      <c r="U12">
        <f t="shared" si="9"/>
        <v>110.33622223106703</v>
      </c>
      <c r="W12">
        <f t="shared" si="10"/>
        <v>5.8911861073595038</v>
      </c>
      <c r="X12">
        <f t="shared" si="11"/>
        <v>5.600672682004932</v>
      </c>
    </row>
    <row r="13" spans="1:24" x14ac:dyDescent="0.35">
      <c r="A13" s="3">
        <v>68.294600000000003</v>
      </c>
      <c r="B13" s="7">
        <v>9.3603999999999996E-4</v>
      </c>
      <c r="C13" s="7">
        <v>2.0394099999999999E-4</v>
      </c>
      <c r="D13">
        <f t="shared" si="2"/>
        <v>120.68934394735282</v>
      </c>
      <c r="E13">
        <f t="shared" si="3"/>
        <v>108.01616474052732</v>
      </c>
      <c r="G13" s="7">
        <v>9.1107500000000001E-4</v>
      </c>
      <c r="H13" s="7">
        <v>1.9401499999999999E-4</v>
      </c>
      <c r="I13" s="6">
        <f t="shared" si="4"/>
        <v>131.59529184739668</v>
      </c>
      <c r="J13" s="6">
        <f t="shared" si="5"/>
        <v>119.05828495686004</v>
      </c>
      <c r="L13" s="7">
        <v>1.30678E-3</v>
      </c>
      <c r="M13" s="7">
        <v>2.13594E-4</v>
      </c>
      <c r="N13" s="6">
        <f t="shared" si="6"/>
        <v>114.69320764984158</v>
      </c>
      <c r="O13" s="6">
        <f t="shared" si="7"/>
        <v>108.76787387460789</v>
      </c>
      <c r="Q13">
        <f t="shared" si="0"/>
        <v>1.0512983333333334E-3</v>
      </c>
      <c r="R13">
        <f t="shared" si="1"/>
        <v>2.0384999999999999E-4</v>
      </c>
      <c r="T13">
        <f t="shared" si="8"/>
        <v>122.3259478148637</v>
      </c>
      <c r="U13">
        <f t="shared" si="9"/>
        <v>111.94744119066509</v>
      </c>
      <c r="W13">
        <f t="shared" si="10"/>
        <v>6.996616645192355</v>
      </c>
      <c r="X13">
        <f t="shared" si="11"/>
        <v>5.037482238578467</v>
      </c>
    </row>
    <row r="14" spans="1:24" x14ac:dyDescent="0.35">
      <c r="A14" s="3">
        <v>74.376800000000003</v>
      </c>
      <c r="B14" s="7">
        <v>9.5344500000000003E-4</v>
      </c>
      <c r="C14" s="7">
        <v>2.05575E-4</v>
      </c>
      <c r="D14">
        <f t="shared" si="2"/>
        <v>122.93347671027286</v>
      </c>
      <c r="E14">
        <f t="shared" si="3"/>
        <v>108.88160333887696</v>
      </c>
      <c r="G14" s="7">
        <v>9.31952E-4</v>
      </c>
      <c r="H14" s="7">
        <v>1.9959599999999999E-4</v>
      </c>
      <c r="I14" s="6">
        <f t="shared" si="4"/>
        <v>134.61075699340344</v>
      </c>
      <c r="J14" s="6">
        <f t="shared" si="5"/>
        <v>122.48309380331128</v>
      </c>
      <c r="L14" s="7">
        <v>1.3231E-3</v>
      </c>
      <c r="M14" s="7">
        <v>2.17765E-4</v>
      </c>
      <c r="N14" s="6">
        <f t="shared" si="6"/>
        <v>116.12557817039242</v>
      </c>
      <c r="O14" s="6">
        <f t="shared" si="7"/>
        <v>110.89186051248625</v>
      </c>
      <c r="Q14">
        <f t="shared" si="0"/>
        <v>1.069499E-3</v>
      </c>
      <c r="R14">
        <f t="shared" si="1"/>
        <v>2.076453333333333E-4</v>
      </c>
      <c r="T14">
        <f t="shared" si="8"/>
        <v>124.5566039580229</v>
      </c>
      <c r="U14">
        <f t="shared" si="9"/>
        <v>114.08551921822482</v>
      </c>
      <c r="W14">
        <f t="shared" si="10"/>
        <v>7.6333201852782828</v>
      </c>
      <c r="X14">
        <f t="shared" si="11"/>
        <v>5.9944267260002606</v>
      </c>
    </row>
    <row r="15" spans="1:24" x14ac:dyDescent="0.35">
      <c r="A15" s="3">
        <v>80.591399999999993</v>
      </c>
      <c r="B15" s="7">
        <v>9.6948300000000004E-4</v>
      </c>
      <c r="C15" s="7">
        <v>2.0654399999999999E-4</v>
      </c>
      <c r="D15">
        <f t="shared" si="2"/>
        <v>125.00135382901527</v>
      </c>
      <c r="E15">
        <f t="shared" si="3"/>
        <v>109.39482855417731</v>
      </c>
      <c r="G15" s="7">
        <v>9.5385499999999998E-4</v>
      </c>
      <c r="H15" s="7">
        <v>2.0087499999999999E-4</v>
      </c>
      <c r="I15" s="6">
        <f t="shared" si="4"/>
        <v>137.77441715017815</v>
      </c>
      <c r="J15" s="6">
        <f t="shared" si="5"/>
        <v>123.26795861510327</v>
      </c>
      <c r="L15" s="7">
        <v>1.3327899999999999E-3</v>
      </c>
      <c r="M15" s="7">
        <v>2.1228600000000001E-4</v>
      </c>
      <c r="N15" s="6">
        <f t="shared" si="6"/>
        <v>116.97604816696945</v>
      </c>
      <c r="O15" s="6">
        <f t="shared" si="7"/>
        <v>108.10180470118549</v>
      </c>
      <c r="Q15">
        <f t="shared" si="0"/>
        <v>1.0853760000000001E-3</v>
      </c>
      <c r="R15">
        <f t="shared" si="1"/>
        <v>2.0656833333333334E-4</v>
      </c>
      <c r="T15">
        <f t="shared" si="8"/>
        <v>126.58393971538764</v>
      </c>
      <c r="U15">
        <f t="shared" si="9"/>
        <v>113.58819729015535</v>
      </c>
      <c r="W15">
        <f t="shared" si="10"/>
        <v>8.5643241280805178</v>
      </c>
      <c r="X15">
        <f t="shared" si="11"/>
        <v>6.8649502135640423</v>
      </c>
    </row>
    <row r="16" spans="1:24" x14ac:dyDescent="0.35">
      <c r="A16" s="3">
        <v>86.865200000000002</v>
      </c>
      <c r="B16" s="7">
        <v>9.9598400000000011E-4</v>
      </c>
      <c r="C16" s="7">
        <v>2.12454E-4</v>
      </c>
      <c r="D16">
        <f t="shared" si="2"/>
        <v>128.41828932744355</v>
      </c>
      <c r="E16">
        <f t="shared" si="3"/>
        <v>112.52502568774298</v>
      </c>
      <c r="G16" s="7">
        <v>9.77716E-4</v>
      </c>
      <c r="H16" s="7">
        <v>2.04546E-4</v>
      </c>
      <c r="I16" s="6">
        <f t="shared" si="4"/>
        <v>141.22089000781418</v>
      </c>
      <c r="J16" s="6">
        <f t="shared" si="5"/>
        <v>125.52068631181041</v>
      </c>
      <c r="L16" s="7">
        <v>1.34534E-3</v>
      </c>
      <c r="M16" s="7">
        <v>2.1346000000000001E-4</v>
      </c>
      <c r="N16" s="6">
        <f t="shared" si="6"/>
        <v>118.07753407584893</v>
      </c>
      <c r="O16" s="6">
        <f t="shared" si="7"/>
        <v>108.69963743023587</v>
      </c>
      <c r="Q16">
        <f t="shared" si="0"/>
        <v>1.1063466666666668E-3</v>
      </c>
      <c r="R16">
        <f t="shared" si="1"/>
        <v>2.1015333333333333E-4</v>
      </c>
      <c r="T16">
        <f t="shared" si="8"/>
        <v>129.23890447036888</v>
      </c>
      <c r="U16">
        <f t="shared" si="9"/>
        <v>115.58178314326308</v>
      </c>
      <c r="W16">
        <f t="shared" si="10"/>
        <v>9.4660371102169432</v>
      </c>
      <c r="X16">
        <f t="shared" si="11"/>
        <v>7.1992937605243998</v>
      </c>
    </row>
    <row r="17" spans="1:24" x14ac:dyDescent="0.35">
      <c r="A17" s="3">
        <v>93.009600000000006</v>
      </c>
      <c r="B17" s="7">
        <v>1.0287499999999999E-3</v>
      </c>
      <c r="C17" s="7">
        <v>2.1576599999999999E-4</v>
      </c>
      <c r="D17">
        <f t="shared" si="2"/>
        <v>132.64300947164566</v>
      </c>
      <c r="E17">
        <f t="shared" si="3"/>
        <v>114.27920722858384</v>
      </c>
      <c r="G17" s="7">
        <v>1.0039000000000001E-3</v>
      </c>
      <c r="H17" s="7">
        <v>2.0690300000000001E-4</v>
      </c>
      <c r="I17" s="6">
        <f t="shared" si="4"/>
        <v>145.00289601361197</v>
      </c>
      <c r="J17" s="6">
        <f t="shared" si="5"/>
        <v>126.96707126989777</v>
      </c>
      <c r="L17" s="7">
        <v>1.35505E-3</v>
      </c>
      <c r="M17" s="7">
        <v>2.15837E-4</v>
      </c>
      <c r="N17" s="6">
        <f t="shared" si="6"/>
        <v>118.92975942845607</v>
      </c>
      <c r="O17" s="6">
        <f t="shared" si="7"/>
        <v>109.91007047704404</v>
      </c>
      <c r="Q17">
        <f t="shared" si="0"/>
        <v>1.1292333333333333E-3</v>
      </c>
      <c r="R17">
        <f t="shared" si="1"/>
        <v>2.1283533333333332E-4</v>
      </c>
      <c r="T17">
        <f t="shared" si="8"/>
        <v>132.19188830457122</v>
      </c>
      <c r="U17">
        <f t="shared" si="9"/>
        <v>117.05211632517522</v>
      </c>
      <c r="W17">
        <f t="shared" si="10"/>
        <v>10.649092154657623</v>
      </c>
      <c r="X17">
        <f t="shared" si="11"/>
        <v>7.2342743315102718</v>
      </c>
    </row>
    <row r="18" spans="1:24" x14ac:dyDescent="0.35">
      <c r="A18" s="3">
        <v>99.231399999999994</v>
      </c>
      <c r="B18" s="7">
        <v>1.05207E-3</v>
      </c>
      <c r="C18" s="7">
        <v>2.1698799999999999E-4</v>
      </c>
      <c r="D18">
        <f t="shared" si="2"/>
        <v>135.64979924649745</v>
      </c>
      <c r="E18">
        <f t="shared" si="3"/>
        <v>114.92643242269843</v>
      </c>
      <c r="G18" s="7">
        <v>1.03067E-3</v>
      </c>
      <c r="H18" s="7">
        <v>2.0720800000000001E-4</v>
      </c>
      <c r="I18" s="6">
        <f t="shared" si="4"/>
        <v>148.86954361425387</v>
      </c>
      <c r="J18" s="6">
        <f t="shared" si="5"/>
        <v>127.1542360608255</v>
      </c>
      <c r="L18" s="7">
        <v>1.3664599999999999E-3</v>
      </c>
      <c r="M18" s="7">
        <v>2.1481699999999999E-4</v>
      </c>
      <c r="N18" s="6">
        <f t="shared" si="6"/>
        <v>119.93119004362059</v>
      </c>
      <c r="O18" s="6">
        <f t="shared" si="7"/>
        <v>109.39065873630179</v>
      </c>
      <c r="Q18">
        <f t="shared" si="0"/>
        <v>1.1497333333333334E-3</v>
      </c>
      <c r="R18">
        <f t="shared" si="1"/>
        <v>2.1300433333333333E-4</v>
      </c>
      <c r="T18">
        <f t="shared" si="8"/>
        <v>134.81684430145728</v>
      </c>
      <c r="U18">
        <f t="shared" si="9"/>
        <v>117.15710907327525</v>
      </c>
      <c r="W18">
        <f t="shared" si="10"/>
        <v>11.828706249349395</v>
      </c>
      <c r="X18">
        <f t="shared" si="11"/>
        <v>7.4215051744083409</v>
      </c>
    </row>
    <row r="19" spans="1:24" x14ac:dyDescent="0.35">
      <c r="A19" s="3">
        <v>105.389</v>
      </c>
      <c r="B19" s="7">
        <v>1.0763999999999999E-3</v>
      </c>
      <c r="C19" s="7">
        <v>2.2240399999999999E-4</v>
      </c>
      <c r="D19">
        <f t="shared" si="2"/>
        <v>138.78681447900792</v>
      </c>
      <c r="E19">
        <f t="shared" si="3"/>
        <v>117.79498532885609</v>
      </c>
      <c r="G19" s="7">
        <v>1.05536E-3</v>
      </c>
      <c r="H19" s="7">
        <v>2.1524000000000001E-4</v>
      </c>
      <c r="I19" s="6">
        <f t="shared" si="4"/>
        <v>152.43575688507377</v>
      </c>
      <c r="J19" s="6">
        <f t="shared" si="5"/>
        <v>132.08311344027297</v>
      </c>
      <c r="L19" s="7">
        <v>1.3743799999999999E-3</v>
      </c>
      <c r="M19" s="7">
        <v>2.11771E-4</v>
      </c>
      <c r="N19" s="6">
        <f t="shared" si="6"/>
        <v>120.62631103153495</v>
      </c>
      <c r="O19" s="6">
        <f t="shared" si="7"/>
        <v>107.83955269483032</v>
      </c>
      <c r="Q19">
        <f t="shared" si="0"/>
        <v>1.1687133333333332E-3</v>
      </c>
      <c r="R19">
        <f t="shared" si="1"/>
        <v>2.1647166666666665E-4</v>
      </c>
      <c r="T19">
        <f t="shared" si="8"/>
        <v>137.28296079853888</v>
      </c>
      <c r="U19">
        <f t="shared" si="9"/>
        <v>119.23921715465313</v>
      </c>
      <c r="W19">
        <f t="shared" si="10"/>
        <v>13.029617372138489</v>
      </c>
      <c r="X19">
        <f t="shared" si="11"/>
        <v>9.9499384781841993</v>
      </c>
    </row>
    <row r="20" spans="1:24" x14ac:dyDescent="0.35">
      <c r="A20" s="3">
        <v>111.69199999999999</v>
      </c>
      <c r="B20" s="7">
        <v>1.10884E-3</v>
      </c>
      <c r="C20" s="7">
        <v>2.2593400000000001E-4</v>
      </c>
      <c r="D20">
        <f t="shared" si="2"/>
        <v>142.96950145568854</v>
      </c>
      <c r="E20">
        <f t="shared" si="3"/>
        <v>119.6646293020349</v>
      </c>
      <c r="G20" s="7">
        <v>1.08351E-3</v>
      </c>
      <c r="H20" s="7">
        <v>2.17469E-4</v>
      </c>
      <c r="I20" s="6">
        <f t="shared" si="4"/>
        <v>156.50173110838602</v>
      </c>
      <c r="J20" s="6">
        <f t="shared" si="5"/>
        <v>133.4509505516759</v>
      </c>
      <c r="L20" s="7">
        <v>1.3853800000000001E-3</v>
      </c>
      <c r="M20" s="7">
        <v>2.18643E-4</v>
      </c>
      <c r="N20" s="6">
        <f t="shared" si="6"/>
        <v>121.59175684808272</v>
      </c>
      <c r="O20" s="6">
        <f t="shared" si="7"/>
        <v>111.33896199128203</v>
      </c>
      <c r="Q20">
        <f t="shared" si="0"/>
        <v>1.1925766666666668E-3</v>
      </c>
      <c r="R20">
        <f t="shared" si="1"/>
        <v>2.2068200000000001E-4</v>
      </c>
      <c r="T20">
        <f t="shared" si="8"/>
        <v>140.35432980405244</v>
      </c>
      <c r="U20">
        <f t="shared" si="9"/>
        <v>121.48484728166427</v>
      </c>
      <c r="W20">
        <f t="shared" si="10"/>
        <v>14.371404890485319</v>
      </c>
      <c r="X20">
        <f t="shared" si="11"/>
        <v>9.1184759195738359</v>
      </c>
    </row>
    <row r="21" spans="1:24" x14ac:dyDescent="0.35">
      <c r="A21" s="3">
        <v>117.926</v>
      </c>
      <c r="B21" s="7">
        <v>1.13451E-3</v>
      </c>
      <c r="C21" s="7">
        <v>2.2888100000000001E-4</v>
      </c>
      <c r="D21">
        <f t="shared" si="2"/>
        <v>146.27929105776596</v>
      </c>
      <c r="E21">
        <f t="shared" si="3"/>
        <v>121.22549071533743</v>
      </c>
      <c r="G21" s="7">
        <v>1.1095899999999999E-3</v>
      </c>
      <c r="H21" s="7">
        <v>2.2029699999999999E-4</v>
      </c>
      <c r="I21" s="6">
        <f t="shared" si="4"/>
        <v>160.26871539769269</v>
      </c>
      <c r="J21" s="6">
        <f t="shared" si="5"/>
        <v>135.18636703935985</v>
      </c>
      <c r="L21" s="7">
        <v>1.39467E-3</v>
      </c>
      <c r="M21" s="7">
        <v>2.1429899999999999E-4</v>
      </c>
      <c r="N21" s="6">
        <f t="shared" si="6"/>
        <v>122.40711972405802</v>
      </c>
      <c r="O21" s="6">
        <f t="shared" si="7"/>
        <v>109.1268790483562</v>
      </c>
      <c r="Q21">
        <f t="shared" si="0"/>
        <v>1.2129233333333332E-3</v>
      </c>
      <c r="R21">
        <f t="shared" si="1"/>
        <v>2.2115899999999999E-4</v>
      </c>
      <c r="T21">
        <f t="shared" si="8"/>
        <v>142.98504205983889</v>
      </c>
      <c r="U21">
        <f t="shared" si="9"/>
        <v>121.84624560101783</v>
      </c>
      <c r="W21">
        <f t="shared" si="10"/>
        <v>15.631467495273764</v>
      </c>
      <c r="X21">
        <f t="shared" si="11"/>
        <v>10.647792605649553</v>
      </c>
    </row>
    <row r="22" spans="1:24" x14ac:dyDescent="0.35">
      <c r="A22" s="3">
        <v>124.08</v>
      </c>
      <c r="B22" s="7">
        <v>1.1594999999999999E-3</v>
      </c>
      <c r="C22" s="7">
        <v>2.3274600000000001E-4</v>
      </c>
      <c r="D22">
        <f t="shared" si="2"/>
        <v>149.50140411409296</v>
      </c>
      <c r="E22">
        <f t="shared" si="3"/>
        <v>123.2725654905035</v>
      </c>
      <c r="G22" s="7">
        <v>1.1344E-3</v>
      </c>
      <c r="H22" s="7">
        <v>2.2442600000000001E-4</v>
      </c>
      <c r="I22" s="6">
        <f t="shared" si="4"/>
        <v>163.85226141831001</v>
      </c>
      <c r="J22" s="6">
        <f t="shared" si="5"/>
        <v>137.72014874998467</v>
      </c>
      <c r="L22" s="7">
        <v>1.40873E-3</v>
      </c>
      <c r="M22" s="7">
        <v>2.1911899999999999E-4</v>
      </c>
      <c r="N22" s="6">
        <f t="shared" si="6"/>
        <v>123.64113501320905</v>
      </c>
      <c r="O22" s="6">
        <f t="shared" si="7"/>
        <v>111.58135413696174</v>
      </c>
      <c r="Q22">
        <f t="shared" si="0"/>
        <v>1.2342099999999999E-3</v>
      </c>
      <c r="R22">
        <f t="shared" si="1"/>
        <v>2.2543033333333336E-4</v>
      </c>
      <c r="T22">
        <f t="shared" si="8"/>
        <v>145.66493351520401</v>
      </c>
      <c r="U22">
        <f t="shared" si="9"/>
        <v>124.19135612581664</v>
      </c>
      <c r="W22">
        <f t="shared" si="10"/>
        <v>16.638761005232318</v>
      </c>
      <c r="X22">
        <f t="shared" si="11"/>
        <v>10.690877049431869</v>
      </c>
    </row>
    <row r="23" spans="1:24" x14ac:dyDescent="0.35">
      <c r="A23" s="3">
        <v>130.351</v>
      </c>
      <c r="B23" s="7">
        <v>1.1792E-3</v>
      </c>
      <c r="C23" s="7">
        <v>2.3730299999999999E-4</v>
      </c>
      <c r="D23">
        <f t="shared" si="2"/>
        <v>152.04144521892061</v>
      </c>
      <c r="E23">
        <f t="shared" si="3"/>
        <v>125.68615404171477</v>
      </c>
      <c r="G23" s="7">
        <v>1.1583699999999999E-3</v>
      </c>
      <c r="H23" s="7">
        <v>2.2809699999999999E-4</v>
      </c>
      <c r="I23" s="6">
        <f t="shared" si="4"/>
        <v>167.31447819034534</v>
      </c>
      <c r="J23" s="6">
        <f t="shared" si="5"/>
        <v>139.97287644669177</v>
      </c>
      <c r="L23" s="7">
        <v>1.4183900000000001E-3</v>
      </c>
      <c r="M23" s="7">
        <v>2.1957899999999999E-4</v>
      </c>
      <c r="N23" s="6">
        <f t="shared" si="6"/>
        <v>124.48897197574098</v>
      </c>
      <c r="O23" s="6">
        <f t="shared" si="7"/>
        <v>111.81559864749255</v>
      </c>
      <c r="Q23">
        <f t="shared" si="0"/>
        <v>1.2519866666666666E-3</v>
      </c>
      <c r="R23">
        <f t="shared" si="1"/>
        <v>2.2832633333333332E-4</v>
      </c>
      <c r="T23">
        <f t="shared" si="8"/>
        <v>147.948298461669</v>
      </c>
      <c r="U23">
        <f t="shared" si="9"/>
        <v>125.82487637863302</v>
      </c>
      <c r="W23">
        <f t="shared" si="10"/>
        <v>17.721387895545412</v>
      </c>
      <c r="X23">
        <f t="shared" si="11"/>
        <v>11.495579039508749</v>
      </c>
    </row>
    <row r="24" spans="1:24" x14ac:dyDescent="0.35">
      <c r="A24" s="3">
        <v>136.554</v>
      </c>
      <c r="B24" s="7">
        <v>1.2167300000000001E-3</v>
      </c>
      <c r="C24" s="7">
        <v>2.3762699999999999E-4</v>
      </c>
      <c r="D24">
        <f t="shared" si="2"/>
        <v>156.88041692776227</v>
      </c>
      <c r="E24">
        <f t="shared" si="3"/>
        <v>125.8577587576666</v>
      </c>
      <c r="G24" s="7">
        <v>1.18384E-3</v>
      </c>
      <c r="H24" s="7">
        <v>2.3304200000000001E-4</v>
      </c>
      <c r="I24" s="6">
        <f t="shared" si="4"/>
        <v>170.9933543348485</v>
      </c>
      <c r="J24" s="6">
        <f t="shared" si="5"/>
        <v>143.00740067992982</v>
      </c>
      <c r="L24" s="7">
        <v>1.4274800000000001E-3</v>
      </c>
      <c r="M24" s="7">
        <v>2.20017E-4</v>
      </c>
      <c r="N24" s="6">
        <f t="shared" si="6"/>
        <v>125.28678129141544</v>
      </c>
      <c r="O24" s="6">
        <f t="shared" si="7"/>
        <v>112.03864015969364</v>
      </c>
      <c r="Q24">
        <f t="shared" si="0"/>
        <v>1.2760166666666668E-3</v>
      </c>
      <c r="R24">
        <f t="shared" si="1"/>
        <v>2.3022866666666669E-4</v>
      </c>
      <c r="T24">
        <f t="shared" si="8"/>
        <v>151.05351751800873</v>
      </c>
      <c r="U24">
        <f t="shared" si="9"/>
        <v>126.96793319909666</v>
      </c>
      <c r="W24">
        <f t="shared" si="10"/>
        <v>19.109112527661008</v>
      </c>
      <c r="X24">
        <f t="shared" si="11"/>
        <v>12.667291147090554</v>
      </c>
    </row>
    <row r="25" spans="1:24" x14ac:dyDescent="0.35">
      <c r="A25" s="3">
        <v>142.69399999999999</v>
      </c>
      <c r="B25" s="7">
        <v>1.2449399999999999E-3</v>
      </c>
      <c r="C25" s="7">
        <v>2.4386699999999999E-4</v>
      </c>
      <c r="D25">
        <f t="shared" si="2"/>
        <v>160.51770421543674</v>
      </c>
      <c r="E25">
        <f t="shared" si="3"/>
        <v>129.16273847229431</v>
      </c>
      <c r="G25" s="7">
        <v>1.2126000000000001E-3</v>
      </c>
      <c r="H25" s="7">
        <v>2.36231E-4</v>
      </c>
      <c r="I25" s="6">
        <f t="shared" si="4"/>
        <v>175.14743670296434</v>
      </c>
      <c r="J25" s="6">
        <f t="shared" si="5"/>
        <v>144.96434664146588</v>
      </c>
      <c r="L25" s="7">
        <v>1.4466699999999999E-3</v>
      </c>
      <c r="M25" s="7">
        <v>2.23797E-4</v>
      </c>
      <c r="N25" s="6">
        <f t="shared" si="6"/>
        <v>126.97104540228372</v>
      </c>
      <c r="O25" s="6">
        <f t="shared" si="7"/>
        <v>113.9635189636208</v>
      </c>
      <c r="Q25">
        <f t="shared" si="0"/>
        <v>1.3014033333333334E-3</v>
      </c>
      <c r="R25">
        <f t="shared" si="1"/>
        <v>2.3463166666666665E-4</v>
      </c>
      <c r="T25">
        <f t="shared" si="8"/>
        <v>154.21206210689493</v>
      </c>
      <c r="U25">
        <f t="shared" si="9"/>
        <v>129.36353469246032</v>
      </c>
      <c r="W25">
        <f t="shared" si="10"/>
        <v>20.167002941931802</v>
      </c>
      <c r="X25">
        <f t="shared" si="11"/>
        <v>12.656831318024432</v>
      </c>
    </row>
    <row r="26" spans="1:24" x14ac:dyDescent="0.35">
      <c r="A26" s="3">
        <v>148.88</v>
      </c>
      <c r="B26" s="7">
        <v>1.27002E-3</v>
      </c>
      <c r="C26" s="7">
        <v>2.4947899999999999E-4</v>
      </c>
      <c r="D26">
        <f t="shared" si="2"/>
        <v>163.75142152046601</v>
      </c>
      <c r="E26">
        <f t="shared" si="3"/>
        <v>132.13510163871911</v>
      </c>
      <c r="G26" s="7">
        <v>1.2407500000000001E-3</v>
      </c>
      <c r="H26" s="7">
        <v>2.3873300000000001E-4</v>
      </c>
      <c r="I26" s="6">
        <f t="shared" si="4"/>
        <v>179.21341092627659</v>
      </c>
      <c r="J26" s="6">
        <f t="shared" si="5"/>
        <v>146.49971158212546</v>
      </c>
      <c r="L26" s="7">
        <v>1.45729E-3</v>
      </c>
      <c r="M26" s="7">
        <v>2.2236099999999999E-4</v>
      </c>
      <c r="N26" s="6">
        <f t="shared" si="6"/>
        <v>127.90313945425982</v>
      </c>
      <c r="O26" s="6">
        <f t="shared" si="7"/>
        <v>113.2322687090072</v>
      </c>
      <c r="Q26">
        <f t="shared" si="0"/>
        <v>1.3226866666666665E-3</v>
      </c>
      <c r="R26">
        <f t="shared" si="1"/>
        <v>2.3685766666666668E-4</v>
      </c>
      <c r="T26">
        <f t="shared" si="8"/>
        <v>156.95599063366748</v>
      </c>
      <c r="U26">
        <f t="shared" si="9"/>
        <v>130.62236064328391</v>
      </c>
      <c r="W26">
        <f t="shared" si="10"/>
        <v>21.491384325444667</v>
      </c>
      <c r="X26">
        <f t="shared" si="11"/>
        <v>13.623435147287143</v>
      </c>
    </row>
    <row r="27" spans="1:24" x14ac:dyDescent="0.35">
      <c r="A27" s="3">
        <v>155.18199999999999</v>
      </c>
      <c r="B27" s="7">
        <v>1.3011399999999999E-3</v>
      </c>
      <c r="C27" s="7">
        <v>2.52895E-4</v>
      </c>
      <c r="D27">
        <f t="shared" si="2"/>
        <v>167.7639128495135</v>
      </c>
      <c r="E27">
        <f t="shared" si="3"/>
        <v>133.94436617480378</v>
      </c>
      <c r="G27" s="7">
        <v>1.26687E-3</v>
      </c>
      <c r="H27" s="7">
        <v>2.4324599999999999E-4</v>
      </c>
      <c r="I27" s="6">
        <f t="shared" si="4"/>
        <v>182.98617279884911</v>
      </c>
      <c r="J27" s="6">
        <f t="shared" si="5"/>
        <v>149.26913683280355</v>
      </c>
      <c r="L27" s="7">
        <v>1.4714999999999999E-3</v>
      </c>
      <c r="M27" s="7">
        <v>2.25431E-4</v>
      </c>
      <c r="N27" s="6">
        <f t="shared" si="6"/>
        <v>129.15031991363648</v>
      </c>
      <c r="O27" s="6">
        <f t="shared" si="7"/>
        <v>114.79559620320201</v>
      </c>
      <c r="Q27">
        <f t="shared" si="0"/>
        <v>1.3465033333333331E-3</v>
      </c>
      <c r="R27">
        <f t="shared" si="1"/>
        <v>2.4052399999999999E-4</v>
      </c>
      <c r="T27">
        <f t="shared" si="8"/>
        <v>159.96680185399973</v>
      </c>
      <c r="U27">
        <f t="shared" si="9"/>
        <v>132.66969973693645</v>
      </c>
      <c r="W27">
        <f t="shared" si="10"/>
        <v>22.659375820718257</v>
      </c>
      <c r="X27">
        <f t="shared" si="11"/>
        <v>14.102596256979769</v>
      </c>
    </row>
    <row r="28" spans="1:24" x14ac:dyDescent="0.35">
      <c r="A28" s="3">
        <v>161.405</v>
      </c>
      <c r="B28" s="7">
        <v>1.3397999999999999E-3</v>
      </c>
      <c r="C28" s="7">
        <v>2.5487600000000002E-4</v>
      </c>
      <c r="D28">
        <f t="shared" si="2"/>
        <v>172.74858234761689</v>
      </c>
      <c r="E28">
        <f t="shared" si="3"/>
        <v>134.99359130536109</v>
      </c>
      <c r="G28" s="7">
        <v>1.2882E-3</v>
      </c>
      <c r="H28" s="7">
        <v>2.42921E-4</v>
      </c>
      <c r="I28" s="6">
        <f t="shared" si="4"/>
        <v>186.06706907534112</v>
      </c>
      <c r="J28" s="6">
        <f t="shared" si="5"/>
        <v>149.06969894083139</v>
      </c>
      <c r="L28" s="7">
        <v>1.48386E-3</v>
      </c>
      <c r="M28" s="7">
        <v>2.2356000000000001E-4</v>
      </c>
      <c r="N28" s="6">
        <f t="shared" si="6"/>
        <v>130.23512994023011</v>
      </c>
      <c r="O28" s="6">
        <f t="shared" si="7"/>
        <v>113.84283211797776</v>
      </c>
      <c r="Q28">
        <f t="shared" si="0"/>
        <v>1.3706200000000001E-3</v>
      </c>
      <c r="R28">
        <f t="shared" si="1"/>
        <v>2.4045233333333334E-4</v>
      </c>
      <c r="T28">
        <f t="shared" si="8"/>
        <v>163.01692712106271</v>
      </c>
      <c r="U28">
        <f t="shared" si="9"/>
        <v>132.63537412139007</v>
      </c>
      <c r="W28">
        <f t="shared" si="10"/>
        <v>23.809384592118011</v>
      </c>
      <c r="X28">
        <f t="shared" si="11"/>
        <v>14.477659289490347</v>
      </c>
    </row>
    <row r="29" spans="1:24" x14ac:dyDescent="0.35">
      <c r="A29" s="3">
        <v>167.61699999999999</v>
      </c>
      <c r="B29" s="7">
        <v>1.37192E-3</v>
      </c>
      <c r="C29" s="7">
        <v>2.6247100000000002E-4</v>
      </c>
      <c r="D29">
        <f t="shared" si="2"/>
        <v>176.89000977335613</v>
      </c>
      <c r="E29">
        <f t="shared" si="3"/>
        <v>139.01623889071323</v>
      </c>
      <c r="G29" s="7">
        <v>1.3213299999999999E-3</v>
      </c>
      <c r="H29" s="7">
        <v>2.4449399999999999E-4</v>
      </c>
      <c r="I29" s="6">
        <f t="shared" si="4"/>
        <v>190.85235241524646</v>
      </c>
      <c r="J29" s="6">
        <f t="shared" si="5"/>
        <v>150.03497833797667</v>
      </c>
      <c r="L29" s="7">
        <v>1.5050899999999999E-3</v>
      </c>
      <c r="M29" s="7">
        <v>2.3221900000000001E-4</v>
      </c>
      <c r="N29" s="6">
        <f t="shared" si="6"/>
        <v>132.09844036616727</v>
      </c>
      <c r="O29" s="6">
        <f t="shared" si="7"/>
        <v>118.252230415122</v>
      </c>
      <c r="Q29">
        <f t="shared" si="0"/>
        <v>1.3994466666666667E-3</v>
      </c>
      <c r="R29">
        <f t="shared" si="1"/>
        <v>2.4639466666666668E-4</v>
      </c>
      <c r="T29">
        <f t="shared" si="8"/>
        <v>166.61360085158995</v>
      </c>
      <c r="U29">
        <f t="shared" si="9"/>
        <v>135.76781588127062</v>
      </c>
      <c r="W29">
        <f t="shared" si="10"/>
        <v>25.062707761576181</v>
      </c>
      <c r="X29">
        <f t="shared" si="11"/>
        <v>13.176999036658227</v>
      </c>
    </row>
    <row r="30" spans="1:24" x14ac:dyDescent="0.35">
      <c r="A30" s="3">
        <v>173.82300000000001</v>
      </c>
      <c r="B30" s="7">
        <v>1.3997899999999999E-3</v>
      </c>
      <c r="C30" s="7">
        <v>2.64608E-4</v>
      </c>
      <c r="D30">
        <f t="shared" si="2"/>
        <v>180.48345878815542</v>
      </c>
      <c r="E30">
        <f t="shared" si="3"/>
        <v>140.14808851413619</v>
      </c>
      <c r="G30" s="7">
        <v>1.3456E-3</v>
      </c>
      <c r="H30" s="7">
        <v>2.5275900000000002E-4</v>
      </c>
      <c r="I30" s="6">
        <f t="shared" si="4"/>
        <v>194.35790106177535</v>
      </c>
      <c r="J30" s="6">
        <f t="shared" si="5"/>
        <v>155.10683734459187</v>
      </c>
      <c r="L30" s="7">
        <v>1.52133E-3</v>
      </c>
      <c r="M30" s="7">
        <v>2.28559E-4</v>
      </c>
      <c r="N30" s="6">
        <f t="shared" si="6"/>
        <v>133.52378946259776</v>
      </c>
      <c r="O30" s="6">
        <f t="shared" si="7"/>
        <v>116.38845887481159</v>
      </c>
      <c r="Q30">
        <f t="shared" si="0"/>
        <v>1.42224E-3</v>
      </c>
      <c r="R30">
        <f t="shared" si="1"/>
        <v>2.4864200000000004E-4</v>
      </c>
      <c r="T30">
        <f t="shared" si="8"/>
        <v>169.45504977084283</v>
      </c>
      <c r="U30">
        <f t="shared" si="9"/>
        <v>137.21446157784655</v>
      </c>
      <c r="W30">
        <f t="shared" si="10"/>
        <v>26.030964095414816</v>
      </c>
      <c r="X30">
        <f t="shared" si="11"/>
        <v>15.942246455738967</v>
      </c>
    </row>
    <row r="31" spans="1:24" x14ac:dyDescent="0.35">
      <c r="A31" s="3">
        <v>179.99</v>
      </c>
      <c r="B31" s="7">
        <v>1.42997E-3</v>
      </c>
      <c r="C31" s="7">
        <v>2.7181699999999999E-4</v>
      </c>
      <c r="D31">
        <f t="shared" si="2"/>
        <v>184.37475018631267</v>
      </c>
      <c r="E31">
        <f t="shared" si="3"/>
        <v>143.96629344406429</v>
      </c>
      <c r="G31" s="7">
        <v>1.3725300000000001E-3</v>
      </c>
      <c r="H31" s="7">
        <v>2.5490400000000002E-4</v>
      </c>
      <c r="I31" s="6">
        <f t="shared" si="4"/>
        <v>198.24765899548049</v>
      </c>
      <c r="J31" s="6">
        <f t="shared" si="5"/>
        <v>156.42312743160815</v>
      </c>
      <c r="L31" s="7">
        <v>1.53816E-3</v>
      </c>
      <c r="M31" s="7">
        <v>2.3221400000000001E-4</v>
      </c>
      <c r="N31" s="6">
        <f t="shared" si="6"/>
        <v>135.00092156191579</v>
      </c>
      <c r="O31" s="6">
        <f t="shared" si="7"/>
        <v>118.24968427913798</v>
      </c>
      <c r="Q31">
        <f t="shared" si="0"/>
        <v>1.4468866666666668E-3</v>
      </c>
      <c r="R31">
        <f t="shared" si="1"/>
        <v>2.5297833333333332E-4</v>
      </c>
      <c r="T31">
        <f t="shared" si="8"/>
        <v>172.54111024790299</v>
      </c>
      <c r="U31">
        <f t="shared" si="9"/>
        <v>139.54636838493681</v>
      </c>
      <c r="W31">
        <f t="shared" si="10"/>
        <v>27.142386589263214</v>
      </c>
      <c r="X31">
        <f t="shared" si="11"/>
        <v>15.894542956099672</v>
      </c>
    </row>
    <row r="32" spans="1:24" x14ac:dyDescent="0.35">
      <c r="A32" s="3">
        <v>193.21799999999999</v>
      </c>
      <c r="B32" s="7">
        <v>4.60988E-6</v>
      </c>
      <c r="C32" s="7">
        <v>2.2801699999999999E-5</v>
      </c>
      <c r="D32">
        <f t="shared" si="2"/>
        <v>0.5943799334173997</v>
      </c>
      <c r="E32">
        <f t="shared" si="3"/>
        <v>12.076787813946591</v>
      </c>
      <c r="G32" s="7">
        <v>6.4389600000000003E-6</v>
      </c>
      <c r="H32" s="7">
        <v>2.0338799999999999E-5</v>
      </c>
      <c r="I32" s="6">
        <f t="shared" si="4"/>
        <v>0.93004068863014944</v>
      </c>
      <c r="J32" s="6">
        <f t="shared" si="5"/>
        <v>12.481007376133729</v>
      </c>
      <c r="L32" s="7">
        <v>6.5864500000000003E-6</v>
      </c>
      <c r="M32" s="7">
        <v>2.18441E-5</v>
      </c>
      <c r="N32" s="6">
        <f t="shared" si="6"/>
        <v>0.57807823621826104</v>
      </c>
      <c r="O32" s="6">
        <f t="shared" si="7"/>
        <v>11.123609809752718</v>
      </c>
      <c r="Q32">
        <f t="shared" si="0"/>
        <v>5.8784300000000007E-6</v>
      </c>
      <c r="R32">
        <f t="shared" si="1"/>
        <v>2.1661533333333333E-5</v>
      </c>
      <c r="T32">
        <f t="shared" si="8"/>
        <v>0.70083295275527002</v>
      </c>
      <c r="U32">
        <f t="shared" si="9"/>
        <v>11.893801666611012</v>
      </c>
      <c r="W32">
        <f t="shared" si="10"/>
        <v>0.16221092435788548</v>
      </c>
      <c r="X32">
        <f t="shared" si="11"/>
        <v>0.56906062119473755</v>
      </c>
    </row>
    <row r="33" spans="1:24" x14ac:dyDescent="0.35">
      <c r="A33" s="3">
        <v>199.43700000000001</v>
      </c>
      <c r="B33" s="7">
        <v>4.4709099999999997E-6</v>
      </c>
      <c r="C33" s="7">
        <v>2.2441699999999999E-5</v>
      </c>
      <c r="D33">
        <f t="shared" si="2"/>
        <v>0.57646168406014608</v>
      </c>
      <c r="E33">
        <f t="shared" si="3"/>
        <v>11.886115907333453</v>
      </c>
      <c r="G33" s="7">
        <v>6.1189E-6</v>
      </c>
      <c r="H33" s="7">
        <v>1.9726699999999999E-5</v>
      </c>
      <c r="I33" s="6">
        <f t="shared" si="4"/>
        <v>0.88381135612878803</v>
      </c>
      <c r="J33" s="6">
        <f t="shared" si="5"/>
        <v>12.105389118668613</v>
      </c>
      <c r="L33" s="7">
        <v>6.3969999999999999E-6</v>
      </c>
      <c r="M33" s="7">
        <v>2.1096700000000001E-5</v>
      </c>
      <c r="N33" s="6">
        <f t="shared" si="6"/>
        <v>0.5614506262232638</v>
      </c>
      <c r="O33" s="6">
        <f t="shared" si="7"/>
        <v>10.74301340285982</v>
      </c>
      <c r="Q33">
        <f t="shared" si="0"/>
        <v>5.6622699999999996E-6</v>
      </c>
      <c r="R33">
        <f t="shared" si="1"/>
        <v>2.1088366666666663E-5</v>
      </c>
      <c r="T33">
        <f t="shared" si="8"/>
        <v>0.67390788880406605</v>
      </c>
      <c r="U33">
        <f t="shared" si="9"/>
        <v>11.57817280962063</v>
      </c>
      <c r="W33">
        <f t="shared" si="10"/>
        <v>0.14855062472784814</v>
      </c>
      <c r="X33">
        <f t="shared" si="11"/>
        <v>0.59729312252757338</v>
      </c>
    </row>
    <row r="34" spans="1:24" x14ac:dyDescent="0.35">
      <c r="A34" s="3">
        <v>205.559</v>
      </c>
      <c r="B34" s="7">
        <v>4.3378299999999998E-6</v>
      </c>
      <c r="C34" s="7">
        <v>2.2101499999999998E-5</v>
      </c>
      <c r="D34">
        <f t="shared" si="2"/>
        <v>0.55930286831240705</v>
      </c>
      <c r="E34">
        <f t="shared" si="3"/>
        <v>11.705930955584039</v>
      </c>
      <c r="G34" s="7">
        <v>5.8559699999999999E-6</v>
      </c>
      <c r="H34" s="7">
        <v>1.9122599999999999E-5</v>
      </c>
      <c r="I34" s="6">
        <f t="shared" si="4"/>
        <v>0.84583385692681679</v>
      </c>
      <c r="J34" s="6">
        <f t="shared" si="5"/>
        <v>11.734680101621278</v>
      </c>
      <c r="L34" s="7">
        <v>6.27954E-6</v>
      </c>
      <c r="M34" s="7">
        <v>2.0693400000000001E-5</v>
      </c>
      <c r="N34" s="6">
        <f t="shared" si="6"/>
        <v>0.55114142025856394</v>
      </c>
      <c r="O34" s="6">
        <f t="shared" si="7"/>
        <v>10.537642074387909</v>
      </c>
      <c r="Q34">
        <f t="shared" si="0"/>
        <v>5.4911133333333335E-6</v>
      </c>
      <c r="R34">
        <f t="shared" si="1"/>
        <v>2.0639166666666664E-5</v>
      </c>
      <c r="T34">
        <f t="shared" si="8"/>
        <v>0.65209271516592926</v>
      </c>
      <c r="U34">
        <f t="shared" si="9"/>
        <v>11.326084377197743</v>
      </c>
      <c r="W34">
        <f t="shared" si="10"/>
        <v>0.13703618698891959</v>
      </c>
      <c r="X34">
        <f t="shared" si="11"/>
        <v>0.55763642695130167</v>
      </c>
    </row>
    <row r="35" spans="1:24" x14ac:dyDescent="0.35">
      <c r="A35" s="3">
        <v>211.792</v>
      </c>
      <c r="B35" s="7">
        <v>4.2270200000000001E-6</v>
      </c>
      <c r="C35" s="7">
        <v>2.1877499999999998E-5</v>
      </c>
      <c r="D35">
        <f t="shared" si="2"/>
        <v>0.54501545943799334</v>
      </c>
      <c r="E35">
        <f t="shared" si="3"/>
        <v>11.587290658135863</v>
      </c>
      <c r="G35" s="7">
        <v>5.6802100000000001E-6</v>
      </c>
      <c r="H35" s="7">
        <v>1.8882500000000001E-5</v>
      </c>
      <c r="I35" s="6">
        <f t="shared" si="4"/>
        <v>0.82044715605685725</v>
      </c>
      <c r="J35" s="6">
        <f t="shared" si="5"/>
        <v>11.587341523582765</v>
      </c>
      <c r="L35" s="7">
        <v>6.1707899999999996E-6</v>
      </c>
      <c r="M35" s="7">
        <v>2.0396700000000001E-5</v>
      </c>
      <c r="N35" s="6">
        <f t="shared" si="6"/>
        <v>0.54159667184496696</v>
      </c>
      <c r="O35" s="6">
        <f t="shared" si="7"/>
        <v>10.386554365095531</v>
      </c>
      <c r="Q35">
        <f t="shared" si="0"/>
        <v>5.3593399999999999E-6</v>
      </c>
      <c r="R35">
        <f t="shared" si="1"/>
        <v>2.0385566666666667E-5</v>
      </c>
      <c r="T35">
        <f t="shared" si="8"/>
        <v>0.63568642911327256</v>
      </c>
      <c r="U35">
        <f t="shared" si="9"/>
        <v>11.187062182271385</v>
      </c>
      <c r="W35">
        <f t="shared" si="10"/>
        <v>0.13065301806105339</v>
      </c>
      <c r="X35">
        <f t="shared" si="11"/>
        <v>0.56604450629879099</v>
      </c>
    </row>
    <row r="36" spans="1:24" x14ac:dyDescent="0.35">
      <c r="A36" s="3">
        <v>218.12700000000001</v>
      </c>
      <c r="B36" s="7">
        <v>4.14294E-6</v>
      </c>
      <c r="C36" s="7">
        <v>2.1548399999999999E-5</v>
      </c>
      <c r="D36">
        <f t="shared" si="2"/>
        <v>0.53417451242815039</v>
      </c>
      <c r="E36">
        <f t="shared" si="3"/>
        <v>11.412984756840354</v>
      </c>
      <c r="G36" s="7">
        <v>5.53405E-6</v>
      </c>
      <c r="H36" s="7">
        <v>1.86598E-5</v>
      </c>
      <c r="I36" s="6">
        <f t="shared" si="4"/>
        <v>0.79933586680359536</v>
      </c>
      <c r="J36" s="6">
        <f t="shared" si="5"/>
        <v>11.450680543452915</v>
      </c>
      <c r="L36" s="7">
        <v>6.1036700000000001E-6</v>
      </c>
      <c r="M36" s="7">
        <v>2.0218299999999999E-5</v>
      </c>
      <c r="N36" s="6">
        <f t="shared" si="6"/>
        <v>0.53570569700799564</v>
      </c>
      <c r="O36" s="6">
        <f t="shared" si="7"/>
        <v>10.295708233185318</v>
      </c>
      <c r="Q36">
        <f t="shared" si="0"/>
        <v>5.2602199999999998E-6</v>
      </c>
      <c r="R36">
        <f t="shared" si="1"/>
        <v>2.0142166666666668E-5</v>
      </c>
      <c r="T36">
        <f t="shared" si="8"/>
        <v>0.62307202541324713</v>
      </c>
      <c r="U36">
        <f t="shared" si="9"/>
        <v>11.053124511159529</v>
      </c>
      <c r="W36">
        <f t="shared" si="10"/>
        <v>0.1246389250804521</v>
      </c>
      <c r="X36">
        <f t="shared" si="11"/>
        <v>0.53579523867942658</v>
      </c>
    </row>
    <row r="37" spans="1:24" x14ac:dyDescent="0.35">
      <c r="A37" s="3">
        <v>224.291</v>
      </c>
      <c r="B37" s="7">
        <v>4.0886400000000004E-6</v>
      </c>
      <c r="C37" s="7">
        <v>2.15365E-5</v>
      </c>
      <c r="D37">
        <f t="shared" si="2"/>
        <v>0.52717328237778793</v>
      </c>
      <c r="E37">
        <f t="shared" si="3"/>
        <v>11.40668199103842</v>
      </c>
      <c r="G37" s="7">
        <v>5.3975899999999999E-6</v>
      </c>
      <c r="H37" s="7">
        <v>1.8477900000000001E-5</v>
      </c>
      <c r="I37" s="6">
        <f t="shared" si="4"/>
        <v>0.77962564149229197</v>
      </c>
      <c r="J37" s="6">
        <f t="shared" si="5"/>
        <v>11.339056689453725</v>
      </c>
      <c r="L37" s="7">
        <v>6.0401500000000001E-6</v>
      </c>
      <c r="M37" s="7">
        <v>2.0103999999999999E-5</v>
      </c>
      <c r="N37" s="6">
        <f t="shared" si="6"/>
        <v>0.53013068625644</v>
      </c>
      <c r="O37" s="6">
        <f t="shared" si="7"/>
        <v>10.237503564590376</v>
      </c>
      <c r="Q37">
        <f t="shared" si="0"/>
        <v>5.1754599999999996E-6</v>
      </c>
      <c r="R37">
        <f t="shared" si="1"/>
        <v>2.0039466666666667E-5</v>
      </c>
      <c r="T37">
        <f t="shared" si="8"/>
        <v>0.6123098700421733</v>
      </c>
      <c r="U37">
        <f t="shared" si="9"/>
        <v>10.994414081694174</v>
      </c>
      <c r="W37">
        <f t="shared" si="10"/>
        <v>0.11831627696246064</v>
      </c>
      <c r="X37">
        <f t="shared" si="11"/>
        <v>0.53592813170570974</v>
      </c>
    </row>
    <row r="38" spans="1:24" x14ac:dyDescent="0.35">
      <c r="A38" s="3">
        <v>230.49600000000001</v>
      </c>
      <c r="B38" s="7">
        <v>4.0344800000000004E-6</v>
      </c>
      <c r="C38" s="7">
        <v>2.1434399999999999E-5</v>
      </c>
      <c r="D38">
        <f t="shared" si="2"/>
        <v>0.52019010338096239</v>
      </c>
      <c r="E38">
        <f t="shared" si="3"/>
        <v>11.352605319746194</v>
      </c>
      <c r="G38" s="7">
        <v>5.2896500000000003E-6</v>
      </c>
      <c r="H38" s="7">
        <v>1.83197E-5</v>
      </c>
      <c r="I38" s="6">
        <f t="shared" si="4"/>
        <v>0.76403483304950959</v>
      </c>
      <c r="J38" s="6">
        <f t="shared" si="5"/>
        <v>11.241976460192198</v>
      </c>
      <c r="L38" s="7">
        <v>5.9611200000000001E-6</v>
      </c>
      <c r="M38" s="7">
        <v>1.9922700000000002E-5</v>
      </c>
      <c r="N38" s="6">
        <f t="shared" si="6"/>
        <v>0.52319439690355196</v>
      </c>
      <c r="O38" s="6">
        <f t="shared" si="7"/>
        <v>10.145180673809428</v>
      </c>
      <c r="Q38">
        <f t="shared" si="0"/>
        <v>5.0950833333333339E-6</v>
      </c>
      <c r="R38">
        <f t="shared" si="1"/>
        <v>1.9892266666666669E-5</v>
      </c>
      <c r="T38">
        <f t="shared" si="8"/>
        <v>0.60247311111134128</v>
      </c>
      <c r="U38">
        <f t="shared" si="9"/>
        <v>10.913254151249275</v>
      </c>
      <c r="W38">
        <f t="shared" si="10"/>
        <v>0.11424797282406367</v>
      </c>
      <c r="X38">
        <f t="shared" si="11"/>
        <v>0.54498460908020596</v>
      </c>
    </row>
    <row r="39" spans="1:24" x14ac:dyDescent="0.35">
      <c r="A39" s="3">
        <v>236.65600000000001</v>
      </c>
      <c r="B39" s="7">
        <v>3.9724299999999998E-6</v>
      </c>
      <c r="C39" s="7">
        <v>2.1208300000000002E-5</v>
      </c>
      <c r="D39">
        <f t="shared" si="2"/>
        <v>0.51218961858123879</v>
      </c>
      <c r="E39">
        <f t="shared" si="3"/>
        <v>11.232852769509446</v>
      </c>
      <c r="G39" s="7">
        <v>5.1858800000000001E-6</v>
      </c>
      <c r="H39" s="7">
        <v>1.82484E-5</v>
      </c>
      <c r="I39" s="6">
        <f t="shared" si="4"/>
        <v>0.74904633766218764</v>
      </c>
      <c r="J39" s="6">
        <f t="shared" si="5"/>
        <v>11.198222854968765</v>
      </c>
      <c r="L39" s="7">
        <v>5.9204799999999998E-6</v>
      </c>
      <c r="M39" s="7">
        <v>1.9774100000000001E-5</v>
      </c>
      <c r="N39" s="6">
        <f t="shared" si="6"/>
        <v>0.51962751345041558</v>
      </c>
      <c r="O39" s="6">
        <f t="shared" si="7"/>
        <v>10.069509512364036</v>
      </c>
      <c r="Q39">
        <f t="shared" si="0"/>
        <v>5.0262633333333341E-6</v>
      </c>
      <c r="R39">
        <f t="shared" si="1"/>
        <v>1.9743600000000002E-5</v>
      </c>
      <c r="T39">
        <f t="shared" si="8"/>
        <v>0.59362115656461401</v>
      </c>
      <c r="U39">
        <f t="shared" si="9"/>
        <v>10.833528378947415</v>
      </c>
      <c r="W39">
        <f t="shared" si="10"/>
        <v>0.10994413963291075</v>
      </c>
      <c r="X39">
        <f t="shared" si="11"/>
        <v>0.54042787315039431</v>
      </c>
    </row>
    <row r="40" spans="1:24" x14ac:dyDescent="0.35">
      <c r="A40" s="3">
        <v>242.97800000000001</v>
      </c>
      <c r="B40" s="7">
        <v>3.9073099999999997E-6</v>
      </c>
      <c r="C40" s="7">
        <v>2.1071900000000001E-5</v>
      </c>
      <c r="D40">
        <f t="shared" si="2"/>
        <v>0.50379329996467148</v>
      </c>
      <c r="E40">
        <f t="shared" si="3"/>
        <v>11.160609302670467</v>
      </c>
      <c r="G40" s="7">
        <v>5.0801900000000002E-6</v>
      </c>
      <c r="H40" s="7">
        <v>1.8071300000000001E-5</v>
      </c>
      <c r="I40" s="6">
        <f t="shared" si="4"/>
        <v>0.73378051827810686</v>
      </c>
      <c r="J40" s="6">
        <f t="shared" si="5"/>
        <v>11.089544545220242</v>
      </c>
      <c r="L40" s="7">
        <v>5.86527E-6</v>
      </c>
      <c r="M40" s="7">
        <v>1.9617900000000001E-5</v>
      </c>
      <c r="N40" s="6">
        <f t="shared" si="6"/>
        <v>0.51478185312936098</v>
      </c>
      <c r="O40" s="6">
        <f t="shared" si="7"/>
        <v>9.9899682242229204</v>
      </c>
      <c r="Q40">
        <f t="shared" si="0"/>
        <v>4.950923333333333E-6</v>
      </c>
      <c r="R40">
        <f t="shared" si="1"/>
        <v>1.9587033333333334E-5</v>
      </c>
      <c r="T40">
        <f t="shared" si="8"/>
        <v>0.58411855712404648</v>
      </c>
      <c r="U40">
        <f t="shared" si="9"/>
        <v>10.746707357371209</v>
      </c>
      <c r="W40">
        <f t="shared" si="10"/>
        <v>0.10592202804428973</v>
      </c>
      <c r="X40">
        <f t="shared" si="11"/>
        <v>0.53588129075158897</v>
      </c>
    </row>
    <row r="41" spans="1:24" x14ac:dyDescent="0.35">
      <c r="A41" s="3">
        <v>249.12200000000001</v>
      </c>
      <c r="B41" s="7">
        <v>3.85043E-6</v>
      </c>
      <c r="C41" s="7">
        <v>2.0794299999999998E-5</v>
      </c>
      <c r="D41">
        <f t="shared" si="2"/>
        <v>0.49645941478484434</v>
      </c>
      <c r="E41">
        <f t="shared" si="3"/>
        <v>11.013580076904335</v>
      </c>
      <c r="G41" s="7">
        <v>4.9848199999999998E-6</v>
      </c>
      <c r="H41" s="7">
        <v>1.7997999999999999E-5</v>
      </c>
      <c r="I41" s="6">
        <f t="shared" si="4"/>
        <v>0.7200053153766045</v>
      </c>
      <c r="J41" s="6">
        <f t="shared" si="5"/>
        <v>11.044563629892364</v>
      </c>
      <c r="L41" s="7">
        <v>5.8259200000000001E-6</v>
      </c>
      <c r="M41" s="7">
        <v>1.95108E-5</v>
      </c>
      <c r="N41" s="6">
        <f t="shared" si="6"/>
        <v>0.51132819014016517</v>
      </c>
      <c r="O41" s="6">
        <f t="shared" si="7"/>
        <v>9.9354299914449822</v>
      </c>
      <c r="Q41">
        <f t="shared" si="0"/>
        <v>4.8870566666666661E-6</v>
      </c>
      <c r="R41">
        <f t="shared" si="1"/>
        <v>1.9434366666666665E-5</v>
      </c>
      <c r="T41">
        <f t="shared" si="8"/>
        <v>0.57593097343387134</v>
      </c>
      <c r="U41">
        <f t="shared" si="9"/>
        <v>10.66452456608056</v>
      </c>
      <c r="W41">
        <f t="shared" si="10"/>
        <v>0.10205662521305005</v>
      </c>
      <c r="X41">
        <f t="shared" si="11"/>
        <v>0.51570286613592808</v>
      </c>
    </row>
    <row r="42" spans="1:24" x14ac:dyDescent="0.35">
      <c r="A42" s="3">
        <v>262.39</v>
      </c>
      <c r="B42" s="7">
        <v>6.5910399999999998E-4</v>
      </c>
      <c r="C42" s="7">
        <v>1.8090599999999999E-4</v>
      </c>
      <c r="D42">
        <f t="shared" si="2"/>
        <v>84.982297073924215</v>
      </c>
      <c r="E42">
        <f t="shared" si="3"/>
        <v>95.815810938211712</v>
      </c>
      <c r="G42" s="7">
        <v>3.7333100000000002E-4</v>
      </c>
      <c r="H42" s="7">
        <v>1.3579099999999999E-4</v>
      </c>
      <c r="I42" s="6">
        <f t="shared" si="4"/>
        <v>53.92377345518257</v>
      </c>
      <c r="J42" s="6">
        <f t="shared" si="5"/>
        <v>83.328833196283696</v>
      </c>
      <c r="L42" s="7">
        <v>6.1868100000000005E-4</v>
      </c>
      <c r="M42" s="7">
        <v>1.6611299999999999E-4</v>
      </c>
      <c r="N42" s="6">
        <f t="shared" si="6"/>
        <v>54.300271202506657</v>
      </c>
      <c r="O42" s="6">
        <f t="shared" si="7"/>
        <v>84.589257343056161</v>
      </c>
      <c r="Q42">
        <f t="shared" si="0"/>
        <v>5.5037200000000004E-4</v>
      </c>
      <c r="R42">
        <f t="shared" si="1"/>
        <v>1.6093666666666665E-4</v>
      </c>
      <c r="T42">
        <f t="shared" si="8"/>
        <v>64.402113910537807</v>
      </c>
      <c r="U42">
        <f t="shared" si="9"/>
        <v>87.911300492517185</v>
      </c>
      <c r="W42">
        <f t="shared" si="10"/>
        <v>14.553198775924034</v>
      </c>
      <c r="X42">
        <f t="shared" si="11"/>
        <v>5.6129689883941767</v>
      </c>
    </row>
    <row r="43" spans="1:24" x14ac:dyDescent="0.35">
      <c r="A43" s="3">
        <v>268.47800000000001</v>
      </c>
      <c r="B43" s="7">
        <v>7.0104499999999997E-4</v>
      </c>
      <c r="C43" s="7">
        <v>1.8097100000000001E-4</v>
      </c>
      <c r="D43">
        <f t="shared" si="2"/>
        <v>90.390005905273227</v>
      </c>
      <c r="E43">
        <f t="shared" si="3"/>
        <v>95.850237810239094</v>
      </c>
      <c r="G43" s="7">
        <v>3.9820300000000002E-4</v>
      </c>
      <c r="H43" s="7">
        <v>1.3685600000000001E-4</v>
      </c>
      <c r="I43" s="6">
        <f t="shared" si="4"/>
        <v>57.51627472986187</v>
      </c>
      <c r="J43" s="6">
        <f t="shared" si="5"/>
        <v>83.982375826900196</v>
      </c>
      <c r="L43" s="7">
        <v>6.4003900000000002E-4</v>
      </c>
      <c r="M43" s="7">
        <v>1.6558799999999999E-4</v>
      </c>
      <c r="N43" s="6">
        <f t="shared" si="6"/>
        <v>56.174815907036347</v>
      </c>
      <c r="O43" s="6">
        <f t="shared" si="7"/>
        <v>84.321913064732954</v>
      </c>
      <c r="Q43">
        <f t="shared" si="0"/>
        <v>5.7976233333333332E-4</v>
      </c>
      <c r="R43">
        <f t="shared" si="1"/>
        <v>1.6113833333333334E-4</v>
      </c>
      <c r="T43">
        <f t="shared" si="8"/>
        <v>68.027032180723822</v>
      </c>
      <c r="U43">
        <f t="shared" si="9"/>
        <v>88.051508900624071</v>
      </c>
      <c r="W43">
        <f t="shared" si="10"/>
        <v>15.822490813122048</v>
      </c>
      <c r="X43">
        <f t="shared" si="11"/>
        <v>5.516275968333316</v>
      </c>
    </row>
    <row r="44" spans="1:24" x14ac:dyDescent="0.35">
      <c r="A44" s="3">
        <v>274.68700000000001</v>
      </c>
      <c r="B44" s="7">
        <v>7.3596800000000004E-4</v>
      </c>
      <c r="C44" s="7">
        <v>1.7990500000000001E-4</v>
      </c>
      <c r="D44">
        <f t="shared" si="2"/>
        <v>94.892841210039492</v>
      </c>
      <c r="E44">
        <f t="shared" si="3"/>
        <v>95.285637108990187</v>
      </c>
      <c r="G44" s="7">
        <v>4.1875000000000001E-4</v>
      </c>
      <c r="H44" s="7">
        <v>1.4002700000000001E-4</v>
      </c>
      <c r="I44" s="6">
        <f t="shared" si="4"/>
        <v>60.484074813925716</v>
      </c>
      <c r="J44" s="6">
        <f t="shared" si="5"/>
        <v>85.9282759974963</v>
      </c>
      <c r="L44" s="7">
        <v>6.5303699999999998E-4</v>
      </c>
      <c r="M44" s="7">
        <v>1.62106E-4</v>
      </c>
      <c r="N44" s="6">
        <f t="shared" si="6"/>
        <v>57.315621790989759</v>
      </c>
      <c r="O44" s="6">
        <f t="shared" si="7"/>
        <v>82.548783965454021</v>
      </c>
      <c r="Q44">
        <f t="shared" si="0"/>
        <v>6.0258499999999999E-4</v>
      </c>
      <c r="R44">
        <f t="shared" si="1"/>
        <v>1.6067933333333332E-4</v>
      </c>
      <c r="T44">
        <f t="shared" si="8"/>
        <v>70.897512604984982</v>
      </c>
      <c r="U44">
        <f t="shared" si="9"/>
        <v>87.920899023980155</v>
      </c>
      <c r="W44">
        <f t="shared" si="10"/>
        <v>17.016494346918169</v>
      </c>
      <c r="X44">
        <f t="shared" si="11"/>
        <v>5.387316394041167</v>
      </c>
    </row>
    <row r="45" spans="1:24" x14ac:dyDescent="0.35">
      <c r="A45" s="3">
        <v>280.96300000000002</v>
      </c>
      <c r="B45" s="7">
        <v>7.7251900000000005E-4</v>
      </c>
      <c r="C45" s="7">
        <v>1.8411999999999999E-4</v>
      </c>
      <c r="D45">
        <f t="shared" si="2"/>
        <v>99.605584480219918</v>
      </c>
      <c r="E45">
        <f t="shared" si="3"/>
        <v>97.518087348918996</v>
      </c>
      <c r="G45" s="7">
        <v>4.38956E-4</v>
      </c>
      <c r="H45" s="7">
        <v>1.42452E-4</v>
      </c>
      <c r="I45" s="6">
        <f t="shared" si="4"/>
        <v>63.40262100064853</v>
      </c>
      <c r="J45" s="6">
        <f t="shared" si="5"/>
        <v>87.416389499134752</v>
      </c>
      <c r="L45" s="7">
        <v>6.68525E-4</v>
      </c>
      <c r="M45" s="7">
        <v>1.6730799999999999E-4</v>
      </c>
      <c r="N45" s="6">
        <f t="shared" si="6"/>
        <v>58.674969500688981</v>
      </c>
      <c r="O45" s="6">
        <f t="shared" si="7"/>
        <v>85.197783843239492</v>
      </c>
      <c r="Q45">
        <f t="shared" si="0"/>
        <v>6.2666666666666676E-4</v>
      </c>
      <c r="R45">
        <f t="shared" si="1"/>
        <v>1.6462666666666669E-4</v>
      </c>
      <c r="T45">
        <f t="shared" si="8"/>
        <v>73.894391660519133</v>
      </c>
      <c r="U45">
        <f t="shared" si="9"/>
        <v>90.044086897097756</v>
      </c>
      <c r="W45">
        <f t="shared" si="10"/>
        <v>18.28271951570925</v>
      </c>
      <c r="X45">
        <f t="shared" si="11"/>
        <v>5.3619688442126554</v>
      </c>
    </row>
    <row r="46" spans="1:24" x14ac:dyDescent="0.35">
      <c r="A46" s="3">
        <v>287.22800000000001</v>
      </c>
      <c r="B46" s="7">
        <v>8.0780999999999995E-4</v>
      </c>
      <c r="C46" s="7">
        <v>1.8581000000000001E-4</v>
      </c>
      <c r="D46">
        <f t="shared" si="2"/>
        <v>104.15586826856872</v>
      </c>
      <c r="E46">
        <f t="shared" si="3"/>
        <v>98.413186021630679</v>
      </c>
      <c r="G46" s="7">
        <v>4.6032799999999997E-4</v>
      </c>
      <c r="H46" s="7">
        <v>1.4731400000000001E-4</v>
      </c>
      <c r="I46" s="6">
        <f t="shared" si="4"/>
        <v>66.489583739569653</v>
      </c>
      <c r="J46" s="6">
        <f t="shared" si="5"/>
        <v>90.399980363038338</v>
      </c>
      <c r="L46" s="7">
        <v>6.7738399999999995E-4</v>
      </c>
      <c r="M46" s="7">
        <v>1.6356699999999999E-4</v>
      </c>
      <c r="N46" s="6">
        <f t="shared" si="6"/>
        <v>59.452504454215926</v>
      </c>
      <c r="O46" s="6">
        <f t="shared" si="7"/>
        <v>83.292764899987773</v>
      </c>
      <c r="Q46">
        <f t="shared" si="0"/>
        <v>6.4850733333333326E-4</v>
      </c>
      <c r="R46">
        <f t="shared" si="1"/>
        <v>1.655636666666667E-4</v>
      </c>
      <c r="T46">
        <f t="shared" si="8"/>
        <v>76.699318820784768</v>
      </c>
      <c r="U46">
        <f t="shared" si="9"/>
        <v>90.701977094885592</v>
      </c>
      <c r="W46">
        <f t="shared" si="10"/>
        <v>19.626116985640035</v>
      </c>
      <c r="X46">
        <f t="shared" si="11"/>
        <v>6.1765786237739011</v>
      </c>
    </row>
    <row r="47" spans="1:24" x14ac:dyDescent="0.35">
      <c r="A47" s="3">
        <v>293.29300000000001</v>
      </c>
      <c r="B47" s="7">
        <v>8.37464E-4</v>
      </c>
      <c r="C47" s="7">
        <v>1.87493E-4</v>
      </c>
      <c r="D47">
        <f t="shared" si="2"/>
        <v>107.97933927986611</v>
      </c>
      <c r="E47">
        <f t="shared" si="3"/>
        <v>99.304577185047094</v>
      </c>
      <c r="G47" s="7">
        <v>4.8010700000000002E-4</v>
      </c>
      <c r="H47" s="7">
        <v>1.50168E-4</v>
      </c>
      <c r="I47" s="6">
        <f t="shared" si="4"/>
        <v>69.346454224929985</v>
      </c>
      <c r="J47" s="6">
        <f t="shared" si="5"/>
        <v>92.15135188208005</v>
      </c>
      <c r="L47" s="7">
        <v>7.0124300000000005E-4</v>
      </c>
      <c r="M47" s="7">
        <v>1.7293199999999999E-4</v>
      </c>
      <c r="N47" s="6">
        <f t="shared" si="6"/>
        <v>61.546556430307987</v>
      </c>
      <c r="O47" s="6">
        <f t="shared" si="7"/>
        <v>88.061677598077154</v>
      </c>
      <c r="Q47">
        <f t="shared" si="0"/>
        <v>6.7293799999999999E-4</v>
      </c>
      <c r="R47">
        <f t="shared" si="1"/>
        <v>1.7019766666666664E-4</v>
      </c>
      <c r="T47">
        <f t="shared" si="8"/>
        <v>79.62411664503469</v>
      </c>
      <c r="U47">
        <f t="shared" si="9"/>
        <v>93.172535555068109</v>
      </c>
      <c r="W47">
        <f t="shared" si="10"/>
        <v>20.301454617913151</v>
      </c>
      <c r="X47">
        <f t="shared" si="11"/>
        <v>4.6463469414982521</v>
      </c>
    </row>
    <row r="48" spans="1:24" x14ac:dyDescent="0.35">
      <c r="A48" s="3">
        <v>299.63400000000001</v>
      </c>
      <c r="B48" s="7">
        <v>8.6320099999999996E-4</v>
      </c>
      <c r="C48" s="7">
        <v>1.92881E-4</v>
      </c>
      <c r="D48">
        <f t="shared" si="2"/>
        <v>111.29776760042188</v>
      </c>
      <c r="E48">
        <f t="shared" si="3"/>
        <v>102.15830005402371</v>
      </c>
      <c r="G48" s="7">
        <v>5.0044900000000003E-4</v>
      </c>
      <c r="H48" s="7">
        <v>1.5315000000000001E-4</v>
      </c>
      <c r="I48" s="6">
        <f t="shared" si="4"/>
        <v>72.284644194756552</v>
      </c>
      <c r="J48" s="6">
        <f t="shared" si="5"/>
        <v>93.981271247806191</v>
      </c>
      <c r="L48" s="7">
        <v>7.1158400000000002E-4</v>
      </c>
      <c r="M48" s="7">
        <v>1.6843000000000001E-4</v>
      </c>
      <c r="N48" s="6">
        <f t="shared" si="6"/>
        <v>62.454163265664363</v>
      </c>
      <c r="O48" s="6">
        <f t="shared" si="7"/>
        <v>85.769136758055978</v>
      </c>
      <c r="Q48">
        <f t="shared" si="0"/>
        <v>6.9174466666666664E-4</v>
      </c>
      <c r="R48">
        <f t="shared" si="1"/>
        <v>1.7148700000000001E-4</v>
      </c>
      <c r="T48">
        <f t="shared" si="8"/>
        <v>82.012191686947588</v>
      </c>
      <c r="U48">
        <f t="shared" si="9"/>
        <v>93.969569353295299</v>
      </c>
      <c r="W48">
        <f t="shared" si="10"/>
        <v>21.093337119608968</v>
      </c>
      <c r="X48">
        <f t="shared" si="11"/>
        <v>6.6908530141891154</v>
      </c>
    </row>
    <row r="49" spans="1:24" x14ac:dyDescent="0.35">
      <c r="A49" s="3">
        <v>305.762</v>
      </c>
      <c r="B49" s="7">
        <v>8.8706600000000005E-4</v>
      </c>
      <c r="C49" s="7">
        <v>1.9612000000000001E-4</v>
      </c>
      <c r="D49">
        <f t="shared" si="2"/>
        <v>114.37482754797068</v>
      </c>
      <c r="E49">
        <f t="shared" si="3"/>
        <v>103.87381756935692</v>
      </c>
      <c r="G49" s="7">
        <v>5.2028600000000001E-4</v>
      </c>
      <c r="H49" s="7">
        <v>1.5472199999999999E-4</v>
      </c>
      <c r="I49" s="6">
        <f t="shared" si="4"/>
        <v>75.149892175852301</v>
      </c>
      <c r="J49" s="6">
        <f t="shared" si="5"/>
        <v>94.945936989899238</v>
      </c>
      <c r="L49" s="7">
        <v>7.3024400000000001E-4</v>
      </c>
      <c r="M49" s="7">
        <v>1.7382500000000001E-4</v>
      </c>
      <c r="N49" s="6">
        <f t="shared" si="6"/>
        <v>64.091910441735351</v>
      </c>
      <c r="O49" s="6">
        <f t="shared" si="7"/>
        <v>88.516417484825027</v>
      </c>
      <c r="Q49">
        <f t="shared" si="0"/>
        <v>7.125320000000001E-4</v>
      </c>
      <c r="R49">
        <f t="shared" si="1"/>
        <v>1.7488899999999999E-4</v>
      </c>
      <c r="T49">
        <f t="shared" si="8"/>
        <v>84.538876721852773</v>
      </c>
      <c r="U49">
        <f t="shared" si="9"/>
        <v>95.778724014693736</v>
      </c>
      <c r="W49">
        <f t="shared" si="10"/>
        <v>21.574795654218232</v>
      </c>
      <c r="X49">
        <f t="shared" si="11"/>
        <v>6.2972261094651589</v>
      </c>
    </row>
    <row r="50" spans="1:24" x14ac:dyDescent="0.35">
      <c r="A50" s="3">
        <v>312.01600000000002</v>
      </c>
      <c r="B50" s="7">
        <v>9.10544E-4</v>
      </c>
      <c r="C50" s="7">
        <v>2.00779E-4</v>
      </c>
      <c r="D50">
        <f t="shared" si="2"/>
        <v>117.40198922609977</v>
      </c>
      <c r="E50">
        <f t="shared" si="3"/>
        <v>106.34142982744193</v>
      </c>
      <c r="G50" s="7">
        <v>5.4022499999999997E-4</v>
      </c>
      <c r="H50" s="7">
        <v>1.5937500000000001E-4</v>
      </c>
      <c r="I50" s="6">
        <f t="shared" si="4"/>
        <v>78.029872994275848</v>
      </c>
      <c r="J50" s="6">
        <f t="shared" si="5"/>
        <v>97.801273947888419</v>
      </c>
      <c r="L50" s="7">
        <v>7.4123500000000003E-4</v>
      </c>
      <c r="M50" s="7">
        <v>1.7566000000000001E-4</v>
      </c>
      <c r="N50" s="6">
        <f t="shared" si="6"/>
        <v>65.056566348069538</v>
      </c>
      <c r="O50" s="6">
        <f t="shared" si="7"/>
        <v>89.450849390964265</v>
      </c>
      <c r="Q50">
        <f t="shared" si="0"/>
        <v>7.3066799999999996E-4</v>
      </c>
      <c r="R50">
        <f t="shared" si="1"/>
        <v>1.7860466666666668E-4</v>
      </c>
      <c r="T50">
        <f t="shared" si="8"/>
        <v>86.829476189481724</v>
      </c>
      <c r="U50">
        <f t="shared" si="9"/>
        <v>97.864517722098199</v>
      </c>
      <c r="W50">
        <f t="shared" si="10"/>
        <v>22.257367115403376</v>
      </c>
      <c r="X50">
        <f t="shared" si="11"/>
        <v>6.8956955995032496</v>
      </c>
    </row>
    <row r="51" spans="1:24" x14ac:dyDescent="0.35">
      <c r="A51" s="3">
        <v>318.25299999999999</v>
      </c>
      <c r="B51" s="7">
        <v>9.3287999999999997E-4</v>
      </c>
      <c r="C51" s="7">
        <v>2.0163900000000001E-4</v>
      </c>
      <c r="D51">
        <f t="shared" si="2"/>
        <v>120.28190588180685</v>
      </c>
      <c r="E51">
        <f t="shared" si="3"/>
        <v>106.79692382657331</v>
      </c>
      <c r="G51" s="7">
        <v>5.6102400000000003E-4</v>
      </c>
      <c r="H51" s="7">
        <v>1.6331599999999999E-4</v>
      </c>
      <c r="I51" s="6">
        <f t="shared" si="4"/>
        <v>81.034071852914295</v>
      </c>
      <c r="J51" s="6">
        <f t="shared" si="5"/>
        <v>100.2196885086955</v>
      </c>
      <c r="L51" s="7">
        <v>7.5532699999999997E-4</v>
      </c>
      <c r="M51" s="7">
        <v>1.7902799999999999E-4</v>
      </c>
      <c r="N51" s="6">
        <f t="shared" si="6"/>
        <v>66.293390206868708</v>
      </c>
      <c r="O51" s="6">
        <f t="shared" si="7"/>
        <v>91.165926589807299</v>
      </c>
      <c r="Q51">
        <f t="shared" si="0"/>
        <v>7.4974366666666662E-4</v>
      </c>
      <c r="R51">
        <f t="shared" si="1"/>
        <v>1.8132766666666668E-4</v>
      </c>
      <c r="T51">
        <f t="shared" si="8"/>
        <v>89.203122647196622</v>
      </c>
      <c r="U51">
        <f t="shared" si="9"/>
        <v>99.39417964169202</v>
      </c>
      <c r="W51">
        <f t="shared" si="10"/>
        <v>22.785082830007159</v>
      </c>
      <c r="X51">
        <f t="shared" si="11"/>
        <v>6.4079698980292052</v>
      </c>
    </row>
    <row r="52" spans="1:24" x14ac:dyDescent="0.35">
      <c r="A52" s="3">
        <v>324.49900000000002</v>
      </c>
      <c r="B52" s="7">
        <v>9.5615000000000001E-4</v>
      </c>
      <c r="C52" s="7">
        <v>2.0311600000000001E-4</v>
      </c>
      <c r="D52">
        <f t="shared" si="2"/>
        <v>123.28224885182406</v>
      </c>
      <c r="E52">
        <f t="shared" si="3"/>
        <v>107.57920828787222</v>
      </c>
      <c r="G52" s="7">
        <v>5.7907399999999995E-4</v>
      </c>
      <c r="H52" s="7">
        <v>1.6828200000000001E-4</v>
      </c>
      <c r="I52" s="6">
        <f t="shared" si="4"/>
        <v>83.641206301610055</v>
      </c>
      <c r="J52" s="6">
        <f t="shared" si="5"/>
        <v>103.26709949803016</v>
      </c>
      <c r="L52" s="7">
        <v>7.7003800000000002E-4</v>
      </c>
      <c r="M52" s="7">
        <v>1.7351500000000001E-4</v>
      </c>
      <c r="N52" s="6">
        <f t="shared" si="6"/>
        <v>67.584542334799053</v>
      </c>
      <c r="O52" s="6">
        <f t="shared" si="7"/>
        <v>88.358557053815133</v>
      </c>
      <c r="Q52">
        <f t="shared" si="0"/>
        <v>7.6842066666666655E-4</v>
      </c>
      <c r="R52">
        <f t="shared" si="1"/>
        <v>1.8163766666666665E-4</v>
      </c>
      <c r="T52">
        <f t="shared" si="8"/>
        <v>91.502665829411058</v>
      </c>
      <c r="U52">
        <f t="shared" si="9"/>
        <v>99.7349549465725</v>
      </c>
      <c r="W52">
        <f t="shared" si="10"/>
        <v>23.408125900273738</v>
      </c>
      <c r="X52">
        <f t="shared" si="11"/>
        <v>8.2346986309805352</v>
      </c>
    </row>
    <row r="53" spans="1:24" x14ac:dyDescent="0.35">
      <c r="A53" s="3">
        <v>330.63499999999999</v>
      </c>
      <c r="B53" s="7">
        <v>9.8441499999999999E-4</v>
      </c>
      <c r="C53" s="7">
        <v>2.0783800000000001E-4</v>
      </c>
      <c r="D53">
        <f t="shared" si="2"/>
        <v>126.92662762481659</v>
      </c>
      <c r="E53">
        <f t="shared" si="3"/>
        <v>110.08018812961453</v>
      </c>
      <c r="G53" s="7">
        <v>6.0186300000000001E-4</v>
      </c>
      <c r="H53" s="7">
        <v>1.7177699999999999E-4</v>
      </c>
      <c r="I53" s="6">
        <f t="shared" si="4"/>
        <v>86.932839927722426</v>
      </c>
      <c r="J53" s="6">
        <f t="shared" si="5"/>
        <v>105.41182390554621</v>
      </c>
      <c r="L53" s="7">
        <v>7.8506599999999995E-4</v>
      </c>
      <c r="M53" s="7">
        <v>1.7743899999999999E-4</v>
      </c>
      <c r="N53" s="6">
        <f t="shared" si="6"/>
        <v>68.903516855806274</v>
      </c>
      <c r="O53" s="6">
        <f t="shared" si="7"/>
        <v>90.356764574082376</v>
      </c>
      <c r="Q53">
        <f t="shared" si="0"/>
        <v>7.9044800000000002E-4</v>
      </c>
      <c r="R53">
        <f t="shared" si="1"/>
        <v>1.8568466666666665E-4</v>
      </c>
      <c r="T53">
        <f t="shared" si="8"/>
        <v>94.254328136115092</v>
      </c>
      <c r="U53">
        <f t="shared" si="9"/>
        <v>101.94959220308105</v>
      </c>
      <c r="W53">
        <f t="shared" si="10"/>
        <v>24.246972154854486</v>
      </c>
      <c r="X53">
        <f t="shared" si="11"/>
        <v>8.416002434208151</v>
      </c>
    </row>
    <row r="54" spans="1:24" x14ac:dyDescent="0.35">
      <c r="A54" s="3">
        <v>336.85700000000003</v>
      </c>
      <c r="B54" s="7">
        <v>1.0153499999999999E-3</v>
      </c>
      <c r="C54" s="7">
        <v>2.0961999999999999E-4</v>
      </c>
      <c r="D54">
        <f t="shared" si="2"/>
        <v>130.91526577597611</v>
      </c>
      <c r="E54">
        <f t="shared" si="3"/>
        <v>111.02401406734954</v>
      </c>
      <c r="G54" s="7">
        <v>6.2156899999999998E-4</v>
      </c>
      <c r="H54" s="7">
        <v>1.7243599999999999E-4</v>
      </c>
      <c r="I54" s="6">
        <f t="shared" si="4"/>
        <v>89.779166323622647</v>
      </c>
      <c r="J54" s="6">
        <f t="shared" si="5"/>
        <v>105.81622258496053</v>
      </c>
      <c r="L54" s="7">
        <v>7.9959499999999995E-4</v>
      </c>
      <c r="M54" s="7">
        <v>1.7661700000000001E-4</v>
      </c>
      <c r="N54" s="6">
        <f t="shared" si="6"/>
        <v>70.178695243862833</v>
      </c>
      <c r="O54" s="6">
        <f t="shared" si="7"/>
        <v>89.938179818307745</v>
      </c>
      <c r="Q54">
        <f t="shared" si="0"/>
        <v>8.1217133333333325E-4</v>
      </c>
      <c r="R54">
        <f t="shared" si="1"/>
        <v>1.8622433333333332E-4</v>
      </c>
      <c r="T54">
        <f t="shared" si="8"/>
        <v>96.957709114487201</v>
      </c>
      <c r="U54">
        <f t="shared" si="9"/>
        <v>102.2594721568726</v>
      </c>
      <c r="W54">
        <f t="shared" si="10"/>
        <v>25.309831521246142</v>
      </c>
      <c r="X54">
        <f t="shared" si="11"/>
        <v>8.968127143772131</v>
      </c>
    </row>
    <row r="55" spans="1:24" x14ac:dyDescent="0.35">
      <c r="A55" s="3">
        <v>343.11</v>
      </c>
      <c r="B55" s="7">
        <v>1.04306E-3</v>
      </c>
      <c r="C55" s="7">
        <v>2.1489799999999999E-4</v>
      </c>
      <c r="D55">
        <f t="shared" si="2"/>
        <v>134.4880850153047</v>
      </c>
      <c r="E55">
        <f t="shared" si="3"/>
        <v>113.81947607597216</v>
      </c>
      <c r="G55" s="7">
        <v>6.3990599999999998E-4</v>
      </c>
      <c r="H55" s="7">
        <v>1.7663499999999999E-4</v>
      </c>
      <c r="I55" s="6">
        <f t="shared" si="4"/>
        <v>92.427754932250608</v>
      </c>
      <c r="J55" s="6">
        <f t="shared" si="5"/>
        <v>108.39296014924091</v>
      </c>
      <c r="L55" s="7">
        <v>8.1562599999999996E-4</v>
      </c>
      <c r="M55" s="7">
        <v>1.7780000000000001E-4</v>
      </c>
      <c r="N55" s="6">
        <f t="shared" si="6"/>
        <v>71.585700869778918</v>
      </c>
      <c r="O55" s="6">
        <f t="shared" si="7"/>
        <v>90.540595592129392</v>
      </c>
      <c r="Q55">
        <f t="shared" si="0"/>
        <v>8.32864E-4</v>
      </c>
      <c r="R55">
        <f t="shared" si="1"/>
        <v>1.8977766666666666E-4</v>
      </c>
      <c r="T55">
        <f t="shared" si="8"/>
        <v>99.500513605778067</v>
      </c>
      <c r="U55">
        <f t="shared" si="9"/>
        <v>104.25101060578083</v>
      </c>
      <c r="W55">
        <f t="shared" si="10"/>
        <v>26.162255499584269</v>
      </c>
      <c r="X55">
        <f t="shared" si="11"/>
        <v>9.9446259745548282</v>
      </c>
    </row>
    <row r="56" spans="1:24" x14ac:dyDescent="0.35">
      <c r="A56" s="3">
        <v>349.24900000000002</v>
      </c>
      <c r="B56" s="7">
        <v>1.0656800000000001E-3</v>
      </c>
      <c r="C56" s="7">
        <v>2.2153799999999999E-4</v>
      </c>
      <c r="D56">
        <f t="shared" si="2"/>
        <v>137.4046195224723</v>
      </c>
      <c r="E56">
        <f t="shared" si="3"/>
        <v>117.33631346461446</v>
      </c>
      <c r="G56" s="7">
        <v>6.6372600000000001E-4</v>
      </c>
      <c r="H56" s="7">
        <v>1.8153000000000001E-4</v>
      </c>
      <c r="I56" s="6">
        <f t="shared" si="4"/>
        <v>95.868305767039175</v>
      </c>
      <c r="J56" s="6">
        <f t="shared" si="5"/>
        <v>111.39680162986782</v>
      </c>
      <c r="L56" s="7">
        <v>8.3454000000000004E-4</v>
      </c>
      <c r="M56" s="7">
        <v>1.8596199999999999E-4</v>
      </c>
      <c r="N56" s="6">
        <f t="shared" si="6"/>
        <v>73.245741067432007</v>
      </c>
      <c r="O56" s="6">
        <f t="shared" si="7"/>
        <v>94.696907972460991</v>
      </c>
      <c r="Q56">
        <f t="shared" si="0"/>
        <v>8.546486666666667E-4</v>
      </c>
      <c r="R56">
        <f t="shared" si="1"/>
        <v>1.9634333333333335E-4</v>
      </c>
      <c r="T56">
        <f t="shared" si="8"/>
        <v>102.17288878564783</v>
      </c>
      <c r="U56">
        <f t="shared" si="9"/>
        <v>107.81000768898109</v>
      </c>
      <c r="W56">
        <f t="shared" si="10"/>
        <v>26.569421602424288</v>
      </c>
      <c r="X56">
        <f t="shared" si="11"/>
        <v>9.5841705723664834</v>
      </c>
    </row>
    <row r="57" spans="1:24" x14ac:dyDescent="0.35">
      <c r="A57" s="3">
        <v>355.43799999999999</v>
      </c>
      <c r="B57" s="7">
        <v>1.10114E-3</v>
      </c>
      <c r="C57" s="7">
        <v>2.2639700000000001E-4</v>
      </c>
      <c r="D57">
        <f t="shared" si="2"/>
        <v>141.97669351116201</v>
      </c>
      <c r="E57">
        <f t="shared" si="3"/>
        <v>119.9098545597068</v>
      </c>
      <c r="G57" s="7">
        <v>6.8271599999999999E-4</v>
      </c>
      <c r="H57" s="7">
        <v>1.84265E-4</v>
      </c>
      <c r="I57" s="6">
        <f t="shared" si="4"/>
        <v>98.611213422481441</v>
      </c>
      <c r="J57" s="6">
        <f t="shared" si="5"/>
        <v>113.07514819769511</v>
      </c>
      <c r="L57" s="7">
        <v>8.4556300000000002E-4</v>
      </c>
      <c r="M57" s="7">
        <v>1.8362399999999999E-4</v>
      </c>
      <c r="N57" s="6">
        <f t="shared" si="6"/>
        <v>74.213205543414347</v>
      </c>
      <c r="O57" s="6">
        <f t="shared" si="7"/>
        <v>93.506334786328267</v>
      </c>
      <c r="Q57">
        <f t="shared" si="0"/>
        <v>8.7647300000000001E-4</v>
      </c>
      <c r="R57">
        <f t="shared" si="1"/>
        <v>1.9809533333333331E-4</v>
      </c>
      <c r="T57">
        <f t="shared" si="8"/>
        <v>104.93370415901927</v>
      </c>
      <c r="U57">
        <f t="shared" si="9"/>
        <v>108.83044584791007</v>
      </c>
      <c r="W57">
        <f t="shared" si="10"/>
        <v>28.023240262610301</v>
      </c>
      <c r="X57">
        <f t="shared" si="11"/>
        <v>11.189268300012483</v>
      </c>
    </row>
    <row r="58" spans="1:24" x14ac:dyDescent="0.35">
      <c r="A58" s="3">
        <v>361.74700000000001</v>
      </c>
      <c r="B58" s="7">
        <v>1.12907E-3</v>
      </c>
      <c r="C58" s="7">
        <v>2.3242799999999999E-4</v>
      </c>
      <c r="D58">
        <f t="shared" si="2"/>
        <v>145.57787869176281</v>
      </c>
      <c r="E58">
        <f t="shared" si="3"/>
        <v>123.10413863966187</v>
      </c>
      <c r="G58" s="7">
        <v>7.0494500000000001E-4</v>
      </c>
      <c r="H58" s="7">
        <v>1.8787799999999999E-4</v>
      </c>
      <c r="I58" s="6">
        <f t="shared" si="4"/>
        <v>101.8219608828725</v>
      </c>
      <c r="J58" s="6">
        <f t="shared" si="5"/>
        <v>115.29228390137337</v>
      </c>
      <c r="L58" s="7">
        <v>8.6682999999999997E-4</v>
      </c>
      <c r="M58" s="7">
        <v>1.9118E-4</v>
      </c>
      <c r="N58" s="6">
        <f t="shared" si="6"/>
        <v>76.079763378007144</v>
      </c>
      <c r="O58" s="6">
        <f t="shared" si="7"/>
        <v>97.354055485395364</v>
      </c>
      <c r="Q58">
        <f t="shared" si="0"/>
        <v>9.002816666666666E-4</v>
      </c>
      <c r="R58">
        <f t="shared" si="1"/>
        <v>2.0382866666666664E-4</v>
      </c>
      <c r="T58">
        <f t="shared" si="8"/>
        <v>107.82653431754748</v>
      </c>
      <c r="U58">
        <f t="shared" si="9"/>
        <v>111.91682600881019</v>
      </c>
      <c r="W58">
        <f t="shared" si="10"/>
        <v>28.688420249760735</v>
      </c>
      <c r="X58">
        <f t="shared" si="11"/>
        <v>10.77998090911297</v>
      </c>
    </row>
    <row r="59" spans="1:24" x14ac:dyDescent="0.35">
      <c r="A59" s="3">
        <v>367.81400000000002</v>
      </c>
      <c r="B59" s="7">
        <v>1.1544599999999999E-3</v>
      </c>
      <c r="C59" s="7">
        <v>2.34081E-4</v>
      </c>
      <c r="D59">
        <f t="shared" si="2"/>
        <v>148.85156618676652</v>
      </c>
      <c r="E59">
        <f t="shared" si="3"/>
        <v>123.97964047752721</v>
      </c>
      <c r="G59" s="7">
        <v>7.2467400000000002E-4</v>
      </c>
      <c r="H59" s="7">
        <v>1.9123999999999999E-4</v>
      </c>
      <c r="I59" s="6">
        <f t="shared" si="4"/>
        <v>104.67160938915056</v>
      </c>
      <c r="J59" s="6">
        <f t="shared" si="5"/>
        <v>117.35539218694389</v>
      </c>
      <c r="L59" s="7">
        <v>8.8033100000000004E-4</v>
      </c>
      <c r="M59" s="7">
        <v>1.8886E-4</v>
      </c>
      <c r="N59" s="6">
        <f t="shared" si="6"/>
        <v>77.26471646611725</v>
      </c>
      <c r="O59" s="6">
        <f t="shared" si="7"/>
        <v>96.172648388805143</v>
      </c>
      <c r="Q59">
        <f t="shared" si="0"/>
        <v>9.1982166666666667E-4</v>
      </c>
      <c r="R59">
        <f t="shared" si="1"/>
        <v>2.0472700000000001E-4</v>
      </c>
      <c r="T59">
        <f t="shared" si="8"/>
        <v>110.26263068067811</v>
      </c>
      <c r="U59">
        <f t="shared" si="9"/>
        <v>112.50256035109209</v>
      </c>
      <c r="W59">
        <f t="shared" si="10"/>
        <v>29.491398774822901</v>
      </c>
      <c r="X59">
        <f t="shared" si="11"/>
        <v>11.859445880137246</v>
      </c>
    </row>
    <row r="60" spans="1:24" x14ac:dyDescent="0.35">
      <c r="A60" s="3">
        <v>374.17599999999999</v>
      </c>
      <c r="B60" s="7">
        <v>1.17836E-3</v>
      </c>
      <c r="C60" s="7">
        <v>2.3412800000000001E-4</v>
      </c>
      <c r="D60">
        <f t="shared" si="2"/>
        <v>151.93313889769954</v>
      </c>
      <c r="E60">
        <f t="shared" si="3"/>
        <v>124.00453375422391</v>
      </c>
      <c r="G60" s="7">
        <v>7.4766399999999999E-4</v>
      </c>
      <c r="H60" s="7">
        <v>1.9496300000000001E-4</v>
      </c>
      <c r="I60" s="6">
        <f t="shared" si="4"/>
        <v>107.99227537117362</v>
      </c>
      <c r="J60" s="6">
        <f t="shared" si="5"/>
        <v>119.64002994636655</v>
      </c>
      <c r="L60" s="7">
        <v>9.0020900000000001E-4</v>
      </c>
      <c r="M60" s="7">
        <v>1.9418300000000001E-4</v>
      </c>
      <c r="N60" s="6">
        <f t="shared" si="6"/>
        <v>79.009364824420516</v>
      </c>
      <c r="O60" s="6">
        <f t="shared" si="7"/>
        <v>98.883264757404163</v>
      </c>
      <c r="Q60">
        <f t="shared" si="0"/>
        <v>9.4207766666666668E-4</v>
      </c>
      <c r="R60">
        <f t="shared" si="1"/>
        <v>2.0775800000000003E-4</v>
      </c>
      <c r="T60">
        <f t="shared" si="8"/>
        <v>112.97825969776456</v>
      </c>
      <c r="U60">
        <f t="shared" si="9"/>
        <v>114.17594281933155</v>
      </c>
      <c r="W60">
        <f t="shared" si="10"/>
        <v>29.979039745033173</v>
      </c>
      <c r="X60">
        <f t="shared" si="11"/>
        <v>10.95937118334553</v>
      </c>
    </row>
    <row r="61" spans="1:24" x14ac:dyDescent="0.35">
      <c r="A61" s="3">
        <v>380.25700000000001</v>
      </c>
      <c r="B61" s="7">
        <v>1.2058399999999999E-3</v>
      </c>
      <c r="C61" s="7">
        <v>2.36748E-4</v>
      </c>
      <c r="D61">
        <f t="shared" si="2"/>
        <v>155.47630283478901</v>
      </c>
      <c r="E61">
        <f t="shared" si="3"/>
        <v>125.39220151901954</v>
      </c>
      <c r="G61" s="7">
        <v>7.6891500000000001E-4</v>
      </c>
      <c r="H61" s="7">
        <v>1.9654500000000001E-4</v>
      </c>
      <c r="I61" s="6">
        <f t="shared" si="4"/>
        <v>111.06176092071567</v>
      </c>
      <c r="J61" s="6">
        <f t="shared" si="5"/>
        <v>120.61083223898183</v>
      </c>
      <c r="L61" s="7">
        <v>9.1289099999999998E-4</v>
      </c>
      <c r="M61" s="7">
        <v>1.9184900000000001E-4</v>
      </c>
      <c r="N61" s="6">
        <f t="shared" si="6"/>
        <v>80.122436083098549</v>
      </c>
      <c r="O61" s="6">
        <f t="shared" si="7"/>
        <v>97.694728480058671</v>
      </c>
      <c r="Q61">
        <f t="shared" si="0"/>
        <v>9.6254866666666656E-4</v>
      </c>
      <c r="R61">
        <f t="shared" si="1"/>
        <v>2.0838066666666665E-4</v>
      </c>
      <c r="T61">
        <f t="shared" si="8"/>
        <v>115.55349994620109</v>
      </c>
      <c r="U61">
        <f t="shared" si="9"/>
        <v>114.56592074602001</v>
      </c>
      <c r="W61">
        <f t="shared" si="10"/>
        <v>30.926613115704328</v>
      </c>
      <c r="X61">
        <f t="shared" si="11"/>
        <v>12.088375115630758</v>
      </c>
    </row>
    <row r="62" spans="1:24" x14ac:dyDescent="0.35">
      <c r="A62" s="3">
        <v>386.47300000000001</v>
      </c>
      <c r="B62" s="7">
        <v>1.23117E-3</v>
      </c>
      <c r="C62" s="7">
        <v>2.3706899999999999E-4</v>
      </c>
      <c r="D62">
        <f t="shared" si="2"/>
        <v>158.74225416399125</v>
      </c>
      <c r="E62">
        <f t="shared" si="3"/>
        <v>125.56221730241623</v>
      </c>
      <c r="G62" s="7">
        <v>7.9109299999999998E-4</v>
      </c>
      <c r="H62" s="7">
        <v>2.0042899999999999E-4</v>
      </c>
      <c r="I62" s="6">
        <f t="shared" si="4"/>
        <v>114.26514196244281</v>
      </c>
      <c r="J62" s="6">
        <f t="shared" si="5"/>
        <v>122.99426846181225</v>
      </c>
      <c r="L62" s="7">
        <v>9.3311499999999999E-4</v>
      </c>
      <c r="M62" s="7">
        <v>1.9321E-4</v>
      </c>
      <c r="N62" s="6">
        <f t="shared" si="6"/>
        <v>81.897452100722319</v>
      </c>
      <c r="O62" s="6">
        <f t="shared" si="7"/>
        <v>98.38778669491181</v>
      </c>
      <c r="Q62">
        <f t="shared" si="0"/>
        <v>9.8512600000000001E-4</v>
      </c>
      <c r="R62">
        <f t="shared" si="1"/>
        <v>2.1023600000000001E-4</v>
      </c>
      <c r="T62">
        <f t="shared" si="8"/>
        <v>118.3016160757188</v>
      </c>
      <c r="U62">
        <f t="shared" si="9"/>
        <v>115.64809081971343</v>
      </c>
      <c r="W62">
        <f t="shared" si="10"/>
        <v>31.501330590797838</v>
      </c>
      <c r="X62">
        <f t="shared" si="11"/>
        <v>12.249820792497903</v>
      </c>
    </row>
    <row r="63" spans="1:24" x14ac:dyDescent="0.35">
      <c r="A63" s="3">
        <v>392.72</v>
      </c>
      <c r="B63" s="7">
        <v>1.2578000000000001E-3</v>
      </c>
      <c r="C63" s="7">
        <v>2.4126700000000001E-4</v>
      </c>
      <c r="D63">
        <f t="shared" si="2"/>
        <v>162.17582241889278</v>
      </c>
      <c r="E63">
        <f t="shared" si="3"/>
        <v>127.78566359119945</v>
      </c>
      <c r="G63" s="7">
        <v>8.1534800000000003E-4</v>
      </c>
      <c r="H63" s="7">
        <v>2.04988E-4</v>
      </c>
      <c r="I63" s="6">
        <f t="shared" si="4"/>
        <v>117.76852401524704</v>
      </c>
      <c r="J63" s="6">
        <f t="shared" si="5"/>
        <v>125.79192184489256</v>
      </c>
      <c r="L63" s="7">
        <v>9.5004400000000004E-4</v>
      </c>
      <c r="M63" s="7">
        <v>1.95708E-4</v>
      </c>
      <c r="N63" s="6">
        <f t="shared" si="6"/>
        <v>83.383273212389312</v>
      </c>
      <c r="O63" s="6">
        <f t="shared" si="7"/>
        <v>99.659836232533507</v>
      </c>
      <c r="Q63">
        <f t="shared" si="0"/>
        <v>1.0077306666666668E-3</v>
      </c>
      <c r="R63">
        <f t="shared" si="1"/>
        <v>2.1398766666666665E-4</v>
      </c>
      <c r="T63">
        <f t="shared" si="8"/>
        <v>121.10920654884303</v>
      </c>
      <c r="U63">
        <f t="shared" si="9"/>
        <v>117.74580722287517</v>
      </c>
      <c r="W63">
        <f t="shared" si="10"/>
        <v>32.25354318993525</v>
      </c>
      <c r="X63">
        <f t="shared" si="11"/>
        <v>12.814588341296766</v>
      </c>
    </row>
    <row r="64" spans="1:24" x14ac:dyDescent="0.35">
      <c r="A64" s="3">
        <v>398.84699999999998</v>
      </c>
      <c r="B64" s="7">
        <v>1.2803300000000001E-3</v>
      </c>
      <c r="C64" s="7">
        <v>2.4650900000000001E-4</v>
      </c>
      <c r="D64">
        <f t="shared" si="2"/>
        <v>165.08075267735808</v>
      </c>
      <c r="E64">
        <f t="shared" si="3"/>
        <v>130.56205840916073</v>
      </c>
      <c r="G64" s="7">
        <v>8.3689599999999995E-4</v>
      </c>
      <c r="H64" s="7">
        <v>2.0783999999999999E-4</v>
      </c>
      <c r="I64" s="6">
        <f t="shared" si="4"/>
        <v>120.88090812053771</v>
      </c>
      <c r="J64" s="6">
        <f t="shared" si="5"/>
        <v>127.54206605382983</v>
      </c>
      <c r="L64" s="7">
        <v>9.68096E-4</v>
      </c>
      <c r="M64" s="7">
        <v>2.00108E-4</v>
      </c>
      <c r="N64" s="6">
        <f t="shared" si="6"/>
        <v>84.967657565145643</v>
      </c>
      <c r="O64" s="6">
        <f t="shared" si="7"/>
        <v>101.90043589848045</v>
      </c>
      <c r="Q64">
        <f t="shared" si="0"/>
        <v>1.0284406666666666E-3</v>
      </c>
      <c r="R64">
        <f t="shared" si="1"/>
        <v>2.1815233333333334E-4</v>
      </c>
      <c r="T64">
        <f t="shared" si="8"/>
        <v>123.64310612101382</v>
      </c>
      <c r="U64">
        <f t="shared" si="9"/>
        <v>120.00152012049034</v>
      </c>
      <c r="W64">
        <f t="shared" si="10"/>
        <v>32.764302784788725</v>
      </c>
      <c r="X64">
        <f t="shared" si="11"/>
        <v>12.858642384683865</v>
      </c>
    </row>
    <row r="65" spans="1:24" x14ac:dyDescent="0.35">
      <c r="A65" s="3">
        <v>405.13499999999999</v>
      </c>
      <c r="B65" s="7">
        <v>1.30963E-3</v>
      </c>
      <c r="C65" s="7">
        <v>2.5000499999999998E-4</v>
      </c>
      <c r="D65">
        <f t="shared" si="2"/>
        <v>168.85858031042656</v>
      </c>
      <c r="E65">
        <f t="shared" si="3"/>
        <v>132.41369448004829</v>
      </c>
      <c r="G65" s="7">
        <v>8.6123799999999996E-4</v>
      </c>
      <c r="H65" s="7">
        <v>2.1219399999999999E-4</v>
      </c>
      <c r="I65" s="6">
        <f t="shared" si="4"/>
        <v>124.39685641694507</v>
      </c>
      <c r="J65" s="6">
        <f t="shared" si="5"/>
        <v>130.2139201512046</v>
      </c>
      <c r="L65" s="7">
        <v>9.8400399999999991E-4</v>
      </c>
      <c r="M65" s="7">
        <v>1.9916700000000001E-4</v>
      </c>
      <c r="N65" s="6">
        <f t="shared" si="6"/>
        <v>86.36386775147669</v>
      </c>
      <c r="O65" s="6">
        <f t="shared" si="7"/>
        <v>101.42125310628592</v>
      </c>
      <c r="Q65">
        <f t="shared" si="0"/>
        <v>1.0516239999999999E-3</v>
      </c>
      <c r="R65">
        <f t="shared" si="1"/>
        <v>2.2045533333333331E-4</v>
      </c>
      <c r="T65">
        <f t="shared" si="8"/>
        <v>126.53976815961609</v>
      </c>
      <c r="U65">
        <f t="shared" si="9"/>
        <v>121.3496225791796</v>
      </c>
      <c r="W65">
        <f t="shared" si="10"/>
        <v>33.712395871534746</v>
      </c>
      <c r="X65">
        <f t="shared" si="11"/>
        <v>14.120072808135763</v>
      </c>
    </row>
    <row r="66" spans="1:24" x14ac:dyDescent="0.35">
      <c r="A66" s="3">
        <v>411.31299999999999</v>
      </c>
      <c r="B66" s="7">
        <v>1.33741E-3</v>
      </c>
      <c r="C66" s="7">
        <v>2.54028E-4</v>
      </c>
      <c r="D66">
        <f t="shared" si="2"/>
        <v>172.44042507652358</v>
      </c>
      <c r="E66">
        <f t="shared" si="3"/>
        <v>134.54445303645011</v>
      </c>
      <c r="G66" s="7">
        <v>8.8365899999999996E-4</v>
      </c>
      <c r="H66" s="7">
        <v>2.1438300000000001E-4</v>
      </c>
      <c r="I66" s="6">
        <f t="shared" si="4"/>
        <v>127.635336277012</v>
      </c>
      <c r="J66" s="6">
        <f t="shared" si="5"/>
        <v>131.55721106051868</v>
      </c>
      <c r="L66" s="7">
        <v>9.9891900000000002E-4</v>
      </c>
      <c r="M66" s="7">
        <v>1.97424E-4</v>
      </c>
      <c r="N66" s="6">
        <f t="shared" si="6"/>
        <v>87.67292451091393</v>
      </c>
      <c r="O66" s="6">
        <f t="shared" si="7"/>
        <v>100.53367010225283</v>
      </c>
      <c r="Q66">
        <f t="shared" si="0"/>
        <v>1.0733293333333334E-3</v>
      </c>
      <c r="R66">
        <f t="shared" si="1"/>
        <v>2.21945E-4</v>
      </c>
      <c r="T66">
        <f t="shared" si="8"/>
        <v>129.2495619548165</v>
      </c>
      <c r="U66">
        <f t="shared" si="9"/>
        <v>122.21177806640719</v>
      </c>
      <c r="W66">
        <f t="shared" si="10"/>
        <v>34.625006199174635</v>
      </c>
      <c r="X66">
        <f t="shared" si="11"/>
        <v>15.377173067783517</v>
      </c>
    </row>
    <row r="67" spans="1:24" x14ac:dyDescent="0.35">
      <c r="A67" s="3">
        <v>417.62599999999998</v>
      </c>
      <c r="B67" s="7">
        <v>1.3635800000000001E-3</v>
      </c>
      <c r="C67" s="7">
        <v>2.5960499999999999E-4</v>
      </c>
      <c r="D67">
        <f t="shared" si="2"/>
        <v>175.8146827269469</v>
      </c>
      <c r="E67">
        <f t="shared" si="3"/>
        <v>137.49827865639864</v>
      </c>
      <c r="G67" s="7">
        <v>9.1175499999999999E-4</v>
      </c>
      <c r="H67" s="7">
        <v>2.1839599999999999E-4</v>
      </c>
      <c r="I67" s="6">
        <f t="shared" si="4"/>
        <v>131.69351076291542</v>
      </c>
      <c r="J67" s="6">
        <f t="shared" si="5"/>
        <v>134.01980878508573</v>
      </c>
      <c r="L67" s="7">
        <v>1.01906E-3</v>
      </c>
      <c r="M67" s="7">
        <v>2.0377500000000001E-4</v>
      </c>
      <c r="N67" s="6">
        <f t="shared" si="6"/>
        <v>89.440655801012838</v>
      </c>
      <c r="O67" s="6">
        <f t="shared" si="7"/>
        <v>103.76777202916854</v>
      </c>
      <c r="Q67">
        <f t="shared" ref="Q67:R109" si="12">AVERAGE(B67,G67,L67)</f>
        <v>1.0981316666666666E-3</v>
      </c>
      <c r="R67">
        <f t="shared" si="12"/>
        <v>2.2725866666666668E-4</v>
      </c>
      <c r="T67">
        <f t="shared" si="8"/>
        <v>132.31628309695839</v>
      </c>
      <c r="U67">
        <f t="shared" si="9"/>
        <v>125.09528649021763</v>
      </c>
      <c r="W67">
        <f t="shared" si="10"/>
        <v>35.264798462352701</v>
      </c>
      <c r="X67">
        <f t="shared" si="11"/>
        <v>15.147543100584702</v>
      </c>
    </row>
    <row r="68" spans="1:24" x14ac:dyDescent="0.35">
      <c r="A68" s="3">
        <v>423.83800000000002</v>
      </c>
      <c r="B68" s="7">
        <v>1.39701E-3</v>
      </c>
      <c r="C68" s="7">
        <v>2.6224899999999999E-4</v>
      </c>
      <c r="D68">
        <f t="shared" ref="D68:D109" si="13">B68/$B$3*100</f>
        <v>180.12501643935232</v>
      </c>
      <c r="E68">
        <f t="shared" ref="E68:E109" si="14">C68/$C$3*100</f>
        <v>138.8986578816351</v>
      </c>
      <c r="G68" s="7">
        <v>9.3485699999999998E-4</v>
      </c>
      <c r="H68" s="7">
        <v>2.21528E-4</v>
      </c>
      <c r="I68" s="6">
        <f t="shared" ref="I68:I109" si="15">G68/$G$3*100</f>
        <v>135.03035397808273</v>
      </c>
      <c r="J68" s="6">
        <f t="shared" ref="J68:J109" si="16">H68/$H$3*100</f>
        <v>135.94177640864518</v>
      </c>
      <c r="L68" s="7">
        <v>1.0338599999999999E-3</v>
      </c>
      <c r="M68" s="7">
        <v>2.0125899999999999E-4</v>
      </c>
      <c r="N68" s="6">
        <f t="shared" ref="N68:N109" si="17">L68/$L$3*100</f>
        <v>90.739619263277078</v>
      </c>
      <c r="O68" s="6">
        <f t="shared" ref="O68:O109" si="18">M68/$M$3*100</f>
        <v>102.4865564020043</v>
      </c>
      <c r="Q68">
        <f t="shared" si="12"/>
        <v>1.1219089999999999E-3</v>
      </c>
      <c r="R68">
        <f t="shared" si="12"/>
        <v>2.2834533333333332E-4</v>
      </c>
      <c r="T68">
        <f t="shared" ref="T68:T109" si="19">AVERAGE(D68,I68,N68)</f>
        <v>135.2983298935707</v>
      </c>
      <c r="U68">
        <f t="shared" ref="U68:U109" si="20">AVERAGE(E68,J68,O68)</f>
        <v>125.77566356409487</v>
      </c>
      <c r="W68">
        <f t="shared" ref="W68:W109" si="21">_xlfn.STDEV.P(D68,I68,N68)</f>
        <v>36.49192755847649</v>
      </c>
      <c r="X68">
        <f t="shared" ref="X68:X109" si="22">_xlfn.STDEV.P(E68,J68,O68)</f>
        <v>16.512069753503042</v>
      </c>
    </row>
    <row r="69" spans="1:24" x14ac:dyDescent="0.35">
      <c r="A69" s="3">
        <v>430.04700000000003</v>
      </c>
      <c r="B69" s="7">
        <v>1.4330600000000001E-3</v>
      </c>
      <c r="C69" s="7">
        <v>2.6832499999999998E-4</v>
      </c>
      <c r="D69">
        <f t="shared" si="13"/>
        <v>184.7731627250902</v>
      </c>
      <c r="E69">
        <f t="shared" si="14"/>
        <v>142.11677594991684</v>
      </c>
      <c r="G69" s="7">
        <v>9.5967000000000003E-4</v>
      </c>
      <c r="H69" s="7">
        <v>2.2224199999999999E-4</v>
      </c>
      <c r="I69" s="6">
        <f t="shared" si="15"/>
        <v>138.61433331744496</v>
      </c>
      <c r="J69" s="6">
        <f t="shared" si="16"/>
        <v>136.37992611593171</v>
      </c>
      <c r="L69" s="7">
        <v>1.0494300000000001E-3</v>
      </c>
      <c r="M69" s="7">
        <v>1.9914600000000001E-4</v>
      </c>
      <c r="N69" s="6">
        <f t="shared" si="17"/>
        <v>92.106163932699658</v>
      </c>
      <c r="O69" s="6">
        <f t="shared" si="18"/>
        <v>101.41055933515297</v>
      </c>
      <c r="Q69">
        <f t="shared" si="12"/>
        <v>1.1473866666666668E-3</v>
      </c>
      <c r="R69">
        <f t="shared" si="12"/>
        <v>2.2990433333333331E-4</v>
      </c>
      <c r="T69">
        <f t="shared" si="19"/>
        <v>138.4978866584116</v>
      </c>
      <c r="U69">
        <f t="shared" si="20"/>
        <v>126.63575380033386</v>
      </c>
      <c r="W69">
        <f t="shared" si="21"/>
        <v>37.831233446853851</v>
      </c>
      <c r="X69">
        <f t="shared" si="22"/>
        <v>17.990009975151217</v>
      </c>
    </row>
    <row r="70" spans="1:24" x14ac:dyDescent="0.35">
      <c r="A70" s="3">
        <v>436.12299999999999</v>
      </c>
      <c r="B70" s="7">
        <v>1.4665399999999999E-3</v>
      </c>
      <c r="C70" s="7">
        <v>2.6990599999999999E-4</v>
      </c>
      <c r="D70">
        <f t="shared" si="13"/>
        <v>189.08994324233024</v>
      </c>
      <c r="E70">
        <f t="shared" si="14"/>
        <v>142.95414340645954</v>
      </c>
      <c r="G70" s="7">
        <v>9.8948999999999999E-4</v>
      </c>
      <c r="H70" s="7">
        <v>2.31986E-4</v>
      </c>
      <c r="I70" s="6">
        <f t="shared" si="15"/>
        <v>142.92152164210469</v>
      </c>
      <c r="J70" s="6">
        <f t="shared" si="16"/>
        <v>142.35938094478334</v>
      </c>
      <c r="L70" s="7">
        <v>1.06766E-3</v>
      </c>
      <c r="M70" s="7">
        <v>2.01239E-4</v>
      </c>
      <c r="N70" s="6">
        <f t="shared" si="17"/>
        <v>93.706170954123763</v>
      </c>
      <c r="O70" s="6">
        <f t="shared" si="18"/>
        <v>102.47637185806819</v>
      </c>
      <c r="Q70">
        <f t="shared" si="12"/>
        <v>1.1745633333333332E-3</v>
      </c>
      <c r="R70">
        <f t="shared" si="12"/>
        <v>2.34377E-4</v>
      </c>
      <c r="T70">
        <f t="shared" si="19"/>
        <v>141.90587861285289</v>
      </c>
      <c r="U70">
        <f t="shared" si="20"/>
        <v>129.26329873643704</v>
      </c>
      <c r="W70">
        <f t="shared" si="21"/>
        <v>38.946883932301581</v>
      </c>
      <c r="X70">
        <f t="shared" si="22"/>
        <v>18.942773895547624</v>
      </c>
    </row>
    <row r="71" spans="1:24" x14ac:dyDescent="0.35">
      <c r="A71" s="3">
        <v>449.61900000000003</v>
      </c>
      <c r="B71" s="7">
        <v>3.4471099999999998E-6</v>
      </c>
      <c r="C71" s="7">
        <v>2.0382700000000001E-5</v>
      </c>
      <c r="D71">
        <f t="shared" si="13"/>
        <v>0.44445690826712464</v>
      </c>
      <c r="E71">
        <f t="shared" si="14"/>
        <v>10.795578530343317</v>
      </c>
      <c r="G71" s="7">
        <v>4.4719600000000003E-6</v>
      </c>
      <c r="H71" s="7">
        <v>1.7934000000000001E-5</v>
      </c>
      <c r="I71" s="6">
        <f t="shared" si="15"/>
        <v>0.64592803153404943</v>
      </c>
      <c r="J71" s="6">
        <f t="shared" si="16"/>
        <v>11.005289706550156</v>
      </c>
      <c r="L71" s="7">
        <v>5.43032E-6</v>
      </c>
      <c r="M71" s="7">
        <v>1.90244E-5</v>
      </c>
      <c r="N71" s="6">
        <f t="shared" si="17"/>
        <v>0.47660724786504827</v>
      </c>
      <c r="O71" s="6">
        <f t="shared" si="18"/>
        <v>9.6877418829184823</v>
      </c>
      <c r="Q71">
        <f t="shared" si="12"/>
        <v>4.4497966666666672E-6</v>
      </c>
      <c r="R71">
        <f t="shared" si="12"/>
        <v>1.91137E-5</v>
      </c>
      <c r="T71">
        <f t="shared" si="19"/>
        <v>0.52233072922207413</v>
      </c>
      <c r="U71">
        <f t="shared" si="20"/>
        <v>10.496203373270651</v>
      </c>
      <c r="W71">
        <f t="shared" si="21"/>
        <v>8.8376584146721643E-2</v>
      </c>
      <c r="X71">
        <f t="shared" si="22"/>
        <v>0.57804393165995749</v>
      </c>
    </row>
    <row r="72" spans="1:24" x14ac:dyDescent="0.35">
      <c r="A72" s="3">
        <v>455.80900000000003</v>
      </c>
      <c r="B72" s="7">
        <v>3.4174500000000002E-6</v>
      </c>
      <c r="C72" s="7">
        <v>2.0023499999999999E-5</v>
      </c>
      <c r="D72">
        <f t="shared" si="13"/>
        <v>0.44063266363924719</v>
      </c>
      <c r="E72">
        <f t="shared" si="14"/>
        <v>10.605330339078208</v>
      </c>
      <c r="G72" s="7">
        <v>4.3949199999999998E-6</v>
      </c>
      <c r="H72" s="7">
        <v>1.7635500000000001E-5</v>
      </c>
      <c r="I72" s="6">
        <f t="shared" si="15"/>
        <v>0.63480040616410349</v>
      </c>
      <c r="J72" s="6">
        <f t="shared" si="16"/>
        <v>10.822113673461875</v>
      </c>
      <c r="L72" s="7">
        <v>5.3944600000000004E-6</v>
      </c>
      <c r="M72" s="7">
        <v>1.8836799999999999E-5</v>
      </c>
      <c r="N72" s="6">
        <f t="shared" si="17"/>
        <v>0.47345989450310261</v>
      </c>
      <c r="O72" s="6">
        <f t="shared" si="18"/>
        <v>9.5922108607976515</v>
      </c>
      <c r="Q72">
        <f t="shared" si="12"/>
        <v>4.4022766666666666E-6</v>
      </c>
      <c r="R72">
        <f t="shared" si="12"/>
        <v>1.8831933333333332E-5</v>
      </c>
      <c r="T72">
        <f t="shared" si="19"/>
        <v>0.51629765476881773</v>
      </c>
      <c r="U72">
        <f t="shared" si="20"/>
        <v>10.339884957779246</v>
      </c>
      <c r="W72">
        <f t="shared" si="21"/>
        <v>8.4859033452493002E-2</v>
      </c>
      <c r="X72">
        <f t="shared" si="22"/>
        <v>0.53604177075395631</v>
      </c>
    </row>
    <row r="73" spans="1:24" x14ac:dyDescent="0.35">
      <c r="A73" s="3">
        <v>461.90699999999998</v>
      </c>
      <c r="B73" s="7">
        <v>3.3558999999999999E-6</v>
      </c>
      <c r="C73" s="7">
        <v>1.9904000000000001E-5</v>
      </c>
      <c r="D73">
        <f t="shared" si="13"/>
        <v>0.43269664688786946</v>
      </c>
      <c r="E73">
        <f t="shared" si="14"/>
        <v>10.542037858966347</v>
      </c>
      <c r="G73" s="7">
        <v>4.3139000000000003E-6</v>
      </c>
      <c r="H73" s="7">
        <v>1.7394700000000001E-5</v>
      </c>
      <c r="I73" s="6">
        <f t="shared" si="15"/>
        <v>0.62309791125920977</v>
      </c>
      <c r="J73" s="6">
        <f t="shared" si="16"/>
        <v>10.674345536886806</v>
      </c>
      <c r="L73" s="7">
        <v>5.3654899999999999E-6</v>
      </c>
      <c r="M73" s="7">
        <v>1.87507E-5</v>
      </c>
      <c r="N73" s="6">
        <f t="shared" si="17"/>
        <v>0.47091726129352185</v>
      </c>
      <c r="O73" s="6">
        <f t="shared" si="18"/>
        <v>9.5483663991526448</v>
      </c>
      <c r="Q73">
        <f t="shared" si="12"/>
        <v>4.3450966666666663E-6</v>
      </c>
      <c r="R73">
        <f t="shared" si="12"/>
        <v>1.8683133333333334E-5</v>
      </c>
      <c r="T73">
        <f t="shared" si="19"/>
        <v>0.50890393981353377</v>
      </c>
      <c r="U73">
        <f t="shared" si="20"/>
        <v>10.254916598335265</v>
      </c>
      <c r="W73">
        <f t="shared" si="21"/>
        <v>8.2241113713633532E-2</v>
      </c>
      <c r="X73">
        <f t="shared" si="22"/>
        <v>0.50251780624035425</v>
      </c>
    </row>
    <row r="74" spans="1:24" x14ac:dyDescent="0.35">
      <c r="A74" s="3">
        <v>468.21</v>
      </c>
      <c r="B74" s="7">
        <v>3.3070799999999999E-6</v>
      </c>
      <c r="C74" s="7">
        <v>1.94629E-5</v>
      </c>
      <c r="D74">
        <f t="shared" si="13"/>
        <v>0.42640198664737783</v>
      </c>
      <c r="E74">
        <f t="shared" si="14"/>
        <v>10.308411808946749</v>
      </c>
      <c r="G74" s="7">
        <v>4.2451399999999996E-6</v>
      </c>
      <c r="H74" s="7">
        <v>1.7249400000000001E-5</v>
      </c>
      <c r="I74" s="6">
        <f t="shared" si="15"/>
        <v>0.6131662456252861</v>
      </c>
      <c r="J74" s="6">
        <f t="shared" si="16"/>
        <v>10.585181457798944</v>
      </c>
      <c r="L74" s="7">
        <v>5.3375799999999998E-6</v>
      </c>
      <c r="M74" s="7">
        <v>1.86458E-5</v>
      </c>
      <c r="N74" s="6">
        <f t="shared" si="17"/>
        <v>0.46846766195353567</v>
      </c>
      <c r="O74" s="6">
        <f t="shared" si="18"/>
        <v>9.4949484662076831</v>
      </c>
      <c r="Q74">
        <f t="shared" si="12"/>
        <v>4.2965999999999997E-6</v>
      </c>
      <c r="R74">
        <f t="shared" si="12"/>
        <v>1.84527E-5</v>
      </c>
      <c r="T74">
        <f t="shared" si="19"/>
        <v>0.50267863140873315</v>
      </c>
      <c r="U74">
        <f t="shared" si="20"/>
        <v>10.129513910984459</v>
      </c>
      <c r="W74">
        <f t="shared" si="21"/>
        <v>7.9991728452343563E-2</v>
      </c>
      <c r="X74">
        <f t="shared" si="22"/>
        <v>0.46271325707541028</v>
      </c>
    </row>
    <row r="75" spans="1:24" x14ac:dyDescent="0.35">
      <c r="A75" s="3">
        <v>474.33100000000002</v>
      </c>
      <c r="B75" s="7">
        <v>3.28192E-6</v>
      </c>
      <c r="C75" s="7">
        <v>1.9318600000000002E-5</v>
      </c>
      <c r="D75">
        <f t="shared" si="13"/>
        <v>0.42315795445461324</v>
      </c>
      <c r="E75">
        <f t="shared" si="14"/>
        <v>10.231984153045985</v>
      </c>
      <c r="G75" s="7">
        <v>4.1830399999999998E-6</v>
      </c>
      <c r="H75" s="7">
        <v>1.71189E-5</v>
      </c>
      <c r="I75" s="6">
        <f t="shared" si="15"/>
        <v>0.60419654760511943</v>
      </c>
      <c r="J75" s="6">
        <f t="shared" si="16"/>
        <v>10.505099473483966</v>
      </c>
      <c r="L75" s="7">
        <v>5.3091499999999998E-6</v>
      </c>
      <c r="M75" s="7">
        <v>1.8562800000000001E-5</v>
      </c>
      <c r="N75" s="6">
        <f t="shared" si="17"/>
        <v>0.46597242335676736</v>
      </c>
      <c r="O75" s="6">
        <f t="shared" si="18"/>
        <v>9.4526826088727756</v>
      </c>
      <c r="Q75">
        <f t="shared" si="12"/>
        <v>4.2580366666666661E-6</v>
      </c>
      <c r="R75">
        <f t="shared" si="12"/>
        <v>1.8333433333333333E-5</v>
      </c>
      <c r="T75">
        <f t="shared" si="19"/>
        <v>0.49777564180549999</v>
      </c>
      <c r="U75">
        <f t="shared" si="20"/>
        <v>10.06325541180091</v>
      </c>
      <c r="W75">
        <f t="shared" si="21"/>
        <v>7.7254240790833067E-2</v>
      </c>
      <c r="X75">
        <f t="shared" si="22"/>
        <v>0.44590533772773133</v>
      </c>
    </row>
    <row r="76" spans="1:24" x14ac:dyDescent="0.35">
      <c r="A76" s="3">
        <v>480.59800000000001</v>
      </c>
      <c r="B76" s="7">
        <v>3.26452E-6</v>
      </c>
      <c r="C76" s="7">
        <v>1.9210799999999999E-5</v>
      </c>
      <c r="D76">
        <f t="shared" si="13"/>
        <v>0.42091446637217667</v>
      </c>
      <c r="E76">
        <f t="shared" si="14"/>
        <v>10.174888509899048</v>
      </c>
      <c r="G76" s="7">
        <v>4.1387200000000004E-6</v>
      </c>
      <c r="H76" s="7">
        <v>1.70217E-5</v>
      </c>
      <c r="I76" s="6">
        <f t="shared" si="15"/>
        <v>0.59779498534660447</v>
      </c>
      <c r="J76" s="6">
        <f t="shared" si="16"/>
        <v>10.445452202407983</v>
      </c>
      <c r="L76" s="7">
        <v>5.2803899999999996E-6</v>
      </c>
      <c r="M76" s="7">
        <v>1.84852E-5</v>
      </c>
      <c r="N76" s="6">
        <f t="shared" si="17"/>
        <v>0.46344822138550246</v>
      </c>
      <c r="O76" s="6">
        <f t="shared" si="18"/>
        <v>9.4131665784006202</v>
      </c>
      <c r="Q76">
        <f t="shared" si="12"/>
        <v>4.2278766666666671E-6</v>
      </c>
      <c r="R76">
        <f t="shared" si="12"/>
        <v>1.823923333333333E-5</v>
      </c>
      <c r="T76">
        <f t="shared" si="19"/>
        <v>0.49405255770142786</v>
      </c>
      <c r="U76">
        <f t="shared" si="20"/>
        <v>10.011169096902551</v>
      </c>
      <c r="W76">
        <f t="shared" si="21"/>
        <v>7.5384121003340659E-2</v>
      </c>
      <c r="X76">
        <f t="shared" si="22"/>
        <v>0.43704037725516548</v>
      </c>
    </row>
    <row r="77" spans="1:24" x14ac:dyDescent="0.35">
      <c r="A77" s="3">
        <v>486.89699999999999</v>
      </c>
      <c r="B77" s="7">
        <v>3.2379400000000002E-6</v>
      </c>
      <c r="C77" s="7">
        <v>1.91461E-5</v>
      </c>
      <c r="D77">
        <f t="shared" si="13"/>
        <v>0.41748734492210976</v>
      </c>
      <c r="E77">
        <f t="shared" si="14"/>
        <v>10.140620531127189</v>
      </c>
      <c r="G77" s="7">
        <v>4.0980000000000004E-6</v>
      </c>
      <c r="H77" s="7">
        <v>1.6943799999999999E-5</v>
      </c>
      <c r="I77" s="6">
        <f t="shared" si="15"/>
        <v>0.59191340558201211</v>
      </c>
      <c r="J77" s="6">
        <f t="shared" si="16"/>
        <v>10.397648473839885</v>
      </c>
      <c r="L77" s="7">
        <v>5.2595100000000001E-6</v>
      </c>
      <c r="M77" s="7">
        <v>1.84203E-5</v>
      </c>
      <c r="N77" s="6">
        <f t="shared" si="17"/>
        <v>0.46161562969009196</v>
      </c>
      <c r="O77" s="6">
        <f t="shared" si="18"/>
        <v>9.3801177333279018</v>
      </c>
      <c r="Q77">
        <f t="shared" si="12"/>
        <v>4.1984833333333338E-6</v>
      </c>
      <c r="R77">
        <f t="shared" si="12"/>
        <v>1.8170066666666664E-5</v>
      </c>
      <c r="T77">
        <f t="shared" si="19"/>
        <v>0.49033879339807124</v>
      </c>
      <c r="U77">
        <f t="shared" si="20"/>
        <v>9.9727955794316596</v>
      </c>
      <c r="W77">
        <f t="shared" si="21"/>
        <v>7.4048982704601168E-2</v>
      </c>
      <c r="X77">
        <f t="shared" si="22"/>
        <v>0.43202323454525876</v>
      </c>
    </row>
    <row r="78" spans="1:24" x14ac:dyDescent="0.35">
      <c r="A78" s="3">
        <v>493.065</v>
      </c>
      <c r="B78" s="7">
        <v>3.2066700000000002E-6</v>
      </c>
      <c r="C78" s="7">
        <v>1.90828E-5</v>
      </c>
      <c r="D78">
        <f t="shared" si="13"/>
        <v>0.4134555131785585</v>
      </c>
      <c r="E78">
        <f t="shared" si="14"/>
        <v>10.107094054214379</v>
      </c>
      <c r="G78" s="7">
        <v>4.0567599999999996E-6</v>
      </c>
      <c r="H78" s="7">
        <v>1.68998E-5</v>
      </c>
      <c r="I78" s="6">
        <f t="shared" si="15"/>
        <v>0.58595671723496412</v>
      </c>
      <c r="J78" s="6">
        <f t="shared" si="16"/>
        <v>10.370647651542116</v>
      </c>
      <c r="L78" s="7">
        <v>5.2358900000000003E-6</v>
      </c>
      <c r="M78" s="7">
        <v>1.8339199999999999E-5</v>
      </c>
      <c r="N78" s="6">
        <f t="shared" si="17"/>
        <v>0.45954255421855944</v>
      </c>
      <c r="O78" s="6">
        <f t="shared" si="18"/>
        <v>9.3388194076669233</v>
      </c>
      <c r="Q78">
        <f t="shared" si="12"/>
        <v>4.1664399999999999E-6</v>
      </c>
      <c r="R78">
        <f t="shared" si="12"/>
        <v>1.8107266666666665E-5</v>
      </c>
      <c r="T78">
        <f t="shared" si="19"/>
        <v>0.48631826154402735</v>
      </c>
      <c r="U78">
        <f t="shared" si="20"/>
        <v>9.9388537044744734</v>
      </c>
      <c r="W78">
        <f t="shared" si="21"/>
        <v>7.2924025429720346E-2</v>
      </c>
      <c r="X78">
        <f t="shared" si="22"/>
        <v>0.43771832089834178</v>
      </c>
    </row>
    <row r="79" spans="1:24" x14ac:dyDescent="0.35">
      <c r="A79" s="3">
        <v>499.24</v>
      </c>
      <c r="B79" s="7">
        <v>3.1869299999999999E-6</v>
      </c>
      <c r="C79" s="7">
        <v>1.9054899999999999E-5</v>
      </c>
      <c r="D79">
        <f t="shared" si="13"/>
        <v>0.41091031462986316</v>
      </c>
      <c r="E79">
        <f t="shared" si="14"/>
        <v>10.092316981451861</v>
      </c>
      <c r="G79" s="7">
        <v>4.02216E-6</v>
      </c>
      <c r="H79" s="7">
        <v>1.6847E-5</v>
      </c>
      <c r="I79" s="6">
        <f t="shared" si="15"/>
        <v>0.58095910771004045</v>
      </c>
      <c r="J79" s="6">
        <f t="shared" si="16"/>
        <v>10.338246664784792</v>
      </c>
      <c r="L79" s="7">
        <v>5.2122699999999996E-6</v>
      </c>
      <c r="M79" s="7">
        <v>1.8267E-5</v>
      </c>
      <c r="N79" s="6">
        <f t="shared" si="17"/>
        <v>0.45746947874702687</v>
      </c>
      <c r="O79" s="6">
        <f t="shared" si="18"/>
        <v>9.3020532040575219</v>
      </c>
      <c r="Q79">
        <f t="shared" si="12"/>
        <v>4.1404533333333333E-6</v>
      </c>
      <c r="R79">
        <f t="shared" si="12"/>
        <v>1.8056300000000002E-5</v>
      </c>
      <c r="T79">
        <f t="shared" si="19"/>
        <v>0.48311296702897683</v>
      </c>
      <c r="U79">
        <f t="shared" si="20"/>
        <v>9.9108722834313916</v>
      </c>
      <c r="W79">
        <f t="shared" si="21"/>
        <v>7.1751141108027522E-2</v>
      </c>
      <c r="X79">
        <f t="shared" si="22"/>
        <v>0.44205267849227631</v>
      </c>
    </row>
    <row r="80" spans="1:24" x14ac:dyDescent="0.35">
      <c r="A80" s="3">
        <v>505.44499999999999</v>
      </c>
      <c r="B80" s="7">
        <v>3.1662599999999998E-6</v>
      </c>
      <c r="C80" s="7">
        <v>1.9013199999999999E-5</v>
      </c>
      <c r="D80">
        <f t="shared" si="13"/>
        <v>0.40824520551124455</v>
      </c>
      <c r="E80">
        <f t="shared" si="14"/>
        <v>10.070230818935839</v>
      </c>
      <c r="G80" s="7">
        <v>3.9842099999999998E-6</v>
      </c>
      <c r="H80" s="7">
        <v>1.6815599999999999E-5</v>
      </c>
      <c r="I80" s="6">
        <f t="shared" si="15"/>
        <v>0.5754776255866052</v>
      </c>
      <c r="J80" s="6">
        <f t="shared" si="16"/>
        <v>10.318977896145018</v>
      </c>
      <c r="L80" s="7">
        <v>5.1925599999999998E-6</v>
      </c>
      <c r="M80" s="7">
        <v>1.82098E-5</v>
      </c>
      <c r="N80" s="6">
        <f t="shared" si="17"/>
        <v>0.45573957537937632</v>
      </c>
      <c r="O80" s="6">
        <f t="shared" si="18"/>
        <v>9.2729254084002104</v>
      </c>
      <c r="Q80">
        <f t="shared" si="12"/>
        <v>4.114343333333333E-6</v>
      </c>
      <c r="R80">
        <f t="shared" si="12"/>
        <v>1.8012866666666668E-5</v>
      </c>
      <c r="T80">
        <f t="shared" si="19"/>
        <v>0.47982080215907535</v>
      </c>
      <c r="U80">
        <f t="shared" si="20"/>
        <v>9.8873780411603551</v>
      </c>
      <c r="W80">
        <f t="shared" si="21"/>
        <v>7.0363815006847963E-2</v>
      </c>
      <c r="X80">
        <f t="shared" si="22"/>
        <v>0.44619338522994179</v>
      </c>
    </row>
    <row r="81" spans="1:24" x14ac:dyDescent="0.35">
      <c r="A81" s="3">
        <v>518.74199999999996</v>
      </c>
      <c r="B81" s="7">
        <v>5.3510999999999999E-4</v>
      </c>
      <c r="C81" s="7">
        <v>1.7574100000000001E-4</v>
      </c>
      <c r="D81">
        <f t="shared" si="13"/>
        <v>68.994994700726437</v>
      </c>
      <c r="E81">
        <f t="shared" si="14"/>
        <v>93.080198722498224</v>
      </c>
      <c r="G81" s="7">
        <v>4.24719E-4</v>
      </c>
      <c r="H81" s="7">
        <v>1.6445300000000001E-4</v>
      </c>
      <c r="I81" s="6">
        <f t="shared" si="15"/>
        <v>61.346234676765874</v>
      </c>
      <c r="J81" s="6">
        <f t="shared" si="16"/>
        <v>100.91741430307198</v>
      </c>
      <c r="L81" s="7">
        <v>5.7719200000000003E-4</v>
      </c>
      <c r="M81" s="7">
        <v>1.53487E-4</v>
      </c>
      <c r="N81" s="6">
        <f t="shared" si="17"/>
        <v>50.658872885893082</v>
      </c>
      <c r="O81" s="6">
        <f t="shared" si="18"/>
        <v>78.159754756182025</v>
      </c>
      <c r="Q81">
        <f t="shared" si="12"/>
        <v>5.1234033333333328E-4</v>
      </c>
      <c r="R81">
        <f t="shared" si="12"/>
        <v>1.6456033333333336E-4</v>
      </c>
      <c r="T81">
        <f t="shared" si="19"/>
        <v>60.333367421128465</v>
      </c>
      <c r="U81">
        <f t="shared" si="20"/>
        <v>90.719122593917405</v>
      </c>
      <c r="W81">
        <f t="shared" si="21"/>
        <v>7.5198743721890766</v>
      </c>
      <c r="X81">
        <f t="shared" si="22"/>
        <v>9.4395895877152523</v>
      </c>
    </row>
    <row r="82" spans="1:24" x14ac:dyDescent="0.35">
      <c r="A82" s="3">
        <v>524.84299999999996</v>
      </c>
      <c r="B82" s="7">
        <v>5.5146700000000004E-4</v>
      </c>
      <c r="C82" s="7">
        <v>1.7144099999999999E-4</v>
      </c>
      <c r="D82">
        <f t="shared" si="13"/>
        <v>71.104002434313514</v>
      </c>
      <c r="E82">
        <f t="shared" si="14"/>
        <v>90.802728726841309</v>
      </c>
      <c r="G82" s="7">
        <v>4.4125399999999997E-4</v>
      </c>
      <c r="H82" s="7">
        <v>1.6676000000000001E-4</v>
      </c>
      <c r="I82" s="6">
        <f t="shared" si="15"/>
        <v>63.734543159269187</v>
      </c>
      <c r="J82" s="6">
        <f t="shared" si="16"/>
        <v>102.33311650854822</v>
      </c>
      <c r="L82" s="7">
        <v>5.94412E-4</v>
      </c>
      <c r="M82" s="7">
        <v>1.54773E-4</v>
      </c>
      <c r="N82" s="6">
        <f t="shared" si="17"/>
        <v>52.170234427797816</v>
      </c>
      <c r="O82" s="6">
        <f t="shared" si="18"/>
        <v>78.814620931274689</v>
      </c>
      <c r="Q82">
        <f t="shared" si="12"/>
        <v>5.2904433333333337E-4</v>
      </c>
      <c r="R82">
        <f t="shared" si="12"/>
        <v>1.6432466666666665E-4</v>
      </c>
      <c r="T82">
        <f t="shared" si="19"/>
        <v>62.336260007126839</v>
      </c>
      <c r="U82">
        <f t="shared" si="20"/>
        <v>90.650155388888081</v>
      </c>
      <c r="W82">
        <f t="shared" si="21"/>
        <v>7.7926584920814115</v>
      </c>
      <c r="X82">
        <f t="shared" si="22"/>
        <v>9.6019917212402213</v>
      </c>
    </row>
    <row r="83" spans="1:24" x14ac:dyDescent="0.35">
      <c r="A83" s="3">
        <v>531.19500000000005</v>
      </c>
      <c r="B83" s="7">
        <v>5.6405099999999998E-4</v>
      </c>
      <c r="C83" s="7">
        <v>1.70085E-4</v>
      </c>
      <c r="D83">
        <f t="shared" si="13"/>
        <v>72.726534275082585</v>
      </c>
      <c r="E83">
        <f t="shared" si="14"/>
        <v>90.084531211931832</v>
      </c>
      <c r="G83" s="7">
        <v>4.6084400000000002E-4</v>
      </c>
      <c r="H83" s="7">
        <v>1.6786899999999999E-4</v>
      </c>
      <c r="I83" s="6">
        <f t="shared" si="15"/>
        <v>66.564114563698567</v>
      </c>
      <c r="J83" s="6">
        <f t="shared" si="16"/>
        <v>103.01365996146245</v>
      </c>
      <c r="L83" s="7">
        <v>6.03412E-4</v>
      </c>
      <c r="M83" s="7">
        <v>1.5419000000000001E-4</v>
      </c>
      <c r="N83" s="6">
        <f t="shared" si="17"/>
        <v>52.960144641336882</v>
      </c>
      <c r="O83" s="6">
        <f t="shared" si="18"/>
        <v>78.517741475536724</v>
      </c>
      <c r="Q83">
        <f t="shared" si="12"/>
        <v>5.4276900000000002E-4</v>
      </c>
      <c r="R83">
        <f t="shared" si="12"/>
        <v>1.64048E-4</v>
      </c>
      <c r="T83">
        <f t="shared" si="19"/>
        <v>64.083597826706011</v>
      </c>
      <c r="U83">
        <f t="shared" si="20"/>
        <v>90.538644216310331</v>
      </c>
      <c r="W83">
        <f t="shared" si="21"/>
        <v>8.2580168018775044</v>
      </c>
      <c r="X83">
        <f t="shared" si="22"/>
        <v>10.00557076775536</v>
      </c>
    </row>
    <row r="84" spans="1:24" x14ac:dyDescent="0.35">
      <c r="A84" s="3">
        <v>537.27599999999995</v>
      </c>
      <c r="B84" s="7">
        <v>5.7653200000000004E-4</v>
      </c>
      <c r="C84" s="7">
        <v>1.6901000000000001E-4</v>
      </c>
      <c r="D84">
        <f t="shared" si="13"/>
        <v>74.335785697892419</v>
      </c>
      <c r="E84">
        <f t="shared" si="14"/>
        <v>89.5151637130176</v>
      </c>
      <c r="G84" s="7">
        <v>4.7465700000000002E-4</v>
      </c>
      <c r="H84" s="7">
        <v>1.68689E-4</v>
      </c>
      <c r="I84" s="6">
        <f t="shared" si="15"/>
        <v>68.559258504963665</v>
      </c>
      <c r="J84" s="6">
        <f t="shared" si="16"/>
        <v>103.51685710428453</v>
      </c>
      <c r="L84" s="7">
        <v>6.1585999999999998E-4</v>
      </c>
      <c r="M84" s="7">
        <v>1.52349E-4</v>
      </c>
      <c r="N84" s="6">
        <f t="shared" si="17"/>
        <v>54.052678234462903</v>
      </c>
      <c r="O84" s="6">
        <f t="shared" si="18"/>
        <v>77.580254206216651</v>
      </c>
      <c r="Q84">
        <f t="shared" si="12"/>
        <v>5.5568300000000007E-4</v>
      </c>
      <c r="R84">
        <f t="shared" si="12"/>
        <v>1.6334933333333332E-4</v>
      </c>
      <c r="T84">
        <f t="shared" si="19"/>
        <v>65.649240812439658</v>
      </c>
      <c r="U84">
        <f t="shared" si="20"/>
        <v>90.204091674506245</v>
      </c>
      <c r="W84">
        <f t="shared" si="21"/>
        <v>8.5323800634742959</v>
      </c>
      <c r="X84">
        <f t="shared" si="22"/>
        <v>10.599773858440217</v>
      </c>
    </row>
    <row r="85" spans="1:24" x14ac:dyDescent="0.35">
      <c r="A85" s="3">
        <v>543.59</v>
      </c>
      <c r="B85" s="7">
        <v>5.9014500000000004E-4</v>
      </c>
      <c r="C85" s="7">
        <v>1.7017200000000001E-4</v>
      </c>
      <c r="D85">
        <f t="shared" si="13"/>
        <v>76.090992782157315</v>
      </c>
      <c r="E85">
        <f t="shared" si="14"/>
        <v>90.13061025603001</v>
      </c>
      <c r="G85" s="7">
        <v>4.9234599999999995E-4</v>
      </c>
      <c r="H85" s="7">
        <v>1.7212600000000001E-4</v>
      </c>
      <c r="I85" s="6">
        <f t="shared" si="15"/>
        <v>71.114250264685523</v>
      </c>
      <c r="J85" s="6">
        <f t="shared" si="16"/>
        <v>105.62598951877172</v>
      </c>
      <c r="L85" s="7">
        <v>6.2567299999999998E-4</v>
      </c>
      <c r="M85" s="7">
        <v>1.49183E-4</v>
      </c>
      <c r="N85" s="6">
        <f t="shared" si="17"/>
        <v>54.913943670624988</v>
      </c>
      <c r="O85" s="6">
        <f t="shared" si="18"/>
        <v>75.968040901128447</v>
      </c>
      <c r="Q85">
        <f t="shared" si="12"/>
        <v>5.6938799999999999E-4</v>
      </c>
      <c r="R85">
        <f t="shared" si="12"/>
        <v>1.6382699999999999E-4</v>
      </c>
      <c r="T85">
        <f t="shared" si="19"/>
        <v>67.373062239155942</v>
      </c>
      <c r="U85">
        <f t="shared" si="20"/>
        <v>90.574880225310054</v>
      </c>
      <c r="W85">
        <f t="shared" si="21"/>
        <v>9.0411731594905547</v>
      </c>
      <c r="X85">
        <f t="shared" si="22"/>
        <v>12.111881519287735</v>
      </c>
    </row>
    <row r="86" spans="1:24" x14ac:dyDescent="0.35">
      <c r="A86" s="3">
        <v>549.702</v>
      </c>
      <c r="B86" s="7">
        <v>5.9945400000000002E-4</v>
      </c>
      <c r="C86" s="7">
        <v>1.7067300000000001E-4</v>
      </c>
      <c r="D86">
        <f t="shared" si="13"/>
        <v>77.291258906260879</v>
      </c>
      <c r="E86">
        <f t="shared" si="14"/>
        <v>90.395961992733291</v>
      </c>
      <c r="G86" s="7">
        <v>5.06975E-4</v>
      </c>
      <c r="H86" s="7">
        <v>1.75811E-4</v>
      </c>
      <c r="I86" s="6">
        <f t="shared" si="15"/>
        <v>73.227256904573096</v>
      </c>
      <c r="J86" s="6">
        <f t="shared" si="16"/>
        <v>107.88730838620995</v>
      </c>
      <c r="L86" s="7">
        <v>6.3670299999999997E-4</v>
      </c>
      <c r="M86" s="7">
        <v>1.5291600000000001E-4</v>
      </c>
      <c r="N86" s="6">
        <f t="shared" si="17"/>
        <v>55.88202252121787</v>
      </c>
      <c r="O86" s="6">
        <f t="shared" si="18"/>
        <v>77.868986026805715</v>
      </c>
      <c r="Q86">
        <f t="shared" si="12"/>
        <v>5.8104399999999996E-4</v>
      </c>
      <c r="R86">
        <f t="shared" si="12"/>
        <v>1.6646666666666666E-4</v>
      </c>
      <c r="T86">
        <f t="shared" si="19"/>
        <v>68.800179444017274</v>
      </c>
      <c r="U86">
        <f t="shared" si="20"/>
        <v>92.050752135249652</v>
      </c>
      <c r="W86">
        <f t="shared" si="21"/>
        <v>9.2839686836677018</v>
      </c>
      <c r="X86">
        <f t="shared" si="22"/>
        <v>12.310663863228578</v>
      </c>
    </row>
    <row r="87" spans="1:24" x14ac:dyDescent="0.35">
      <c r="A87" s="3">
        <v>555.89599999999996</v>
      </c>
      <c r="B87" s="7">
        <v>6.0602900000000001E-4</v>
      </c>
      <c r="C87" s="7">
        <v>1.7287699999999999E-4</v>
      </c>
      <c r="D87">
        <f t="shared" si="13"/>
        <v>78.139013742009183</v>
      </c>
      <c r="E87">
        <f t="shared" si="14"/>
        <v>91.563297776553711</v>
      </c>
      <c r="G87" s="7">
        <v>5.2354099999999998E-4</v>
      </c>
      <c r="H87" s="7">
        <v>1.7968699999999999E-4</v>
      </c>
      <c r="I87" s="6">
        <f t="shared" si="15"/>
        <v>75.620043014107409</v>
      </c>
      <c r="J87" s="6">
        <f t="shared" si="16"/>
        <v>110.26583536862258</v>
      </c>
      <c r="L87" s="7">
        <v>6.4813200000000005E-4</v>
      </c>
      <c r="M87" s="7">
        <v>1.5410599999999999E-4</v>
      </c>
      <c r="N87" s="6">
        <f t="shared" si="17"/>
        <v>56.885120724610971</v>
      </c>
      <c r="O87" s="6">
        <f t="shared" si="18"/>
        <v>78.474966391005012</v>
      </c>
      <c r="Q87">
        <f t="shared" si="12"/>
        <v>5.9256733333333327E-4</v>
      </c>
      <c r="R87">
        <f t="shared" si="12"/>
        <v>1.6888999999999999E-4</v>
      </c>
      <c r="T87">
        <f t="shared" si="19"/>
        <v>70.214725826909188</v>
      </c>
      <c r="U87">
        <f t="shared" si="20"/>
        <v>93.434699845393766</v>
      </c>
      <c r="W87">
        <f t="shared" si="21"/>
        <v>9.4813881726049054</v>
      </c>
      <c r="X87">
        <f t="shared" si="22"/>
        <v>13.045853667365128</v>
      </c>
    </row>
    <row r="88" spans="1:24" x14ac:dyDescent="0.35">
      <c r="A88" s="3">
        <v>562.15099999999995</v>
      </c>
      <c r="B88" s="7">
        <v>6.1593699999999999E-4</v>
      </c>
      <c r="C88" s="7">
        <v>1.7605100000000001E-4</v>
      </c>
      <c r="D88">
        <f t="shared" si="13"/>
        <v>79.416512588031125</v>
      </c>
      <c r="E88">
        <f t="shared" si="14"/>
        <v>93.244388419859547</v>
      </c>
      <c r="G88" s="7">
        <v>5.3694799999999998E-4</v>
      </c>
      <c r="H88" s="7">
        <v>1.8362700000000001E-4</v>
      </c>
      <c r="I88" s="6">
        <f t="shared" si="15"/>
        <v>77.556544485224549</v>
      </c>
      <c r="J88" s="6">
        <f t="shared" si="16"/>
        <v>112.68363627437745</v>
      </c>
      <c r="L88" s="7">
        <v>6.5930199999999996E-4</v>
      </c>
      <c r="M88" s="7">
        <v>1.5386600000000001E-4</v>
      </c>
      <c r="N88" s="6">
        <f t="shared" si="17"/>
        <v>57.865487067414442</v>
      </c>
      <c r="O88" s="6">
        <f t="shared" si="18"/>
        <v>78.352751863771545</v>
      </c>
      <c r="Q88">
        <f t="shared" si="12"/>
        <v>6.0406233333333331E-4</v>
      </c>
      <c r="R88">
        <f t="shared" si="12"/>
        <v>1.7118133333333333E-4</v>
      </c>
      <c r="T88">
        <f t="shared" si="19"/>
        <v>71.612848046890051</v>
      </c>
      <c r="U88">
        <f t="shared" si="20"/>
        <v>94.760258852669509</v>
      </c>
      <c r="W88">
        <f t="shared" si="21"/>
        <v>9.750463946598229</v>
      </c>
      <c r="X88">
        <f t="shared" si="22"/>
        <v>14.056452930484639</v>
      </c>
    </row>
    <row r="89" spans="1:24" x14ac:dyDescent="0.35">
      <c r="A89" s="3">
        <v>568.41300000000001</v>
      </c>
      <c r="B89" s="7">
        <v>6.2595900000000004E-4</v>
      </c>
      <c r="C89" s="7">
        <v>1.7762999999999999E-4</v>
      </c>
      <c r="D89">
        <f t="shared" si="13"/>
        <v>80.708710149075927</v>
      </c>
      <c r="E89">
        <f t="shared" si="14"/>
        <v>94.080696588032154</v>
      </c>
      <c r="G89" s="7">
        <v>5.5085900000000001E-4</v>
      </c>
      <c r="H89" s="7">
        <v>1.84334E-4</v>
      </c>
      <c r="I89" s="6">
        <f t="shared" si="15"/>
        <v>79.565843505490875</v>
      </c>
      <c r="J89" s="6">
        <f t="shared" si="16"/>
        <v>113.11749039629844</v>
      </c>
      <c r="L89" s="7">
        <v>6.6785800000000002E-4</v>
      </c>
      <c r="M89" s="7">
        <v>1.5336599999999999E-4</v>
      </c>
      <c r="N89" s="6">
        <f t="shared" si="17"/>
        <v>58.616428377085583</v>
      </c>
      <c r="O89" s="6">
        <f t="shared" si="18"/>
        <v>78.098138265368476</v>
      </c>
      <c r="Q89">
        <f t="shared" si="12"/>
        <v>6.1489200000000002E-4</v>
      </c>
      <c r="R89">
        <f t="shared" si="12"/>
        <v>1.7177666666666667E-4</v>
      </c>
      <c r="T89">
        <f t="shared" si="19"/>
        <v>72.963660677217462</v>
      </c>
      <c r="U89">
        <f t="shared" si="20"/>
        <v>95.098775083233022</v>
      </c>
      <c r="W89">
        <f t="shared" si="21"/>
        <v>10.155748521460323</v>
      </c>
      <c r="X89">
        <f t="shared" si="22"/>
        <v>14.314703834037456</v>
      </c>
    </row>
    <row r="90" spans="1:24" x14ac:dyDescent="0.35">
      <c r="A90" s="3">
        <v>574.63900000000001</v>
      </c>
      <c r="B90" s="7">
        <v>6.3697199999999997E-4</v>
      </c>
      <c r="C90" s="7">
        <v>1.8016000000000001E-4</v>
      </c>
      <c r="D90">
        <f t="shared" si="13"/>
        <v>82.128683381942253</v>
      </c>
      <c r="E90">
        <f t="shared" si="14"/>
        <v>95.42069637617449</v>
      </c>
      <c r="G90" s="7">
        <v>5.6716799999999995E-4</v>
      </c>
      <c r="H90" s="7">
        <v>1.8315399999999999E-4</v>
      </c>
      <c r="I90" s="6">
        <f t="shared" si="15"/>
        <v>81.921508642542364</v>
      </c>
      <c r="J90" s="6">
        <f t="shared" si="16"/>
        <v>112.39337743467641</v>
      </c>
      <c r="L90" s="7">
        <v>6.7620199999999999E-4</v>
      </c>
      <c r="M90" s="7">
        <v>1.49114E-4</v>
      </c>
      <c r="N90" s="6">
        <f t="shared" si="17"/>
        <v>59.348762912837792</v>
      </c>
      <c r="O90" s="6">
        <f t="shared" si="18"/>
        <v>75.932904224548821</v>
      </c>
      <c r="Q90">
        <f t="shared" si="12"/>
        <v>6.267806666666666E-4</v>
      </c>
      <c r="R90">
        <f t="shared" si="12"/>
        <v>1.7080933333333333E-4</v>
      </c>
      <c r="T90">
        <f t="shared" si="19"/>
        <v>74.466318312440805</v>
      </c>
      <c r="U90">
        <f t="shared" si="20"/>
        <v>94.582326011799907</v>
      </c>
      <c r="W90">
        <f t="shared" si="21"/>
        <v>10.69006053266965</v>
      </c>
      <c r="X90">
        <f t="shared" si="22"/>
        <v>14.896726157727985</v>
      </c>
    </row>
    <row r="91" spans="1:24" x14ac:dyDescent="0.35">
      <c r="A91" s="3">
        <v>580.71900000000005</v>
      </c>
      <c r="B91" s="7">
        <v>6.4715699999999998E-4</v>
      </c>
      <c r="C91" s="7">
        <v>1.8093100000000001E-4</v>
      </c>
      <c r="D91">
        <f t="shared" si="13"/>
        <v>83.441897526747795</v>
      </c>
      <c r="E91">
        <f t="shared" si="14"/>
        <v>95.829052042837631</v>
      </c>
      <c r="G91" s="7">
        <v>5.8376499999999998E-4</v>
      </c>
      <c r="H91" s="7">
        <v>1.8469100000000001E-4</v>
      </c>
      <c r="I91" s="6">
        <f t="shared" si="15"/>
        <v>84.318772379107671</v>
      </c>
      <c r="J91" s="6">
        <f t="shared" si="16"/>
        <v>113.33656524994171</v>
      </c>
      <c r="L91" s="7">
        <v>6.89458E-4</v>
      </c>
      <c r="M91" s="7">
        <v>1.53344E-4</v>
      </c>
      <c r="N91" s="6">
        <f t="shared" si="17"/>
        <v>60.512212889579331</v>
      </c>
      <c r="O91" s="6">
        <f t="shared" si="18"/>
        <v>78.08693526703874</v>
      </c>
      <c r="Q91">
        <f t="shared" si="12"/>
        <v>6.4012666666666662E-4</v>
      </c>
      <c r="R91">
        <f t="shared" si="12"/>
        <v>1.7298866666666667E-4</v>
      </c>
      <c r="T91">
        <f t="shared" si="19"/>
        <v>76.090960931811608</v>
      </c>
      <c r="U91">
        <f t="shared" si="20"/>
        <v>95.750850853272709</v>
      </c>
      <c r="W91">
        <f t="shared" si="21"/>
        <v>11.021653545005293</v>
      </c>
      <c r="X91">
        <f t="shared" si="22"/>
        <v>14.390707419545096</v>
      </c>
    </row>
    <row r="92" spans="1:24" x14ac:dyDescent="0.35">
      <c r="A92" s="3">
        <v>586.93899999999996</v>
      </c>
      <c r="B92" s="7">
        <v>6.5883399999999996E-4</v>
      </c>
      <c r="C92" s="7">
        <v>1.8242099999999999E-4</v>
      </c>
      <c r="D92">
        <f t="shared" si="13"/>
        <v>84.947484327817449</v>
      </c>
      <c r="E92">
        <f t="shared" si="14"/>
        <v>96.618221878542002</v>
      </c>
      <c r="G92" s="7">
        <v>5.9843299999999999E-4</v>
      </c>
      <c r="H92" s="7">
        <v>1.81275E-4</v>
      </c>
      <c r="I92" s="6">
        <f t="shared" si="15"/>
        <v>86.437412162679408</v>
      </c>
      <c r="J92" s="6">
        <f t="shared" si="16"/>
        <v>111.24031959155121</v>
      </c>
      <c r="L92" s="7">
        <v>7.0231000000000004E-4</v>
      </c>
      <c r="M92" s="7">
        <v>1.5202999999999999E-4</v>
      </c>
      <c r="N92" s="6">
        <f t="shared" si="17"/>
        <v>61.640204674513107</v>
      </c>
      <c r="O92" s="6">
        <f t="shared" si="18"/>
        <v>77.417810730435491</v>
      </c>
      <c r="Q92">
        <f t="shared" si="12"/>
        <v>6.5319233333333319E-4</v>
      </c>
      <c r="R92">
        <f t="shared" si="12"/>
        <v>1.7190866666666666E-4</v>
      </c>
      <c r="T92">
        <f t="shared" si="19"/>
        <v>77.67503372166999</v>
      </c>
      <c r="U92">
        <f t="shared" si="20"/>
        <v>95.092117400176221</v>
      </c>
      <c r="W92">
        <f t="shared" si="21"/>
        <v>11.354640113684313</v>
      </c>
      <c r="X92">
        <f t="shared" si="22"/>
        <v>13.850084778903799</v>
      </c>
    </row>
    <row r="93" spans="1:24" x14ac:dyDescent="0.35">
      <c r="A93" s="3">
        <v>593.14800000000002</v>
      </c>
      <c r="B93" s="7">
        <v>6.7139999999999995E-4</v>
      </c>
      <c r="C93" s="7">
        <v>1.8596199999999999E-4</v>
      </c>
      <c r="D93">
        <f t="shared" si="13"/>
        <v>86.567695318846077</v>
      </c>
      <c r="E93">
        <f t="shared" si="14"/>
        <v>98.493691937756211</v>
      </c>
      <c r="G93" s="7">
        <v>6.1568699999999996E-4</v>
      </c>
      <c r="H93" s="7">
        <v>1.8707700000000001E-4</v>
      </c>
      <c r="I93" s="6">
        <f t="shared" si="15"/>
        <v>88.929572704385606</v>
      </c>
      <c r="J93" s="6">
        <f t="shared" si="16"/>
        <v>114.8007462045435</v>
      </c>
      <c r="L93" s="7">
        <v>7.1313799999999999E-4</v>
      </c>
      <c r="M93" s="7">
        <v>1.52402E-4</v>
      </c>
      <c r="N93" s="6">
        <f t="shared" si="17"/>
        <v>62.590554429202108</v>
      </c>
      <c r="O93" s="6">
        <f t="shared" si="18"/>
        <v>77.607243247647361</v>
      </c>
      <c r="Q93">
        <f t="shared" si="12"/>
        <v>6.6674166666666663E-4</v>
      </c>
      <c r="R93">
        <f t="shared" si="12"/>
        <v>1.7514699999999998E-4</v>
      </c>
      <c r="T93">
        <f t="shared" si="19"/>
        <v>79.362607484144604</v>
      </c>
      <c r="U93">
        <f t="shared" si="20"/>
        <v>96.967227129982362</v>
      </c>
      <c r="W93">
        <f t="shared" si="21"/>
        <v>11.898765733033922</v>
      </c>
      <c r="X93">
        <f t="shared" si="22"/>
        <v>15.222499502560575</v>
      </c>
    </row>
    <row r="94" spans="1:24" x14ac:dyDescent="0.35">
      <c r="A94" s="3">
        <v>599.39499999999998</v>
      </c>
      <c r="B94" s="7">
        <v>6.8727899999999995E-4</v>
      </c>
      <c r="C94" s="7">
        <v>1.86429E-4</v>
      </c>
      <c r="D94">
        <f t="shared" si="13"/>
        <v>88.615071598214485</v>
      </c>
      <c r="E94">
        <f t="shared" si="14"/>
        <v>98.74103577216826</v>
      </c>
      <c r="G94" s="7">
        <v>6.3121100000000001E-4</v>
      </c>
      <c r="H94" s="7">
        <v>1.8510799999999999E-4</v>
      </c>
      <c r="I94" s="6">
        <f t="shared" si="15"/>
        <v>91.171852769845643</v>
      </c>
      <c r="J94" s="6">
        <f t="shared" si="16"/>
        <v>113.59245940671829</v>
      </c>
      <c r="L94" s="7">
        <v>7.2648899999999998E-4</v>
      </c>
      <c r="M94" s="7">
        <v>1.5636900000000001E-4</v>
      </c>
      <c r="N94" s="6">
        <f t="shared" si="17"/>
        <v>63.762342347086545</v>
      </c>
      <c r="O94" s="6">
        <f t="shared" si="18"/>
        <v>79.627347537377275</v>
      </c>
      <c r="Q94">
        <f t="shared" si="12"/>
        <v>6.8165966666666657E-4</v>
      </c>
      <c r="R94">
        <f t="shared" si="12"/>
        <v>1.759686666666667E-4</v>
      </c>
      <c r="T94">
        <f t="shared" si="19"/>
        <v>81.183088905048876</v>
      </c>
      <c r="U94">
        <f t="shared" si="20"/>
        <v>97.320280905421271</v>
      </c>
      <c r="W94">
        <f t="shared" si="21"/>
        <v>12.362472526898319</v>
      </c>
      <c r="X94">
        <f t="shared" si="22"/>
        <v>13.902544476168215</v>
      </c>
    </row>
    <row r="95" spans="1:24" x14ac:dyDescent="0.35">
      <c r="A95" s="3">
        <v>605.68200000000002</v>
      </c>
      <c r="B95" s="7">
        <v>7.0020300000000004E-4</v>
      </c>
      <c r="C95" s="7">
        <v>1.9014300000000001E-4</v>
      </c>
      <c r="D95">
        <f t="shared" si="13"/>
        <v>90.281441711858776</v>
      </c>
      <c r="E95">
        <f t="shared" si="14"/>
        <v>100.7081342753938</v>
      </c>
      <c r="G95" s="7">
        <v>6.4899700000000001E-4</v>
      </c>
      <c r="H95" s="7">
        <v>1.86684E-4</v>
      </c>
      <c r="I95" s="6">
        <f t="shared" si="15"/>
        <v>93.740855168987096</v>
      </c>
      <c r="J95" s="6">
        <f t="shared" si="16"/>
        <v>114.55957976902025</v>
      </c>
      <c r="L95" s="7">
        <v>7.41715E-4</v>
      </c>
      <c r="M95" s="7">
        <v>1.5809999999999999E-4</v>
      </c>
      <c r="N95" s="6">
        <f t="shared" si="17"/>
        <v>65.098694892791627</v>
      </c>
      <c r="O95" s="6">
        <f t="shared" si="18"/>
        <v>80.508819815048682</v>
      </c>
      <c r="Q95">
        <f t="shared" si="12"/>
        <v>6.9697166666666665E-4</v>
      </c>
      <c r="R95">
        <f t="shared" si="12"/>
        <v>1.78309E-4</v>
      </c>
      <c r="T95">
        <f t="shared" si="19"/>
        <v>83.040330591212509</v>
      </c>
      <c r="U95">
        <f t="shared" si="20"/>
        <v>98.592177953154248</v>
      </c>
      <c r="W95">
        <f t="shared" si="21"/>
        <v>12.765020016121596</v>
      </c>
      <c r="X95">
        <f t="shared" si="22"/>
        <v>13.981452397824977</v>
      </c>
    </row>
    <row r="96" spans="1:24" x14ac:dyDescent="0.35">
      <c r="A96" s="3">
        <v>611.80899999999997</v>
      </c>
      <c r="B96" s="7">
        <v>7.1579499999999997E-4</v>
      </c>
      <c r="C96" s="7">
        <v>1.9010699999999999E-4</v>
      </c>
      <c r="D96">
        <f t="shared" si="13"/>
        <v>92.291813331476661</v>
      </c>
      <c r="E96">
        <f t="shared" si="14"/>
        <v>100.68906708473247</v>
      </c>
      <c r="G96" s="7">
        <v>6.77683E-4</v>
      </c>
      <c r="H96" s="7">
        <v>2.0331700000000001E-4</v>
      </c>
      <c r="I96" s="6">
        <f t="shared" si="15"/>
        <v>97.884249008061161</v>
      </c>
      <c r="J96" s="6">
        <f t="shared" si="16"/>
        <v>124.76650425262952</v>
      </c>
      <c r="L96" s="7">
        <v>7.5246000000000004E-4</v>
      </c>
      <c r="M96" s="7">
        <v>1.5656200000000001E-4</v>
      </c>
      <c r="N96" s="6">
        <f t="shared" si="17"/>
        <v>66.041759919955766</v>
      </c>
      <c r="O96" s="6">
        <f t="shared" si="18"/>
        <v>79.725628386360853</v>
      </c>
      <c r="Q96">
        <f t="shared" si="12"/>
        <v>7.1531266666666671E-4</v>
      </c>
      <c r="R96">
        <f t="shared" si="12"/>
        <v>1.8332866666666663E-4</v>
      </c>
      <c r="T96">
        <f t="shared" si="19"/>
        <v>85.405940753164529</v>
      </c>
      <c r="U96">
        <f t="shared" si="20"/>
        <v>101.72706657457428</v>
      </c>
      <c r="W96">
        <f t="shared" si="21"/>
        <v>13.88158153105743</v>
      </c>
      <c r="X96">
        <f t="shared" si="22"/>
        <v>18.402503577970752</v>
      </c>
    </row>
    <row r="97" spans="1:24" x14ac:dyDescent="0.35">
      <c r="A97" s="3">
        <v>618.17399999999998</v>
      </c>
      <c r="B97" s="7">
        <v>7.3016800000000001E-4</v>
      </c>
      <c r="C97" s="7">
        <v>1.93141E-4</v>
      </c>
      <c r="D97">
        <f t="shared" si="13"/>
        <v>94.145011849227288</v>
      </c>
      <c r="E97">
        <f t="shared" si="14"/>
        <v>102.2960075421332</v>
      </c>
      <c r="G97" s="7">
        <v>6.9398400000000003E-4</v>
      </c>
      <c r="H97" s="7">
        <v>2.0300900000000001E-4</v>
      </c>
      <c r="I97" s="6">
        <f t="shared" si="15"/>
        <v>100.23875862845951</v>
      </c>
      <c r="J97" s="6">
        <f t="shared" si="16"/>
        <v>124.57749849654513</v>
      </c>
      <c r="L97" s="7">
        <v>7.6702900000000002E-4</v>
      </c>
      <c r="M97" s="7">
        <v>1.6096099999999999E-4</v>
      </c>
      <c r="N97" s="6">
        <f t="shared" si="17"/>
        <v>67.320449020072488</v>
      </c>
      <c r="O97" s="6">
        <f t="shared" si="18"/>
        <v>81.965718825110997</v>
      </c>
      <c r="Q97">
        <f t="shared" si="12"/>
        <v>7.3039366666666683E-4</v>
      </c>
      <c r="R97">
        <f t="shared" si="12"/>
        <v>1.8570366666666668E-4</v>
      </c>
      <c r="T97">
        <f t="shared" si="19"/>
        <v>87.234739832586413</v>
      </c>
      <c r="U97">
        <f t="shared" si="20"/>
        <v>102.94640828792978</v>
      </c>
      <c r="W97">
        <f t="shared" si="21"/>
        <v>14.299596063674578</v>
      </c>
      <c r="X97">
        <f t="shared" si="22"/>
        <v>17.402264364909719</v>
      </c>
    </row>
    <row r="98" spans="1:24" x14ac:dyDescent="0.35">
      <c r="A98" s="3">
        <v>624.24699999999996</v>
      </c>
      <c r="B98" s="7">
        <v>7.42762E-4</v>
      </c>
      <c r="C98" s="7">
        <v>1.97126E-4</v>
      </c>
      <c r="D98">
        <f t="shared" si="13"/>
        <v>95.768833050963281</v>
      </c>
      <c r="E98">
        <f t="shared" si="14"/>
        <v>104.40663961950362</v>
      </c>
      <c r="G98" s="7">
        <v>7.1633700000000005E-4</v>
      </c>
      <c r="H98" s="7">
        <v>2.0714900000000001E-4</v>
      </c>
      <c r="I98" s="6">
        <f t="shared" si="15"/>
        <v>103.46741659697459</v>
      </c>
      <c r="J98" s="6">
        <f t="shared" si="16"/>
        <v>127.11803041274439</v>
      </c>
      <c r="L98" s="7">
        <v>7.7947100000000001E-4</v>
      </c>
      <c r="M98" s="7">
        <v>1.6190399999999999E-4</v>
      </c>
      <c r="N98" s="6">
        <f t="shared" si="17"/>
        <v>68.412456006389505</v>
      </c>
      <c r="O98" s="6">
        <f t="shared" si="18"/>
        <v>82.445920071699192</v>
      </c>
      <c r="Q98">
        <f t="shared" si="12"/>
        <v>7.4618999999999998E-4</v>
      </c>
      <c r="R98">
        <f t="shared" si="12"/>
        <v>1.8872633333333333E-4</v>
      </c>
      <c r="T98">
        <f t="shared" si="19"/>
        <v>89.216235218109134</v>
      </c>
      <c r="U98">
        <f t="shared" si="20"/>
        <v>104.6568633679824</v>
      </c>
      <c r="W98">
        <f t="shared" si="21"/>
        <v>15.042494679434245</v>
      </c>
      <c r="X98">
        <f t="shared" si="22"/>
        <v>18.238170952224657</v>
      </c>
    </row>
    <row r="99" spans="1:24" x14ac:dyDescent="0.35">
      <c r="A99" s="3">
        <v>630.44299999999998</v>
      </c>
      <c r="B99" s="7">
        <v>7.5850400000000001E-4</v>
      </c>
      <c r="C99" s="7">
        <v>1.98786E-4</v>
      </c>
      <c r="D99">
        <f t="shared" si="13"/>
        <v>97.798545085084925</v>
      </c>
      <c r="E99">
        <f t="shared" si="14"/>
        <v>105.28584896666419</v>
      </c>
      <c r="G99" s="7">
        <v>7.3109399999999995E-4</v>
      </c>
      <c r="H99" s="7">
        <v>1.98813E-4</v>
      </c>
      <c r="I99" s="6">
        <f t="shared" si="15"/>
        <v>105.59891150331271</v>
      </c>
      <c r="J99" s="6">
        <f t="shared" si="16"/>
        <v>122.00260189742143</v>
      </c>
      <c r="L99" s="7">
        <v>7.9113700000000003E-4</v>
      </c>
      <c r="M99" s="7">
        <v>1.6227599999999999E-4</v>
      </c>
      <c r="N99" s="6">
        <f t="shared" si="17"/>
        <v>69.436355178739134</v>
      </c>
      <c r="O99" s="6">
        <f t="shared" si="18"/>
        <v>82.635352588911061</v>
      </c>
      <c r="Q99">
        <f t="shared" si="12"/>
        <v>7.60245E-4</v>
      </c>
      <c r="R99">
        <f t="shared" si="12"/>
        <v>1.8662500000000002E-4</v>
      </c>
      <c r="T99">
        <f t="shared" si="19"/>
        <v>90.944603922378917</v>
      </c>
      <c r="U99">
        <f t="shared" si="20"/>
        <v>103.30793448433224</v>
      </c>
      <c r="W99">
        <f t="shared" si="21"/>
        <v>15.538446985426578</v>
      </c>
      <c r="X99">
        <f t="shared" si="22"/>
        <v>16.132352355937112</v>
      </c>
    </row>
    <row r="100" spans="1:24" x14ac:dyDescent="0.35">
      <c r="A100" s="3">
        <v>636.67100000000005</v>
      </c>
      <c r="B100" s="7">
        <v>7.7659400000000003E-4</v>
      </c>
      <c r="C100" s="7">
        <v>1.99013E-4</v>
      </c>
      <c r="D100">
        <f t="shared" si="13"/>
        <v>100.13099907423883</v>
      </c>
      <c r="E100">
        <f t="shared" si="14"/>
        <v>105.40607819666748</v>
      </c>
      <c r="G100" s="7">
        <v>7.57436E-4</v>
      </c>
      <c r="H100" s="7">
        <v>2.06892E-4</v>
      </c>
      <c r="I100" s="6">
        <f t="shared" si="15"/>
        <v>109.40373896301045</v>
      </c>
      <c r="J100" s="6">
        <f t="shared" si="16"/>
        <v>126.96032106432334</v>
      </c>
      <c r="L100" s="7">
        <v>8.0896400000000002E-4</v>
      </c>
      <c r="M100" s="7">
        <v>1.71717E-4</v>
      </c>
      <c r="N100" s="6">
        <f t="shared" si="17"/>
        <v>71.000991776156994</v>
      </c>
      <c r="O100" s="6">
        <f t="shared" si="18"/>
        <v>87.442966553957717</v>
      </c>
      <c r="Q100">
        <f t="shared" si="12"/>
        <v>7.8099800000000009E-4</v>
      </c>
      <c r="R100">
        <f t="shared" si="12"/>
        <v>1.9254066666666669E-4</v>
      </c>
      <c r="T100">
        <f t="shared" si="19"/>
        <v>93.511909937802088</v>
      </c>
      <c r="U100">
        <f t="shared" si="20"/>
        <v>106.60312193831618</v>
      </c>
      <c r="W100">
        <f t="shared" si="21"/>
        <v>16.361581089479447</v>
      </c>
      <c r="X100">
        <f t="shared" si="22"/>
        <v>16.155082010810997</v>
      </c>
    </row>
    <row r="101" spans="1:24" x14ac:dyDescent="0.35">
      <c r="A101" s="3">
        <v>642.96100000000001</v>
      </c>
      <c r="B101" s="7">
        <v>7.9179000000000001E-4</v>
      </c>
      <c r="C101" s="7">
        <v>2.0305E-4</v>
      </c>
      <c r="D101">
        <f t="shared" si="13"/>
        <v>102.09031199956678</v>
      </c>
      <c r="E101">
        <f t="shared" si="14"/>
        <v>107.5442517716598</v>
      </c>
      <c r="G101" s="7">
        <v>7.7817499999999998E-4</v>
      </c>
      <c r="H101" s="7">
        <v>2.10843E-4</v>
      </c>
      <c r="I101" s="6">
        <f t="shared" si="15"/>
        <v>112.39927144675018</v>
      </c>
      <c r="J101" s="6">
        <f t="shared" si="16"/>
        <v>129.38487217565262</v>
      </c>
      <c r="L101" s="7">
        <v>8.1488000000000003E-4</v>
      </c>
      <c r="M101" s="7">
        <v>1.6437099999999999E-4</v>
      </c>
      <c r="N101" s="6">
        <f t="shared" si="17"/>
        <v>71.520226089856678</v>
      </c>
      <c r="O101" s="6">
        <f t="shared" si="18"/>
        <v>83.702183566219901</v>
      </c>
      <c r="Q101">
        <f t="shared" si="12"/>
        <v>7.9494833333333334E-4</v>
      </c>
      <c r="R101">
        <f t="shared" si="12"/>
        <v>1.9275466666666667E-4</v>
      </c>
      <c r="T101">
        <f t="shared" si="19"/>
        <v>95.336603178724545</v>
      </c>
      <c r="U101">
        <f t="shared" si="20"/>
        <v>106.87710250451077</v>
      </c>
      <c r="W101">
        <f t="shared" si="21"/>
        <v>17.358639049001471</v>
      </c>
      <c r="X101">
        <f t="shared" si="22"/>
        <v>18.655844942092489</v>
      </c>
    </row>
    <row r="102" spans="1:24" x14ac:dyDescent="0.35">
      <c r="A102" s="3">
        <v>649.13499999999999</v>
      </c>
      <c r="B102" s="7">
        <v>8.0788099999999999E-4</v>
      </c>
      <c r="C102" s="7">
        <v>2.05856E-4</v>
      </c>
      <c r="D102">
        <f t="shared" si="13"/>
        <v>104.16502273143384</v>
      </c>
      <c r="E102">
        <f t="shared" si="14"/>
        <v>109.03043335487219</v>
      </c>
      <c r="G102" s="7">
        <v>8.0398399999999999E-4</v>
      </c>
      <c r="H102" s="7">
        <v>2.15367E-4</v>
      </c>
      <c r="I102" s="6">
        <f t="shared" si="15"/>
        <v>116.12711260943102</v>
      </c>
      <c r="J102" s="6">
        <f t="shared" si="16"/>
        <v>132.16104763190515</v>
      </c>
      <c r="L102" s="7">
        <v>8.298E-4</v>
      </c>
      <c r="M102" s="7">
        <v>1.67011E-4</v>
      </c>
      <c r="N102" s="6">
        <f t="shared" si="17"/>
        <v>72.829721688301433</v>
      </c>
      <c r="O102" s="6">
        <f t="shared" si="18"/>
        <v>85.046543365788082</v>
      </c>
      <c r="Q102">
        <f t="shared" si="12"/>
        <v>8.1388833333333329E-4</v>
      </c>
      <c r="R102">
        <f t="shared" si="12"/>
        <v>1.96078E-4</v>
      </c>
      <c r="T102">
        <f t="shared" si="19"/>
        <v>97.707285676388764</v>
      </c>
      <c r="U102">
        <f t="shared" si="20"/>
        <v>108.7460081175218</v>
      </c>
      <c r="W102">
        <f t="shared" si="21"/>
        <v>18.256374065849894</v>
      </c>
      <c r="X102">
        <f t="shared" si="22"/>
        <v>19.235467264876856</v>
      </c>
    </row>
    <row r="103" spans="1:24" x14ac:dyDescent="0.35">
      <c r="A103" s="3">
        <v>655.32600000000002</v>
      </c>
      <c r="B103" s="7">
        <v>8.2340600000000005E-4</v>
      </c>
      <c r="C103" s="7">
        <v>2.1172199999999999E-4</v>
      </c>
      <c r="D103">
        <f t="shared" si="13"/>
        <v>106.16675563257338</v>
      </c>
      <c r="E103">
        <f t="shared" si="14"/>
        <v>112.13732614429625</v>
      </c>
      <c r="G103" s="7">
        <v>8.2381000000000002E-4</v>
      </c>
      <c r="H103" s="7">
        <v>2.21015E-4</v>
      </c>
      <c r="I103" s="6">
        <f t="shared" si="15"/>
        <v>118.99077175512869</v>
      </c>
      <c r="J103" s="6">
        <f t="shared" si="16"/>
        <v>135.62697136685526</v>
      </c>
      <c r="L103" s="7">
        <v>8.45706E-4</v>
      </c>
      <c r="M103" s="7">
        <v>1.6898999999999999E-4</v>
      </c>
      <c r="N103" s="6">
        <f t="shared" si="17"/>
        <v>74.225756339029459</v>
      </c>
      <c r="O103" s="6">
        <f t="shared" si="18"/>
        <v>86.054303988267407</v>
      </c>
      <c r="Q103">
        <f t="shared" si="12"/>
        <v>8.3097399999999995E-4</v>
      </c>
      <c r="R103">
        <f t="shared" si="12"/>
        <v>2.0057566666666668E-4</v>
      </c>
      <c r="T103">
        <f t="shared" si="19"/>
        <v>99.794427908910507</v>
      </c>
      <c r="U103">
        <f t="shared" si="20"/>
        <v>111.27286716647298</v>
      </c>
      <c r="W103">
        <f t="shared" si="21"/>
        <v>18.822532096120401</v>
      </c>
      <c r="X103">
        <f t="shared" si="22"/>
        <v>20.247185890888293</v>
      </c>
    </row>
    <row r="104" spans="1:24" x14ac:dyDescent="0.35">
      <c r="A104" s="3">
        <v>661.65899999999999</v>
      </c>
      <c r="B104" s="7">
        <v>8.4359599999999995E-4</v>
      </c>
      <c r="C104" s="7">
        <v>2.11607E-4</v>
      </c>
      <c r="D104">
        <f t="shared" si="13"/>
        <v>108.76997542477997</v>
      </c>
      <c r="E104">
        <f t="shared" si="14"/>
        <v>112.07641706301708</v>
      </c>
      <c r="G104" s="7">
        <v>8.4432699999999997E-4</v>
      </c>
      <c r="H104" s="7">
        <v>2.2346000000000001E-4</v>
      </c>
      <c r="I104" s="6">
        <f t="shared" si="15"/>
        <v>121.95423865174315</v>
      </c>
      <c r="J104" s="6">
        <f t="shared" si="16"/>
        <v>137.12735796953817</v>
      </c>
      <c r="L104" s="7">
        <v>8.5835200000000005E-4</v>
      </c>
      <c r="M104" s="7">
        <v>1.71263E-4</v>
      </c>
      <c r="N104" s="6">
        <f t="shared" si="17"/>
        <v>75.335667956853342</v>
      </c>
      <c r="O104" s="6">
        <f t="shared" si="18"/>
        <v>87.211777406607723</v>
      </c>
      <c r="Q104">
        <f t="shared" si="12"/>
        <v>8.487583333333334E-4</v>
      </c>
      <c r="R104">
        <f t="shared" si="12"/>
        <v>2.0211E-4</v>
      </c>
      <c r="T104">
        <f t="shared" si="19"/>
        <v>102.01996067779216</v>
      </c>
      <c r="U104">
        <f t="shared" si="20"/>
        <v>112.13851747972099</v>
      </c>
      <c r="W104">
        <f t="shared" si="21"/>
        <v>19.621328662487372</v>
      </c>
      <c r="X104">
        <f t="shared" si="22"/>
        <v>20.377997743970784</v>
      </c>
    </row>
    <row r="105" spans="1:24" x14ac:dyDescent="0.35">
      <c r="A105" s="3">
        <v>667.80399999999997</v>
      </c>
      <c r="B105" s="7">
        <v>8.6210499999999995E-4</v>
      </c>
      <c r="C105" s="7">
        <v>2.14119E-4</v>
      </c>
      <c r="D105">
        <f t="shared" si="13"/>
        <v>111.1564536384477</v>
      </c>
      <c r="E105">
        <f t="shared" si="14"/>
        <v>113.40688325582873</v>
      </c>
      <c r="G105" s="7">
        <v>8.6702199999999995E-4</v>
      </c>
      <c r="H105" s="7">
        <v>2.20826E-4</v>
      </c>
      <c r="I105" s="6">
        <f t="shared" si="15"/>
        <v>125.23229495718087</v>
      </c>
      <c r="J105" s="6">
        <f t="shared" si="16"/>
        <v>135.5109905619853</v>
      </c>
      <c r="L105" s="7">
        <v>8.69263E-4</v>
      </c>
      <c r="M105" s="7">
        <v>1.74938E-4</v>
      </c>
      <c r="N105" s="6">
        <f t="shared" si="17"/>
        <v>76.293302439067205</v>
      </c>
      <c r="O105" s="6">
        <f t="shared" si="18"/>
        <v>89.083187354870248</v>
      </c>
      <c r="Q105">
        <f t="shared" si="12"/>
        <v>8.6613E-4</v>
      </c>
      <c r="R105">
        <f t="shared" si="12"/>
        <v>2.0329433333333332E-4</v>
      </c>
      <c r="T105">
        <f t="shared" si="19"/>
        <v>104.22735034489858</v>
      </c>
      <c r="U105">
        <f t="shared" si="20"/>
        <v>112.66702039089476</v>
      </c>
      <c r="W105">
        <f t="shared" si="21"/>
        <v>20.57126801328338</v>
      </c>
      <c r="X105">
        <f t="shared" si="22"/>
        <v>18.961289960580771</v>
      </c>
    </row>
    <row r="106" spans="1:24" x14ac:dyDescent="0.35">
      <c r="A106" s="3">
        <v>674.029</v>
      </c>
      <c r="B106" s="7">
        <v>8.8461799999999999E-4</v>
      </c>
      <c r="C106" s="7">
        <v>2.14935E-4</v>
      </c>
      <c r="D106">
        <f t="shared" si="13"/>
        <v>114.05919198326926</v>
      </c>
      <c r="E106">
        <f t="shared" si="14"/>
        <v>113.83907291081852</v>
      </c>
      <c r="G106" s="7">
        <v>8.8866900000000003E-4</v>
      </c>
      <c r="H106" s="7">
        <v>2.2035499999999999E-4</v>
      </c>
      <c r="I106" s="6">
        <f t="shared" si="15"/>
        <v>128.35897858105443</v>
      </c>
      <c r="J106" s="6">
        <f t="shared" si="16"/>
        <v>135.22195903238872</v>
      </c>
      <c r="L106" s="7">
        <v>8.8534300000000002E-4</v>
      </c>
      <c r="M106" s="7">
        <v>1.72726E-4</v>
      </c>
      <c r="N106" s="6">
        <f t="shared" si="17"/>
        <v>77.704608687256993</v>
      </c>
      <c r="O106" s="6">
        <f t="shared" si="18"/>
        <v>87.956776795535092</v>
      </c>
      <c r="Q106">
        <f t="shared" si="12"/>
        <v>8.8621000000000012E-4</v>
      </c>
      <c r="R106">
        <f t="shared" si="12"/>
        <v>2.0267199999999999E-4</v>
      </c>
      <c r="T106">
        <f t="shared" si="19"/>
        <v>106.70759308386023</v>
      </c>
      <c r="U106">
        <f t="shared" si="20"/>
        <v>112.33926957958079</v>
      </c>
      <c r="W106">
        <f t="shared" si="21"/>
        <v>21.32292666150305</v>
      </c>
      <c r="X106">
        <f t="shared" si="22"/>
        <v>19.325051453058453</v>
      </c>
    </row>
    <row r="107" spans="1:24" x14ac:dyDescent="0.35">
      <c r="A107" s="3">
        <v>680.11099999999999</v>
      </c>
      <c r="B107" s="7">
        <v>9.0536499999999999E-4</v>
      </c>
      <c r="C107" s="7">
        <v>2.18426E-4</v>
      </c>
      <c r="D107">
        <f t="shared" si="13"/>
        <v>116.73422918133316</v>
      </c>
      <c r="E107">
        <f t="shared" si="14"/>
        <v>115.68806076078091</v>
      </c>
      <c r="G107" s="7">
        <v>9.1728399999999998E-4</v>
      </c>
      <c r="H107" s="7">
        <v>2.3343100000000001E-4</v>
      </c>
      <c r="I107" s="6">
        <f t="shared" si="15"/>
        <v>132.49211720983172</v>
      </c>
      <c r="J107" s="6">
        <f t="shared" si="16"/>
        <v>143.2461124952442</v>
      </c>
      <c r="L107" s="7">
        <v>9.0114399999999999E-4</v>
      </c>
      <c r="M107" s="7">
        <v>1.7848000000000001E-4</v>
      </c>
      <c r="N107" s="6">
        <f t="shared" si="17"/>
        <v>79.091427718827063</v>
      </c>
      <c r="O107" s="6">
        <f t="shared" si="18"/>
        <v>90.886870085957554</v>
      </c>
      <c r="Q107">
        <f t="shared" si="12"/>
        <v>9.0793099999999995E-4</v>
      </c>
      <c r="R107">
        <f t="shared" si="12"/>
        <v>2.1011233333333333E-4</v>
      </c>
      <c r="T107">
        <f t="shared" si="19"/>
        <v>109.43925803666399</v>
      </c>
      <c r="U107">
        <f t="shared" si="20"/>
        <v>116.60701444732756</v>
      </c>
      <c r="W107">
        <f t="shared" si="21"/>
        <v>22.402691245024418</v>
      </c>
      <c r="X107">
        <f t="shared" si="22"/>
        <v>21.385445569781396</v>
      </c>
    </row>
    <row r="108" spans="1:24" x14ac:dyDescent="0.35">
      <c r="A108" s="3">
        <v>686.43799999999999</v>
      </c>
      <c r="B108" s="7">
        <v>9.2312199999999996E-4</v>
      </c>
      <c r="C108" s="7">
        <v>2.2276699999999999E-4</v>
      </c>
      <c r="D108">
        <f t="shared" si="13"/>
        <v>119.0237474502887</v>
      </c>
      <c r="E108">
        <f t="shared" si="14"/>
        <v>117.98724616802431</v>
      </c>
      <c r="G108" s="7">
        <v>9.3891799999999996E-4</v>
      </c>
      <c r="H108" s="7">
        <v>2.3723900000000001E-4</v>
      </c>
      <c r="I108" s="6">
        <f t="shared" si="15"/>
        <v>135.61692311914385</v>
      </c>
      <c r="J108" s="6">
        <f t="shared" si="16"/>
        <v>145.58291093410574</v>
      </c>
      <c r="L108" s="7">
        <v>9.1111399999999998E-4</v>
      </c>
      <c r="M108" s="7">
        <v>1.8188699999999999E-4</v>
      </c>
      <c r="N108" s="6">
        <f t="shared" si="17"/>
        <v>79.966472699825346</v>
      </c>
      <c r="O108" s="6">
        <f t="shared" si="18"/>
        <v>92.621807145476026</v>
      </c>
      <c r="Q108">
        <f t="shared" si="12"/>
        <v>9.2438466666666663E-4</v>
      </c>
      <c r="R108">
        <f t="shared" si="12"/>
        <v>2.1396433333333332E-4</v>
      </c>
      <c r="T108">
        <f t="shared" si="19"/>
        <v>111.53571442308596</v>
      </c>
      <c r="U108">
        <f t="shared" si="20"/>
        <v>118.73065474920202</v>
      </c>
      <c r="W108">
        <f t="shared" si="21"/>
        <v>23.328039450849936</v>
      </c>
      <c r="X108">
        <f t="shared" si="22"/>
        <v>21.627669328377067</v>
      </c>
    </row>
    <row r="109" spans="1:24" x14ac:dyDescent="0.35">
      <c r="A109" s="3">
        <v>692.55399999999997</v>
      </c>
      <c r="B109" s="7">
        <v>9.3987900000000002E-4</v>
      </c>
      <c r="C109" s="7">
        <v>2.2588799999999999E-4</v>
      </c>
      <c r="D109">
        <f t="shared" si="13"/>
        <v>121.18432962255248</v>
      </c>
      <c r="E109">
        <f t="shared" si="14"/>
        <v>119.64026566952322</v>
      </c>
      <c r="G109" s="7">
        <v>9.6263399999999997E-4</v>
      </c>
      <c r="H109" s="7">
        <v>2.4220099999999999E-4</v>
      </c>
      <c r="I109" s="6">
        <f t="shared" si="15"/>
        <v>139.04245223744135</v>
      </c>
      <c r="J109" s="6">
        <f t="shared" si="16"/>
        <v>148.62786730323151</v>
      </c>
      <c r="L109" s="7">
        <v>9.25686E-4</v>
      </c>
      <c r="M109" s="7">
        <v>1.86558E-4</v>
      </c>
      <c r="N109" s="6">
        <f t="shared" si="17"/>
        <v>81.245425103346577</v>
      </c>
      <c r="O109" s="6">
        <f t="shared" si="18"/>
        <v>95.000407381757441</v>
      </c>
      <c r="Q109">
        <f t="shared" si="12"/>
        <v>9.4273299999999996E-4</v>
      </c>
      <c r="R109">
        <f t="shared" si="12"/>
        <v>2.1821566666666665E-4</v>
      </c>
      <c r="T109">
        <f t="shared" si="19"/>
        <v>113.82406898778014</v>
      </c>
      <c r="U109">
        <f t="shared" si="20"/>
        <v>121.08951345150406</v>
      </c>
      <c r="W109">
        <f t="shared" si="21"/>
        <v>24.162700785075842</v>
      </c>
      <c r="X109">
        <f t="shared" si="22"/>
        <v>21.917289275174181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DCE3-2FAA-478C-A4AF-EEEE46B163A4}">
  <dimension ref="A1:X109"/>
  <sheetViews>
    <sheetView topLeftCell="U3" workbookViewId="0">
      <selection activeCell="AS40" sqref="AS40"/>
    </sheetView>
  </sheetViews>
  <sheetFormatPr defaultColWidth="8.81640625" defaultRowHeight="14.5" x14ac:dyDescent="0.35"/>
  <cols>
    <col min="1" max="1" width="9.453125" bestFit="1" customWidth="1"/>
    <col min="4" max="5" width="12.453125" customWidth="1"/>
    <col min="9" max="10" width="12.453125" customWidth="1"/>
    <col min="14" max="15" width="12.453125" customWidth="1"/>
    <col min="16" max="16" width="8.81640625" style="1"/>
    <col min="17" max="18" width="11.81640625" bestFit="1" customWidth="1"/>
    <col min="20" max="21" width="11.81640625" bestFit="1" customWidth="1"/>
    <col min="23" max="24" width="9.453125" bestFit="1" customWidth="1"/>
  </cols>
  <sheetData>
    <row r="1" spans="1:24" ht="43.5" x14ac:dyDescent="0.35">
      <c r="A1" s="2" t="s">
        <v>5</v>
      </c>
      <c r="B1" s="2" t="s">
        <v>84</v>
      </c>
      <c r="C1" s="2" t="s">
        <v>85</v>
      </c>
      <c r="D1" t="s">
        <v>70</v>
      </c>
      <c r="E1" t="s">
        <v>71</v>
      </c>
      <c r="G1" s="2" t="s">
        <v>86</v>
      </c>
      <c r="H1" s="2" t="s">
        <v>87</v>
      </c>
      <c r="I1" t="s">
        <v>70</v>
      </c>
      <c r="J1" t="s">
        <v>71</v>
      </c>
      <c r="L1" s="2" t="s">
        <v>88</v>
      </c>
      <c r="M1" s="2" t="s">
        <v>89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s="2" t="s">
        <v>6</v>
      </c>
      <c r="B2" s="2" t="s">
        <v>2</v>
      </c>
      <c r="C2" s="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 s="3">
        <v>6.1608999999999998</v>
      </c>
      <c r="B3" s="7">
        <v>3.1956699999999998E-3</v>
      </c>
      <c r="C3" s="7">
        <v>6.1170099999999998E-4</v>
      </c>
      <c r="D3">
        <f>B3/$B$3*100</f>
        <v>100</v>
      </c>
      <c r="E3">
        <f>C3/$C$3*100</f>
        <v>100</v>
      </c>
      <c r="G3" s="7">
        <v>1.4404999999999999E-3</v>
      </c>
      <c r="H3" s="7">
        <v>3.37509E-4</v>
      </c>
      <c r="I3" s="6">
        <f>G3/$G$3*100</f>
        <v>100</v>
      </c>
      <c r="J3" s="6">
        <f>H3/$H$3*100</f>
        <v>100</v>
      </c>
      <c r="L3" s="7">
        <v>3.8714499999999998E-3</v>
      </c>
      <c r="M3" s="7">
        <v>5.4529600000000002E-4</v>
      </c>
      <c r="N3" s="6">
        <f>L3/$L$3*100</f>
        <v>100</v>
      </c>
      <c r="O3" s="6">
        <f>M3/$M$3*100</f>
        <v>100</v>
      </c>
      <c r="Q3">
        <f t="shared" ref="Q3:R31" si="0">AVERAGE(B3,G3,L3)</f>
        <v>2.8358733333333336E-3</v>
      </c>
      <c r="R3">
        <f t="shared" si="0"/>
        <v>4.9816866666666665E-4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 s="3">
        <v>12.3779</v>
      </c>
      <c r="B4" s="7">
        <v>3.2139299999999998E-3</v>
      </c>
      <c r="C4" s="7">
        <v>5.9907700000000005E-4</v>
      </c>
      <c r="D4">
        <f t="shared" ref="D4:D67" si="1">B4/$B$3*100</f>
        <v>100.57139817315304</v>
      </c>
      <c r="E4">
        <f t="shared" ref="E4:E67" si="2">C4/$C$3*100</f>
        <v>97.936246630298157</v>
      </c>
      <c r="G4" s="7">
        <v>1.4603000000000001E-3</v>
      </c>
      <c r="H4" s="7">
        <v>3.4436200000000002E-4</v>
      </c>
      <c r="I4" s="6">
        <f t="shared" ref="I4:I67" si="3">G4/$G$3*100</f>
        <v>101.37452273516141</v>
      </c>
      <c r="J4" s="6">
        <f t="shared" ref="J4:J67" si="4">H4/$H$3*100</f>
        <v>102.03046437280192</v>
      </c>
      <c r="L4" s="7">
        <v>3.9399700000000001E-3</v>
      </c>
      <c r="M4" s="7">
        <v>5.3495599999999995E-4</v>
      </c>
      <c r="N4" s="6">
        <f t="shared" ref="N4:N67" si="5">L4/$L$3*100</f>
        <v>101.769879502512</v>
      </c>
      <c r="O4" s="6">
        <f t="shared" ref="O4:O67" si="6">M4/$M$3*100</f>
        <v>98.103782166016245</v>
      </c>
      <c r="Q4">
        <f t="shared" si="0"/>
        <v>2.8713999999999996E-3</v>
      </c>
      <c r="R4">
        <f t="shared" si="0"/>
        <v>4.9279833333333329E-4</v>
      </c>
      <c r="T4">
        <f t="shared" ref="T4:U31" si="7">AVERAGE(D4,I4,N4)</f>
        <v>101.23860013694214</v>
      </c>
      <c r="U4">
        <f t="shared" si="7"/>
        <v>99.356831056372116</v>
      </c>
      <c r="W4">
        <f t="shared" ref="W4:X31" si="8">_xlfn.STDEV.P(D4,I4,N4)</f>
        <v>0.4986285115096592</v>
      </c>
      <c r="X4">
        <f t="shared" si="8"/>
        <v>1.8917810606189227</v>
      </c>
    </row>
    <row r="5" spans="1:24" x14ac:dyDescent="0.35">
      <c r="A5" s="3">
        <v>18.584199999999999</v>
      </c>
      <c r="B5" s="7">
        <v>3.2391899999999999E-3</v>
      </c>
      <c r="C5" s="7">
        <v>6.0298199999999995E-4</v>
      </c>
      <c r="D5">
        <f t="shared" si="1"/>
        <v>101.36184274346225</v>
      </c>
      <c r="E5">
        <f t="shared" si="2"/>
        <v>98.574630415840417</v>
      </c>
      <c r="G5" s="7">
        <v>1.4829800000000001E-3</v>
      </c>
      <c r="H5" s="7">
        <v>3.4570199999999998E-4</v>
      </c>
      <c r="I5" s="6">
        <f t="shared" si="3"/>
        <v>102.94897604998266</v>
      </c>
      <c r="J5" s="6">
        <f t="shared" si="4"/>
        <v>102.42749082246696</v>
      </c>
      <c r="L5" s="7">
        <v>4.0021700000000002E-3</v>
      </c>
      <c r="M5" s="7">
        <v>5.53861E-4</v>
      </c>
      <c r="N5" s="6">
        <f t="shared" si="5"/>
        <v>103.37651267612911</v>
      </c>
      <c r="O5" s="6">
        <f t="shared" si="6"/>
        <v>101.57070655203779</v>
      </c>
      <c r="Q5">
        <f t="shared" si="0"/>
        <v>2.9081133333333335E-3</v>
      </c>
      <c r="R5">
        <f t="shared" si="0"/>
        <v>5.008483333333334E-4</v>
      </c>
      <c r="T5">
        <f t="shared" si="7"/>
        <v>102.56244382319134</v>
      </c>
      <c r="U5">
        <f t="shared" si="7"/>
        <v>100.8576092634484</v>
      </c>
      <c r="W5">
        <f t="shared" si="8"/>
        <v>0.86670991154640598</v>
      </c>
      <c r="X5">
        <f t="shared" si="8"/>
        <v>1.6517695835038628</v>
      </c>
    </row>
    <row r="6" spans="1:24" x14ac:dyDescent="0.35">
      <c r="A6" s="3">
        <v>24.814599999999999</v>
      </c>
      <c r="B6" s="7">
        <v>3.2587200000000001E-3</v>
      </c>
      <c r="C6" s="7">
        <v>6.0231599999999998E-4</v>
      </c>
      <c r="D6">
        <f t="shared" si="1"/>
        <v>101.97298219152793</v>
      </c>
      <c r="E6">
        <f t="shared" si="2"/>
        <v>98.465753693389431</v>
      </c>
      <c r="G6" s="7">
        <v>1.4998500000000001E-3</v>
      </c>
      <c r="H6" s="7">
        <v>3.4853E-4</v>
      </c>
      <c r="I6" s="6">
        <f t="shared" si="3"/>
        <v>104.12009718847624</v>
      </c>
      <c r="J6" s="6">
        <f t="shared" si="4"/>
        <v>103.26539440429737</v>
      </c>
      <c r="L6" s="7">
        <v>4.0523399999999998E-3</v>
      </c>
      <c r="M6" s="7">
        <v>5.5186799999999995E-4</v>
      </c>
      <c r="N6" s="6">
        <f t="shared" si="5"/>
        <v>104.6724095623087</v>
      </c>
      <c r="O6" s="6">
        <f t="shared" si="6"/>
        <v>101.20521698306972</v>
      </c>
      <c r="Q6">
        <f t="shared" si="0"/>
        <v>2.9369700000000001E-3</v>
      </c>
      <c r="R6">
        <f t="shared" si="0"/>
        <v>5.0090466666666668E-4</v>
      </c>
      <c r="T6">
        <f t="shared" si="7"/>
        <v>103.58849631410429</v>
      </c>
      <c r="U6">
        <f t="shared" si="7"/>
        <v>100.97878836025217</v>
      </c>
      <c r="W6">
        <f t="shared" si="8"/>
        <v>1.1643815668284621</v>
      </c>
      <c r="X6">
        <f t="shared" si="8"/>
        <v>1.9659756152055905</v>
      </c>
    </row>
    <row r="7" spans="1:24" x14ac:dyDescent="0.35">
      <c r="A7" s="3">
        <v>30.955500000000001</v>
      </c>
      <c r="B7" s="7">
        <v>3.2752699999999998E-3</v>
      </c>
      <c r="C7" s="7">
        <v>5.9357699999999997E-4</v>
      </c>
      <c r="D7">
        <f t="shared" si="1"/>
        <v>102.49087045908996</v>
      </c>
      <c r="E7">
        <f t="shared" si="2"/>
        <v>97.037114537985062</v>
      </c>
      <c r="G7" s="7">
        <v>1.5137799999999999E-3</v>
      </c>
      <c r="H7" s="7">
        <v>3.4631100000000003E-4</v>
      </c>
      <c r="I7" s="6">
        <f t="shared" si="3"/>
        <v>105.08712252690037</v>
      </c>
      <c r="J7" s="6">
        <f t="shared" si="4"/>
        <v>102.60793045518788</v>
      </c>
      <c r="L7" s="7">
        <v>4.1017600000000003E-3</v>
      </c>
      <c r="M7" s="7">
        <v>5.5570299999999995E-4</v>
      </c>
      <c r="N7" s="6">
        <f t="shared" si="5"/>
        <v>105.94893386198972</v>
      </c>
      <c r="O7" s="6">
        <f t="shared" si="6"/>
        <v>101.90850473871072</v>
      </c>
      <c r="Q7">
        <f t="shared" si="0"/>
        <v>2.9636033333333331E-3</v>
      </c>
      <c r="R7">
        <f t="shared" si="0"/>
        <v>4.9853033333333333E-4</v>
      </c>
      <c r="T7">
        <f t="shared" si="7"/>
        <v>104.50897561599335</v>
      </c>
      <c r="U7">
        <f t="shared" si="7"/>
        <v>100.51784991062789</v>
      </c>
      <c r="W7">
        <f t="shared" si="8"/>
        <v>1.4697485074125565</v>
      </c>
      <c r="X7">
        <f t="shared" si="8"/>
        <v>2.4777594898069566</v>
      </c>
    </row>
    <row r="8" spans="1:24" x14ac:dyDescent="0.35">
      <c r="A8" s="3">
        <v>37.193899999999999</v>
      </c>
      <c r="B8" s="7">
        <v>3.2910000000000001E-3</v>
      </c>
      <c r="C8" s="7">
        <v>6.1000599999999996E-4</v>
      </c>
      <c r="D8">
        <f t="shared" si="1"/>
        <v>102.98309900584228</v>
      </c>
      <c r="E8">
        <f t="shared" si="2"/>
        <v>99.722903837005333</v>
      </c>
      <c r="G8" s="7">
        <v>1.5290099999999999E-3</v>
      </c>
      <c r="H8" s="7">
        <v>3.4712099999999999E-4</v>
      </c>
      <c r="I8" s="6">
        <f t="shared" si="3"/>
        <v>106.14439430753211</v>
      </c>
      <c r="J8" s="6">
        <f t="shared" si="4"/>
        <v>102.84792405535852</v>
      </c>
      <c r="L8" s="7">
        <v>4.1602999999999996E-3</v>
      </c>
      <c r="M8" s="7">
        <v>5.57958E-4</v>
      </c>
      <c r="N8" s="6">
        <f t="shared" si="5"/>
        <v>107.46102881349364</v>
      </c>
      <c r="O8" s="6">
        <f t="shared" si="6"/>
        <v>102.32204160676037</v>
      </c>
      <c r="Q8">
        <f t="shared" si="0"/>
        <v>2.9934366666666662E-3</v>
      </c>
      <c r="R8">
        <f t="shared" si="0"/>
        <v>5.050283333333333E-4</v>
      </c>
      <c r="T8">
        <f t="shared" si="7"/>
        <v>105.52950737562269</v>
      </c>
      <c r="U8">
        <f t="shared" si="7"/>
        <v>101.63095649970808</v>
      </c>
      <c r="W8">
        <f t="shared" si="8"/>
        <v>1.879100546332011</v>
      </c>
      <c r="X8">
        <f t="shared" si="8"/>
        <v>1.3661714900092539</v>
      </c>
    </row>
    <row r="9" spans="1:24" x14ac:dyDescent="0.35">
      <c r="A9" s="3">
        <v>43.328000000000003</v>
      </c>
      <c r="B9" s="7">
        <v>3.3148100000000001E-3</v>
      </c>
      <c r="C9" s="7">
        <v>6.1065499999999999E-4</v>
      </c>
      <c r="D9">
        <f t="shared" si="1"/>
        <v>103.7281696795977</v>
      </c>
      <c r="E9">
        <f t="shared" si="2"/>
        <v>99.829001423898276</v>
      </c>
      <c r="G9" s="7">
        <v>1.54517E-3</v>
      </c>
      <c r="H9" s="7">
        <v>3.5145400000000001E-4</v>
      </c>
      <c r="I9" s="6">
        <f t="shared" si="3"/>
        <v>107.26622700451233</v>
      </c>
      <c r="J9" s="6">
        <f t="shared" si="4"/>
        <v>104.13174167207393</v>
      </c>
      <c r="L9" s="7">
        <v>4.1932799999999998E-3</v>
      </c>
      <c r="M9" s="7">
        <v>5.5702099999999999E-4</v>
      </c>
      <c r="N9" s="6">
        <f t="shared" si="5"/>
        <v>108.31290601712537</v>
      </c>
      <c r="O9" s="6">
        <f t="shared" si="6"/>
        <v>102.15020832722044</v>
      </c>
      <c r="Q9">
        <f t="shared" si="0"/>
        <v>3.0177533333333333E-3</v>
      </c>
      <c r="R9">
        <f t="shared" si="0"/>
        <v>5.0637666666666665E-4</v>
      </c>
      <c r="T9">
        <f t="shared" si="7"/>
        <v>106.43576756707847</v>
      </c>
      <c r="U9">
        <f t="shared" si="7"/>
        <v>102.03698380773089</v>
      </c>
      <c r="W9">
        <f t="shared" si="8"/>
        <v>1.9616657851732189</v>
      </c>
      <c r="X9">
        <f t="shared" si="8"/>
        <v>1.7584099360270347</v>
      </c>
    </row>
    <row r="10" spans="1:24" x14ac:dyDescent="0.35">
      <c r="A10" s="3">
        <v>49.5092</v>
      </c>
      <c r="B10" s="7">
        <v>3.3291900000000001E-3</v>
      </c>
      <c r="C10" s="7">
        <v>5.8959400000000003E-4</v>
      </c>
      <c r="D10">
        <f t="shared" si="1"/>
        <v>104.17815356404134</v>
      </c>
      <c r="E10">
        <f t="shared" si="2"/>
        <v>96.385979424588157</v>
      </c>
      <c r="G10" s="7">
        <v>1.56153E-3</v>
      </c>
      <c r="H10" s="7">
        <v>3.5696700000000003E-4</v>
      </c>
      <c r="I10" s="6">
        <f t="shared" si="3"/>
        <v>108.40194376952448</v>
      </c>
      <c r="J10" s="6">
        <f t="shared" si="4"/>
        <v>105.76517959521081</v>
      </c>
      <c r="L10" s="7">
        <v>4.2376799999999997E-3</v>
      </c>
      <c r="M10" s="7">
        <v>5.7561999999999999E-4</v>
      </c>
      <c r="N10" s="6">
        <f t="shared" si="5"/>
        <v>109.4597631378424</v>
      </c>
      <c r="O10" s="6">
        <f t="shared" si="6"/>
        <v>105.56101640210088</v>
      </c>
      <c r="Q10">
        <f t="shared" si="0"/>
        <v>3.0428E-3</v>
      </c>
      <c r="R10">
        <f t="shared" si="0"/>
        <v>5.0739366666666672E-4</v>
      </c>
      <c r="T10">
        <f t="shared" si="7"/>
        <v>107.34662015713609</v>
      </c>
      <c r="U10">
        <f t="shared" si="7"/>
        <v>102.57072514063327</v>
      </c>
      <c r="W10">
        <f t="shared" si="8"/>
        <v>2.281685176598669</v>
      </c>
      <c r="X10">
        <f t="shared" si="8"/>
        <v>4.3740698311343174</v>
      </c>
    </row>
    <row r="11" spans="1:24" x14ac:dyDescent="0.35">
      <c r="A11" s="3">
        <v>55.8187</v>
      </c>
      <c r="B11" s="7">
        <v>3.3523899999999998E-3</v>
      </c>
      <c r="C11" s="7">
        <v>6.0601999999999997E-4</v>
      </c>
      <c r="D11">
        <f t="shared" si="1"/>
        <v>104.90413590890174</v>
      </c>
      <c r="E11">
        <f t="shared" si="2"/>
        <v>99.071278287921714</v>
      </c>
      <c r="G11" s="7">
        <v>1.57782E-3</v>
      </c>
      <c r="H11" s="7">
        <v>3.57134E-4</v>
      </c>
      <c r="I11" s="6">
        <f t="shared" si="3"/>
        <v>109.53280111072546</v>
      </c>
      <c r="J11" s="6">
        <f t="shared" si="4"/>
        <v>105.81465975722128</v>
      </c>
      <c r="L11" s="7">
        <v>4.27912E-3</v>
      </c>
      <c r="M11" s="7">
        <v>5.7262899999999995E-4</v>
      </c>
      <c r="N11" s="6">
        <f t="shared" si="5"/>
        <v>110.53016311717832</v>
      </c>
      <c r="O11" s="6">
        <f t="shared" si="6"/>
        <v>105.01250696869222</v>
      </c>
      <c r="Q11">
        <f t="shared" si="0"/>
        <v>3.0697766666666665E-3</v>
      </c>
      <c r="R11">
        <f t="shared" si="0"/>
        <v>5.1192766666666655E-4</v>
      </c>
      <c r="T11">
        <f t="shared" si="7"/>
        <v>108.32236671226849</v>
      </c>
      <c r="U11">
        <f t="shared" si="7"/>
        <v>103.2994816712784</v>
      </c>
      <c r="W11">
        <f t="shared" si="8"/>
        <v>2.4511098318643314</v>
      </c>
      <c r="X11">
        <f t="shared" si="8"/>
        <v>3.0076724292280632</v>
      </c>
    </row>
    <row r="12" spans="1:24" x14ac:dyDescent="0.35">
      <c r="A12" s="3">
        <v>61.948399999999999</v>
      </c>
      <c r="B12" s="7">
        <v>3.3744600000000001E-3</v>
      </c>
      <c r="C12" s="7">
        <v>6.0368800000000001E-4</v>
      </c>
      <c r="D12">
        <f t="shared" si="1"/>
        <v>105.59475790679265</v>
      </c>
      <c r="E12">
        <f t="shared" si="2"/>
        <v>98.690046280780976</v>
      </c>
      <c r="G12" s="7">
        <v>1.58993E-3</v>
      </c>
      <c r="H12" s="7">
        <v>3.5611799999999999E-4</v>
      </c>
      <c r="I12" s="6">
        <f t="shared" si="3"/>
        <v>110.373481430059</v>
      </c>
      <c r="J12" s="6">
        <f t="shared" si="4"/>
        <v>105.5136307476245</v>
      </c>
      <c r="L12" s="7">
        <v>4.3345099999999998E-3</v>
      </c>
      <c r="M12" s="7">
        <v>5.8416900000000005E-4</v>
      </c>
      <c r="N12" s="6">
        <f t="shared" si="5"/>
        <v>111.96089320538816</v>
      </c>
      <c r="O12" s="6">
        <f t="shared" si="6"/>
        <v>107.12878876793522</v>
      </c>
      <c r="Q12">
        <f t="shared" si="0"/>
        <v>3.0996333333333328E-3</v>
      </c>
      <c r="R12">
        <f t="shared" si="0"/>
        <v>5.1465833333333335E-4</v>
      </c>
      <c r="T12">
        <f t="shared" si="7"/>
        <v>109.30971084741327</v>
      </c>
      <c r="U12">
        <f t="shared" si="7"/>
        <v>103.77748859878022</v>
      </c>
      <c r="W12">
        <f t="shared" si="8"/>
        <v>2.705626920497695</v>
      </c>
      <c r="X12">
        <f t="shared" si="8"/>
        <v>3.6572973502183048</v>
      </c>
    </row>
    <row r="13" spans="1:24" x14ac:dyDescent="0.35">
      <c r="A13" s="3">
        <v>68.294600000000003</v>
      </c>
      <c r="B13" s="7">
        <v>3.38975E-3</v>
      </c>
      <c r="C13" s="7">
        <v>5.9724099999999998E-4</v>
      </c>
      <c r="D13">
        <f t="shared" si="1"/>
        <v>106.07321782286657</v>
      </c>
      <c r="E13">
        <f t="shared" si="2"/>
        <v>97.636099990027816</v>
      </c>
      <c r="G13" s="7">
        <v>1.6034199999999999E-3</v>
      </c>
      <c r="H13" s="7">
        <v>3.5923699999999999E-4</v>
      </c>
      <c r="I13" s="6">
        <f t="shared" si="3"/>
        <v>111.30996181881292</v>
      </c>
      <c r="J13" s="6">
        <f t="shared" si="4"/>
        <v>106.43775425247919</v>
      </c>
      <c r="L13" s="7">
        <v>4.3664300000000001E-3</v>
      </c>
      <c r="M13" s="7">
        <v>5.8108300000000003E-4</v>
      </c>
      <c r="N13" s="6">
        <f t="shared" si="5"/>
        <v>112.78539048676852</v>
      </c>
      <c r="O13" s="6">
        <f t="shared" si="6"/>
        <v>106.56285760394356</v>
      </c>
      <c r="Q13">
        <f t="shared" si="0"/>
        <v>3.1198666666666665E-3</v>
      </c>
      <c r="R13">
        <f t="shared" si="0"/>
        <v>5.125203333333333E-4</v>
      </c>
      <c r="T13">
        <f t="shared" si="7"/>
        <v>110.056190042816</v>
      </c>
      <c r="U13">
        <f t="shared" si="7"/>
        <v>103.54557061548353</v>
      </c>
      <c r="W13">
        <f t="shared" si="8"/>
        <v>2.8800779176060511</v>
      </c>
      <c r="X13">
        <f t="shared" si="8"/>
        <v>4.1789388618786782</v>
      </c>
    </row>
    <row r="14" spans="1:24" x14ac:dyDescent="0.35">
      <c r="A14" s="3">
        <v>74.376800000000003</v>
      </c>
      <c r="B14" s="7">
        <v>3.41034E-3</v>
      </c>
      <c r="C14" s="7">
        <v>6.0612600000000002E-4</v>
      </c>
      <c r="D14">
        <f t="shared" si="1"/>
        <v>106.71752715393016</v>
      </c>
      <c r="E14">
        <f t="shared" si="2"/>
        <v>99.088607015519031</v>
      </c>
      <c r="G14" s="7">
        <v>1.6079E-3</v>
      </c>
      <c r="H14" s="7">
        <v>3.54304E-4</v>
      </c>
      <c r="I14" s="6">
        <f t="shared" si="3"/>
        <v>111.62096494272822</v>
      </c>
      <c r="J14" s="6">
        <f t="shared" si="4"/>
        <v>104.97616359860034</v>
      </c>
      <c r="L14" s="7">
        <v>4.4090900000000001E-3</v>
      </c>
      <c r="M14" s="7">
        <v>6.1438300000000003E-4</v>
      </c>
      <c r="N14" s="6">
        <f t="shared" si="5"/>
        <v>113.88730320680882</v>
      </c>
      <c r="O14" s="6">
        <f t="shared" si="6"/>
        <v>112.66963263988731</v>
      </c>
      <c r="Q14">
        <f t="shared" si="0"/>
        <v>3.1424433333333336E-3</v>
      </c>
      <c r="R14">
        <f t="shared" si="0"/>
        <v>5.249376666666667E-4</v>
      </c>
      <c r="T14">
        <f t="shared" si="7"/>
        <v>110.74193176782241</v>
      </c>
      <c r="U14">
        <f t="shared" si="7"/>
        <v>105.57813441800222</v>
      </c>
      <c r="W14">
        <f t="shared" si="8"/>
        <v>2.9923175693818362</v>
      </c>
      <c r="X14">
        <f t="shared" si="8"/>
        <v>5.5607458074731602</v>
      </c>
    </row>
    <row r="15" spans="1:24" x14ac:dyDescent="0.35">
      <c r="A15" s="3">
        <v>80.591399999999993</v>
      </c>
      <c r="B15" s="7">
        <v>3.42121E-3</v>
      </c>
      <c r="C15" s="7">
        <v>5.9435399999999995E-4</v>
      </c>
      <c r="D15">
        <f t="shared" si="1"/>
        <v>107.05767491637121</v>
      </c>
      <c r="E15">
        <f t="shared" si="2"/>
        <v>97.164137380844565</v>
      </c>
      <c r="G15" s="7">
        <v>1.61545E-3</v>
      </c>
      <c r="H15" s="7">
        <v>3.50117E-4</v>
      </c>
      <c r="I15" s="6">
        <f t="shared" si="3"/>
        <v>112.14508851093372</v>
      </c>
      <c r="J15" s="6">
        <f t="shared" si="4"/>
        <v>103.73560408759471</v>
      </c>
      <c r="L15" s="7">
        <v>4.4498799999999998E-3</v>
      </c>
      <c r="M15" s="7">
        <v>6.0875999999999997E-4</v>
      </c>
      <c r="N15" s="6">
        <f t="shared" si="5"/>
        <v>114.94091361117928</v>
      </c>
      <c r="O15" s="6">
        <f t="shared" si="6"/>
        <v>111.63844957601007</v>
      </c>
      <c r="Q15">
        <f t="shared" si="0"/>
        <v>3.1621800000000001E-3</v>
      </c>
      <c r="R15">
        <f t="shared" si="0"/>
        <v>5.1774366666666662E-4</v>
      </c>
      <c r="T15">
        <f t="shared" si="7"/>
        <v>111.38122567949473</v>
      </c>
      <c r="U15">
        <f t="shared" si="7"/>
        <v>104.17939701481646</v>
      </c>
      <c r="W15">
        <f t="shared" si="8"/>
        <v>3.2633293733823741</v>
      </c>
      <c r="X15">
        <f t="shared" si="8"/>
        <v>5.9174399026644551</v>
      </c>
    </row>
    <row r="16" spans="1:24" x14ac:dyDescent="0.35">
      <c r="A16" s="3">
        <v>86.865200000000002</v>
      </c>
      <c r="B16" s="7">
        <v>3.4399999999999999E-3</v>
      </c>
      <c r="C16" s="7">
        <v>6.0300000000000002E-4</v>
      </c>
      <c r="D16">
        <f t="shared" si="1"/>
        <v>107.64565803102325</v>
      </c>
      <c r="E16">
        <f t="shared" si="2"/>
        <v>98.577573029960718</v>
      </c>
      <c r="G16" s="7">
        <v>1.6298199999999999E-3</v>
      </c>
      <c r="H16" s="7">
        <v>3.5258499999999999E-4</v>
      </c>
      <c r="I16" s="6">
        <f t="shared" si="3"/>
        <v>113.14265879902811</v>
      </c>
      <c r="J16" s="6">
        <f t="shared" si="4"/>
        <v>104.46684384712704</v>
      </c>
      <c r="L16" s="7">
        <v>4.4986499999999999E-3</v>
      </c>
      <c r="M16" s="7">
        <v>6.3212399999999997E-4</v>
      </c>
      <c r="N16" s="6">
        <f t="shared" si="5"/>
        <v>116.20064833589483</v>
      </c>
      <c r="O16" s="6">
        <f t="shared" si="6"/>
        <v>115.9230949796074</v>
      </c>
      <c r="Q16">
        <f t="shared" si="0"/>
        <v>3.1894899999999997E-3</v>
      </c>
      <c r="R16">
        <f t="shared" si="0"/>
        <v>5.2923633333333336E-4</v>
      </c>
      <c r="T16">
        <f t="shared" si="7"/>
        <v>112.3296550553154</v>
      </c>
      <c r="U16">
        <f t="shared" si="7"/>
        <v>106.32250395223173</v>
      </c>
      <c r="W16">
        <f t="shared" si="8"/>
        <v>3.5395570433393546</v>
      </c>
      <c r="X16">
        <f t="shared" si="8"/>
        <v>7.201823322172265</v>
      </c>
    </row>
    <row r="17" spans="1:24" x14ac:dyDescent="0.35">
      <c r="A17" s="3">
        <v>93.009600000000006</v>
      </c>
      <c r="B17" s="7">
        <v>3.4620300000000001E-3</v>
      </c>
      <c r="C17" s="7">
        <v>6.1536499999999999E-4</v>
      </c>
      <c r="D17">
        <f t="shared" si="1"/>
        <v>108.33502833521609</v>
      </c>
      <c r="E17">
        <f t="shared" si="2"/>
        <v>100.59898545204275</v>
      </c>
      <c r="G17" s="7">
        <v>1.6464800000000001E-3</v>
      </c>
      <c r="H17" s="7">
        <v>3.6015599999999999E-4</v>
      </c>
      <c r="I17" s="6">
        <f t="shared" si="3"/>
        <v>114.29920166608818</v>
      </c>
      <c r="J17" s="6">
        <f t="shared" si="4"/>
        <v>106.71004328773455</v>
      </c>
      <c r="L17" s="7">
        <v>4.5445499999999996E-3</v>
      </c>
      <c r="M17" s="7">
        <v>6.2015499999999995E-4</v>
      </c>
      <c r="N17" s="6">
        <f t="shared" si="5"/>
        <v>117.38625062960905</v>
      </c>
      <c r="O17" s="6">
        <f t="shared" si="6"/>
        <v>113.72814031278425</v>
      </c>
      <c r="Q17">
        <f t="shared" si="0"/>
        <v>3.2176866666666667E-3</v>
      </c>
      <c r="R17">
        <f t="shared" si="0"/>
        <v>5.3189199999999996E-4</v>
      </c>
      <c r="T17">
        <f t="shared" si="7"/>
        <v>113.34016021030443</v>
      </c>
      <c r="U17">
        <f t="shared" si="7"/>
        <v>107.0123896841872</v>
      </c>
      <c r="W17">
        <f t="shared" si="8"/>
        <v>3.7568583187785043</v>
      </c>
      <c r="X17">
        <f t="shared" si="8"/>
        <v>5.36421705047555</v>
      </c>
    </row>
    <row r="18" spans="1:24" x14ac:dyDescent="0.35">
      <c r="A18" s="3">
        <v>99.231399999999994</v>
      </c>
      <c r="B18" s="7">
        <v>3.4785200000000001E-3</v>
      </c>
      <c r="C18" s="7">
        <v>6.1303400000000004E-4</v>
      </c>
      <c r="D18">
        <f t="shared" si="1"/>
        <v>108.85103906223108</v>
      </c>
      <c r="E18">
        <f t="shared" si="2"/>
        <v>100.21791692346424</v>
      </c>
      <c r="G18" s="7">
        <v>1.6536999999999999E-3</v>
      </c>
      <c r="H18" s="7">
        <v>3.5952199999999998E-4</v>
      </c>
      <c r="I18" s="6">
        <f t="shared" si="3"/>
        <v>114.80041652204096</v>
      </c>
      <c r="J18" s="6">
        <f t="shared" si="4"/>
        <v>106.52219644513184</v>
      </c>
      <c r="L18" s="7">
        <v>4.5841800000000002E-3</v>
      </c>
      <c r="M18" s="7">
        <v>6.4941499999999997E-4</v>
      </c>
      <c r="N18" s="6">
        <f t="shared" si="5"/>
        <v>118.40989810019502</v>
      </c>
      <c r="O18" s="6">
        <f t="shared" si="6"/>
        <v>119.09403333235527</v>
      </c>
      <c r="Q18">
        <f t="shared" si="0"/>
        <v>3.2388E-3</v>
      </c>
      <c r="R18">
        <f t="shared" si="0"/>
        <v>5.4065700000000005E-4</v>
      </c>
      <c r="T18">
        <f t="shared" si="7"/>
        <v>114.02045122815569</v>
      </c>
      <c r="U18">
        <f t="shared" si="7"/>
        <v>108.61138223365045</v>
      </c>
      <c r="W18">
        <f t="shared" si="8"/>
        <v>3.9411678405996522</v>
      </c>
      <c r="X18">
        <f t="shared" si="8"/>
        <v>7.8464627110867529</v>
      </c>
    </row>
    <row r="19" spans="1:24" x14ac:dyDescent="0.35">
      <c r="A19" s="3">
        <v>105.389</v>
      </c>
      <c r="B19" s="7">
        <v>3.49162E-3</v>
      </c>
      <c r="C19" s="7">
        <v>6.0524299999999999E-4</v>
      </c>
      <c r="D19">
        <f t="shared" si="1"/>
        <v>109.26096874833759</v>
      </c>
      <c r="E19">
        <f t="shared" si="2"/>
        <v>98.944255445062211</v>
      </c>
      <c r="G19" s="7">
        <v>1.6658300000000001E-3</v>
      </c>
      <c r="H19" s="7">
        <v>3.6172800000000002E-4</v>
      </c>
      <c r="I19" s="6">
        <f t="shared" si="3"/>
        <v>115.64248524817774</v>
      </c>
      <c r="J19" s="6">
        <f t="shared" si="4"/>
        <v>107.1758086451028</v>
      </c>
      <c r="L19" s="7">
        <v>4.6351700000000001E-3</v>
      </c>
      <c r="M19" s="7">
        <v>6.5075199999999999E-4</v>
      </c>
      <c r="N19" s="6">
        <f t="shared" si="5"/>
        <v>119.72697568094644</v>
      </c>
      <c r="O19" s="6">
        <f t="shared" si="6"/>
        <v>119.3392212669816</v>
      </c>
      <c r="Q19">
        <f t="shared" si="0"/>
        <v>3.2642066666666667E-3</v>
      </c>
      <c r="R19">
        <f t="shared" si="0"/>
        <v>5.3924100000000009E-4</v>
      </c>
      <c r="T19">
        <f t="shared" si="7"/>
        <v>114.87680989248726</v>
      </c>
      <c r="U19">
        <f t="shared" si="7"/>
        <v>108.4864284523822</v>
      </c>
      <c r="W19">
        <f t="shared" si="8"/>
        <v>4.3068951957752528</v>
      </c>
      <c r="X19">
        <f t="shared" si="8"/>
        <v>8.3776269881448648</v>
      </c>
    </row>
    <row r="20" spans="1:24" x14ac:dyDescent="0.35">
      <c r="A20" s="3">
        <v>111.69199999999999</v>
      </c>
      <c r="B20" s="7">
        <v>3.5122E-3</v>
      </c>
      <c r="C20" s="7">
        <v>6.0600900000000002E-4</v>
      </c>
      <c r="D20">
        <f t="shared" si="1"/>
        <v>109.9049651559767</v>
      </c>
      <c r="E20">
        <f t="shared" si="2"/>
        <v>99.069480023737086</v>
      </c>
      <c r="G20" s="7">
        <v>1.6785999999999999E-3</v>
      </c>
      <c r="H20" s="7">
        <v>3.6433800000000002E-4</v>
      </c>
      <c r="I20" s="6">
        <f t="shared" si="3"/>
        <v>116.52898299201667</v>
      </c>
      <c r="J20" s="6">
        <f t="shared" si="4"/>
        <v>107.94912135676383</v>
      </c>
      <c r="L20" s="7">
        <v>4.6994100000000002E-3</v>
      </c>
      <c r="M20" s="7">
        <v>6.5187999999999997E-4</v>
      </c>
      <c r="N20" s="6">
        <f t="shared" si="5"/>
        <v>121.38630228983973</v>
      </c>
      <c r="O20" s="6">
        <f t="shared" si="6"/>
        <v>119.54608139432527</v>
      </c>
      <c r="Q20">
        <f t="shared" si="0"/>
        <v>3.2967366666666665E-3</v>
      </c>
      <c r="R20">
        <f t="shared" si="0"/>
        <v>5.4074233333333336E-4</v>
      </c>
      <c r="T20">
        <f t="shared" si="7"/>
        <v>115.9400834792777</v>
      </c>
      <c r="U20">
        <f t="shared" si="7"/>
        <v>108.85489425827539</v>
      </c>
      <c r="W20">
        <f t="shared" si="8"/>
        <v>4.7056970842043313</v>
      </c>
      <c r="X20">
        <f t="shared" si="8"/>
        <v>8.3840371871920194</v>
      </c>
    </row>
    <row r="21" spans="1:24" x14ac:dyDescent="0.35">
      <c r="A21" s="3">
        <v>117.926</v>
      </c>
      <c r="B21" s="7">
        <v>3.5219600000000002E-3</v>
      </c>
      <c r="C21" s="7">
        <v>6.0347099999999996E-4</v>
      </c>
      <c r="D21">
        <f t="shared" si="1"/>
        <v>110.21037841829727</v>
      </c>
      <c r="E21">
        <f t="shared" si="2"/>
        <v>98.654571432775157</v>
      </c>
      <c r="G21" s="7">
        <v>1.6883200000000001E-3</v>
      </c>
      <c r="H21" s="7">
        <v>3.6559199999999998E-4</v>
      </c>
      <c r="I21" s="6">
        <f t="shared" si="3"/>
        <v>117.20374869836863</v>
      </c>
      <c r="J21" s="6">
        <f t="shared" si="4"/>
        <v>108.32066700443544</v>
      </c>
      <c r="L21" s="7">
        <v>4.7348199999999998E-3</v>
      </c>
      <c r="M21" s="7">
        <v>6.4608199999999997E-4</v>
      </c>
      <c r="N21" s="6">
        <f t="shared" si="5"/>
        <v>122.30094667372691</v>
      </c>
      <c r="O21" s="6">
        <f t="shared" si="6"/>
        <v>118.48280566884775</v>
      </c>
      <c r="Q21">
        <f t="shared" si="0"/>
        <v>3.3150333333333334E-3</v>
      </c>
      <c r="R21">
        <f t="shared" si="0"/>
        <v>5.3838166666666664E-4</v>
      </c>
      <c r="T21">
        <f t="shared" si="7"/>
        <v>116.57169126346427</v>
      </c>
      <c r="U21">
        <f t="shared" si="7"/>
        <v>108.48601470201943</v>
      </c>
      <c r="W21">
        <f t="shared" si="8"/>
        <v>4.9561465296850784</v>
      </c>
      <c r="X21">
        <f t="shared" si="8"/>
        <v>8.0956870462389841</v>
      </c>
    </row>
    <row r="22" spans="1:24" x14ac:dyDescent="0.35">
      <c r="A22" s="3">
        <v>124.08</v>
      </c>
      <c r="B22" s="7">
        <v>3.5460399999999999E-3</v>
      </c>
      <c r="C22" s="7">
        <v>6.0711900000000004E-4</v>
      </c>
      <c r="D22">
        <f t="shared" si="1"/>
        <v>110.96389802451444</v>
      </c>
      <c r="E22">
        <f t="shared" si="2"/>
        <v>99.250941227822096</v>
      </c>
      <c r="G22" s="7">
        <v>1.6999999999999999E-3</v>
      </c>
      <c r="H22" s="7">
        <v>3.68193E-4</v>
      </c>
      <c r="I22" s="6">
        <f t="shared" si="3"/>
        <v>118.01457827143354</v>
      </c>
      <c r="J22" s="6">
        <f t="shared" si="4"/>
        <v>109.09131312053901</v>
      </c>
      <c r="L22" s="7">
        <v>4.7792700000000004E-3</v>
      </c>
      <c r="M22" s="7">
        <v>6.7320499999999996E-4</v>
      </c>
      <c r="N22" s="6">
        <f t="shared" si="5"/>
        <v>123.44909530021053</v>
      </c>
      <c r="O22" s="6">
        <f t="shared" si="6"/>
        <v>123.4568014436196</v>
      </c>
      <c r="Q22">
        <f t="shared" si="0"/>
        <v>3.3417699999999995E-3</v>
      </c>
      <c r="R22">
        <f t="shared" si="0"/>
        <v>5.4950566666666669E-4</v>
      </c>
      <c r="T22">
        <f t="shared" si="7"/>
        <v>117.4758571987195</v>
      </c>
      <c r="U22">
        <f t="shared" si="7"/>
        <v>110.59968526399358</v>
      </c>
      <c r="W22">
        <f t="shared" si="8"/>
        <v>5.1112753169766361</v>
      </c>
      <c r="X22">
        <f t="shared" si="8"/>
        <v>9.939393244024652</v>
      </c>
    </row>
    <row r="23" spans="1:24" x14ac:dyDescent="0.35">
      <c r="A23" s="3">
        <v>130.351</v>
      </c>
      <c r="B23" s="7">
        <v>3.5626E-3</v>
      </c>
      <c r="C23" s="7">
        <v>6.0792400000000003E-4</v>
      </c>
      <c r="D23">
        <f t="shared" si="1"/>
        <v>111.48209921550098</v>
      </c>
      <c r="E23">
        <f t="shared" si="2"/>
        <v>99.382541470424286</v>
      </c>
      <c r="G23" s="7">
        <v>1.71463E-3</v>
      </c>
      <c r="H23" s="7">
        <v>3.6923799999999998E-4</v>
      </c>
      <c r="I23" s="6">
        <f t="shared" si="3"/>
        <v>119.03019784796946</v>
      </c>
      <c r="J23" s="6">
        <f t="shared" si="4"/>
        <v>109.40093449359868</v>
      </c>
      <c r="L23" s="7">
        <v>4.8295999999999999E-3</v>
      </c>
      <c r="M23" s="7">
        <v>6.5529800000000001E-4</v>
      </c>
      <c r="N23" s="6">
        <f t="shared" si="5"/>
        <v>124.74912500484314</v>
      </c>
      <c r="O23" s="6">
        <f t="shared" si="6"/>
        <v>120.17289692203867</v>
      </c>
      <c r="Q23">
        <f t="shared" si="0"/>
        <v>3.3689433333333337E-3</v>
      </c>
      <c r="R23">
        <f t="shared" si="0"/>
        <v>5.4415333333333339E-4</v>
      </c>
      <c r="T23">
        <f t="shared" si="7"/>
        <v>118.42047402277119</v>
      </c>
      <c r="U23">
        <f t="shared" si="7"/>
        <v>109.65212429535387</v>
      </c>
      <c r="W23">
        <f t="shared" si="8"/>
        <v>5.4333731500194409</v>
      </c>
      <c r="X23">
        <f t="shared" si="8"/>
        <v>8.4894853471219474</v>
      </c>
    </row>
    <row r="24" spans="1:24" x14ac:dyDescent="0.35">
      <c r="A24" s="3">
        <v>136.554</v>
      </c>
      <c r="B24" s="7">
        <v>3.5856899999999999E-3</v>
      </c>
      <c r="C24" s="7">
        <v>6.1605799999999995E-4</v>
      </c>
      <c r="D24">
        <f t="shared" si="1"/>
        <v>112.20463940269177</v>
      </c>
      <c r="E24">
        <f t="shared" si="2"/>
        <v>100.71227609567418</v>
      </c>
      <c r="G24" s="7">
        <v>1.7318699999999999E-3</v>
      </c>
      <c r="H24" s="7">
        <v>3.7858899999999998E-4</v>
      </c>
      <c r="I24" s="6">
        <f t="shared" si="3"/>
        <v>120.22700451232211</v>
      </c>
      <c r="J24" s="6">
        <f t="shared" si="4"/>
        <v>112.1715272777911</v>
      </c>
      <c r="L24" s="7">
        <v>4.8887799999999997E-3</v>
      </c>
      <c r="M24" s="7">
        <v>6.6681499999999996E-4</v>
      </c>
      <c r="N24" s="6">
        <f t="shared" si="5"/>
        <v>126.27775123015925</v>
      </c>
      <c r="O24" s="6">
        <f t="shared" si="6"/>
        <v>122.28496082861417</v>
      </c>
      <c r="Q24">
        <f t="shared" si="0"/>
        <v>3.4021133333333332E-3</v>
      </c>
      <c r="R24">
        <f t="shared" si="0"/>
        <v>5.5382066666666665E-4</v>
      </c>
      <c r="T24">
        <f t="shared" si="7"/>
        <v>119.56979838172437</v>
      </c>
      <c r="U24">
        <f t="shared" si="7"/>
        <v>111.72292140069317</v>
      </c>
      <c r="W24">
        <f t="shared" si="8"/>
        <v>5.7640876150334348</v>
      </c>
      <c r="X24">
        <f t="shared" si="8"/>
        <v>8.8127225105310352</v>
      </c>
    </row>
    <row r="25" spans="1:24" x14ac:dyDescent="0.35">
      <c r="A25" s="3">
        <v>142.69399999999999</v>
      </c>
      <c r="B25" s="7">
        <v>3.6059999999999998E-3</v>
      </c>
      <c r="C25" s="7">
        <v>6.1627100000000005E-4</v>
      </c>
      <c r="D25">
        <f t="shared" si="1"/>
        <v>112.84018687786912</v>
      </c>
      <c r="E25">
        <f t="shared" si="2"/>
        <v>100.74709702943106</v>
      </c>
      <c r="G25" s="7">
        <v>1.7460500000000001E-3</v>
      </c>
      <c r="H25" s="7">
        <v>3.8343999999999997E-4</v>
      </c>
      <c r="I25" s="6">
        <f t="shared" si="3"/>
        <v>121.2113849357862</v>
      </c>
      <c r="J25" s="6">
        <f t="shared" si="4"/>
        <v>113.60882228325761</v>
      </c>
      <c r="L25" s="7">
        <v>4.9389799999999999E-3</v>
      </c>
      <c r="M25" s="7">
        <v>6.5309899999999998E-4</v>
      </c>
      <c r="N25" s="6">
        <f t="shared" si="5"/>
        <v>127.57442301979877</v>
      </c>
      <c r="O25" s="6">
        <f t="shared" si="6"/>
        <v>119.76962970570111</v>
      </c>
      <c r="Q25">
        <f t="shared" si="0"/>
        <v>3.4303433333333334E-3</v>
      </c>
      <c r="R25">
        <f t="shared" si="0"/>
        <v>5.5093666666666656E-4</v>
      </c>
      <c r="T25">
        <f t="shared" si="7"/>
        <v>120.54199827781802</v>
      </c>
      <c r="U25">
        <f t="shared" si="7"/>
        <v>111.37518300612993</v>
      </c>
      <c r="W25">
        <f t="shared" si="8"/>
        <v>6.0338206549933115</v>
      </c>
      <c r="X25">
        <f t="shared" si="8"/>
        <v>7.9248993966353085</v>
      </c>
    </row>
    <row r="26" spans="1:24" x14ac:dyDescent="0.35">
      <c r="A26" s="3">
        <v>148.88</v>
      </c>
      <c r="B26" s="7">
        <v>3.62701E-3</v>
      </c>
      <c r="C26" s="7">
        <v>6.1771000000000005E-4</v>
      </c>
      <c r="D26">
        <f t="shared" si="1"/>
        <v>113.49763899276209</v>
      </c>
      <c r="E26">
        <f t="shared" si="2"/>
        <v>100.98234268049259</v>
      </c>
      <c r="G26" s="7">
        <v>1.7585999999999999E-3</v>
      </c>
      <c r="H26" s="7">
        <v>3.8246599999999998E-4</v>
      </c>
      <c r="I26" s="6">
        <f t="shared" si="3"/>
        <v>122.08261020479002</v>
      </c>
      <c r="J26" s="6">
        <f t="shared" si="4"/>
        <v>113.32023738626229</v>
      </c>
      <c r="L26" s="7">
        <v>4.9801200000000002E-3</v>
      </c>
      <c r="M26" s="7">
        <v>6.7893200000000004E-4</v>
      </c>
      <c r="N26" s="6">
        <f t="shared" si="5"/>
        <v>128.63707396453526</v>
      </c>
      <c r="O26" s="6">
        <f t="shared" si="6"/>
        <v>124.50705671781932</v>
      </c>
      <c r="Q26">
        <f t="shared" si="0"/>
        <v>3.4552433333333334E-3</v>
      </c>
      <c r="R26">
        <f t="shared" si="0"/>
        <v>5.5970266666666667E-4</v>
      </c>
      <c r="T26">
        <f t="shared" si="7"/>
        <v>121.40577438736246</v>
      </c>
      <c r="U26">
        <f t="shared" si="7"/>
        <v>112.93654559485806</v>
      </c>
      <c r="W26">
        <f t="shared" si="8"/>
        <v>6.1991506331621347</v>
      </c>
      <c r="X26">
        <f t="shared" si="8"/>
        <v>9.60775579684082</v>
      </c>
    </row>
    <row r="27" spans="1:24" x14ac:dyDescent="0.35">
      <c r="A27" s="3">
        <v>155.18199999999999</v>
      </c>
      <c r="B27" s="7">
        <v>3.6429000000000001E-3</v>
      </c>
      <c r="C27" s="7">
        <v>6.2272599999999999E-4</v>
      </c>
      <c r="D27">
        <f t="shared" si="1"/>
        <v>113.99487431430654</v>
      </c>
      <c r="E27">
        <f t="shared" si="2"/>
        <v>101.80235114868212</v>
      </c>
      <c r="G27" s="7">
        <v>1.7716400000000001E-3</v>
      </c>
      <c r="H27" s="7">
        <v>3.8767000000000001E-4</v>
      </c>
      <c r="I27" s="6">
        <f t="shared" si="3"/>
        <v>122.98785144047206</v>
      </c>
      <c r="J27" s="6">
        <f t="shared" si="4"/>
        <v>114.86212219525997</v>
      </c>
      <c r="L27" s="7">
        <v>5.0180199999999998E-3</v>
      </c>
      <c r="M27" s="7">
        <v>6.7490400000000004E-4</v>
      </c>
      <c r="N27" s="6">
        <f t="shared" si="5"/>
        <v>129.61603533559779</v>
      </c>
      <c r="O27" s="6">
        <f t="shared" si="6"/>
        <v>123.76837534109914</v>
      </c>
      <c r="Q27">
        <f t="shared" si="0"/>
        <v>3.47752E-3</v>
      </c>
      <c r="R27">
        <f t="shared" si="0"/>
        <v>5.6176666666666664E-4</v>
      </c>
      <c r="T27">
        <f t="shared" si="7"/>
        <v>122.19958703012544</v>
      </c>
      <c r="U27">
        <f t="shared" si="7"/>
        <v>113.47761622834707</v>
      </c>
      <c r="W27">
        <f t="shared" si="8"/>
        <v>6.4016241948816672</v>
      </c>
      <c r="X27">
        <f t="shared" si="8"/>
        <v>9.0208719935039365</v>
      </c>
    </row>
    <row r="28" spans="1:24" x14ac:dyDescent="0.35">
      <c r="A28" s="3">
        <v>161.405</v>
      </c>
      <c r="B28" s="7">
        <v>3.6583800000000001E-3</v>
      </c>
      <c r="C28" s="7">
        <v>6.1762799999999995E-4</v>
      </c>
      <c r="D28">
        <f t="shared" si="1"/>
        <v>114.47927977544616</v>
      </c>
      <c r="E28">
        <f t="shared" si="2"/>
        <v>100.96893743838902</v>
      </c>
      <c r="G28" s="7">
        <v>1.78769E-3</v>
      </c>
      <c r="H28" s="7">
        <v>3.8900099999999998E-4</v>
      </c>
      <c r="I28" s="6">
        <f t="shared" si="3"/>
        <v>124.10204790003472</v>
      </c>
      <c r="J28" s="6">
        <f t="shared" si="4"/>
        <v>115.25648204936756</v>
      </c>
      <c r="L28" s="7">
        <v>5.06531E-3</v>
      </c>
      <c r="M28" s="7">
        <v>6.8468800000000003E-4</v>
      </c>
      <c r="N28" s="6">
        <f t="shared" si="5"/>
        <v>130.83754148962277</v>
      </c>
      <c r="O28" s="6">
        <f t="shared" si="6"/>
        <v>125.56263020451277</v>
      </c>
      <c r="Q28">
        <f t="shared" si="0"/>
        <v>3.5037933333333334E-3</v>
      </c>
      <c r="R28">
        <f t="shared" si="0"/>
        <v>5.637723333333333E-4</v>
      </c>
      <c r="T28">
        <f t="shared" si="7"/>
        <v>123.13962305503453</v>
      </c>
      <c r="U28">
        <f t="shared" si="7"/>
        <v>113.92934989742314</v>
      </c>
      <c r="W28">
        <f t="shared" si="8"/>
        <v>6.712817479224813</v>
      </c>
      <c r="X28">
        <f t="shared" si="8"/>
        <v>10.084092779560141</v>
      </c>
    </row>
    <row r="29" spans="1:24" x14ac:dyDescent="0.35">
      <c r="A29" s="3">
        <v>167.61699999999999</v>
      </c>
      <c r="B29" s="7">
        <v>3.6693300000000002E-3</v>
      </c>
      <c r="C29" s="7">
        <v>6.1051599999999997E-4</v>
      </c>
      <c r="D29">
        <f t="shared" si="1"/>
        <v>114.82193092528328</v>
      </c>
      <c r="E29">
        <f t="shared" si="2"/>
        <v>99.806277903747088</v>
      </c>
      <c r="G29" s="7">
        <v>1.80495E-3</v>
      </c>
      <c r="H29" s="7">
        <v>3.8623800000000001E-4</v>
      </c>
      <c r="I29" s="6">
        <f t="shared" si="3"/>
        <v>125.30024297119056</v>
      </c>
      <c r="J29" s="6">
        <f t="shared" si="4"/>
        <v>114.43783721322987</v>
      </c>
      <c r="L29" s="7">
        <v>5.10897E-3</v>
      </c>
      <c r="M29" s="7">
        <v>6.8971600000000005E-4</v>
      </c>
      <c r="N29" s="6">
        <f t="shared" si="5"/>
        <v>131.96528432499451</v>
      </c>
      <c r="O29" s="6">
        <f t="shared" si="6"/>
        <v>126.48469821894899</v>
      </c>
      <c r="Q29">
        <f t="shared" si="0"/>
        <v>3.5277499999999996E-3</v>
      </c>
      <c r="R29">
        <f t="shared" si="0"/>
        <v>5.621566666666666E-4</v>
      </c>
      <c r="T29">
        <f t="shared" si="7"/>
        <v>124.02915274048945</v>
      </c>
      <c r="U29">
        <f t="shared" si="7"/>
        <v>113.57627111197532</v>
      </c>
      <c r="W29">
        <f t="shared" si="8"/>
        <v>7.0562215681286302</v>
      </c>
      <c r="X29">
        <f t="shared" si="8"/>
        <v>10.908444732981497</v>
      </c>
    </row>
    <row r="30" spans="1:24" x14ac:dyDescent="0.35">
      <c r="A30" s="3">
        <v>173.82300000000001</v>
      </c>
      <c r="B30" s="7">
        <v>3.6835499999999998E-3</v>
      </c>
      <c r="C30" s="7">
        <v>6.1544900000000001E-4</v>
      </c>
      <c r="D30">
        <f t="shared" si="1"/>
        <v>115.26690803493477</v>
      </c>
      <c r="E30">
        <f t="shared" si="2"/>
        <v>100.6127176512708</v>
      </c>
      <c r="G30" s="7">
        <v>1.80755E-3</v>
      </c>
      <c r="H30" s="7">
        <v>3.8715199999999998E-4</v>
      </c>
      <c r="I30" s="6">
        <f t="shared" si="3"/>
        <v>125.4807358556057</v>
      </c>
      <c r="J30" s="6">
        <f t="shared" si="4"/>
        <v>114.70864480650886</v>
      </c>
      <c r="L30" s="7">
        <v>5.1449900000000003E-3</v>
      </c>
      <c r="M30" s="7">
        <v>6.9619199999999999E-4</v>
      </c>
      <c r="N30" s="6">
        <f t="shared" si="5"/>
        <v>132.89568507923389</v>
      </c>
      <c r="O30" s="6">
        <f t="shared" si="6"/>
        <v>127.67231008479799</v>
      </c>
      <c r="Q30">
        <f t="shared" si="0"/>
        <v>3.5453633333333338E-3</v>
      </c>
      <c r="R30">
        <f t="shared" si="0"/>
        <v>5.662643333333334E-4</v>
      </c>
      <c r="T30">
        <f t="shared" si="7"/>
        <v>124.54777632325812</v>
      </c>
      <c r="U30">
        <f t="shared" si="7"/>
        <v>114.33122418085922</v>
      </c>
      <c r="W30">
        <f t="shared" si="8"/>
        <v>7.2270904766326041</v>
      </c>
      <c r="X30">
        <f t="shared" si="8"/>
        <v>11.050255514802958</v>
      </c>
    </row>
    <row r="31" spans="1:24" x14ac:dyDescent="0.35">
      <c r="A31" s="3">
        <v>179.99</v>
      </c>
      <c r="B31" s="7">
        <v>3.7115E-3</v>
      </c>
      <c r="C31" s="7">
        <v>6.3034300000000001E-4</v>
      </c>
      <c r="D31">
        <f t="shared" si="1"/>
        <v>116.14152900643684</v>
      </c>
      <c r="E31">
        <f t="shared" si="2"/>
        <v>103.04756735725462</v>
      </c>
      <c r="G31" s="7">
        <v>1.8185600000000001E-3</v>
      </c>
      <c r="H31" s="7">
        <v>3.8797700000000002E-4</v>
      </c>
      <c r="I31" s="6">
        <f t="shared" si="3"/>
        <v>126.24505380076363</v>
      </c>
      <c r="J31" s="6">
        <f t="shared" si="4"/>
        <v>114.95308273260862</v>
      </c>
      <c r="L31" s="7">
        <v>5.2038400000000004E-3</v>
      </c>
      <c r="M31" s="7">
        <v>7.0838599999999998E-4</v>
      </c>
      <c r="N31" s="6">
        <f t="shared" si="5"/>
        <v>134.4157873664906</v>
      </c>
      <c r="O31" s="6">
        <f t="shared" si="6"/>
        <v>129.90852674510725</v>
      </c>
      <c r="Q31">
        <f t="shared" si="0"/>
        <v>3.5779666666666669E-3</v>
      </c>
      <c r="R31">
        <f t="shared" si="0"/>
        <v>5.7556866666666668E-4</v>
      </c>
      <c r="T31">
        <f t="shared" si="7"/>
        <v>125.60079005789703</v>
      </c>
      <c r="U31">
        <f t="shared" si="7"/>
        <v>115.96972561165683</v>
      </c>
      <c r="W31">
        <f t="shared" si="8"/>
        <v>7.4743310282717204</v>
      </c>
      <c r="X31">
        <f t="shared" si="8"/>
        <v>10.989478509514047</v>
      </c>
    </row>
    <row r="32" spans="1:24" x14ac:dyDescent="0.35">
      <c r="A32" s="3">
        <v>193.21799999999999</v>
      </c>
      <c r="B32" s="7">
        <v>2.6846399999999999E-6</v>
      </c>
      <c r="C32" s="7">
        <v>5.3882599999999998E-5</v>
      </c>
      <c r="D32">
        <f t="shared" si="1"/>
        <v>8.4008674237327385E-2</v>
      </c>
      <c r="E32">
        <f t="shared" si="2"/>
        <v>8.8086499776851763</v>
      </c>
      <c r="G32" s="7">
        <v>1.87068E-6</v>
      </c>
      <c r="H32" s="7">
        <v>2.87636E-5</v>
      </c>
      <c r="I32" s="6">
        <f t="shared" si="3"/>
        <v>0.12986324192988546</v>
      </c>
      <c r="J32" s="6">
        <f t="shared" si="4"/>
        <v>8.5223208862578481</v>
      </c>
      <c r="L32" s="7">
        <v>5.1094900000000001E-6</v>
      </c>
      <c r="M32" s="7">
        <v>4.9970799999999999E-5</v>
      </c>
      <c r="N32" s="6">
        <f t="shared" si="5"/>
        <v>0.13197871598496688</v>
      </c>
      <c r="O32" s="6">
        <f t="shared" si="6"/>
        <v>9.1639769959801658</v>
      </c>
      <c r="Q32">
        <f t="shared" ref="Q32:R95" si="9">AVERAGE(B32,G32,L32)</f>
        <v>3.2216033333333332E-6</v>
      </c>
      <c r="R32">
        <f t="shared" si="9"/>
        <v>4.4205666666666662E-5</v>
      </c>
      <c r="T32">
        <f t="shared" ref="T32:U95" si="10">AVERAGE(D32,I32,N32)</f>
        <v>0.11528354405072656</v>
      </c>
      <c r="U32">
        <f t="shared" si="10"/>
        <v>8.8316492866410616</v>
      </c>
      <c r="W32">
        <f t="shared" ref="W32:X95" si="11">_xlfn.STDEV.P(D32,I32,N32)</f>
        <v>2.2131529831189316E-2</v>
      </c>
      <c r="X32">
        <f t="shared" si="11"/>
        <v>0.26245935170400642</v>
      </c>
    </row>
    <row r="33" spans="1:24" x14ac:dyDescent="0.35">
      <c r="A33" s="3">
        <v>199.43700000000001</v>
      </c>
      <c r="B33" s="7">
        <v>2.71269E-6</v>
      </c>
      <c r="C33" s="7">
        <v>5.3793599999999999E-5</v>
      </c>
      <c r="D33">
        <f t="shared" si="1"/>
        <v>8.4886424443074537E-2</v>
      </c>
      <c r="E33">
        <f t="shared" si="2"/>
        <v>8.7941003856459279</v>
      </c>
      <c r="G33" s="7">
        <v>1.8564900000000001E-6</v>
      </c>
      <c r="H33" s="7">
        <v>2.8637400000000001E-5</v>
      </c>
      <c r="I33" s="6">
        <f t="shared" si="3"/>
        <v>0.12887816730301979</v>
      </c>
      <c r="J33" s="6">
        <f t="shared" si="4"/>
        <v>8.4849292907744687</v>
      </c>
      <c r="L33" s="7">
        <v>5.0693699999999997E-6</v>
      </c>
      <c r="M33" s="7">
        <v>4.9120599999999999E-5</v>
      </c>
      <c r="N33" s="6">
        <f t="shared" si="5"/>
        <v>0.1309424117578685</v>
      </c>
      <c r="O33" s="6">
        <f t="shared" si="6"/>
        <v>9.0080616765939965</v>
      </c>
      <c r="Q33">
        <f t="shared" si="9"/>
        <v>3.2128499999999997E-6</v>
      </c>
      <c r="R33">
        <f t="shared" si="9"/>
        <v>4.3850533333333336E-5</v>
      </c>
      <c r="T33">
        <f t="shared" si="10"/>
        <v>0.11490233450132094</v>
      </c>
      <c r="U33">
        <f t="shared" si="10"/>
        <v>8.762363784338131</v>
      </c>
      <c r="W33">
        <f t="shared" si="11"/>
        <v>2.1241177286282099E-2</v>
      </c>
      <c r="X33">
        <f t="shared" si="11"/>
        <v>0.2147436955539252</v>
      </c>
    </row>
    <row r="34" spans="1:24" x14ac:dyDescent="0.35">
      <c r="A34" s="3">
        <v>205.559</v>
      </c>
      <c r="B34" s="7">
        <v>2.6612200000000002E-6</v>
      </c>
      <c r="C34" s="7">
        <v>5.3535899999999997E-5</v>
      </c>
      <c r="D34">
        <f t="shared" si="1"/>
        <v>8.3275807577127811E-2</v>
      </c>
      <c r="E34">
        <f t="shared" si="2"/>
        <v>8.7519719601570038</v>
      </c>
      <c r="G34" s="7">
        <v>1.84255E-6</v>
      </c>
      <c r="H34" s="7">
        <v>2.8458100000000001E-5</v>
      </c>
      <c r="I34" s="6">
        <f t="shared" si="3"/>
        <v>0.12791044776119403</v>
      </c>
      <c r="J34" s="6">
        <f t="shared" si="4"/>
        <v>8.4318047815021231</v>
      </c>
      <c r="L34" s="7">
        <v>4.8361600000000001E-6</v>
      </c>
      <c r="M34" s="7">
        <v>4.7975800000000002E-5</v>
      </c>
      <c r="N34" s="6">
        <f t="shared" si="5"/>
        <v>0.12491857056141757</v>
      </c>
      <c r="O34" s="6">
        <f t="shared" si="6"/>
        <v>8.7981206537366869</v>
      </c>
      <c r="Q34">
        <f t="shared" si="9"/>
        <v>3.1133100000000002E-6</v>
      </c>
      <c r="R34">
        <f t="shared" si="9"/>
        <v>4.3323266666666672E-5</v>
      </c>
      <c r="T34">
        <f t="shared" si="10"/>
        <v>0.11203494196657982</v>
      </c>
      <c r="U34">
        <f t="shared" si="10"/>
        <v>8.660632465131938</v>
      </c>
      <c r="W34">
        <f t="shared" si="11"/>
        <v>2.0372427288168262E-2</v>
      </c>
      <c r="X34">
        <f t="shared" si="11"/>
        <v>0.16289875603437012</v>
      </c>
    </row>
    <row r="35" spans="1:24" x14ac:dyDescent="0.35">
      <c r="A35" s="3">
        <v>211.792</v>
      </c>
      <c r="B35" s="7">
        <v>2.6504000000000001E-6</v>
      </c>
      <c r="C35" s="7">
        <v>5.3402500000000002E-5</v>
      </c>
      <c r="D35">
        <f t="shared" si="1"/>
        <v>8.29372244318093E-2</v>
      </c>
      <c r="E35">
        <f t="shared" si="2"/>
        <v>8.7301639199543573</v>
      </c>
      <c r="G35" s="7">
        <v>1.82795E-6</v>
      </c>
      <c r="H35" s="7">
        <v>2.8381299999999999E-5</v>
      </c>
      <c r="I35" s="6">
        <f t="shared" si="3"/>
        <v>0.1268969107948629</v>
      </c>
      <c r="J35" s="6">
        <f t="shared" si="4"/>
        <v>8.4090498327452003</v>
      </c>
      <c r="L35" s="7">
        <v>4.7465299999999998E-6</v>
      </c>
      <c r="M35" s="7">
        <v>4.7695799999999998E-5</v>
      </c>
      <c r="N35" s="6">
        <f t="shared" si="5"/>
        <v>0.12260341732425835</v>
      </c>
      <c r="O35" s="6">
        <f t="shared" si="6"/>
        <v>8.7467723951761975</v>
      </c>
      <c r="Q35">
        <f t="shared" si="9"/>
        <v>3.0749599999999995E-6</v>
      </c>
      <c r="R35">
        <f t="shared" si="9"/>
        <v>4.315986666666666E-5</v>
      </c>
      <c r="T35">
        <f t="shared" si="10"/>
        <v>0.11081251751697685</v>
      </c>
      <c r="U35">
        <f t="shared" si="10"/>
        <v>8.6286620492919184</v>
      </c>
      <c r="W35">
        <f t="shared" si="11"/>
        <v>1.9788590904584791E-2</v>
      </c>
      <c r="X35">
        <f t="shared" si="11"/>
        <v>0.15543724265164713</v>
      </c>
    </row>
    <row r="36" spans="1:24" x14ac:dyDescent="0.35">
      <c r="A36" s="3">
        <v>218.12700000000001</v>
      </c>
      <c r="B36" s="7">
        <v>2.6248799999999999E-6</v>
      </c>
      <c r="C36" s="7">
        <v>5.3248000000000002E-5</v>
      </c>
      <c r="D36">
        <f t="shared" si="1"/>
        <v>8.2138643852462861E-2</v>
      </c>
      <c r="E36">
        <f t="shared" si="2"/>
        <v>8.7049064820884716</v>
      </c>
      <c r="G36" s="7">
        <v>1.8258200000000001E-6</v>
      </c>
      <c r="H36" s="7">
        <v>2.8357700000000001E-5</v>
      </c>
      <c r="I36" s="6">
        <f t="shared" si="3"/>
        <v>0.12674904547032281</v>
      </c>
      <c r="J36" s="6">
        <f t="shared" si="4"/>
        <v>8.4020574266167731</v>
      </c>
      <c r="L36" s="7">
        <v>4.6260399999999997E-6</v>
      </c>
      <c r="M36" s="7">
        <v>4.7261500000000001E-5</v>
      </c>
      <c r="N36" s="6">
        <f t="shared" si="5"/>
        <v>0.11949114672797014</v>
      </c>
      <c r="O36" s="6">
        <f t="shared" si="6"/>
        <v>8.6671275784161264</v>
      </c>
      <c r="Q36">
        <f t="shared" si="9"/>
        <v>3.0255800000000002E-6</v>
      </c>
      <c r="R36">
        <f t="shared" si="9"/>
        <v>4.2955733333333333E-5</v>
      </c>
      <c r="T36">
        <f t="shared" si="10"/>
        <v>0.1094596120169186</v>
      </c>
      <c r="U36">
        <f t="shared" si="10"/>
        <v>8.5913638290404588</v>
      </c>
      <c r="W36">
        <f t="shared" si="11"/>
        <v>1.9544747796120993E-2</v>
      </c>
      <c r="X36">
        <f t="shared" si="11"/>
        <v>0.13474543131307373</v>
      </c>
    </row>
    <row r="37" spans="1:24" x14ac:dyDescent="0.35">
      <c r="A37" s="3">
        <v>224.291</v>
      </c>
      <c r="B37" s="7">
        <v>2.5962900000000002E-6</v>
      </c>
      <c r="C37" s="7">
        <v>5.3180599999999997E-5</v>
      </c>
      <c r="D37">
        <f t="shared" si="1"/>
        <v>8.1243995781792255E-2</v>
      </c>
      <c r="E37">
        <f t="shared" si="2"/>
        <v>8.6938880269935801</v>
      </c>
      <c r="G37" s="7">
        <v>1.8132799999999999E-6</v>
      </c>
      <c r="H37" s="7">
        <v>2.8299100000000002E-5</v>
      </c>
      <c r="I37" s="6">
        <f t="shared" si="3"/>
        <v>0.12587851440472059</v>
      </c>
      <c r="J37" s="6">
        <f t="shared" si="4"/>
        <v>8.3846949266538093</v>
      </c>
      <c r="L37" s="7">
        <v>4.5497400000000001E-6</v>
      </c>
      <c r="M37" s="7">
        <v>4.6773200000000001E-5</v>
      </c>
      <c r="N37" s="6">
        <f t="shared" si="5"/>
        <v>0.11752030892817937</v>
      </c>
      <c r="O37" s="6">
        <f t="shared" si="6"/>
        <v>8.5775798832193892</v>
      </c>
      <c r="Q37">
        <f t="shared" si="9"/>
        <v>2.9864366666666672E-6</v>
      </c>
      <c r="R37">
        <f t="shared" si="9"/>
        <v>4.2750966666666664E-5</v>
      </c>
      <c r="T37">
        <f t="shared" si="10"/>
        <v>0.10821427303823074</v>
      </c>
      <c r="U37">
        <f t="shared" si="10"/>
        <v>8.5520542789555929</v>
      </c>
      <c r="W37">
        <f t="shared" si="11"/>
        <v>1.9373724322113681E-2</v>
      </c>
      <c r="X37">
        <f t="shared" si="11"/>
        <v>0.12751146531248042</v>
      </c>
    </row>
    <row r="38" spans="1:24" x14ac:dyDescent="0.35">
      <c r="A38" s="3">
        <v>230.49600000000001</v>
      </c>
      <c r="B38" s="7">
        <v>2.5842199999999999E-6</v>
      </c>
      <c r="C38" s="7">
        <v>5.3128899999999999E-5</v>
      </c>
      <c r="D38">
        <f t="shared" si="1"/>
        <v>8.0866297208410126E-2</v>
      </c>
      <c r="E38">
        <f t="shared" si="2"/>
        <v>8.6854361853258375</v>
      </c>
      <c r="G38" s="7">
        <v>1.79929E-6</v>
      </c>
      <c r="H38" s="7">
        <v>2.82228E-5</v>
      </c>
      <c r="I38" s="6">
        <f t="shared" si="3"/>
        <v>0.12490732384588686</v>
      </c>
      <c r="J38" s="6">
        <f t="shared" si="4"/>
        <v>8.3620881220945211</v>
      </c>
      <c r="L38" s="7">
        <v>4.4758700000000002E-6</v>
      </c>
      <c r="M38" s="7">
        <v>4.6360699999999998E-5</v>
      </c>
      <c r="N38" s="6">
        <f t="shared" si="5"/>
        <v>0.11561223830864407</v>
      </c>
      <c r="O38" s="6">
        <f t="shared" si="6"/>
        <v>8.5019328951615272</v>
      </c>
      <c r="Q38">
        <f t="shared" si="9"/>
        <v>2.9531266666666667E-6</v>
      </c>
      <c r="R38">
        <f t="shared" si="9"/>
        <v>4.2570799999999996E-5</v>
      </c>
      <c r="T38">
        <f t="shared" si="10"/>
        <v>0.10712861978764703</v>
      </c>
      <c r="U38">
        <f t="shared" si="10"/>
        <v>8.5164857341939619</v>
      </c>
      <c r="W38">
        <f t="shared" si="11"/>
        <v>1.8954011786920529E-2</v>
      </c>
      <c r="X38">
        <f t="shared" si="11"/>
        <v>0.13240677561159475</v>
      </c>
    </row>
    <row r="39" spans="1:24" x14ac:dyDescent="0.35">
      <c r="A39" s="3">
        <v>236.65600000000001</v>
      </c>
      <c r="B39" s="7">
        <v>2.5906900000000002E-6</v>
      </c>
      <c r="C39" s="7">
        <v>5.3133000000000001E-5</v>
      </c>
      <c r="D39">
        <f t="shared" si="1"/>
        <v>8.106875866406732E-2</v>
      </c>
      <c r="E39">
        <f t="shared" si="2"/>
        <v>8.6861064474310155</v>
      </c>
      <c r="G39" s="7">
        <v>1.79154E-6</v>
      </c>
      <c r="H39" s="7">
        <v>2.8182199999999999E-5</v>
      </c>
      <c r="I39" s="6">
        <f t="shared" si="3"/>
        <v>0.12436931620964943</v>
      </c>
      <c r="J39" s="6">
        <f t="shared" si="4"/>
        <v>8.350058813246461</v>
      </c>
      <c r="L39" s="7">
        <v>4.4368200000000002E-6</v>
      </c>
      <c r="M39" s="7">
        <v>4.6280699999999999E-5</v>
      </c>
      <c r="N39" s="6">
        <f t="shared" si="5"/>
        <v>0.11460357230495034</v>
      </c>
      <c r="O39" s="6">
        <f t="shared" si="6"/>
        <v>8.4872619641442437</v>
      </c>
      <c r="Q39">
        <f t="shared" si="9"/>
        <v>2.9396833333333337E-6</v>
      </c>
      <c r="R39">
        <f t="shared" si="9"/>
        <v>4.2531966666666665E-5</v>
      </c>
      <c r="T39">
        <f t="shared" si="10"/>
        <v>0.10668054905955569</v>
      </c>
      <c r="U39">
        <f t="shared" si="10"/>
        <v>8.5078090749405746</v>
      </c>
      <c r="W39">
        <f t="shared" si="11"/>
        <v>1.8543917132937238E-2</v>
      </c>
      <c r="X39">
        <f t="shared" si="11"/>
        <v>0.13795806351162543</v>
      </c>
    </row>
    <row r="40" spans="1:24" x14ac:dyDescent="0.35">
      <c r="A40" s="3">
        <v>242.97800000000001</v>
      </c>
      <c r="B40" s="7">
        <v>2.5823400000000001E-6</v>
      </c>
      <c r="C40" s="7">
        <v>5.3057799999999999E-5</v>
      </c>
      <c r="D40">
        <f t="shared" si="1"/>
        <v>8.0807467604602487E-2</v>
      </c>
      <c r="E40">
        <f t="shared" si="2"/>
        <v>8.6738128595506634</v>
      </c>
      <c r="G40" s="7">
        <v>1.7895500000000001E-6</v>
      </c>
      <c r="H40" s="7">
        <v>2.8182900000000001E-5</v>
      </c>
      <c r="I40" s="6">
        <f t="shared" si="3"/>
        <v>0.12423116973273171</v>
      </c>
      <c r="J40" s="6">
        <f t="shared" si="4"/>
        <v>8.3502662151231526</v>
      </c>
      <c r="L40" s="7">
        <v>4.3373599999999999E-6</v>
      </c>
      <c r="M40" s="7">
        <v>4.5606899999999999E-5</v>
      </c>
      <c r="N40" s="6">
        <f t="shared" si="5"/>
        <v>0.11203450903408284</v>
      </c>
      <c r="O40" s="6">
        <f t="shared" si="6"/>
        <v>8.3636960476511835</v>
      </c>
      <c r="Q40">
        <f t="shared" si="9"/>
        <v>2.9030833333333339E-6</v>
      </c>
      <c r="R40">
        <f t="shared" si="9"/>
        <v>4.2282533333333327E-5</v>
      </c>
      <c r="T40">
        <f t="shared" si="10"/>
        <v>0.10569104879047235</v>
      </c>
      <c r="U40">
        <f t="shared" si="10"/>
        <v>8.4625917074416659</v>
      </c>
      <c r="W40">
        <f t="shared" si="11"/>
        <v>1.8286317152902836E-2</v>
      </c>
      <c r="X40">
        <f t="shared" si="11"/>
        <v>0.14945650743972697</v>
      </c>
    </row>
    <row r="41" spans="1:24" x14ac:dyDescent="0.35">
      <c r="A41" s="3">
        <v>249.12200000000001</v>
      </c>
      <c r="B41" s="7">
        <v>2.58806E-6</v>
      </c>
      <c r="C41" s="7">
        <v>5.3058800000000001E-5</v>
      </c>
      <c r="D41">
        <f t="shared" si="1"/>
        <v>8.0986459803421507E-2</v>
      </c>
      <c r="E41">
        <f t="shared" si="2"/>
        <v>8.6739763381129009</v>
      </c>
      <c r="G41" s="7">
        <v>1.77991E-6</v>
      </c>
      <c r="H41" s="7">
        <v>2.81812E-5</v>
      </c>
      <c r="I41" s="6">
        <f t="shared" si="3"/>
        <v>0.1235619576535925</v>
      </c>
      <c r="J41" s="6">
        <f t="shared" si="4"/>
        <v>8.3497625248511902</v>
      </c>
      <c r="L41" s="7">
        <v>4.3111799999999998E-6</v>
      </c>
      <c r="M41" s="7">
        <v>4.5280200000000001E-5</v>
      </c>
      <c r="N41" s="6">
        <f t="shared" si="5"/>
        <v>0.11135827661470508</v>
      </c>
      <c r="O41" s="6">
        <f t="shared" si="6"/>
        <v>8.303783633109358</v>
      </c>
      <c r="Q41">
        <f t="shared" si="9"/>
        <v>2.8930499999999998E-6</v>
      </c>
      <c r="R41">
        <f t="shared" si="9"/>
        <v>4.2173399999999998E-5</v>
      </c>
      <c r="T41">
        <f t="shared" si="10"/>
        <v>0.10530223135723971</v>
      </c>
      <c r="U41">
        <f t="shared" si="10"/>
        <v>8.4425074986911497</v>
      </c>
      <c r="W41">
        <f t="shared" si="11"/>
        <v>1.7901117607900512E-2</v>
      </c>
      <c r="X41">
        <f t="shared" si="11"/>
        <v>0.16474603149270117</v>
      </c>
    </row>
    <row r="42" spans="1:24" x14ac:dyDescent="0.35">
      <c r="A42" s="3">
        <v>262.39</v>
      </c>
      <c r="B42" s="7">
        <v>2.4960199999999998E-3</v>
      </c>
      <c r="C42" s="7">
        <v>5.5487600000000005E-4</v>
      </c>
      <c r="D42">
        <f t="shared" si="1"/>
        <v>78.106312604242618</v>
      </c>
      <c r="E42">
        <f t="shared" si="2"/>
        <v>90.710330700783558</v>
      </c>
      <c r="G42" s="7">
        <v>1.0762499999999999E-3</v>
      </c>
      <c r="H42" s="7">
        <v>3.5756900000000002E-4</v>
      </c>
      <c r="I42" s="6">
        <f t="shared" si="3"/>
        <v>74.713641096841371</v>
      </c>
      <c r="J42" s="6">
        <f t="shared" si="4"/>
        <v>105.9435452091648</v>
      </c>
      <c r="L42" s="7">
        <v>1.6741200000000001E-3</v>
      </c>
      <c r="M42" s="7">
        <v>3.6687599999999998E-4</v>
      </c>
      <c r="N42" s="6">
        <f t="shared" si="5"/>
        <v>43.242712678712117</v>
      </c>
      <c r="O42" s="6">
        <f t="shared" si="6"/>
        <v>67.280156098706016</v>
      </c>
      <c r="Q42">
        <f t="shared" si="9"/>
        <v>1.7487966666666667E-3</v>
      </c>
      <c r="R42">
        <f t="shared" si="9"/>
        <v>4.2644033333333331E-4</v>
      </c>
      <c r="T42">
        <f t="shared" si="10"/>
        <v>65.3542221265987</v>
      </c>
      <c r="U42">
        <f t="shared" si="10"/>
        <v>87.978010669551452</v>
      </c>
      <c r="W42">
        <f t="shared" si="11"/>
        <v>15.696426186391745</v>
      </c>
      <c r="X42">
        <f t="shared" si="11"/>
        <v>15.902066824608909</v>
      </c>
    </row>
    <row r="43" spans="1:24" x14ac:dyDescent="0.35">
      <c r="A43" s="3">
        <v>268.47800000000001</v>
      </c>
      <c r="B43" s="7">
        <v>2.5707199999999999E-3</v>
      </c>
      <c r="C43" s="7">
        <v>5.3876399999999995E-4</v>
      </c>
      <c r="D43">
        <f t="shared" si="1"/>
        <v>80.443850585323261</v>
      </c>
      <c r="E43">
        <f t="shared" si="2"/>
        <v>88.076364105992951</v>
      </c>
      <c r="G43" s="7">
        <v>1.11174E-3</v>
      </c>
      <c r="H43" s="7">
        <v>3.4710900000000001E-4</v>
      </c>
      <c r="I43" s="6">
        <f t="shared" si="3"/>
        <v>77.177368969107945</v>
      </c>
      <c r="J43" s="6">
        <f t="shared" si="4"/>
        <v>102.84436859461525</v>
      </c>
      <c r="L43" s="7">
        <v>1.71773E-3</v>
      </c>
      <c r="M43" s="7">
        <v>3.5761099999999997E-4</v>
      </c>
      <c r="N43" s="6">
        <f t="shared" si="5"/>
        <v>44.369164008317298</v>
      </c>
      <c r="O43" s="6">
        <f t="shared" si="6"/>
        <v>65.581078900267016</v>
      </c>
      <c r="Q43">
        <f t="shared" si="9"/>
        <v>1.8000633333333333E-3</v>
      </c>
      <c r="R43">
        <f t="shared" si="9"/>
        <v>4.1449466666666665E-4</v>
      </c>
      <c r="T43">
        <f t="shared" si="10"/>
        <v>67.330127854249497</v>
      </c>
      <c r="U43">
        <f t="shared" si="10"/>
        <v>85.5006038669584</v>
      </c>
      <c r="W43">
        <f t="shared" si="11"/>
        <v>16.290526308009465</v>
      </c>
      <c r="X43">
        <f t="shared" si="11"/>
        <v>15.321316203642034</v>
      </c>
    </row>
    <row r="44" spans="1:24" x14ac:dyDescent="0.35">
      <c r="A44" s="3">
        <v>274.68700000000001</v>
      </c>
      <c r="B44" s="7">
        <v>2.6254099999999999E-3</v>
      </c>
      <c r="C44" s="7">
        <v>5.3451499999999995E-4</v>
      </c>
      <c r="D44">
        <f t="shared" si="1"/>
        <v>82.155228793961825</v>
      </c>
      <c r="E44">
        <f t="shared" si="2"/>
        <v>87.381743695040541</v>
      </c>
      <c r="G44" s="7">
        <v>1.1314000000000001E-3</v>
      </c>
      <c r="H44" s="7">
        <v>3.31746E-4</v>
      </c>
      <c r="I44" s="6">
        <f t="shared" si="3"/>
        <v>78.542172856647014</v>
      </c>
      <c r="J44" s="6">
        <f t="shared" si="4"/>
        <v>98.292489978045026</v>
      </c>
      <c r="L44" s="7">
        <v>1.75935E-3</v>
      </c>
      <c r="M44" s="7">
        <v>3.6200700000000002E-4</v>
      </c>
      <c r="N44" s="6">
        <f t="shared" si="5"/>
        <v>45.444213408412871</v>
      </c>
      <c r="O44" s="6">
        <f t="shared" si="6"/>
        <v>66.387246559666679</v>
      </c>
      <c r="Q44">
        <f t="shared" si="9"/>
        <v>1.8387200000000001E-3</v>
      </c>
      <c r="R44">
        <f t="shared" si="9"/>
        <v>4.0942266666666658E-4</v>
      </c>
      <c r="T44">
        <f t="shared" si="10"/>
        <v>68.713871686340568</v>
      </c>
      <c r="U44">
        <f t="shared" si="10"/>
        <v>84.02049341091741</v>
      </c>
      <c r="W44">
        <f t="shared" si="11"/>
        <v>16.520114821638654</v>
      </c>
      <c r="X44">
        <f t="shared" si="11"/>
        <v>13.240333379510865</v>
      </c>
    </row>
    <row r="45" spans="1:24" x14ac:dyDescent="0.35">
      <c r="A45" s="3">
        <v>280.96300000000002</v>
      </c>
      <c r="B45" s="7">
        <v>2.6734200000000001E-3</v>
      </c>
      <c r="C45" s="7">
        <v>5.3138800000000004E-4</v>
      </c>
      <c r="D45">
        <f t="shared" si="1"/>
        <v>83.657574155028541</v>
      </c>
      <c r="E45">
        <f t="shared" si="2"/>
        <v>86.870546230920027</v>
      </c>
      <c r="G45" s="7">
        <v>1.16434E-3</v>
      </c>
      <c r="H45" s="7">
        <v>3.4046599999999999E-4</v>
      </c>
      <c r="I45" s="6">
        <f t="shared" si="3"/>
        <v>80.828878861506425</v>
      </c>
      <c r="J45" s="6">
        <f t="shared" si="4"/>
        <v>100.87612478482055</v>
      </c>
      <c r="L45" s="7">
        <v>1.79144E-3</v>
      </c>
      <c r="M45" s="7">
        <v>3.6412199999999998E-4</v>
      </c>
      <c r="N45" s="6">
        <f t="shared" si="5"/>
        <v>46.273101809399577</v>
      </c>
      <c r="O45" s="6">
        <f t="shared" si="6"/>
        <v>66.775109298436078</v>
      </c>
      <c r="Q45">
        <f t="shared" si="9"/>
        <v>1.8764000000000001E-3</v>
      </c>
      <c r="R45">
        <f t="shared" si="9"/>
        <v>4.1199199999999997E-4</v>
      </c>
      <c r="T45">
        <f t="shared" si="10"/>
        <v>70.253184941978176</v>
      </c>
      <c r="U45">
        <f t="shared" si="10"/>
        <v>84.840593438058875</v>
      </c>
      <c r="W45">
        <f t="shared" si="11"/>
        <v>16.99575769714184</v>
      </c>
      <c r="X45">
        <f t="shared" si="11"/>
        <v>13.995483689547745</v>
      </c>
    </row>
    <row r="46" spans="1:24" x14ac:dyDescent="0.35">
      <c r="A46" s="3">
        <v>287.22800000000001</v>
      </c>
      <c r="B46" s="7">
        <v>2.70659E-3</v>
      </c>
      <c r="C46" s="7">
        <v>5.2211200000000003E-4</v>
      </c>
      <c r="D46">
        <f t="shared" si="1"/>
        <v>84.695541154124172</v>
      </c>
      <c r="E46">
        <f t="shared" si="2"/>
        <v>85.35411908759346</v>
      </c>
      <c r="G46" s="7">
        <v>1.16613E-3</v>
      </c>
      <c r="H46" s="7">
        <v>3.2602800000000002E-4</v>
      </c>
      <c r="I46" s="6">
        <f t="shared" si="3"/>
        <v>80.953141270392223</v>
      </c>
      <c r="J46" s="6">
        <f t="shared" si="4"/>
        <v>96.598312933877324</v>
      </c>
      <c r="L46" s="7">
        <v>1.80762E-3</v>
      </c>
      <c r="M46" s="7">
        <v>3.64963E-4</v>
      </c>
      <c r="N46" s="6">
        <f t="shared" si="5"/>
        <v>46.691033075462684</v>
      </c>
      <c r="O46" s="6">
        <f t="shared" si="6"/>
        <v>66.929337460755249</v>
      </c>
      <c r="Q46">
        <f t="shared" si="9"/>
        <v>1.8934466666666666E-3</v>
      </c>
      <c r="R46">
        <f t="shared" si="9"/>
        <v>4.0436766666666668E-4</v>
      </c>
      <c r="T46">
        <f t="shared" si="10"/>
        <v>70.779905166659688</v>
      </c>
      <c r="U46">
        <f t="shared" si="10"/>
        <v>82.960589827408668</v>
      </c>
      <c r="W46">
        <f t="shared" si="11"/>
        <v>17.10178759061905</v>
      </c>
      <c r="X46">
        <f t="shared" si="11"/>
        <v>12.229984005050898</v>
      </c>
    </row>
    <row r="47" spans="1:24" x14ac:dyDescent="0.35">
      <c r="A47" s="3">
        <v>293.29300000000001</v>
      </c>
      <c r="B47" s="7">
        <v>2.73726E-3</v>
      </c>
      <c r="C47" s="7">
        <v>5.1698200000000003E-4</v>
      </c>
      <c r="D47">
        <f t="shared" si="1"/>
        <v>85.655277297092638</v>
      </c>
      <c r="E47">
        <f t="shared" si="2"/>
        <v>84.515474063308716</v>
      </c>
      <c r="G47" s="7">
        <v>1.18301E-3</v>
      </c>
      <c r="H47" s="7">
        <v>3.29959E-4</v>
      </c>
      <c r="I47" s="6">
        <f t="shared" si="3"/>
        <v>82.124956612287406</v>
      </c>
      <c r="J47" s="6">
        <f t="shared" si="4"/>
        <v>97.763022615693217</v>
      </c>
      <c r="L47" s="7">
        <v>1.82927E-3</v>
      </c>
      <c r="M47" s="7">
        <v>3.6399099999999998E-4</v>
      </c>
      <c r="N47" s="6">
        <f t="shared" si="5"/>
        <v>47.250255072388903</v>
      </c>
      <c r="O47" s="6">
        <f t="shared" si="6"/>
        <v>66.75108564889527</v>
      </c>
      <c r="Q47">
        <f t="shared" si="9"/>
        <v>1.9165133333333333E-3</v>
      </c>
      <c r="R47">
        <f t="shared" si="9"/>
        <v>4.0364400000000004E-4</v>
      </c>
      <c r="T47">
        <f t="shared" si="10"/>
        <v>71.676829660589661</v>
      </c>
      <c r="U47">
        <f t="shared" si="10"/>
        <v>83.009860775965734</v>
      </c>
      <c r="W47">
        <f t="shared" si="11"/>
        <v>17.332223373802716</v>
      </c>
      <c r="X47">
        <f t="shared" si="11"/>
        <v>12.705253824997722</v>
      </c>
    </row>
    <row r="48" spans="1:24" x14ac:dyDescent="0.35">
      <c r="A48" s="3">
        <v>299.63400000000001</v>
      </c>
      <c r="B48" s="7">
        <v>2.76231E-3</v>
      </c>
      <c r="C48" s="7">
        <v>5.0957400000000005E-4</v>
      </c>
      <c r="D48">
        <f t="shared" si="1"/>
        <v>86.439150475487153</v>
      </c>
      <c r="E48">
        <f t="shared" si="2"/>
        <v>83.304424874244134</v>
      </c>
      <c r="G48" s="7">
        <v>1.19987E-3</v>
      </c>
      <c r="H48" s="7">
        <v>3.321E-4</v>
      </c>
      <c r="I48" s="6">
        <f t="shared" si="3"/>
        <v>83.295383547379387</v>
      </c>
      <c r="J48" s="6">
        <f t="shared" si="4"/>
        <v>98.397376069971472</v>
      </c>
      <c r="L48" s="7">
        <v>1.8522199999999999E-3</v>
      </c>
      <c r="M48" s="7">
        <v>3.6027999999999999E-4</v>
      </c>
      <c r="N48" s="6">
        <f t="shared" si="5"/>
        <v>47.843056219246016</v>
      </c>
      <c r="O48" s="6">
        <f t="shared" si="6"/>
        <v>66.070537836331084</v>
      </c>
      <c r="Q48">
        <f t="shared" si="9"/>
        <v>1.9381333333333332E-3</v>
      </c>
      <c r="R48">
        <f t="shared" si="9"/>
        <v>4.0065133333333334E-4</v>
      </c>
      <c r="T48">
        <f t="shared" si="10"/>
        <v>72.525863414037516</v>
      </c>
      <c r="U48">
        <f t="shared" si="10"/>
        <v>82.590779593515563</v>
      </c>
      <c r="W48">
        <f t="shared" si="11"/>
        <v>17.500505628619301</v>
      </c>
      <c r="X48">
        <f t="shared" si="11"/>
        <v>13.207020474884208</v>
      </c>
    </row>
    <row r="49" spans="1:24" x14ac:dyDescent="0.35">
      <c r="A49" s="3">
        <v>305.762</v>
      </c>
      <c r="B49" s="7">
        <v>2.7930699999999999E-3</v>
      </c>
      <c r="C49" s="7">
        <v>5.2023E-4</v>
      </c>
      <c r="D49">
        <f t="shared" si="1"/>
        <v>87.401702929276183</v>
      </c>
      <c r="E49">
        <f t="shared" si="2"/>
        <v>85.046452433460146</v>
      </c>
      <c r="G49" s="7">
        <v>1.2041899999999999E-3</v>
      </c>
      <c r="H49" s="7">
        <v>3.2669900000000001E-4</v>
      </c>
      <c r="I49" s="6">
        <f t="shared" si="3"/>
        <v>83.595279416869133</v>
      </c>
      <c r="J49" s="6">
        <f t="shared" si="4"/>
        <v>96.797122447105124</v>
      </c>
      <c r="L49" s="7">
        <v>1.8764400000000001E-3</v>
      </c>
      <c r="M49" s="7">
        <v>3.6094099999999999E-4</v>
      </c>
      <c r="N49" s="6">
        <f t="shared" si="5"/>
        <v>48.468661612574103</v>
      </c>
      <c r="O49" s="6">
        <f t="shared" si="6"/>
        <v>66.191756403861376</v>
      </c>
      <c r="Q49">
        <f t="shared" si="9"/>
        <v>1.9578999999999998E-3</v>
      </c>
      <c r="R49">
        <f t="shared" si="9"/>
        <v>4.0262333333333333E-4</v>
      </c>
      <c r="T49">
        <f t="shared" si="10"/>
        <v>73.15521465290648</v>
      </c>
      <c r="U49">
        <f t="shared" si="10"/>
        <v>82.678443761475549</v>
      </c>
      <c r="W49">
        <f t="shared" si="11"/>
        <v>17.525060927118219</v>
      </c>
      <c r="X49">
        <f t="shared" si="11"/>
        <v>12.606286962284122</v>
      </c>
    </row>
    <row r="50" spans="1:24" x14ac:dyDescent="0.35">
      <c r="A50" s="3">
        <v>312.01600000000002</v>
      </c>
      <c r="B50" s="7">
        <v>2.81233E-3</v>
      </c>
      <c r="C50" s="7">
        <v>5.1100500000000003E-4</v>
      </c>
      <c r="D50">
        <f t="shared" si="1"/>
        <v>88.004393444880108</v>
      </c>
      <c r="E50">
        <f t="shared" si="2"/>
        <v>83.538362696807766</v>
      </c>
      <c r="G50" s="7">
        <v>1.2074500000000001E-3</v>
      </c>
      <c r="H50" s="7">
        <v>3.1812799999999999E-4</v>
      </c>
      <c r="I50" s="6">
        <f t="shared" si="3"/>
        <v>83.821589725789664</v>
      </c>
      <c r="J50" s="6">
        <f t="shared" si="4"/>
        <v>94.257634611225185</v>
      </c>
      <c r="L50" s="7">
        <v>1.89996E-3</v>
      </c>
      <c r="M50" s="7">
        <v>3.6000000000000002E-4</v>
      </c>
      <c r="N50" s="6">
        <f t="shared" si="5"/>
        <v>49.076185925170158</v>
      </c>
      <c r="O50" s="6">
        <f t="shared" si="6"/>
        <v>66.019189577770604</v>
      </c>
      <c r="Q50">
        <f t="shared" si="9"/>
        <v>1.9732466666666669E-3</v>
      </c>
      <c r="R50">
        <f t="shared" si="9"/>
        <v>3.9637766666666664E-4</v>
      </c>
      <c r="T50">
        <f t="shared" si="10"/>
        <v>73.634056365279974</v>
      </c>
      <c r="U50">
        <f t="shared" si="10"/>
        <v>81.271728961934514</v>
      </c>
      <c r="W50">
        <f t="shared" si="11"/>
        <v>17.448795797093947</v>
      </c>
      <c r="X50">
        <f t="shared" si="11"/>
        <v>11.639177114180907</v>
      </c>
    </row>
    <row r="51" spans="1:24" x14ac:dyDescent="0.35">
      <c r="A51" s="3">
        <v>318.25299999999999</v>
      </c>
      <c r="B51" s="7">
        <v>2.83096E-3</v>
      </c>
      <c r="C51" s="7">
        <v>5.00991E-4</v>
      </c>
      <c r="D51">
        <f t="shared" si="1"/>
        <v>88.587369784739977</v>
      </c>
      <c r="E51">
        <f t="shared" si="2"/>
        <v>81.901288374549011</v>
      </c>
      <c r="G51" s="7">
        <v>1.21346E-3</v>
      </c>
      <c r="H51" s="7">
        <v>3.2016400000000001E-4</v>
      </c>
      <c r="I51" s="6">
        <f t="shared" si="3"/>
        <v>84.238805970149258</v>
      </c>
      <c r="J51" s="6">
        <f t="shared" si="4"/>
        <v>94.86087778399984</v>
      </c>
      <c r="L51" s="7">
        <v>1.92136E-3</v>
      </c>
      <c r="M51" s="7">
        <v>3.6319899999999998E-4</v>
      </c>
      <c r="N51" s="6">
        <f t="shared" si="5"/>
        <v>49.628950393263509</v>
      </c>
      <c r="O51" s="6">
        <f t="shared" si="6"/>
        <v>66.605843431824169</v>
      </c>
      <c r="Q51">
        <f t="shared" si="9"/>
        <v>1.9885933333333335E-3</v>
      </c>
      <c r="R51">
        <f t="shared" si="9"/>
        <v>3.9478466666666672E-4</v>
      </c>
      <c r="T51">
        <f t="shared" si="10"/>
        <v>74.151708716050905</v>
      </c>
      <c r="U51">
        <f t="shared" si="10"/>
        <v>81.122669863457659</v>
      </c>
      <c r="W51">
        <f t="shared" si="11"/>
        <v>17.430849255095083</v>
      </c>
      <c r="X51">
        <f t="shared" si="11"/>
        <v>11.548201206249052</v>
      </c>
    </row>
    <row r="52" spans="1:24" x14ac:dyDescent="0.35">
      <c r="A52" s="3">
        <v>324.49900000000002</v>
      </c>
      <c r="B52" s="7">
        <v>2.8497499999999999E-3</v>
      </c>
      <c r="C52" s="7">
        <v>5.0400800000000002E-4</v>
      </c>
      <c r="D52">
        <f t="shared" si="1"/>
        <v>89.175352899391996</v>
      </c>
      <c r="E52">
        <f t="shared" si="2"/>
        <v>82.394503196823294</v>
      </c>
      <c r="G52" s="7">
        <v>1.2284799999999999E-3</v>
      </c>
      <c r="H52" s="7">
        <v>3.2612100000000002E-4</v>
      </c>
      <c r="I52" s="6">
        <f t="shared" si="3"/>
        <v>85.281499479347445</v>
      </c>
      <c r="J52" s="6">
        <f t="shared" si="4"/>
        <v>96.625867754637667</v>
      </c>
      <c r="L52" s="7">
        <v>1.94488E-3</v>
      </c>
      <c r="M52" s="7">
        <v>3.6740699999999999E-4</v>
      </c>
      <c r="N52" s="6">
        <f t="shared" si="5"/>
        <v>50.236474705859571</v>
      </c>
      <c r="O52" s="6">
        <f t="shared" si="6"/>
        <v>67.377534403333229</v>
      </c>
      <c r="Q52">
        <f t="shared" si="9"/>
        <v>2.0077033333333332E-3</v>
      </c>
      <c r="R52">
        <f t="shared" si="9"/>
        <v>3.9917866666666662E-4</v>
      </c>
      <c r="T52">
        <f t="shared" si="10"/>
        <v>74.897775694866326</v>
      </c>
      <c r="U52">
        <f t="shared" si="10"/>
        <v>82.13263511826473</v>
      </c>
      <c r="W52">
        <f t="shared" si="11"/>
        <v>17.510479690116806</v>
      </c>
      <c r="X52">
        <f t="shared" si="11"/>
        <v>11.942017755951245</v>
      </c>
    </row>
    <row r="53" spans="1:24" x14ac:dyDescent="0.35">
      <c r="A53" s="3">
        <v>330.63499999999999</v>
      </c>
      <c r="B53" s="7">
        <v>2.8694599999999999E-3</v>
      </c>
      <c r="C53" s="7">
        <v>5.0300500000000005E-4</v>
      </c>
      <c r="D53">
        <f t="shared" si="1"/>
        <v>89.792124969098808</v>
      </c>
      <c r="E53">
        <f t="shared" si="2"/>
        <v>82.230534198897843</v>
      </c>
      <c r="G53" s="7">
        <v>1.2348400000000001E-3</v>
      </c>
      <c r="H53" s="7">
        <v>3.2546099999999998E-4</v>
      </c>
      <c r="I53" s="6">
        <f t="shared" si="3"/>
        <v>85.723012842762941</v>
      </c>
      <c r="J53" s="6">
        <f t="shared" si="4"/>
        <v>96.430317413757848</v>
      </c>
      <c r="L53" s="7">
        <v>1.96971E-3</v>
      </c>
      <c r="M53" s="7">
        <v>3.6706899999999998E-4</v>
      </c>
      <c r="N53" s="6">
        <f t="shared" si="5"/>
        <v>50.877836469539837</v>
      </c>
      <c r="O53" s="6">
        <f t="shared" si="6"/>
        <v>67.31554971978521</v>
      </c>
      <c r="Q53">
        <f t="shared" si="9"/>
        <v>2.0246699999999997E-3</v>
      </c>
      <c r="R53">
        <f t="shared" si="9"/>
        <v>3.9851166666666663E-4</v>
      </c>
      <c r="T53">
        <f t="shared" si="10"/>
        <v>75.464324760467193</v>
      </c>
      <c r="U53">
        <f t="shared" si="10"/>
        <v>81.992133777480305</v>
      </c>
      <c r="W53">
        <f t="shared" si="11"/>
        <v>17.464458637169457</v>
      </c>
      <c r="X53">
        <f t="shared" si="11"/>
        <v>11.887249486717472</v>
      </c>
    </row>
    <row r="54" spans="1:24" x14ac:dyDescent="0.35">
      <c r="A54" s="3">
        <v>336.85700000000003</v>
      </c>
      <c r="B54" s="7">
        <v>2.8879800000000001E-3</v>
      </c>
      <c r="C54" s="7">
        <v>5.0270200000000005E-4</v>
      </c>
      <c r="D54">
        <f t="shared" si="1"/>
        <v>90.371659151289094</v>
      </c>
      <c r="E54">
        <f t="shared" si="2"/>
        <v>82.181000194539493</v>
      </c>
      <c r="G54" s="7">
        <v>1.23591E-3</v>
      </c>
      <c r="H54" s="7">
        <v>3.2216999999999999E-4</v>
      </c>
      <c r="I54" s="6">
        <f t="shared" si="3"/>
        <v>85.797292606733777</v>
      </c>
      <c r="J54" s="6">
        <f t="shared" si="4"/>
        <v>95.455232304916322</v>
      </c>
      <c r="L54" s="7">
        <v>1.9887099999999999E-3</v>
      </c>
      <c r="M54" s="7">
        <v>3.7114299999999999E-4</v>
      </c>
      <c r="N54" s="6">
        <f t="shared" si="5"/>
        <v>51.368608660837666</v>
      </c>
      <c r="O54" s="6">
        <f t="shared" si="6"/>
        <v>68.062666881840315</v>
      </c>
      <c r="Q54">
        <f t="shared" si="9"/>
        <v>2.037533333333333E-3</v>
      </c>
      <c r="R54">
        <f t="shared" si="9"/>
        <v>3.9867166666666666E-4</v>
      </c>
      <c r="T54">
        <f t="shared" si="10"/>
        <v>75.845853472953522</v>
      </c>
      <c r="U54">
        <f t="shared" si="10"/>
        <v>81.89963312709871</v>
      </c>
      <c r="W54">
        <f t="shared" si="11"/>
        <v>17.408481505962836</v>
      </c>
      <c r="X54">
        <f t="shared" si="11"/>
        <v>11.184737686816906</v>
      </c>
    </row>
    <row r="55" spans="1:24" x14ac:dyDescent="0.35">
      <c r="A55" s="3">
        <v>343.11</v>
      </c>
      <c r="B55" s="7">
        <v>2.9035799999999998E-3</v>
      </c>
      <c r="C55" s="7">
        <v>5.02182E-4</v>
      </c>
      <c r="D55">
        <f t="shared" si="1"/>
        <v>90.859819693522795</v>
      </c>
      <c r="E55">
        <f t="shared" si="2"/>
        <v>82.095991342175338</v>
      </c>
      <c r="G55" s="7">
        <v>1.24103E-3</v>
      </c>
      <c r="H55" s="7">
        <v>3.1889599999999999E-4</v>
      </c>
      <c r="I55" s="6">
        <f t="shared" si="3"/>
        <v>86.152724748351275</v>
      </c>
      <c r="J55" s="6">
        <f t="shared" si="4"/>
        <v>94.485184098794406</v>
      </c>
      <c r="L55" s="7">
        <v>2.0121599999999998E-3</v>
      </c>
      <c r="M55" s="7">
        <v>3.7512400000000001E-4</v>
      </c>
      <c r="N55" s="6">
        <f t="shared" si="5"/>
        <v>51.974324865360522</v>
      </c>
      <c r="O55" s="6">
        <f t="shared" si="6"/>
        <v>68.79272908658784</v>
      </c>
      <c r="Q55">
        <f t="shared" si="9"/>
        <v>2.0522566666666664E-3</v>
      </c>
      <c r="R55">
        <f t="shared" si="9"/>
        <v>3.9873399999999998E-4</v>
      </c>
      <c r="T55">
        <f t="shared" si="10"/>
        <v>76.328956435744871</v>
      </c>
      <c r="U55">
        <f t="shared" si="10"/>
        <v>81.791301509185857</v>
      </c>
      <c r="W55">
        <f t="shared" si="11"/>
        <v>17.328209080428877</v>
      </c>
      <c r="X55">
        <f t="shared" si="11"/>
        <v>10.491113320625635</v>
      </c>
    </row>
    <row r="56" spans="1:24" x14ac:dyDescent="0.35">
      <c r="A56" s="3">
        <v>349.24900000000002</v>
      </c>
      <c r="B56" s="7">
        <v>2.92099E-3</v>
      </c>
      <c r="C56" s="7">
        <v>5.0538899999999997E-4</v>
      </c>
      <c r="D56">
        <f t="shared" si="1"/>
        <v>91.404619375592603</v>
      </c>
      <c r="E56">
        <f t="shared" si="2"/>
        <v>82.620267091274982</v>
      </c>
      <c r="G56" s="7">
        <v>1.2471100000000001E-3</v>
      </c>
      <c r="H56" s="7">
        <v>3.1651500000000001E-4</v>
      </c>
      <c r="I56" s="6">
        <f t="shared" si="3"/>
        <v>86.574800416522052</v>
      </c>
      <c r="J56" s="6">
        <f t="shared" si="4"/>
        <v>93.779721429650778</v>
      </c>
      <c r="L56" s="7">
        <v>2.0444999999999999E-3</v>
      </c>
      <c r="M56" s="7">
        <v>3.7995599999999998E-4</v>
      </c>
      <c r="N56" s="6">
        <f t="shared" si="5"/>
        <v>52.809670795180097</v>
      </c>
      <c r="O56" s="6">
        <f t="shared" si="6"/>
        <v>69.678853320031692</v>
      </c>
      <c r="Q56">
        <f t="shared" si="9"/>
        <v>2.0708666666666669E-3</v>
      </c>
      <c r="R56">
        <f t="shared" si="9"/>
        <v>4.0061999999999997E-4</v>
      </c>
      <c r="T56">
        <f t="shared" si="10"/>
        <v>76.929696862431584</v>
      </c>
      <c r="U56">
        <f t="shared" si="10"/>
        <v>82.026280613652489</v>
      </c>
      <c r="W56">
        <f t="shared" si="11"/>
        <v>17.169032799549683</v>
      </c>
      <c r="X56">
        <f t="shared" si="11"/>
        <v>9.8480988304345569</v>
      </c>
    </row>
    <row r="57" spans="1:24" x14ac:dyDescent="0.35">
      <c r="A57" s="3">
        <v>355.43799999999999</v>
      </c>
      <c r="B57" s="7">
        <v>2.9457200000000002E-3</v>
      </c>
      <c r="C57" s="7">
        <v>5.1406900000000003E-4</v>
      </c>
      <c r="D57">
        <f t="shared" si="1"/>
        <v>92.178479004402845</v>
      </c>
      <c r="E57">
        <f t="shared" si="2"/>
        <v>84.039261011507264</v>
      </c>
      <c r="G57" s="7">
        <v>1.2490800000000001E-3</v>
      </c>
      <c r="H57" s="7">
        <v>3.1699099999999997E-4</v>
      </c>
      <c r="I57" s="6">
        <f t="shared" si="3"/>
        <v>86.711558486636591</v>
      </c>
      <c r="J57" s="6">
        <f t="shared" si="4"/>
        <v>93.920754705800434</v>
      </c>
      <c r="L57" s="7">
        <v>2.0704999999999999E-3</v>
      </c>
      <c r="M57" s="7">
        <v>3.8473400000000002E-4</v>
      </c>
      <c r="N57" s="6">
        <f t="shared" si="5"/>
        <v>53.481253793798189</v>
      </c>
      <c r="O57" s="6">
        <f t="shared" si="6"/>
        <v>70.555074675038881</v>
      </c>
      <c r="Q57">
        <f t="shared" si="9"/>
        <v>2.0884333333333334E-3</v>
      </c>
      <c r="R57">
        <f t="shared" si="9"/>
        <v>4.0526466666666671E-4</v>
      </c>
      <c r="T57">
        <f t="shared" si="10"/>
        <v>77.45709709494588</v>
      </c>
      <c r="U57">
        <f t="shared" si="10"/>
        <v>82.838363464115517</v>
      </c>
      <c r="W57">
        <f t="shared" si="11"/>
        <v>17.099758311894036</v>
      </c>
      <c r="X57">
        <f t="shared" si="11"/>
        <v>9.576720629195286</v>
      </c>
    </row>
    <row r="58" spans="1:24" x14ac:dyDescent="0.35">
      <c r="A58" s="3">
        <v>361.74700000000001</v>
      </c>
      <c r="B58" s="7">
        <v>2.9576400000000001E-3</v>
      </c>
      <c r="C58" s="7">
        <v>5.1060099999999996E-4</v>
      </c>
      <c r="D58">
        <f t="shared" si="1"/>
        <v>92.551483726417317</v>
      </c>
      <c r="E58">
        <f t="shared" si="2"/>
        <v>83.4723173576633</v>
      </c>
      <c r="G58" s="7">
        <v>1.26198E-3</v>
      </c>
      <c r="H58" s="7">
        <v>3.2158499999999999E-4</v>
      </c>
      <c r="I58" s="6">
        <f t="shared" si="3"/>
        <v>87.60708087469628</v>
      </c>
      <c r="J58" s="6">
        <f t="shared" si="4"/>
        <v>95.281903593681946</v>
      </c>
      <c r="L58" s="7">
        <v>2.0911599999999999E-3</v>
      </c>
      <c r="M58" s="7">
        <v>3.89873E-4</v>
      </c>
      <c r="N58" s="6">
        <f t="shared" si="5"/>
        <v>54.014903976546258</v>
      </c>
      <c r="O58" s="6">
        <f t="shared" si="6"/>
        <v>71.497498606261559</v>
      </c>
      <c r="Q58">
        <f t="shared" si="9"/>
        <v>2.1035933333333335E-3</v>
      </c>
      <c r="R58">
        <f t="shared" si="9"/>
        <v>4.07353E-4</v>
      </c>
      <c r="T58">
        <f t="shared" si="10"/>
        <v>78.057822859219954</v>
      </c>
      <c r="U58">
        <f t="shared" si="10"/>
        <v>83.417239852535602</v>
      </c>
      <c r="W58">
        <f t="shared" si="11"/>
        <v>17.120324007626078</v>
      </c>
      <c r="X58">
        <f t="shared" si="11"/>
        <v>9.7100207792460527</v>
      </c>
    </row>
    <row r="59" spans="1:24" x14ac:dyDescent="0.35">
      <c r="A59" s="3">
        <v>367.81400000000002</v>
      </c>
      <c r="B59" s="7">
        <v>2.9697299999999999E-3</v>
      </c>
      <c r="C59" s="7">
        <v>5.0515300000000005E-4</v>
      </c>
      <c r="D59">
        <f t="shared" si="1"/>
        <v>92.929808146648426</v>
      </c>
      <c r="E59">
        <f t="shared" si="2"/>
        <v>82.581686150586648</v>
      </c>
      <c r="G59" s="7">
        <v>1.2752900000000001E-3</v>
      </c>
      <c r="H59" s="7">
        <v>3.3030199999999998E-4</v>
      </c>
      <c r="I59" s="6">
        <f t="shared" si="3"/>
        <v>88.53106560222146</v>
      </c>
      <c r="J59" s="6">
        <f t="shared" si="4"/>
        <v>97.864649535271653</v>
      </c>
      <c r="L59" s="7">
        <v>2.1247699999999998E-3</v>
      </c>
      <c r="M59" s="7">
        <v>3.8972099999999999E-4</v>
      </c>
      <c r="N59" s="6">
        <f t="shared" si="5"/>
        <v>54.883054152836785</v>
      </c>
      <c r="O59" s="6">
        <f t="shared" si="6"/>
        <v>71.469623837328712</v>
      </c>
      <c r="Q59">
        <f t="shared" si="9"/>
        <v>2.1232633333333334E-3</v>
      </c>
      <c r="R59">
        <f t="shared" si="9"/>
        <v>4.0839200000000004E-4</v>
      </c>
      <c r="T59">
        <f t="shared" si="10"/>
        <v>78.781309300568893</v>
      </c>
      <c r="U59">
        <f t="shared" si="10"/>
        <v>83.971986507729</v>
      </c>
      <c r="W59">
        <f t="shared" si="11"/>
        <v>16.993767157845731</v>
      </c>
      <c r="X59">
        <f t="shared" si="11"/>
        <v>10.820475858638616</v>
      </c>
    </row>
    <row r="60" spans="1:24" x14ac:dyDescent="0.35">
      <c r="A60" s="3">
        <v>374.17599999999999</v>
      </c>
      <c r="B60" s="7">
        <v>2.9846299999999998E-3</v>
      </c>
      <c r="C60" s="7">
        <v>5.0024599999999998E-4</v>
      </c>
      <c r="D60">
        <f t="shared" si="1"/>
        <v>93.396064049166526</v>
      </c>
      <c r="E60">
        <f t="shared" si="2"/>
        <v>81.779496845681138</v>
      </c>
      <c r="G60" s="7">
        <v>1.28063E-3</v>
      </c>
      <c r="H60" s="7">
        <v>3.3266300000000002E-4</v>
      </c>
      <c r="I60" s="6">
        <f t="shared" si="3"/>
        <v>88.901770218674088</v>
      </c>
      <c r="J60" s="6">
        <f t="shared" si="4"/>
        <v>98.564186436509843</v>
      </c>
      <c r="L60" s="7">
        <v>2.1434800000000001E-3</v>
      </c>
      <c r="M60" s="7">
        <v>3.9767300000000003E-4</v>
      </c>
      <c r="N60" s="6">
        <f t="shared" si="5"/>
        <v>55.366335610688509</v>
      </c>
      <c r="O60" s="6">
        <f t="shared" si="6"/>
        <v>72.927914380446595</v>
      </c>
      <c r="Q60">
        <f t="shared" si="9"/>
        <v>2.1362466666666664E-3</v>
      </c>
      <c r="R60">
        <f t="shared" si="9"/>
        <v>4.1019400000000001E-4</v>
      </c>
      <c r="T60">
        <f t="shared" si="10"/>
        <v>79.221389959509708</v>
      </c>
      <c r="U60">
        <f t="shared" si="10"/>
        <v>84.423865887545858</v>
      </c>
      <c r="W60">
        <f t="shared" si="11"/>
        <v>16.967564797727295</v>
      </c>
      <c r="X60">
        <f t="shared" si="11"/>
        <v>10.631686192864066</v>
      </c>
    </row>
    <row r="61" spans="1:24" x14ac:dyDescent="0.35">
      <c r="A61" s="3">
        <v>380.25700000000001</v>
      </c>
      <c r="B61" s="7">
        <v>2.9966400000000001E-3</v>
      </c>
      <c r="C61" s="7">
        <v>5.0650200000000004E-4</v>
      </c>
      <c r="D61">
        <f t="shared" si="1"/>
        <v>93.771885082001589</v>
      </c>
      <c r="E61">
        <f t="shared" si="2"/>
        <v>82.802218731046722</v>
      </c>
      <c r="G61" s="7">
        <v>1.2858699999999999E-3</v>
      </c>
      <c r="H61" s="7">
        <v>3.34414E-4</v>
      </c>
      <c r="I61" s="6">
        <f t="shared" si="3"/>
        <v>89.265532801110723</v>
      </c>
      <c r="J61" s="6">
        <f t="shared" si="4"/>
        <v>99.082987416631852</v>
      </c>
      <c r="L61" s="7">
        <v>2.1751000000000001E-3</v>
      </c>
      <c r="M61" s="7">
        <v>4.0221199999999999E-4</v>
      </c>
      <c r="N61" s="6">
        <f t="shared" si="5"/>
        <v>56.183083857469427</v>
      </c>
      <c r="O61" s="6">
        <f t="shared" si="6"/>
        <v>73.760306329039636</v>
      </c>
      <c r="Q61">
        <f t="shared" si="9"/>
        <v>2.1525366666666668E-3</v>
      </c>
      <c r="R61">
        <f t="shared" si="9"/>
        <v>4.1437599999999999E-4</v>
      </c>
      <c r="T61">
        <f t="shared" si="10"/>
        <v>79.74016724686058</v>
      </c>
      <c r="U61">
        <f t="shared" si="10"/>
        <v>85.215170825572727</v>
      </c>
      <c r="W61">
        <f t="shared" si="11"/>
        <v>16.758658181786128</v>
      </c>
      <c r="X61">
        <f t="shared" si="11"/>
        <v>10.477795497267374</v>
      </c>
    </row>
    <row r="62" spans="1:24" x14ac:dyDescent="0.35">
      <c r="A62" s="3">
        <v>386.47300000000001</v>
      </c>
      <c r="B62" s="7">
        <v>3.01491E-3</v>
      </c>
      <c r="C62" s="7">
        <v>5.13186E-4</v>
      </c>
      <c r="D62">
        <f t="shared" si="1"/>
        <v>94.343596178579148</v>
      </c>
      <c r="E62">
        <f t="shared" si="2"/>
        <v>83.894909441050444</v>
      </c>
      <c r="G62" s="7">
        <v>1.29918E-3</v>
      </c>
      <c r="H62" s="7">
        <v>3.3647700000000001E-4</v>
      </c>
      <c r="I62" s="6">
        <f t="shared" si="3"/>
        <v>90.189517528635903</v>
      </c>
      <c r="J62" s="6">
        <f t="shared" si="4"/>
        <v>99.694230376078863</v>
      </c>
      <c r="L62" s="7">
        <v>2.2018599999999999E-3</v>
      </c>
      <c r="M62" s="7">
        <v>4.0778400000000001E-4</v>
      </c>
      <c r="N62" s="6">
        <f t="shared" si="5"/>
        <v>56.874297743739419</v>
      </c>
      <c r="O62" s="6">
        <f t="shared" si="6"/>
        <v>74.782136674393357</v>
      </c>
      <c r="Q62">
        <f t="shared" si="9"/>
        <v>2.1719833333333333E-3</v>
      </c>
      <c r="R62">
        <f t="shared" si="9"/>
        <v>4.1914900000000001E-4</v>
      </c>
      <c r="T62">
        <f t="shared" si="10"/>
        <v>80.469137150318161</v>
      </c>
      <c r="U62">
        <f t="shared" si="10"/>
        <v>86.123758830507555</v>
      </c>
      <c r="W62">
        <f t="shared" si="11"/>
        <v>16.770041290431351</v>
      </c>
      <c r="X62">
        <f t="shared" si="11"/>
        <v>10.291709619917441</v>
      </c>
    </row>
    <row r="63" spans="1:24" x14ac:dyDescent="0.35">
      <c r="A63" s="3">
        <v>392.72</v>
      </c>
      <c r="B63" s="7">
        <v>3.02871E-3</v>
      </c>
      <c r="C63" s="7">
        <v>5.1584099999999996E-4</v>
      </c>
      <c r="D63">
        <f t="shared" si="1"/>
        <v>94.775430504401271</v>
      </c>
      <c r="E63">
        <f t="shared" si="2"/>
        <v>84.328945023794304</v>
      </c>
      <c r="G63" s="7">
        <v>1.2953000000000001E-3</v>
      </c>
      <c r="H63" s="7">
        <v>3.3169599999999998E-4</v>
      </c>
      <c r="I63" s="6">
        <f t="shared" si="3"/>
        <v>89.920166608816402</v>
      </c>
      <c r="J63" s="6">
        <f t="shared" si="4"/>
        <v>98.277675558281402</v>
      </c>
      <c r="L63" s="7">
        <v>2.2261999999999998E-3</v>
      </c>
      <c r="M63" s="7">
        <v>4.14342E-4</v>
      </c>
      <c r="N63" s="6">
        <f t="shared" si="5"/>
        <v>57.503002750907285</v>
      </c>
      <c r="O63" s="6">
        <f t="shared" si="6"/>
        <v>75.984786244535073</v>
      </c>
      <c r="Q63">
        <f t="shared" si="9"/>
        <v>2.1834033333333332E-3</v>
      </c>
      <c r="R63">
        <f t="shared" si="9"/>
        <v>4.2062633333333333E-4</v>
      </c>
      <c r="T63">
        <f t="shared" si="10"/>
        <v>80.732866621374981</v>
      </c>
      <c r="U63">
        <f t="shared" si="10"/>
        <v>86.197135608870269</v>
      </c>
      <c r="W63">
        <f t="shared" si="11"/>
        <v>16.545156964185164</v>
      </c>
      <c r="X63">
        <f t="shared" si="11"/>
        <v>9.1964062015318557</v>
      </c>
    </row>
    <row r="64" spans="1:24" x14ac:dyDescent="0.35">
      <c r="A64" s="3">
        <v>398.84699999999998</v>
      </c>
      <c r="B64" s="7">
        <v>3.0440599999999999E-3</v>
      </c>
      <c r="C64" s="7">
        <v>5.0652599999999998E-4</v>
      </c>
      <c r="D64">
        <f t="shared" si="1"/>
        <v>95.255767961022258</v>
      </c>
      <c r="E64">
        <f t="shared" si="2"/>
        <v>82.806142216540437</v>
      </c>
      <c r="G64" s="7">
        <v>1.2904100000000001E-3</v>
      </c>
      <c r="H64" s="7">
        <v>3.2758700000000001E-4</v>
      </c>
      <c r="I64" s="6">
        <f t="shared" si="3"/>
        <v>89.580701145435626</v>
      </c>
      <c r="J64" s="6">
        <f t="shared" si="4"/>
        <v>97.060226542107031</v>
      </c>
      <c r="L64" s="7">
        <v>2.25187E-3</v>
      </c>
      <c r="M64" s="7">
        <v>4.1129099999999999E-4</v>
      </c>
      <c r="N64" s="6">
        <f t="shared" si="5"/>
        <v>58.166061811465994</v>
      </c>
      <c r="O64" s="6">
        <f t="shared" si="6"/>
        <v>75.425273612863464</v>
      </c>
      <c r="Q64">
        <f t="shared" si="9"/>
        <v>2.1954466666666665E-3</v>
      </c>
      <c r="R64">
        <f t="shared" si="9"/>
        <v>4.151346666666667E-4</v>
      </c>
      <c r="T64">
        <f t="shared" si="10"/>
        <v>81.000843639307959</v>
      </c>
      <c r="U64">
        <f t="shared" si="10"/>
        <v>85.097214123836977</v>
      </c>
      <c r="W64">
        <f t="shared" si="11"/>
        <v>16.312000524852873</v>
      </c>
      <c r="X64">
        <f t="shared" si="11"/>
        <v>8.9797756069198513</v>
      </c>
    </row>
    <row r="65" spans="1:24" x14ac:dyDescent="0.35">
      <c r="A65" s="3">
        <v>405.13499999999999</v>
      </c>
      <c r="B65" s="7">
        <v>3.05134E-3</v>
      </c>
      <c r="C65" s="7">
        <v>5.0657499999999999E-4</v>
      </c>
      <c r="D65">
        <f t="shared" si="1"/>
        <v>95.483576214064655</v>
      </c>
      <c r="E65">
        <f t="shared" si="2"/>
        <v>82.814152666090138</v>
      </c>
      <c r="G65" s="7">
        <v>1.2976999999999999E-3</v>
      </c>
      <c r="H65" s="7">
        <v>3.2736199999999999E-4</v>
      </c>
      <c r="I65" s="6">
        <f t="shared" si="3"/>
        <v>90.08677542519959</v>
      </c>
      <c r="J65" s="6">
        <f t="shared" si="4"/>
        <v>96.99356165317073</v>
      </c>
      <c r="L65" s="7">
        <v>2.2723299999999999E-3</v>
      </c>
      <c r="M65" s="7">
        <v>4.0936400000000001E-4</v>
      </c>
      <c r="N65" s="6">
        <f t="shared" si="5"/>
        <v>58.694545971147761</v>
      </c>
      <c r="O65" s="6">
        <f t="shared" si="6"/>
        <v>75.071887561984681</v>
      </c>
      <c r="Q65">
        <f t="shared" si="9"/>
        <v>2.2071233333333332E-3</v>
      </c>
      <c r="R65">
        <f t="shared" si="9"/>
        <v>4.1443366666666666E-4</v>
      </c>
      <c r="T65">
        <f t="shared" si="10"/>
        <v>81.421632536803997</v>
      </c>
      <c r="U65">
        <f t="shared" si="10"/>
        <v>84.959867293748516</v>
      </c>
      <c r="W65">
        <f t="shared" si="11"/>
        <v>16.220803771922021</v>
      </c>
      <c r="X65">
        <f t="shared" si="11"/>
        <v>9.0771881544728306</v>
      </c>
    </row>
    <row r="66" spans="1:24" x14ac:dyDescent="0.35">
      <c r="A66" s="3">
        <v>411.31299999999999</v>
      </c>
      <c r="B66" s="7">
        <v>3.0643100000000002E-3</v>
      </c>
      <c r="C66" s="7">
        <v>5.1338899999999995E-4</v>
      </c>
      <c r="D66">
        <f t="shared" si="1"/>
        <v>95.889437895652563</v>
      </c>
      <c r="E66">
        <f t="shared" si="2"/>
        <v>83.928095589184906</v>
      </c>
      <c r="G66" s="7">
        <v>1.30667E-3</v>
      </c>
      <c r="H66" s="7">
        <v>3.3141600000000001E-4</v>
      </c>
      <c r="I66" s="6">
        <f t="shared" si="3"/>
        <v>90.709475876431796</v>
      </c>
      <c r="J66" s="6">
        <f t="shared" si="4"/>
        <v>98.194714807605138</v>
      </c>
      <c r="L66" s="7">
        <v>2.2944599999999999E-3</v>
      </c>
      <c r="M66" s="7">
        <v>4.0966599999999999E-4</v>
      </c>
      <c r="N66" s="6">
        <f t="shared" si="5"/>
        <v>59.266166423433084</v>
      </c>
      <c r="O66" s="6">
        <f t="shared" si="6"/>
        <v>75.12727032657493</v>
      </c>
      <c r="Q66">
        <f t="shared" si="9"/>
        <v>2.2218133333333332E-3</v>
      </c>
      <c r="R66">
        <f t="shared" si="9"/>
        <v>4.1815699999999995E-4</v>
      </c>
      <c r="T66">
        <f t="shared" si="10"/>
        <v>81.955026731839141</v>
      </c>
      <c r="U66">
        <f t="shared" si="10"/>
        <v>85.750026907788325</v>
      </c>
      <c r="W66">
        <f t="shared" si="11"/>
        <v>16.182218393469519</v>
      </c>
      <c r="X66">
        <f t="shared" si="11"/>
        <v>9.5049574440089835</v>
      </c>
    </row>
    <row r="67" spans="1:24" x14ac:dyDescent="0.35">
      <c r="A67" s="3">
        <v>417.62599999999998</v>
      </c>
      <c r="B67" s="7">
        <v>3.0806599999999998E-3</v>
      </c>
      <c r="C67" s="7">
        <v>5.2207600000000001E-4</v>
      </c>
      <c r="D67">
        <f t="shared" si="1"/>
        <v>96.401067694724418</v>
      </c>
      <c r="E67">
        <f t="shared" si="2"/>
        <v>85.34823385935286</v>
      </c>
      <c r="G67" s="7">
        <v>1.3130800000000001E-3</v>
      </c>
      <c r="H67" s="7">
        <v>3.3580099999999999E-4</v>
      </c>
      <c r="I67" s="6">
        <f t="shared" si="3"/>
        <v>91.154460256855273</v>
      </c>
      <c r="J67" s="6">
        <f t="shared" si="4"/>
        <v>99.493939420874696</v>
      </c>
      <c r="L67" s="7">
        <v>2.33008E-3</v>
      </c>
      <c r="M67" s="7">
        <v>4.1964500000000001E-4</v>
      </c>
      <c r="N67" s="6">
        <f t="shared" si="5"/>
        <v>60.186235131539867</v>
      </c>
      <c r="O67" s="6">
        <f t="shared" si="6"/>
        <v>76.957285584343182</v>
      </c>
      <c r="Q67">
        <f t="shared" si="9"/>
        <v>2.2412733333333334E-3</v>
      </c>
      <c r="R67">
        <f t="shared" si="9"/>
        <v>4.2584066666666662E-4</v>
      </c>
      <c r="T67">
        <f t="shared" si="10"/>
        <v>82.580587694373179</v>
      </c>
      <c r="U67">
        <f t="shared" si="10"/>
        <v>87.266486288190251</v>
      </c>
      <c r="W67">
        <f t="shared" si="11"/>
        <v>15.979403251960241</v>
      </c>
      <c r="X67">
        <f t="shared" si="11"/>
        <v>9.2999985957872973</v>
      </c>
    </row>
    <row r="68" spans="1:24" x14ac:dyDescent="0.35">
      <c r="A68" s="3">
        <v>423.83800000000002</v>
      </c>
      <c r="B68" s="7">
        <v>3.0890399999999999E-3</v>
      </c>
      <c r="C68" s="7">
        <v>5.1315200000000001E-4</v>
      </c>
      <c r="D68">
        <f t="shared" ref="D68:D109" si="12">B68/$B$3*100</f>
        <v>96.663297524462791</v>
      </c>
      <c r="E68">
        <f t="shared" ref="E68:E109" si="13">C68/$C$3*100</f>
        <v>83.889351169934329</v>
      </c>
      <c r="G68" s="7">
        <v>1.3168699999999999E-3</v>
      </c>
      <c r="H68" s="7">
        <v>3.35464E-4</v>
      </c>
      <c r="I68" s="6">
        <f t="shared" ref="I68:I109" si="14">G68/$G$3*100</f>
        <v>91.41756334606039</v>
      </c>
      <c r="J68" s="6">
        <f t="shared" ref="J68:J109" si="15">H68/$H$3*100</f>
        <v>99.394090231667903</v>
      </c>
      <c r="L68" s="7">
        <v>2.35017E-3</v>
      </c>
      <c r="M68" s="7">
        <v>4.2140899999999998E-4</v>
      </c>
      <c r="N68" s="6">
        <f t="shared" ref="N68:N109" si="16">L68/$L$3*100</f>
        <v>60.705162148548993</v>
      </c>
      <c r="O68" s="6">
        <f t="shared" ref="O68:O109" si="17">M68/$M$3*100</f>
        <v>77.280779613274248</v>
      </c>
      <c r="Q68">
        <f t="shared" si="9"/>
        <v>2.2520266666666666E-3</v>
      </c>
      <c r="R68">
        <f t="shared" si="9"/>
        <v>4.2334166666666663E-4</v>
      </c>
      <c r="T68">
        <f t="shared" si="10"/>
        <v>82.928674339690716</v>
      </c>
      <c r="U68">
        <f t="shared" si="10"/>
        <v>86.85474033829216</v>
      </c>
      <c r="W68">
        <f t="shared" si="11"/>
        <v>15.85965115946721</v>
      </c>
      <c r="X68">
        <f t="shared" si="11"/>
        <v>9.2680374159887968</v>
      </c>
    </row>
    <row r="69" spans="1:24" x14ac:dyDescent="0.35">
      <c r="A69" s="3">
        <v>430.04700000000003</v>
      </c>
      <c r="B69" s="7">
        <v>3.0971000000000002E-3</v>
      </c>
      <c r="C69" s="7">
        <v>5.0699100000000004E-4</v>
      </c>
      <c r="D69">
        <f t="shared" si="12"/>
        <v>96.915513804616879</v>
      </c>
      <c r="E69">
        <f t="shared" si="13"/>
        <v>82.882159747981461</v>
      </c>
      <c r="G69" s="7">
        <v>1.31361E-3</v>
      </c>
      <c r="H69" s="7">
        <v>3.2387900000000001E-4</v>
      </c>
      <c r="I69" s="6">
        <f t="shared" si="14"/>
        <v>91.191253037139887</v>
      </c>
      <c r="J69" s="6">
        <f t="shared" si="15"/>
        <v>95.961589172436888</v>
      </c>
      <c r="L69" s="7">
        <v>2.3761799999999999E-3</v>
      </c>
      <c r="M69" s="7">
        <v>4.1937099999999998E-4</v>
      </c>
      <c r="N69" s="6">
        <f t="shared" si="16"/>
        <v>61.377003448320401</v>
      </c>
      <c r="O69" s="6">
        <f t="shared" si="17"/>
        <v>76.907037645608995</v>
      </c>
      <c r="Q69">
        <f t="shared" si="9"/>
        <v>2.2622966666666668E-3</v>
      </c>
      <c r="R69">
        <f t="shared" si="9"/>
        <v>4.1674700000000003E-4</v>
      </c>
      <c r="T69">
        <f t="shared" si="10"/>
        <v>83.161256763359063</v>
      </c>
      <c r="U69">
        <f t="shared" si="10"/>
        <v>85.250262188675791</v>
      </c>
      <c r="W69">
        <f t="shared" si="11"/>
        <v>15.580052625153904</v>
      </c>
      <c r="X69">
        <f t="shared" si="11"/>
        <v>7.9571735077790695</v>
      </c>
    </row>
    <row r="70" spans="1:24" x14ac:dyDescent="0.35">
      <c r="A70" s="3">
        <v>436.12299999999999</v>
      </c>
      <c r="B70" s="7">
        <v>3.1095300000000001E-3</v>
      </c>
      <c r="C70" s="7">
        <v>5.1205599999999999E-4</v>
      </c>
      <c r="D70">
        <f t="shared" si="12"/>
        <v>97.304477621281308</v>
      </c>
      <c r="E70">
        <f t="shared" si="13"/>
        <v>83.710178665720676</v>
      </c>
      <c r="G70" s="7">
        <v>1.31726E-3</v>
      </c>
      <c r="H70" s="7">
        <v>3.2460799999999999E-4</v>
      </c>
      <c r="I70" s="6">
        <f t="shared" si="14"/>
        <v>91.444637278722666</v>
      </c>
      <c r="J70" s="6">
        <f t="shared" si="15"/>
        <v>96.177583412590479</v>
      </c>
      <c r="L70" s="7">
        <v>2.4021699999999999E-3</v>
      </c>
      <c r="M70" s="7">
        <v>4.2791900000000002E-4</v>
      </c>
      <c r="N70" s="6">
        <f t="shared" si="16"/>
        <v>62.04832814578517</v>
      </c>
      <c r="O70" s="6">
        <f t="shared" si="17"/>
        <v>78.474626624805609</v>
      </c>
      <c r="Q70">
        <f t="shared" si="9"/>
        <v>2.2763200000000001E-3</v>
      </c>
      <c r="R70">
        <f t="shared" si="9"/>
        <v>4.2152766666666669E-4</v>
      </c>
      <c r="T70">
        <f t="shared" si="10"/>
        <v>83.599147681929722</v>
      </c>
      <c r="U70">
        <f t="shared" si="10"/>
        <v>86.120796234372236</v>
      </c>
      <c r="W70">
        <f t="shared" si="11"/>
        <v>15.425364376456287</v>
      </c>
      <c r="X70">
        <f t="shared" si="11"/>
        <v>7.4254956087910768</v>
      </c>
    </row>
    <row r="71" spans="1:24" x14ac:dyDescent="0.35">
      <c r="A71" s="3">
        <v>449.61900000000003</v>
      </c>
      <c r="B71" s="7">
        <v>2.8508599999999998E-6</v>
      </c>
      <c r="C71" s="7">
        <v>5.5365399999999997E-5</v>
      </c>
      <c r="D71">
        <f t="shared" si="12"/>
        <v>8.9210087399512472E-2</v>
      </c>
      <c r="E71">
        <f t="shared" si="13"/>
        <v>9.0510559897727809</v>
      </c>
      <c r="G71" s="7">
        <v>1.8266100000000001E-6</v>
      </c>
      <c r="H71" s="7">
        <v>2.82751E-5</v>
      </c>
      <c r="I71" s="6">
        <f t="shared" si="14"/>
        <v>0.12680388753904895</v>
      </c>
      <c r="J71" s="6">
        <f t="shared" si="15"/>
        <v>8.3775840051672699</v>
      </c>
      <c r="L71" s="7">
        <v>3.8644200000000003E-6</v>
      </c>
      <c r="M71" s="7">
        <v>4.0529199999999998E-5</v>
      </c>
      <c r="N71" s="6">
        <f t="shared" si="16"/>
        <v>9.9818414289219809E-2</v>
      </c>
      <c r="O71" s="6">
        <f t="shared" si="17"/>
        <v>7.4325137173205009</v>
      </c>
      <c r="Q71">
        <f t="shared" si="9"/>
        <v>2.8472966666666664E-6</v>
      </c>
      <c r="R71">
        <f t="shared" si="9"/>
        <v>4.1389900000000002E-5</v>
      </c>
      <c r="T71">
        <f t="shared" si="10"/>
        <v>0.10527746307592707</v>
      </c>
      <c r="U71">
        <f t="shared" si="10"/>
        <v>8.287051237420183</v>
      </c>
      <c r="W71">
        <f t="shared" si="11"/>
        <v>1.5825598724315645E-2</v>
      </c>
      <c r="X71">
        <f t="shared" si="11"/>
        <v>0.66386088324573367</v>
      </c>
    </row>
    <row r="72" spans="1:24" x14ac:dyDescent="0.35">
      <c r="A72" s="3">
        <v>455.80900000000003</v>
      </c>
      <c r="B72" s="7">
        <v>2.8898100000000001E-6</v>
      </c>
      <c r="C72" s="7">
        <v>5.5655400000000002E-5</v>
      </c>
      <c r="D72">
        <f t="shared" si="12"/>
        <v>9.0428924137974195E-2</v>
      </c>
      <c r="E72">
        <f t="shared" si="13"/>
        <v>9.098464772822016</v>
      </c>
      <c r="G72" s="7">
        <v>1.8266E-6</v>
      </c>
      <c r="H72" s="7">
        <v>2.8268699999999999E-5</v>
      </c>
      <c r="I72" s="6">
        <f t="shared" si="14"/>
        <v>0.12680319333564735</v>
      </c>
      <c r="J72" s="6">
        <f t="shared" si="15"/>
        <v>8.3756877594375272</v>
      </c>
      <c r="L72" s="7">
        <v>3.8743000000000003E-6</v>
      </c>
      <c r="M72" s="7">
        <v>4.0485699999999998E-5</v>
      </c>
      <c r="N72" s="6">
        <f t="shared" si="16"/>
        <v>0.10007361582869469</v>
      </c>
      <c r="O72" s="6">
        <f t="shared" si="17"/>
        <v>7.4245363985798534</v>
      </c>
      <c r="Q72">
        <f t="shared" si="9"/>
        <v>2.86357E-6</v>
      </c>
      <c r="R72">
        <f t="shared" si="9"/>
        <v>4.1469933333333334E-5</v>
      </c>
      <c r="T72">
        <f t="shared" si="10"/>
        <v>0.10576857776743874</v>
      </c>
      <c r="U72">
        <f t="shared" si="10"/>
        <v>8.2995629769464667</v>
      </c>
      <c r="W72">
        <f t="shared" si="11"/>
        <v>1.5386060975853157E-2</v>
      </c>
      <c r="X72">
        <f t="shared" si="11"/>
        <v>0.6854950947576679</v>
      </c>
    </row>
    <row r="73" spans="1:24" x14ac:dyDescent="0.35">
      <c r="A73" s="3">
        <v>461.90699999999998</v>
      </c>
      <c r="B73" s="7">
        <v>2.8536500000000002E-6</v>
      </c>
      <c r="C73" s="7">
        <v>5.5460700000000002E-5</v>
      </c>
      <c r="D73">
        <f t="shared" si="12"/>
        <v>8.9297393034950434E-2</v>
      </c>
      <c r="E73">
        <f t="shared" si="13"/>
        <v>9.0666354967541345</v>
      </c>
      <c r="G73" s="7">
        <v>1.8204200000000001E-6</v>
      </c>
      <c r="H73" s="7">
        <v>2.82551E-5</v>
      </c>
      <c r="I73" s="6">
        <f t="shared" si="14"/>
        <v>0.12637417563346062</v>
      </c>
      <c r="J73" s="6">
        <f t="shared" si="15"/>
        <v>8.3716582372618209</v>
      </c>
      <c r="L73" s="7">
        <v>3.8226999999999998E-6</v>
      </c>
      <c r="M73" s="7">
        <v>4.0266999999999999E-5</v>
      </c>
      <c r="N73" s="6">
        <f t="shared" si="16"/>
        <v>9.8740781877591083E-2</v>
      </c>
      <c r="O73" s="6">
        <f t="shared" si="17"/>
        <v>7.384429740911358</v>
      </c>
      <c r="Q73">
        <f t="shared" si="9"/>
        <v>2.8322566666666671E-6</v>
      </c>
      <c r="R73">
        <f t="shared" si="9"/>
        <v>4.1327600000000001E-5</v>
      </c>
      <c r="T73">
        <f t="shared" si="10"/>
        <v>0.10480411684866738</v>
      </c>
      <c r="U73">
        <f t="shared" si="10"/>
        <v>8.2742411583091044</v>
      </c>
      <c r="W73">
        <f t="shared" si="11"/>
        <v>1.5732026256290131E-2</v>
      </c>
      <c r="X73">
        <f t="shared" si="11"/>
        <v>0.69020364951290603</v>
      </c>
    </row>
    <row r="74" spans="1:24" x14ac:dyDescent="0.35">
      <c r="A74" s="3">
        <v>468.21</v>
      </c>
      <c r="B74" s="7">
        <v>2.8431700000000002E-6</v>
      </c>
      <c r="C74" s="7">
        <v>5.54534E-5</v>
      </c>
      <c r="D74">
        <f t="shared" si="12"/>
        <v>8.8969449286065219E-2</v>
      </c>
      <c r="E74">
        <f t="shared" si="13"/>
        <v>9.0654421032497901</v>
      </c>
      <c r="G74" s="7">
        <v>1.8206800000000001E-6</v>
      </c>
      <c r="H74" s="7">
        <v>2.8294400000000001E-5</v>
      </c>
      <c r="I74" s="6">
        <f t="shared" si="14"/>
        <v>0.12639222492190214</v>
      </c>
      <c r="J74" s="6">
        <f t="shared" si="15"/>
        <v>8.3833023711960273</v>
      </c>
      <c r="L74" s="7">
        <v>3.7930899999999999E-6</v>
      </c>
      <c r="M74" s="7">
        <v>4.0133099999999997E-5</v>
      </c>
      <c r="N74" s="6">
        <f t="shared" si="16"/>
        <v>9.7975952162626403E-2</v>
      </c>
      <c r="O74" s="6">
        <f t="shared" si="17"/>
        <v>7.3598742701211801</v>
      </c>
      <c r="Q74">
        <f t="shared" si="9"/>
        <v>2.8189799999999999E-6</v>
      </c>
      <c r="R74">
        <f t="shared" si="9"/>
        <v>4.1293633333333334E-5</v>
      </c>
      <c r="T74">
        <f t="shared" si="10"/>
        <v>0.10444587545686458</v>
      </c>
      <c r="U74">
        <f t="shared" si="10"/>
        <v>8.2695395815223325</v>
      </c>
      <c r="W74">
        <f t="shared" si="11"/>
        <v>1.5948060794289679E-2</v>
      </c>
      <c r="X74">
        <f t="shared" si="11"/>
        <v>0.70092647621392812</v>
      </c>
    </row>
    <row r="75" spans="1:24" x14ac:dyDescent="0.35">
      <c r="A75" s="3">
        <v>474.33100000000002</v>
      </c>
      <c r="B75" s="7">
        <v>2.8269E-6</v>
      </c>
      <c r="C75" s="7">
        <v>5.5392900000000003E-5</v>
      </c>
      <c r="D75">
        <f t="shared" si="12"/>
        <v>8.8460322874389416E-2</v>
      </c>
      <c r="E75">
        <f t="shared" si="13"/>
        <v>9.0555516502343476</v>
      </c>
      <c r="G75" s="7">
        <v>1.81912E-6</v>
      </c>
      <c r="H75" s="7">
        <v>2.83477E-5</v>
      </c>
      <c r="I75" s="6">
        <f t="shared" si="14"/>
        <v>0.12628392919125303</v>
      </c>
      <c r="J75" s="6">
        <f t="shared" si="15"/>
        <v>8.3990945426640469</v>
      </c>
      <c r="L75" s="7">
        <v>3.7706700000000002E-6</v>
      </c>
      <c r="M75" s="7">
        <v>4.0000999999999999E-5</v>
      </c>
      <c r="N75" s="6">
        <f t="shared" si="16"/>
        <v>9.739684097689498E-2</v>
      </c>
      <c r="O75" s="6">
        <f t="shared" si="17"/>
        <v>7.3356488952788945</v>
      </c>
      <c r="Q75">
        <f t="shared" si="9"/>
        <v>2.805563333333333E-6</v>
      </c>
      <c r="R75">
        <f t="shared" si="9"/>
        <v>4.12472E-5</v>
      </c>
      <c r="T75">
        <f t="shared" si="10"/>
        <v>0.10404703101417916</v>
      </c>
      <c r="U75">
        <f t="shared" si="10"/>
        <v>8.2634316960590954</v>
      </c>
      <c r="W75">
        <f t="shared" si="11"/>
        <v>1.6141562694945134E-2</v>
      </c>
      <c r="X75">
        <f t="shared" si="11"/>
        <v>0.70866996436402285</v>
      </c>
    </row>
    <row r="76" spans="1:24" x14ac:dyDescent="0.35">
      <c r="A76" s="3">
        <v>480.59800000000001</v>
      </c>
      <c r="B76" s="7">
        <v>2.8039599999999999E-6</v>
      </c>
      <c r="C76" s="7">
        <v>5.5238699999999997E-5</v>
      </c>
      <c r="D76">
        <f t="shared" si="12"/>
        <v>8.7742476538566247E-2</v>
      </c>
      <c r="E76">
        <f t="shared" si="13"/>
        <v>9.0303432559371331</v>
      </c>
      <c r="G76" s="7">
        <v>1.8203599999999999E-6</v>
      </c>
      <c r="H76" s="7">
        <v>2.8350000000000001E-5</v>
      </c>
      <c r="I76" s="6">
        <f t="shared" si="14"/>
        <v>0.12637001041305101</v>
      </c>
      <c r="J76" s="6">
        <f t="shared" si="15"/>
        <v>8.399776005973175</v>
      </c>
      <c r="L76" s="7">
        <v>3.75239E-6</v>
      </c>
      <c r="M76" s="7">
        <v>3.9901000000000003E-5</v>
      </c>
      <c r="N76" s="6">
        <f t="shared" si="16"/>
        <v>9.6924666468635789E-2</v>
      </c>
      <c r="O76" s="6">
        <f t="shared" si="17"/>
        <v>7.3173102315072915</v>
      </c>
      <c r="Q76">
        <f t="shared" si="9"/>
        <v>2.7922366666666665E-6</v>
      </c>
      <c r="R76">
        <f t="shared" si="9"/>
        <v>4.1163233333333333E-5</v>
      </c>
      <c r="T76">
        <f t="shared" si="10"/>
        <v>0.10367905114008436</v>
      </c>
      <c r="U76">
        <f t="shared" si="10"/>
        <v>8.2491431644725335</v>
      </c>
      <c r="W76">
        <f t="shared" si="11"/>
        <v>1.6477011814920409E-2</v>
      </c>
      <c r="X76">
        <f t="shared" si="11"/>
        <v>0.70740757954695899</v>
      </c>
    </row>
    <row r="77" spans="1:24" x14ac:dyDescent="0.35">
      <c r="A77" s="3">
        <v>486.89699999999999</v>
      </c>
      <c r="B77" s="7">
        <v>2.7978900000000001E-6</v>
      </c>
      <c r="C77" s="7">
        <v>5.5214099999999997E-5</v>
      </c>
      <c r="D77">
        <f t="shared" si="12"/>
        <v>8.7552532019889426E-2</v>
      </c>
      <c r="E77">
        <f t="shared" si="13"/>
        <v>9.02632168330606</v>
      </c>
      <c r="G77" s="7">
        <v>1.8095199999999999E-6</v>
      </c>
      <c r="H77" s="7">
        <v>2.83647E-5</v>
      </c>
      <c r="I77" s="6">
        <f t="shared" si="14"/>
        <v>0.12561749392572022</v>
      </c>
      <c r="J77" s="6">
        <f t="shared" si="15"/>
        <v>8.404131445383678</v>
      </c>
      <c r="L77" s="7">
        <v>3.7360100000000002E-6</v>
      </c>
      <c r="M77" s="7">
        <v>3.9830799999999998E-5</v>
      </c>
      <c r="N77" s="6">
        <f t="shared" si="16"/>
        <v>9.6501569179506405E-2</v>
      </c>
      <c r="O77" s="6">
        <f t="shared" si="17"/>
        <v>7.3044364895396257</v>
      </c>
      <c r="Q77">
        <f t="shared" si="9"/>
        <v>2.7811400000000002E-6</v>
      </c>
      <c r="R77">
        <f t="shared" si="9"/>
        <v>4.1136533333333328E-5</v>
      </c>
      <c r="T77">
        <f t="shared" si="10"/>
        <v>0.10322386504170535</v>
      </c>
      <c r="U77">
        <f t="shared" si="10"/>
        <v>8.2449632060764539</v>
      </c>
      <c r="W77">
        <f t="shared" si="11"/>
        <v>1.625068772836585E-2</v>
      </c>
      <c r="X77">
        <f t="shared" si="11"/>
        <v>0.71190966254206667</v>
      </c>
    </row>
    <row r="78" spans="1:24" x14ac:dyDescent="0.35">
      <c r="A78" s="3">
        <v>493.065</v>
      </c>
      <c r="B78" s="7">
        <v>2.7912800000000001E-6</v>
      </c>
      <c r="C78" s="7">
        <v>5.51845E-5</v>
      </c>
      <c r="D78">
        <f t="shared" si="12"/>
        <v>8.7345689636289109E-2</v>
      </c>
      <c r="E78">
        <f t="shared" si="13"/>
        <v>9.021482717863794</v>
      </c>
      <c r="G78" s="7">
        <v>1.8119299999999999E-6</v>
      </c>
      <c r="H78" s="7">
        <v>2.8358399999999999E-5</v>
      </c>
      <c r="I78" s="6">
        <f t="shared" si="14"/>
        <v>0.12578479694550504</v>
      </c>
      <c r="J78" s="6">
        <f t="shared" si="15"/>
        <v>8.4022648284934629</v>
      </c>
      <c r="L78" s="7">
        <v>3.7183200000000002E-6</v>
      </c>
      <c r="M78" s="7">
        <v>3.9756799999999999E-5</v>
      </c>
      <c r="N78" s="6">
        <f t="shared" si="16"/>
        <v>9.6044634439292786E-2</v>
      </c>
      <c r="O78" s="6">
        <f t="shared" si="17"/>
        <v>7.2908658783486384</v>
      </c>
      <c r="Q78">
        <f t="shared" si="9"/>
        <v>2.7738433333333333E-6</v>
      </c>
      <c r="R78">
        <f t="shared" si="9"/>
        <v>4.1099899999999996E-5</v>
      </c>
      <c r="T78">
        <f t="shared" si="10"/>
        <v>0.10305837367369564</v>
      </c>
      <c r="U78">
        <f t="shared" si="10"/>
        <v>8.2382044749019645</v>
      </c>
      <c r="W78">
        <f t="shared" si="11"/>
        <v>1.6457736705847669E-2</v>
      </c>
      <c r="X78">
        <f t="shared" si="11"/>
        <v>0.71598208125566098</v>
      </c>
    </row>
    <row r="79" spans="1:24" x14ac:dyDescent="0.35">
      <c r="A79" s="3">
        <v>499.24</v>
      </c>
      <c r="B79" s="7">
        <v>2.7895999999999999E-6</v>
      </c>
      <c r="C79" s="7">
        <v>5.5071600000000003E-5</v>
      </c>
      <c r="D79">
        <f t="shared" si="12"/>
        <v>8.7293118500971628E-2</v>
      </c>
      <c r="E79">
        <f t="shared" si="13"/>
        <v>9.0030259881870389</v>
      </c>
      <c r="G79" s="7">
        <v>1.812E-6</v>
      </c>
      <c r="H79" s="7">
        <v>2.8399999999999999E-5</v>
      </c>
      <c r="I79" s="6">
        <f t="shared" si="14"/>
        <v>0.12578965636931622</v>
      </c>
      <c r="J79" s="6">
        <f t="shared" si="15"/>
        <v>8.4145904257367956</v>
      </c>
      <c r="L79" s="7">
        <v>3.6953999999999998E-6</v>
      </c>
      <c r="M79" s="7">
        <v>3.9704199999999998E-5</v>
      </c>
      <c r="N79" s="6">
        <f t="shared" si="16"/>
        <v>9.54526081958956E-2</v>
      </c>
      <c r="O79" s="6">
        <f t="shared" si="17"/>
        <v>7.2812197412047768</v>
      </c>
      <c r="Q79">
        <f t="shared" si="9"/>
        <v>2.7656666666666666E-6</v>
      </c>
      <c r="R79">
        <f t="shared" si="9"/>
        <v>4.10586E-5</v>
      </c>
      <c r="T79">
        <f t="shared" si="10"/>
        <v>0.10284512768872782</v>
      </c>
      <c r="U79">
        <f t="shared" si="10"/>
        <v>8.2329453850428695</v>
      </c>
      <c r="W79">
        <f t="shared" si="11"/>
        <v>1.6562666156170837E-2</v>
      </c>
      <c r="X79">
        <f t="shared" si="11"/>
        <v>0.71456298002966301</v>
      </c>
    </row>
    <row r="80" spans="1:24" x14ac:dyDescent="0.35">
      <c r="A80" s="3">
        <v>505.44499999999999</v>
      </c>
      <c r="B80" s="7">
        <v>2.78902E-6</v>
      </c>
      <c r="C80" s="7">
        <v>5.4958399999999999E-5</v>
      </c>
      <c r="D80">
        <f t="shared" si="12"/>
        <v>8.7274968942350123E-2</v>
      </c>
      <c r="E80">
        <f t="shared" si="13"/>
        <v>8.9845202149416128</v>
      </c>
      <c r="G80" s="7">
        <v>1.8115900000000001E-6</v>
      </c>
      <c r="H80" s="7">
        <v>2.84188E-5</v>
      </c>
      <c r="I80" s="6">
        <f t="shared" si="14"/>
        <v>0.12576119402985075</v>
      </c>
      <c r="J80" s="6">
        <f t="shared" si="15"/>
        <v>8.4201606475679167</v>
      </c>
      <c r="L80" s="7">
        <v>3.6716199999999998E-6</v>
      </c>
      <c r="M80" s="7">
        <v>3.9637500000000001E-5</v>
      </c>
      <c r="N80" s="6">
        <f t="shared" si="16"/>
        <v>9.483836805331336E-2</v>
      </c>
      <c r="O80" s="6">
        <f t="shared" si="17"/>
        <v>7.2689878524691176</v>
      </c>
      <c r="Q80">
        <f t="shared" si="9"/>
        <v>2.7574100000000003E-6</v>
      </c>
      <c r="R80">
        <f t="shared" si="9"/>
        <v>4.1004900000000004E-5</v>
      </c>
      <c r="T80">
        <f t="shared" si="10"/>
        <v>0.1026248436751714</v>
      </c>
      <c r="U80">
        <f t="shared" si="10"/>
        <v>8.2245562383262154</v>
      </c>
      <c r="W80">
        <f t="shared" si="11"/>
        <v>1.6648709305904848E-2</v>
      </c>
      <c r="X80">
        <f t="shared" si="11"/>
        <v>0.71389011075875042</v>
      </c>
    </row>
    <row r="81" spans="1:24" x14ac:dyDescent="0.35">
      <c r="A81" s="3">
        <v>518.74199999999996</v>
      </c>
      <c r="B81" s="7">
        <v>2.61159E-3</v>
      </c>
      <c r="C81" s="7">
        <v>6.0457499999999999E-4</v>
      </c>
      <c r="D81">
        <f t="shared" si="12"/>
        <v>81.722768621290683</v>
      </c>
      <c r="E81">
        <f t="shared" si="13"/>
        <v>98.835051765486739</v>
      </c>
      <c r="G81" s="7">
        <v>1.07701E-3</v>
      </c>
      <c r="H81" s="7">
        <v>3.5555E-4</v>
      </c>
      <c r="I81" s="6">
        <f t="shared" si="14"/>
        <v>74.766400555362722</v>
      </c>
      <c r="J81" s="6">
        <f t="shared" si="15"/>
        <v>105.34533893910978</v>
      </c>
      <c r="L81" s="7">
        <v>1.4084900000000001E-3</v>
      </c>
      <c r="M81" s="7">
        <v>3.09728E-4</v>
      </c>
      <c r="N81" s="6">
        <f t="shared" si="16"/>
        <v>36.381459143215075</v>
      </c>
      <c r="O81" s="6">
        <f t="shared" si="17"/>
        <v>56.799976526510363</v>
      </c>
      <c r="Q81">
        <f t="shared" si="9"/>
        <v>1.69903E-3</v>
      </c>
      <c r="R81">
        <f t="shared" si="9"/>
        <v>4.2328433333333333E-4</v>
      </c>
      <c r="T81">
        <f t="shared" si="10"/>
        <v>64.290209439956158</v>
      </c>
      <c r="U81">
        <f t="shared" si="10"/>
        <v>86.993455743702285</v>
      </c>
      <c r="W81">
        <f t="shared" si="11"/>
        <v>19.937761852183087</v>
      </c>
      <c r="X81">
        <f t="shared" si="11"/>
        <v>21.514810405857826</v>
      </c>
    </row>
    <row r="82" spans="1:24" x14ac:dyDescent="0.35">
      <c r="A82" s="3">
        <v>524.84299999999996</v>
      </c>
      <c r="B82" s="7">
        <v>2.6948900000000001E-3</v>
      </c>
      <c r="C82" s="7">
        <v>5.8776E-4</v>
      </c>
      <c r="D82">
        <f t="shared" si="12"/>
        <v>84.329420747448907</v>
      </c>
      <c r="E82">
        <f t="shared" si="13"/>
        <v>96.086159741442316</v>
      </c>
      <c r="G82" s="7">
        <v>1.1151100000000001E-3</v>
      </c>
      <c r="H82" s="7">
        <v>3.4399099999999998E-4</v>
      </c>
      <c r="I82" s="6">
        <f t="shared" si="14"/>
        <v>77.411315515446034</v>
      </c>
      <c r="J82" s="6">
        <f t="shared" si="15"/>
        <v>101.92054137815583</v>
      </c>
      <c r="L82" s="7">
        <v>1.4522300000000001E-3</v>
      </c>
      <c r="M82" s="7">
        <v>3.0691300000000002E-4</v>
      </c>
      <c r="N82" s="6">
        <f t="shared" si="16"/>
        <v>37.511268387813359</v>
      </c>
      <c r="O82" s="6">
        <f t="shared" si="17"/>
        <v>56.283743141339748</v>
      </c>
      <c r="Q82">
        <f t="shared" si="9"/>
        <v>1.7540766666666666E-3</v>
      </c>
      <c r="R82">
        <f t="shared" si="9"/>
        <v>4.1288799999999998E-4</v>
      </c>
      <c r="T82">
        <f t="shared" si="10"/>
        <v>66.417334883569424</v>
      </c>
      <c r="U82">
        <f t="shared" si="10"/>
        <v>84.76348142031263</v>
      </c>
      <c r="W82">
        <f t="shared" si="11"/>
        <v>20.633880798225576</v>
      </c>
      <c r="X82">
        <f t="shared" si="11"/>
        <v>20.27858676206338</v>
      </c>
    </row>
    <row r="83" spans="1:24" x14ac:dyDescent="0.35">
      <c r="A83" s="3">
        <v>531.19500000000005</v>
      </c>
      <c r="B83" s="7">
        <v>2.7458399999999998E-3</v>
      </c>
      <c r="C83" s="7">
        <v>5.7618000000000003E-4</v>
      </c>
      <c r="D83">
        <f t="shared" si="12"/>
        <v>85.923765595321171</v>
      </c>
      <c r="E83">
        <f t="shared" si="13"/>
        <v>94.193077990717697</v>
      </c>
      <c r="G83" s="7">
        <v>1.13137E-3</v>
      </c>
      <c r="H83" s="7">
        <v>3.3440400000000001E-4</v>
      </c>
      <c r="I83" s="6">
        <f t="shared" si="14"/>
        <v>78.540090246442219</v>
      </c>
      <c r="J83" s="6">
        <f t="shared" si="15"/>
        <v>99.080024532679133</v>
      </c>
      <c r="L83" s="7">
        <v>1.4818699999999999E-3</v>
      </c>
      <c r="M83" s="7">
        <v>3.0362800000000001E-4</v>
      </c>
      <c r="N83" s="6">
        <f t="shared" si="16"/>
        <v>38.27687300623797</v>
      </c>
      <c r="O83" s="6">
        <f t="shared" si="17"/>
        <v>55.681318036442597</v>
      </c>
      <c r="Q83">
        <f t="shared" si="9"/>
        <v>1.7863599999999999E-3</v>
      </c>
      <c r="R83">
        <f t="shared" si="9"/>
        <v>4.0473733333333339E-4</v>
      </c>
      <c r="T83">
        <f t="shared" si="10"/>
        <v>67.580242949333794</v>
      </c>
      <c r="U83">
        <f t="shared" si="10"/>
        <v>82.984806853279807</v>
      </c>
      <c r="W83">
        <f t="shared" si="11"/>
        <v>20.938724617812142</v>
      </c>
      <c r="X83">
        <f t="shared" si="11"/>
        <v>19.409292238587931</v>
      </c>
    </row>
    <row r="84" spans="1:24" x14ac:dyDescent="0.35">
      <c r="A84" s="3">
        <v>537.27599999999995</v>
      </c>
      <c r="B84" s="7">
        <v>2.7927099999999999E-3</v>
      </c>
      <c r="C84" s="7">
        <v>5.73272E-4</v>
      </c>
      <c r="D84">
        <f t="shared" si="12"/>
        <v>87.390437685993859</v>
      </c>
      <c r="E84">
        <f t="shared" si="13"/>
        <v>93.717682331727431</v>
      </c>
      <c r="G84" s="7">
        <v>1.1518800000000001E-3</v>
      </c>
      <c r="H84" s="7">
        <v>3.3073299999999999E-4</v>
      </c>
      <c r="I84" s="6">
        <f t="shared" si="14"/>
        <v>79.96390142311698</v>
      </c>
      <c r="J84" s="6">
        <f t="shared" si="15"/>
        <v>97.992349833634066</v>
      </c>
      <c r="L84" s="7">
        <v>1.50961E-3</v>
      </c>
      <c r="M84" s="7">
        <v>3.0521200000000002E-4</v>
      </c>
      <c r="N84" s="6">
        <f t="shared" si="16"/>
        <v>38.99340040553281</v>
      </c>
      <c r="O84" s="6">
        <f t="shared" si="17"/>
        <v>55.971802470584784</v>
      </c>
      <c r="Q84">
        <f t="shared" si="9"/>
        <v>1.8180666666666664E-3</v>
      </c>
      <c r="R84">
        <f t="shared" si="9"/>
        <v>4.0307233333333335E-4</v>
      </c>
      <c r="T84">
        <f t="shared" si="10"/>
        <v>68.782579838214545</v>
      </c>
      <c r="U84">
        <f t="shared" si="10"/>
        <v>82.560611545315425</v>
      </c>
      <c r="W84">
        <f t="shared" si="11"/>
        <v>21.281208748100411</v>
      </c>
      <c r="X84">
        <f t="shared" si="11"/>
        <v>18.881945019379796</v>
      </c>
    </row>
    <row r="85" spans="1:24" x14ac:dyDescent="0.35">
      <c r="A85" s="3">
        <v>543.59</v>
      </c>
      <c r="B85" s="7">
        <v>2.8286499999999998E-3</v>
      </c>
      <c r="C85" s="7">
        <v>5.7213900000000005E-4</v>
      </c>
      <c r="D85">
        <f t="shared" si="12"/>
        <v>88.515084473678442</v>
      </c>
      <c r="E85">
        <f t="shared" si="13"/>
        <v>93.532461120710934</v>
      </c>
      <c r="G85" s="7">
        <v>1.1632999999999999E-3</v>
      </c>
      <c r="H85" s="7">
        <v>3.3183699999999997E-4</v>
      </c>
      <c r="I85" s="6">
        <f t="shared" si="14"/>
        <v>80.75668170774037</v>
      </c>
      <c r="J85" s="6">
        <f t="shared" si="15"/>
        <v>98.319452222014817</v>
      </c>
      <c r="L85" s="7">
        <v>1.52925E-3</v>
      </c>
      <c r="M85" s="7">
        <v>3.06464E-4</v>
      </c>
      <c r="N85" s="6">
        <f t="shared" si="16"/>
        <v>39.500703870642781</v>
      </c>
      <c r="O85" s="6">
        <f t="shared" si="17"/>
        <v>56.201402541005251</v>
      </c>
      <c r="Q85">
        <f t="shared" si="9"/>
        <v>1.8403999999999998E-3</v>
      </c>
      <c r="R85">
        <f t="shared" si="9"/>
        <v>4.0348000000000006E-4</v>
      </c>
      <c r="T85">
        <f t="shared" si="10"/>
        <v>69.590823350687188</v>
      </c>
      <c r="U85">
        <f t="shared" si="10"/>
        <v>82.684438627910339</v>
      </c>
      <c r="W85">
        <f t="shared" si="11"/>
        <v>21.511387234240093</v>
      </c>
      <c r="X85">
        <f t="shared" si="11"/>
        <v>18.828032668271138</v>
      </c>
    </row>
    <row r="86" spans="1:24" x14ac:dyDescent="0.35">
      <c r="A86" s="3">
        <v>549.702</v>
      </c>
      <c r="B86" s="7">
        <v>2.8631799999999999E-3</v>
      </c>
      <c r="C86" s="7">
        <v>5.7112600000000003E-4</v>
      </c>
      <c r="D86">
        <f t="shared" si="12"/>
        <v>89.595609058507293</v>
      </c>
      <c r="E86">
        <f t="shared" si="13"/>
        <v>93.366857337163097</v>
      </c>
      <c r="G86" s="7">
        <v>1.1789700000000001E-3</v>
      </c>
      <c r="H86" s="7">
        <v>3.3201299999999998E-4</v>
      </c>
      <c r="I86" s="6">
        <f t="shared" si="14"/>
        <v>81.844498438042351</v>
      </c>
      <c r="J86" s="6">
        <f t="shared" si="15"/>
        <v>98.371598979582757</v>
      </c>
      <c r="L86" s="7">
        <v>1.5548199999999999E-3</v>
      </c>
      <c r="M86" s="7">
        <v>3.1079700000000003E-4</v>
      </c>
      <c r="N86" s="6">
        <f t="shared" si="16"/>
        <v>40.161179919668342</v>
      </c>
      <c r="O86" s="6">
        <f t="shared" si="17"/>
        <v>56.996016842228812</v>
      </c>
      <c r="Q86">
        <f t="shared" si="9"/>
        <v>1.8656566666666666E-3</v>
      </c>
      <c r="R86">
        <f t="shared" si="9"/>
        <v>4.0464533333333335E-4</v>
      </c>
      <c r="T86">
        <f t="shared" si="10"/>
        <v>70.533762472072667</v>
      </c>
      <c r="U86">
        <f t="shared" si="10"/>
        <v>82.911491052991551</v>
      </c>
      <c r="W86">
        <f t="shared" si="11"/>
        <v>21.708527619956644</v>
      </c>
      <c r="X86">
        <f t="shared" si="11"/>
        <v>18.438559459339078</v>
      </c>
    </row>
    <row r="87" spans="1:24" x14ac:dyDescent="0.35">
      <c r="A87" s="3">
        <v>555.89599999999996</v>
      </c>
      <c r="B87" s="7">
        <v>2.8885299999999998E-3</v>
      </c>
      <c r="C87" s="7">
        <v>5.7223099999999998E-4</v>
      </c>
      <c r="D87">
        <f t="shared" si="12"/>
        <v>90.388869939637075</v>
      </c>
      <c r="E87">
        <f t="shared" si="13"/>
        <v>93.547501148436893</v>
      </c>
      <c r="G87" s="7">
        <v>1.1869999999999999E-3</v>
      </c>
      <c r="H87" s="7">
        <v>3.3048300000000001E-4</v>
      </c>
      <c r="I87" s="6">
        <f t="shared" si="14"/>
        <v>82.401943769524465</v>
      </c>
      <c r="J87" s="6">
        <f t="shared" si="15"/>
        <v>97.918277734815959</v>
      </c>
      <c r="L87" s="7">
        <v>1.57183E-3</v>
      </c>
      <c r="M87" s="7">
        <v>3.0779199999999998E-4</v>
      </c>
      <c r="N87" s="6">
        <f t="shared" si="16"/>
        <v>40.600550181456562</v>
      </c>
      <c r="O87" s="6">
        <f t="shared" si="17"/>
        <v>56.444939995892128</v>
      </c>
      <c r="Q87">
        <f t="shared" si="9"/>
        <v>1.8824533333333332E-3</v>
      </c>
      <c r="R87">
        <f t="shared" si="9"/>
        <v>4.0350200000000003E-4</v>
      </c>
      <c r="T87">
        <f t="shared" si="10"/>
        <v>71.130454630206032</v>
      </c>
      <c r="U87">
        <f t="shared" si="10"/>
        <v>82.636906293048327</v>
      </c>
      <c r="W87">
        <f t="shared" si="11"/>
        <v>21.832758974364481</v>
      </c>
      <c r="X87">
        <f t="shared" si="11"/>
        <v>18.606275749068008</v>
      </c>
    </row>
    <row r="88" spans="1:24" x14ac:dyDescent="0.35">
      <c r="A88" s="3">
        <v>562.15099999999995</v>
      </c>
      <c r="B88" s="7">
        <v>2.9078799999999998E-3</v>
      </c>
      <c r="C88" s="7">
        <v>5.6435399999999998E-4</v>
      </c>
      <c r="D88">
        <f t="shared" si="12"/>
        <v>90.994376766061578</v>
      </c>
      <c r="E88">
        <f t="shared" si="13"/>
        <v>92.259780513682344</v>
      </c>
      <c r="G88" s="7">
        <v>1.1948900000000001E-3</v>
      </c>
      <c r="H88" s="7">
        <v>3.3035300000000003E-4</v>
      </c>
      <c r="I88" s="6">
        <f t="shared" si="14"/>
        <v>82.949670253384255</v>
      </c>
      <c r="J88" s="6">
        <f t="shared" si="15"/>
        <v>97.879760243430553</v>
      </c>
      <c r="L88" s="7">
        <v>1.58979E-3</v>
      </c>
      <c r="M88" s="7">
        <v>3.05524E-4</v>
      </c>
      <c r="N88" s="6">
        <f t="shared" si="16"/>
        <v>41.064459052809674</v>
      </c>
      <c r="O88" s="6">
        <f t="shared" si="17"/>
        <v>56.02901910155218</v>
      </c>
      <c r="Q88">
        <f t="shared" si="9"/>
        <v>1.89752E-3</v>
      </c>
      <c r="R88">
        <f t="shared" si="9"/>
        <v>4.0007699999999998E-4</v>
      </c>
      <c r="T88">
        <f t="shared" si="10"/>
        <v>71.669502024085162</v>
      </c>
      <c r="U88">
        <f t="shared" si="10"/>
        <v>82.056186619555035</v>
      </c>
      <c r="W88">
        <f t="shared" si="11"/>
        <v>21.888822370850896</v>
      </c>
      <c r="X88">
        <f t="shared" si="11"/>
        <v>18.546448533314557</v>
      </c>
    </row>
    <row r="89" spans="1:24" x14ac:dyDescent="0.35">
      <c r="A89" s="3">
        <v>568.41300000000001</v>
      </c>
      <c r="B89" s="7">
        <v>2.9275600000000001E-3</v>
      </c>
      <c r="C89" s="7">
        <v>5.6592600000000002E-4</v>
      </c>
      <c r="D89">
        <f t="shared" si="12"/>
        <v>91.610210065494883</v>
      </c>
      <c r="E89">
        <f t="shared" si="13"/>
        <v>92.516768813521651</v>
      </c>
      <c r="G89" s="7">
        <v>1.2065699999999999E-3</v>
      </c>
      <c r="H89" s="7">
        <v>3.3908799999999998E-4</v>
      </c>
      <c r="I89" s="6">
        <f t="shared" si="14"/>
        <v>83.760499826449148</v>
      </c>
      <c r="J89" s="6">
        <f t="shared" si="15"/>
        <v>100.46783937613515</v>
      </c>
      <c r="L89" s="7">
        <v>1.6083200000000001E-3</v>
      </c>
      <c r="M89" s="7">
        <v>3.0997899999999999E-4</v>
      </c>
      <c r="N89" s="6">
        <f t="shared" si="16"/>
        <v>41.543091089901722</v>
      </c>
      <c r="O89" s="6">
        <f t="shared" si="17"/>
        <v>56.846006572577089</v>
      </c>
      <c r="Q89">
        <f t="shared" si="9"/>
        <v>1.9141499999999999E-3</v>
      </c>
      <c r="R89">
        <f t="shared" si="9"/>
        <v>4.0499766666666663E-4</v>
      </c>
      <c r="T89">
        <f t="shared" si="10"/>
        <v>72.304600327281932</v>
      </c>
      <c r="U89">
        <f t="shared" si="10"/>
        <v>83.276871587411293</v>
      </c>
      <c r="W89">
        <f t="shared" si="11"/>
        <v>21.986470470576723</v>
      </c>
      <c r="X89">
        <f t="shared" si="11"/>
        <v>18.969235617128501</v>
      </c>
    </row>
    <row r="90" spans="1:24" x14ac:dyDescent="0.35">
      <c r="A90" s="3">
        <v>574.63900000000001</v>
      </c>
      <c r="B90" s="7">
        <v>2.94305E-3</v>
      </c>
      <c r="C90" s="7">
        <v>5.6024299999999998E-4</v>
      </c>
      <c r="D90">
        <f t="shared" si="12"/>
        <v>92.094928450058987</v>
      </c>
      <c r="E90">
        <f t="shared" si="13"/>
        <v>91.58772014431888</v>
      </c>
      <c r="G90" s="7">
        <v>1.2161299999999999E-3</v>
      </c>
      <c r="H90" s="7">
        <v>3.4062799999999999E-4</v>
      </c>
      <c r="I90" s="6">
        <f t="shared" si="14"/>
        <v>84.424158278375558</v>
      </c>
      <c r="J90" s="6">
        <f t="shared" si="15"/>
        <v>100.92412350485469</v>
      </c>
      <c r="L90" s="7">
        <v>1.63145E-3</v>
      </c>
      <c r="M90" s="7">
        <v>3.1797800000000001E-4</v>
      </c>
      <c r="N90" s="6">
        <f t="shared" si="16"/>
        <v>42.140541657518504</v>
      </c>
      <c r="O90" s="6">
        <f t="shared" si="17"/>
        <v>58.312916287667619</v>
      </c>
      <c r="Q90">
        <f t="shared" si="9"/>
        <v>1.9302099999999999E-3</v>
      </c>
      <c r="R90">
        <f t="shared" si="9"/>
        <v>4.0628299999999996E-4</v>
      </c>
      <c r="T90">
        <f t="shared" si="10"/>
        <v>72.886542795317681</v>
      </c>
      <c r="U90">
        <f t="shared" si="10"/>
        <v>83.608253312280397</v>
      </c>
      <c r="W90">
        <f t="shared" si="11"/>
        <v>21.965087726220705</v>
      </c>
      <c r="X90">
        <f t="shared" si="11"/>
        <v>18.288113868835005</v>
      </c>
    </row>
    <row r="91" spans="1:24" x14ac:dyDescent="0.35">
      <c r="A91" s="3">
        <v>580.71900000000005</v>
      </c>
      <c r="B91" s="7">
        <v>2.9589199999999999E-3</v>
      </c>
      <c r="C91" s="7">
        <v>5.5528399999999996E-4</v>
      </c>
      <c r="D91">
        <f t="shared" si="12"/>
        <v>92.591537924754434</v>
      </c>
      <c r="E91">
        <f t="shared" si="13"/>
        <v>90.777029954176953</v>
      </c>
      <c r="G91" s="7">
        <v>1.2142500000000001E-3</v>
      </c>
      <c r="H91" s="7">
        <v>3.3536999999999998E-4</v>
      </c>
      <c r="I91" s="6">
        <f t="shared" si="14"/>
        <v>84.293648038875403</v>
      </c>
      <c r="J91" s="6">
        <f t="shared" si="15"/>
        <v>99.366239122512283</v>
      </c>
      <c r="L91" s="7">
        <v>1.6440300000000001E-3</v>
      </c>
      <c r="M91" s="7">
        <v>3.1968300000000002E-4</v>
      </c>
      <c r="N91" s="6">
        <f t="shared" si="16"/>
        <v>42.465484508388336</v>
      </c>
      <c r="O91" s="6">
        <f t="shared" si="17"/>
        <v>58.625590504973445</v>
      </c>
      <c r="Q91">
        <f t="shared" si="9"/>
        <v>1.9390666666666669E-3</v>
      </c>
      <c r="R91">
        <f t="shared" si="9"/>
        <v>4.0344566666666664E-4</v>
      </c>
      <c r="T91">
        <f t="shared" si="10"/>
        <v>73.116890157339398</v>
      </c>
      <c r="U91">
        <f t="shared" si="10"/>
        <v>82.922953193887565</v>
      </c>
      <c r="W91">
        <f t="shared" si="11"/>
        <v>21.936958849271608</v>
      </c>
      <c r="X91">
        <f t="shared" si="11"/>
        <v>17.535012665366192</v>
      </c>
    </row>
    <row r="92" spans="1:24" x14ac:dyDescent="0.35">
      <c r="A92" s="3">
        <v>586.93899999999996</v>
      </c>
      <c r="B92" s="7">
        <v>2.9760400000000001E-3</v>
      </c>
      <c r="C92" s="7">
        <v>5.5986399999999998E-4</v>
      </c>
      <c r="D92">
        <f t="shared" si="12"/>
        <v>93.127262827513491</v>
      </c>
      <c r="E92">
        <f t="shared" si="13"/>
        <v>91.5257617692304</v>
      </c>
      <c r="G92" s="7">
        <v>1.2163600000000001E-3</v>
      </c>
      <c r="H92" s="7">
        <v>3.3040400000000002E-4</v>
      </c>
      <c r="I92" s="6">
        <f t="shared" si="14"/>
        <v>84.440124956612294</v>
      </c>
      <c r="J92" s="6">
        <f t="shared" si="15"/>
        <v>97.894870951589439</v>
      </c>
      <c r="L92" s="7">
        <v>1.65555E-3</v>
      </c>
      <c r="M92" s="7">
        <v>3.1422999999999998E-4</v>
      </c>
      <c r="N92" s="6">
        <f t="shared" si="16"/>
        <v>42.763047437006804</v>
      </c>
      <c r="O92" s="6">
        <f t="shared" si="17"/>
        <v>57.625583169507934</v>
      </c>
      <c r="Q92">
        <f t="shared" si="9"/>
        <v>1.9493166666666669E-3</v>
      </c>
      <c r="R92">
        <f t="shared" si="9"/>
        <v>4.0149933333333336E-4</v>
      </c>
      <c r="T92">
        <f t="shared" si="10"/>
        <v>73.443478407044196</v>
      </c>
      <c r="U92">
        <f t="shared" si="10"/>
        <v>82.348738630109253</v>
      </c>
      <c r="W92">
        <f t="shared" si="11"/>
        <v>21.982314474404692</v>
      </c>
      <c r="X92">
        <f t="shared" si="11"/>
        <v>17.674222281635647</v>
      </c>
    </row>
    <row r="93" spans="1:24" x14ac:dyDescent="0.35">
      <c r="A93" s="3">
        <v>593.14800000000002</v>
      </c>
      <c r="B93" s="7">
        <v>2.99438E-3</v>
      </c>
      <c r="C93" s="7">
        <v>5.6031600000000005E-4</v>
      </c>
      <c r="D93">
        <f t="shared" si="12"/>
        <v>93.701164388062608</v>
      </c>
      <c r="E93">
        <f t="shared" si="13"/>
        <v>91.59965407936231</v>
      </c>
      <c r="G93" s="7">
        <v>1.2228199999999999E-3</v>
      </c>
      <c r="H93" s="7">
        <v>3.3416300000000001E-4</v>
      </c>
      <c r="I93" s="6">
        <f t="shared" si="14"/>
        <v>84.888580354043725</v>
      </c>
      <c r="J93" s="6">
        <f t="shared" si="15"/>
        <v>99.008619029418483</v>
      </c>
      <c r="L93" s="7">
        <v>1.67654E-3</v>
      </c>
      <c r="M93" s="7">
        <v>3.2487599999999998E-4</v>
      </c>
      <c r="N93" s="6">
        <f t="shared" si="16"/>
        <v>43.305221557814264</v>
      </c>
      <c r="O93" s="6">
        <f t="shared" si="17"/>
        <v>59.577917314632778</v>
      </c>
      <c r="Q93">
        <f t="shared" si="9"/>
        <v>1.9645800000000001E-3</v>
      </c>
      <c r="R93">
        <f t="shared" si="9"/>
        <v>4.064516666666667E-4</v>
      </c>
      <c r="T93">
        <f t="shared" si="10"/>
        <v>73.964988766640204</v>
      </c>
      <c r="U93">
        <f t="shared" si="10"/>
        <v>83.395396807804516</v>
      </c>
      <c r="W93">
        <f t="shared" si="11"/>
        <v>21.976220532107089</v>
      </c>
      <c r="X93">
        <f t="shared" si="11"/>
        <v>17.110960180802884</v>
      </c>
    </row>
    <row r="94" spans="1:24" x14ac:dyDescent="0.35">
      <c r="A94" s="3">
        <v>599.39499999999998</v>
      </c>
      <c r="B94" s="7">
        <v>3.0050300000000001E-3</v>
      </c>
      <c r="C94" s="7">
        <v>5.5886499999999997E-4</v>
      </c>
      <c r="D94">
        <f t="shared" si="12"/>
        <v>94.034427835164465</v>
      </c>
      <c r="E94">
        <f t="shared" si="13"/>
        <v>91.362446685553891</v>
      </c>
      <c r="G94" s="7">
        <v>1.2360800000000001E-3</v>
      </c>
      <c r="H94" s="7">
        <v>3.3797900000000002E-4</v>
      </c>
      <c r="I94" s="6">
        <f t="shared" si="14"/>
        <v>85.809094064560924</v>
      </c>
      <c r="J94" s="6">
        <f t="shared" si="15"/>
        <v>100.13925554577806</v>
      </c>
      <c r="L94" s="7">
        <v>1.69272E-3</v>
      </c>
      <c r="M94" s="7">
        <v>3.2762500000000001E-4</v>
      </c>
      <c r="N94" s="6">
        <f t="shared" si="16"/>
        <v>43.723152823877356</v>
      </c>
      <c r="O94" s="6">
        <f t="shared" si="17"/>
        <v>60.082047181714145</v>
      </c>
      <c r="Q94">
        <f t="shared" si="9"/>
        <v>1.9779433333333334E-3</v>
      </c>
      <c r="R94">
        <f t="shared" si="9"/>
        <v>4.0815633333333333E-4</v>
      </c>
      <c r="T94">
        <f t="shared" si="10"/>
        <v>74.522224907867567</v>
      </c>
      <c r="U94">
        <f t="shared" si="10"/>
        <v>83.861249804348688</v>
      </c>
      <c r="W94">
        <f t="shared" si="11"/>
        <v>22.035594838587539</v>
      </c>
      <c r="X94">
        <f t="shared" si="11"/>
        <v>17.191973931042394</v>
      </c>
    </row>
    <row r="95" spans="1:24" x14ac:dyDescent="0.35">
      <c r="A95" s="3">
        <v>605.68200000000002</v>
      </c>
      <c r="B95" s="7">
        <v>3.0272300000000001E-3</v>
      </c>
      <c r="C95" s="7">
        <v>5.6711499999999998E-4</v>
      </c>
      <c r="D95">
        <f t="shared" si="12"/>
        <v>94.729117837573966</v>
      </c>
      <c r="E95">
        <f t="shared" si="13"/>
        <v>92.711144824023506</v>
      </c>
      <c r="G95" s="7">
        <v>1.24197E-3</v>
      </c>
      <c r="H95" s="7">
        <v>3.3931599999999999E-4</v>
      </c>
      <c r="I95" s="6">
        <f t="shared" si="14"/>
        <v>86.217979868101352</v>
      </c>
      <c r="J95" s="6">
        <f t="shared" si="15"/>
        <v>100.53539313025726</v>
      </c>
      <c r="L95" s="7">
        <v>1.7064999999999999E-3</v>
      </c>
      <c r="M95" s="7">
        <v>3.2461399999999998E-4</v>
      </c>
      <c r="N95" s="6">
        <f t="shared" si="16"/>
        <v>44.079091813144942</v>
      </c>
      <c r="O95" s="6">
        <f t="shared" si="17"/>
        <v>59.529870015551175</v>
      </c>
      <c r="Q95">
        <f t="shared" si="9"/>
        <v>1.9919E-3</v>
      </c>
      <c r="R95">
        <f t="shared" si="9"/>
        <v>4.1034833333333337E-4</v>
      </c>
      <c r="T95">
        <f t="shared" si="10"/>
        <v>75.008729839606758</v>
      </c>
      <c r="U95">
        <f t="shared" si="10"/>
        <v>84.258802656610655</v>
      </c>
      <c r="W95">
        <f t="shared" si="11"/>
        <v>22.144852655787577</v>
      </c>
      <c r="X95">
        <f t="shared" si="11"/>
        <v>17.775353677942977</v>
      </c>
    </row>
    <row r="96" spans="1:24" x14ac:dyDescent="0.35">
      <c r="A96" s="3">
        <v>611.80899999999997</v>
      </c>
      <c r="B96" s="7">
        <v>3.02995E-3</v>
      </c>
      <c r="C96" s="7">
        <v>5.5412199999999999E-4</v>
      </c>
      <c r="D96">
        <f t="shared" si="12"/>
        <v>94.814233009040365</v>
      </c>
      <c r="E96">
        <f t="shared" si="13"/>
        <v>90.587067864855541</v>
      </c>
      <c r="G96" s="7">
        <v>1.24295E-3</v>
      </c>
      <c r="H96" s="7">
        <v>3.3693200000000002E-4</v>
      </c>
      <c r="I96" s="6">
        <f t="shared" si="14"/>
        <v>86.286011801457832</v>
      </c>
      <c r="J96" s="6">
        <f t="shared" si="15"/>
        <v>99.829041595927819</v>
      </c>
      <c r="L96" s="7">
        <v>1.7250799999999999E-3</v>
      </c>
      <c r="M96" s="7">
        <v>3.2294399999999998E-4</v>
      </c>
      <c r="N96" s="6">
        <f t="shared" si="16"/>
        <v>44.55901535600357</v>
      </c>
      <c r="O96" s="6">
        <f t="shared" si="17"/>
        <v>59.223614330565411</v>
      </c>
      <c r="Q96">
        <f t="shared" ref="Q96:R109" si="18">AVERAGE(B96,G96,L96)</f>
        <v>1.9993266666666668E-3</v>
      </c>
      <c r="R96">
        <f t="shared" si="18"/>
        <v>4.0466599999999998E-4</v>
      </c>
      <c r="T96">
        <f t="shared" ref="T96:U109" si="19">AVERAGE(D96,I96,N96)</f>
        <v>75.219753388833922</v>
      </c>
      <c r="U96">
        <f t="shared" si="19"/>
        <v>83.213241263782933</v>
      </c>
      <c r="W96">
        <f t="shared" ref="W96:X109" si="20">_xlfn.STDEV.P(D96,I96,N96)</f>
        <v>21.9581918165674</v>
      </c>
      <c r="X96">
        <f t="shared" si="20"/>
        <v>17.377766828290934</v>
      </c>
    </row>
    <row r="97" spans="1:24" x14ac:dyDescent="0.35">
      <c r="A97" s="3">
        <v>618.17399999999998</v>
      </c>
      <c r="B97" s="7">
        <v>3.05902E-3</v>
      </c>
      <c r="C97" s="7">
        <v>5.6841300000000003E-4</v>
      </c>
      <c r="D97">
        <f t="shared" si="12"/>
        <v>95.723901404087414</v>
      </c>
      <c r="E97">
        <f t="shared" si="13"/>
        <v>92.923339997809393</v>
      </c>
      <c r="G97" s="7">
        <v>1.24095E-3</v>
      </c>
      <c r="H97" s="7">
        <v>3.30871E-4</v>
      </c>
      <c r="I97" s="6">
        <f t="shared" si="14"/>
        <v>86.147171121138499</v>
      </c>
      <c r="J97" s="6">
        <f t="shared" si="15"/>
        <v>98.033237632181653</v>
      </c>
      <c r="L97" s="7">
        <v>1.7447299999999999E-3</v>
      </c>
      <c r="M97" s="7">
        <v>3.3275699999999999E-4</v>
      </c>
      <c r="N97" s="6">
        <f t="shared" si="16"/>
        <v>45.06657712226685</v>
      </c>
      <c r="O97" s="6">
        <f t="shared" si="17"/>
        <v>61.023187406472815</v>
      </c>
      <c r="Q97">
        <f t="shared" si="18"/>
        <v>2.0149E-3</v>
      </c>
      <c r="R97">
        <f t="shared" si="18"/>
        <v>4.1068033333333328E-4</v>
      </c>
      <c r="T97">
        <f t="shared" si="19"/>
        <v>75.645883215830921</v>
      </c>
      <c r="U97">
        <f t="shared" si="19"/>
        <v>83.99325501215462</v>
      </c>
      <c r="W97">
        <f t="shared" si="20"/>
        <v>21.973452339903261</v>
      </c>
      <c r="X97">
        <f t="shared" si="20"/>
        <v>16.375708998709751</v>
      </c>
    </row>
    <row r="98" spans="1:24" x14ac:dyDescent="0.35">
      <c r="A98" s="3">
        <v>624.24699999999996</v>
      </c>
      <c r="B98" s="7">
        <v>3.0571999999999999E-3</v>
      </c>
      <c r="C98" s="7">
        <v>5.5575299999999998E-4</v>
      </c>
      <c r="D98">
        <f t="shared" si="12"/>
        <v>95.666949340826818</v>
      </c>
      <c r="E98">
        <f t="shared" si="13"/>
        <v>90.853701399866921</v>
      </c>
      <c r="G98" s="7">
        <v>1.25267E-3</v>
      </c>
      <c r="H98" s="7">
        <v>3.3772899999999999E-4</v>
      </c>
      <c r="I98" s="6">
        <f t="shared" si="14"/>
        <v>86.960777507809794</v>
      </c>
      <c r="J98" s="6">
        <f t="shared" si="15"/>
        <v>100.06518344695994</v>
      </c>
      <c r="L98" s="7">
        <v>1.7611E-3</v>
      </c>
      <c r="M98" s="7">
        <v>3.3384099999999998E-4</v>
      </c>
      <c r="N98" s="6">
        <f t="shared" si="16"/>
        <v>45.489416110242935</v>
      </c>
      <c r="O98" s="6">
        <f t="shared" si="17"/>
        <v>61.221978521756981</v>
      </c>
      <c r="Q98">
        <f t="shared" si="18"/>
        <v>2.0236566666666667E-3</v>
      </c>
      <c r="R98">
        <f t="shared" si="18"/>
        <v>4.0910766666666661E-4</v>
      </c>
      <c r="T98">
        <f t="shared" si="19"/>
        <v>76.039047652959837</v>
      </c>
      <c r="U98">
        <f t="shared" si="19"/>
        <v>84.046954456194612</v>
      </c>
      <c r="W98">
        <f t="shared" si="20"/>
        <v>21.892302262718289</v>
      </c>
      <c r="X98">
        <f t="shared" si="20"/>
        <v>16.572014465793949</v>
      </c>
    </row>
    <row r="99" spans="1:24" x14ac:dyDescent="0.35">
      <c r="A99" s="3">
        <v>630.44299999999998</v>
      </c>
      <c r="B99" s="7">
        <v>3.0831999999999999E-3</v>
      </c>
      <c r="C99" s="7">
        <v>5.6855000000000002E-4</v>
      </c>
      <c r="D99">
        <f t="shared" si="12"/>
        <v>96.480550244549661</v>
      </c>
      <c r="E99">
        <f t="shared" si="13"/>
        <v>92.945736560836096</v>
      </c>
      <c r="G99" s="7">
        <v>1.2551299999999999E-3</v>
      </c>
      <c r="H99" s="7">
        <v>3.3844399999999997E-4</v>
      </c>
      <c r="I99" s="6">
        <f t="shared" si="14"/>
        <v>87.131551544602573</v>
      </c>
      <c r="J99" s="6">
        <f t="shared" si="15"/>
        <v>100.27702964957972</v>
      </c>
      <c r="L99" s="7">
        <v>1.78324E-3</v>
      </c>
      <c r="M99" s="7">
        <v>3.41682E-4</v>
      </c>
      <c r="N99" s="6">
        <f t="shared" si="16"/>
        <v>46.061294863681567</v>
      </c>
      <c r="O99" s="6">
        <f t="shared" si="17"/>
        <v>62.659913148088378</v>
      </c>
      <c r="Q99">
        <f t="shared" si="18"/>
        <v>2.0405233333333334E-3</v>
      </c>
      <c r="R99">
        <f t="shared" si="18"/>
        <v>4.1622533333333331E-4</v>
      </c>
      <c r="T99">
        <f t="shared" si="19"/>
        <v>76.557798884277929</v>
      </c>
      <c r="U99">
        <f t="shared" si="19"/>
        <v>85.294226452834735</v>
      </c>
      <c r="W99">
        <f t="shared" si="20"/>
        <v>21.899444624336819</v>
      </c>
      <c r="X99">
        <f t="shared" si="20"/>
        <v>16.282323107618414</v>
      </c>
    </row>
    <row r="100" spans="1:24" x14ac:dyDescent="0.35">
      <c r="A100" s="3">
        <v>636.67100000000005</v>
      </c>
      <c r="B100" s="7">
        <v>3.0808400000000001E-3</v>
      </c>
      <c r="C100" s="7">
        <v>5.5661899999999995E-4</v>
      </c>
      <c r="D100">
        <f t="shared" si="12"/>
        <v>96.406700316365587</v>
      </c>
      <c r="E100">
        <f t="shared" si="13"/>
        <v>90.995273834765683</v>
      </c>
      <c r="G100" s="7">
        <v>1.2511600000000001E-3</v>
      </c>
      <c r="H100" s="7">
        <v>3.2860399999999997E-4</v>
      </c>
      <c r="I100" s="6">
        <f t="shared" si="14"/>
        <v>86.855952794168701</v>
      </c>
      <c r="J100" s="6">
        <f t="shared" si="15"/>
        <v>97.361551840099068</v>
      </c>
      <c r="L100" s="7">
        <v>1.79594E-3</v>
      </c>
      <c r="M100" s="7">
        <v>3.4240900000000001E-4</v>
      </c>
      <c r="N100" s="6">
        <f t="shared" si="16"/>
        <v>46.389337328391171</v>
      </c>
      <c r="O100" s="6">
        <f t="shared" si="17"/>
        <v>62.793235233707932</v>
      </c>
      <c r="Q100">
        <f t="shared" si="18"/>
        <v>2.0426466666666667E-3</v>
      </c>
      <c r="R100">
        <f t="shared" si="18"/>
        <v>4.0921066666666661E-4</v>
      </c>
      <c r="T100">
        <f t="shared" si="19"/>
        <v>76.550663479641827</v>
      </c>
      <c r="U100">
        <f t="shared" si="19"/>
        <v>83.716686969524233</v>
      </c>
      <c r="W100">
        <f t="shared" si="20"/>
        <v>21.680765530146338</v>
      </c>
      <c r="X100">
        <f t="shared" si="20"/>
        <v>15.021662098806365</v>
      </c>
    </row>
    <row r="101" spans="1:24" x14ac:dyDescent="0.35">
      <c r="A101" s="3">
        <v>642.96100000000001</v>
      </c>
      <c r="B101" s="7">
        <v>3.1035099999999999E-3</v>
      </c>
      <c r="C101" s="7">
        <v>5.6789099999999995E-4</v>
      </c>
      <c r="D101">
        <f t="shared" si="12"/>
        <v>97.116097719727009</v>
      </c>
      <c r="E101">
        <f t="shared" si="13"/>
        <v>92.838004188320753</v>
      </c>
      <c r="G101" s="7">
        <v>1.2622499999999999E-3</v>
      </c>
      <c r="H101" s="7">
        <v>3.3375599999999999E-4</v>
      </c>
      <c r="I101" s="6">
        <f t="shared" si="14"/>
        <v>87.625824366539391</v>
      </c>
      <c r="J101" s="6">
        <f t="shared" si="15"/>
        <v>98.888029652542599</v>
      </c>
      <c r="L101" s="7">
        <v>1.81026E-3</v>
      </c>
      <c r="M101" s="7">
        <v>3.3426199999999999E-4</v>
      </c>
      <c r="N101" s="6">
        <f t="shared" si="16"/>
        <v>46.759224579937751</v>
      </c>
      <c r="O101" s="6">
        <f t="shared" si="17"/>
        <v>61.299184296235431</v>
      </c>
      <c r="Q101">
        <f t="shared" si="18"/>
        <v>2.0586733333333332E-3</v>
      </c>
      <c r="R101">
        <f t="shared" si="18"/>
        <v>4.1196966666666663E-4</v>
      </c>
      <c r="T101">
        <f t="shared" si="19"/>
        <v>77.167048888734726</v>
      </c>
      <c r="U101">
        <f t="shared" si="19"/>
        <v>84.34173937903293</v>
      </c>
      <c r="W101">
        <f t="shared" si="20"/>
        <v>21.847855065971611</v>
      </c>
      <c r="X101">
        <f t="shared" si="20"/>
        <v>16.479688722530547</v>
      </c>
    </row>
    <row r="102" spans="1:24" x14ac:dyDescent="0.35">
      <c r="A102" s="3">
        <v>649.13499999999999</v>
      </c>
      <c r="B102" s="7">
        <v>3.10078E-3</v>
      </c>
      <c r="C102" s="7">
        <v>5.58605E-4</v>
      </c>
      <c r="D102">
        <f t="shared" si="12"/>
        <v>97.030669624836108</v>
      </c>
      <c r="E102">
        <f t="shared" si="13"/>
        <v>91.319942259371828</v>
      </c>
      <c r="G102" s="7">
        <v>1.2663100000000001E-3</v>
      </c>
      <c r="H102" s="7">
        <v>3.3658100000000002E-4</v>
      </c>
      <c r="I102" s="6">
        <f t="shared" si="14"/>
        <v>87.907670947587661</v>
      </c>
      <c r="J102" s="6">
        <f t="shared" si="15"/>
        <v>99.725044369187202</v>
      </c>
      <c r="L102" s="7">
        <v>1.8233500000000001E-3</v>
      </c>
      <c r="M102" s="7">
        <v>3.36266E-4</v>
      </c>
      <c r="N102" s="6">
        <f t="shared" si="16"/>
        <v>47.097340789626628</v>
      </c>
      <c r="O102" s="6">
        <f t="shared" si="17"/>
        <v>61.666691118218367</v>
      </c>
      <c r="Q102">
        <f t="shared" si="18"/>
        <v>2.0634799999999999E-3</v>
      </c>
      <c r="R102">
        <f t="shared" si="18"/>
        <v>4.1048400000000002E-4</v>
      </c>
      <c r="T102">
        <f t="shared" si="19"/>
        <v>77.345227120683475</v>
      </c>
      <c r="U102">
        <f t="shared" si="19"/>
        <v>84.237225915592475</v>
      </c>
      <c r="W102">
        <f t="shared" si="20"/>
        <v>21.710339270167577</v>
      </c>
      <c r="X102">
        <f t="shared" si="20"/>
        <v>16.32448500767503</v>
      </c>
    </row>
    <row r="103" spans="1:24" x14ac:dyDescent="0.35">
      <c r="A103" s="3">
        <v>655.32600000000002</v>
      </c>
      <c r="B103" s="7">
        <v>3.1224600000000001E-3</v>
      </c>
      <c r="C103" s="7">
        <v>5.7185099999999996E-4</v>
      </c>
      <c r="D103">
        <f t="shared" si="12"/>
        <v>97.709087609171164</v>
      </c>
      <c r="E103">
        <f t="shared" si="13"/>
        <v>93.485379294786171</v>
      </c>
      <c r="G103" s="7">
        <v>1.26403E-3</v>
      </c>
      <c r="H103" s="7">
        <v>3.2700600000000002E-4</v>
      </c>
      <c r="I103" s="6">
        <f t="shared" si="14"/>
        <v>87.749392572023609</v>
      </c>
      <c r="J103" s="6">
        <f t="shared" si="15"/>
        <v>96.888082984453746</v>
      </c>
      <c r="L103" s="7">
        <v>1.8439999999999999E-3</v>
      </c>
      <c r="M103" s="7">
        <v>3.42498E-4</v>
      </c>
      <c r="N103" s="6">
        <f t="shared" si="16"/>
        <v>47.630732671221374</v>
      </c>
      <c r="O103" s="6">
        <f t="shared" si="17"/>
        <v>62.809556644464656</v>
      </c>
      <c r="Q103">
        <f t="shared" si="18"/>
        <v>2.07683E-3</v>
      </c>
      <c r="R103">
        <f t="shared" si="18"/>
        <v>4.1378500000000001E-4</v>
      </c>
      <c r="T103">
        <f t="shared" si="19"/>
        <v>77.696404284138723</v>
      </c>
      <c r="U103">
        <f t="shared" si="19"/>
        <v>84.394339641234851</v>
      </c>
      <c r="W103">
        <f t="shared" si="20"/>
        <v>21.64497383474329</v>
      </c>
      <c r="X103">
        <f t="shared" si="20"/>
        <v>15.325833111953314</v>
      </c>
    </row>
    <row r="104" spans="1:24" x14ac:dyDescent="0.35">
      <c r="A104" s="3">
        <v>661.65899999999999</v>
      </c>
      <c r="B104" s="7">
        <v>3.1219400000000001E-3</v>
      </c>
      <c r="C104" s="7">
        <v>5.6172700000000004E-4</v>
      </c>
      <c r="D104">
        <f t="shared" si="12"/>
        <v>97.692815591096718</v>
      </c>
      <c r="E104">
        <f t="shared" si="13"/>
        <v>91.830322330681184</v>
      </c>
      <c r="G104" s="7">
        <v>1.27137E-3</v>
      </c>
      <c r="H104" s="7">
        <v>3.34249E-4</v>
      </c>
      <c r="I104" s="6">
        <f t="shared" si="14"/>
        <v>88.258937868795556</v>
      </c>
      <c r="J104" s="6">
        <f t="shared" si="15"/>
        <v>99.034099831411908</v>
      </c>
      <c r="L104" s="7">
        <v>1.8625200000000001E-3</v>
      </c>
      <c r="M104" s="7">
        <v>3.4692300000000001E-4</v>
      </c>
      <c r="N104" s="6">
        <f t="shared" si="16"/>
        <v>48.109106407160112</v>
      </c>
      <c r="O104" s="6">
        <f t="shared" si="17"/>
        <v>63.621042516358081</v>
      </c>
      <c r="Q104">
        <f t="shared" si="18"/>
        <v>2.0852766666666668E-3</v>
      </c>
      <c r="R104">
        <f t="shared" si="18"/>
        <v>4.1429966666666667E-4</v>
      </c>
      <c r="T104">
        <f t="shared" si="19"/>
        <v>78.020286622350795</v>
      </c>
      <c r="U104">
        <f t="shared" si="19"/>
        <v>84.828488226150384</v>
      </c>
      <c r="W104">
        <f t="shared" si="20"/>
        <v>21.498194321369436</v>
      </c>
      <c r="X104">
        <f t="shared" si="20"/>
        <v>15.281588436641663</v>
      </c>
    </row>
    <row r="105" spans="1:24" x14ac:dyDescent="0.35">
      <c r="A105" s="3">
        <v>667.80399999999997</v>
      </c>
      <c r="B105" s="7">
        <v>3.1348999999999999E-3</v>
      </c>
      <c r="C105" s="7">
        <v>5.66958E-4</v>
      </c>
      <c r="D105">
        <f t="shared" si="12"/>
        <v>98.098364349260095</v>
      </c>
      <c r="E105">
        <f t="shared" si="13"/>
        <v>92.685478689752017</v>
      </c>
      <c r="G105" s="7">
        <v>1.2774500000000001E-3</v>
      </c>
      <c r="H105" s="7">
        <v>3.3627800000000002E-4</v>
      </c>
      <c r="I105" s="6">
        <f t="shared" si="14"/>
        <v>88.681013536966333</v>
      </c>
      <c r="J105" s="6">
        <f t="shared" si="15"/>
        <v>99.635268985419657</v>
      </c>
      <c r="L105" s="7">
        <v>1.87992E-3</v>
      </c>
      <c r="M105" s="7">
        <v>3.3945999999999998E-4</v>
      </c>
      <c r="N105" s="6">
        <f t="shared" si="16"/>
        <v>48.558550413927598</v>
      </c>
      <c r="O105" s="6">
        <f t="shared" si="17"/>
        <v>62.252428039083355</v>
      </c>
      <c r="Q105">
        <f t="shared" si="18"/>
        <v>2.0974233333333333E-3</v>
      </c>
      <c r="R105">
        <f t="shared" si="18"/>
        <v>4.14232E-4</v>
      </c>
      <c r="T105">
        <f t="shared" si="19"/>
        <v>78.44597610005134</v>
      </c>
      <c r="U105">
        <f t="shared" si="19"/>
        <v>84.85772523808501</v>
      </c>
      <c r="W105">
        <f t="shared" si="20"/>
        <v>21.480460651300859</v>
      </c>
      <c r="X105">
        <f t="shared" si="20"/>
        <v>16.234212687609951</v>
      </c>
    </row>
    <row r="106" spans="1:24" x14ac:dyDescent="0.35">
      <c r="A106" s="3">
        <v>674.029</v>
      </c>
      <c r="B106" s="7">
        <v>3.14928E-3</v>
      </c>
      <c r="C106" s="7">
        <v>5.6234600000000003E-4</v>
      </c>
      <c r="D106">
        <f t="shared" si="12"/>
        <v>98.548348233703734</v>
      </c>
      <c r="E106">
        <f t="shared" si="13"/>
        <v>91.931515560706956</v>
      </c>
      <c r="G106" s="7">
        <v>1.27042E-3</v>
      </c>
      <c r="H106" s="7">
        <v>3.26371E-4</v>
      </c>
      <c r="I106" s="6">
        <f t="shared" si="14"/>
        <v>88.192988545643885</v>
      </c>
      <c r="J106" s="6">
        <f t="shared" si="15"/>
        <v>96.69993985345576</v>
      </c>
      <c r="L106" s="7">
        <v>1.8962499999999999E-3</v>
      </c>
      <c r="M106" s="7">
        <v>3.4392599999999999E-4</v>
      </c>
      <c r="N106" s="6">
        <f t="shared" si="16"/>
        <v>48.980356197290419</v>
      </c>
      <c r="O106" s="6">
        <f t="shared" si="17"/>
        <v>63.071432763123148</v>
      </c>
      <c r="Q106">
        <f t="shared" si="18"/>
        <v>2.1053166666666671E-3</v>
      </c>
      <c r="R106">
        <f t="shared" si="18"/>
        <v>4.1088100000000004E-4</v>
      </c>
      <c r="T106">
        <f t="shared" si="19"/>
        <v>78.573897658879346</v>
      </c>
      <c r="U106">
        <f t="shared" si="19"/>
        <v>83.900962725761943</v>
      </c>
      <c r="W106">
        <f t="shared" si="20"/>
        <v>21.348561867978518</v>
      </c>
      <c r="X106">
        <f t="shared" si="20"/>
        <v>14.856793202825214</v>
      </c>
    </row>
    <row r="107" spans="1:24" x14ac:dyDescent="0.35">
      <c r="A107" s="3">
        <v>680.11099999999999</v>
      </c>
      <c r="B107" s="7">
        <v>3.15022E-3</v>
      </c>
      <c r="C107" s="7">
        <v>5.6072100000000003E-4</v>
      </c>
      <c r="D107">
        <f t="shared" si="12"/>
        <v>98.57776303560756</v>
      </c>
      <c r="E107">
        <f t="shared" si="13"/>
        <v>91.665862897069005</v>
      </c>
      <c r="G107" s="7">
        <v>1.2814600000000001E-3</v>
      </c>
      <c r="H107" s="7">
        <v>3.34531E-4</v>
      </c>
      <c r="I107" s="6">
        <f t="shared" si="14"/>
        <v>88.959389101006607</v>
      </c>
      <c r="J107" s="6">
        <f t="shared" si="15"/>
        <v>99.117653158878724</v>
      </c>
      <c r="L107" s="7">
        <v>1.92705E-3</v>
      </c>
      <c r="M107" s="7">
        <v>3.5479499999999998E-4</v>
      </c>
      <c r="N107" s="6">
        <f t="shared" si="16"/>
        <v>49.775923749499547</v>
      </c>
      <c r="O107" s="6">
        <f t="shared" si="17"/>
        <v>65.064662128458664</v>
      </c>
      <c r="Q107">
        <f t="shared" si="18"/>
        <v>2.1195766666666665E-3</v>
      </c>
      <c r="R107">
        <f t="shared" si="18"/>
        <v>4.1668233333333335E-4</v>
      </c>
      <c r="T107">
        <f t="shared" si="19"/>
        <v>79.104358628704574</v>
      </c>
      <c r="U107">
        <f t="shared" si="19"/>
        <v>85.282726061468793</v>
      </c>
      <c r="W107">
        <f t="shared" si="20"/>
        <v>21.106809306229117</v>
      </c>
      <c r="X107">
        <f t="shared" si="20"/>
        <v>14.616426294320732</v>
      </c>
    </row>
    <row r="108" spans="1:24" x14ac:dyDescent="0.35">
      <c r="A108" s="3">
        <v>686.43799999999999</v>
      </c>
      <c r="B108" s="7">
        <v>3.16235E-3</v>
      </c>
      <c r="C108" s="7">
        <v>5.7295299999999996E-4</v>
      </c>
      <c r="D108">
        <f t="shared" si="12"/>
        <v>98.957339149536722</v>
      </c>
      <c r="E108">
        <f t="shared" si="13"/>
        <v>93.665532670373267</v>
      </c>
      <c r="G108" s="7">
        <v>1.2828200000000001E-3</v>
      </c>
      <c r="H108" s="7">
        <v>3.3678400000000002E-4</v>
      </c>
      <c r="I108" s="6">
        <f t="shared" si="14"/>
        <v>89.053800763623741</v>
      </c>
      <c r="J108" s="6">
        <f t="shared" si="15"/>
        <v>99.785190913427499</v>
      </c>
      <c r="L108" s="7">
        <v>1.93541E-3</v>
      </c>
      <c r="M108" s="7">
        <v>3.4672400000000002E-4</v>
      </c>
      <c r="N108" s="6">
        <f t="shared" si="16"/>
        <v>49.991863513670594</v>
      </c>
      <c r="O108" s="6">
        <f t="shared" si="17"/>
        <v>63.584548575452601</v>
      </c>
      <c r="Q108">
        <f t="shared" si="18"/>
        <v>2.1268599999999999E-3</v>
      </c>
      <c r="R108">
        <f t="shared" si="18"/>
        <v>4.188203333333333E-4</v>
      </c>
      <c r="T108">
        <f t="shared" si="19"/>
        <v>79.334334475610362</v>
      </c>
      <c r="U108">
        <f t="shared" si="19"/>
        <v>85.67842405308447</v>
      </c>
      <c r="W108">
        <f t="shared" si="20"/>
        <v>21.138518865718734</v>
      </c>
      <c r="X108">
        <f t="shared" si="20"/>
        <v>15.821231609639176</v>
      </c>
    </row>
    <row r="109" spans="1:24" x14ac:dyDescent="0.35">
      <c r="A109" s="3">
        <v>692.55399999999997</v>
      </c>
      <c r="B109" s="7">
        <v>3.1578800000000001E-3</v>
      </c>
      <c r="C109" s="7">
        <v>5.60912E-4</v>
      </c>
      <c r="D109">
        <f t="shared" si="12"/>
        <v>98.8174623787813</v>
      </c>
      <c r="E109">
        <f t="shared" si="13"/>
        <v>91.697087302456595</v>
      </c>
      <c r="G109" s="7">
        <v>1.29072E-3</v>
      </c>
      <c r="H109" s="7">
        <v>3.3470499999999997E-4</v>
      </c>
      <c r="I109" s="6">
        <f t="shared" si="14"/>
        <v>89.602221450885111</v>
      </c>
      <c r="J109" s="6">
        <f t="shared" si="15"/>
        <v>99.169207339656111</v>
      </c>
      <c r="L109" s="7">
        <v>1.94988E-3</v>
      </c>
      <c r="M109" s="7">
        <v>3.49725E-4</v>
      </c>
      <c r="N109" s="6">
        <f t="shared" si="16"/>
        <v>50.365625282516888</v>
      </c>
      <c r="O109" s="6">
        <f t="shared" si="17"/>
        <v>64.134891875238395</v>
      </c>
      <c r="Q109">
        <f t="shared" si="18"/>
        <v>2.1328266666666667E-3</v>
      </c>
      <c r="R109">
        <f t="shared" si="18"/>
        <v>4.1511400000000001E-4</v>
      </c>
      <c r="T109">
        <f t="shared" si="19"/>
        <v>79.595103037394438</v>
      </c>
      <c r="U109">
        <f t="shared" si="19"/>
        <v>85.0003955057837</v>
      </c>
      <c r="W109">
        <f t="shared" si="20"/>
        <v>21.007965849600193</v>
      </c>
      <c r="X109">
        <f t="shared" si="20"/>
        <v>15.066188984606171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6441-E16F-446C-8CCF-80F316ECA350}">
  <dimension ref="A1:X109"/>
  <sheetViews>
    <sheetView topLeftCell="Q1" workbookViewId="0">
      <selection activeCell="Z4" sqref="Z4"/>
    </sheetView>
  </sheetViews>
  <sheetFormatPr defaultColWidth="8.81640625" defaultRowHeight="14.5" x14ac:dyDescent="0.35"/>
  <cols>
    <col min="1" max="1" width="9.453125" bestFit="1" customWidth="1"/>
    <col min="4" max="5" width="12.453125" customWidth="1"/>
    <col min="9" max="10" width="12.453125" customWidth="1"/>
    <col min="14" max="15" width="12.453125" customWidth="1"/>
    <col min="16" max="16" width="8.81640625" style="1"/>
    <col min="17" max="18" width="11.81640625" bestFit="1" customWidth="1"/>
    <col min="20" max="21" width="11.81640625" bestFit="1" customWidth="1"/>
    <col min="23" max="24" width="9.453125" bestFit="1" customWidth="1"/>
  </cols>
  <sheetData>
    <row r="1" spans="1:24" ht="29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s="2" t="s">
        <v>0</v>
      </c>
      <c r="H1" s="2" t="s">
        <v>1</v>
      </c>
      <c r="I1" t="s">
        <v>70</v>
      </c>
      <c r="J1" t="s">
        <v>71</v>
      </c>
      <c r="L1" s="2" t="s">
        <v>0</v>
      </c>
      <c r="M1" s="2" t="s">
        <v>1</v>
      </c>
      <c r="N1" t="s">
        <v>70</v>
      </c>
      <c r="O1" t="s">
        <v>71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s="2" t="s">
        <v>2</v>
      </c>
      <c r="H2" s="2" t="s">
        <v>2</v>
      </c>
      <c r="I2" t="s">
        <v>2</v>
      </c>
      <c r="J2" t="s">
        <v>2</v>
      </c>
      <c r="L2" s="2" t="s">
        <v>2</v>
      </c>
      <c r="M2" s="2" t="s">
        <v>2</v>
      </c>
      <c r="N2" t="s">
        <v>2</v>
      </c>
      <c r="O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6.2696399999999999</v>
      </c>
      <c r="B3">
        <v>1.1006E-3</v>
      </c>
      <c r="C3">
        <v>1.96584E-4</v>
      </c>
      <c r="D3">
        <f>B3/$B$3*100</f>
        <v>100</v>
      </c>
      <c r="E3">
        <f>C3/$C$3*100</f>
        <v>100</v>
      </c>
      <c r="G3" s="7">
        <v>9.9540200000000005E-4</v>
      </c>
      <c r="H3" s="7">
        <v>1.6934200000000001E-4</v>
      </c>
      <c r="I3" s="6">
        <f>G3/$G$3*100</f>
        <v>100</v>
      </c>
      <c r="J3" s="6">
        <f>H3/$H$3*100</f>
        <v>100</v>
      </c>
      <c r="L3" s="7">
        <v>5.1416700000000005E-4</v>
      </c>
      <c r="M3" s="7">
        <v>1.0382699999999999E-4</v>
      </c>
      <c r="N3" s="6">
        <f>L3/$L$3*100</f>
        <v>100</v>
      </c>
      <c r="O3" s="6">
        <f>M3/$M$3*100</f>
        <v>100</v>
      </c>
      <c r="Q3">
        <f t="shared" ref="Q3:R66" si="0">AVERAGE(B3,G3,L3)</f>
        <v>8.7005633333333329E-4</v>
      </c>
      <c r="R3">
        <f t="shared" si="0"/>
        <v>1.5658433333333335E-4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12.3698</v>
      </c>
      <c r="B4">
        <v>1.1028399999999999E-3</v>
      </c>
      <c r="C4">
        <v>1.9512800000000001E-4</v>
      </c>
      <c r="D4">
        <f t="shared" ref="D4:D67" si="1">B4/$B$3*100</f>
        <v>100.20352534980918</v>
      </c>
      <c r="E4">
        <f t="shared" ref="E4:E67" si="2">C4/$C$3*100</f>
        <v>99.25934969275221</v>
      </c>
      <c r="G4" s="7">
        <v>1.0010900000000001E-3</v>
      </c>
      <c r="H4" s="7">
        <v>1.6848399999999999E-4</v>
      </c>
      <c r="I4" s="6">
        <f t="shared" ref="I4:I67" si="3">G4/$G$3*100</f>
        <v>100.57142742329231</v>
      </c>
      <c r="J4" s="6">
        <f t="shared" ref="J4:J67" si="4">H4/$H$3*100</f>
        <v>99.493333018388824</v>
      </c>
      <c r="L4" s="7">
        <v>5.1563499999999996E-4</v>
      </c>
      <c r="M4" s="7">
        <v>1.0381E-4</v>
      </c>
      <c r="N4" s="6">
        <f t="shared" ref="N4:N67" si="5">L4/$L$3*100</f>
        <v>100.28551034975015</v>
      </c>
      <c r="O4" s="6">
        <f t="shared" ref="O4:O67" si="6">M4/$M$3*100</f>
        <v>99.983626609648752</v>
      </c>
      <c r="Q4">
        <f t="shared" si="0"/>
        <v>8.7318833333333327E-4</v>
      </c>
      <c r="R4">
        <f t="shared" si="0"/>
        <v>1.5580733333333334E-4</v>
      </c>
      <c r="T4">
        <f t="shared" ref="T4:U67" si="7">AVERAGE(D4,I4,N4)</f>
        <v>100.35348770761721</v>
      </c>
      <c r="U4">
        <f t="shared" si="7"/>
        <v>99.578769773596605</v>
      </c>
      <c r="W4">
        <f t="shared" ref="W4:X67" si="8">_xlfn.STDEV.P(D4,I4,N4)</f>
        <v>0.1576994500206749</v>
      </c>
      <c r="X4">
        <f t="shared" si="8"/>
        <v>0.30179335362972531</v>
      </c>
    </row>
    <row r="5" spans="1:24" x14ac:dyDescent="0.35">
      <c r="A5">
        <v>18.654</v>
      </c>
      <c r="B5">
        <v>1.1052099999999999E-3</v>
      </c>
      <c r="C5">
        <v>1.94907E-4</v>
      </c>
      <c r="D5">
        <f t="shared" si="1"/>
        <v>100.41886243866982</v>
      </c>
      <c r="E5">
        <f t="shared" si="2"/>
        <v>99.146929556830671</v>
      </c>
      <c r="G5" s="7">
        <v>1.00398E-3</v>
      </c>
      <c r="H5" s="7">
        <v>1.6778799999999999E-4</v>
      </c>
      <c r="I5" s="6">
        <f t="shared" si="3"/>
        <v>100.86176238343904</v>
      </c>
      <c r="J5" s="6">
        <f t="shared" si="4"/>
        <v>99.082330431907025</v>
      </c>
      <c r="L5" s="7">
        <v>5.1691900000000002E-4</v>
      </c>
      <c r="M5" s="7">
        <v>1.03698E-4</v>
      </c>
      <c r="N5" s="6">
        <f t="shared" si="5"/>
        <v>100.53523466111204</v>
      </c>
      <c r="O5" s="6">
        <f t="shared" si="6"/>
        <v>99.875754861452222</v>
      </c>
      <c r="Q5">
        <f t="shared" si="0"/>
        <v>8.7536966666666661E-4</v>
      </c>
      <c r="R5">
        <f t="shared" si="0"/>
        <v>1.5546433333333334E-4</v>
      </c>
      <c r="T5">
        <f t="shared" si="7"/>
        <v>100.60528649440697</v>
      </c>
      <c r="U5">
        <f t="shared" si="7"/>
        <v>99.368338283396625</v>
      </c>
      <c r="W5">
        <f t="shared" si="8"/>
        <v>0.18747539355006984</v>
      </c>
      <c r="X5">
        <f t="shared" si="8"/>
        <v>0.35976561768226584</v>
      </c>
    </row>
    <row r="6" spans="1:24" x14ac:dyDescent="0.35">
      <c r="A6">
        <v>24.779599999999999</v>
      </c>
      <c r="B6">
        <v>1.1068899999999999E-3</v>
      </c>
      <c r="C6">
        <v>1.9502399999999999E-4</v>
      </c>
      <c r="D6">
        <f t="shared" si="1"/>
        <v>100.57150645102671</v>
      </c>
      <c r="E6">
        <f t="shared" si="2"/>
        <v>99.206446099377359</v>
      </c>
      <c r="G6" s="7">
        <v>1.0077899999999999E-3</v>
      </c>
      <c r="H6" s="7">
        <v>1.66902E-4</v>
      </c>
      <c r="I6" s="6">
        <f t="shared" si="3"/>
        <v>101.24452231359791</v>
      </c>
      <c r="J6" s="6">
        <f t="shared" si="4"/>
        <v>98.559128863483352</v>
      </c>
      <c r="L6" s="7">
        <v>5.1880100000000005E-4</v>
      </c>
      <c r="M6" s="7">
        <v>1.0326E-4</v>
      </c>
      <c r="N6" s="6">
        <f t="shared" si="5"/>
        <v>100.90126359723592</v>
      </c>
      <c r="O6" s="6">
        <f t="shared" si="6"/>
        <v>99.453899274755116</v>
      </c>
      <c r="Q6">
        <f t="shared" si="0"/>
        <v>8.7782699999999997E-4</v>
      </c>
      <c r="R6">
        <f t="shared" si="0"/>
        <v>1.55062E-4</v>
      </c>
      <c r="T6">
        <f t="shared" si="7"/>
        <v>100.90576412062018</v>
      </c>
      <c r="U6">
        <f t="shared" si="7"/>
        <v>99.073158079205271</v>
      </c>
      <c r="W6">
        <f t="shared" si="8"/>
        <v>0.2747760043516233</v>
      </c>
      <c r="X6">
        <f t="shared" si="8"/>
        <v>0.37725128182941581</v>
      </c>
    </row>
    <row r="7" spans="1:24" x14ac:dyDescent="0.35">
      <c r="A7">
        <v>31.0945</v>
      </c>
      <c r="B7">
        <v>1.10844E-3</v>
      </c>
      <c r="C7">
        <v>1.93955E-4</v>
      </c>
      <c r="D7">
        <f t="shared" si="1"/>
        <v>100.71233872433218</v>
      </c>
      <c r="E7">
        <f t="shared" si="2"/>
        <v>98.66265820209172</v>
      </c>
      <c r="G7" s="7">
        <v>1.01067E-3</v>
      </c>
      <c r="H7" s="7">
        <v>1.6666599999999999E-4</v>
      </c>
      <c r="I7" s="6">
        <f t="shared" si="3"/>
        <v>101.53385265450541</v>
      </c>
      <c r="J7" s="6">
        <f t="shared" si="4"/>
        <v>98.419765917492413</v>
      </c>
      <c r="L7" s="7">
        <v>5.2002400000000001E-4</v>
      </c>
      <c r="M7" s="7">
        <v>1.03189E-4</v>
      </c>
      <c r="N7" s="6">
        <f t="shared" si="5"/>
        <v>101.1391240589147</v>
      </c>
      <c r="O7" s="6">
        <f t="shared" si="6"/>
        <v>99.385516291523416</v>
      </c>
      <c r="Q7">
        <f t="shared" si="0"/>
        <v>8.797113333333333E-4</v>
      </c>
      <c r="R7">
        <f t="shared" si="0"/>
        <v>1.5460333333333333E-4</v>
      </c>
      <c r="T7">
        <f t="shared" si="7"/>
        <v>101.12843847925076</v>
      </c>
      <c r="U7">
        <f t="shared" si="7"/>
        <v>98.822646803702511</v>
      </c>
      <c r="W7">
        <f t="shared" si="8"/>
        <v>0.33546675997951508</v>
      </c>
      <c r="X7">
        <f t="shared" si="8"/>
        <v>0.41017533707695408</v>
      </c>
    </row>
    <row r="8" spans="1:24" x14ac:dyDescent="0.35">
      <c r="A8">
        <v>37.161900000000003</v>
      </c>
      <c r="B8">
        <v>1.1091199999999999E-3</v>
      </c>
      <c r="C8">
        <v>1.9398500000000001E-4</v>
      </c>
      <c r="D8">
        <f t="shared" si="1"/>
        <v>100.77412320552426</v>
      </c>
      <c r="E8">
        <f t="shared" si="2"/>
        <v>98.677918854026785</v>
      </c>
      <c r="G8" s="7">
        <v>1.01359E-3</v>
      </c>
      <c r="H8" s="7">
        <v>1.6577900000000001E-4</v>
      </c>
      <c r="I8" s="6">
        <f t="shared" si="3"/>
        <v>101.82720147236995</v>
      </c>
      <c r="J8" s="6">
        <f t="shared" si="4"/>
        <v>97.895973828111167</v>
      </c>
      <c r="L8" s="7">
        <v>5.2127E-4</v>
      </c>
      <c r="M8" s="7">
        <v>1.0309100000000001E-4</v>
      </c>
      <c r="N8" s="6">
        <f t="shared" si="5"/>
        <v>101.38145777539202</v>
      </c>
      <c r="O8" s="6">
        <f t="shared" si="6"/>
        <v>99.291128511851454</v>
      </c>
      <c r="Q8">
        <f t="shared" si="0"/>
        <v>8.8132666666666663E-4</v>
      </c>
      <c r="R8">
        <f t="shared" si="0"/>
        <v>1.5428500000000002E-4</v>
      </c>
      <c r="T8">
        <f t="shared" si="7"/>
        <v>101.32759415109541</v>
      </c>
      <c r="U8">
        <f t="shared" si="7"/>
        <v>98.621673731329807</v>
      </c>
      <c r="W8">
        <f t="shared" si="8"/>
        <v>0.43160122531680734</v>
      </c>
      <c r="X8">
        <f t="shared" si="8"/>
        <v>0.57095638085643297</v>
      </c>
    </row>
    <row r="9" spans="1:24" x14ac:dyDescent="0.35">
      <c r="A9">
        <v>43.441699999999997</v>
      </c>
      <c r="B9">
        <v>1.10933E-3</v>
      </c>
      <c r="C9">
        <v>1.9336399999999999E-4</v>
      </c>
      <c r="D9">
        <f t="shared" si="1"/>
        <v>100.79320370706888</v>
      </c>
      <c r="E9">
        <f t="shared" si="2"/>
        <v>98.362023358971214</v>
      </c>
      <c r="G9" s="7">
        <v>1.01596E-3</v>
      </c>
      <c r="H9" s="7">
        <v>1.6513699999999999E-4</v>
      </c>
      <c r="I9" s="6">
        <f t="shared" si="3"/>
        <v>102.06529623207507</v>
      </c>
      <c r="J9" s="6">
        <f t="shared" si="4"/>
        <v>97.516859373339145</v>
      </c>
      <c r="L9" s="7">
        <v>5.2239099999999998E-4</v>
      </c>
      <c r="M9" s="7">
        <v>1.02969E-4</v>
      </c>
      <c r="N9" s="6">
        <f t="shared" si="5"/>
        <v>101.599480324486</v>
      </c>
      <c r="O9" s="6">
        <f t="shared" si="6"/>
        <v>99.173625357565953</v>
      </c>
      <c r="Q9">
        <f t="shared" si="0"/>
        <v>8.8256033333333338E-4</v>
      </c>
      <c r="R9">
        <f t="shared" si="0"/>
        <v>1.5382333333333333E-4</v>
      </c>
      <c r="T9">
        <f t="shared" si="7"/>
        <v>101.48599342120997</v>
      </c>
      <c r="U9">
        <f t="shared" si="7"/>
        <v>98.350836029958771</v>
      </c>
      <c r="W9">
        <f t="shared" si="8"/>
        <v>0.52549297867528677</v>
      </c>
      <c r="X9">
        <f t="shared" si="8"/>
        <v>0.67641813935394568</v>
      </c>
    </row>
    <row r="10" spans="1:24" x14ac:dyDescent="0.35">
      <c r="A10">
        <v>49.671799999999998</v>
      </c>
      <c r="B10">
        <v>1.1103E-3</v>
      </c>
      <c r="C10">
        <v>1.9295099999999999E-4</v>
      </c>
      <c r="D10">
        <f t="shared" si="1"/>
        <v>100.88133745229875</v>
      </c>
      <c r="E10">
        <f t="shared" si="2"/>
        <v>98.151935050665358</v>
      </c>
      <c r="G10" s="7">
        <v>1.01786E-3</v>
      </c>
      <c r="H10" s="7">
        <v>1.64926E-4</v>
      </c>
      <c r="I10" s="6">
        <f t="shared" si="3"/>
        <v>102.25617388753487</v>
      </c>
      <c r="J10" s="6">
        <f t="shared" si="4"/>
        <v>97.392259451287927</v>
      </c>
      <c r="L10" s="7">
        <v>5.2340700000000004E-4</v>
      </c>
      <c r="M10" s="7">
        <v>1.0276999999999999E-4</v>
      </c>
      <c r="N10" s="6">
        <f t="shared" si="5"/>
        <v>101.79708149297797</v>
      </c>
      <c r="O10" s="6">
        <f t="shared" si="6"/>
        <v>98.981960376395349</v>
      </c>
      <c r="Q10">
        <f t="shared" si="0"/>
        <v>8.8385566666666665E-4</v>
      </c>
      <c r="R10">
        <f t="shared" si="0"/>
        <v>1.53549E-4</v>
      </c>
      <c r="T10">
        <f t="shared" si="7"/>
        <v>101.64486427760386</v>
      </c>
      <c r="U10">
        <f t="shared" si="7"/>
        <v>98.175384959449545</v>
      </c>
      <c r="W10">
        <f t="shared" si="8"/>
        <v>0.57150174476570914</v>
      </c>
      <c r="X10">
        <f t="shared" si="8"/>
        <v>0.64920447805414827</v>
      </c>
    </row>
    <row r="11" spans="1:24" x14ac:dyDescent="0.35">
      <c r="A11">
        <v>55.927799999999998</v>
      </c>
      <c r="B11">
        <v>1.11067E-3</v>
      </c>
      <c r="C11">
        <v>1.92451E-4</v>
      </c>
      <c r="D11">
        <f t="shared" si="1"/>
        <v>100.91495547882974</v>
      </c>
      <c r="E11">
        <f t="shared" si="2"/>
        <v>97.89759085174785</v>
      </c>
      <c r="G11" s="7">
        <v>1.01928E-3</v>
      </c>
      <c r="H11" s="7">
        <v>1.6518300000000001E-4</v>
      </c>
      <c r="I11" s="6">
        <f t="shared" si="3"/>
        <v>102.3988298195101</v>
      </c>
      <c r="J11" s="6">
        <f t="shared" si="4"/>
        <v>97.544023337388239</v>
      </c>
      <c r="L11" s="7">
        <v>5.2450900000000004E-4</v>
      </c>
      <c r="M11" s="7">
        <v>1.02709E-4</v>
      </c>
      <c r="N11" s="6">
        <f t="shared" si="5"/>
        <v>102.01140874462966</v>
      </c>
      <c r="O11" s="6">
        <f t="shared" si="6"/>
        <v>98.923208799252606</v>
      </c>
      <c r="Q11">
        <f t="shared" si="0"/>
        <v>8.8481966666666687E-4</v>
      </c>
      <c r="R11">
        <f t="shared" si="0"/>
        <v>1.5344766666666666E-4</v>
      </c>
      <c r="T11">
        <f t="shared" si="7"/>
        <v>101.77506468098983</v>
      </c>
      <c r="U11">
        <f t="shared" si="7"/>
        <v>98.121607662796237</v>
      </c>
      <c r="W11">
        <f t="shared" si="8"/>
        <v>0.62841846569820703</v>
      </c>
      <c r="X11">
        <f t="shared" si="8"/>
        <v>0.5849078464617149</v>
      </c>
    </row>
    <row r="12" spans="1:24" x14ac:dyDescent="0.35">
      <c r="A12">
        <v>62.031100000000002</v>
      </c>
      <c r="B12">
        <v>1.1120399999999999E-3</v>
      </c>
      <c r="C12">
        <v>1.9275999999999999E-4</v>
      </c>
      <c r="D12">
        <f t="shared" si="1"/>
        <v>101.03943303652552</v>
      </c>
      <c r="E12">
        <f t="shared" si="2"/>
        <v>98.05477556667887</v>
      </c>
      <c r="G12" s="7">
        <v>1.02111E-3</v>
      </c>
      <c r="H12" s="7">
        <v>1.6464299999999999E-4</v>
      </c>
      <c r="I12" s="6">
        <f t="shared" si="3"/>
        <v>102.58267514029507</v>
      </c>
      <c r="J12" s="6">
        <f t="shared" si="4"/>
        <v>97.225142020290292</v>
      </c>
      <c r="L12" s="7">
        <v>5.2542300000000001E-4</v>
      </c>
      <c r="M12" s="7">
        <v>1.03173E-4</v>
      </c>
      <c r="N12" s="6">
        <f t="shared" si="5"/>
        <v>102.18917200053679</v>
      </c>
      <c r="O12" s="6">
        <f t="shared" si="6"/>
        <v>99.370106041781042</v>
      </c>
      <c r="Q12">
        <f t="shared" si="0"/>
        <v>8.8619100000000004E-4</v>
      </c>
      <c r="R12">
        <f t="shared" si="0"/>
        <v>1.5352533333333333E-4</v>
      </c>
      <c r="T12">
        <f t="shared" si="7"/>
        <v>101.93709339245247</v>
      </c>
      <c r="U12">
        <f t="shared" si="7"/>
        <v>98.216674542916735</v>
      </c>
      <c r="W12">
        <f t="shared" si="8"/>
        <v>0.65475530605056853</v>
      </c>
      <c r="X12">
        <f t="shared" si="8"/>
        <v>0.88312933075233269</v>
      </c>
    </row>
    <row r="13" spans="1:24" x14ac:dyDescent="0.35">
      <c r="A13">
        <v>68.213200000000001</v>
      </c>
      <c r="B13">
        <v>1.10962E-3</v>
      </c>
      <c r="C13">
        <v>1.9290999999999999E-4</v>
      </c>
      <c r="D13">
        <f t="shared" si="1"/>
        <v>100.81955297110667</v>
      </c>
      <c r="E13">
        <f t="shared" si="2"/>
        <v>98.131078826354127</v>
      </c>
      <c r="G13" s="7">
        <v>1.02315E-3</v>
      </c>
      <c r="H13" s="7">
        <v>1.6485999999999999E-4</v>
      </c>
      <c r="I13" s="6">
        <f t="shared" si="3"/>
        <v>102.78761746510455</v>
      </c>
      <c r="J13" s="6">
        <f t="shared" si="4"/>
        <v>97.353285068087061</v>
      </c>
      <c r="L13" s="7">
        <v>5.2684100000000001E-4</v>
      </c>
      <c r="M13" s="7">
        <v>1.0296700000000001E-4</v>
      </c>
      <c r="N13" s="6">
        <f t="shared" si="5"/>
        <v>102.46495788333361</v>
      </c>
      <c r="O13" s="6">
        <f t="shared" si="6"/>
        <v>99.171699076348162</v>
      </c>
      <c r="Q13">
        <f t="shared" si="0"/>
        <v>8.8653700000000007E-4</v>
      </c>
      <c r="R13">
        <f t="shared" si="0"/>
        <v>1.5357900000000001E-4</v>
      </c>
      <c r="T13">
        <f t="shared" si="7"/>
        <v>102.02404277318162</v>
      </c>
      <c r="U13">
        <f t="shared" si="7"/>
        <v>98.218687656929774</v>
      </c>
      <c r="W13">
        <f t="shared" si="8"/>
        <v>0.86182908742744657</v>
      </c>
      <c r="X13">
        <f t="shared" si="8"/>
        <v>0.74494467658396224</v>
      </c>
    </row>
    <row r="14" spans="1:24" x14ac:dyDescent="0.35">
      <c r="A14">
        <v>74.461600000000004</v>
      </c>
      <c r="B14">
        <v>1.10943E-3</v>
      </c>
      <c r="C14">
        <v>1.9263400000000001E-4</v>
      </c>
      <c r="D14">
        <f t="shared" si="1"/>
        <v>100.80228966018537</v>
      </c>
      <c r="E14">
        <f t="shared" si="2"/>
        <v>97.990680828551675</v>
      </c>
      <c r="G14" s="7">
        <v>1.0235299999999999E-3</v>
      </c>
      <c r="H14" s="7">
        <v>1.6499799999999999E-4</v>
      </c>
      <c r="I14" s="6">
        <f t="shared" si="3"/>
        <v>102.8257929961965</v>
      </c>
      <c r="J14" s="6">
        <f t="shared" si="4"/>
        <v>97.434776960234316</v>
      </c>
      <c r="L14" s="7">
        <v>5.2788800000000001E-4</v>
      </c>
      <c r="M14" s="7">
        <v>1.03053E-4</v>
      </c>
      <c r="N14" s="6">
        <f t="shared" si="5"/>
        <v>102.66858822133665</v>
      </c>
      <c r="O14" s="6">
        <f t="shared" si="6"/>
        <v>99.254529168713347</v>
      </c>
      <c r="Q14">
        <f t="shared" si="0"/>
        <v>8.8694933333333321E-4</v>
      </c>
      <c r="R14">
        <f t="shared" si="0"/>
        <v>1.5356166666666664E-4</v>
      </c>
      <c r="T14">
        <f t="shared" si="7"/>
        <v>102.09889029257283</v>
      </c>
      <c r="U14">
        <f t="shared" si="7"/>
        <v>98.226662319166451</v>
      </c>
      <c r="W14">
        <f t="shared" si="8"/>
        <v>0.91907860934756358</v>
      </c>
      <c r="X14">
        <f t="shared" si="8"/>
        <v>0.7614197147437386</v>
      </c>
    </row>
    <row r="15" spans="1:24" x14ac:dyDescent="0.35">
      <c r="A15">
        <v>80.745000000000005</v>
      </c>
      <c r="B15">
        <v>1.10979E-3</v>
      </c>
      <c r="C15">
        <v>1.9262899999999999E-4</v>
      </c>
      <c r="D15">
        <f t="shared" si="1"/>
        <v>100.8349990914047</v>
      </c>
      <c r="E15">
        <f t="shared" si="2"/>
        <v>97.988137386562485</v>
      </c>
      <c r="G15" s="7">
        <v>1.02451E-3</v>
      </c>
      <c r="H15" s="7">
        <v>1.6469600000000001E-4</v>
      </c>
      <c r="I15" s="6">
        <f t="shared" si="3"/>
        <v>102.92424568164419</v>
      </c>
      <c r="J15" s="6">
        <f t="shared" si="4"/>
        <v>97.256439631042511</v>
      </c>
      <c r="L15" s="7">
        <v>5.2903399999999995E-4</v>
      </c>
      <c r="M15" s="7">
        <v>1.0297399999999999E-4</v>
      </c>
      <c r="N15" s="6">
        <f t="shared" si="5"/>
        <v>102.89147300390727</v>
      </c>
      <c r="O15" s="6">
        <f t="shared" si="6"/>
        <v>99.178441060610439</v>
      </c>
      <c r="Q15">
        <f t="shared" si="0"/>
        <v>8.8777799999999998E-4</v>
      </c>
      <c r="R15">
        <f t="shared" si="0"/>
        <v>1.5343299999999999E-4</v>
      </c>
      <c r="T15">
        <f t="shared" si="7"/>
        <v>102.21690592565206</v>
      </c>
      <c r="U15">
        <f t="shared" si="7"/>
        <v>98.141006026071807</v>
      </c>
      <c r="W15">
        <f t="shared" si="8"/>
        <v>0.97724728566389407</v>
      </c>
      <c r="X15">
        <f t="shared" si="8"/>
        <v>0.79206438691323744</v>
      </c>
    </row>
    <row r="16" spans="1:24" x14ac:dyDescent="0.35">
      <c r="A16">
        <v>86.833600000000004</v>
      </c>
      <c r="B16">
        <v>1.1111599999999999E-3</v>
      </c>
      <c r="C16">
        <v>1.9134100000000001E-4</v>
      </c>
      <c r="D16">
        <f t="shared" si="1"/>
        <v>100.95947664910048</v>
      </c>
      <c r="E16">
        <f t="shared" si="2"/>
        <v>97.332946730150979</v>
      </c>
      <c r="G16" s="7">
        <v>1.02614E-3</v>
      </c>
      <c r="H16" s="7">
        <v>1.64487E-4</v>
      </c>
      <c r="I16" s="6">
        <f t="shared" si="3"/>
        <v>103.08799861764393</v>
      </c>
      <c r="J16" s="6">
        <f t="shared" si="4"/>
        <v>97.133020750906439</v>
      </c>
      <c r="L16" s="7">
        <v>5.3087399999999997E-4</v>
      </c>
      <c r="M16" s="7">
        <v>1.02873E-4</v>
      </c>
      <c r="N16" s="6">
        <f t="shared" si="5"/>
        <v>103.24933338779034</v>
      </c>
      <c r="O16" s="6">
        <f t="shared" si="6"/>
        <v>99.081163859111797</v>
      </c>
      <c r="Q16">
        <f t="shared" si="0"/>
        <v>8.8939133333333328E-4</v>
      </c>
      <c r="R16">
        <f t="shared" si="0"/>
        <v>1.5290033333333332E-4</v>
      </c>
      <c r="T16">
        <f t="shared" si="7"/>
        <v>102.43226955151158</v>
      </c>
      <c r="U16">
        <f t="shared" si="7"/>
        <v>97.849043780056419</v>
      </c>
      <c r="W16">
        <f t="shared" si="8"/>
        <v>1.0435025721287401</v>
      </c>
      <c r="X16">
        <f t="shared" si="8"/>
        <v>0.87505524252389177</v>
      </c>
    </row>
    <row r="17" spans="1:24" x14ac:dyDescent="0.35">
      <c r="A17">
        <v>93.167199999999994</v>
      </c>
      <c r="B17">
        <v>1.1100400000000001E-3</v>
      </c>
      <c r="C17">
        <v>1.9203800000000001E-4</v>
      </c>
      <c r="D17">
        <f t="shared" si="1"/>
        <v>100.85771397419589</v>
      </c>
      <c r="E17">
        <f t="shared" si="2"/>
        <v>97.687502543441994</v>
      </c>
      <c r="G17" s="7">
        <v>1.0267E-3</v>
      </c>
      <c r="H17" s="7">
        <v>1.6396999999999999E-4</v>
      </c>
      <c r="I17" s="6">
        <f t="shared" si="3"/>
        <v>103.14425729504259</v>
      </c>
      <c r="J17" s="6">
        <f t="shared" si="4"/>
        <v>96.827721415833039</v>
      </c>
      <c r="L17" s="7">
        <v>5.3221400000000004E-4</v>
      </c>
      <c r="M17" s="7">
        <v>1.03275E-4</v>
      </c>
      <c r="N17" s="6">
        <f t="shared" si="5"/>
        <v>103.50994910213996</v>
      </c>
      <c r="O17" s="6">
        <f t="shared" si="6"/>
        <v>99.468346383888601</v>
      </c>
      <c r="Q17">
        <f t="shared" si="0"/>
        <v>8.8965133333333325E-4</v>
      </c>
      <c r="R17">
        <f t="shared" si="0"/>
        <v>1.5309433333333334E-4</v>
      </c>
      <c r="T17">
        <f t="shared" si="7"/>
        <v>102.50397345712615</v>
      </c>
      <c r="U17">
        <f t="shared" si="7"/>
        <v>97.994523447721221</v>
      </c>
      <c r="W17">
        <f t="shared" si="8"/>
        <v>1.1736155924600074</v>
      </c>
      <c r="X17">
        <f t="shared" si="8"/>
        <v>1.0996731127106001</v>
      </c>
    </row>
    <row r="18" spans="1:24" x14ac:dyDescent="0.35">
      <c r="A18">
        <v>99.287099999999995</v>
      </c>
      <c r="B18">
        <v>1.10794E-3</v>
      </c>
      <c r="C18">
        <v>1.9001599999999999E-4</v>
      </c>
      <c r="D18">
        <f t="shared" si="1"/>
        <v>100.66690895874977</v>
      </c>
      <c r="E18">
        <f t="shared" si="2"/>
        <v>96.658934603019574</v>
      </c>
      <c r="G18" s="7">
        <v>1.02921E-3</v>
      </c>
      <c r="H18" s="7">
        <v>1.6499200000000001E-4</v>
      </c>
      <c r="I18" s="6">
        <f t="shared" si="3"/>
        <v>103.39641672409741</v>
      </c>
      <c r="J18" s="6">
        <f t="shared" si="4"/>
        <v>97.431233834488779</v>
      </c>
      <c r="L18" s="7">
        <v>5.3342600000000004E-4</v>
      </c>
      <c r="M18" s="7">
        <v>1.03293E-4</v>
      </c>
      <c r="N18" s="6">
        <f t="shared" si="5"/>
        <v>103.74567018108903</v>
      </c>
      <c r="O18" s="6">
        <f t="shared" si="6"/>
        <v>99.485682914848752</v>
      </c>
      <c r="Q18">
        <f t="shared" si="0"/>
        <v>8.9019200000000004E-4</v>
      </c>
      <c r="R18">
        <f t="shared" si="0"/>
        <v>1.52767E-4</v>
      </c>
      <c r="T18">
        <f t="shared" si="7"/>
        <v>102.60299862131205</v>
      </c>
      <c r="U18">
        <f t="shared" si="7"/>
        <v>97.858617117452354</v>
      </c>
      <c r="W18">
        <f t="shared" si="8"/>
        <v>1.3764269881146589</v>
      </c>
      <c r="X18">
        <f t="shared" si="8"/>
        <v>1.1929288488212051</v>
      </c>
    </row>
    <row r="19" spans="1:24" x14ac:dyDescent="0.35">
      <c r="A19">
        <v>105.572</v>
      </c>
      <c r="B19">
        <v>1.1084999999999999E-3</v>
      </c>
      <c r="C19">
        <v>1.92139E-4</v>
      </c>
      <c r="D19">
        <f t="shared" si="1"/>
        <v>100.71779029620207</v>
      </c>
      <c r="E19">
        <f t="shared" si="2"/>
        <v>97.738880071623328</v>
      </c>
      <c r="G19" s="7">
        <v>1.0317900000000001E-3</v>
      </c>
      <c r="H19" s="7">
        <v>1.64034E-4</v>
      </c>
      <c r="I19" s="6">
        <f t="shared" si="3"/>
        <v>103.65560848782702</v>
      </c>
      <c r="J19" s="6">
        <f t="shared" si="4"/>
        <v>96.865514757118717</v>
      </c>
      <c r="L19" s="7">
        <v>5.3504799999999999E-4</v>
      </c>
      <c r="M19" s="7">
        <v>1.0369000000000001E-4</v>
      </c>
      <c r="N19" s="6">
        <f t="shared" si="5"/>
        <v>104.06113188905547</v>
      </c>
      <c r="O19" s="6">
        <f t="shared" si="6"/>
        <v>99.868049736581057</v>
      </c>
      <c r="Q19">
        <f t="shared" si="0"/>
        <v>8.9177933333333336E-4</v>
      </c>
      <c r="R19">
        <f t="shared" si="0"/>
        <v>1.5328766666666667E-4</v>
      </c>
      <c r="T19">
        <f t="shared" si="7"/>
        <v>102.81151022436153</v>
      </c>
      <c r="U19">
        <f t="shared" si="7"/>
        <v>98.157481521774358</v>
      </c>
      <c r="W19">
        <f t="shared" si="8"/>
        <v>1.4897113054582074</v>
      </c>
      <c r="X19">
        <f t="shared" si="8"/>
        <v>1.2610113550308586</v>
      </c>
    </row>
    <row r="20" spans="1:24" x14ac:dyDescent="0.35">
      <c r="A20">
        <v>111.81699999999999</v>
      </c>
      <c r="B20">
        <v>1.1091199999999999E-3</v>
      </c>
      <c r="C20">
        <v>1.9138299999999999E-4</v>
      </c>
      <c r="D20">
        <f t="shared" si="1"/>
        <v>100.77412320552426</v>
      </c>
      <c r="E20">
        <f t="shared" si="2"/>
        <v>97.354311642860054</v>
      </c>
      <c r="G20" s="7">
        <v>1.03377E-3</v>
      </c>
      <c r="H20" s="7">
        <v>1.64177E-4</v>
      </c>
      <c r="I20" s="6">
        <f t="shared" si="3"/>
        <v>103.85452309720094</v>
      </c>
      <c r="J20" s="6">
        <f t="shared" si="4"/>
        <v>96.949959254053923</v>
      </c>
      <c r="L20" s="7">
        <v>5.3719599999999998E-4</v>
      </c>
      <c r="M20" s="7">
        <v>1.0293600000000001E-4</v>
      </c>
      <c r="N20" s="6">
        <f t="shared" si="5"/>
        <v>104.47889498937116</v>
      </c>
      <c r="O20" s="6">
        <f t="shared" si="6"/>
        <v>99.141841717472346</v>
      </c>
      <c r="Q20">
        <f t="shared" si="0"/>
        <v>8.9336199999999998E-4</v>
      </c>
      <c r="R20">
        <f t="shared" si="0"/>
        <v>1.5283199999999999E-4</v>
      </c>
      <c r="T20">
        <f t="shared" si="7"/>
        <v>103.03584709736545</v>
      </c>
      <c r="U20">
        <f t="shared" si="7"/>
        <v>97.815370871462108</v>
      </c>
      <c r="W20">
        <f t="shared" si="8"/>
        <v>1.6194662262871264</v>
      </c>
      <c r="X20">
        <f t="shared" si="8"/>
        <v>0.95237208854860378</v>
      </c>
    </row>
    <row r="21" spans="1:24" x14ac:dyDescent="0.35">
      <c r="A21">
        <v>117.977</v>
      </c>
      <c r="B21">
        <v>1.1079600000000001E-3</v>
      </c>
      <c r="C21">
        <v>1.91819E-4</v>
      </c>
      <c r="D21">
        <f t="shared" si="1"/>
        <v>100.66872614937307</v>
      </c>
      <c r="E21">
        <f t="shared" si="2"/>
        <v>97.576099784316114</v>
      </c>
      <c r="G21" s="7">
        <v>1.0365999999999999E-3</v>
      </c>
      <c r="H21" s="7">
        <v>1.64671E-4</v>
      </c>
      <c r="I21" s="6">
        <f t="shared" si="3"/>
        <v>104.1388303419121</v>
      </c>
      <c r="J21" s="6">
        <f t="shared" si="4"/>
        <v>97.241676607102775</v>
      </c>
      <c r="L21" s="7">
        <v>5.3878400000000005E-4</v>
      </c>
      <c r="M21" s="7">
        <v>1.03414E-4</v>
      </c>
      <c r="N21" s="6">
        <f t="shared" si="5"/>
        <v>104.78774405980936</v>
      </c>
      <c r="O21" s="6">
        <f t="shared" si="6"/>
        <v>99.602222928525336</v>
      </c>
      <c r="Q21">
        <f t="shared" si="0"/>
        <v>8.9444800000000005E-4</v>
      </c>
      <c r="R21">
        <f t="shared" si="0"/>
        <v>1.5330133333333335E-4</v>
      </c>
      <c r="T21">
        <f t="shared" si="7"/>
        <v>103.1984335170315</v>
      </c>
      <c r="U21">
        <f t="shared" si="7"/>
        <v>98.139999773314742</v>
      </c>
      <c r="W21">
        <f t="shared" si="8"/>
        <v>1.8082840443927022</v>
      </c>
      <c r="X21">
        <f t="shared" si="8"/>
        <v>1.0429228581539114</v>
      </c>
    </row>
    <row r="22" spans="1:24" x14ac:dyDescent="0.35">
      <c r="A22">
        <v>124.10599999999999</v>
      </c>
      <c r="B22">
        <v>1.1090500000000001E-3</v>
      </c>
      <c r="C22">
        <v>1.91437E-4</v>
      </c>
      <c r="D22">
        <f t="shared" si="1"/>
        <v>100.76776303834274</v>
      </c>
      <c r="E22">
        <f t="shared" si="2"/>
        <v>97.381780816343138</v>
      </c>
      <c r="G22" s="7">
        <v>1.0397399999999999E-3</v>
      </c>
      <c r="H22" s="7">
        <v>1.65833E-4</v>
      </c>
      <c r="I22" s="6">
        <f t="shared" si="3"/>
        <v>104.4542807830404</v>
      </c>
      <c r="J22" s="6">
        <f t="shared" si="4"/>
        <v>97.927861959820945</v>
      </c>
      <c r="L22" s="7">
        <v>5.3969399999999996E-4</v>
      </c>
      <c r="M22" s="7">
        <v>1.03418E-4</v>
      </c>
      <c r="N22" s="6">
        <f t="shared" si="5"/>
        <v>104.96472935836022</v>
      </c>
      <c r="O22" s="6">
        <f t="shared" si="6"/>
        <v>99.606075490960933</v>
      </c>
      <c r="Q22">
        <f t="shared" si="0"/>
        <v>8.961613333333334E-4</v>
      </c>
      <c r="R22">
        <f t="shared" si="0"/>
        <v>1.5356266666666666E-4</v>
      </c>
      <c r="T22">
        <f t="shared" si="7"/>
        <v>103.39559105991445</v>
      </c>
      <c r="U22">
        <f t="shared" si="7"/>
        <v>98.30523942237501</v>
      </c>
      <c r="W22">
        <f t="shared" si="8"/>
        <v>1.8698038257581366</v>
      </c>
      <c r="X22">
        <f t="shared" si="8"/>
        <v>0.94646077989390798</v>
      </c>
    </row>
    <row r="23" spans="1:24" x14ac:dyDescent="0.35">
      <c r="A23">
        <v>130.37799999999999</v>
      </c>
      <c r="B23">
        <v>1.10914E-3</v>
      </c>
      <c r="C23">
        <v>1.91666E-4</v>
      </c>
      <c r="D23">
        <f t="shared" si="1"/>
        <v>100.77594039614756</v>
      </c>
      <c r="E23">
        <f t="shared" si="2"/>
        <v>97.498270459447369</v>
      </c>
      <c r="G23" s="7">
        <v>1.0420799999999999E-3</v>
      </c>
      <c r="H23" s="7">
        <v>1.64993E-4</v>
      </c>
      <c r="I23" s="6">
        <f t="shared" si="3"/>
        <v>104.68936168502773</v>
      </c>
      <c r="J23" s="6">
        <f t="shared" si="4"/>
        <v>97.431824355446366</v>
      </c>
      <c r="L23" s="7">
        <v>5.4238599999999995E-4</v>
      </c>
      <c r="M23" s="7">
        <v>1.03764E-4</v>
      </c>
      <c r="N23" s="6">
        <f t="shared" si="5"/>
        <v>105.48829465912823</v>
      </c>
      <c r="O23" s="6">
        <f t="shared" si="6"/>
        <v>99.939322141639465</v>
      </c>
      <c r="Q23">
        <f t="shared" si="0"/>
        <v>8.9786866666666644E-4</v>
      </c>
      <c r="R23">
        <f t="shared" si="0"/>
        <v>1.5347433333333334E-4</v>
      </c>
      <c r="T23">
        <f t="shared" si="7"/>
        <v>103.6511989134345</v>
      </c>
      <c r="U23">
        <f t="shared" si="7"/>
        <v>98.289805652177733</v>
      </c>
      <c r="W23">
        <f t="shared" si="8"/>
        <v>2.059110994288492</v>
      </c>
      <c r="X23">
        <f t="shared" si="8"/>
        <v>1.166699692276993</v>
      </c>
    </row>
    <row r="24" spans="1:24" x14ac:dyDescent="0.35">
      <c r="A24">
        <v>136.60400000000001</v>
      </c>
      <c r="B24">
        <v>1.10867E-3</v>
      </c>
      <c r="C24">
        <v>1.91404E-4</v>
      </c>
      <c r="D24">
        <f t="shared" si="1"/>
        <v>100.73323641650009</v>
      </c>
      <c r="E24">
        <f t="shared" si="2"/>
        <v>97.364994099214584</v>
      </c>
      <c r="G24" s="7">
        <v>1.0474E-3</v>
      </c>
      <c r="H24" s="7">
        <v>1.65038E-4</v>
      </c>
      <c r="I24" s="6">
        <f t="shared" si="3"/>
        <v>105.2238191203152</v>
      </c>
      <c r="J24" s="6">
        <f t="shared" si="4"/>
        <v>97.45839779853786</v>
      </c>
      <c r="L24" s="7">
        <v>5.4426099999999999E-4</v>
      </c>
      <c r="M24" s="7">
        <v>1.04517E-4</v>
      </c>
      <c r="N24" s="6">
        <f t="shared" si="5"/>
        <v>105.85296216987865</v>
      </c>
      <c r="O24" s="6">
        <f t="shared" si="6"/>
        <v>100.66456702013929</v>
      </c>
      <c r="Q24">
        <f t="shared" si="0"/>
        <v>9.0011033333333324E-4</v>
      </c>
      <c r="R24">
        <f t="shared" si="0"/>
        <v>1.5365299999999999E-4</v>
      </c>
      <c r="T24">
        <f t="shared" si="7"/>
        <v>103.93667256889798</v>
      </c>
      <c r="U24">
        <f t="shared" si="7"/>
        <v>98.495986305963925</v>
      </c>
      <c r="W24">
        <f t="shared" si="8"/>
        <v>2.2796867666517762</v>
      </c>
      <c r="X24">
        <f t="shared" si="8"/>
        <v>1.5338921731294888</v>
      </c>
    </row>
    <row r="25" spans="1:24" x14ac:dyDescent="0.35">
      <c r="A25">
        <v>142.80099999999999</v>
      </c>
      <c r="B25">
        <v>1.11082E-3</v>
      </c>
      <c r="C25">
        <v>1.9102999999999999E-4</v>
      </c>
      <c r="D25">
        <f t="shared" si="1"/>
        <v>100.92858440850445</v>
      </c>
      <c r="E25">
        <f t="shared" si="2"/>
        <v>97.174744638424286</v>
      </c>
      <c r="G25" s="7">
        <v>1.05123E-3</v>
      </c>
      <c r="H25" s="7">
        <v>1.65768E-4</v>
      </c>
      <c r="I25" s="6">
        <f t="shared" si="3"/>
        <v>105.6085882889526</v>
      </c>
      <c r="J25" s="6">
        <f t="shared" si="4"/>
        <v>97.88947809757768</v>
      </c>
      <c r="L25" s="7">
        <v>5.4630100000000001E-4</v>
      </c>
      <c r="M25" s="7">
        <v>1.04672E-4</v>
      </c>
      <c r="N25" s="6">
        <f t="shared" si="5"/>
        <v>106.24972042157508</v>
      </c>
      <c r="O25" s="6">
        <f t="shared" si="6"/>
        <v>100.8138538145184</v>
      </c>
      <c r="Q25">
        <f t="shared" si="0"/>
        <v>9.0278366666666663E-4</v>
      </c>
      <c r="R25">
        <f t="shared" si="0"/>
        <v>1.5382333333333333E-4</v>
      </c>
      <c r="T25">
        <f t="shared" si="7"/>
        <v>104.26229770634404</v>
      </c>
      <c r="U25">
        <f t="shared" si="7"/>
        <v>98.626025516840116</v>
      </c>
      <c r="W25">
        <f t="shared" si="8"/>
        <v>2.3717779360660596</v>
      </c>
      <c r="X25">
        <f t="shared" si="8"/>
        <v>1.574305238192329</v>
      </c>
    </row>
    <row r="26" spans="1:24" x14ac:dyDescent="0.35">
      <c r="A26">
        <v>148.94900000000001</v>
      </c>
      <c r="B26">
        <v>1.10852E-3</v>
      </c>
      <c r="C26">
        <v>1.90741E-4</v>
      </c>
      <c r="D26">
        <f t="shared" si="1"/>
        <v>100.71960748682538</v>
      </c>
      <c r="E26">
        <f t="shared" si="2"/>
        <v>97.027733691449953</v>
      </c>
      <c r="G26" s="7">
        <v>1.0568299999999999E-3</v>
      </c>
      <c r="H26" s="7">
        <v>1.6674800000000001E-4</v>
      </c>
      <c r="I26" s="6">
        <f t="shared" si="3"/>
        <v>106.17117506293938</v>
      </c>
      <c r="J26" s="6">
        <f t="shared" si="4"/>
        <v>98.468188636014702</v>
      </c>
      <c r="L26" s="7">
        <v>5.4896700000000003E-4</v>
      </c>
      <c r="M26" s="7">
        <v>1.04613E-4</v>
      </c>
      <c r="N26" s="6">
        <f t="shared" si="5"/>
        <v>106.76822899952738</v>
      </c>
      <c r="O26" s="6">
        <f t="shared" si="6"/>
        <v>100.75702851859343</v>
      </c>
      <c r="Q26">
        <f t="shared" si="0"/>
        <v>9.0477233333333335E-4</v>
      </c>
      <c r="R26">
        <f t="shared" si="0"/>
        <v>1.54034E-4</v>
      </c>
      <c r="T26">
        <f t="shared" si="7"/>
        <v>104.55300384976404</v>
      </c>
      <c r="U26">
        <f t="shared" si="7"/>
        <v>98.750983615352695</v>
      </c>
      <c r="W26">
        <f t="shared" si="8"/>
        <v>2.7215576553807508</v>
      </c>
      <c r="X26">
        <f t="shared" si="8"/>
        <v>1.5355541295558106</v>
      </c>
    </row>
    <row r="27" spans="1:24" x14ac:dyDescent="0.35">
      <c r="A27">
        <v>155.233</v>
      </c>
      <c r="B27">
        <v>1.1113200000000001E-3</v>
      </c>
      <c r="C27">
        <v>1.9221E-4</v>
      </c>
      <c r="D27">
        <f t="shared" si="1"/>
        <v>100.97401417408688</v>
      </c>
      <c r="E27">
        <f t="shared" si="2"/>
        <v>97.774996947869624</v>
      </c>
      <c r="G27" s="7">
        <v>1.06167E-3</v>
      </c>
      <c r="H27" s="7">
        <v>1.6622300000000001E-4</v>
      </c>
      <c r="I27" s="6">
        <f t="shared" si="3"/>
        <v>106.65741077474226</v>
      </c>
      <c r="J27" s="6">
        <f t="shared" si="4"/>
        <v>98.15816513328059</v>
      </c>
      <c r="L27" s="7">
        <v>5.5196100000000001E-4</v>
      </c>
      <c r="M27" s="7">
        <v>1.04942E-4</v>
      </c>
      <c r="N27" s="6">
        <f t="shared" si="5"/>
        <v>107.35053008069362</v>
      </c>
      <c r="O27" s="6">
        <f t="shared" si="6"/>
        <v>101.0739017789207</v>
      </c>
      <c r="Q27">
        <f t="shared" si="0"/>
        <v>9.0831700000000007E-4</v>
      </c>
      <c r="R27">
        <f t="shared" si="0"/>
        <v>1.5445833333333335E-4</v>
      </c>
      <c r="T27">
        <f t="shared" si="7"/>
        <v>104.99398500984091</v>
      </c>
      <c r="U27">
        <f t="shared" si="7"/>
        <v>99.002354620023638</v>
      </c>
      <c r="W27">
        <f t="shared" si="8"/>
        <v>2.8565979454945367</v>
      </c>
      <c r="X27">
        <f t="shared" si="8"/>
        <v>1.4731338903233131</v>
      </c>
    </row>
    <row r="28" spans="1:24" x14ac:dyDescent="0.35">
      <c r="A28">
        <v>161.44499999999999</v>
      </c>
      <c r="B28">
        <v>1.11199E-3</v>
      </c>
      <c r="C28">
        <v>1.9158900000000001E-4</v>
      </c>
      <c r="D28">
        <f t="shared" si="1"/>
        <v>101.03489005996728</v>
      </c>
      <c r="E28">
        <f t="shared" si="2"/>
        <v>97.459101452814068</v>
      </c>
      <c r="G28" s="7">
        <v>1.0678E-3</v>
      </c>
      <c r="H28" s="7">
        <v>1.6712300000000001E-4</v>
      </c>
      <c r="I28" s="6">
        <f t="shared" si="3"/>
        <v>107.27324236840994</v>
      </c>
      <c r="J28" s="6">
        <f t="shared" si="4"/>
        <v>98.689633995110484</v>
      </c>
      <c r="L28" s="7">
        <v>5.5526299999999996E-4</v>
      </c>
      <c r="M28" s="7">
        <v>1.0563799999999999E-4</v>
      </c>
      <c r="N28" s="6">
        <f t="shared" si="5"/>
        <v>107.99273387829244</v>
      </c>
      <c r="O28" s="6">
        <f t="shared" si="6"/>
        <v>101.74424764271338</v>
      </c>
      <c r="Q28">
        <f t="shared" si="0"/>
        <v>9.1168433333333333E-4</v>
      </c>
      <c r="R28">
        <f t="shared" si="0"/>
        <v>1.5478333333333332E-4</v>
      </c>
      <c r="T28">
        <f t="shared" si="7"/>
        <v>105.43362210222323</v>
      </c>
      <c r="U28">
        <f t="shared" si="7"/>
        <v>99.297661030212637</v>
      </c>
      <c r="W28">
        <f t="shared" si="8"/>
        <v>3.1242118678556441</v>
      </c>
      <c r="X28">
        <f t="shared" si="8"/>
        <v>1.8014609115499343</v>
      </c>
    </row>
    <row r="29" spans="1:24" x14ac:dyDescent="0.35">
      <c r="A29">
        <v>167.59</v>
      </c>
      <c r="B29">
        <v>1.1124100000000001E-3</v>
      </c>
      <c r="C29">
        <v>1.9193500000000001E-4</v>
      </c>
      <c r="D29">
        <f t="shared" si="1"/>
        <v>101.07305106305652</v>
      </c>
      <c r="E29">
        <f t="shared" si="2"/>
        <v>97.635107638464987</v>
      </c>
      <c r="G29" s="7">
        <v>1.0711399999999999E-3</v>
      </c>
      <c r="H29" s="7">
        <v>1.68529E-4</v>
      </c>
      <c r="I29" s="6">
        <f t="shared" si="3"/>
        <v>107.60878519432349</v>
      </c>
      <c r="J29" s="6">
        <f t="shared" si="4"/>
        <v>99.519906461480318</v>
      </c>
      <c r="L29" s="7">
        <v>5.5802399999999995E-4</v>
      </c>
      <c r="M29" s="7">
        <v>1.0579899999999999E-4</v>
      </c>
      <c r="N29" s="6">
        <f t="shared" si="5"/>
        <v>108.52971894345609</v>
      </c>
      <c r="O29" s="6">
        <f t="shared" si="6"/>
        <v>101.89931328074586</v>
      </c>
      <c r="Q29">
        <f t="shared" si="0"/>
        <v>9.1385800000000003E-4</v>
      </c>
      <c r="R29">
        <f t="shared" si="0"/>
        <v>1.5542100000000002E-4</v>
      </c>
      <c r="T29">
        <f t="shared" si="7"/>
        <v>105.73718506694536</v>
      </c>
      <c r="U29">
        <f t="shared" si="7"/>
        <v>99.68477579356373</v>
      </c>
      <c r="W29">
        <f t="shared" si="8"/>
        <v>3.3194014768978035</v>
      </c>
      <c r="X29">
        <f t="shared" si="8"/>
        <v>1.7447538245477925</v>
      </c>
    </row>
    <row r="30" spans="1:24" x14ac:dyDescent="0.35">
      <c r="A30">
        <v>173.74799999999999</v>
      </c>
      <c r="B30">
        <v>1.1139699999999999E-3</v>
      </c>
      <c r="C30">
        <v>1.92349E-4</v>
      </c>
      <c r="D30">
        <f t="shared" si="1"/>
        <v>101.21479193167362</v>
      </c>
      <c r="E30">
        <f t="shared" si="2"/>
        <v>97.845704635168687</v>
      </c>
      <c r="G30" s="7">
        <v>1.0800899999999999E-3</v>
      </c>
      <c r="H30" s="7">
        <v>1.68918E-4</v>
      </c>
      <c r="I30" s="6">
        <f t="shared" si="3"/>
        <v>108.5079194134631</v>
      </c>
      <c r="J30" s="6">
        <f t="shared" si="4"/>
        <v>99.749619113982348</v>
      </c>
      <c r="L30" s="7">
        <v>5.6116100000000002E-4</v>
      </c>
      <c r="M30" s="7">
        <v>1.0641600000000001E-4</v>
      </c>
      <c r="N30" s="6">
        <f t="shared" si="5"/>
        <v>109.13983200010891</v>
      </c>
      <c r="O30" s="6">
        <f t="shared" si="6"/>
        <v>102.49357103643561</v>
      </c>
      <c r="Q30">
        <f t="shared" si="0"/>
        <v>9.1840699999999999E-4</v>
      </c>
      <c r="R30">
        <f t="shared" si="0"/>
        <v>1.5589433333333333E-4</v>
      </c>
      <c r="T30">
        <f t="shared" si="7"/>
        <v>106.28751444841521</v>
      </c>
      <c r="U30">
        <f t="shared" si="7"/>
        <v>100.02963159519554</v>
      </c>
      <c r="W30">
        <f t="shared" si="8"/>
        <v>3.5962215058014446</v>
      </c>
      <c r="X30">
        <f t="shared" si="8"/>
        <v>1.9077859354467885</v>
      </c>
    </row>
    <row r="31" spans="1:24" x14ac:dyDescent="0.35">
      <c r="A31">
        <v>179.999</v>
      </c>
      <c r="B31">
        <v>1.1150800000000001E-3</v>
      </c>
      <c r="C31">
        <v>1.9192999999999999E-4</v>
      </c>
      <c r="D31">
        <f t="shared" si="1"/>
        <v>101.31564601126659</v>
      </c>
      <c r="E31">
        <f t="shared" si="2"/>
        <v>97.632564196475798</v>
      </c>
      <c r="G31" s="7">
        <v>1.0875500000000001E-3</v>
      </c>
      <c r="H31" s="7">
        <v>1.6978699999999999E-4</v>
      </c>
      <c r="I31" s="6">
        <f t="shared" si="3"/>
        <v>109.25736536595265</v>
      </c>
      <c r="J31" s="6">
        <f t="shared" si="4"/>
        <v>100.262781826127</v>
      </c>
      <c r="L31" s="7">
        <v>5.6639099999999996E-4</v>
      </c>
      <c r="M31" s="7">
        <v>1.0756600000000001E-4</v>
      </c>
      <c r="N31" s="6">
        <f t="shared" si="5"/>
        <v>110.15701124342867</v>
      </c>
      <c r="O31" s="6">
        <f t="shared" si="6"/>
        <v>103.60118273666774</v>
      </c>
      <c r="Q31">
        <f t="shared" si="0"/>
        <v>9.2300699999999999E-4</v>
      </c>
      <c r="R31">
        <f t="shared" si="0"/>
        <v>1.5642766666666667E-4</v>
      </c>
      <c r="T31">
        <f t="shared" si="7"/>
        <v>106.91000754021597</v>
      </c>
      <c r="U31">
        <f t="shared" si="7"/>
        <v>100.49884291975684</v>
      </c>
      <c r="W31">
        <f t="shared" si="8"/>
        <v>3.9728244666027814</v>
      </c>
      <c r="X31">
        <f t="shared" si="8"/>
        <v>2.4423889192789683</v>
      </c>
    </row>
    <row r="32" spans="1:24" x14ac:dyDescent="0.35">
      <c r="A32">
        <v>193.20699999999999</v>
      </c>
      <c r="B32">
        <v>3.4242199999999999E-6</v>
      </c>
      <c r="C32">
        <v>2.8894099999999998E-5</v>
      </c>
      <c r="D32">
        <f t="shared" si="1"/>
        <v>0.31112302380519719</v>
      </c>
      <c r="E32">
        <f t="shared" si="2"/>
        <v>14.698093435884912</v>
      </c>
      <c r="G32" s="7">
        <v>6.0126300000000002E-6</v>
      </c>
      <c r="H32" s="7">
        <v>2.9859500000000001E-5</v>
      </c>
      <c r="I32" s="6">
        <f t="shared" si="3"/>
        <v>0.60404037765646434</v>
      </c>
      <c r="J32" s="6">
        <f t="shared" si="4"/>
        <v>17.632660533122323</v>
      </c>
      <c r="L32" s="7">
        <v>6.02838E-6</v>
      </c>
      <c r="M32" s="7">
        <v>2.1939699999999999E-5</v>
      </c>
      <c r="N32" s="6">
        <f t="shared" si="5"/>
        <v>1.1724556418439922</v>
      </c>
      <c r="O32" s="6">
        <f t="shared" si="6"/>
        <v>21.131016017028326</v>
      </c>
      <c r="Q32">
        <f t="shared" si="0"/>
        <v>5.1550766666666673E-6</v>
      </c>
      <c r="R32">
        <f t="shared" si="0"/>
        <v>2.6897766666666668E-5</v>
      </c>
      <c r="T32">
        <f t="shared" si="7"/>
        <v>0.69587301443521798</v>
      </c>
      <c r="U32">
        <f t="shared" si="7"/>
        <v>17.820589995345188</v>
      </c>
      <c r="W32">
        <f t="shared" si="8"/>
        <v>0.35758299233203195</v>
      </c>
      <c r="X32">
        <f t="shared" si="8"/>
        <v>2.629589492148249</v>
      </c>
    </row>
    <row r="33" spans="1:24" x14ac:dyDescent="0.35">
      <c r="A33">
        <v>199.40899999999999</v>
      </c>
      <c r="B33">
        <v>3.3844300000000001E-6</v>
      </c>
      <c r="C33">
        <v>2.8668799999999999E-5</v>
      </c>
      <c r="D33">
        <f t="shared" si="1"/>
        <v>0.30750772306014906</v>
      </c>
      <c r="E33">
        <f t="shared" si="2"/>
        <v>14.583485939852684</v>
      </c>
      <c r="G33" s="7">
        <v>5.8337900000000001E-6</v>
      </c>
      <c r="H33" s="7">
        <v>2.94726E-5</v>
      </c>
      <c r="I33" s="6">
        <f t="shared" si="3"/>
        <v>0.5860737671815005</v>
      </c>
      <c r="J33" s="6">
        <f t="shared" si="4"/>
        <v>17.40418797463122</v>
      </c>
      <c r="L33" s="7">
        <v>5.8752199999999998E-6</v>
      </c>
      <c r="M33" s="7">
        <v>2.1589800000000001E-5</v>
      </c>
      <c r="N33" s="6">
        <f t="shared" si="5"/>
        <v>1.142667654672509</v>
      </c>
      <c r="O33" s="6">
        <f t="shared" si="6"/>
        <v>20.794013117975098</v>
      </c>
      <c r="Q33">
        <f t="shared" si="0"/>
        <v>5.0311466666666663E-6</v>
      </c>
      <c r="R33">
        <f t="shared" si="0"/>
        <v>2.6577066666666667E-5</v>
      </c>
      <c r="T33">
        <f t="shared" si="7"/>
        <v>0.67874971497138625</v>
      </c>
      <c r="U33">
        <f t="shared" si="7"/>
        <v>17.593895677486334</v>
      </c>
      <c r="W33">
        <f t="shared" si="8"/>
        <v>0.34719317516022269</v>
      </c>
      <c r="X33">
        <f t="shared" si="8"/>
        <v>2.5389832239095482</v>
      </c>
    </row>
    <row r="34" spans="1:24" x14ac:dyDescent="0.35">
      <c r="A34">
        <v>205.65700000000001</v>
      </c>
      <c r="B34">
        <v>3.31971E-6</v>
      </c>
      <c r="C34">
        <v>2.83709E-5</v>
      </c>
      <c r="D34">
        <f t="shared" si="1"/>
        <v>0.30162729420316192</v>
      </c>
      <c r="E34">
        <f t="shared" si="2"/>
        <v>14.431947666137631</v>
      </c>
      <c r="G34" s="7">
        <v>5.6497000000000003E-6</v>
      </c>
      <c r="H34" s="7">
        <v>2.9016499999999999E-5</v>
      </c>
      <c r="I34" s="6">
        <f t="shared" si="3"/>
        <v>0.56757973160592401</v>
      </c>
      <c r="J34" s="6">
        <f t="shared" si="4"/>
        <v>17.134851365874972</v>
      </c>
      <c r="L34" s="7">
        <v>5.7078200000000004E-6</v>
      </c>
      <c r="M34" s="7">
        <v>2.1288600000000001E-5</v>
      </c>
      <c r="N34" s="6">
        <f t="shared" si="5"/>
        <v>1.1101101393127135</v>
      </c>
      <c r="O34" s="6">
        <f t="shared" si="6"/>
        <v>20.503915166575169</v>
      </c>
      <c r="Q34">
        <f t="shared" si="0"/>
        <v>4.8924100000000006E-6</v>
      </c>
      <c r="R34">
        <f t="shared" si="0"/>
        <v>2.6225333333333335E-5</v>
      </c>
      <c r="T34">
        <f t="shared" si="7"/>
        <v>0.65977238837393315</v>
      </c>
      <c r="U34">
        <f t="shared" si="7"/>
        <v>17.356904732862592</v>
      </c>
      <c r="W34">
        <f t="shared" si="8"/>
        <v>0.33643795087214018</v>
      </c>
      <c r="X34">
        <f t="shared" si="8"/>
        <v>2.483838173061383</v>
      </c>
    </row>
    <row r="35" spans="1:24" x14ac:dyDescent="0.35">
      <c r="A35">
        <v>211.864</v>
      </c>
      <c r="B35">
        <v>3.2630299999999999E-6</v>
      </c>
      <c r="C35">
        <v>2.8170500000000001E-5</v>
      </c>
      <c r="D35">
        <f t="shared" si="1"/>
        <v>0.29647737597673995</v>
      </c>
      <c r="E35">
        <f t="shared" si="2"/>
        <v>14.330006511211494</v>
      </c>
      <c r="G35" s="7">
        <v>5.4643700000000002E-6</v>
      </c>
      <c r="H35" s="7">
        <v>2.8629800000000002E-5</v>
      </c>
      <c r="I35" s="6">
        <f t="shared" si="3"/>
        <v>0.54896112324467905</v>
      </c>
      <c r="J35" s="6">
        <f t="shared" si="4"/>
        <v>16.906496911575392</v>
      </c>
      <c r="L35" s="7">
        <v>5.5704099999999999E-6</v>
      </c>
      <c r="M35" s="7">
        <v>2.10745E-5</v>
      </c>
      <c r="N35" s="6">
        <f t="shared" si="5"/>
        <v>1.0833853592315337</v>
      </c>
      <c r="O35" s="6">
        <f t="shared" si="6"/>
        <v>20.297706762210215</v>
      </c>
      <c r="Q35">
        <f t="shared" si="0"/>
        <v>4.7659366666666668E-6</v>
      </c>
      <c r="R35">
        <f t="shared" si="0"/>
        <v>2.5958266666666668E-5</v>
      </c>
      <c r="T35">
        <f t="shared" si="7"/>
        <v>0.64294128615098423</v>
      </c>
      <c r="U35">
        <f t="shared" si="7"/>
        <v>17.1780700616657</v>
      </c>
      <c r="W35">
        <f t="shared" si="8"/>
        <v>0.32805512422198541</v>
      </c>
      <c r="X35">
        <f t="shared" si="8"/>
        <v>2.4438597277435261</v>
      </c>
    </row>
    <row r="36" spans="1:24" x14ac:dyDescent="0.35">
      <c r="A36">
        <v>217.958</v>
      </c>
      <c r="B36">
        <v>3.22041E-6</v>
      </c>
      <c r="C36">
        <v>2.79846E-5</v>
      </c>
      <c r="D36">
        <f t="shared" si="1"/>
        <v>0.29260494275849536</v>
      </c>
      <c r="E36">
        <f t="shared" si="2"/>
        <v>14.235441338053962</v>
      </c>
      <c r="G36" s="7">
        <v>5.3455599999999999E-6</v>
      </c>
      <c r="H36" s="7">
        <v>2.83588E-5</v>
      </c>
      <c r="I36" s="6">
        <f t="shared" si="3"/>
        <v>0.53702524206300561</v>
      </c>
      <c r="J36" s="6">
        <f t="shared" si="4"/>
        <v>16.746465732068831</v>
      </c>
      <c r="L36" s="7">
        <v>5.4623000000000002E-6</v>
      </c>
      <c r="M36" s="7">
        <v>2.0907299999999999E-5</v>
      </c>
      <c r="N36" s="6">
        <f t="shared" si="5"/>
        <v>1.0623591167850133</v>
      </c>
      <c r="O36" s="6">
        <f t="shared" si="6"/>
        <v>20.136669652402556</v>
      </c>
      <c r="Q36">
        <f t="shared" si="0"/>
        <v>4.6760900000000002E-6</v>
      </c>
      <c r="R36">
        <f t="shared" si="0"/>
        <v>2.5750233333333333E-5</v>
      </c>
      <c r="T36">
        <f t="shared" si="7"/>
        <v>0.63066310053550467</v>
      </c>
      <c r="U36">
        <f t="shared" si="7"/>
        <v>17.039525574175116</v>
      </c>
      <c r="W36">
        <f t="shared" si="8"/>
        <v>0.32115044087602579</v>
      </c>
      <c r="X36">
        <f t="shared" si="8"/>
        <v>2.4180621659790509</v>
      </c>
    </row>
    <row r="37" spans="1:24" x14ac:dyDescent="0.35">
      <c r="A37">
        <v>224.30799999999999</v>
      </c>
      <c r="B37">
        <v>3.19241E-6</v>
      </c>
      <c r="C37">
        <v>2.7843599999999999E-5</v>
      </c>
      <c r="D37">
        <f t="shared" si="1"/>
        <v>0.29006087588588042</v>
      </c>
      <c r="E37">
        <f t="shared" si="2"/>
        <v>14.163716273959222</v>
      </c>
      <c r="G37" s="7">
        <v>5.1955100000000003E-6</v>
      </c>
      <c r="H37" s="7">
        <v>2.7842299999999999E-5</v>
      </c>
      <c r="I37" s="6">
        <f t="shared" si="3"/>
        <v>0.52195093037787743</v>
      </c>
      <c r="J37" s="6">
        <f t="shared" si="4"/>
        <v>16.441461657474225</v>
      </c>
      <c r="L37" s="7">
        <v>5.3602900000000003E-6</v>
      </c>
      <c r="M37" s="7">
        <v>2.07531E-5</v>
      </c>
      <c r="N37" s="6">
        <f t="shared" si="5"/>
        <v>1.0425192593068011</v>
      </c>
      <c r="O37" s="6">
        <f t="shared" si="6"/>
        <v>19.98815337051056</v>
      </c>
      <c r="Q37">
        <f t="shared" si="0"/>
        <v>4.5827366666666666E-6</v>
      </c>
      <c r="R37">
        <f t="shared" si="0"/>
        <v>2.5479666666666669E-5</v>
      </c>
      <c r="T37">
        <f t="shared" si="7"/>
        <v>0.61817702185685297</v>
      </c>
      <c r="U37">
        <f t="shared" si="7"/>
        <v>16.864443767314668</v>
      </c>
      <c r="W37">
        <f t="shared" si="8"/>
        <v>0.31463523876185717</v>
      </c>
      <c r="X37">
        <f t="shared" si="8"/>
        <v>2.39655339628318</v>
      </c>
    </row>
    <row r="38" spans="1:24" x14ac:dyDescent="0.35">
      <c r="A38">
        <v>230.453</v>
      </c>
      <c r="B38">
        <v>3.1591399999999998E-6</v>
      </c>
      <c r="C38">
        <v>2.76943E-5</v>
      </c>
      <c r="D38">
        <f t="shared" si="1"/>
        <v>0.28703797928402691</v>
      </c>
      <c r="E38">
        <f t="shared" si="2"/>
        <v>14.087769096162456</v>
      </c>
      <c r="G38" s="7">
        <v>5.0907399999999996E-6</v>
      </c>
      <c r="H38" s="7">
        <v>2.75321E-5</v>
      </c>
      <c r="I38" s="6">
        <f t="shared" si="3"/>
        <v>0.51142553460812812</v>
      </c>
      <c r="J38" s="6">
        <f t="shared" si="4"/>
        <v>16.258282056430183</v>
      </c>
      <c r="L38" s="7">
        <v>5.2712600000000004E-6</v>
      </c>
      <c r="M38" s="7">
        <v>2.0628600000000001E-5</v>
      </c>
      <c r="N38" s="6">
        <f t="shared" si="5"/>
        <v>1.0252038734496769</v>
      </c>
      <c r="O38" s="6">
        <f t="shared" si="6"/>
        <v>19.868242364702827</v>
      </c>
      <c r="Q38">
        <f t="shared" si="0"/>
        <v>4.5070466666666665E-6</v>
      </c>
      <c r="R38">
        <f t="shared" si="0"/>
        <v>2.5284999999999999E-5</v>
      </c>
      <c r="T38">
        <f t="shared" si="7"/>
        <v>0.60788912911394399</v>
      </c>
      <c r="U38">
        <f t="shared" si="7"/>
        <v>16.738097839098486</v>
      </c>
      <c r="W38">
        <f t="shared" si="8"/>
        <v>0.30897803657226752</v>
      </c>
      <c r="X38">
        <f t="shared" si="8"/>
        <v>2.3841329928020265</v>
      </c>
    </row>
    <row r="39" spans="1:24" x14ac:dyDescent="0.35">
      <c r="A39">
        <v>236.73099999999999</v>
      </c>
      <c r="B39">
        <v>3.1308300000000001E-6</v>
      </c>
      <c r="C39">
        <v>2.75828E-5</v>
      </c>
      <c r="D39">
        <f t="shared" si="1"/>
        <v>0.28446574595675089</v>
      </c>
      <c r="E39">
        <f t="shared" si="2"/>
        <v>14.03105033980385</v>
      </c>
      <c r="G39" s="7">
        <v>4.9941500000000003E-6</v>
      </c>
      <c r="H39" s="7">
        <v>2.72663E-5</v>
      </c>
      <c r="I39" s="6">
        <f t="shared" si="3"/>
        <v>0.50172191737609528</v>
      </c>
      <c r="J39" s="6">
        <f t="shared" si="4"/>
        <v>16.101321585903083</v>
      </c>
      <c r="L39" s="7">
        <v>5.1993600000000003E-6</v>
      </c>
      <c r="M39" s="7">
        <v>2.0525100000000001E-5</v>
      </c>
      <c r="N39" s="6">
        <f t="shared" si="5"/>
        <v>1.0112200899707682</v>
      </c>
      <c r="O39" s="6">
        <f t="shared" si="6"/>
        <v>19.768557311681935</v>
      </c>
      <c r="Q39">
        <f t="shared" si="0"/>
        <v>4.4414466666666666E-6</v>
      </c>
      <c r="R39">
        <f t="shared" si="0"/>
        <v>2.5124733333333334E-5</v>
      </c>
      <c r="T39">
        <f t="shared" si="7"/>
        <v>0.59913591776787145</v>
      </c>
      <c r="U39">
        <f t="shared" si="7"/>
        <v>16.633643079129623</v>
      </c>
      <c r="W39">
        <f t="shared" si="8"/>
        <v>0.30458724501644052</v>
      </c>
      <c r="X39">
        <f t="shared" si="8"/>
        <v>2.3723787207780407</v>
      </c>
    </row>
    <row r="40" spans="1:24" x14ac:dyDescent="0.35">
      <c r="A40">
        <v>242.83</v>
      </c>
      <c r="B40">
        <v>3.10517E-6</v>
      </c>
      <c r="C40">
        <v>2.7488399999999999E-5</v>
      </c>
      <c r="D40">
        <f t="shared" si="1"/>
        <v>0.28213429038706161</v>
      </c>
      <c r="E40">
        <f t="shared" si="2"/>
        <v>13.983030155048223</v>
      </c>
      <c r="G40" s="7">
        <v>4.9175400000000002E-6</v>
      </c>
      <c r="H40" s="7">
        <v>2.71424E-5</v>
      </c>
      <c r="I40" s="6">
        <f t="shared" si="3"/>
        <v>0.4940255293841081</v>
      </c>
      <c r="J40" s="6">
        <f t="shared" si="4"/>
        <v>16.028156039257833</v>
      </c>
      <c r="L40" s="7">
        <v>5.1229200000000002E-6</v>
      </c>
      <c r="M40" s="7">
        <v>2.0433700000000001E-5</v>
      </c>
      <c r="N40" s="6">
        <f t="shared" si="5"/>
        <v>0.99635332489249584</v>
      </c>
      <c r="O40" s="6">
        <f t="shared" si="6"/>
        <v>19.680526260028703</v>
      </c>
      <c r="Q40">
        <f t="shared" si="0"/>
        <v>4.3818766666666668E-6</v>
      </c>
      <c r="R40">
        <f t="shared" si="0"/>
        <v>2.5021499999999998E-5</v>
      </c>
      <c r="T40">
        <f t="shared" si="7"/>
        <v>0.5908377148878885</v>
      </c>
      <c r="U40">
        <f t="shared" si="7"/>
        <v>16.56390415144492</v>
      </c>
      <c r="W40">
        <f t="shared" si="8"/>
        <v>0.29950699130291053</v>
      </c>
      <c r="X40">
        <f t="shared" si="8"/>
        <v>2.3566409705837437</v>
      </c>
    </row>
    <row r="41" spans="1:24" x14ac:dyDescent="0.35">
      <c r="A41">
        <v>249.16</v>
      </c>
      <c r="B41">
        <v>3.0837900000000002E-6</v>
      </c>
      <c r="C41">
        <v>2.73882E-5</v>
      </c>
      <c r="D41">
        <f t="shared" si="1"/>
        <v>0.28019171361075779</v>
      </c>
      <c r="E41">
        <f t="shared" si="2"/>
        <v>13.932059577585154</v>
      </c>
      <c r="G41" s="7">
        <v>4.8456900000000002E-6</v>
      </c>
      <c r="H41" s="7">
        <v>2.7001499999999999E-5</v>
      </c>
      <c r="I41" s="6">
        <f t="shared" si="3"/>
        <v>0.48680734015000976</v>
      </c>
      <c r="J41" s="6">
        <f t="shared" si="4"/>
        <v>15.944951636333574</v>
      </c>
      <c r="L41" s="7">
        <v>5.0519699999999997E-6</v>
      </c>
      <c r="M41" s="7">
        <v>2.03485E-5</v>
      </c>
      <c r="N41" s="6">
        <f t="shared" si="5"/>
        <v>0.98255430628570084</v>
      </c>
      <c r="O41" s="6">
        <f t="shared" si="6"/>
        <v>19.598466680150636</v>
      </c>
      <c r="Q41">
        <f t="shared" si="0"/>
        <v>4.3271500000000006E-6</v>
      </c>
      <c r="R41">
        <f t="shared" si="0"/>
        <v>2.4912733333333333E-5</v>
      </c>
      <c r="T41">
        <f t="shared" si="7"/>
        <v>0.58318445334882274</v>
      </c>
      <c r="U41">
        <f t="shared" si="7"/>
        <v>16.491825964689788</v>
      </c>
      <c r="W41">
        <f t="shared" si="8"/>
        <v>0.2947255376998173</v>
      </c>
      <c r="X41">
        <f t="shared" si="8"/>
        <v>2.3453991858192551</v>
      </c>
    </row>
    <row r="42" spans="1:24" x14ac:dyDescent="0.35">
      <c r="A42">
        <v>262.286</v>
      </c>
      <c r="B42">
        <v>7.5606700000000002E-4</v>
      </c>
      <c r="C42">
        <v>1.76062E-4</v>
      </c>
      <c r="D42">
        <f t="shared" si="1"/>
        <v>68.695893149191363</v>
      </c>
      <c r="E42">
        <f t="shared" si="2"/>
        <v>89.560696699629673</v>
      </c>
      <c r="G42" s="7">
        <v>6.3441599999999995E-4</v>
      </c>
      <c r="H42" s="7">
        <v>1.42571E-4</v>
      </c>
      <c r="I42" s="6">
        <f t="shared" si="3"/>
        <v>63.734651929572159</v>
      </c>
      <c r="J42" s="6">
        <f t="shared" si="4"/>
        <v>84.191163444390639</v>
      </c>
      <c r="L42" s="7">
        <v>3.5077399999999999E-4</v>
      </c>
      <c r="M42" s="7">
        <v>1.0129899999999999E-4</v>
      </c>
      <c r="N42" s="6">
        <f t="shared" si="5"/>
        <v>68.221803421845422</v>
      </c>
      <c r="O42" s="6">
        <f t="shared" si="6"/>
        <v>97.565180540707146</v>
      </c>
      <c r="Q42">
        <f t="shared" si="0"/>
        <v>5.8041899999999999E-4</v>
      </c>
      <c r="R42">
        <f t="shared" si="0"/>
        <v>1.3997733333333335E-4</v>
      </c>
      <c r="T42">
        <f t="shared" si="7"/>
        <v>66.884116166869646</v>
      </c>
      <c r="U42">
        <f t="shared" si="7"/>
        <v>90.439013561575834</v>
      </c>
      <c r="W42">
        <f t="shared" si="8"/>
        <v>2.2354021269718829</v>
      </c>
      <c r="X42">
        <f t="shared" si="8"/>
        <v>5.495128976686277</v>
      </c>
    </row>
    <row r="43" spans="1:24" x14ac:dyDescent="0.35">
      <c r="A43">
        <v>268.49799999999999</v>
      </c>
      <c r="B43">
        <v>7.7899700000000002E-4</v>
      </c>
      <c r="C43">
        <v>1.7728700000000001E-4</v>
      </c>
      <c r="D43">
        <f t="shared" si="1"/>
        <v>70.77930219880065</v>
      </c>
      <c r="E43">
        <f t="shared" si="2"/>
        <v>90.183839986977588</v>
      </c>
      <c r="G43" s="7">
        <v>6.5101500000000001E-4</v>
      </c>
      <c r="H43" s="7">
        <v>1.4075399999999999E-4</v>
      </c>
      <c r="I43" s="6">
        <f t="shared" si="3"/>
        <v>65.402219404823384</v>
      </c>
      <c r="J43" s="6">
        <f t="shared" si="4"/>
        <v>83.1181868644518</v>
      </c>
      <c r="L43" s="7">
        <v>3.6317499999999998E-4</v>
      </c>
      <c r="M43" s="7">
        <v>9.9547099999999994E-5</v>
      </c>
      <c r="N43" s="6">
        <f t="shared" si="5"/>
        <v>70.633665715613787</v>
      </c>
      <c r="O43" s="6">
        <f t="shared" si="6"/>
        <v>95.87785450797962</v>
      </c>
      <c r="Q43">
        <f t="shared" si="0"/>
        <v>5.9772899999999997E-4</v>
      </c>
      <c r="R43">
        <f t="shared" si="0"/>
        <v>1.3919603333333334E-4</v>
      </c>
      <c r="T43">
        <f t="shared" si="7"/>
        <v>68.938395773079279</v>
      </c>
      <c r="U43">
        <f t="shared" si="7"/>
        <v>89.726627119803013</v>
      </c>
      <c r="W43">
        <f t="shared" si="8"/>
        <v>2.5011610606366155</v>
      </c>
      <c r="X43">
        <f t="shared" si="8"/>
        <v>5.2191354518895308</v>
      </c>
    </row>
    <row r="44" spans="1:24" x14ac:dyDescent="0.35">
      <c r="A44">
        <v>274.608</v>
      </c>
      <c r="B44">
        <v>7.9126200000000004E-4</v>
      </c>
      <c r="C44">
        <v>1.7407800000000001E-4</v>
      </c>
      <c r="D44">
        <f t="shared" si="1"/>
        <v>71.893694348537167</v>
      </c>
      <c r="E44">
        <f t="shared" si="2"/>
        <v>88.551458918324997</v>
      </c>
      <c r="G44" s="7">
        <v>6.6231700000000005E-4</v>
      </c>
      <c r="H44" s="7">
        <v>1.3779299999999999E-4</v>
      </c>
      <c r="I44" s="6">
        <f t="shared" si="3"/>
        <v>66.537640069037437</v>
      </c>
      <c r="J44" s="6">
        <f t="shared" si="4"/>
        <v>81.369654309031418</v>
      </c>
      <c r="L44" s="7">
        <v>3.7172000000000003E-4</v>
      </c>
      <c r="M44" s="7">
        <v>9.6777300000000006E-5</v>
      </c>
      <c r="N44" s="6">
        <f t="shared" si="5"/>
        <v>72.295577117940283</v>
      </c>
      <c r="O44" s="6">
        <f t="shared" si="6"/>
        <v>93.210147649455351</v>
      </c>
      <c r="Q44">
        <f t="shared" si="0"/>
        <v>6.0843300000000002E-4</v>
      </c>
      <c r="R44">
        <f t="shared" si="0"/>
        <v>1.3621610000000002E-4</v>
      </c>
      <c r="T44">
        <f t="shared" si="7"/>
        <v>70.242303845171634</v>
      </c>
      <c r="U44">
        <f t="shared" si="7"/>
        <v>87.710420292270598</v>
      </c>
      <c r="W44">
        <f t="shared" si="8"/>
        <v>2.6247257267171644</v>
      </c>
      <c r="X44">
        <f t="shared" si="8"/>
        <v>4.8703066374402955</v>
      </c>
    </row>
    <row r="45" spans="1:24" x14ac:dyDescent="0.35">
      <c r="A45">
        <v>280.779</v>
      </c>
      <c r="B45">
        <v>8.0140400000000003E-4</v>
      </c>
      <c r="C45">
        <v>1.7236399999999999E-4</v>
      </c>
      <c r="D45">
        <f t="shared" si="1"/>
        <v>72.815191713610758</v>
      </c>
      <c r="E45">
        <f t="shared" si="2"/>
        <v>87.679567004435754</v>
      </c>
      <c r="G45" s="7">
        <v>6.69654E-4</v>
      </c>
      <c r="H45" s="7">
        <v>1.34599E-4</v>
      </c>
      <c r="I45" s="6">
        <f t="shared" si="3"/>
        <v>67.274729204884054</v>
      </c>
      <c r="J45" s="6">
        <f t="shared" si="4"/>
        <v>79.483530370492844</v>
      </c>
      <c r="L45" s="7">
        <v>3.7825800000000002E-4</v>
      </c>
      <c r="M45" s="7">
        <v>9.4707600000000001E-5</v>
      </c>
      <c r="N45" s="6">
        <f t="shared" si="5"/>
        <v>73.567148416759537</v>
      </c>
      <c r="O45" s="6">
        <f t="shared" si="6"/>
        <v>91.216735531220209</v>
      </c>
      <c r="Q45">
        <f t="shared" si="0"/>
        <v>6.1643866666666661E-4</v>
      </c>
      <c r="R45">
        <f t="shared" si="0"/>
        <v>1.3389019999999999E-4</v>
      </c>
      <c r="T45">
        <f t="shared" si="7"/>
        <v>71.21902311175144</v>
      </c>
      <c r="U45">
        <f t="shared" si="7"/>
        <v>86.126610968716264</v>
      </c>
      <c r="W45">
        <f t="shared" si="8"/>
        <v>2.8058807932229342</v>
      </c>
      <c r="X45">
        <f t="shared" si="8"/>
        <v>4.9143178687442131</v>
      </c>
    </row>
    <row r="46" spans="1:24" x14ac:dyDescent="0.35">
      <c r="A46">
        <v>287.00099999999998</v>
      </c>
      <c r="B46">
        <v>8.1024299999999999E-4</v>
      </c>
      <c r="C46">
        <v>1.6969700000000001E-4</v>
      </c>
      <c r="D46">
        <f t="shared" si="1"/>
        <v>73.618299109576597</v>
      </c>
      <c r="E46">
        <f t="shared" si="2"/>
        <v>86.322895047409759</v>
      </c>
      <c r="G46" s="7">
        <v>6.7532599999999996E-4</v>
      </c>
      <c r="H46" s="7">
        <v>1.3397100000000001E-4</v>
      </c>
      <c r="I46" s="6">
        <f t="shared" si="3"/>
        <v>67.844549237393522</v>
      </c>
      <c r="J46" s="6">
        <f t="shared" si="4"/>
        <v>79.112683209127098</v>
      </c>
      <c r="L46" s="7">
        <v>3.8416500000000001E-4</v>
      </c>
      <c r="M46" s="7">
        <v>9.2996699999999997E-5</v>
      </c>
      <c r="N46" s="6">
        <f t="shared" si="5"/>
        <v>74.715996942627584</v>
      </c>
      <c r="O46" s="6">
        <f t="shared" si="6"/>
        <v>89.568898263457484</v>
      </c>
      <c r="Q46">
        <f t="shared" si="0"/>
        <v>6.2324466666666665E-4</v>
      </c>
      <c r="R46">
        <f t="shared" si="0"/>
        <v>1.3222156666666665E-4</v>
      </c>
      <c r="T46">
        <f t="shared" si="7"/>
        <v>72.059615096532568</v>
      </c>
      <c r="U46">
        <f t="shared" si="7"/>
        <v>85.001492173331442</v>
      </c>
      <c r="W46">
        <f t="shared" si="8"/>
        <v>3.0140029065271201</v>
      </c>
      <c r="X46">
        <f t="shared" si="8"/>
        <v>4.3697969046870027</v>
      </c>
    </row>
    <row r="47" spans="1:24" x14ac:dyDescent="0.35">
      <c r="A47">
        <v>293.27300000000002</v>
      </c>
      <c r="B47">
        <v>8.1743300000000001E-4</v>
      </c>
      <c r="C47">
        <v>1.69791E-4</v>
      </c>
      <c r="D47">
        <f t="shared" si="1"/>
        <v>74.271579138651646</v>
      </c>
      <c r="E47">
        <f t="shared" si="2"/>
        <v>86.370711756806244</v>
      </c>
      <c r="G47" s="7">
        <v>6.8015600000000001E-4</v>
      </c>
      <c r="H47" s="7">
        <v>1.3254E-4</v>
      </c>
      <c r="I47" s="6">
        <f t="shared" si="3"/>
        <v>68.329780329957146</v>
      </c>
      <c r="J47" s="6">
        <f t="shared" si="4"/>
        <v>78.267647718817528</v>
      </c>
      <c r="L47" s="7">
        <v>3.8901499999999999E-4</v>
      </c>
      <c r="M47" s="7">
        <v>9.2595499999999998E-5</v>
      </c>
      <c r="N47" s="6">
        <f t="shared" si="5"/>
        <v>75.659270237101936</v>
      </c>
      <c r="O47" s="6">
        <f t="shared" si="6"/>
        <v>89.182486251167816</v>
      </c>
      <c r="Q47">
        <f t="shared" si="0"/>
        <v>6.2886799999999998E-4</v>
      </c>
      <c r="R47">
        <f t="shared" si="0"/>
        <v>1.3164216666666667E-4</v>
      </c>
      <c r="T47">
        <f t="shared" si="7"/>
        <v>72.753543235236904</v>
      </c>
      <c r="U47">
        <f t="shared" si="7"/>
        <v>84.606948575597187</v>
      </c>
      <c r="W47">
        <f t="shared" si="8"/>
        <v>3.1789600320205857</v>
      </c>
      <c r="X47">
        <f t="shared" si="8"/>
        <v>4.627207254659564</v>
      </c>
    </row>
    <row r="48" spans="1:24" x14ac:dyDescent="0.35">
      <c r="A48">
        <v>299.46699999999998</v>
      </c>
      <c r="B48">
        <v>8.2275600000000001E-4</v>
      </c>
      <c r="C48">
        <v>1.69853E-4</v>
      </c>
      <c r="D48">
        <f t="shared" si="1"/>
        <v>74.75522442304198</v>
      </c>
      <c r="E48">
        <f t="shared" si="2"/>
        <v>86.402250437472034</v>
      </c>
      <c r="G48" s="7">
        <v>6.8484100000000005E-4</v>
      </c>
      <c r="H48" s="7">
        <v>1.3286299999999999E-4</v>
      </c>
      <c r="I48" s="6">
        <f t="shared" si="3"/>
        <v>68.800444443551456</v>
      </c>
      <c r="J48" s="6">
        <f t="shared" si="4"/>
        <v>78.458385988118707</v>
      </c>
      <c r="L48" s="7">
        <v>3.92576E-4</v>
      </c>
      <c r="M48" s="7">
        <v>9.2908500000000007E-5</v>
      </c>
      <c r="N48" s="6">
        <f t="shared" si="5"/>
        <v>76.3518467735191</v>
      </c>
      <c r="O48" s="6">
        <f t="shared" si="6"/>
        <v>89.483949261752741</v>
      </c>
      <c r="Q48">
        <f t="shared" si="0"/>
        <v>6.3339099999999997E-4</v>
      </c>
      <c r="R48">
        <f t="shared" si="0"/>
        <v>1.3187483333333333E-4</v>
      </c>
      <c r="T48">
        <f t="shared" si="7"/>
        <v>73.30250521337085</v>
      </c>
      <c r="U48">
        <f t="shared" si="7"/>
        <v>84.781528562447832</v>
      </c>
      <c r="W48">
        <f t="shared" si="8"/>
        <v>3.2494834578099572</v>
      </c>
      <c r="X48">
        <f t="shared" si="8"/>
        <v>4.6447688081943976</v>
      </c>
    </row>
    <row r="49" spans="1:24" x14ac:dyDescent="0.35">
      <c r="A49">
        <v>305.70800000000003</v>
      </c>
      <c r="B49">
        <v>8.2655200000000004E-4</v>
      </c>
      <c r="C49">
        <v>1.7107E-4</v>
      </c>
      <c r="D49">
        <f t="shared" si="1"/>
        <v>75.100127203343632</v>
      </c>
      <c r="E49">
        <f t="shared" si="2"/>
        <v>87.021324217637243</v>
      </c>
      <c r="G49" s="7">
        <v>6.8815300000000005E-4</v>
      </c>
      <c r="H49" s="7">
        <v>1.3374200000000001E-4</v>
      </c>
      <c r="I49" s="6">
        <f t="shared" si="3"/>
        <v>69.133174335595072</v>
      </c>
      <c r="J49" s="6">
        <f t="shared" si="4"/>
        <v>78.977453909839255</v>
      </c>
      <c r="L49" s="7">
        <v>3.95585E-4</v>
      </c>
      <c r="M49" s="7">
        <v>9.2670400000000006E-5</v>
      </c>
      <c r="N49" s="6">
        <f t="shared" si="5"/>
        <v>76.937065194771336</v>
      </c>
      <c r="O49" s="6">
        <f t="shared" si="6"/>
        <v>89.254625482774244</v>
      </c>
      <c r="Q49">
        <f t="shared" si="0"/>
        <v>6.3676333333333331E-4</v>
      </c>
      <c r="R49">
        <f t="shared" si="0"/>
        <v>1.3249413333333334E-4</v>
      </c>
      <c r="T49">
        <f t="shared" si="7"/>
        <v>73.723455577903337</v>
      </c>
      <c r="U49">
        <f t="shared" si="7"/>
        <v>85.084467870083586</v>
      </c>
      <c r="W49">
        <f t="shared" si="8"/>
        <v>3.3313257329680837</v>
      </c>
      <c r="X49">
        <f t="shared" si="8"/>
        <v>4.4135113207951138</v>
      </c>
    </row>
    <row r="50" spans="1:24" x14ac:dyDescent="0.35">
      <c r="A50">
        <v>311.89499999999998</v>
      </c>
      <c r="B50">
        <v>8.2900200000000002E-4</v>
      </c>
      <c r="C50">
        <v>1.7143E-4</v>
      </c>
      <c r="D50">
        <f t="shared" si="1"/>
        <v>75.322733054697437</v>
      </c>
      <c r="E50">
        <f t="shared" si="2"/>
        <v>87.204452040857845</v>
      </c>
      <c r="G50" s="7">
        <v>6.9087800000000002E-4</v>
      </c>
      <c r="H50" s="7">
        <v>1.3317599999999999E-4</v>
      </c>
      <c r="I50" s="6">
        <f t="shared" si="3"/>
        <v>69.406933078294003</v>
      </c>
      <c r="J50" s="6">
        <f t="shared" si="4"/>
        <v>78.643219047843999</v>
      </c>
      <c r="L50" s="7">
        <v>3.98773E-4</v>
      </c>
      <c r="M50" s="7">
        <v>9.3037199999999998E-5</v>
      </c>
      <c r="N50" s="6">
        <f t="shared" si="5"/>
        <v>77.557097207716552</v>
      </c>
      <c r="O50" s="6">
        <f t="shared" si="6"/>
        <v>89.607905458117827</v>
      </c>
      <c r="Q50">
        <f t="shared" si="0"/>
        <v>6.3955100000000003E-4</v>
      </c>
      <c r="R50">
        <f t="shared" si="0"/>
        <v>1.3254773333333332E-4</v>
      </c>
      <c r="T50">
        <f t="shared" si="7"/>
        <v>74.095587780235988</v>
      </c>
      <c r="U50">
        <f t="shared" si="7"/>
        <v>85.151858848939881</v>
      </c>
      <c r="W50">
        <f t="shared" si="8"/>
        <v>3.4385760597090465</v>
      </c>
      <c r="X50">
        <f t="shared" si="8"/>
        <v>4.705737004093467</v>
      </c>
    </row>
    <row r="51" spans="1:24" x14ac:dyDescent="0.35">
      <c r="A51">
        <v>318.09899999999999</v>
      </c>
      <c r="B51">
        <v>8.31459E-4</v>
      </c>
      <c r="C51">
        <v>1.7132000000000001E-4</v>
      </c>
      <c r="D51">
        <f t="shared" si="1"/>
        <v>75.545974922769403</v>
      </c>
      <c r="E51">
        <f t="shared" si="2"/>
        <v>87.148496317096004</v>
      </c>
      <c r="G51" s="7">
        <v>6.9446299999999998E-4</v>
      </c>
      <c r="H51" s="7">
        <v>1.3300700000000001E-4</v>
      </c>
      <c r="I51" s="6">
        <f t="shared" si="3"/>
        <v>69.767089075569473</v>
      </c>
      <c r="J51" s="6">
        <f t="shared" si="4"/>
        <v>78.543421006011499</v>
      </c>
      <c r="L51" s="7">
        <v>4.0101399999999999E-4</v>
      </c>
      <c r="M51" s="7">
        <v>9.3171999999999995E-5</v>
      </c>
      <c r="N51" s="6">
        <f t="shared" si="5"/>
        <v>77.992947816565433</v>
      </c>
      <c r="O51" s="6">
        <f t="shared" si="6"/>
        <v>89.737736812197213</v>
      </c>
      <c r="Q51">
        <f t="shared" si="0"/>
        <v>6.4231199999999992E-4</v>
      </c>
      <c r="R51">
        <f t="shared" si="0"/>
        <v>1.3249966666666667E-4</v>
      </c>
      <c r="T51">
        <f t="shared" si="7"/>
        <v>74.435337271634765</v>
      </c>
      <c r="U51">
        <f t="shared" si="7"/>
        <v>85.143218045101563</v>
      </c>
      <c r="W51">
        <f t="shared" si="8"/>
        <v>3.4487993080484598</v>
      </c>
      <c r="X51">
        <f t="shared" si="8"/>
        <v>4.7849787392947771</v>
      </c>
    </row>
    <row r="52" spans="1:24" x14ac:dyDescent="0.35">
      <c r="A52">
        <v>324.33999999999997</v>
      </c>
      <c r="B52">
        <v>8.3348899999999997E-4</v>
      </c>
      <c r="C52">
        <v>1.7012900000000001E-4</v>
      </c>
      <c r="D52">
        <f t="shared" si="1"/>
        <v>75.730419771033979</v>
      </c>
      <c r="E52">
        <f t="shared" si="2"/>
        <v>86.542648435274501</v>
      </c>
      <c r="G52" s="7">
        <v>6.98775E-4</v>
      </c>
      <c r="H52" s="7">
        <v>1.3284700000000001E-4</v>
      </c>
      <c r="I52" s="6">
        <f t="shared" si="3"/>
        <v>70.200280891539293</v>
      </c>
      <c r="J52" s="6">
        <f t="shared" si="4"/>
        <v>78.448937652797298</v>
      </c>
      <c r="L52" s="7">
        <v>4.0453899999999998E-4</v>
      </c>
      <c r="M52" s="7">
        <v>9.31806E-5</v>
      </c>
      <c r="N52" s="6">
        <f t="shared" si="5"/>
        <v>78.678522736776173</v>
      </c>
      <c r="O52" s="6">
        <f t="shared" si="6"/>
        <v>89.746019821433734</v>
      </c>
      <c r="Q52">
        <f t="shared" si="0"/>
        <v>6.4560099999999999E-4</v>
      </c>
      <c r="R52">
        <f t="shared" si="0"/>
        <v>1.320522E-4</v>
      </c>
      <c r="T52">
        <f t="shared" si="7"/>
        <v>74.869741133116477</v>
      </c>
      <c r="U52">
        <f t="shared" si="7"/>
        <v>84.912535303168511</v>
      </c>
      <c r="W52">
        <f t="shared" si="8"/>
        <v>3.5143251590129463</v>
      </c>
      <c r="X52">
        <f t="shared" si="8"/>
        <v>4.753873368025217</v>
      </c>
    </row>
    <row r="53" spans="1:24" x14ac:dyDescent="0.35">
      <c r="A53">
        <v>330.45299999999997</v>
      </c>
      <c r="B53">
        <v>8.3728100000000005E-4</v>
      </c>
      <c r="C53">
        <v>1.6917399999999999E-4</v>
      </c>
      <c r="D53">
        <f t="shared" si="1"/>
        <v>76.07495911321098</v>
      </c>
      <c r="E53">
        <f t="shared" si="2"/>
        <v>86.056851015342033</v>
      </c>
      <c r="G53" s="7">
        <v>6.9984599999999995E-4</v>
      </c>
      <c r="H53" s="7">
        <v>1.3274200000000001E-4</v>
      </c>
      <c r="I53" s="6">
        <f t="shared" si="3"/>
        <v>70.307875612064265</v>
      </c>
      <c r="J53" s="6">
        <f t="shared" si="4"/>
        <v>78.386932952250476</v>
      </c>
      <c r="L53" s="7">
        <v>4.0783099999999999E-4</v>
      </c>
      <c r="M53" s="7">
        <v>9.2634999999999997E-5</v>
      </c>
      <c r="N53" s="6">
        <f t="shared" si="5"/>
        <v>79.318781640984341</v>
      </c>
      <c r="O53" s="6">
        <f t="shared" si="6"/>
        <v>89.220530305219256</v>
      </c>
      <c r="Q53">
        <f t="shared" si="0"/>
        <v>6.4831933333333333E-4</v>
      </c>
      <c r="R53">
        <f t="shared" si="0"/>
        <v>1.3151699999999999E-4</v>
      </c>
      <c r="T53">
        <f t="shared" si="7"/>
        <v>75.233872122086538</v>
      </c>
      <c r="U53">
        <f t="shared" si="7"/>
        <v>84.554771424270584</v>
      </c>
      <c r="W53">
        <f t="shared" si="8"/>
        <v>3.7264529479999369</v>
      </c>
      <c r="X53">
        <f t="shared" si="8"/>
        <v>4.5485448387367482</v>
      </c>
    </row>
    <row r="54" spans="1:24" x14ac:dyDescent="0.35">
      <c r="A54">
        <v>336.67899999999997</v>
      </c>
      <c r="B54">
        <v>8.3980800000000005E-4</v>
      </c>
      <c r="C54">
        <v>1.67768E-4</v>
      </c>
      <c r="D54">
        <f t="shared" si="1"/>
        <v>76.304561148464472</v>
      </c>
      <c r="E54">
        <f t="shared" si="2"/>
        <v>85.341635127986009</v>
      </c>
      <c r="G54" s="7">
        <v>7.0359700000000003E-4</v>
      </c>
      <c r="H54" s="7">
        <v>1.3304899999999999E-4</v>
      </c>
      <c r="I54" s="6">
        <f t="shared" si="3"/>
        <v>70.684708288711491</v>
      </c>
      <c r="J54" s="6">
        <f t="shared" si="4"/>
        <v>78.568222886230217</v>
      </c>
      <c r="L54" s="7">
        <v>4.1102700000000001E-4</v>
      </c>
      <c r="M54" s="7">
        <v>9.2914100000000005E-5</v>
      </c>
      <c r="N54" s="6">
        <f t="shared" si="5"/>
        <v>79.940369568642083</v>
      </c>
      <c r="O54" s="6">
        <f t="shared" si="6"/>
        <v>89.489342849162554</v>
      </c>
      <c r="Q54">
        <f t="shared" si="0"/>
        <v>6.5147733333333329E-4</v>
      </c>
      <c r="R54">
        <f t="shared" si="0"/>
        <v>1.3124370000000001E-4</v>
      </c>
      <c r="T54">
        <f t="shared" si="7"/>
        <v>75.643213001939344</v>
      </c>
      <c r="U54">
        <f t="shared" si="7"/>
        <v>84.466400287792922</v>
      </c>
      <c r="W54">
        <f t="shared" si="8"/>
        <v>3.8074359228913943</v>
      </c>
      <c r="X54">
        <f t="shared" si="8"/>
        <v>4.501277028452086</v>
      </c>
    </row>
    <row r="55" spans="1:24" x14ac:dyDescent="0.35">
      <c r="A55">
        <v>342.94200000000001</v>
      </c>
      <c r="B55">
        <v>8.4319899999999999E-4</v>
      </c>
      <c r="C55">
        <v>1.68417E-4</v>
      </c>
      <c r="D55">
        <f t="shared" si="1"/>
        <v>76.612665818644373</v>
      </c>
      <c r="E55">
        <f t="shared" si="2"/>
        <v>85.67177389818093</v>
      </c>
      <c r="G55" s="7">
        <v>7.0728700000000002E-4</v>
      </c>
      <c r="H55" s="7">
        <v>1.3327900000000001E-4</v>
      </c>
      <c r="I55" s="6">
        <f t="shared" si="3"/>
        <v>71.055412787999217</v>
      </c>
      <c r="J55" s="6">
        <f t="shared" si="4"/>
        <v>78.704042706475647</v>
      </c>
      <c r="L55" s="7">
        <v>4.1352700000000001E-4</v>
      </c>
      <c r="M55" s="7">
        <v>9.3265399999999996E-5</v>
      </c>
      <c r="N55" s="6">
        <f t="shared" si="5"/>
        <v>80.426592916309289</v>
      </c>
      <c r="O55" s="6">
        <f t="shared" si="6"/>
        <v>89.827694145068236</v>
      </c>
      <c r="Q55">
        <f t="shared" si="0"/>
        <v>6.5467100000000001E-4</v>
      </c>
      <c r="R55">
        <f t="shared" si="0"/>
        <v>1.316538E-4</v>
      </c>
      <c r="T55">
        <f t="shared" si="7"/>
        <v>76.031557174317626</v>
      </c>
      <c r="U55">
        <f t="shared" si="7"/>
        <v>84.73450358324159</v>
      </c>
      <c r="W55">
        <f t="shared" si="8"/>
        <v>3.8477716227873895</v>
      </c>
      <c r="X55">
        <f t="shared" si="8"/>
        <v>4.5893181820596975</v>
      </c>
    </row>
    <row r="56" spans="1:24" x14ac:dyDescent="0.35">
      <c r="A56">
        <v>349.24099999999999</v>
      </c>
      <c r="B56">
        <v>8.4607699999999998E-4</v>
      </c>
      <c r="C56">
        <v>1.68634E-4</v>
      </c>
      <c r="D56">
        <f t="shared" si="1"/>
        <v>76.874159549336724</v>
      </c>
      <c r="E56">
        <f t="shared" si="2"/>
        <v>85.782159280511124</v>
      </c>
      <c r="G56" s="7">
        <v>7.1214100000000001E-4</v>
      </c>
      <c r="H56" s="7">
        <v>1.34041E-4</v>
      </c>
      <c r="I56" s="6">
        <f t="shared" si="3"/>
        <v>71.543054966737046</v>
      </c>
      <c r="J56" s="6">
        <f t="shared" si="4"/>
        <v>79.154019676158299</v>
      </c>
      <c r="L56" s="7">
        <v>4.1675000000000002E-4</v>
      </c>
      <c r="M56" s="7">
        <v>9.4199999999999999E-5</v>
      </c>
      <c r="N56" s="6">
        <f t="shared" si="5"/>
        <v>81.053432056121849</v>
      </c>
      <c r="O56" s="6">
        <f t="shared" si="6"/>
        <v>90.727845358143838</v>
      </c>
      <c r="Q56">
        <f t="shared" si="0"/>
        <v>6.5832266666666667E-4</v>
      </c>
      <c r="R56">
        <f t="shared" si="0"/>
        <v>1.3229166666666665E-4</v>
      </c>
      <c r="T56">
        <f t="shared" si="7"/>
        <v>76.490215524065206</v>
      </c>
      <c r="U56">
        <f t="shared" si="7"/>
        <v>85.221341438271097</v>
      </c>
      <c r="W56">
        <f t="shared" si="8"/>
        <v>3.892075526543656</v>
      </c>
      <c r="X56">
        <f t="shared" si="8"/>
        <v>4.7416064590233615</v>
      </c>
    </row>
    <row r="57" spans="1:24" x14ac:dyDescent="0.35">
      <c r="A57">
        <v>355.43299999999999</v>
      </c>
      <c r="B57">
        <v>8.47228E-4</v>
      </c>
      <c r="C57">
        <v>1.6978699999999999E-4</v>
      </c>
      <c r="D57">
        <f t="shared" si="1"/>
        <v>76.978738869707428</v>
      </c>
      <c r="E57">
        <f t="shared" si="2"/>
        <v>86.368677003214913</v>
      </c>
      <c r="G57" s="7">
        <v>7.1344300000000002E-4</v>
      </c>
      <c r="H57" s="7">
        <v>1.3390099999999999E-4</v>
      </c>
      <c r="I57" s="6">
        <f t="shared" si="3"/>
        <v>71.673856391688986</v>
      </c>
      <c r="J57" s="6">
        <f t="shared" si="4"/>
        <v>79.071346742095869</v>
      </c>
      <c r="L57" s="7">
        <v>4.2024100000000002E-4</v>
      </c>
      <c r="M57" s="7">
        <v>9.4362499999999997E-5</v>
      </c>
      <c r="N57" s="6">
        <f t="shared" si="5"/>
        <v>81.732394338804312</v>
      </c>
      <c r="O57" s="6">
        <f t="shared" si="6"/>
        <v>90.884355707089682</v>
      </c>
      <c r="Q57">
        <f t="shared" si="0"/>
        <v>6.6030400000000001E-4</v>
      </c>
      <c r="R57">
        <f t="shared" si="0"/>
        <v>1.3268350000000001E-4</v>
      </c>
      <c r="T57">
        <f t="shared" si="7"/>
        <v>76.794996533400237</v>
      </c>
      <c r="U57">
        <f t="shared" si="7"/>
        <v>85.441459817466821</v>
      </c>
      <c r="W57">
        <f t="shared" si="8"/>
        <v>4.1084358210072658</v>
      </c>
      <c r="X57">
        <f t="shared" si="8"/>
        <v>4.8670041424484802</v>
      </c>
    </row>
    <row r="58" spans="1:24" x14ac:dyDescent="0.35">
      <c r="A58">
        <v>361.57799999999997</v>
      </c>
      <c r="B58">
        <v>8.4966499999999999E-4</v>
      </c>
      <c r="C58">
        <v>1.7088499999999999E-4</v>
      </c>
      <c r="D58">
        <f t="shared" si="1"/>
        <v>77.200163547156095</v>
      </c>
      <c r="E58">
        <f t="shared" si="2"/>
        <v>86.92721686403776</v>
      </c>
      <c r="G58" s="7">
        <v>7.16802E-4</v>
      </c>
      <c r="H58" s="7">
        <v>1.3510099999999999E-4</v>
      </c>
      <c r="I58" s="6">
        <f t="shared" si="3"/>
        <v>72.011307994157121</v>
      </c>
      <c r="J58" s="6">
        <f t="shared" si="4"/>
        <v>79.779971891202422</v>
      </c>
      <c r="L58" s="7">
        <v>4.2307400000000001E-4</v>
      </c>
      <c r="M58" s="7">
        <v>9.5051300000000003E-5</v>
      </c>
      <c r="N58" s="6">
        <f t="shared" si="5"/>
        <v>82.283382636380779</v>
      </c>
      <c r="O58" s="6">
        <f t="shared" si="6"/>
        <v>91.547766958498272</v>
      </c>
      <c r="Q58">
        <f t="shared" si="0"/>
        <v>6.6318033333333335E-4</v>
      </c>
      <c r="R58">
        <f t="shared" si="0"/>
        <v>1.336791E-4</v>
      </c>
      <c r="T58">
        <f t="shared" si="7"/>
        <v>77.16495139256466</v>
      </c>
      <c r="U58">
        <f t="shared" si="7"/>
        <v>86.084985237912818</v>
      </c>
      <c r="W58">
        <f t="shared" si="8"/>
        <v>4.1936308282701598</v>
      </c>
      <c r="X58">
        <f t="shared" si="8"/>
        <v>4.8409548486844294</v>
      </c>
    </row>
    <row r="59" spans="1:24" x14ac:dyDescent="0.35">
      <c r="A59">
        <v>367.786</v>
      </c>
      <c r="B59">
        <v>8.51435E-4</v>
      </c>
      <c r="C59">
        <v>1.7060600000000001E-4</v>
      </c>
      <c r="D59">
        <f t="shared" si="1"/>
        <v>77.360984917317836</v>
      </c>
      <c r="E59">
        <f t="shared" si="2"/>
        <v>86.785292801041805</v>
      </c>
      <c r="G59" s="7">
        <v>7.2009400000000001E-4</v>
      </c>
      <c r="H59" s="7">
        <v>1.36596E-4</v>
      </c>
      <c r="I59" s="6">
        <f t="shared" si="3"/>
        <v>72.342028647722216</v>
      </c>
      <c r="J59" s="6">
        <f t="shared" si="4"/>
        <v>80.662800722797655</v>
      </c>
      <c r="L59" s="7">
        <v>4.2565000000000002E-4</v>
      </c>
      <c r="M59" s="7">
        <v>9.59773E-5</v>
      </c>
      <c r="N59" s="6">
        <f t="shared" si="5"/>
        <v>82.784387173817066</v>
      </c>
      <c r="O59" s="6">
        <f t="shared" si="6"/>
        <v>92.439635162337353</v>
      </c>
      <c r="Q59">
        <f t="shared" si="0"/>
        <v>6.6572633333333332E-4</v>
      </c>
      <c r="R59">
        <f t="shared" si="0"/>
        <v>1.3439310000000002E-4</v>
      </c>
      <c r="T59">
        <f t="shared" si="7"/>
        <v>77.495800246285711</v>
      </c>
      <c r="U59">
        <f t="shared" si="7"/>
        <v>86.629242895392281</v>
      </c>
      <c r="W59">
        <f t="shared" si="8"/>
        <v>4.2641407322437184</v>
      </c>
      <c r="X59">
        <f t="shared" si="8"/>
        <v>4.8091385946530316</v>
      </c>
    </row>
    <row r="60" spans="1:24" x14ac:dyDescent="0.35">
      <c r="A60">
        <v>374.03899999999999</v>
      </c>
      <c r="B60">
        <v>8.5270699999999997E-4</v>
      </c>
      <c r="C60">
        <v>1.7070400000000001E-4</v>
      </c>
      <c r="D60">
        <f t="shared" si="1"/>
        <v>77.476558240959463</v>
      </c>
      <c r="E60">
        <f t="shared" si="2"/>
        <v>86.835144264029623</v>
      </c>
      <c r="G60" s="7">
        <v>7.2292500000000002E-4</v>
      </c>
      <c r="H60" s="7">
        <v>1.3645700000000001E-4</v>
      </c>
      <c r="I60" s="6">
        <f t="shared" si="3"/>
        <v>72.626436354357338</v>
      </c>
      <c r="J60" s="6">
        <f t="shared" si="4"/>
        <v>80.580718309692813</v>
      </c>
      <c r="L60" s="7">
        <v>4.2859799999999998E-4</v>
      </c>
      <c r="M60" s="7">
        <v>9.6127300000000004E-5</v>
      </c>
      <c r="N60" s="6">
        <f t="shared" si="5"/>
        <v>83.357741745386221</v>
      </c>
      <c r="O60" s="6">
        <f t="shared" si="6"/>
        <v>92.584106253671976</v>
      </c>
      <c r="Q60">
        <f t="shared" si="0"/>
        <v>6.6807666666666673E-4</v>
      </c>
      <c r="R60">
        <f t="shared" si="0"/>
        <v>1.3442943333333334E-4</v>
      </c>
      <c r="T60">
        <f t="shared" si="7"/>
        <v>77.820245446901012</v>
      </c>
      <c r="U60">
        <f t="shared" si="7"/>
        <v>86.666656275798132</v>
      </c>
      <c r="W60">
        <f t="shared" si="8"/>
        <v>4.3877723672745619</v>
      </c>
      <c r="X60">
        <f t="shared" si="8"/>
        <v>4.9018106644415793</v>
      </c>
    </row>
    <row r="61" spans="1:24" x14ac:dyDescent="0.35">
      <c r="A61">
        <v>380.137</v>
      </c>
      <c r="B61">
        <v>8.5471400000000002E-4</v>
      </c>
      <c r="C61">
        <v>1.6996099999999999E-4</v>
      </c>
      <c r="D61">
        <f t="shared" si="1"/>
        <v>77.658913320007272</v>
      </c>
      <c r="E61">
        <f t="shared" si="2"/>
        <v>86.457188784438202</v>
      </c>
      <c r="G61" s="7">
        <v>7.2677600000000005E-4</v>
      </c>
      <c r="H61" s="7">
        <v>1.3651200000000001E-4</v>
      </c>
      <c r="I61" s="6">
        <f t="shared" si="3"/>
        <v>73.013315223397186</v>
      </c>
      <c r="J61" s="6">
        <f t="shared" si="4"/>
        <v>80.613196962360206</v>
      </c>
      <c r="L61" s="7">
        <v>4.3186599999999999E-4</v>
      </c>
      <c r="M61" s="7">
        <v>9.5884299999999999E-5</v>
      </c>
      <c r="N61" s="6">
        <f t="shared" si="5"/>
        <v>83.993332905456768</v>
      </c>
      <c r="O61" s="6">
        <f t="shared" si="6"/>
        <v>92.350063085709891</v>
      </c>
      <c r="Q61">
        <f t="shared" si="0"/>
        <v>6.711186666666667E-4</v>
      </c>
      <c r="R61">
        <f t="shared" si="0"/>
        <v>1.3411910000000001E-4</v>
      </c>
      <c r="T61">
        <f t="shared" si="7"/>
        <v>78.22185381628708</v>
      </c>
      <c r="U61">
        <f t="shared" si="7"/>
        <v>86.473482944169447</v>
      </c>
      <c r="W61">
        <f t="shared" si="8"/>
        <v>4.5002128524733198</v>
      </c>
      <c r="X61">
        <f t="shared" si="8"/>
        <v>4.7915693827172028</v>
      </c>
    </row>
    <row r="62" spans="1:24" x14ac:dyDescent="0.35">
      <c r="A62">
        <v>386.49799999999999</v>
      </c>
      <c r="B62">
        <v>8.5587300000000005E-4</v>
      </c>
      <c r="C62">
        <v>1.6993999999999999E-4</v>
      </c>
      <c r="D62">
        <f t="shared" si="1"/>
        <v>77.764219516627293</v>
      </c>
      <c r="E62">
        <f t="shared" si="2"/>
        <v>86.446506328083657</v>
      </c>
      <c r="G62" s="7">
        <v>7.2767999999999997E-4</v>
      </c>
      <c r="H62" s="7">
        <v>1.3662599999999999E-4</v>
      </c>
      <c r="I62" s="6">
        <f t="shared" si="3"/>
        <v>73.104132802626467</v>
      </c>
      <c r="J62" s="6">
        <f t="shared" si="4"/>
        <v>80.680516351525313</v>
      </c>
      <c r="L62" s="7">
        <v>4.3490500000000002E-4</v>
      </c>
      <c r="M62" s="7">
        <v>9.5916700000000003E-5</v>
      </c>
      <c r="N62" s="6">
        <f t="shared" si="5"/>
        <v>84.584386006881033</v>
      </c>
      <c r="O62" s="6">
        <f t="shared" si="6"/>
        <v>92.381268841438171</v>
      </c>
      <c r="Q62">
        <f t="shared" si="0"/>
        <v>6.7281933333333344E-4</v>
      </c>
      <c r="R62">
        <f t="shared" si="0"/>
        <v>1.3416089999999998E-4</v>
      </c>
      <c r="T62">
        <f t="shared" si="7"/>
        <v>78.484246108711588</v>
      </c>
      <c r="U62">
        <f t="shared" si="7"/>
        <v>86.502763840349033</v>
      </c>
      <c r="W62">
        <f t="shared" si="8"/>
        <v>4.7143668453236796</v>
      </c>
      <c r="X62">
        <f t="shared" si="8"/>
        <v>4.7769778373859761</v>
      </c>
    </row>
    <row r="63" spans="1:24" x14ac:dyDescent="0.35">
      <c r="A63">
        <v>392.601</v>
      </c>
      <c r="B63">
        <v>8.5858799999999997E-4</v>
      </c>
      <c r="C63">
        <v>1.6961600000000001E-4</v>
      </c>
      <c r="D63">
        <f t="shared" si="1"/>
        <v>78.010903143739768</v>
      </c>
      <c r="E63">
        <f t="shared" si="2"/>
        <v>86.281691287185126</v>
      </c>
      <c r="G63" s="7">
        <v>7.3367199999999999E-4</v>
      </c>
      <c r="H63" s="7">
        <v>1.3726499999999999E-4</v>
      </c>
      <c r="I63" s="6">
        <f t="shared" si="3"/>
        <v>73.706100650792337</v>
      </c>
      <c r="J63" s="6">
        <f t="shared" si="4"/>
        <v>81.057859243424545</v>
      </c>
      <c r="L63" s="7">
        <v>4.3811499999999999E-4</v>
      </c>
      <c r="M63" s="7">
        <v>9.7151799999999994E-5</v>
      </c>
      <c r="N63" s="6">
        <f t="shared" si="5"/>
        <v>85.20869678528571</v>
      </c>
      <c r="O63" s="6">
        <f t="shared" si="6"/>
        <v>93.570843807487464</v>
      </c>
      <c r="Q63">
        <f t="shared" si="0"/>
        <v>6.7679166666666669E-4</v>
      </c>
      <c r="R63">
        <f t="shared" si="0"/>
        <v>1.346776E-4</v>
      </c>
      <c r="T63">
        <f t="shared" si="7"/>
        <v>78.975233526605948</v>
      </c>
      <c r="U63">
        <f t="shared" si="7"/>
        <v>86.970131446032383</v>
      </c>
      <c r="W63">
        <f t="shared" si="8"/>
        <v>4.7451645053186926</v>
      </c>
      <c r="X63">
        <f t="shared" si="8"/>
        <v>5.1315467495583587</v>
      </c>
    </row>
    <row r="64" spans="1:24" x14ac:dyDescent="0.35">
      <c r="A64">
        <v>398.83199999999999</v>
      </c>
      <c r="B64">
        <v>8.6090899999999998E-4</v>
      </c>
      <c r="C64">
        <v>1.6944E-4</v>
      </c>
      <c r="D64">
        <f t="shared" si="1"/>
        <v>78.221788115573318</v>
      </c>
      <c r="E64">
        <f t="shared" si="2"/>
        <v>86.192162129166164</v>
      </c>
      <c r="G64" s="7">
        <v>7.3829600000000005E-4</v>
      </c>
      <c r="H64" s="7">
        <v>1.37553E-4</v>
      </c>
      <c r="I64" s="6">
        <f t="shared" si="3"/>
        <v>74.170636587027147</v>
      </c>
      <c r="J64" s="6">
        <f t="shared" si="4"/>
        <v>81.227929279210116</v>
      </c>
      <c r="L64" s="7">
        <v>4.4162999999999998E-4</v>
      </c>
      <c r="M64" s="7">
        <v>9.7282199999999995E-5</v>
      </c>
      <c r="N64" s="6">
        <f t="shared" si="5"/>
        <v>85.892326812105779</v>
      </c>
      <c r="O64" s="6">
        <f t="shared" si="6"/>
        <v>93.696437342887691</v>
      </c>
      <c r="Q64">
        <f t="shared" si="0"/>
        <v>6.8027833333333336E-4</v>
      </c>
      <c r="R64">
        <f t="shared" si="0"/>
        <v>1.3475839999999999E-4</v>
      </c>
      <c r="T64">
        <f t="shared" si="7"/>
        <v>79.428250504902081</v>
      </c>
      <c r="U64">
        <f t="shared" si="7"/>
        <v>87.03884291708799</v>
      </c>
      <c r="W64">
        <f t="shared" si="8"/>
        <v>4.8608071384510234</v>
      </c>
      <c r="X64">
        <f t="shared" si="8"/>
        <v>5.1253341094979765</v>
      </c>
    </row>
    <row r="65" spans="1:24" x14ac:dyDescent="0.35">
      <c r="A65">
        <v>405.02199999999999</v>
      </c>
      <c r="B65">
        <v>8.6260600000000003E-4</v>
      </c>
      <c r="C65">
        <v>1.7044099999999999E-4</v>
      </c>
      <c r="D65">
        <f t="shared" si="1"/>
        <v>78.375976739960024</v>
      </c>
      <c r="E65">
        <f t="shared" si="2"/>
        <v>86.701359215399009</v>
      </c>
      <c r="G65" s="7">
        <v>7.42535E-4</v>
      </c>
      <c r="H65" s="7">
        <v>1.3905100000000001E-4</v>
      </c>
      <c r="I65" s="6">
        <f t="shared" si="3"/>
        <v>74.596494682550357</v>
      </c>
      <c r="J65" s="6">
        <f t="shared" si="4"/>
        <v>82.112529673678125</v>
      </c>
      <c r="L65" s="7">
        <v>4.4562999999999997E-4</v>
      </c>
      <c r="M65" s="7">
        <v>9.7969700000000005E-5</v>
      </c>
      <c r="N65" s="6">
        <f t="shared" si="5"/>
        <v>86.6702841683733</v>
      </c>
      <c r="O65" s="6">
        <f t="shared" si="6"/>
        <v>94.358596511504729</v>
      </c>
      <c r="Q65">
        <f t="shared" si="0"/>
        <v>6.8359033333333325E-4</v>
      </c>
      <c r="R65">
        <f t="shared" si="0"/>
        <v>1.3582056666666667E-4</v>
      </c>
      <c r="T65">
        <f t="shared" si="7"/>
        <v>79.880918530294551</v>
      </c>
      <c r="U65">
        <f t="shared" si="7"/>
        <v>87.724161800193954</v>
      </c>
      <c r="W65">
        <f t="shared" si="8"/>
        <v>5.0426669849206878</v>
      </c>
      <c r="X65">
        <f t="shared" si="8"/>
        <v>5.0514771499517206</v>
      </c>
    </row>
    <row r="66" spans="1:24" x14ac:dyDescent="0.35">
      <c r="A66">
        <v>411.33699999999999</v>
      </c>
      <c r="B66">
        <v>8.6428000000000004E-4</v>
      </c>
      <c r="C66">
        <v>1.7161800000000001E-4</v>
      </c>
      <c r="D66">
        <f t="shared" si="1"/>
        <v>78.528075595129934</v>
      </c>
      <c r="E66">
        <f t="shared" si="2"/>
        <v>87.300085459650845</v>
      </c>
      <c r="G66" s="7">
        <v>7.4474299999999997E-4</v>
      </c>
      <c r="H66" s="7">
        <v>1.404E-4</v>
      </c>
      <c r="I66" s="6">
        <f t="shared" si="3"/>
        <v>74.818314610579435</v>
      </c>
      <c r="J66" s="6">
        <f t="shared" si="4"/>
        <v>82.909142445465392</v>
      </c>
      <c r="L66" s="7">
        <v>4.4907500000000001E-4</v>
      </c>
      <c r="M66" s="7">
        <v>9.8260799999999999E-5</v>
      </c>
      <c r="N66" s="6">
        <f t="shared" si="5"/>
        <v>87.340299941458696</v>
      </c>
      <c r="O66" s="6">
        <f t="shared" si="6"/>
        <v>94.638966742754775</v>
      </c>
      <c r="Q66">
        <f t="shared" si="0"/>
        <v>6.8603266666666669E-4</v>
      </c>
      <c r="R66">
        <f t="shared" si="0"/>
        <v>1.3675959999999998E-4</v>
      </c>
      <c r="T66">
        <f t="shared" si="7"/>
        <v>80.228896715722684</v>
      </c>
      <c r="U66">
        <f t="shared" si="7"/>
        <v>88.282731549290318</v>
      </c>
      <c r="W66">
        <f t="shared" si="8"/>
        <v>5.2516425062310832</v>
      </c>
      <c r="X66">
        <f t="shared" si="8"/>
        <v>4.8388283371378886</v>
      </c>
    </row>
    <row r="67" spans="1:24" x14ac:dyDescent="0.35">
      <c r="A67">
        <v>417.42200000000003</v>
      </c>
      <c r="B67">
        <v>8.6553200000000002E-4</v>
      </c>
      <c r="C67">
        <v>1.72378E-4</v>
      </c>
      <c r="D67">
        <f t="shared" si="1"/>
        <v>78.641831728148276</v>
      </c>
      <c r="E67">
        <f t="shared" si="2"/>
        <v>87.68668864200545</v>
      </c>
      <c r="G67" s="7">
        <v>7.48539E-4</v>
      </c>
      <c r="H67" s="7">
        <v>1.3987599999999999E-4</v>
      </c>
      <c r="I67" s="6">
        <f t="shared" si="3"/>
        <v>75.199668073803338</v>
      </c>
      <c r="J67" s="6">
        <f t="shared" si="4"/>
        <v>82.599709463688853</v>
      </c>
      <c r="L67" s="7">
        <v>4.5204700000000002E-4</v>
      </c>
      <c r="M67" s="7">
        <v>9.9995100000000001E-5</v>
      </c>
      <c r="N67" s="6">
        <f t="shared" si="5"/>
        <v>87.918322257165471</v>
      </c>
      <c r="O67" s="6">
        <f t="shared" si="6"/>
        <v>96.309341500765697</v>
      </c>
      <c r="Q67">
        <f t="shared" ref="Q67:R109" si="9">AVERAGE(B67,G67,L67)</f>
        <v>6.8870599999999998E-4</v>
      </c>
      <c r="R67">
        <f t="shared" si="9"/>
        <v>1.3741636666666666E-4</v>
      </c>
      <c r="T67">
        <f t="shared" si="7"/>
        <v>80.586607353039028</v>
      </c>
      <c r="U67">
        <f t="shared" si="7"/>
        <v>88.865246535486676</v>
      </c>
      <c r="W67">
        <f t="shared" si="8"/>
        <v>5.3713843797395899</v>
      </c>
      <c r="X67">
        <f t="shared" si="8"/>
        <v>5.6586365660069333</v>
      </c>
    </row>
    <row r="68" spans="1:24" x14ac:dyDescent="0.35">
      <c r="A68">
        <v>423.74099999999999</v>
      </c>
      <c r="B68">
        <v>8.66557E-4</v>
      </c>
      <c r="C68">
        <v>1.73559E-4</v>
      </c>
      <c r="D68">
        <f t="shared" ref="D68:D109" si="10">B68/$B$3*100</f>
        <v>78.734962747592235</v>
      </c>
      <c r="E68">
        <f t="shared" ref="E68:E109" si="11">C68/$C$3*100</f>
        <v>88.287449639848617</v>
      </c>
      <c r="G68" s="7">
        <v>7.5346300000000001E-4</v>
      </c>
      <c r="H68" s="7">
        <v>1.4027399999999999E-4</v>
      </c>
      <c r="I68" s="6">
        <f t="shared" ref="I68:I109" si="12">G68/$G$3*100</f>
        <v>75.694342587216013</v>
      </c>
      <c r="J68" s="6">
        <f t="shared" ref="J68:J109" si="13">H68/$H$3*100</f>
        <v>82.834736804809197</v>
      </c>
      <c r="L68" s="7">
        <v>4.5654700000000002E-4</v>
      </c>
      <c r="M68" s="7">
        <v>1.00531E-4</v>
      </c>
      <c r="N68" s="6">
        <f t="shared" ref="N68:N109" si="14">L68/$L$3*100</f>
        <v>88.793524282966416</v>
      </c>
      <c r="O68" s="6">
        <f t="shared" ref="O68:O109" si="15">M68/$M$3*100</f>
        <v>96.825488553073868</v>
      </c>
      <c r="Q68">
        <f t="shared" si="9"/>
        <v>6.9218900000000006E-4</v>
      </c>
      <c r="R68">
        <f t="shared" si="9"/>
        <v>1.3812133333333335E-4</v>
      </c>
      <c r="T68">
        <f t="shared" ref="T68:U109" si="16">AVERAGE(D68,I68,N68)</f>
        <v>81.074276539258221</v>
      </c>
      <c r="U68">
        <f t="shared" si="16"/>
        <v>89.315891665910556</v>
      </c>
      <c r="W68">
        <f t="shared" ref="W68:X109" si="17">_xlfn.STDEV.P(D68,I68,N68)</f>
        <v>5.5977038171307125</v>
      </c>
      <c r="X68">
        <f t="shared" si="17"/>
        <v>5.7578093850074916</v>
      </c>
    </row>
    <row r="69" spans="1:24" x14ac:dyDescent="0.35">
      <c r="A69">
        <v>429.80099999999999</v>
      </c>
      <c r="B69">
        <v>8.6751999999999999E-4</v>
      </c>
      <c r="C69">
        <v>1.72189E-4</v>
      </c>
      <c r="D69">
        <f t="shared" si="10"/>
        <v>78.822460476103942</v>
      </c>
      <c r="E69">
        <f t="shared" si="11"/>
        <v>87.590546534814635</v>
      </c>
      <c r="G69" s="7">
        <v>7.5572900000000001E-4</v>
      </c>
      <c r="H69" s="7">
        <v>1.41173E-4</v>
      </c>
      <c r="I69" s="6">
        <f t="shared" si="12"/>
        <v>75.921989306832813</v>
      </c>
      <c r="J69" s="6">
        <f t="shared" si="13"/>
        <v>83.365615145681517</v>
      </c>
      <c r="L69" s="7">
        <v>4.6098999999999999E-4</v>
      </c>
      <c r="M69" s="7">
        <v>1.00484E-4</v>
      </c>
      <c r="N69" s="6">
        <f t="shared" si="14"/>
        <v>89.657640416440572</v>
      </c>
      <c r="O69" s="6">
        <f t="shared" si="15"/>
        <v>96.780220944455692</v>
      </c>
      <c r="Q69">
        <f t="shared" si="9"/>
        <v>6.9474633333333326E-4</v>
      </c>
      <c r="R69">
        <f t="shared" si="9"/>
        <v>1.3794866666666666E-4</v>
      </c>
      <c r="T69">
        <f t="shared" si="16"/>
        <v>81.467363399792433</v>
      </c>
      <c r="U69">
        <f t="shared" si="16"/>
        <v>89.245460874983948</v>
      </c>
      <c r="W69">
        <f t="shared" si="17"/>
        <v>5.9112131556908682</v>
      </c>
      <c r="X69">
        <f t="shared" si="17"/>
        <v>5.6001171588399208</v>
      </c>
    </row>
    <row r="70" spans="1:24" x14ac:dyDescent="0.35">
      <c r="A70">
        <v>436.18</v>
      </c>
      <c r="B70">
        <v>8.6953499999999995E-4</v>
      </c>
      <c r="C70">
        <v>1.7240300000000001E-4</v>
      </c>
      <c r="D70">
        <f t="shared" si="10"/>
        <v>79.005542431401054</v>
      </c>
      <c r="E70">
        <f t="shared" si="11"/>
        <v>87.699405851951326</v>
      </c>
      <c r="G70" s="7">
        <v>7.6038500000000003E-4</v>
      </c>
      <c r="H70" s="7">
        <v>1.41576E-4</v>
      </c>
      <c r="I70" s="6">
        <f t="shared" si="12"/>
        <v>76.389740024633269</v>
      </c>
      <c r="J70" s="6">
        <f t="shared" si="13"/>
        <v>83.603595091589796</v>
      </c>
      <c r="L70" s="7">
        <v>4.6500900000000001E-4</v>
      </c>
      <c r="M70" s="7">
        <v>1.01105E-4</v>
      </c>
      <c r="N70" s="6">
        <f t="shared" si="14"/>
        <v>90.439293070150356</v>
      </c>
      <c r="O70" s="6">
        <f t="shared" si="15"/>
        <v>97.378331262581028</v>
      </c>
      <c r="Q70">
        <f t="shared" si="9"/>
        <v>6.9830966666666668E-4</v>
      </c>
      <c r="R70">
        <f t="shared" si="9"/>
        <v>1.3836133333333333E-4</v>
      </c>
      <c r="T70">
        <f t="shared" si="16"/>
        <v>81.944858508728217</v>
      </c>
      <c r="U70">
        <f t="shared" si="16"/>
        <v>89.560444068707383</v>
      </c>
      <c r="W70">
        <f t="shared" si="17"/>
        <v>6.1006649608341936</v>
      </c>
      <c r="X70">
        <f t="shared" si="17"/>
        <v>5.7754328310106464</v>
      </c>
    </row>
    <row r="71" spans="1:24" x14ac:dyDescent="0.35">
      <c r="A71">
        <v>449.34699999999998</v>
      </c>
      <c r="B71">
        <v>2.9617599999999999E-6</v>
      </c>
      <c r="C71">
        <v>2.6967699999999999E-5</v>
      </c>
      <c r="D71">
        <f t="shared" si="10"/>
        <v>0.26910412502271486</v>
      </c>
      <c r="E71">
        <f t="shared" si="11"/>
        <v>13.718156106295526</v>
      </c>
      <c r="G71" s="7">
        <v>4.4916000000000003E-6</v>
      </c>
      <c r="H71" s="7">
        <v>2.6194E-5</v>
      </c>
      <c r="I71" s="6">
        <f t="shared" si="12"/>
        <v>0.4512347775069771</v>
      </c>
      <c r="J71" s="6">
        <f t="shared" si="13"/>
        <v>15.46810596308063</v>
      </c>
      <c r="L71" s="7">
        <v>4.8138000000000004E-6</v>
      </c>
      <c r="M71" s="7">
        <v>2.0239599999999998E-5</v>
      </c>
      <c r="N71" s="6">
        <f t="shared" si="14"/>
        <v>0.93623278040014224</v>
      </c>
      <c r="O71" s="6">
        <f t="shared" si="15"/>
        <v>19.493580667841698</v>
      </c>
      <c r="Q71">
        <f t="shared" si="9"/>
        <v>4.0890533333333333E-6</v>
      </c>
      <c r="R71">
        <f t="shared" si="9"/>
        <v>2.4467099999999998E-5</v>
      </c>
      <c r="T71">
        <f t="shared" si="16"/>
        <v>0.55219056097661146</v>
      </c>
      <c r="U71">
        <f t="shared" si="16"/>
        <v>16.226614245739285</v>
      </c>
      <c r="W71">
        <f t="shared" si="17"/>
        <v>0.28155427347541034</v>
      </c>
      <c r="X71">
        <f t="shared" si="17"/>
        <v>2.4180409877521378</v>
      </c>
    </row>
    <row r="72" spans="1:24" x14ac:dyDescent="0.35">
      <c r="A72">
        <v>455.601</v>
      </c>
      <c r="B72">
        <v>2.9661799999999999E-6</v>
      </c>
      <c r="C72">
        <v>2.70315E-5</v>
      </c>
      <c r="D72">
        <f t="shared" si="10"/>
        <v>0.26950572415046337</v>
      </c>
      <c r="E72">
        <f t="shared" si="11"/>
        <v>13.750610426077403</v>
      </c>
      <c r="G72" s="7">
        <v>4.4557000000000004E-6</v>
      </c>
      <c r="H72" s="7">
        <v>2.6174899999999999E-5</v>
      </c>
      <c r="I72" s="6">
        <f t="shared" si="12"/>
        <v>0.44762819443802609</v>
      </c>
      <c r="J72" s="6">
        <f t="shared" si="13"/>
        <v>15.456827012790683</v>
      </c>
      <c r="L72" s="7">
        <v>4.7526E-6</v>
      </c>
      <c r="M72" s="7">
        <v>2.01601E-5</v>
      </c>
      <c r="N72" s="6">
        <f t="shared" si="14"/>
        <v>0.92433003284924931</v>
      </c>
      <c r="O72" s="6">
        <f t="shared" si="15"/>
        <v>19.417010989434349</v>
      </c>
      <c r="Q72">
        <f t="shared" si="9"/>
        <v>4.0581600000000001E-6</v>
      </c>
      <c r="R72">
        <f t="shared" si="9"/>
        <v>2.44555E-5</v>
      </c>
      <c r="T72">
        <f t="shared" si="16"/>
        <v>0.54715465047924627</v>
      </c>
      <c r="U72">
        <f t="shared" si="16"/>
        <v>16.208149476100811</v>
      </c>
      <c r="W72">
        <f t="shared" si="17"/>
        <v>0.27643908961988295</v>
      </c>
      <c r="X72">
        <f t="shared" si="17"/>
        <v>2.3735188952283401</v>
      </c>
    </row>
    <row r="73" spans="1:24" x14ac:dyDescent="0.35">
      <c r="A73">
        <v>461.72699999999998</v>
      </c>
      <c r="B73">
        <v>2.9456600000000002E-6</v>
      </c>
      <c r="C73">
        <v>2.6997600000000001E-5</v>
      </c>
      <c r="D73">
        <f t="shared" si="10"/>
        <v>0.26764128657096131</v>
      </c>
      <c r="E73">
        <f t="shared" si="11"/>
        <v>13.733365889390795</v>
      </c>
      <c r="G73" s="7">
        <v>4.41133E-6</v>
      </c>
      <c r="H73" s="7">
        <v>2.63701E-5</v>
      </c>
      <c r="I73" s="6">
        <f t="shared" si="12"/>
        <v>0.44317069887341992</v>
      </c>
      <c r="J73" s="6">
        <f t="shared" si="13"/>
        <v>15.572096703712015</v>
      </c>
      <c r="L73" s="7">
        <v>4.69965E-6</v>
      </c>
      <c r="M73" s="7">
        <v>2.0090700000000001E-5</v>
      </c>
      <c r="N73" s="6">
        <f t="shared" si="14"/>
        <v>0.91403182234565805</v>
      </c>
      <c r="O73" s="6">
        <f t="shared" si="15"/>
        <v>19.350169031176865</v>
      </c>
      <c r="Q73">
        <f t="shared" si="9"/>
        <v>4.0188800000000001E-6</v>
      </c>
      <c r="R73">
        <f t="shared" si="9"/>
        <v>2.4486133333333333E-5</v>
      </c>
      <c r="T73">
        <f t="shared" si="16"/>
        <v>0.54161460259667982</v>
      </c>
      <c r="U73">
        <f t="shared" si="16"/>
        <v>16.218543874759892</v>
      </c>
      <c r="W73">
        <f t="shared" si="17"/>
        <v>0.27291461768592357</v>
      </c>
      <c r="X73">
        <f t="shared" si="17"/>
        <v>2.3381673510267698</v>
      </c>
    </row>
    <row r="74" spans="1:24" x14ac:dyDescent="0.35">
      <c r="A74">
        <v>467.90100000000001</v>
      </c>
      <c r="B74">
        <v>2.93416E-6</v>
      </c>
      <c r="C74">
        <v>2.69758E-5</v>
      </c>
      <c r="D74">
        <f t="shared" si="10"/>
        <v>0.26659640196256584</v>
      </c>
      <c r="E74">
        <f t="shared" si="11"/>
        <v>13.722276482317991</v>
      </c>
      <c r="G74" s="7">
        <v>4.3425700000000002E-6</v>
      </c>
      <c r="H74" s="7">
        <v>2.6091299999999999E-5</v>
      </c>
      <c r="I74" s="6">
        <f t="shared" si="12"/>
        <v>0.43626293698425356</v>
      </c>
      <c r="J74" s="6">
        <f t="shared" si="13"/>
        <v>15.407459460736261</v>
      </c>
      <c r="L74" s="7">
        <v>4.64819E-6</v>
      </c>
      <c r="M74" s="7">
        <v>2.0051399999999999E-5</v>
      </c>
      <c r="N74" s="6">
        <f t="shared" si="14"/>
        <v>0.9040234009572764</v>
      </c>
      <c r="O74" s="6">
        <f t="shared" si="15"/>
        <v>19.312317605247191</v>
      </c>
      <c r="Q74">
        <f t="shared" si="9"/>
        <v>3.9749733333333335E-6</v>
      </c>
      <c r="R74">
        <f t="shared" si="9"/>
        <v>2.4372833333333332E-5</v>
      </c>
      <c r="T74">
        <f t="shared" si="16"/>
        <v>0.53562757996803201</v>
      </c>
      <c r="U74">
        <f t="shared" si="16"/>
        <v>16.147351182767149</v>
      </c>
      <c r="W74">
        <f t="shared" si="17"/>
        <v>0.26954689631345041</v>
      </c>
      <c r="X74">
        <f t="shared" si="17"/>
        <v>2.3413272246395049</v>
      </c>
    </row>
    <row r="75" spans="1:24" x14ac:dyDescent="0.35">
      <c r="A75">
        <v>474.11200000000002</v>
      </c>
      <c r="B75">
        <v>2.9241399999999999E-6</v>
      </c>
      <c r="C75">
        <v>2.6950699999999999E-5</v>
      </c>
      <c r="D75">
        <f t="shared" si="10"/>
        <v>0.26568598946029437</v>
      </c>
      <c r="E75">
        <f t="shared" si="11"/>
        <v>13.709508403532331</v>
      </c>
      <c r="G75" s="7">
        <v>4.3156400000000001E-6</v>
      </c>
      <c r="H75" s="7">
        <v>2.60379E-5</v>
      </c>
      <c r="I75" s="6">
        <f t="shared" si="12"/>
        <v>0.43355749737292065</v>
      </c>
      <c r="J75" s="6">
        <f t="shared" si="13"/>
        <v>15.375925641601022</v>
      </c>
      <c r="L75" s="7">
        <v>4.6070199999999998E-6</v>
      </c>
      <c r="M75" s="7">
        <v>2.0012799999999999E-5</v>
      </c>
      <c r="N75" s="6">
        <f t="shared" si="14"/>
        <v>0.89601627486789304</v>
      </c>
      <c r="O75" s="6">
        <f t="shared" si="15"/>
        <v>19.275140377743746</v>
      </c>
      <c r="Q75">
        <f t="shared" si="9"/>
        <v>3.948933333333333E-6</v>
      </c>
      <c r="R75">
        <f t="shared" si="9"/>
        <v>2.4333800000000001E-5</v>
      </c>
      <c r="T75">
        <f t="shared" si="16"/>
        <v>0.53175325390036932</v>
      </c>
      <c r="U75">
        <f t="shared" si="16"/>
        <v>16.120191474292366</v>
      </c>
      <c r="W75">
        <f t="shared" si="17"/>
        <v>0.26653439068345969</v>
      </c>
      <c r="X75">
        <f t="shared" si="17"/>
        <v>2.3323112342874106</v>
      </c>
    </row>
    <row r="76" spans="1:24" x14ac:dyDescent="0.35">
      <c r="A76">
        <v>480.45699999999999</v>
      </c>
      <c r="B76">
        <v>2.9158499999999998E-6</v>
      </c>
      <c r="C76">
        <v>2.69449E-5</v>
      </c>
      <c r="D76">
        <f t="shared" si="10"/>
        <v>0.26493276394693799</v>
      </c>
      <c r="E76">
        <f t="shared" si="11"/>
        <v>13.706558010824891</v>
      </c>
      <c r="G76" s="7">
        <v>4.28647E-6</v>
      </c>
      <c r="H76" s="7">
        <v>2.5983499999999999E-5</v>
      </c>
      <c r="I76" s="6">
        <f t="shared" si="12"/>
        <v>0.43062702305199307</v>
      </c>
      <c r="J76" s="6">
        <f t="shared" si="13"/>
        <v>15.34380130150819</v>
      </c>
      <c r="L76" s="7">
        <v>4.5694900000000002E-6</v>
      </c>
      <c r="M76" s="7">
        <v>1.9979E-5</v>
      </c>
      <c r="N76" s="6">
        <f t="shared" si="14"/>
        <v>0.88871708997271315</v>
      </c>
      <c r="O76" s="6">
        <f t="shared" si="15"/>
        <v>19.242586225163013</v>
      </c>
      <c r="Q76">
        <f t="shared" si="9"/>
        <v>3.9239366666666671E-6</v>
      </c>
      <c r="R76">
        <f t="shared" si="9"/>
        <v>2.4302466666666666E-5</v>
      </c>
      <c r="T76">
        <f t="shared" si="16"/>
        <v>0.52809229232388144</v>
      </c>
      <c r="U76">
        <f t="shared" si="16"/>
        <v>16.097648512498697</v>
      </c>
      <c r="W76">
        <f t="shared" si="17"/>
        <v>0.2638198000966302</v>
      </c>
      <c r="X76">
        <f t="shared" si="17"/>
        <v>2.3220847401455926</v>
      </c>
    </row>
    <row r="77" spans="1:24" x14ac:dyDescent="0.35">
      <c r="A77">
        <v>486.59</v>
      </c>
      <c r="B77">
        <v>2.9035799999999999E-6</v>
      </c>
      <c r="C77">
        <v>2.69278E-5</v>
      </c>
      <c r="D77">
        <f t="shared" si="10"/>
        <v>0.2638179174995457</v>
      </c>
      <c r="E77">
        <f t="shared" si="11"/>
        <v>13.69785943922191</v>
      </c>
      <c r="G77" s="7">
        <v>4.2567399999999997E-6</v>
      </c>
      <c r="H77" s="7">
        <v>2.5933500000000002E-5</v>
      </c>
      <c r="I77" s="6">
        <f t="shared" si="12"/>
        <v>0.42764029005366672</v>
      </c>
      <c r="J77" s="6">
        <f t="shared" si="13"/>
        <v>15.31427525362875</v>
      </c>
      <c r="L77" s="7">
        <v>4.53372E-6</v>
      </c>
      <c r="M77" s="7">
        <v>1.99326E-5</v>
      </c>
      <c r="N77" s="6">
        <f t="shared" si="14"/>
        <v>0.88176020631429086</v>
      </c>
      <c r="O77" s="6">
        <f t="shared" si="15"/>
        <v>19.197896500910169</v>
      </c>
      <c r="Q77">
        <f t="shared" si="9"/>
        <v>3.8980133333333335E-6</v>
      </c>
      <c r="R77">
        <f t="shared" si="9"/>
        <v>2.4264633333333335E-5</v>
      </c>
      <c r="T77">
        <f t="shared" si="16"/>
        <v>0.52440613795583435</v>
      </c>
      <c r="U77">
        <f t="shared" si="16"/>
        <v>16.070010397920274</v>
      </c>
      <c r="W77">
        <f t="shared" si="17"/>
        <v>0.26138845940677474</v>
      </c>
      <c r="X77">
        <f t="shared" si="17"/>
        <v>2.3080949758367333</v>
      </c>
    </row>
    <row r="78" spans="1:24" x14ac:dyDescent="0.35">
      <c r="A78">
        <v>492.80599999999998</v>
      </c>
      <c r="B78">
        <v>2.8949200000000001E-6</v>
      </c>
      <c r="C78">
        <v>2.6921199999999999E-5</v>
      </c>
      <c r="D78">
        <f t="shared" si="10"/>
        <v>0.26303107395965841</v>
      </c>
      <c r="E78">
        <f t="shared" si="11"/>
        <v>13.694502095796199</v>
      </c>
      <c r="G78" s="7">
        <v>4.22059E-6</v>
      </c>
      <c r="H78" s="7">
        <v>2.58726E-5</v>
      </c>
      <c r="I78" s="6">
        <f t="shared" si="12"/>
        <v>0.4240085915037341</v>
      </c>
      <c r="J78" s="6">
        <f t="shared" si="13"/>
        <v>15.278312527311593</v>
      </c>
      <c r="L78" s="7">
        <v>4.5058299999999997E-6</v>
      </c>
      <c r="M78" s="7">
        <v>1.99284E-5</v>
      </c>
      <c r="N78" s="6">
        <f t="shared" si="14"/>
        <v>0.87633589864771544</v>
      </c>
      <c r="O78" s="6">
        <f t="shared" si="15"/>
        <v>19.193851310352798</v>
      </c>
      <c r="Q78">
        <f t="shared" si="9"/>
        <v>3.8737799999999995E-6</v>
      </c>
      <c r="R78">
        <f t="shared" si="9"/>
        <v>2.4240733333333333E-5</v>
      </c>
      <c r="T78">
        <f t="shared" si="16"/>
        <v>0.521125188037036</v>
      </c>
      <c r="U78">
        <f t="shared" si="16"/>
        <v>16.05555531115353</v>
      </c>
      <c r="W78">
        <f t="shared" si="17"/>
        <v>0.25962720323324012</v>
      </c>
      <c r="X78">
        <f t="shared" si="17"/>
        <v>2.3113906643241</v>
      </c>
    </row>
    <row r="79" spans="1:24" x14ac:dyDescent="0.35">
      <c r="A79">
        <v>499.017</v>
      </c>
      <c r="B79">
        <v>2.88755E-6</v>
      </c>
      <c r="C79">
        <v>2.69076E-5</v>
      </c>
      <c r="D79">
        <f t="shared" si="10"/>
        <v>0.26236143921497368</v>
      </c>
      <c r="E79">
        <f t="shared" si="11"/>
        <v>13.687583933585643</v>
      </c>
      <c r="G79" s="7">
        <v>4.1923200000000002E-6</v>
      </c>
      <c r="H79" s="7">
        <v>2.5818800000000001E-5</v>
      </c>
      <c r="I79" s="6">
        <f t="shared" si="12"/>
        <v>0.42116853291434014</v>
      </c>
      <c r="J79" s="6">
        <f t="shared" si="13"/>
        <v>15.246542499793318</v>
      </c>
      <c r="L79" s="7">
        <v>4.4770999999999999E-6</v>
      </c>
      <c r="M79" s="7">
        <v>1.9906299999999999E-5</v>
      </c>
      <c r="N79" s="6">
        <f t="shared" si="14"/>
        <v>0.87074821993632401</v>
      </c>
      <c r="O79" s="6">
        <f t="shared" si="15"/>
        <v>19.172565902896164</v>
      </c>
      <c r="Q79">
        <f t="shared" si="9"/>
        <v>3.8523233333333331E-6</v>
      </c>
      <c r="R79">
        <f t="shared" si="9"/>
        <v>2.4210899999999999E-5</v>
      </c>
      <c r="T79">
        <f t="shared" si="16"/>
        <v>0.51809273068854589</v>
      </c>
      <c r="U79">
        <f t="shared" si="16"/>
        <v>16.035564112091709</v>
      </c>
      <c r="W79">
        <f t="shared" si="17"/>
        <v>0.25765525264682942</v>
      </c>
      <c r="X79">
        <f t="shared" si="17"/>
        <v>2.3076933836511451</v>
      </c>
    </row>
    <row r="80" spans="1:24" x14ac:dyDescent="0.35">
      <c r="A80">
        <v>505.20699999999999</v>
      </c>
      <c r="B80">
        <v>2.8825299999999999E-6</v>
      </c>
      <c r="C80">
        <v>2.6882299999999998E-5</v>
      </c>
      <c r="D80">
        <f t="shared" si="10"/>
        <v>0.26190532436852626</v>
      </c>
      <c r="E80">
        <f t="shared" si="11"/>
        <v>13.674714117120415</v>
      </c>
      <c r="G80" s="7">
        <v>4.1762300000000003E-6</v>
      </c>
      <c r="H80" s="7">
        <v>2.58044E-5</v>
      </c>
      <c r="I80" s="6">
        <f t="shared" si="12"/>
        <v>0.41955210055836739</v>
      </c>
      <c r="J80" s="6">
        <f t="shared" si="13"/>
        <v>15.238038998004038</v>
      </c>
      <c r="L80" s="7">
        <v>4.4427699999999996E-6</v>
      </c>
      <c r="M80" s="7">
        <v>1.98882E-5</v>
      </c>
      <c r="N80" s="6">
        <f t="shared" si="14"/>
        <v>0.86407140092615797</v>
      </c>
      <c r="O80" s="6">
        <f t="shared" si="15"/>
        <v>19.155133057875119</v>
      </c>
      <c r="Q80">
        <f t="shared" si="9"/>
        <v>3.8338433333333337E-6</v>
      </c>
      <c r="R80">
        <f t="shared" si="9"/>
        <v>2.4191633333333331E-5</v>
      </c>
      <c r="T80">
        <f t="shared" si="16"/>
        <v>0.51517627528435062</v>
      </c>
      <c r="U80">
        <f t="shared" si="16"/>
        <v>16.022628724333192</v>
      </c>
      <c r="W80">
        <f t="shared" si="17"/>
        <v>0.25496272019417776</v>
      </c>
      <c r="X80">
        <f t="shared" si="17"/>
        <v>2.3051296016408966</v>
      </c>
    </row>
    <row r="81" spans="1:24" x14ac:dyDescent="0.35">
      <c r="A81">
        <v>518.327</v>
      </c>
      <c r="B81">
        <v>7.1454500000000002E-4</v>
      </c>
      <c r="C81">
        <v>1.6684600000000001E-4</v>
      </c>
      <c r="D81">
        <f t="shared" si="10"/>
        <v>64.923223696165735</v>
      </c>
      <c r="E81">
        <f t="shared" si="11"/>
        <v>84.872624425182124</v>
      </c>
      <c r="G81" s="7">
        <v>6.3184700000000005E-4</v>
      </c>
      <c r="H81" s="7">
        <v>1.50116E-4</v>
      </c>
      <c r="I81" s="6">
        <f t="shared" si="12"/>
        <v>63.476565247005738</v>
      </c>
      <c r="J81" s="6">
        <f t="shared" si="13"/>
        <v>88.646644069398022</v>
      </c>
      <c r="L81" s="7">
        <v>3.6032300000000001E-4</v>
      </c>
      <c r="M81" s="7">
        <v>1.07648E-4</v>
      </c>
      <c r="N81" s="6">
        <f t="shared" si="14"/>
        <v>70.078982120595057</v>
      </c>
      <c r="O81" s="6">
        <f t="shared" si="15"/>
        <v>103.68016026659733</v>
      </c>
      <c r="Q81">
        <f t="shared" si="9"/>
        <v>5.6890500000000008E-4</v>
      </c>
      <c r="R81">
        <f t="shared" si="9"/>
        <v>1.4153666666666666E-4</v>
      </c>
      <c r="T81">
        <f t="shared" si="16"/>
        <v>66.159590354588843</v>
      </c>
      <c r="U81">
        <f t="shared" si="16"/>
        <v>92.399809587059167</v>
      </c>
      <c r="W81">
        <f t="shared" si="17"/>
        <v>2.8336582984673697</v>
      </c>
      <c r="X81">
        <f t="shared" si="17"/>
        <v>8.1238553925563277</v>
      </c>
    </row>
    <row r="82" spans="1:24" x14ac:dyDescent="0.35">
      <c r="A82">
        <v>524.44100000000003</v>
      </c>
      <c r="B82">
        <v>7.3632199999999997E-4</v>
      </c>
      <c r="C82">
        <v>1.68827E-4</v>
      </c>
      <c r="D82">
        <f t="shared" si="10"/>
        <v>66.901871706341993</v>
      </c>
      <c r="E82">
        <f t="shared" si="11"/>
        <v>85.880336141293284</v>
      </c>
      <c r="G82" s="7">
        <v>6.5139699999999996E-4</v>
      </c>
      <c r="H82" s="7">
        <v>1.4948000000000001E-4</v>
      </c>
      <c r="I82" s="6">
        <f t="shared" si="12"/>
        <v>65.440595859763178</v>
      </c>
      <c r="J82" s="6">
        <f t="shared" si="13"/>
        <v>88.271072740371565</v>
      </c>
      <c r="L82" s="7">
        <v>3.74321E-4</v>
      </c>
      <c r="M82" s="7">
        <v>1.05868E-4</v>
      </c>
      <c r="N82" s="6">
        <f t="shared" si="14"/>
        <v>72.801443888853228</v>
      </c>
      <c r="O82" s="6">
        <f t="shared" si="15"/>
        <v>101.9657699827598</v>
      </c>
      <c r="Q82">
        <f t="shared" si="9"/>
        <v>5.8734666666666662E-4</v>
      </c>
      <c r="R82">
        <f t="shared" si="9"/>
        <v>1.4139166666666666E-4</v>
      </c>
      <c r="T82">
        <f t="shared" si="16"/>
        <v>68.381303818319466</v>
      </c>
      <c r="U82">
        <f t="shared" si="16"/>
        <v>92.039059621474891</v>
      </c>
      <c r="W82">
        <f t="shared" si="17"/>
        <v>3.1819344700252512</v>
      </c>
      <c r="X82">
        <f t="shared" si="17"/>
        <v>7.0867759157073227</v>
      </c>
    </row>
    <row r="83" spans="1:24" x14ac:dyDescent="0.35">
      <c r="A83">
        <v>530.67700000000002</v>
      </c>
      <c r="B83">
        <v>7.5117800000000002E-4</v>
      </c>
      <c r="C83">
        <v>1.6837800000000001E-4</v>
      </c>
      <c r="D83">
        <f t="shared" si="10"/>
        <v>68.251680901326552</v>
      </c>
      <c r="E83">
        <f t="shared" si="11"/>
        <v>85.651935050665358</v>
      </c>
      <c r="G83" s="7">
        <v>6.64703E-4</v>
      </c>
      <c r="H83" s="7">
        <v>1.47925E-4</v>
      </c>
      <c r="I83" s="6">
        <f t="shared" si="12"/>
        <v>66.777342219525366</v>
      </c>
      <c r="J83" s="6">
        <f t="shared" si="13"/>
        <v>87.352812651321003</v>
      </c>
      <c r="L83" s="7">
        <v>3.8261099999999999E-4</v>
      </c>
      <c r="M83" s="7">
        <v>1.03453E-4</v>
      </c>
      <c r="N83" s="6">
        <f t="shared" si="14"/>
        <v>74.413760509717648</v>
      </c>
      <c r="O83" s="6">
        <f t="shared" si="15"/>
        <v>99.639785412272346</v>
      </c>
      <c r="Q83">
        <f t="shared" si="9"/>
        <v>5.9949733333333332E-4</v>
      </c>
      <c r="R83">
        <f t="shared" si="9"/>
        <v>1.3991866666666667E-4</v>
      </c>
      <c r="T83">
        <f t="shared" si="16"/>
        <v>69.814261210189855</v>
      </c>
      <c r="U83">
        <f t="shared" si="16"/>
        <v>90.881511038086231</v>
      </c>
      <c r="W83">
        <f t="shared" si="17"/>
        <v>3.3075634528487692</v>
      </c>
      <c r="X83">
        <f t="shared" si="17"/>
        <v>6.2318415503630415</v>
      </c>
    </row>
    <row r="84" spans="1:24" x14ac:dyDescent="0.35">
      <c r="A84">
        <v>536.91800000000001</v>
      </c>
      <c r="B84">
        <v>7.6088800000000004E-4</v>
      </c>
      <c r="C84">
        <v>1.6866099999999999E-4</v>
      </c>
      <c r="D84">
        <f t="shared" si="10"/>
        <v>69.133926948936946</v>
      </c>
      <c r="E84">
        <f t="shared" si="11"/>
        <v>85.795893867252673</v>
      </c>
      <c r="G84" s="7">
        <v>6.7675199999999997E-4</v>
      </c>
      <c r="H84" s="7">
        <v>1.4569299999999999E-4</v>
      </c>
      <c r="I84" s="6">
        <f t="shared" si="12"/>
        <v>67.987807940912305</v>
      </c>
      <c r="J84" s="6">
        <f t="shared" si="13"/>
        <v>86.034769873982825</v>
      </c>
      <c r="L84" s="7">
        <v>3.9017400000000002E-4</v>
      </c>
      <c r="M84" s="7">
        <v>1.01813E-4</v>
      </c>
      <c r="N84" s="6">
        <f t="shared" si="14"/>
        <v>75.884683381080464</v>
      </c>
      <c r="O84" s="6">
        <f t="shared" si="15"/>
        <v>98.060234813680452</v>
      </c>
      <c r="Q84">
        <f t="shared" si="9"/>
        <v>6.0927133333333336E-4</v>
      </c>
      <c r="R84">
        <f t="shared" si="9"/>
        <v>1.3872233333333332E-4</v>
      </c>
      <c r="T84">
        <f t="shared" si="16"/>
        <v>71.002139423643243</v>
      </c>
      <c r="U84">
        <f t="shared" si="16"/>
        <v>89.96363285163865</v>
      </c>
      <c r="W84">
        <f t="shared" si="17"/>
        <v>3.4840420794788458</v>
      </c>
      <c r="X84">
        <f t="shared" si="17"/>
        <v>5.725992661274387</v>
      </c>
    </row>
    <row r="85" spans="1:24" x14ac:dyDescent="0.35">
      <c r="A85">
        <v>543.17700000000002</v>
      </c>
      <c r="B85">
        <v>7.6800999999999996E-4</v>
      </c>
      <c r="C85">
        <v>1.6683400000000001E-4</v>
      </c>
      <c r="D85">
        <f t="shared" si="10"/>
        <v>69.781028529892779</v>
      </c>
      <c r="E85">
        <f t="shared" si="11"/>
        <v>84.866520164408101</v>
      </c>
      <c r="G85" s="7">
        <v>6.8892200000000002E-4</v>
      </c>
      <c r="H85" s="7">
        <v>1.4405200000000001E-4</v>
      </c>
      <c r="I85" s="6">
        <f t="shared" si="12"/>
        <v>69.210429555094322</v>
      </c>
      <c r="J85" s="6">
        <f t="shared" si="13"/>
        <v>85.065724982579638</v>
      </c>
      <c r="L85" s="7">
        <v>3.9891900000000002E-4</v>
      </c>
      <c r="M85" s="7">
        <v>1.01345E-4</v>
      </c>
      <c r="N85" s="6">
        <f t="shared" si="14"/>
        <v>77.585492651220321</v>
      </c>
      <c r="O85" s="6">
        <f t="shared" si="15"/>
        <v>97.609485008716419</v>
      </c>
      <c r="Q85">
        <f t="shared" si="9"/>
        <v>6.1861700000000002E-4</v>
      </c>
      <c r="R85">
        <f t="shared" si="9"/>
        <v>1.3741033333333332E-4</v>
      </c>
      <c r="T85">
        <f t="shared" si="16"/>
        <v>72.192316912069145</v>
      </c>
      <c r="U85">
        <f t="shared" si="16"/>
        <v>89.180576718568048</v>
      </c>
      <c r="W85">
        <f t="shared" si="17"/>
        <v>3.8206591239851901</v>
      </c>
      <c r="X85">
        <f t="shared" si="17"/>
        <v>5.9606930169063723</v>
      </c>
    </row>
    <row r="86" spans="1:24" x14ac:dyDescent="0.35">
      <c r="A86">
        <v>549.27800000000002</v>
      </c>
      <c r="B86">
        <v>7.7534399999999997E-4</v>
      </c>
      <c r="C86">
        <v>1.6647499999999999E-4</v>
      </c>
      <c r="D86">
        <f t="shared" si="10"/>
        <v>70.447392331455575</v>
      </c>
      <c r="E86">
        <f t="shared" si="11"/>
        <v>84.683901029585314</v>
      </c>
      <c r="G86" s="7">
        <v>6.9755499999999998E-4</v>
      </c>
      <c r="H86" s="7">
        <v>1.45914E-4</v>
      </c>
      <c r="I86" s="6">
        <f t="shared" si="12"/>
        <v>70.07771734434931</v>
      </c>
      <c r="J86" s="6">
        <f t="shared" si="13"/>
        <v>86.165275005609942</v>
      </c>
      <c r="L86" s="7">
        <v>4.0694100000000002E-4</v>
      </c>
      <c r="M86" s="7">
        <v>1.0155E-4</v>
      </c>
      <c r="N86" s="6">
        <f t="shared" si="14"/>
        <v>79.145686129214823</v>
      </c>
      <c r="O86" s="6">
        <f t="shared" si="15"/>
        <v>97.806928833540425</v>
      </c>
      <c r="Q86">
        <f t="shared" si="9"/>
        <v>6.2661333333333331E-4</v>
      </c>
      <c r="R86">
        <f t="shared" si="9"/>
        <v>1.3797966666666666E-4</v>
      </c>
      <c r="T86">
        <f t="shared" si="16"/>
        <v>73.223598601673231</v>
      </c>
      <c r="U86">
        <f t="shared" si="16"/>
        <v>89.552034956245222</v>
      </c>
      <c r="W86">
        <f t="shared" si="17"/>
        <v>4.1902669295977422</v>
      </c>
      <c r="X86">
        <f t="shared" si="17"/>
        <v>5.8683371811933833</v>
      </c>
    </row>
    <row r="87" spans="1:24" x14ac:dyDescent="0.35">
      <c r="A87">
        <v>555.61199999999997</v>
      </c>
      <c r="B87">
        <v>7.8110500000000004E-4</v>
      </c>
      <c r="C87">
        <v>1.66856E-4</v>
      </c>
      <c r="D87">
        <f t="shared" si="10"/>
        <v>70.970834090496098</v>
      </c>
      <c r="E87">
        <f t="shared" si="11"/>
        <v>84.87771130916046</v>
      </c>
      <c r="G87" s="7">
        <v>7.05144E-4</v>
      </c>
      <c r="H87" s="7">
        <v>1.4730099999999999E-4</v>
      </c>
      <c r="I87" s="6">
        <f t="shared" si="12"/>
        <v>70.840122885025352</v>
      </c>
      <c r="J87" s="6">
        <f t="shared" si="13"/>
        <v>86.984327573785578</v>
      </c>
      <c r="L87" s="7">
        <v>4.1140099999999999E-4</v>
      </c>
      <c r="M87" s="7">
        <v>1.03137E-4</v>
      </c>
      <c r="N87" s="6">
        <f t="shared" si="14"/>
        <v>80.013108581453096</v>
      </c>
      <c r="O87" s="6">
        <f t="shared" si="15"/>
        <v>99.335432979860741</v>
      </c>
      <c r="Q87">
        <f t="shared" si="9"/>
        <v>6.3255000000000006E-4</v>
      </c>
      <c r="R87">
        <f t="shared" si="9"/>
        <v>1.3909800000000002E-4</v>
      </c>
      <c r="T87">
        <f t="shared" si="16"/>
        <v>73.941355185658168</v>
      </c>
      <c r="U87">
        <f t="shared" si="16"/>
        <v>90.39915728760225</v>
      </c>
      <c r="W87">
        <f t="shared" si="17"/>
        <v>4.2937096105286559</v>
      </c>
      <c r="X87">
        <f t="shared" si="17"/>
        <v>6.3771584820426677</v>
      </c>
    </row>
    <row r="88" spans="1:24" x14ac:dyDescent="0.35">
      <c r="A88">
        <v>561.73</v>
      </c>
      <c r="B88">
        <v>7.8641500000000005E-4</v>
      </c>
      <c r="C88">
        <v>1.6672900000000001E-4</v>
      </c>
      <c r="D88">
        <f t="shared" si="10"/>
        <v>71.45329820098128</v>
      </c>
      <c r="E88">
        <f t="shared" si="11"/>
        <v>84.813107882635421</v>
      </c>
      <c r="G88" s="7">
        <v>7.1551099999999995E-4</v>
      </c>
      <c r="H88" s="7">
        <v>1.4803099999999999E-4</v>
      </c>
      <c r="I88" s="6">
        <f t="shared" si="12"/>
        <v>71.881611650368384</v>
      </c>
      <c r="J88" s="6">
        <f t="shared" si="13"/>
        <v>87.415407872825398</v>
      </c>
      <c r="L88" s="7">
        <v>4.1614499999999998E-4</v>
      </c>
      <c r="M88" s="7">
        <v>1.05561E-4</v>
      </c>
      <c r="N88" s="6">
        <f t="shared" si="14"/>
        <v>80.935766005986366</v>
      </c>
      <c r="O88" s="6">
        <f t="shared" si="15"/>
        <v>101.67008581582826</v>
      </c>
      <c r="Q88">
        <f t="shared" si="9"/>
        <v>6.3935700000000001E-4</v>
      </c>
      <c r="R88">
        <f t="shared" si="9"/>
        <v>1.4010699999999999E-4</v>
      </c>
      <c r="T88">
        <f t="shared" si="16"/>
        <v>74.756891952445343</v>
      </c>
      <c r="U88">
        <f t="shared" si="16"/>
        <v>91.299533857096364</v>
      </c>
      <c r="W88">
        <f t="shared" si="17"/>
        <v>4.3726213747113087</v>
      </c>
      <c r="X88">
        <f t="shared" si="17"/>
        <v>7.409644717362375</v>
      </c>
    </row>
    <row r="89" spans="1:24" x14ac:dyDescent="0.35">
      <c r="A89">
        <v>567.92600000000004</v>
      </c>
      <c r="B89">
        <v>7.9042000000000001E-4</v>
      </c>
      <c r="C89">
        <v>1.6744000000000001E-4</v>
      </c>
      <c r="D89">
        <f t="shared" si="10"/>
        <v>71.817190623296383</v>
      </c>
      <c r="E89">
        <f t="shared" si="11"/>
        <v>85.174785333496118</v>
      </c>
      <c r="G89" s="7">
        <v>7.2111199999999999E-4</v>
      </c>
      <c r="H89" s="7">
        <v>1.4981E-4</v>
      </c>
      <c r="I89" s="6">
        <f t="shared" si="12"/>
        <v>72.4442988862791</v>
      </c>
      <c r="J89" s="6">
        <f t="shared" si="13"/>
        <v>88.465944656375854</v>
      </c>
      <c r="L89" s="7">
        <v>4.2087E-4</v>
      </c>
      <c r="M89" s="7">
        <v>1.05424E-4</v>
      </c>
      <c r="N89" s="6">
        <f t="shared" si="14"/>
        <v>81.854728133077387</v>
      </c>
      <c r="O89" s="6">
        <f t="shared" si="15"/>
        <v>101.53813555240929</v>
      </c>
      <c r="Q89">
        <f t="shared" si="9"/>
        <v>6.4413399999999998E-4</v>
      </c>
      <c r="R89">
        <f t="shared" si="9"/>
        <v>1.4089133333333335E-4</v>
      </c>
      <c r="T89">
        <f t="shared" si="16"/>
        <v>75.372072547550957</v>
      </c>
      <c r="U89">
        <f t="shared" si="16"/>
        <v>91.726288514093753</v>
      </c>
      <c r="W89">
        <f t="shared" si="17"/>
        <v>4.5910734963835393</v>
      </c>
      <c r="X89">
        <f t="shared" si="17"/>
        <v>7.0669271563445699</v>
      </c>
    </row>
    <row r="90" spans="1:24" x14ac:dyDescent="0.35">
      <c r="A90">
        <v>574.19000000000005</v>
      </c>
      <c r="B90">
        <v>7.9356900000000005E-4</v>
      </c>
      <c r="C90">
        <v>1.67987E-4</v>
      </c>
      <c r="D90">
        <f t="shared" si="10"/>
        <v>72.10330728693441</v>
      </c>
      <c r="E90">
        <f t="shared" si="11"/>
        <v>85.453037887111876</v>
      </c>
      <c r="G90" s="7">
        <v>7.2587200000000002E-4</v>
      </c>
      <c r="H90" s="7">
        <v>1.5060099999999999E-4</v>
      </c>
      <c r="I90" s="6">
        <f t="shared" si="12"/>
        <v>72.922497644167876</v>
      </c>
      <c r="J90" s="6">
        <f t="shared" si="13"/>
        <v>88.933046733828576</v>
      </c>
      <c r="L90" s="7">
        <v>4.2661400000000002E-4</v>
      </c>
      <c r="M90" s="7">
        <v>1.05025E-4</v>
      </c>
      <c r="N90" s="6">
        <f t="shared" si="14"/>
        <v>82.971874896677534</v>
      </c>
      <c r="O90" s="6">
        <f t="shared" si="15"/>
        <v>101.15384244945919</v>
      </c>
      <c r="Q90">
        <f t="shared" si="9"/>
        <v>6.4868500000000008E-4</v>
      </c>
      <c r="R90">
        <f t="shared" si="9"/>
        <v>1.4120433333333332E-4</v>
      </c>
      <c r="T90">
        <f t="shared" si="16"/>
        <v>75.999226609259949</v>
      </c>
      <c r="U90">
        <f t="shared" si="16"/>
        <v>91.846642356799876</v>
      </c>
      <c r="W90">
        <f t="shared" si="17"/>
        <v>4.9417362883482365</v>
      </c>
      <c r="X90">
        <f t="shared" si="17"/>
        <v>6.7327852367800318</v>
      </c>
    </row>
    <row r="91" spans="1:24" x14ac:dyDescent="0.35">
      <c r="A91">
        <v>580.33500000000004</v>
      </c>
      <c r="B91">
        <v>7.9682799999999997E-4</v>
      </c>
      <c r="C91">
        <v>1.67761E-4</v>
      </c>
      <c r="D91">
        <f t="shared" si="10"/>
        <v>72.399418499000546</v>
      </c>
      <c r="E91">
        <f t="shared" si="11"/>
        <v>85.338074309201147</v>
      </c>
      <c r="G91" s="7">
        <v>7.3241799999999998E-4</v>
      </c>
      <c r="H91" s="7">
        <v>1.5108499999999999E-4</v>
      </c>
      <c r="I91" s="6">
        <f t="shared" si="12"/>
        <v>73.580121398188865</v>
      </c>
      <c r="J91" s="6">
        <f t="shared" si="13"/>
        <v>89.218858877301543</v>
      </c>
      <c r="L91" s="7">
        <v>4.30624E-4</v>
      </c>
      <c r="M91" s="7">
        <v>1.04737E-4</v>
      </c>
      <c r="N91" s="6">
        <f t="shared" si="14"/>
        <v>83.751777146335712</v>
      </c>
      <c r="O91" s="6">
        <f t="shared" si="15"/>
        <v>100.87645795409672</v>
      </c>
      <c r="Q91">
        <f t="shared" si="9"/>
        <v>6.5328999999999995E-4</v>
      </c>
      <c r="R91">
        <f t="shared" si="9"/>
        <v>1.4119433333333332E-4</v>
      </c>
      <c r="T91">
        <f t="shared" si="16"/>
        <v>76.577105681175041</v>
      </c>
      <c r="U91">
        <f t="shared" si="16"/>
        <v>91.811130380199813</v>
      </c>
      <c r="W91">
        <f t="shared" si="17"/>
        <v>5.0961062134915647</v>
      </c>
      <c r="X91">
        <f t="shared" si="17"/>
        <v>6.6030419874753372</v>
      </c>
    </row>
    <row r="92" spans="1:24" x14ac:dyDescent="0.35">
      <c r="A92">
        <v>586.61800000000005</v>
      </c>
      <c r="B92">
        <v>8.00507E-4</v>
      </c>
      <c r="C92">
        <v>1.6712199999999999E-4</v>
      </c>
      <c r="D92">
        <f t="shared" si="10"/>
        <v>72.733690714155912</v>
      </c>
      <c r="E92">
        <f t="shared" si="11"/>
        <v>85.013022422984577</v>
      </c>
      <c r="G92" s="7">
        <v>7.4312200000000003E-4</v>
      </c>
      <c r="H92" s="7">
        <v>1.49541E-4</v>
      </c>
      <c r="I92" s="6">
        <f t="shared" si="12"/>
        <v>74.655465831895057</v>
      </c>
      <c r="J92" s="6">
        <f t="shared" si="13"/>
        <v>88.307094518784467</v>
      </c>
      <c r="L92" s="7">
        <v>4.3662799999999999E-4</v>
      </c>
      <c r="M92" s="7">
        <v>1.05054E-4</v>
      </c>
      <c r="N92" s="6">
        <f t="shared" si="14"/>
        <v>84.91949113809325</v>
      </c>
      <c r="O92" s="6">
        <f t="shared" si="15"/>
        <v>101.18177352711723</v>
      </c>
      <c r="Q92">
        <f t="shared" si="9"/>
        <v>6.6008566666666667E-4</v>
      </c>
      <c r="R92">
        <f t="shared" si="9"/>
        <v>1.4057233333333334E-4</v>
      </c>
      <c r="T92">
        <f t="shared" si="16"/>
        <v>77.436215894714735</v>
      </c>
      <c r="U92">
        <f t="shared" si="16"/>
        <v>91.500630156295415</v>
      </c>
      <c r="W92">
        <f t="shared" si="17"/>
        <v>5.3493215256336697</v>
      </c>
      <c r="X92">
        <f t="shared" si="17"/>
        <v>6.9764427644221438</v>
      </c>
    </row>
    <row r="93" spans="1:24" x14ac:dyDescent="0.35">
      <c r="A93">
        <v>592.80999999999995</v>
      </c>
      <c r="B93">
        <v>8.0421799999999999E-4</v>
      </c>
      <c r="C93">
        <v>1.6805499999999999E-4</v>
      </c>
      <c r="D93">
        <f t="shared" si="10"/>
        <v>73.07087043430856</v>
      </c>
      <c r="E93">
        <f t="shared" si="11"/>
        <v>85.487628698164642</v>
      </c>
      <c r="G93" s="7">
        <v>7.5260799999999999E-4</v>
      </c>
      <c r="H93" s="7">
        <v>1.49672E-4</v>
      </c>
      <c r="I93" s="6">
        <f t="shared" si="12"/>
        <v>75.608447642259108</v>
      </c>
      <c r="J93" s="6">
        <f t="shared" si="13"/>
        <v>88.384452764228598</v>
      </c>
      <c r="L93" s="7">
        <v>4.4424800000000001E-4</v>
      </c>
      <c r="M93" s="7">
        <v>1.04965E-4</v>
      </c>
      <c r="N93" s="6">
        <f t="shared" si="14"/>
        <v>86.40149990178287</v>
      </c>
      <c r="O93" s="6">
        <f t="shared" si="15"/>
        <v>101.09605401292534</v>
      </c>
      <c r="Q93">
        <f t="shared" si="9"/>
        <v>6.6702466666666664E-4</v>
      </c>
      <c r="R93">
        <f t="shared" si="9"/>
        <v>1.4089733333333331E-4</v>
      </c>
      <c r="T93">
        <f t="shared" si="16"/>
        <v>78.360272659450175</v>
      </c>
      <c r="U93">
        <f t="shared" si="16"/>
        <v>91.656045158439511</v>
      </c>
      <c r="W93">
        <f t="shared" si="17"/>
        <v>5.779609340529432</v>
      </c>
      <c r="X93">
        <f t="shared" si="17"/>
        <v>6.7790472682135166</v>
      </c>
    </row>
    <row r="94" spans="1:24" x14ac:dyDescent="0.35">
      <c r="A94">
        <v>598.93799999999999</v>
      </c>
      <c r="B94">
        <v>8.0658100000000001E-4</v>
      </c>
      <c r="C94">
        <v>1.66751E-4</v>
      </c>
      <c r="D94">
        <f t="shared" si="10"/>
        <v>73.285571506451035</v>
      </c>
      <c r="E94">
        <f t="shared" si="11"/>
        <v>84.824299027387781</v>
      </c>
      <c r="G94" s="7">
        <v>7.6311599999999999E-4</v>
      </c>
      <c r="H94" s="7">
        <v>1.5189500000000001E-4</v>
      </c>
      <c r="I94" s="6">
        <f t="shared" si="12"/>
        <v>76.664101538875755</v>
      </c>
      <c r="J94" s="6">
        <f t="shared" si="13"/>
        <v>89.697180852948478</v>
      </c>
      <c r="L94" s="7">
        <v>4.51629E-4</v>
      </c>
      <c r="M94" s="7">
        <v>1.04695E-4</v>
      </c>
      <c r="N94" s="6">
        <f t="shared" si="14"/>
        <v>87.837025713435509</v>
      </c>
      <c r="O94" s="6">
        <f t="shared" si="15"/>
        <v>100.83600604852303</v>
      </c>
      <c r="Q94">
        <f t="shared" si="9"/>
        <v>6.7377533333333331E-4</v>
      </c>
      <c r="R94">
        <f t="shared" si="9"/>
        <v>1.4111366666666667E-4</v>
      </c>
      <c r="T94">
        <f t="shared" si="16"/>
        <v>79.262232919587433</v>
      </c>
      <c r="U94">
        <f t="shared" si="16"/>
        <v>91.785828642953092</v>
      </c>
      <c r="W94">
        <f t="shared" si="17"/>
        <v>6.218194801712718</v>
      </c>
      <c r="X94">
        <f t="shared" si="17"/>
        <v>6.701518615243681</v>
      </c>
    </row>
    <row r="95" spans="1:24" x14ac:dyDescent="0.35">
      <c r="A95">
        <v>605.25900000000001</v>
      </c>
      <c r="B95">
        <v>8.1021299999999995E-4</v>
      </c>
      <c r="C95">
        <v>1.6745200000000001E-4</v>
      </c>
      <c r="D95">
        <f t="shared" si="10"/>
        <v>73.615573323641641</v>
      </c>
      <c r="E95">
        <f t="shared" si="11"/>
        <v>85.180889594270141</v>
      </c>
      <c r="G95" s="7">
        <v>7.7452599999999999E-4</v>
      </c>
      <c r="H95" s="7">
        <v>1.5334100000000001E-4</v>
      </c>
      <c r="I95" s="6">
        <f t="shared" si="12"/>
        <v>77.810372090873841</v>
      </c>
      <c r="J95" s="6">
        <f t="shared" si="13"/>
        <v>90.551074157621855</v>
      </c>
      <c r="L95" s="7">
        <v>4.5686099999999998E-4</v>
      </c>
      <c r="M95" s="7">
        <v>1.06857E-4</v>
      </c>
      <c r="N95" s="6">
        <f t="shared" si="14"/>
        <v>88.854593935433414</v>
      </c>
      <c r="O95" s="6">
        <f t="shared" si="15"/>
        <v>102.9183160449594</v>
      </c>
      <c r="Q95">
        <f t="shared" si="9"/>
        <v>6.8053333333333325E-4</v>
      </c>
      <c r="R95">
        <f t="shared" si="9"/>
        <v>1.4255E-4</v>
      </c>
      <c r="T95">
        <f t="shared" si="16"/>
        <v>80.093513116649618</v>
      </c>
      <c r="U95">
        <f t="shared" si="16"/>
        <v>92.883426598950464</v>
      </c>
      <c r="W95">
        <f t="shared" si="17"/>
        <v>6.4273627048393145</v>
      </c>
      <c r="X95">
        <f t="shared" si="17"/>
        <v>7.4267074448161461</v>
      </c>
    </row>
    <row r="96" spans="1:24" x14ac:dyDescent="0.35">
      <c r="A96">
        <v>611.42399999999998</v>
      </c>
      <c r="B96">
        <v>8.1491099999999998E-4</v>
      </c>
      <c r="C96">
        <v>1.6823399999999999E-4</v>
      </c>
      <c r="D96">
        <f t="shared" si="10"/>
        <v>74.04243140105396</v>
      </c>
      <c r="E96">
        <f t="shared" si="11"/>
        <v>85.57868392137712</v>
      </c>
      <c r="G96" s="7">
        <v>7.8618299999999998E-4</v>
      </c>
      <c r="H96" s="7">
        <v>1.5378500000000001E-4</v>
      </c>
      <c r="I96" s="6">
        <f t="shared" si="12"/>
        <v>78.98145673808169</v>
      </c>
      <c r="J96" s="6">
        <f t="shared" si="13"/>
        <v>90.813265462791264</v>
      </c>
      <c r="L96" s="7">
        <v>4.6509600000000002E-4</v>
      </c>
      <c r="M96" s="7">
        <v>1.08702E-4</v>
      </c>
      <c r="N96" s="6">
        <f t="shared" si="14"/>
        <v>90.456213642649175</v>
      </c>
      <c r="O96" s="6">
        <f t="shared" si="15"/>
        <v>104.69531046837528</v>
      </c>
      <c r="Q96">
        <f t="shared" si="9"/>
        <v>6.8872999999999992E-4</v>
      </c>
      <c r="R96">
        <f t="shared" si="9"/>
        <v>1.4357366666666667E-4</v>
      </c>
      <c r="T96">
        <f t="shared" si="16"/>
        <v>81.160033927261608</v>
      </c>
      <c r="U96">
        <f t="shared" si="16"/>
        <v>93.695753284181208</v>
      </c>
      <c r="W96">
        <f t="shared" si="17"/>
        <v>6.8756920037446854</v>
      </c>
      <c r="X96">
        <f t="shared" si="17"/>
        <v>8.0660979688527128</v>
      </c>
    </row>
    <row r="97" spans="1:24" x14ac:dyDescent="0.35">
      <c r="A97">
        <v>617.57000000000005</v>
      </c>
      <c r="B97">
        <v>8.1602699999999999E-4</v>
      </c>
      <c r="C97">
        <v>1.69104E-4</v>
      </c>
      <c r="D97">
        <f t="shared" si="10"/>
        <v>74.143830637833901</v>
      </c>
      <c r="E97">
        <f t="shared" si="11"/>
        <v>86.021242827493595</v>
      </c>
      <c r="G97" s="7">
        <v>7.9745200000000003E-4</v>
      </c>
      <c r="H97" s="7">
        <v>1.5508300000000001E-4</v>
      </c>
      <c r="I97" s="6">
        <f t="shared" si="12"/>
        <v>80.113562158806189</v>
      </c>
      <c r="J97" s="6">
        <f t="shared" si="13"/>
        <v>91.579761665741515</v>
      </c>
      <c r="L97" s="7">
        <v>4.7576500000000001E-4</v>
      </c>
      <c r="M97" s="7">
        <v>1.09165E-4</v>
      </c>
      <c r="N97" s="6">
        <f t="shared" si="14"/>
        <v>92.531220401153703</v>
      </c>
      <c r="O97" s="6">
        <f t="shared" si="15"/>
        <v>105.14124457029483</v>
      </c>
      <c r="Q97">
        <f t="shared" si="9"/>
        <v>6.9641466666666666E-4</v>
      </c>
      <c r="R97">
        <f t="shared" si="9"/>
        <v>1.4445066666666666E-4</v>
      </c>
      <c r="T97">
        <f t="shared" si="16"/>
        <v>82.262871065931265</v>
      </c>
      <c r="U97">
        <f t="shared" si="16"/>
        <v>94.24741635450998</v>
      </c>
      <c r="W97">
        <f t="shared" si="17"/>
        <v>7.6589238652587426</v>
      </c>
      <c r="X97">
        <f t="shared" si="17"/>
        <v>8.0303965371191079</v>
      </c>
    </row>
    <row r="98" spans="1:24" x14ac:dyDescent="0.35">
      <c r="A98">
        <v>623.89099999999996</v>
      </c>
      <c r="B98">
        <v>8.1630099999999996E-4</v>
      </c>
      <c r="C98">
        <v>1.6945E-4</v>
      </c>
      <c r="D98">
        <f t="shared" si="10"/>
        <v>74.168726149373072</v>
      </c>
      <c r="E98">
        <f t="shared" si="11"/>
        <v>86.1972490131445</v>
      </c>
      <c r="G98" s="7">
        <v>8.0684599999999995E-4</v>
      </c>
      <c r="H98" s="7">
        <v>1.5658499999999999E-4</v>
      </c>
      <c r="I98" s="6">
        <f t="shared" si="12"/>
        <v>81.05730147216903</v>
      </c>
      <c r="J98" s="6">
        <f t="shared" si="13"/>
        <v>92.466724144039873</v>
      </c>
      <c r="L98" s="7">
        <v>4.8339100000000001E-4</v>
      </c>
      <c r="M98" s="7">
        <v>1.10048E-4</v>
      </c>
      <c r="N98" s="6">
        <f t="shared" si="14"/>
        <v>94.014396100877718</v>
      </c>
      <c r="O98" s="6">
        <f t="shared" si="15"/>
        <v>105.99169772795132</v>
      </c>
      <c r="Q98">
        <f t="shared" si="9"/>
        <v>7.0217933333333331E-4</v>
      </c>
      <c r="R98">
        <f t="shared" si="9"/>
        <v>1.4536100000000002E-4</v>
      </c>
      <c r="T98">
        <f t="shared" si="16"/>
        <v>83.080141240806611</v>
      </c>
      <c r="U98">
        <f t="shared" si="16"/>
        <v>94.885223628378569</v>
      </c>
      <c r="W98">
        <f t="shared" si="17"/>
        <v>8.2272540782936776</v>
      </c>
      <c r="X98">
        <f t="shared" si="17"/>
        <v>8.2600203711447442</v>
      </c>
    </row>
    <row r="99" spans="1:24" x14ac:dyDescent="0.35">
      <c r="A99">
        <v>630.03800000000001</v>
      </c>
      <c r="B99">
        <v>8.1881E-4</v>
      </c>
      <c r="C99">
        <v>1.6933200000000001E-4</v>
      </c>
      <c r="D99">
        <f t="shared" si="10"/>
        <v>74.396692713065605</v>
      </c>
      <c r="E99">
        <f t="shared" si="11"/>
        <v>86.137223782199982</v>
      </c>
      <c r="G99" s="7">
        <v>8.2104900000000002E-4</v>
      </c>
      <c r="H99" s="7">
        <v>1.5877600000000001E-4</v>
      </c>
      <c r="I99" s="6">
        <f t="shared" si="12"/>
        <v>82.484162177693037</v>
      </c>
      <c r="J99" s="6">
        <f t="shared" si="13"/>
        <v>93.760555562116892</v>
      </c>
      <c r="L99" s="7">
        <v>4.9223400000000003E-4</v>
      </c>
      <c r="M99" s="7">
        <v>1.10282E-4</v>
      </c>
      <c r="N99" s="6">
        <f t="shared" si="14"/>
        <v>95.734265326246131</v>
      </c>
      <c r="O99" s="6">
        <f t="shared" si="15"/>
        <v>106.21707263043332</v>
      </c>
      <c r="Q99">
        <f t="shared" si="9"/>
        <v>7.1069766666666658E-4</v>
      </c>
      <c r="R99">
        <f t="shared" si="9"/>
        <v>1.4613000000000001E-4</v>
      </c>
      <c r="T99">
        <f t="shared" si="16"/>
        <v>84.205040072334938</v>
      </c>
      <c r="U99">
        <f t="shared" si="16"/>
        <v>95.371617324916727</v>
      </c>
      <c r="W99">
        <f t="shared" si="17"/>
        <v>8.7956074947247274</v>
      </c>
      <c r="X99">
        <f t="shared" si="17"/>
        <v>8.276340674663782</v>
      </c>
    </row>
    <row r="100" spans="1:24" x14ac:dyDescent="0.35">
      <c r="A100">
        <v>636.29200000000003</v>
      </c>
      <c r="B100">
        <v>8.2232599999999996E-4</v>
      </c>
      <c r="C100">
        <v>1.6929400000000001E-4</v>
      </c>
      <c r="D100">
        <f t="shared" si="10"/>
        <v>74.716154824641094</v>
      </c>
      <c r="E100">
        <f t="shared" si="11"/>
        <v>86.117893623082253</v>
      </c>
      <c r="G100" s="7">
        <v>8.3364400000000003E-4</v>
      </c>
      <c r="H100" s="7">
        <v>1.59462E-4</v>
      </c>
      <c r="I100" s="6">
        <f t="shared" si="12"/>
        <v>83.749480109543683</v>
      </c>
      <c r="J100" s="6">
        <f t="shared" si="13"/>
        <v>94.165652939022806</v>
      </c>
      <c r="L100" s="7">
        <v>5.0139399999999995E-4</v>
      </c>
      <c r="M100" s="7">
        <v>1.12129E-4</v>
      </c>
      <c r="N100" s="6">
        <f t="shared" si="14"/>
        <v>97.515787672098725</v>
      </c>
      <c r="O100" s="6">
        <f t="shared" si="15"/>
        <v>107.995993335067</v>
      </c>
      <c r="Q100">
        <f t="shared" si="9"/>
        <v>7.1912133333333335E-4</v>
      </c>
      <c r="R100">
        <f t="shared" si="9"/>
        <v>1.4696166666666667E-4</v>
      </c>
      <c r="T100">
        <f t="shared" si="16"/>
        <v>85.327140868761163</v>
      </c>
      <c r="U100">
        <f t="shared" si="16"/>
        <v>96.093179965724019</v>
      </c>
      <c r="W100">
        <f t="shared" si="17"/>
        <v>9.3745248625587223</v>
      </c>
      <c r="X100">
        <f t="shared" si="17"/>
        <v>9.0350920335059666</v>
      </c>
    </row>
    <row r="101" spans="1:24" x14ac:dyDescent="0.35">
      <c r="A101">
        <v>642.43200000000002</v>
      </c>
      <c r="B101">
        <v>8.2377700000000004E-4</v>
      </c>
      <c r="C101">
        <v>1.6944400000000001E-4</v>
      </c>
      <c r="D101">
        <f t="shared" si="10"/>
        <v>74.847992004361259</v>
      </c>
      <c r="E101">
        <f t="shared" si="11"/>
        <v>86.194196882757495</v>
      </c>
      <c r="G101" s="7">
        <v>8.4579499999999999E-4</v>
      </c>
      <c r="H101" s="7">
        <v>1.6002E-4</v>
      </c>
      <c r="I101" s="6">
        <f t="shared" si="12"/>
        <v>84.970192947171086</v>
      </c>
      <c r="J101" s="6">
        <f t="shared" si="13"/>
        <v>94.49516363335735</v>
      </c>
      <c r="L101" s="7">
        <v>5.1041400000000005E-4</v>
      </c>
      <c r="M101" s="7">
        <v>1.12895E-4</v>
      </c>
      <c r="N101" s="6">
        <f t="shared" si="14"/>
        <v>99.270081510482001</v>
      </c>
      <c r="O101" s="6">
        <f t="shared" si="15"/>
        <v>108.73375904148246</v>
      </c>
      <c r="Q101">
        <f t="shared" si="9"/>
        <v>7.2666199999999999E-4</v>
      </c>
      <c r="R101">
        <f t="shared" si="9"/>
        <v>1.47453E-4</v>
      </c>
      <c r="T101">
        <f t="shared" si="16"/>
        <v>86.36275548733812</v>
      </c>
      <c r="U101">
        <f t="shared" si="16"/>
        <v>96.474373185865772</v>
      </c>
      <c r="W101">
        <f t="shared" si="17"/>
        <v>10.018783584928453</v>
      </c>
      <c r="X101">
        <f t="shared" si="17"/>
        <v>9.3075567297514414</v>
      </c>
    </row>
    <row r="102" spans="1:24" x14ac:dyDescent="0.35">
      <c r="A102">
        <v>648.59</v>
      </c>
      <c r="B102">
        <v>8.2309899999999999E-4</v>
      </c>
      <c r="C102">
        <v>1.7028900000000001E-4</v>
      </c>
      <c r="D102">
        <f t="shared" si="10"/>
        <v>74.786389242231508</v>
      </c>
      <c r="E102">
        <f t="shared" si="11"/>
        <v>86.624038578928094</v>
      </c>
      <c r="G102" s="7">
        <v>8.58383E-4</v>
      </c>
      <c r="H102" s="7">
        <v>1.6298699999999999E-4</v>
      </c>
      <c r="I102" s="6">
        <f t="shared" si="12"/>
        <v>86.234807645554255</v>
      </c>
      <c r="J102" s="6">
        <f t="shared" si="13"/>
        <v>96.247239314523256</v>
      </c>
      <c r="L102" s="7">
        <v>5.1956799999999998E-4</v>
      </c>
      <c r="M102" s="7">
        <v>1.13293E-4</v>
      </c>
      <c r="N102" s="6">
        <f t="shared" si="14"/>
        <v>101.0504369203002</v>
      </c>
      <c r="O102" s="6">
        <f t="shared" si="15"/>
        <v>109.11708900382368</v>
      </c>
      <c r="Q102">
        <f t="shared" si="9"/>
        <v>7.3368333333333332E-4</v>
      </c>
      <c r="R102">
        <f t="shared" si="9"/>
        <v>1.4885633333333332E-4</v>
      </c>
      <c r="T102">
        <f t="shared" si="16"/>
        <v>87.357211269361983</v>
      </c>
      <c r="U102">
        <f t="shared" si="16"/>
        <v>97.329455632424995</v>
      </c>
      <c r="W102">
        <f t="shared" si="17"/>
        <v>10.751585697933846</v>
      </c>
      <c r="X102">
        <f t="shared" si="17"/>
        <v>9.2145798773202703</v>
      </c>
    </row>
    <row r="103" spans="1:24" x14ac:dyDescent="0.35">
      <c r="A103">
        <v>654.86</v>
      </c>
      <c r="B103">
        <v>8.2542499999999997E-4</v>
      </c>
      <c r="C103">
        <v>1.7138400000000001E-4</v>
      </c>
      <c r="D103">
        <f t="shared" si="10"/>
        <v>74.997728511720879</v>
      </c>
      <c r="E103">
        <f t="shared" si="11"/>
        <v>87.181052374557439</v>
      </c>
      <c r="G103" s="7">
        <v>8.7213799999999995E-4</v>
      </c>
      <c r="H103" s="7">
        <v>1.64788E-4</v>
      </c>
      <c r="I103" s="6">
        <f t="shared" si="12"/>
        <v>87.616661409159306</v>
      </c>
      <c r="J103" s="6">
        <f t="shared" si="13"/>
        <v>97.310767559140672</v>
      </c>
      <c r="L103" s="7">
        <v>5.2865099999999999E-4</v>
      </c>
      <c r="M103" s="7">
        <v>1.15986E-4</v>
      </c>
      <c r="N103" s="6">
        <f t="shared" si="14"/>
        <v>102.81698358704467</v>
      </c>
      <c r="O103" s="6">
        <f t="shared" si="15"/>
        <v>111.71082666358463</v>
      </c>
      <c r="Q103">
        <f t="shared" si="9"/>
        <v>7.4207133333333323E-4</v>
      </c>
      <c r="R103">
        <f t="shared" si="9"/>
        <v>1.5071933333333335E-4</v>
      </c>
      <c r="T103">
        <f t="shared" si="16"/>
        <v>88.477124502641615</v>
      </c>
      <c r="U103">
        <f t="shared" si="16"/>
        <v>98.734215532427584</v>
      </c>
      <c r="W103">
        <f t="shared" si="17"/>
        <v>11.373449661028346</v>
      </c>
      <c r="X103">
        <f t="shared" si="17"/>
        <v>10.064694390695415</v>
      </c>
    </row>
    <row r="104" spans="1:24" x14ac:dyDescent="0.35">
      <c r="A104">
        <v>661.11800000000005</v>
      </c>
      <c r="B104">
        <v>8.3065000000000005E-4</v>
      </c>
      <c r="C104">
        <v>1.7027700000000001E-4</v>
      </c>
      <c r="D104">
        <f t="shared" si="10"/>
        <v>75.472469562057071</v>
      </c>
      <c r="E104">
        <f t="shared" si="11"/>
        <v>86.617934318154084</v>
      </c>
      <c r="G104" s="7">
        <v>8.8656399999999995E-4</v>
      </c>
      <c r="H104" s="7">
        <v>1.6521400000000001E-4</v>
      </c>
      <c r="I104" s="6">
        <f t="shared" si="12"/>
        <v>89.065925123718841</v>
      </c>
      <c r="J104" s="6">
        <f t="shared" si="13"/>
        <v>97.562329487073498</v>
      </c>
      <c r="L104" s="7">
        <v>5.3922900000000001E-4</v>
      </c>
      <c r="M104" s="7">
        <v>1.1616E-4</v>
      </c>
      <c r="N104" s="6">
        <f t="shared" si="14"/>
        <v>104.87429181569412</v>
      </c>
      <c r="O104" s="6">
        <f t="shared" si="15"/>
        <v>111.87841312953279</v>
      </c>
      <c r="Q104">
        <f t="shared" si="9"/>
        <v>7.5214766666666663E-4</v>
      </c>
      <c r="R104">
        <f t="shared" si="9"/>
        <v>1.5055033333333335E-4</v>
      </c>
      <c r="T104">
        <f t="shared" si="16"/>
        <v>89.804228833823345</v>
      </c>
      <c r="U104">
        <f t="shared" si="16"/>
        <v>98.686225644920114</v>
      </c>
      <c r="W104">
        <f t="shared" si="17"/>
        <v>12.014591329847866</v>
      </c>
      <c r="X104">
        <f t="shared" si="17"/>
        <v>10.343123460388149</v>
      </c>
    </row>
    <row r="105" spans="1:24" x14ac:dyDescent="0.35">
      <c r="A105">
        <v>667.221</v>
      </c>
      <c r="B105">
        <v>8.3159900000000003E-4</v>
      </c>
      <c r="C105">
        <v>1.70769E-4</v>
      </c>
      <c r="D105">
        <f t="shared" si="10"/>
        <v>75.558695257132484</v>
      </c>
      <c r="E105">
        <f t="shared" si="11"/>
        <v>86.868209009888915</v>
      </c>
      <c r="G105" s="7">
        <v>8.9975500000000002E-4</v>
      </c>
      <c r="H105" s="7">
        <v>1.6778499999999999E-4</v>
      </c>
      <c r="I105" s="6">
        <f t="shared" si="12"/>
        <v>90.391118362229534</v>
      </c>
      <c r="J105" s="6">
        <f t="shared" si="13"/>
        <v>99.080558869034249</v>
      </c>
      <c r="L105" s="7">
        <v>5.5067699999999996E-4</v>
      </c>
      <c r="M105" s="7">
        <v>1.16537E-4</v>
      </c>
      <c r="N105" s="6">
        <f t="shared" si="14"/>
        <v>107.10080576933174</v>
      </c>
      <c r="O105" s="6">
        <f t="shared" si="15"/>
        <v>112.24151713908714</v>
      </c>
      <c r="Q105">
        <f t="shared" si="9"/>
        <v>7.6067699999999997E-4</v>
      </c>
      <c r="R105">
        <f t="shared" si="9"/>
        <v>1.5169700000000001E-4</v>
      </c>
      <c r="T105">
        <f t="shared" si="16"/>
        <v>91.016873129564601</v>
      </c>
      <c r="U105">
        <f t="shared" si="16"/>
        <v>99.396761672670095</v>
      </c>
      <c r="W105">
        <f t="shared" si="17"/>
        <v>12.884612545269537</v>
      </c>
      <c r="X105">
        <f t="shared" si="17"/>
        <v>10.361022456449632</v>
      </c>
    </row>
    <row r="106" spans="1:24" x14ac:dyDescent="0.35">
      <c r="A106">
        <v>673.51599999999996</v>
      </c>
      <c r="B106">
        <v>8.3275700000000005E-4</v>
      </c>
      <c r="C106">
        <v>1.7095000000000001E-4</v>
      </c>
      <c r="D106">
        <f t="shared" si="10"/>
        <v>75.663910594221335</v>
      </c>
      <c r="E106">
        <f t="shared" si="11"/>
        <v>86.960281609897052</v>
      </c>
      <c r="G106" s="7">
        <v>9.1207599999999995E-4</v>
      </c>
      <c r="H106" s="7">
        <v>1.6917599999999999E-4</v>
      </c>
      <c r="I106" s="6">
        <f t="shared" si="12"/>
        <v>91.628909726924391</v>
      </c>
      <c r="J106" s="6">
        <f t="shared" si="13"/>
        <v>99.901973521040262</v>
      </c>
      <c r="L106" s="7">
        <v>5.5827299999999997E-4</v>
      </c>
      <c r="M106" s="7">
        <v>1.17922E-4</v>
      </c>
      <c r="N106" s="6">
        <f t="shared" si="14"/>
        <v>108.57814678888376</v>
      </c>
      <c r="O106" s="6">
        <f t="shared" si="15"/>
        <v>113.57546688241018</v>
      </c>
      <c r="Q106">
        <f t="shared" si="9"/>
        <v>7.6770199999999999E-4</v>
      </c>
      <c r="R106">
        <f t="shared" si="9"/>
        <v>1.5268266666666668E-4</v>
      </c>
      <c r="T106">
        <f t="shared" si="16"/>
        <v>91.956989036676489</v>
      </c>
      <c r="U106">
        <f t="shared" si="16"/>
        <v>100.1459073377825</v>
      </c>
      <c r="W106">
        <f t="shared" si="17"/>
        <v>13.439183087639025</v>
      </c>
      <c r="X106">
        <f t="shared" si="17"/>
        <v>10.866972885851789</v>
      </c>
    </row>
    <row r="107" spans="1:24" x14ac:dyDescent="0.35">
      <c r="A107">
        <v>679.74</v>
      </c>
      <c r="B107">
        <v>8.3470300000000001E-4</v>
      </c>
      <c r="C107">
        <v>1.7179599999999999E-4</v>
      </c>
      <c r="D107">
        <f t="shared" si="10"/>
        <v>75.840723241868076</v>
      </c>
      <c r="E107">
        <f t="shared" si="11"/>
        <v>87.390631994465465</v>
      </c>
      <c r="G107" s="7">
        <v>9.29563E-4</v>
      </c>
      <c r="H107" s="7">
        <v>1.7173899999999999E-4</v>
      </c>
      <c r="I107" s="6">
        <f t="shared" si="12"/>
        <v>93.385687390622081</v>
      </c>
      <c r="J107" s="6">
        <f t="shared" si="13"/>
        <v>101.41547873534032</v>
      </c>
      <c r="L107" s="7">
        <v>5.6913500000000002E-4</v>
      </c>
      <c r="M107" s="7">
        <v>1.19911E-4</v>
      </c>
      <c r="N107" s="6">
        <f t="shared" si="14"/>
        <v>110.6906899898282</v>
      </c>
      <c r="O107" s="6">
        <f t="shared" si="15"/>
        <v>115.49115355350727</v>
      </c>
      <c r="Q107">
        <f t="shared" si="9"/>
        <v>7.7780033333333342E-4</v>
      </c>
      <c r="R107">
        <f t="shared" si="9"/>
        <v>1.5448199999999998E-4</v>
      </c>
      <c r="T107">
        <f t="shared" si="16"/>
        <v>93.305700207439443</v>
      </c>
      <c r="U107">
        <f t="shared" si="16"/>
        <v>101.43242142777102</v>
      </c>
      <c r="W107">
        <f t="shared" si="17"/>
        <v>14.227551769848681</v>
      </c>
      <c r="X107">
        <f t="shared" si="17"/>
        <v>11.471996143178897</v>
      </c>
    </row>
    <row r="108" spans="1:24" x14ac:dyDescent="0.35">
      <c r="A108">
        <v>685.89499999999998</v>
      </c>
      <c r="B108">
        <v>8.3639700000000001E-4</v>
      </c>
      <c r="C108">
        <v>1.7194500000000001E-4</v>
      </c>
      <c r="D108">
        <f t="shared" si="10"/>
        <v>75.994639287661286</v>
      </c>
      <c r="E108">
        <f t="shared" si="11"/>
        <v>87.466426565742893</v>
      </c>
      <c r="G108" s="7">
        <v>9.4393199999999997E-4</v>
      </c>
      <c r="H108" s="7">
        <v>1.7349800000000001E-4</v>
      </c>
      <c r="I108" s="6">
        <f t="shared" si="12"/>
        <v>94.829224775517829</v>
      </c>
      <c r="J108" s="6">
        <f t="shared" si="13"/>
        <v>102.454205099739</v>
      </c>
      <c r="L108" s="7">
        <v>5.8230399999999996E-4</v>
      </c>
      <c r="M108" s="7">
        <v>1.22872E-4</v>
      </c>
      <c r="N108" s="6">
        <f t="shared" si="14"/>
        <v>113.25192009599991</v>
      </c>
      <c r="O108" s="6">
        <f t="shared" si="15"/>
        <v>118.34301289645275</v>
      </c>
      <c r="Q108">
        <f t="shared" si="9"/>
        <v>7.8754433333333331E-4</v>
      </c>
      <c r="R108">
        <f t="shared" si="9"/>
        <v>1.56105E-4</v>
      </c>
      <c r="T108">
        <f t="shared" si="16"/>
        <v>94.691928053059669</v>
      </c>
      <c r="U108">
        <f t="shared" si="16"/>
        <v>102.75454818731156</v>
      </c>
      <c r="W108">
        <f t="shared" si="17"/>
        <v>15.210531025144968</v>
      </c>
      <c r="X108">
        <f t="shared" si="17"/>
        <v>12.607102504465002</v>
      </c>
    </row>
    <row r="109" spans="1:24" x14ac:dyDescent="0.35">
      <c r="A109">
        <v>692.197</v>
      </c>
      <c r="B109">
        <v>8.37223E-4</v>
      </c>
      <c r="C109">
        <v>1.7222900000000001E-4</v>
      </c>
      <c r="D109">
        <f t="shared" si="10"/>
        <v>76.069689260403422</v>
      </c>
      <c r="E109">
        <f t="shared" si="11"/>
        <v>87.610894070728037</v>
      </c>
      <c r="G109" s="7">
        <v>9.5949499999999999E-4</v>
      </c>
      <c r="H109" s="7">
        <v>1.74289E-4</v>
      </c>
      <c r="I109" s="6">
        <f t="shared" si="12"/>
        <v>96.392713697581485</v>
      </c>
      <c r="J109" s="6">
        <f t="shared" si="13"/>
        <v>102.92130717719172</v>
      </c>
      <c r="L109" s="7">
        <v>5.9547400000000002E-4</v>
      </c>
      <c r="M109" s="7">
        <v>1.2326000000000001E-4</v>
      </c>
      <c r="N109" s="6">
        <f t="shared" si="14"/>
        <v>115.81334469151072</v>
      </c>
      <c r="O109" s="6">
        <f t="shared" si="15"/>
        <v>118.716711452705</v>
      </c>
      <c r="Q109">
        <f t="shared" si="9"/>
        <v>7.973973333333333E-4</v>
      </c>
      <c r="R109">
        <f t="shared" si="9"/>
        <v>1.5659266666666666E-4</v>
      </c>
      <c r="T109">
        <f t="shared" si="16"/>
        <v>96.091915883165214</v>
      </c>
      <c r="U109">
        <f t="shared" si="16"/>
        <v>103.08297090020825</v>
      </c>
      <c r="W109">
        <f t="shared" si="17"/>
        <v>16.226673437081132</v>
      </c>
      <c r="X109">
        <f t="shared" si="17"/>
        <v>12.699411275586197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D20C-A1F1-4FEC-BD80-4D8508D8D706}">
  <dimension ref="A1:X109"/>
  <sheetViews>
    <sheetView workbookViewId="0">
      <selection activeCell="K18" sqref="K18"/>
    </sheetView>
  </sheetViews>
  <sheetFormatPr defaultColWidth="8.81640625" defaultRowHeight="14.5" x14ac:dyDescent="0.35"/>
  <cols>
    <col min="1" max="1" width="9.453125" bestFit="1" customWidth="1"/>
    <col min="4" max="5" width="12.453125" customWidth="1"/>
    <col min="16" max="16" width="8.81640625" style="1"/>
    <col min="17" max="18" width="11.81640625" bestFit="1" customWidth="1"/>
    <col min="20" max="21" width="11.81640625" bestFit="1" customWidth="1"/>
    <col min="23" max="24" width="9.453125" bestFit="1" customWidth="1"/>
  </cols>
  <sheetData>
    <row r="1" spans="1:24" x14ac:dyDescent="0.35">
      <c r="A1" t="s">
        <v>5</v>
      </c>
      <c r="B1" t="s">
        <v>0</v>
      </c>
      <c r="C1" t="s">
        <v>1</v>
      </c>
      <c r="D1" t="s">
        <v>70</v>
      </c>
      <c r="E1" t="s">
        <v>71</v>
      </c>
      <c r="G1" t="s">
        <v>0</v>
      </c>
      <c r="H1" t="s">
        <v>1</v>
      </c>
      <c r="L1" t="s">
        <v>0</v>
      </c>
      <c r="M1" t="s">
        <v>1</v>
      </c>
      <c r="Q1" t="s">
        <v>3</v>
      </c>
      <c r="R1" t="s">
        <v>4</v>
      </c>
      <c r="T1" t="s">
        <v>68</v>
      </c>
      <c r="U1" t="s">
        <v>69</v>
      </c>
      <c r="W1" t="s">
        <v>66</v>
      </c>
      <c r="X1" t="s">
        <v>67</v>
      </c>
    </row>
    <row r="2" spans="1:24" x14ac:dyDescent="0.35">
      <c r="A2" t="s">
        <v>6</v>
      </c>
      <c r="B2" t="s">
        <v>2</v>
      </c>
      <c r="C2" t="s">
        <v>2</v>
      </c>
      <c r="D2" t="s">
        <v>2</v>
      </c>
      <c r="E2" t="s">
        <v>2</v>
      </c>
      <c r="G2" t="s">
        <v>2</v>
      </c>
      <c r="H2" t="s">
        <v>2</v>
      </c>
      <c r="L2" t="s">
        <v>2</v>
      </c>
      <c r="M2" t="s">
        <v>2</v>
      </c>
      <c r="Q2" t="s">
        <v>2</v>
      </c>
      <c r="R2" t="s">
        <v>2</v>
      </c>
      <c r="T2" t="s">
        <v>2</v>
      </c>
      <c r="U2" t="s">
        <v>2</v>
      </c>
      <c r="W2" t="s">
        <v>2</v>
      </c>
      <c r="X2" t="s">
        <v>2</v>
      </c>
    </row>
    <row r="3" spans="1:24" x14ac:dyDescent="0.35">
      <c r="A3">
        <v>6.2696399999999999</v>
      </c>
      <c r="B3">
        <v>1.02166E-3</v>
      </c>
      <c r="C3">
        <v>1.7898499999999999E-4</v>
      </c>
      <c r="D3">
        <f>B3/$B$3*100</f>
        <v>100</v>
      </c>
      <c r="E3">
        <f>C3/$C$3*100</f>
        <v>100</v>
      </c>
      <c r="Q3">
        <f t="shared" ref="Q3:Q34" si="0">AVERAGE(B3,G3,L3)</f>
        <v>1.02166E-3</v>
      </c>
      <c r="R3">
        <f t="shared" ref="R3:R34" si="1">AVERAGE(C3,H3,M3)</f>
        <v>1.7898499999999999E-4</v>
      </c>
      <c r="T3">
        <f>AVERAGE(D3,I3,N3)</f>
        <v>100</v>
      </c>
      <c r="U3">
        <f>AVERAGE(E3,J3,O3)</f>
        <v>100</v>
      </c>
      <c r="W3">
        <f>_xlfn.STDEV.P(D3,I3,N3)</f>
        <v>0</v>
      </c>
      <c r="X3">
        <f>_xlfn.STDEV.P(E3,J3,O3)</f>
        <v>0</v>
      </c>
    </row>
    <row r="4" spans="1:24" x14ac:dyDescent="0.35">
      <c r="A4">
        <v>12.3698</v>
      </c>
      <c r="B4">
        <v>1.0254299999999999E-3</v>
      </c>
      <c r="C4">
        <v>1.79023E-4</v>
      </c>
      <c r="D4">
        <f t="shared" ref="D4:D67" si="2">B4/$B$3*100</f>
        <v>100.3690073018421</v>
      </c>
      <c r="E4">
        <f t="shared" ref="E4:E67" si="3">C4/$C$3*100</f>
        <v>100.02123082939912</v>
      </c>
      <c r="Q4">
        <f t="shared" si="0"/>
        <v>1.0254299999999999E-3</v>
      </c>
      <c r="R4">
        <f t="shared" si="1"/>
        <v>1.79023E-4</v>
      </c>
      <c r="T4">
        <f t="shared" ref="T4:U67" si="4">AVERAGE(D4,I4,N4)</f>
        <v>100.3690073018421</v>
      </c>
      <c r="U4">
        <f t="shared" si="4"/>
        <v>100.02123082939912</v>
      </c>
      <c r="W4">
        <f t="shared" ref="W4:X67" si="5">_xlfn.STDEV.P(D4,I4,N4)</f>
        <v>0</v>
      </c>
      <c r="X4">
        <f t="shared" si="5"/>
        <v>0</v>
      </c>
    </row>
    <row r="5" spans="1:24" x14ac:dyDescent="0.35">
      <c r="A5">
        <v>18.654</v>
      </c>
      <c r="B5">
        <v>1.0321200000000001E-3</v>
      </c>
      <c r="C5">
        <v>1.7929099999999999E-4</v>
      </c>
      <c r="D5">
        <f t="shared" si="2"/>
        <v>101.02382397275025</v>
      </c>
      <c r="E5">
        <f t="shared" si="3"/>
        <v>100.17096404726654</v>
      </c>
      <c r="Q5">
        <f t="shared" si="0"/>
        <v>1.0321200000000001E-3</v>
      </c>
      <c r="R5">
        <f t="shared" si="1"/>
        <v>1.7929099999999999E-4</v>
      </c>
      <c r="T5">
        <f t="shared" si="4"/>
        <v>101.02382397275025</v>
      </c>
      <c r="U5">
        <f t="shared" si="4"/>
        <v>100.17096404726654</v>
      </c>
      <c r="W5">
        <f t="shared" si="5"/>
        <v>0</v>
      </c>
      <c r="X5">
        <f t="shared" si="5"/>
        <v>0</v>
      </c>
    </row>
    <row r="6" spans="1:24" x14ac:dyDescent="0.35">
      <c r="A6">
        <v>24.779599999999999</v>
      </c>
      <c r="B6">
        <v>1.03607E-3</v>
      </c>
      <c r="C6">
        <v>1.78457E-4</v>
      </c>
      <c r="D6">
        <f t="shared" si="2"/>
        <v>101.41044966035668</v>
      </c>
      <c r="E6">
        <f t="shared" si="3"/>
        <v>99.705003212559717</v>
      </c>
      <c r="Q6">
        <f t="shared" si="0"/>
        <v>1.03607E-3</v>
      </c>
      <c r="R6">
        <f t="shared" si="1"/>
        <v>1.78457E-4</v>
      </c>
      <c r="T6">
        <f t="shared" si="4"/>
        <v>101.41044966035668</v>
      </c>
      <c r="U6">
        <f t="shared" si="4"/>
        <v>99.705003212559717</v>
      </c>
      <c r="W6">
        <f t="shared" si="5"/>
        <v>0</v>
      </c>
      <c r="X6">
        <f t="shared" si="5"/>
        <v>0</v>
      </c>
    </row>
    <row r="7" spans="1:24" x14ac:dyDescent="0.35">
      <c r="A7">
        <v>31.0945</v>
      </c>
      <c r="B7">
        <v>1.04152E-3</v>
      </c>
      <c r="C7">
        <v>1.77448E-4</v>
      </c>
      <c r="D7">
        <f t="shared" si="2"/>
        <v>101.94389522933265</v>
      </c>
      <c r="E7">
        <f t="shared" si="3"/>
        <v>99.141268821409625</v>
      </c>
      <c r="Q7">
        <f t="shared" si="0"/>
        <v>1.04152E-3</v>
      </c>
      <c r="R7">
        <f t="shared" si="1"/>
        <v>1.77448E-4</v>
      </c>
      <c r="T7">
        <f t="shared" si="4"/>
        <v>101.94389522933265</v>
      </c>
      <c r="U7">
        <f t="shared" si="4"/>
        <v>99.141268821409625</v>
      </c>
      <c r="W7">
        <f t="shared" si="5"/>
        <v>0</v>
      </c>
      <c r="X7">
        <f t="shared" si="5"/>
        <v>0</v>
      </c>
    </row>
    <row r="8" spans="1:24" x14ac:dyDescent="0.35">
      <c r="A8">
        <v>37.161900000000003</v>
      </c>
      <c r="B8">
        <v>1.04498E-3</v>
      </c>
      <c r="C8">
        <v>1.7859700000000001E-4</v>
      </c>
      <c r="D8">
        <f t="shared" si="2"/>
        <v>102.28255975569172</v>
      </c>
      <c r="E8">
        <f t="shared" si="3"/>
        <v>99.78322205771434</v>
      </c>
      <c r="Q8">
        <f t="shared" si="0"/>
        <v>1.04498E-3</v>
      </c>
      <c r="R8">
        <f t="shared" si="1"/>
        <v>1.7859700000000001E-4</v>
      </c>
      <c r="T8">
        <f t="shared" si="4"/>
        <v>102.28255975569172</v>
      </c>
      <c r="U8">
        <f t="shared" si="4"/>
        <v>99.78322205771434</v>
      </c>
      <c r="W8">
        <f t="shared" si="5"/>
        <v>0</v>
      </c>
      <c r="X8">
        <f t="shared" si="5"/>
        <v>0</v>
      </c>
    </row>
    <row r="9" spans="1:24" x14ac:dyDescent="0.35">
      <c r="A9">
        <v>43.441699999999997</v>
      </c>
      <c r="B9">
        <v>1.0506199999999999E-3</v>
      </c>
      <c r="C9">
        <v>1.7807000000000001E-4</v>
      </c>
      <c r="D9">
        <f t="shared" si="2"/>
        <v>102.83460250964116</v>
      </c>
      <c r="E9">
        <f t="shared" si="3"/>
        <v>99.48878397631087</v>
      </c>
      <c r="Q9">
        <f t="shared" si="0"/>
        <v>1.0506199999999999E-3</v>
      </c>
      <c r="R9">
        <f t="shared" si="1"/>
        <v>1.7807000000000001E-4</v>
      </c>
      <c r="T9">
        <f t="shared" si="4"/>
        <v>102.83460250964116</v>
      </c>
      <c r="U9">
        <f t="shared" si="4"/>
        <v>99.48878397631087</v>
      </c>
      <c r="W9">
        <f t="shared" si="5"/>
        <v>0</v>
      </c>
      <c r="X9">
        <f t="shared" si="5"/>
        <v>0</v>
      </c>
    </row>
    <row r="10" spans="1:24" x14ac:dyDescent="0.35">
      <c r="A10">
        <v>49.671799999999998</v>
      </c>
      <c r="B10">
        <v>1.0552000000000001E-3</v>
      </c>
      <c r="C10">
        <v>1.7806399999999999E-4</v>
      </c>
      <c r="D10">
        <f t="shared" si="2"/>
        <v>103.28289254742282</v>
      </c>
      <c r="E10">
        <f t="shared" si="3"/>
        <v>99.48543174008995</v>
      </c>
      <c r="Q10">
        <f t="shared" si="0"/>
        <v>1.0552000000000001E-3</v>
      </c>
      <c r="R10">
        <f t="shared" si="1"/>
        <v>1.7806399999999999E-4</v>
      </c>
      <c r="T10">
        <f t="shared" si="4"/>
        <v>103.28289254742282</v>
      </c>
      <c r="U10">
        <f t="shared" si="4"/>
        <v>99.48543174008995</v>
      </c>
      <c r="W10">
        <f t="shared" si="5"/>
        <v>0</v>
      </c>
      <c r="X10">
        <f t="shared" si="5"/>
        <v>0</v>
      </c>
    </row>
    <row r="11" spans="1:24" x14ac:dyDescent="0.35">
      <c r="A11">
        <v>55.927799999999998</v>
      </c>
      <c r="B11">
        <v>1.05989E-3</v>
      </c>
      <c r="C11">
        <v>1.7870900000000001E-4</v>
      </c>
      <c r="D11">
        <f t="shared" si="2"/>
        <v>103.74194937650489</v>
      </c>
      <c r="E11">
        <f t="shared" si="3"/>
        <v>99.845797133838047</v>
      </c>
      <c r="Q11">
        <f t="shared" si="0"/>
        <v>1.05989E-3</v>
      </c>
      <c r="R11">
        <f t="shared" si="1"/>
        <v>1.7870900000000001E-4</v>
      </c>
      <c r="T11">
        <f t="shared" si="4"/>
        <v>103.74194937650489</v>
      </c>
      <c r="U11">
        <f t="shared" si="4"/>
        <v>99.845797133838047</v>
      </c>
      <c r="W11">
        <f t="shared" si="5"/>
        <v>0</v>
      </c>
      <c r="X11">
        <f t="shared" si="5"/>
        <v>0</v>
      </c>
    </row>
    <row r="12" spans="1:24" x14ac:dyDescent="0.35">
      <c r="A12">
        <v>62.031100000000002</v>
      </c>
      <c r="B12">
        <v>1.0641400000000001E-3</v>
      </c>
      <c r="C12">
        <v>1.79001E-4</v>
      </c>
      <c r="D12">
        <f t="shared" si="2"/>
        <v>104.15793904038526</v>
      </c>
      <c r="E12">
        <f t="shared" si="3"/>
        <v>100.00893929658909</v>
      </c>
      <c r="Q12">
        <f t="shared" si="0"/>
        <v>1.0641400000000001E-3</v>
      </c>
      <c r="R12">
        <f t="shared" si="1"/>
        <v>1.79001E-4</v>
      </c>
      <c r="T12">
        <f t="shared" si="4"/>
        <v>104.15793904038526</v>
      </c>
      <c r="U12">
        <f t="shared" si="4"/>
        <v>100.00893929658909</v>
      </c>
      <c r="W12">
        <f t="shared" si="5"/>
        <v>0</v>
      </c>
      <c r="X12">
        <f t="shared" si="5"/>
        <v>0</v>
      </c>
    </row>
    <row r="13" spans="1:24" x14ac:dyDescent="0.35">
      <c r="A13">
        <v>68.213200000000001</v>
      </c>
      <c r="B13">
        <v>1.0706100000000001E-3</v>
      </c>
      <c r="C13">
        <v>1.7972299999999999E-4</v>
      </c>
      <c r="D13">
        <f t="shared" si="2"/>
        <v>104.79122212869252</v>
      </c>
      <c r="E13">
        <f t="shared" si="3"/>
        <v>100.41232505517222</v>
      </c>
      <c r="Q13">
        <f t="shared" si="0"/>
        <v>1.0706100000000001E-3</v>
      </c>
      <c r="R13">
        <f t="shared" si="1"/>
        <v>1.7972299999999999E-4</v>
      </c>
      <c r="T13">
        <f t="shared" si="4"/>
        <v>104.79122212869252</v>
      </c>
      <c r="U13">
        <f t="shared" si="4"/>
        <v>100.41232505517222</v>
      </c>
      <c r="W13">
        <f t="shared" si="5"/>
        <v>0</v>
      </c>
      <c r="X13">
        <f t="shared" si="5"/>
        <v>0</v>
      </c>
    </row>
    <row r="14" spans="1:24" x14ac:dyDescent="0.35">
      <c r="A14">
        <v>74.461600000000004</v>
      </c>
      <c r="B14">
        <v>1.0747700000000001E-3</v>
      </c>
      <c r="C14">
        <v>1.8051300000000001E-4</v>
      </c>
      <c r="D14">
        <f t="shared" si="2"/>
        <v>105.19840259969071</v>
      </c>
      <c r="E14">
        <f t="shared" si="3"/>
        <v>100.85370282425903</v>
      </c>
      <c r="Q14">
        <f t="shared" si="0"/>
        <v>1.0747700000000001E-3</v>
      </c>
      <c r="R14">
        <f t="shared" si="1"/>
        <v>1.8051300000000001E-4</v>
      </c>
      <c r="T14">
        <f t="shared" si="4"/>
        <v>105.19840259969071</v>
      </c>
      <c r="U14">
        <f t="shared" si="4"/>
        <v>100.85370282425903</v>
      </c>
      <c r="W14">
        <f t="shared" si="5"/>
        <v>0</v>
      </c>
      <c r="X14">
        <f t="shared" si="5"/>
        <v>0</v>
      </c>
    </row>
    <row r="15" spans="1:24" x14ac:dyDescent="0.35">
      <c r="A15">
        <v>80.745000000000005</v>
      </c>
      <c r="B15">
        <v>1.07964E-3</v>
      </c>
      <c r="C15">
        <v>1.7947899999999999E-4</v>
      </c>
      <c r="D15">
        <f t="shared" si="2"/>
        <v>105.67507781453713</v>
      </c>
      <c r="E15">
        <f t="shared" si="3"/>
        <v>100.27600078218846</v>
      </c>
      <c r="Q15">
        <f t="shared" si="0"/>
        <v>1.07964E-3</v>
      </c>
      <c r="R15">
        <f t="shared" si="1"/>
        <v>1.7947899999999999E-4</v>
      </c>
      <c r="T15">
        <f t="shared" si="4"/>
        <v>105.67507781453713</v>
      </c>
      <c r="U15">
        <f t="shared" si="4"/>
        <v>100.27600078218846</v>
      </c>
      <c r="W15">
        <f t="shared" si="5"/>
        <v>0</v>
      </c>
      <c r="X15">
        <f t="shared" si="5"/>
        <v>0</v>
      </c>
    </row>
    <row r="16" spans="1:24" x14ac:dyDescent="0.35">
      <c r="A16">
        <v>86.833600000000004</v>
      </c>
      <c r="B16">
        <v>1.0858E-3</v>
      </c>
      <c r="C16">
        <v>1.7934400000000001E-4</v>
      </c>
      <c r="D16">
        <f t="shared" si="2"/>
        <v>106.27801812736135</v>
      </c>
      <c r="E16">
        <f t="shared" si="3"/>
        <v>100.20057546721792</v>
      </c>
      <c r="Q16">
        <f t="shared" si="0"/>
        <v>1.0858E-3</v>
      </c>
      <c r="R16">
        <f t="shared" si="1"/>
        <v>1.7934400000000001E-4</v>
      </c>
      <c r="T16">
        <f t="shared" si="4"/>
        <v>106.27801812736135</v>
      </c>
      <c r="U16">
        <f t="shared" si="4"/>
        <v>100.20057546721792</v>
      </c>
      <c r="W16">
        <f t="shared" si="5"/>
        <v>0</v>
      </c>
      <c r="X16">
        <f t="shared" si="5"/>
        <v>0</v>
      </c>
    </row>
    <row r="17" spans="1:24" x14ac:dyDescent="0.35">
      <c r="A17">
        <v>93.167199999999994</v>
      </c>
      <c r="B17">
        <v>1.09008E-3</v>
      </c>
      <c r="C17">
        <v>1.80223E-4</v>
      </c>
      <c r="D17">
        <f t="shared" si="2"/>
        <v>106.6969441888691</v>
      </c>
      <c r="E17">
        <f t="shared" si="3"/>
        <v>100.69167807358158</v>
      </c>
      <c r="Q17">
        <f t="shared" si="0"/>
        <v>1.09008E-3</v>
      </c>
      <c r="R17">
        <f t="shared" si="1"/>
        <v>1.80223E-4</v>
      </c>
      <c r="T17">
        <f t="shared" si="4"/>
        <v>106.6969441888691</v>
      </c>
      <c r="U17">
        <f t="shared" si="4"/>
        <v>100.69167807358158</v>
      </c>
      <c r="W17">
        <f t="shared" si="5"/>
        <v>0</v>
      </c>
      <c r="X17">
        <f t="shared" si="5"/>
        <v>0</v>
      </c>
    </row>
    <row r="18" spans="1:24" x14ac:dyDescent="0.35">
      <c r="A18">
        <v>99.287099999999995</v>
      </c>
      <c r="B18">
        <v>1.0952399999999999E-3</v>
      </c>
      <c r="C18">
        <v>1.80645E-4</v>
      </c>
      <c r="D18">
        <f t="shared" si="2"/>
        <v>107.20200458078028</v>
      </c>
      <c r="E18">
        <f t="shared" si="3"/>
        <v>100.92745202111911</v>
      </c>
      <c r="Q18">
        <f t="shared" si="0"/>
        <v>1.0952399999999999E-3</v>
      </c>
      <c r="R18">
        <f t="shared" si="1"/>
        <v>1.80645E-4</v>
      </c>
      <c r="T18">
        <f t="shared" si="4"/>
        <v>107.20200458078028</v>
      </c>
      <c r="U18">
        <f t="shared" si="4"/>
        <v>100.92745202111911</v>
      </c>
      <c r="W18">
        <f t="shared" si="5"/>
        <v>0</v>
      </c>
      <c r="X18">
        <f t="shared" si="5"/>
        <v>0</v>
      </c>
    </row>
    <row r="19" spans="1:24" x14ac:dyDescent="0.35">
      <c r="A19">
        <v>105.572</v>
      </c>
      <c r="B19">
        <v>1.09924E-3</v>
      </c>
      <c r="C19">
        <v>1.8123E-4</v>
      </c>
      <c r="D19">
        <f t="shared" si="2"/>
        <v>107.5935242644324</v>
      </c>
      <c r="E19">
        <f t="shared" si="3"/>
        <v>101.25429505265804</v>
      </c>
      <c r="Q19">
        <f t="shared" si="0"/>
        <v>1.09924E-3</v>
      </c>
      <c r="R19">
        <f t="shared" si="1"/>
        <v>1.8123E-4</v>
      </c>
      <c r="T19">
        <f t="shared" si="4"/>
        <v>107.5935242644324</v>
      </c>
      <c r="U19">
        <f t="shared" si="4"/>
        <v>101.25429505265804</v>
      </c>
      <c r="W19">
        <f t="shared" si="5"/>
        <v>0</v>
      </c>
      <c r="X19">
        <f t="shared" si="5"/>
        <v>0</v>
      </c>
    </row>
    <row r="20" spans="1:24" x14ac:dyDescent="0.35">
      <c r="A20">
        <v>111.81699999999999</v>
      </c>
      <c r="B20">
        <v>1.1035000000000001E-3</v>
      </c>
      <c r="C20">
        <v>1.81705E-4</v>
      </c>
      <c r="D20">
        <f t="shared" si="2"/>
        <v>108.01049272752188</v>
      </c>
      <c r="E20">
        <f t="shared" si="3"/>
        <v>101.51968042014694</v>
      </c>
      <c r="Q20">
        <f t="shared" si="0"/>
        <v>1.1035000000000001E-3</v>
      </c>
      <c r="R20">
        <f t="shared" si="1"/>
        <v>1.81705E-4</v>
      </c>
      <c r="T20">
        <f t="shared" si="4"/>
        <v>108.01049272752188</v>
      </c>
      <c r="U20">
        <f t="shared" si="4"/>
        <v>101.51968042014694</v>
      </c>
      <c r="W20">
        <f t="shared" si="5"/>
        <v>0</v>
      </c>
      <c r="X20">
        <f t="shared" si="5"/>
        <v>0</v>
      </c>
    </row>
    <row r="21" spans="1:24" x14ac:dyDescent="0.35">
      <c r="A21">
        <v>117.977</v>
      </c>
      <c r="B21">
        <v>1.10856E-3</v>
      </c>
      <c r="C21">
        <v>1.8140499999999999E-4</v>
      </c>
      <c r="D21">
        <f t="shared" si="2"/>
        <v>108.50576512734177</v>
      </c>
      <c r="E21">
        <f t="shared" si="3"/>
        <v>101.35206860910131</v>
      </c>
      <c r="Q21">
        <f t="shared" si="0"/>
        <v>1.10856E-3</v>
      </c>
      <c r="R21">
        <f t="shared" si="1"/>
        <v>1.8140499999999999E-4</v>
      </c>
      <c r="T21">
        <f t="shared" si="4"/>
        <v>108.50576512734177</v>
      </c>
      <c r="U21">
        <f t="shared" si="4"/>
        <v>101.35206860910131</v>
      </c>
      <c r="W21">
        <f t="shared" si="5"/>
        <v>0</v>
      </c>
      <c r="X21">
        <f t="shared" si="5"/>
        <v>0</v>
      </c>
    </row>
    <row r="22" spans="1:24" x14ac:dyDescent="0.35">
      <c r="A22">
        <v>124.10599999999999</v>
      </c>
      <c r="B22">
        <v>1.1161299999999999E-3</v>
      </c>
      <c r="C22">
        <v>1.82308E-4</v>
      </c>
      <c r="D22">
        <f t="shared" si="2"/>
        <v>109.24671612865336</v>
      </c>
      <c r="E22">
        <f t="shared" si="3"/>
        <v>101.85658016034864</v>
      </c>
      <c r="Q22">
        <f t="shared" si="0"/>
        <v>1.1161299999999999E-3</v>
      </c>
      <c r="R22">
        <f t="shared" si="1"/>
        <v>1.82308E-4</v>
      </c>
      <c r="T22">
        <f t="shared" si="4"/>
        <v>109.24671612865336</v>
      </c>
      <c r="U22">
        <f t="shared" si="4"/>
        <v>101.85658016034864</v>
      </c>
      <c r="W22">
        <f t="shared" si="5"/>
        <v>0</v>
      </c>
      <c r="X22">
        <f t="shared" si="5"/>
        <v>0</v>
      </c>
    </row>
    <row r="23" spans="1:24" x14ac:dyDescent="0.35">
      <c r="A23">
        <v>130.37799999999999</v>
      </c>
      <c r="B23">
        <v>1.12261E-3</v>
      </c>
      <c r="C23">
        <v>1.8253E-4</v>
      </c>
      <c r="D23">
        <f t="shared" si="2"/>
        <v>109.88097801616976</v>
      </c>
      <c r="E23">
        <f t="shared" si="3"/>
        <v>101.9806129005224</v>
      </c>
      <c r="Q23">
        <f t="shared" si="0"/>
        <v>1.12261E-3</v>
      </c>
      <c r="R23">
        <f t="shared" si="1"/>
        <v>1.8253E-4</v>
      </c>
      <c r="T23">
        <f t="shared" si="4"/>
        <v>109.88097801616976</v>
      </c>
      <c r="U23">
        <f t="shared" si="4"/>
        <v>101.9806129005224</v>
      </c>
      <c r="W23">
        <f t="shared" si="5"/>
        <v>0</v>
      </c>
      <c r="X23">
        <f t="shared" si="5"/>
        <v>0</v>
      </c>
    </row>
    <row r="24" spans="1:24" x14ac:dyDescent="0.35">
      <c r="A24">
        <v>136.60400000000001</v>
      </c>
      <c r="B24">
        <v>1.1281500000000001E-3</v>
      </c>
      <c r="C24">
        <v>1.8367500000000001E-4</v>
      </c>
      <c r="D24">
        <f t="shared" si="2"/>
        <v>110.42323277802792</v>
      </c>
      <c r="E24">
        <f t="shared" si="3"/>
        <v>102.62033131267985</v>
      </c>
      <c r="Q24">
        <f t="shared" si="0"/>
        <v>1.1281500000000001E-3</v>
      </c>
      <c r="R24">
        <f t="shared" si="1"/>
        <v>1.8367500000000001E-4</v>
      </c>
      <c r="T24">
        <f t="shared" si="4"/>
        <v>110.42323277802792</v>
      </c>
      <c r="U24">
        <f t="shared" si="4"/>
        <v>102.62033131267985</v>
      </c>
      <c r="W24">
        <f t="shared" si="5"/>
        <v>0</v>
      </c>
      <c r="X24">
        <f t="shared" si="5"/>
        <v>0</v>
      </c>
    </row>
    <row r="25" spans="1:24" x14ac:dyDescent="0.35">
      <c r="A25">
        <v>142.80099999999999</v>
      </c>
      <c r="B25">
        <v>1.13452E-3</v>
      </c>
      <c r="C25">
        <v>1.8424700000000001E-4</v>
      </c>
      <c r="D25">
        <f t="shared" si="2"/>
        <v>111.04672787424389</v>
      </c>
      <c r="E25">
        <f t="shared" si="3"/>
        <v>102.93991116574016</v>
      </c>
      <c r="Q25">
        <f t="shared" si="0"/>
        <v>1.13452E-3</v>
      </c>
      <c r="R25">
        <f t="shared" si="1"/>
        <v>1.8424700000000001E-4</v>
      </c>
      <c r="T25">
        <f t="shared" si="4"/>
        <v>111.04672787424389</v>
      </c>
      <c r="U25">
        <f t="shared" si="4"/>
        <v>102.93991116574016</v>
      </c>
      <c r="W25">
        <f t="shared" si="5"/>
        <v>0</v>
      </c>
      <c r="X25">
        <f t="shared" si="5"/>
        <v>0</v>
      </c>
    </row>
    <row r="26" spans="1:24" x14ac:dyDescent="0.35">
      <c r="A26">
        <v>148.94900000000001</v>
      </c>
      <c r="B26">
        <v>1.14017E-3</v>
      </c>
      <c r="C26">
        <v>1.85176E-4</v>
      </c>
      <c r="D26">
        <f t="shared" si="2"/>
        <v>111.59974942740247</v>
      </c>
      <c r="E26">
        <f t="shared" si="3"/>
        <v>103.45894907394475</v>
      </c>
      <c r="Q26">
        <f t="shared" si="0"/>
        <v>1.14017E-3</v>
      </c>
      <c r="R26">
        <f t="shared" si="1"/>
        <v>1.85176E-4</v>
      </c>
      <c r="T26">
        <f t="shared" si="4"/>
        <v>111.59974942740247</v>
      </c>
      <c r="U26">
        <f t="shared" si="4"/>
        <v>103.45894907394475</v>
      </c>
      <c r="W26">
        <f t="shared" si="5"/>
        <v>0</v>
      </c>
      <c r="X26">
        <f t="shared" si="5"/>
        <v>0</v>
      </c>
    </row>
    <row r="27" spans="1:24" x14ac:dyDescent="0.35">
      <c r="A27">
        <v>155.233</v>
      </c>
      <c r="B27">
        <v>1.1470899999999999E-3</v>
      </c>
      <c r="C27">
        <v>1.8527100000000001E-4</v>
      </c>
      <c r="D27">
        <f t="shared" si="2"/>
        <v>112.27707848012058</v>
      </c>
      <c r="E27">
        <f t="shared" si="3"/>
        <v>103.51202614744253</v>
      </c>
      <c r="Q27">
        <f t="shared" si="0"/>
        <v>1.1470899999999999E-3</v>
      </c>
      <c r="R27">
        <f t="shared" si="1"/>
        <v>1.8527100000000001E-4</v>
      </c>
      <c r="T27">
        <f t="shared" si="4"/>
        <v>112.27707848012058</v>
      </c>
      <c r="U27">
        <f t="shared" si="4"/>
        <v>103.51202614744253</v>
      </c>
      <c r="W27">
        <f t="shared" si="5"/>
        <v>0</v>
      </c>
      <c r="X27">
        <f t="shared" si="5"/>
        <v>0</v>
      </c>
    </row>
    <row r="28" spans="1:24" x14ac:dyDescent="0.35">
      <c r="A28">
        <v>161.44499999999999</v>
      </c>
      <c r="B28">
        <v>1.15416E-3</v>
      </c>
      <c r="C28">
        <v>1.8629700000000001E-4</v>
      </c>
      <c r="D28">
        <f t="shared" si="2"/>
        <v>112.96908952097566</v>
      </c>
      <c r="E28">
        <f t="shared" si="3"/>
        <v>104.08525854121855</v>
      </c>
      <c r="Q28">
        <f t="shared" si="0"/>
        <v>1.15416E-3</v>
      </c>
      <c r="R28">
        <f t="shared" si="1"/>
        <v>1.8629700000000001E-4</v>
      </c>
      <c r="T28">
        <f t="shared" si="4"/>
        <v>112.96908952097566</v>
      </c>
      <c r="U28">
        <f t="shared" si="4"/>
        <v>104.08525854121855</v>
      </c>
      <c r="W28">
        <f t="shared" si="5"/>
        <v>0</v>
      </c>
      <c r="X28">
        <f t="shared" si="5"/>
        <v>0</v>
      </c>
    </row>
    <row r="29" spans="1:24" x14ac:dyDescent="0.35">
      <c r="A29">
        <v>167.59</v>
      </c>
      <c r="B29">
        <v>1.16025E-3</v>
      </c>
      <c r="C29">
        <v>1.8739700000000001E-4</v>
      </c>
      <c r="D29">
        <f t="shared" si="2"/>
        <v>113.56517823933598</v>
      </c>
      <c r="E29">
        <f t="shared" si="3"/>
        <v>104.69983518171915</v>
      </c>
      <c r="Q29">
        <f t="shared" si="0"/>
        <v>1.16025E-3</v>
      </c>
      <c r="R29">
        <f t="shared" si="1"/>
        <v>1.8739700000000001E-4</v>
      </c>
      <c r="T29">
        <f t="shared" si="4"/>
        <v>113.56517823933598</v>
      </c>
      <c r="U29">
        <f t="shared" si="4"/>
        <v>104.69983518171915</v>
      </c>
      <c r="W29">
        <f t="shared" si="5"/>
        <v>0</v>
      </c>
      <c r="X29">
        <f t="shared" si="5"/>
        <v>0</v>
      </c>
    </row>
    <row r="30" spans="1:24" x14ac:dyDescent="0.35">
      <c r="A30">
        <v>173.74799999999999</v>
      </c>
      <c r="B30">
        <v>1.1665600000000001E-3</v>
      </c>
      <c r="C30">
        <v>1.8756299999999999E-4</v>
      </c>
      <c r="D30">
        <f t="shared" si="2"/>
        <v>114.18280054029717</v>
      </c>
      <c r="E30">
        <f t="shared" si="3"/>
        <v>104.79258038383104</v>
      </c>
      <c r="Q30">
        <f t="shared" si="0"/>
        <v>1.1665600000000001E-3</v>
      </c>
      <c r="R30">
        <f t="shared" si="1"/>
        <v>1.8756299999999999E-4</v>
      </c>
      <c r="T30">
        <f t="shared" si="4"/>
        <v>114.18280054029717</v>
      </c>
      <c r="U30">
        <f t="shared" si="4"/>
        <v>104.79258038383104</v>
      </c>
      <c r="W30">
        <f t="shared" si="5"/>
        <v>0</v>
      </c>
      <c r="X30">
        <f t="shared" si="5"/>
        <v>0</v>
      </c>
    </row>
    <row r="31" spans="1:24" x14ac:dyDescent="0.35">
      <c r="A31">
        <v>179.999</v>
      </c>
      <c r="B31">
        <v>1.17472E-3</v>
      </c>
      <c r="C31">
        <v>1.89156E-4</v>
      </c>
      <c r="D31">
        <f t="shared" si="2"/>
        <v>114.98150069494744</v>
      </c>
      <c r="E31">
        <f t="shared" si="3"/>
        <v>105.68259910048327</v>
      </c>
      <c r="Q31">
        <f t="shared" si="0"/>
        <v>1.17472E-3</v>
      </c>
      <c r="R31">
        <f t="shared" si="1"/>
        <v>1.89156E-4</v>
      </c>
      <c r="T31">
        <f t="shared" si="4"/>
        <v>114.98150069494744</v>
      </c>
      <c r="U31">
        <f t="shared" si="4"/>
        <v>105.68259910048327</v>
      </c>
      <c r="W31">
        <f t="shared" si="5"/>
        <v>0</v>
      </c>
      <c r="X31">
        <f t="shared" si="5"/>
        <v>0</v>
      </c>
    </row>
    <row r="32" spans="1:24" x14ac:dyDescent="0.35">
      <c r="A32">
        <v>193.20699999999999</v>
      </c>
      <c r="B32">
        <v>7.19986E-6</v>
      </c>
      <c r="C32">
        <v>3.30453E-5</v>
      </c>
      <c r="D32">
        <f t="shared" si="2"/>
        <v>0.70472172738484429</v>
      </c>
      <c r="E32">
        <f t="shared" si="3"/>
        <v>18.462608598485907</v>
      </c>
      <c r="Q32">
        <f t="shared" si="0"/>
        <v>7.19986E-6</v>
      </c>
      <c r="R32">
        <f t="shared" si="1"/>
        <v>3.30453E-5</v>
      </c>
      <c r="T32">
        <f t="shared" si="4"/>
        <v>0.70472172738484429</v>
      </c>
      <c r="U32">
        <f t="shared" si="4"/>
        <v>18.462608598485907</v>
      </c>
      <c r="W32">
        <f t="shared" si="5"/>
        <v>0</v>
      </c>
      <c r="X32">
        <f t="shared" si="5"/>
        <v>0</v>
      </c>
    </row>
    <row r="33" spans="1:24" x14ac:dyDescent="0.35">
      <c r="A33">
        <v>199.40899999999999</v>
      </c>
      <c r="B33">
        <v>6.9642199999999999E-6</v>
      </c>
      <c r="C33">
        <v>3.2151199999999998E-5</v>
      </c>
      <c r="D33">
        <f t="shared" si="2"/>
        <v>0.68165730282089931</v>
      </c>
      <c r="E33">
        <f t="shared" si="3"/>
        <v>17.96306953096628</v>
      </c>
      <c r="Q33">
        <f t="shared" si="0"/>
        <v>6.9642199999999999E-6</v>
      </c>
      <c r="R33">
        <f t="shared" si="1"/>
        <v>3.2151199999999998E-5</v>
      </c>
      <c r="T33">
        <f t="shared" si="4"/>
        <v>0.68165730282089931</v>
      </c>
      <c r="U33">
        <f t="shared" si="4"/>
        <v>17.96306953096628</v>
      </c>
      <c r="W33">
        <f t="shared" si="5"/>
        <v>0</v>
      </c>
      <c r="X33">
        <f t="shared" si="5"/>
        <v>0</v>
      </c>
    </row>
    <row r="34" spans="1:24" x14ac:dyDescent="0.35">
      <c r="A34">
        <v>205.65700000000001</v>
      </c>
      <c r="B34">
        <v>6.6572200000000001E-6</v>
      </c>
      <c r="C34">
        <v>3.1315000000000001E-5</v>
      </c>
      <c r="D34">
        <f t="shared" si="2"/>
        <v>0.65160816710060099</v>
      </c>
      <c r="E34">
        <f t="shared" si="3"/>
        <v>17.495879542978461</v>
      </c>
      <c r="Q34">
        <f t="shared" si="0"/>
        <v>6.6572200000000001E-6</v>
      </c>
      <c r="R34">
        <f t="shared" si="1"/>
        <v>3.1315000000000001E-5</v>
      </c>
      <c r="T34">
        <f t="shared" si="4"/>
        <v>0.65160816710060099</v>
      </c>
      <c r="U34">
        <f t="shared" si="4"/>
        <v>17.495879542978461</v>
      </c>
      <c r="W34">
        <f t="shared" si="5"/>
        <v>0</v>
      </c>
      <c r="X34">
        <f t="shared" si="5"/>
        <v>0</v>
      </c>
    </row>
    <row r="35" spans="1:24" x14ac:dyDescent="0.35">
      <c r="A35">
        <v>211.864</v>
      </c>
      <c r="B35">
        <v>6.4360599999999998E-6</v>
      </c>
      <c r="C35">
        <v>3.0723599999999998E-5</v>
      </c>
      <c r="D35">
        <f t="shared" si="2"/>
        <v>0.62996104379147655</v>
      </c>
      <c r="E35">
        <f t="shared" si="3"/>
        <v>17.165460792803866</v>
      </c>
      <c r="Q35">
        <f t="shared" ref="Q35:Q66" si="6">AVERAGE(B35,G35,L35)</f>
        <v>6.4360599999999998E-6</v>
      </c>
      <c r="R35">
        <f t="shared" ref="R35:R66" si="7">AVERAGE(C35,H35,M35)</f>
        <v>3.0723599999999998E-5</v>
      </c>
      <c r="T35">
        <f t="shared" si="4"/>
        <v>0.62996104379147655</v>
      </c>
      <c r="U35">
        <f t="shared" si="4"/>
        <v>17.165460792803866</v>
      </c>
      <c r="W35">
        <f t="shared" si="5"/>
        <v>0</v>
      </c>
      <c r="X35">
        <f t="shared" si="5"/>
        <v>0</v>
      </c>
    </row>
    <row r="36" spans="1:24" x14ac:dyDescent="0.35">
      <c r="A36">
        <v>217.958</v>
      </c>
      <c r="B36">
        <v>6.2719500000000001E-6</v>
      </c>
      <c r="C36">
        <v>3.0323000000000001E-5</v>
      </c>
      <c r="D36">
        <f t="shared" si="2"/>
        <v>0.61389796997044033</v>
      </c>
      <c r="E36">
        <f t="shared" si="3"/>
        <v>16.941643154454287</v>
      </c>
      <c r="Q36">
        <f t="shared" si="6"/>
        <v>6.2719500000000001E-6</v>
      </c>
      <c r="R36">
        <f t="shared" si="7"/>
        <v>3.0323000000000001E-5</v>
      </c>
      <c r="T36">
        <f t="shared" si="4"/>
        <v>0.61389796997044033</v>
      </c>
      <c r="U36">
        <f t="shared" si="4"/>
        <v>16.941643154454287</v>
      </c>
      <c r="W36">
        <f t="shared" si="5"/>
        <v>0</v>
      </c>
      <c r="X36">
        <f t="shared" si="5"/>
        <v>0</v>
      </c>
    </row>
    <row r="37" spans="1:24" x14ac:dyDescent="0.35">
      <c r="A37">
        <v>224.30799999999999</v>
      </c>
      <c r="B37">
        <v>6.1336E-6</v>
      </c>
      <c r="C37">
        <v>3.0024800000000001E-5</v>
      </c>
      <c r="D37">
        <f t="shared" si="2"/>
        <v>0.6003562829121234</v>
      </c>
      <c r="E37">
        <f t="shared" si="3"/>
        <v>16.77503701427494</v>
      </c>
      <c r="Q37">
        <f t="shared" si="6"/>
        <v>6.1336E-6</v>
      </c>
      <c r="R37">
        <f t="shared" si="7"/>
        <v>3.0024800000000001E-5</v>
      </c>
      <c r="T37">
        <f t="shared" si="4"/>
        <v>0.6003562829121234</v>
      </c>
      <c r="U37">
        <f t="shared" si="4"/>
        <v>16.77503701427494</v>
      </c>
      <c r="W37">
        <f t="shared" si="5"/>
        <v>0</v>
      </c>
      <c r="X37">
        <f t="shared" si="5"/>
        <v>0</v>
      </c>
    </row>
    <row r="38" spans="1:24" x14ac:dyDescent="0.35">
      <c r="A38">
        <v>230.453</v>
      </c>
      <c r="B38">
        <v>6.0080099999999998E-6</v>
      </c>
      <c r="C38">
        <v>2.96982E-5</v>
      </c>
      <c r="D38">
        <f t="shared" si="2"/>
        <v>0.58806354364465674</v>
      </c>
      <c r="E38">
        <f t="shared" si="3"/>
        <v>16.592563622649941</v>
      </c>
      <c r="Q38">
        <f t="shared" si="6"/>
        <v>6.0080099999999998E-6</v>
      </c>
      <c r="R38">
        <f t="shared" si="7"/>
        <v>2.96982E-5</v>
      </c>
      <c r="T38">
        <f t="shared" si="4"/>
        <v>0.58806354364465674</v>
      </c>
      <c r="U38">
        <f t="shared" si="4"/>
        <v>16.592563622649941</v>
      </c>
      <c r="W38">
        <f t="shared" si="5"/>
        <v>0</v>
      </c>
      <c r="X38">
        <f t="shared" si="5"/>
        <v>0</v>
      </c>
    </row>
    <row r="39" spans="1:24" x14ac:dyDescent="0.35">
      <c r="A39">
        <v>236.73099999999999</v>
      </c>
      <c r="B39">
        <v>5.9143299999999998E-6</v>
      </c>
      <c r="C39">
        <v>2.94884E-5</v>
      </c>
      <c r="D39">
        <f t="shared" si="2"/>
        <v>0.57889415265352462</v>
      </c>
      <c r="E39">
        <f t="shared" si="3"/>
        <v>16.475347096125375</v>
      </c>
      <c r="Q39">
        <f t="shared" si="6"/>
        <v>5.9143299999999998E-6</v>
      </c>
      <c r="R39">
        <f t="shared" si="7"/>
        <v>2.94884E-5</v>
      </c>
      <c r="T39">
        <f t="shared" si="4"/>
        <v>0.57889415265352462</v>
      </c>
      <c r="U39">
        <f t="shared" si="4"/>
        <v>16.475347096125375</v>
      </c>
      <c r="W39">
        <f t="shared" si="5"/>
        <v>0</v>
      </c>
      <c r="X39">
        <f t="shared" si="5"/>
        <v>0</v>
      </c>
    </row>
    <row r="40" spans="1:24" x14ac:dyDescent="0.35">
      <c r="A40">
        <v>242.83</v>
      </c>
      <c r="B40">
        <v>5.82386E-6</v>
      </c>
      <c r="C40">
        <v>2.9272600000000002E-5</v>
      </c>
      <c r="D40">
        <f t="shared" si="2"/>
        <v>0.57003895620852341</v>
      </c>
      <c r="E40">
        <f t="shared" si="3"/>
        <v>16.354778333379894</v>
      </c>
      <c r="Q40">
        <f t="shared" si="6"/>
        <v>5.82386E-6</v>
      </c>
      <c r="R40">
        <f t="shared" si="7"/>
        <v>2.9272600000000002E-5</v>
      </c>
      <c r="T40">
        <f t="shared" si="4"/>
        <v>0.57003895620852341</v>
      </c>
      <c r="U40">
        <f t="shared" si="4"/>
        <v>16.354778333379894</v>
      </c>
      <c r="W40">
        <f t="shared" si="5"/>
        <v>0</v>
      </c>
      <c r="X40">
        <f t="shared" si="5"/>
        <v>0</v>
      </c>
    </row>
    <row r="41" spans="1:24" x14ac:dyDescent="0.35">
      <c r="A41">
        <v>249.16</v>
      </c>
      <c r="B41">
        <v>5.7133300000000004E-6</v>
      </c>
      <c r="C41">
        <v>2.8987800000000001E-5</v>
      </c>
      <c r="D41">
        <f t="shared" si="2"/>
        <v>0.55922028855000694</v>
      </c>
      <c r="E41">
        <f t="shared" si="3"/>
        <v>16.195658854093921</v>
      </c>
      <c r="Q41">
        <f t="shared" si="6"/>
        <v>5.7133300000000004E-6</v>
      </c>
      <c r="R41">
        <f t="shared" si="7"/>
        <v>2.8987800000000001E-5</v>
      </c>
      <c r="T41">
        <f t="shared" si="4"/>
        <v>0.55922028855000694</v>
      </c>
      <c r="U41">
        <f t="shared" si="4"/>
        <v>16.195658854093921</v>
      </c>
      <c r="W41">
        <f t="shared" si="5"/>
        <v>0</v>
      </c>
      <c r="X41">
        <f t="shared" si="5"/>
        <v>0</v>
      </c>
    </row>
    <row r="42" spans="1:24" x14ac:dyDescent="0.35">
      <c r="A42">
        <v>262.286</v>
      </c>
      <c r="B42">
        <v>6.1892399999999997E-4</v>
      </c>
      <c r="C42">
        <v>1.4154599999999999E-4</v>
      </c>
      <c r="D42">
        <f t="shared" si="2"/>
        <v>60.580232171172398</v>
      </c>
      <c r="E42">
        <f t="shared" si="3"/>
        <v>79.08260468754365</v>
      </c>
      <c r="Q42">
        <f t="shared" si="6"/>
        <v>6.1892399999999997E-4</v>
      </c>
      <c r="R42">
        <f t="shared" si="7"/>
        <v>1.4154599999999999E-4</v>
      </c>
      <c r="T42">
        <f t="shared" si="4"/>
        <v>60.580232171172398</v>
      </c>
      <c r="U42">
        <f t="shared" si="4"/>
        <v>79.08260468754365</v>
      </c>
      <c r="W42">
        <f t="shared" si="5"/>
        <v>0</v>
      </c>
      <c r="X42">
        <f t="shared" si="5"/>
        <v>0</v>
      </c>
    </row>
    <row r="43" spans="1:24" x14ac:dyDescent="0.35">
      <c r="A43">
        <v>268.49799999999999</v>
      </c>
      <c r="B43">
        <v>6.3799099999999997E-4</v>
      </c>
      <c r="C43">
        <v>1.4205700000000001E-4</v>
      </c>
      <c r="D43">
        <f t="shared" si="2"/>
        <v>62.446508623221028</v>
      </c>
      <c r="E43">
        <f t="shared" si="3"/>
        <v>79.36810347235803</v>
      </c>
      <c r="Q43">
        <f t="shared" si="6"/>
        <v>6.3799099999999997E-4</v>
      </c>
      <c r="R43">
        <f t="shared" si="7"/>
        <v>1.4205700000000001E-4</v>
      </c>
      <c r="T43">
        <f t="shared" si="4"/>
        <v>62.446508623221028</v>
      </c>
      <c r="U43">
        <f t="shared" si="4"/>
        <v>79.36810347235803</v>
      </c>
      <c r="W43">
        <f t="shared" si="5"/>
        <v>0</v>
      </c>
      <c r="X43">
        <f t="shared" si="5"/>
        <v>0</v>
      </c>
    </row>
    <row r="44" spans="1:24" x14ac:dyDescent="0.35">
      <c r="A44">
        <v>274.608</v>
      </c>
      <c r="B44">
        <v>6.4950399999999997E-4</v>
      </c>
      <c r="C44">
        <v>1.4135999999999999E-4</v>
      </c>
      <c r="D44">
        <f t="shared" si="2"/>
        <v>63.57340015269267</v>
      </c>
      <c r="E44">
        <f t="shared" si="3"/>
        <v>78.978685364695366</v>
      </c>
      <c r="Q44">
        <f t="shared" si="6"/>
        <v>6.4950399999999997E-4</v>
      </c>
      <c r="R44">
        <f t="shared" si="7"/>
        <v>1.4135999999999999E-4</v>
      </c>
      <c r="T44">
        <f t="shared" si="4"/>
        <v>63.57340015269267</v>
      </c>
      <c r="U44">
        <f t="shared" si="4"/>
        <v>78.978685364695366</v>
      </c>
      <c r="W44">
        <f t="shared" si="5"/>
        <v>0</v>
      </c>
      <c r="X44">
        <f t="shared" si="5"/>
        <v>0</v>
      </c>
    </row>
    <row r="45" spans="1:24" x14ac:dyDescent="0.35">
      <c r="A45">
        <v>280.779</v>
      </c>
      <c r="B45">
        <v>6.5751500000000001E-4</v>
      </c>
      <c r="C45">
        <v>1.4040600000000001E-4</v>
      </c>
      <c r="D45">
        <f t="shared" si="2"/>
        <v>64.35751619912692</v>
      </c>
      <c r="E45">
        <f t="shared" si="3"/>
        <v>78.445679805570308</v>
      </c>
      <c r="Q45">
        <f t="shared" si="6"/>
        <v>6.5751500000000001E-4</v>
      </c>
      <c r="R45">
        <f t="shared" si="7"/>
        <v>1.4040600000000001E-4</v>
      </c>
      <c r="T45">
        <f t="shared" si="4"/>
        <v>64.35751619912692</v>
      </c>
      <c r="U45">
        <f t="shared" si="4"/>
        <v>78.445679805570308</v>
      </c>
      <c r="W45">
        <f t="shared" si="5"/>
        <v>0</v>
      </c>
      <c r="X45">
        <f t="shared" si="5"/>
        <v>0</v>
      </c>
    </row>
    <row r="46" spans="1:24" x14ac:dyDescent="0.35">
      <c r="A46">
        <v>287.00099999999998</v>
      </c>
      <c r="B46">
        <v>6.6327300000000003E-4</v>
      </c>
      <c r="C46">
        <v>1.39534E-4</v>
      </c>
      <c r="D46">
        <f t="shared" si="2"/>
        <v>64.921108783744103</v>
      </c>
      <c r="E46">
        <f t="shared" si="3"/>
        <v>77.958488141464372</v>
      </c>
      <c r="Q46">
        <f t="shared" si="6"/>
        <v>6.6327300000000003E-4</v>
      </c>
      <c r="R46">
        <f t="shared" si="7"/>
        <v>1.39534E-4</v>
      </c>
      <c r="T46">
        <f t="shared" si="4"/>
        <v>64.921108783744103</v>
      </c>
      <c r="U46">
        <f t="shared" si="4"/>
        <v>77.958488141464372</v>
      </c>
      <c r="W46">
        <f t="shared" si="5"/>
        <v>0</v>
      </c>
      <c r="X46">
        <f t="shared" si="5"/>
        <v>0</v>
      </c>
    </row>
    <row r="47" spans="1:24" x14ac:dyDescent="0.35">
      <c r="A47">
        <v>293.27300000000002</v>
      </c>
      <c r="B47">
        <v>6.6932099999999996E-4</v>
      </c>
      <c r="C47">
        <v>1.3827499999999999E-4</v>
      </c>
      <c r="D47">
        <f t="shared" si="2"/>
        <v>65.513086545426063</v>
      </c>
      <c r="E47">
        <f t="shared" si="3"/>
        <v>77.255077241109575</v>
      </c>
      <c r="Q47">
        <f t="shared" si="6"/>
        <v>6.6932099999999996E-4</v>
      </c>
      <c r="R47">
        <f t="shared" si="7"/>
        <v>1.3827499999999999E-4</v>
      </c>
      <c r="T47">
        <f t="shared" si="4"/>
        <v>65.513086545426063</v>
      </c>
      <c r="U47">
        <f t="shared" si="4"/>
        <v>77.255077241109575</v>
      </c>
      <c r="W47">
        <f t="shared" si="5"/>
        <v>0</v>
      </c>
      <c r="X47">
        <f t="shared" si="5"/>
        <v>0</v>
      </c>
    </row>
    <row r="48" spans="1:24" x14ac:dyDescent="0.35">
      <c r="A48">
        <v>299.46699999999998</v>
      </c>
      <c r="B48">
        <v>6.7402800000000002E-4</v>
      </c>
      <c r="C48">
        <v>1.37813E-4</v>
      </c>
      <c r="D48">
        <f t="shared" si="2"/>
        <v>65.973807333163677</v>
      </c>
      <c r="E48">
        <f t="shared" si="3"/>
        <v>76.996955052099352</v>
      </c>
      <c r="Q48">
        <f t="shared" si="6"/>
        <v>6.7402800000000002E-4</v>
      </c>
      <c r="R48">
        <f t="shared" si="7"/>
        <v>1.37813E-4</v>
      </c>
      <c r="T48">
        <f t="shared" si="4"/>
        <v>65.973807333163677</v>
      </c>
      <c r="U48">
        <f t="shared" si="4"/>
        <v>76.996955052099352</v>
      </c>
      <c r="W48">
        <f t="shared" si="5"/>
        <v>0</v>
      </c>
      <c r="X48">
        <f t="shared" si="5"/>
        <v>0</v>
      </c>
    </row>
    <row r="49" spans="1:24" x14ac:dyDescent="0.35">
      <c r="A49">
        <v>305.70800000000003</v>
      </c>
      <c r="B49">
        <v>6.7792899999999997E-4</v>
      </c>
      <c r="C49">
        <v>1.3783799999999999E-4</v>
      </c>
      <c r="D49">
        <f t="shared" si="2"/>
        <v>66.35563690464538</v>
      </c>
      <c r="E49">
        <f t="shared" si="3"/>
        <v>77.010922703019801</v>
      </c>
      <c r="Q49">
        <f t="shared" si="6"/>
        <v>6.7792899999999997E-4</v>
      </c>
      <c r="R49">
        <f t="shared" si="7"/>
        <v>1.3783799999999999E-4</v>
      </c>
      <c r="T49">
        <f t="shared" si="4"/>
        <v>66.35563690464538</v>
      </c>
      <c r="U49">
        <f t="shared" si="4"/>
        <v>77.010922703019801</v>
      </c>
      <c r="W49">
        <f t="shared" si="5"/>
        <v>0</v>
      </c>
      <c r="X49">
        <f t="shared" si="5"/>
        <v>0</v>
      </c>
    </row>
    <row r="50" spans="1:24" x14ac:dyDescent="0.35">
      <c r="A50">
        <v>311.89499999999998</v>
      </c>
      <c r="B50">
        <v>6.8260599999999999E-4</v>
      </c>
      <c r="C50">
        <v>1.3758999999999999E-4</v>
      </c>
      <c r="D50">
        <f t="shared" si="2"/>
        <v>66.813421294755599</v>
      </c>
      <c r="E50">
        <f t="shared" si="3"/>
        <v>76.872363605888765</v>
      </c>
      <c r="Q50">
        <f t="shared" si="6"/>
        <v>6.8260599999999999E-4</v>
      </c>
      <c r="R50">
        <f t="shared" si="7"/>
        <v>1.3758999999999999E-4</v>
      </c>
      <c r="T50">
        <f t="shared" si="4"/>
        <v>66.813421294755599</v>
      </c>
      <c r="U50">
        <f t="shared" si="4"/>
        <v>76.872363605888765</v>
      </c>
      <c r="W50">
        <f t="shared" si="5"/>
        <v>0</v>
      </c>
      <c r="X50">
        <f t="shared" si="5"/>
        <v>0</v>
      </c>
    </row>
    <row r="51" spans="1:24" x14ac:dyDescent="0.35">
      <c r="A51">
        <v>318.09899999999999</v>
      </c>
      <c r="B51">
        <v>6.8640400000000005E-4</v>
      </c>
      <c r="C51">
        <v>1.3710600000000001E-4</v>
      </c>
      <c r="D51">
        <f t="shared" si="2"/>
        <v>67.185169234383267</v>
      </c>
      <c r="E51">
        <f t="shared" si="3"/>
        <v>76.601949884068503</v>
      </c>
      <c r="Q51">
        <f t="shared" si="6"/>
        <v>6.8640400000000005E-4</v>
      </c>
      <c r="R51">
        <f t="shared" si="7"/>
        <v>1.3710600000000001E-4</v>
      </c>
      <c r="T51">
        <f t="shared" si="4"/>
        <v>67.185169234383267</v>
      </c>
      <c r="U51">
        <f t="shared" si="4"/>
        <v>76.601949884068503</v>
      </c>
      <c r="W51">
        <f t="shared" si="5"/>
        <v>0</v>
      </c>
      <c r="X51">
        <f t="shared" si="5"/>
        <v>0</v>
      </c>
    </row>
    <row r="52" spans="1:24" x14ac:dyDescent="0.35">
      <c r="A52">
        <v>324.33999999999997</v>
      </c>
      <c r="B52">
        <v>6.8886399999999997E-4</v>
      </c>
      <c r="C52">
        <v>1.3720599999999999E-4</v>
      </c>
      <c r="D52">
        <f t="shared" si="2"/>
        <v>67.425953839829305</v>
      </c>
      <c r="E52">
        <f t="shared" si="3"/>
        <v>76.657820487750357</v>
      </c>
      <c r="Q52">
        <f t="shared" si="6"/>
        <v>6.8886399999999997E-4</v>
      </c>
      <c r="R52">
        <f t="shared" si="7"/>
        <v>1.3720599999999999E-4</v>
      </c>
      <c r="T52">
        <f t="shared" si="4"/>
        <v>67.425953839829305</v>
      </c>
      <c r="U52">
        <f t="shared" si="4"/>
        <v>76.657820487750357</v>
      </c>
      <c r="W52">
        <f t="shared" si="5"/>
        <v>0</v>
      </c>
      <c r="X52">
        <f t="shared" si="5"/>
        <v>0</v>
      </c>
    </row>
    <row r="53" spans="1:24" x14ac:dyDescent="0.35">
      <c r="A53">
        <v>330.45299999999997</v>
      </c>
      <c r="B53">
        <v>6.9271899999999995E-4</v>
      </c>
      <c r="C53">
        <v>1.3696300000000001E-4</v>
      </c>
      <c r="D53">
        <f t="shared" si="2"/>
        <v>67.803280934949001</v>
      </c>
      <c r="E53">
        <f t="shared" si="3"/>
        <v>76.522054920803427</v>
      </c>
      <c r="Q53">
        <f t="shared" si="6"/>
        <v>6.9271899999999995E-4</v>
      </c>
      <c r="R53">
        <f t="shared" si="7"/>
        <v>1.3696300000000001E-4</v>
      </c>
      <c r="T53">
        <f t="shared" si="4"/>
        <v>67.803280934949001</v>
      </c>
      <c r="U53">
        <f t="shared" si="4"/>
        <v>76.522054920803427</v>
      </c>
      <c r="W53">
        <f t="shared" si="5"/>
        <v>0</v>
      </c>
      <c r="X53">
        <f t="shared" si="5"/>
        <v>0</v>
      </c>
    </row>
    <row r="54" spans="1:24" x14ac:dyDescent="0.35">
      <c r="A54">
        <v>336.67899999999997</v>
      </c>
      <c r="B54">
        <v>6.9519899999999997E-4</v>
      </c>
      <c r="C54">
        <v>1.3811100000000001E-4</v>
      </c>
      <c r="D54">
        <f t="shared" si="2"/>
        <v>68.046023138813311</v>
      </c>
      <c r="E54">
        <f t="shared" si="3"/>
        <v>77.163449451071315</v>
      </c>
      <c r="Q54">
        <f t="shared" si="6"/>
        <v>6.9519899999999997E-4</v>
      </c>
      <c r="R54">
        <f t="shared" si="7"/>
        <v>1.3811100000000001E-4</v>
      </c>
      <c r="T54">
        <f t="shared" si="4"/>
        <v>68.046023138813311</v>
      </c>
      <c r="U54">
        <f t="shared" si="4"/>
        <v>77.163449451071315</v>
      </c>
      <c r="W54">
        <f t="shared" si="5"/>
        <v>0</v>
      </c>
      <c r="X54">
        <f t="shared" si="5"/>
        <v>0</v>
      </c>
    </row>
    <row r="55" spans="1:24" x14ac:dyDescent="0.35">
      <c r="A55">
        <v>342.94200000000001</v>
      </c>
      <c r="B55">
        <v>6.9847500000000005E-4</v>
      </c>
      <c r="C55">
        <v>1.37319E-4</v>
      </c>
      <c r="D55">
        <f t="shared" si="2"/>
        <v>68.366677759724382</v>
      </c>
      <c r="E55">
        <f t="shared" si="3"/>
        <v>76.720954269910891</v>
      </c>
      <c r="Q55">
        <f t="shared" si="6"/>
        <v>6.9847500000000005E-4</v>
      </c>
      <c r="R55">
        <f t="shared" si="7"/>
        <v>1.37319E-4</v>
      </c>
      <c r="T55">
        <f t="shared" si="4"/>
        <v>68.366677759724382</v>
      </c>
      <c r="U55">
        <f t="shared" si="4"/>
        <v>76.720954269910891</v>
      </c>
      <c r="W55">
        <f t="shared" si="5"/>
        <v>0</v>
      </c>
      <c r="X55">
        <f t="shared" si="5"/>
        <v>0</v>
      </c>
    </row>
    <row r="56" spans="1:24" x14ac:dyDescent="0.35">
      <c r="A56">
        <v>349.24099999999999</v>
      </c>
      <c r="B56">
        <v>7.0178199999999997E-4</v>
      </c>
      <c r="C56">
        <v>1.3753699999999999E-4</v>
      </c>
      <c r="D56">
        <f t="shared" si="2"/>
        <v>68.690366658183748</v>
      </c>
      <c r="E56">
        <f t="shared" si="3"/>
        <v>76.842752185937371</v>
      </c>
      <c r="Q56">
        <f t="shared" si="6"/>
        <v>7.0178199999999997E-4</v>
      </c>
      <c r="R56">
        <f t="shared" si="7"/>
        <v>1.3753699999999999E-4</v>
      </c>
      <c r="T56">
        <f t="shared" si="4"/>
        <v>68.690366658183748</v>
      </c>
      <c r="U56">
        <f t="shared" si="4"/>
        <v>76.842752185937371</v>
      </c>
      <c r="W56">
        <f t="shared" si="5"/>
        <v>0</v>
      </c>
      <c r="X56">
        <f t="shared" si="5"/>
        <v>0</v>
      </c>
    </row>
    <row r="57" spans="1:24" x14ac:dyDescent="0.35">
      <c r="A57">
        <v>355.43299999999999</v>
      </c>
      <c r="B57">
        <v>7.0388199999999997E-4</v>
      </c>
      <c r="C57">
        <v>1.3781500000000001E-4</v>
      </c>
      <c r="D57">
        <f t="shared" si="2"/>
        <v>68.895914492101085</v>
      </c>
      <c r="E57">
        <f t="shared" si="3"/>
        <v>76.998072464172978</v>
      </c>
      <c r="Q57">
        <f t="shared" si="6"/>
        <v>7.0388199999999997E-4</v>
      </c>
      <c r="R57">
        <f t="shared" si="7"/>
        <v>1.3781500000000001E-4</v>
      </c>
      <c r="T57">
        <f t="shared" si="4"/>
        <v>68.895914492101085</v>
      </c>
      <c r="U57">
        <f t="shared" si="4"/>
        <v>76.998072464172978</v>
      </c>
      <c r="W57">
        <f t="shared" si="5"/>
        <v>0</v>
      </c>
      <c r="X57">
        <f t="shared" si="5"/>
        <v>0</v>
      </c>
    </row>
    <row r="58" spans="1:24" x14ac:dyDescent="0.35">
      <c r="A58">
        <v>361.57799999999997</v>
      </c>
      <c r="B58">
        <v>7.0624299999999995E-4</v>
      </c>
      <c r="C58">
        <v>1.38703E-4</v>
      </c>
      <c r="D58">
        <f t="shared" si="2"/>
        <v>69.127008985376733</v>
      </c>
      <c r="E58">
        <f t="shared" si="3"/>
        <v>77.494203424868019</v>
      </c>
      <c r="Q58">
        <f t="shared" si="6"/>
        <v>7.0624299999999995E-4</v>
      </c>
      <c r="R58">
        <f t="shared" si="7"/>
        <v>1.38703E-4</v>
      </c>
      <c r="T58">
        <f t="shared" si="4"/>
        <v>69.127008985376733</v>
      </c>
      <c r="U58">
        <f t="shared" si="4"/>
        <v>77.494203424868019</v>
      </c>
      <c r="W58">
        <f t="shared" si="5"/>
        <v>0</v>
      </c>
      <c r="X58">
        <f t="shared" si="5"/>
        <v>0</v>
      </c>
    </row>
    <row r="59" spans="1:24" x14ac:dyDescent="0.35">
      <c r="A59">
        <v>367.786</v>
      </c>
      <c r="B59">
        <v>7.0992199999999998E-4</v>
      </c>
      <c r="C59">
        <v>1.3807500000000001E-4</v>
      </c>
      <c r="D59">
        <f t="shared" si="2"/>
        <v>69.487109214415753</v>
      </c>
      <c r="E59">
        <f t="shared" si="3"/>
        <v>77.14333603374584</v>
      </c>
      <c r="Q59">
        <f t="shared" si="6"/>
        <v>7.0992199999999998E-4</v>
      </c>
      <c r="R59">
        <f t="shared" si="7"/>
        <v>1.3807500000000001E-4</v>
      </c>
      <c r="T59">
        <f t="shared" si="4"/>
        <v>69.487109214415753</v>
      </c>
      <c r="U59">
        <f t="shared" si="4"/>
        <v>77.14333603374584</v>
      </c>
      <c r="W59">
        <f t="shared" si="5"/>
        <v>0</v>
      </c>
      <c r="X59">
        <f t="shared" si="5"/>
        <v>0</v>
      </c>
    </row>
    <row r="60" spans="1:24" x14ac:dyDescent="0.35">
      <c r="A60">
        <v>374.03899999999999</v>
      </c>
      <c r="B60">
        <v>7.1326500000000004E-4</v>
      </c>
      <c r="C60">
        <v>1.3863800000000001E-4</v>
      </c>
      <c r="D60">
        <f t="shared" si="2"/>
        <v>69.814321790028004</v>
      </c>
      <c r="E60">
        <f t="shared" si="3"/>
        <v>77.4578875324748</v>
      </c>
      <c r="Q60">
        <f t="shared" si="6"/>
        <v>7.1326500000000004E-4</v>
      </c>
      <c r="R60">
        <f t="shared" si="7"/>
        <v>1.3863800000000001E-4</v>
      </c>
      <c r="T60">
        <f t="shared" si="4"/>
        <v>69.814321790028004</v>
      </c>
      <c r="U60">
        <f t="shared" si="4"/>
        <v>77.4578875324748</v>
      </c>
      <c r="W60">
        <f t="shared" si="5"/>
        <v>0</v>
      </c>
      <c r="X60">
        <f t="shared" si="5"/>
        <v>0</v>
      </c>
    </row>
    <row r="61" spans="1:24" x14ac:dyDescent="0.35">
      <c r="A61">
        <v>380.137</v>
      </c>
      <c r="B61">
        <v>7.1547400000000001E-4</v>
      </c>
      <c r="C61">
        <v>1.3913099999999999E-4</v>
      </c>
      <c r="D61">
        <f t="shared" si="2"/>
        <v>70.030538535324865</v>
      </c>
      <c r="E61">
        <f t="shared" si="3"/>
        <v>77.73332960862642</v>
      </c>
      <c r="Q61">
        <f t="shared" si="6"/>
        <v>7.1547400000000001E-4</v>
      </c>
      <c r="R61">
        <f t="shared" si="7"/>
        <v>1.3913099999999999E-4</v>
      </c>
      <c r="T61">
        <f t="shared" si="4"/>
        <v>70.030538535324865</v>
      </c>
      <c r="U61">
        <f t="shared" si="4"/>
        <v>77.73332960862642</v>
      </c>
      <c r="W61">
        <f t="shared" si="5"/>
        <v>0</v>
      </c>
      <c r="X61">
        <f t="shared" si="5"/>
        <v>0</v>
      </c>
    </row>
    <row r="62" spans="1:24" x14ac:dyDescent="0.35">
      <c r="A62">
        <v>386.49799999999999</v>
      </c>
      <c r="B62">
        <v>7.1616300000000002E-4</v>
      </c>
      <c r="C62">
        <v>1.3448799999999999E-4</v>
      </c>
      <c r="D62">
        <f t="shared" si="2"/>
        <v>70.097977800833945</v>
      </c>
      <c r="E62">
        <f t="shared" si="3"/>
        <v>75.13925747967707</v>
      </c>
      <c r="Q62">
        <f t="shared" si="6"/>
        <v>7.1616300000000002E-4</v>
      </c>
      <c r="R62">
        <f t="shared" si="7"/>
        <v>1.3448799999999999E-4</v>
      </c>
      <c r="T62">
        <f t="shared" si="4"/>
        <v>70.097977800833945</v>
      </c>
      <c r="U62">
        <f t="shared" si="4"/>
        <v>75.13925747967707</v>
      </c>
      <c r="W62">
        <f t="shared" si="5"/>
        <v>0</v>
      </c>
      <c r="X62">
        <f t="shared" si="5"/>
        <v>0</v>
      </c>
    </row>
    <row r="63" spans="1:24" x14ac:dyDescent="0.35">
      <c r="A63">
        <v>392.601</v>
      </c>
      <c r="B63">
        <v>7.20362E-4</v>
      </c>
      <c r="C63">
        <v>1.4024299999999999E-4</v>
      </c>
      <c r="D63">
        <f t="shared" si="2"/>
        <v>70.508975588747731</v>
      </c>
      <c r="E63">
        <f t="shared" si="3"/>
        <v>78.354610721568847</v>
      </c>
      <c r="Q63">
        <f t="shared" si="6"/>
        <v>7.20362E-4</v>
      </c>
      <c r="R63">
        <f t="shared" si="7"/>
        <v>1.4024299999999999E-4</v>
      </c>
      <c r="T63">
        <f t="shared" si="4"/>
        <v>70.508975588747731</v>
      </c>
      <c r="U63">
        <f t="shared" si="4"/>
        <v>78.354610721568847</v>
      </c>
      <c r="W63">
        <f t="shared" si="5"/>
        <v>0</v>
      </c>
      <c r="X63">
        <f t="shared" si="5"/>
        <v>0</v>
      </c>
    </row>
    <row r="64" spans="1:24" x14ac:dyDescent="0.35">
      <c r="A64">
        <v>398.83199999999999</v>
      </c>
      <c r="B64">
        <v>7.2335900000000002E-4</v>
      </c>
      <c r="C64">
        <v>1.3947800000000001E-4</v>
      </c>
      <c r="D64">
        <f t="shared" si="2"/>
        <v>70.802321711724062</v>
      </c>
      <c r="E64">
        <f t="shared" si="3"/>
        <v>77.927200603402525</v>
      </c>
      <c r="Q64">
        <f t="shared" si="6"/>
        <v>7.2335900000000002E-4</v>
      </c>
      <c r="R64">
        <f t="shared" si="7"/>
        <v>1.3947800000000001E-4</v>
      </c>
      <c r="T64">
        <f t="shared" si="4"/>
        <v>70.802321711724062</v>
      </c>
      <c r="U64">
        <f t="shared" si="4"/>
        <v>77.927200603402525</v>
      </c>
      <c r="W64">
        <f t="shared" si="5"/>
        <v>0</v>
      </c>
      <c r="X64">
        <f t="shared" si="5"/>
        <v>0</v>
      </c>
    </row>
    <row r="65" spans="1:24" x14ac:dyDescent="0.35">
      <c r="A65">
        <v>405.02199999999999</v>
      </c>
      <c r="B65">
        <v>7.2620900000000001E-4</v>
      </c>
      <c r="C65">
        <v>1.4098E-4</v>
      </c>
      <c r="D65">
        <f t="shared" si="2"/>
        <v>71.081279486326181</v>
      </c>
      <c r="E65">
        <f t="shared" si="3"/>
        <v>78.766377070704252</v>
      </c>
      <c r="Q65">
        <f t="shared" si="6"/>
        <v>7.2620900000000001E-4</v>
      </c>
      <c r="R65">
        <f t="shared" si="7"/>
        <v>1.4098E-4</v>
      </c>
      <c r="T65">
        <f t="shared" si="4"/>
        <v>71.081279486326181</v>
      </c>
      <c r="U65">
        <f t="shared" si="4"/>
        <v>78.766377070704252</v>
      </c>
      <c r="W65">
        <f t="shared" si="5"/>
        <v>0</v>
      </c>
      <c r="X65">
        <f t="shared" si="5"/>
        <v>0</v>
      </c>
    </row>
    <row r="66" spans="1:24" x14ac:dyDescent="0.35">
      <c r="A66">
        <v>411.33699999999999</v>
      </c>
      <c r="B66">
        <v>7.2848200000000002E-4</v>
      </c>
      <c r="C66">
        <v>1.4101900000000001E-4</v>
      </c>
      <c r="D66">
        <f t="shared" si="2"/>
        <v>71.303760546561477</v>
      </c>
      <c r="E66">
        <f t="shared" si="3"/>
        <v>78.78816660614018</v>
      </c>
      <c r="Q66">
        <f t="shared" si="6"/>
        <v>7.2848200000000002E-4</v>
      </c>
      <c r="R66">
        <f t="shared" si="7"/>
        <v>1.4101900000000001E-4</v>
      </c>
      <c r="T66">
        <f t="shared" si="4"/>
        <v>71.303760546561477</v>
      </c>
      <c r="U66">
        <f t="shared" si="4"/>
        <v>78.78816660614018</v>
      </c>
      <c r="W66">
        <f t="shared" si="5"/>
        <v>0</v>
      </c>
      <c r="X66">
        <f t="shared" si="5"/>
        <v>0</v>
      </c>
    </row>
    <row r="67" spans="1:24" x14ac:dyDescent="0.35">
      <c r="A67">
        <v>417.42200000000003</v>
      </c>
      <c r="B67">
        <v>7.3162200000000002E-4</v>
      </c>
      <c r="C67">
        <v>1.4176099999999999E-4</v>
      </c>
      <c r="D67">
        <f t="shared" si="2"/>
        <v>71.611103498228374</v>
      </c>
      <c r="E67">
        <f t="shared" si="3"/>
        <v>79.202726485459678</v>
      </c>
      <c r="Q67">
        <f t="shared" ref="Q67:Q98" si="8">AVERAGE(B67,G67,L67)</f>
        <v>7.3162200000000002E-4</v>
      </c>
      <c r="R67">
        <f t="shared" ref="R67:R98" si="9">AVERAGE(C67,H67,M67)</f>
        <v>1.4176099999999999E-4</v>
      </c>
      <c r="T67">
        <f t="shared" si="4"/>
        <v>71.611103498228374</v>
      </c>
      <c r="U67">
        <f t="shared" si="4"/>
        <v>79.202726485459678</v>
      </c>
      <c r="W67">
        <f t="shared" si="5"/>
        <v>0</v>
      </c>
      <c r="X67">
        <f t="shared" si="5"/>
        <v>0</v>
      </c>
    </row>
    <row r="68" spans="1:24" x14ac:dyDescent="0.35">
      <c r="A68">
        <v>423.74099999999999</v>
      </c>
      <c r="B68">
        <v>7.3481700000000002E-4</v>
      </c>
      <c r="C68">
        <v>1.41342E-4</v>
      </c>
      <c r="D68">
        <f t="shared" ref="D68:D109" si="10">B68/$B$3*100</f>
        <v>71.923829845545484</v>
      </c>
      <c r="E68">
        <f t="shared" ref="E68:E109" si="11">C68/$C$3*100</f>
        <v>78.968628656032635</v>
      </c>
      <c r="Q68">
        <f t="shared" si="8"/>
        <v>7.3481700000000002E-4</v>
      </c>
      <c r="R68">
        <f t="shared" si="9"/>
        <v>1.41342E-4</v>
      </c>
      <c r="T68">
        <f t="shared" ref="T68:U109" si="12">AVERAGE(D68,I68,N68)</f>
        <v>71.923829845545484</v>
      </c>
      <c r="U68">
        <f t="shared" si="12"/>
        <v>78.968628656032635</v>
      </c>
      <c r="W68">
        <f t="shared" ref="W68:X109" si="13">_xlfn.STDEV.P(D68,I68,N68)</f>
        <v>0</v>
      </c>
      <c r="X68">
        <f t="shared" si="13"/>
        <v>0</v>
      </c>
    </row>
    <row r="69" spans="1:24" x14ac:dyDescent="0.35">
      <c r="A69">
        <v>429.80099999999999</v>
      </c>
      <c r="B69">
        <v>7.3720700000000003E-4</v>
      </c>
      <c r="C69">
        <v>1.4207099999999999E-4</v>
      </c>
      <c r="D69">
        <f t="shared" si="10"/>
        <v>72.157762856527626</v>
      </c>
      <c r="E69">
        <f t="shared" si="11"/>
        <v>79.375925356873481</v>
      </c>
      <c r="Q69">
        <f t="shared" si="8"/>
        <v>7.3720700000000003E-4</v>
      </c>
      <c r="R69">
        <f t="shared" si="9"/>
        <v>1.4207099999999999E-4</v>
      </c>
      <c r="T69">
        <f t="shared" si="12"/>
        <v>72.157762856527626</v>
      </c>
      <c r="U69">
        <f t="shared" si="12"/>
        <v>79.375925356873481</v>
      </c>
      <c r="W69">
        <f t="shared" si="13"/>
        <v>0</v>
      </c>
      <c r="X69">
        <f t="shared" si="13"/>
        <v>0</v>
      </c>
    </row>
    <row r="70" spans="1:24" x14ac:dyDescent="0.35">
      <c r="A70">
        <v>436.18</v>
      </c>
      <c r="B70">
        <v>7.3984300000000001E-4</v>
      </c>
      <c r="C70">
        <v>1.42452E-4</v>
      </c>
      <c r="D70">
        <f t="shared" si="10"/>
        <v>72.415774328054354</v>
      </c>
      <c r="E70">
        <f t="shared" si="11"/>
        <v>79.588792356901422</v>
      </c>
      <c r="Q70">
        <f t="shared" si="8"/>
        <v>7.3984300000000001E-4</v>
      </c>
      <c r="R70">
        <f t="shared" si="9"/>
        <v>1.42452E-4</v>
      </c>
      <c r="T70">
        <f t="shared" si="12"/>
        <v>72.415774328054354</v>
      </c>
      <c r="U70">
        <f t="shared" si="12"/>
        <v>79.588792356901422</v>
      </c>
      <c r="W70">
        <f t="shared" si="13"/>
        <v>0</v>
      </c>
      <c r="X70">
        <f t="shared" si="13"/>
        <v>0</v>
      </c>
    </row>
    <row r="71" spans="1:24" x14ac:dyDescent="0.35">
      <c r="A71">
        <v>449.34699999999998</v>
      </c>
      <c r="B71">
        <v>5.4653699999999998E-6</v>
      </c>
      <c r="C71">
        <v>2.8731300000000001E-5</v>
      </c>
      <c r="D71">
        <f t="shared" si="10"/>
        <v>0.53494998336041344</v>
      </c>
      <c r="E71">
        <f t="shared" si="11"/>
        <v>16.052350755649915</v>
      </c>
      <c r="Q71">
        <f t="shared" si="8"/>
        <v>5.4653699999999998E-6</v>
      </c>
      <c r="R71">
        <f t="shared" si="9"/>
        <v>2.8731300000000001E-5</v>
      </c>
      <c r="T71">
        <f t="shared" si="12"/>
        <v>0.53494998336041344</v>
      </c>
      <c r="U71">
        <f t="shared" si="12"/>
        <v>16.052350755649915</v>
      </c>
      <c r="W71">
        <f t="shared" si="13"/>
        <v>0</v>
      </c>
      <c r="X71">
        <f t="shared" si="13"/>
        <v>0</v>
      </c>
    </row>
    <row r="72" spans="1:24" x14ac:dyDescent="0.35">
      <c r="A72">
        <v>455.601</v>
      </c>
      <c r="B72">
        <v>5.4431999999999998E-6</v>
      </c>
      <c r="C72">
        <v>2.8690399999999999E-5</v>
      </c>
      <c r="D72">
        <f t="shared" si="10"/>
        <v>0.5327799855137717</v>
      </c>
      <c r="E72">
        <f t="shared" si="11"/>
        <v>16.029499678744028</v>
      </c>
      <c r="Q72">
        <f t="shared" si="8"/>
        <v>5.4431999999999998E-6</v>
      </c>
      <c r="R72">
        <f t="shared" si="9"/>
        <v>2.8690399999999999E-5</v>
      </c>
      <c r="T72">
        <f t="shared" si="12"/>
        <v>0.5327799855137717</v>
      </c>
      <c r="U72">
        <f t="shared" si="12"/>
        <v>16.029499678744028</v>
      </c>
      <c r="W72">
        <f t="shared" si="13"/>
        <v>0</v>
      </c>
      <c r="X72">
        <f t="shared" si="13"/>
        <v>0</v>
      </c>
    </row>
    <row r="73" spans="1:24" x14ac:dyDescent="0.35">
      <c r="A73">
        <v>461.72699999999998</v>
      </c>
      <c r="B73">
        <v>5.3787699999999997E-6</v>
      </c>
      <c r="C73">
        <v>2.8564600000000001E-5</v>
      </c>
      <c r="D73">
        <f t="shared" si="10"/>
        <v>0.52647358220934559</v>
      </c>
      <c r="E73">
        <f t="shared" si="11"/>
        <v>15.959214459312236</v>
      </c>
      <c r="Q73">
        <f t="shared" si="8"/>
        <v>5.3787699999999997E-6</v>
      </c>
      <c r="R73">
        <f t="shared" si="9"/>
        <v>2.8564600000000001E-5</v>
      </c>
      <c r="T73">
        <f t="shared" si="12"/>
        <v>0.52647358220934559</v>
      </c>
      <c r="U73">
        <f t="shared" si="12"/>
        <v>15.959214459312236</v>
      </c>
      <c r="W73">
        <f t="shared" si="13"/>
        <v>0</v>
      </c>
      <c r="X73">
        <f t="shared" si="13"/>
        <v>0</v>
      </c>
    </row>
    <row r="74" spans="1:24" x14ac:dyDescent="0.35">
      <c r="A74">
        <v>467.90100000000001</v>
      </c>
      <c r="B74">
        <v>5.3293300000000004E-6</v>
      </c>
      <c r="C74">
        <v>2.8512699999999999E-5</v>
      </c>
      <c r="D74">
        <f t="shared" si="10"/>
        <v>0.52163439891940577</v>
      </c>
      <c r="E74">
        <f t="shared" si="11"/>
        <v>15.930217616001341</v>
      </c>
      <c r="Q74">
        <f t="shared" si="8"/>
        <v>5.3293300000000004E-6</v>
      </c>
      <c r="R74">
        <f t="shared" si="9"/>
        <v>2.8512699999999999E-5</v>
      </c>
      <c r="T74">
        <f t="shared" si="12"/>
        <v>0.52163439891940577</v>
      </c>
      <c r="U74">
        <f t="shared" si="12"/>
        <v>15.930217616001341</v>
      </c>
      <c r="W74">
        <f t="shared" si="13"/>
        <v>0</v>
      </c>
      <c r="X74">
        <f t="shared" si="13"/>
        <v>0</v>
      </c>
    </row>
    <row r="75" spans="1:24" x14ac:dyDescent="0.35">
      <c r="A75">
        <v>474.11200000000002</v>
      </c>
      <c r="B75">
        <v>5.2870700000000002E-6</v>
      </c>
      <c r="C75">
        <v>2.8479500000000001E-5</v>
      </c>
      <c r="D75">
        <f t="shared" si="10"/>
        <v>0.51749799346162129</v>
      </c>
      <c r="E75">
        <f t="shared" si="11"/>
        <v>15.911668575578961</v>
      </c>
      <c r="Q75">
        <f t="shared" si="8"/>
        <v>5.2870700000000002E-6</v>
      </c>
      <c r="R75">
        <f t="shared" si="9"/>
        <v>2.8479500000000001E-5</v>
      </c>
      <c r="T75">
        <f t="shared" si="12"/>
        <v>0.51749799346162129</v>
      </c>
      <c r="U75">
        <f t="shared" si="12"/>
        <v>15.911668575578961</v>
      </c>
      <c r="W75">
        <f t="shared" si="13"/>
        <v>0</v>
      </c>
      <c r="X75">
        <f t="shared" si="13"/>
        <v>0</v>
      </c>
    </row>
    <row r="76" spans="1:24" x14ac:dyDescent="0.35">
      <c r="A76">
        <v>480.45699999999999</v>
      </c>
      <c r="B76">
        <v>5.2484600000000004E-6</v>
      </c>
      <c r="C76">
        <v>2.84253E-5</v>
      </c>
      <c r="D76">
        <f t="shared" si="10"/>
        <v>0.51371884971516946</v>
      </c>
      <c r="E76">
        <f t="shared" si="11"/>
        <v>15.881386708383385</v>
      </c>
      <c r="Q76">
        <f t="shared" si="8"/>
        <v>5.2484600000000004E-6</v>
      </c>
      <c r="R76">
        <f t="shared" si="9"/>
        <v>2.84253E-5</v>
      </c>
      <c r="T76">
        <f t="shared" si="12"/>
        <v>0.51371884971516946</v>
      </c>
      <c r="U76">
        <f t="shared" si="12"/>
        <v>15.881386708383385</v>
      </c>
      <c r="W76">
        <f t="shared" si="13"/>
        <v>0</v>
      </c>
      <c r="X76">
        <f t="shared" si="13"/>
        <v>0</v>
      </c>
    </row>
    <row r="77" spans="1:24" x14ac:dyDescent="0.35">
      <c r="A77">
        <v>486.59</v>
      </c>
      <c r="B77">
        <v>5.2136100000000002E-6</v>
      </c>
      <c r="C77">
        <v>2.8416400000000001E-5</v>
      </c>
      <c r="D77">
        <f t="shared" si="10"/>
        <v>0.51030773447135058</v>
      </c>
      <c r="E77">
        <f t="shared" si="11"/>
        <v>15.876414224655699</v>
      </c>
      <c r="Q77">
        <f t="shared" si="8"/>
        <v>5.2136100000000002E-6</v>
      </c>
      <c r="R77">
        <f t="shared" si="9"/>
        <v>2.8416400000000001E-5</v>
      </c>
      <c r="T77">
        <f t="shared" si="12"/>
        <v>0.51030773447135058</v>
      </c>
      <c r="U77">
        <f t="shared" si="12"/>
        <v>15.876414224655699</v>
      </c>
      <c r="W77">
        <f t="shared" si="13"/>
        <v>0</v>
      </c>
      <c r="X77">
        <f t="shared" si="13"/>
        <v>0</v>
      </c>
    </row>
    <row r="78" spans="1:24" x14ac:dyDescent="0.35">
      <c r="A78">
        <v>492.80599999999998</v>
      </c>
      <c r="B78">
        <v>5.1799799999999998E-6</v>
      </c>
      <c r="C78">
        <v>2.8379599999999998E-5</v>
      </c>
      <c r="D78">
        <f t="shared" si="10"/>
        <v>0.50701603273104556</v>
      </c>
      <c r="E78">
        <f t="shared" si="11"/>
        <v>15.855853842500768</v>
      </c>
      <c r="Q78">
        <f t="shared" si="8"/>
        <v>5.1799799999999998E-6</v>
      </c>
      <c r="R78">
        <f t="shared" si="9"/>
        <v>2.8379599999999998E-5</v>
      </c>
      <c r="T78">
        <f t="shared" si="12"/>
        <v>0.50701603273104556</v>
      </c>
      <c r="U78">
        <f t="shared" si="12"/>
        <v>15.855853842500768</v>
      </c>
      <c r="W78">
        <f t="shared" si="13"/>
        <v>0</v>
      </c>
      <c r="X78">
        <f t="shared" si="13"/>
        <v>0</v>
      </c>
    </row>
    <row r="79" spans="1:24" x14ac:dyDescent="0.35">
      <c r="A79">
        <v>499.017</v>
      </c>
      <c r="B79">
        <v>5.1522499999999997E-6</v>
      </c>
      <c r="C79">
        <v>2.8355199999999999E-5</v>
      </c>
      <c r="D79">
        <f t="shared" si="10"/>
        <v>0.50430182252412747</v>
      </c>
      <c r="E79">
        <f t="shared" si="11"/>
        <v>15.84222141520239</v>
      </c>
      <c r="Q79">
        <f t="shared" si="8"/>
        <v>5.1522499999999997E-6</v>
      </c>
      <c r="R79">
        <f t="shared" si="9"/>
        <v>2.8355199999999999E-5</v>
      </c>
      <c r="T79">
        <f t="shared" si="12"/>
        <v>0.50430182252412747</v>
      </c>
      <c r="U79">
        <f t="shared" si="12"/>
        <v>15.84222141520239</v>
      </c>
      <c r="W79">
        <f t="shared" si="13"/>
        <v>0</v>
      </c>
      <c r="X79">
        <f t="shared" si="13"/>
        <v>0</v>
      </c>
    </row>
    <row r="80" spans="1:24" x14ac:dyDescent="0.35">
      <c r="A80">
        <v>505.20699999999999</v>
      </c>
      <c r="B80">
        <v>5.1373300000000003E-6</v>
      </c>
      <c r="C80">
        <v>2.8365999999999999E-5</v>
      </c>
      <c r="D80">
        <f t="shared" si="10"/>
        <v>0.50284145410410519</v>
      </c>
      <c r="E80">
        <f t="shared" si="11"/>
        <v>15.848255440400033</v>
      </c>
      <c r="Q80">
        <f t="shared" si="8"/>
        <v>5.1373300000000003E-6</v>
      </c>
      <c r="R80">
        <f t="shared" si="9"/>
        <v>2.8365999999999999E-5</v>
      </c>
      <c r="T80">
        <f t="shared" si="12"/>
        <v>0.50284145410410519</v>
      </c>
      <c r="U80">
        <f t="shared" si="12"/>
        <v>15.848255440400033</v>
      </c>
      <c r="W80">
        <f t="shared" si="13"/>
        <v>0</v>
      </c>
      <c r="X80">
        <f t="shared" si="13"/>
        <v>0</v>
      </c>
    </row>
    <row r="81" spans="1:24" x14ac:dyDescent="0.35">
      <c r="A81">
        <v>518.327</v>
      </c>
      <c r="B81">
        <v>6.2504200000000002E-4</v>
      </c>
      <c r="C81">
        <v>1.46236E-4</v>
      </c>
      <c r="D81">
        <f t="shared" si="10"/>
        <v>61.179061527318289</v>
      </c>
      <c r="E81">
        <f t="shared" si="11"/>
        <v>81.702936000223474</v>
      </c>
      <c r="Q81">
        <f t="shared" si="8"/>
        <v>6.2504200000000002E-4</v>
      </c>
      <c r="R81">
        <f t="shared" si="9"/>
        <v>1.46236E-4</v>
      </c>
      <c r="T81">
        <f t="shared" si="12"/>
        <v>61.179061527318289</v>
      </c>
      <c r="U81">
        <f t="shared" si="12"/>
        <v>81.702936000223474</v>
      </c>
      <c r="W81">
        <f t="shared" si="13"/>
        <v>0</v>
      </c>
      <c r="X81">
        <f t="shared" si="13"/>
        <v>0</v>
      </c>
    </row>
    <row r="82" spans="1:24" x14ac:dyDescent="0.35">
      <c r="A82">
        <v>524.44100000000003</v>
      </c>
      <c r="B82">
        <v>6.4331100000000003E-4</v>
      </c>
      <c r="C82">
        <v>1.4683799999999999E-4</v>
      </c>
      <c r="D82">
        <f t="shared" si="10"/>
        <v>62.967229802478322</v>
      </c>
      <c r="E82">
        <f t="shared" si="11"/>
        <v>82.039277034388363</v>
      </c>
      <c r="Q82">
        <f t="shared" si="8"/>
        <v>6.4331100000000003E-4</v>
      </c>
      <c r="R82">
        <f t="shared" si="9"/>
        <v>1.4683799999999999E-4</v>
      </c>
      <c r="T82">
        <f t="shared" si="12"/>
        <v>62.967229802478322</v>
      </c>
      <c r="U82">
        <f t="shared" si="12"/>
        <v>82.039277034388363</v>
      </c>
      <c r="W82">
        <f t="shared" si="13"/>
        <v>0</v>
      </c>
      <c r="X82">
        <f t="shared" si="13"/>
        <v>0</v>
      </c>
    </row>
    <row r="83" spans="1:24" x14ac:dyDescent="0.35">
      <c r="A83">
        <v>530.67700000000002</v>
      </c>
      <c r="B83">
        <v>6.5525999999999996E-4</v>
      </c>
      <c r="C83">
        <v>1.4630200000000001E-4</v>
      </c>
      <c r="D83">
        <f t="shared" si="10"/>
        <v>64.136796977468038</v>
      </c>
      <c r="E83">
        <f t="shared" si="11"/>
        <v>81.739810598653534</v>
      </c>
      <c r="Q83">
        <f t="shared" si="8"/>
        <v>6.5525999999999996E-4</v>
      </c>
      <c r="R83">
        <f t="shared" si="9"/>
        <v>1.4630200000000001E-4</v>
      </c>
      <c r="T83">
        <f t="shared" si="12"/>
        <v>64.136796977468038</v>
      </c>
      <c r="U83">
        <f t="shared" si="12"/>
        <v>81.739810598653534</v>
      </c>
      <c r="W83">
        <f t="shared" si="13"/>
        <v>0</v>
      </c>
      <c r="X83">
        <f t="shared" si="13"/>
        <v>0</v>
      </c>
    </row>
    <row r="84" spans="1:24" x14ac:dyDescent="0.35">
      <c r="A84">
        <v>536.91800000000001</v>
      </c>
      <c r="B84">
        <v>6.6602199999999995E-4</v>
      </c>
      <c r="C84">
        <v>1.45613E-4</v>
      </c>
      <c r="D84">
        <f t="shared" si="10"/>
        <v>65.190180686334003</v>
      </c>
      <c r="E84">
        <f t="shared" si="11"/>
        <v>81.354862139285416</v>
      </c>
      <c r="Q84">
        <f t="shared" si="8"/>
        <v>6.6602199999999995E-4</v>
      </c>
      <c r="R84">
        <f t="shared" si="9"/>
        <v>1.45613E-4</v>
      </c>
      <c r="T84">
        <f t="shared" si="12"/>
        <v>65.190180686334003</v>
      </c>
      <c r="U84">
        <f t="shared" si="12"/>
        <v>81.354862139285416</v>
      </c>
      <c r="W84">
        <f t="shared" si="13"/>
        <v>0</v>
      </c>
      <c r="X84">
        <f t="shared" si="13"/>
        <v>0</v>
      </c>
    </row>
    <row r="85" spans="1:24" x14ac:dyDescent="0.35">
      <c r="A85">
        <v>543.17700000000002</v>
      </c>
      <c r="B85">
        <v>6.7444E-4</v>
      </c>
      <c r="C85">
        <v>1.45026E-4</v>
      </c>
      <c r="D85">
        <f t="shared" si="10"/>
        <v>66.014133860579832</v>
      </c>
      <c r="E85">
        <f t="shared" si="11"/>
        <v>81.026901695672819</v>
      </c>
      <c r="Q85">
        <f t="shared" si="8"/>
        <v>6.7444E-4</v>
      </c>
      <c r="R85">
        <f t="shared" si="9"/>
        <v>1.45026E-4</v>
      </c>
      <c r="T85">
        <f t="shared" si="12"/>
        <v>66.014133860579832</v>
      </c>
      <c r="U85">
        <f t="shared" si="12"/>
        <v>81.026901695672819</v>
      </c>
      <c r="W85">
        <f t="shared" si="13"/>
        <v>0</v>
      </c>
      <c r="X85">
        <f t="shared" si="13"/>
        <v>0</v>
      </c>
    </row>
    <row r="86" spans="1:24" x14ac:dyDescent="0.35">
      <c r="A86">
        <v>549.27800000000002</v>
      </c>
      <c r="B86">
        <v>6.8104099999999996E-4</v>
      </c>
      <c r="C86">
        <v>1.45191E-4</v>
      </c>
      <c r="D86">
        <f t="shared" si="10"/>
        <v>66.660239218526712</v>
      </c>
      <c r="E86">
        <f t="shared" si="11"/>
        <v>81.119088191747906</v>
      </c>
      <c r="Q86">
        <f t="shared" si="8"/>
        <v>6.8104099999999996E-4</v>
      </c>
      <c r="R86">
        <f t="shared" si="9"/>
        <v>1.45191E-4</v>
      </c>
      <c r="T86">
        <f t="shared" si="12"/>
        <v>66.660239218526712</v>
      </c>
      <c r="U86">
        <f t="shared" si="12"/>
        <v>81.119088191747906</v>
      </c>
      <c r="W86">
        <f t="shared" si="13"/>
        <v>0</v>
      </c>
      <c r="X86">
        <f t="shared" si="13"/>
        <v>0</v>
      </c>
    </row>
    <row r="87" spans="1:24" x14ac:dyDescent="0.35">
      <c r="A87">
        <v>555.61199999999997</v>
      </c>
      <c r="B87">
        <v>6.8632299999999997E-4</v>
      </c>
      <c r="C87">
        <v>1.45041E-4</v>
      </c>
      <c r="D87">
        <f t="shared" si="10"/>
        <v>67.177240960789291</v>
      </c>
      <c r="E87">
        <f t="shared" si="11"/>
        <v>81.035282286225112</v>
      </c>
      <c r="Q87">
        <f t="shared" si="8"/>
        <v>6.8632299999999997E-4</v>
      </c>
      <c r="R87">
        <f t="shared" si="9"/>
        <v>1.45041E-4</v>
      </c>
      <c r="T87">
        <f t="shared" si="12"/>
        <v>67.177240960789291</v>
      </c>
      <c r="U87">
        <f t="shared" si="12"/>
        <v>81.035282286225112</v>
      </c>
      <c r="W87">
        <f t="shared" si="13"/>
        <v>0</v>
      </c>
      <c r="X87">
        <f t="shared" si="13"/>
        <v>0</v>
      </c>
    </row>
    <row r="88" spans="1:24" x14ac:dyDescent="0.35">
      <c r="A88">
        <v>561.73</v>
      </c>
      <c r="B88">
        <v>6.9170400000000002E-4</v>
      </c>
      <c r="C88">
        <v>1.45255E-4</v>
      </c>
      <c r="D88">
        <f t="shared" si="10"/>
        <v>67.703932815222288</v>
      </c>
      <c r="E88">
        <f t="shared" si="11"/>
        <v>81.154845378104312</v>
      </c>
      <c r="Q88">
        <f t="shared" si="8"/>
        <v>6.9170400000000002E-4</v>
      </c>
      <c r="R88">
        <f t="shared" si="9"/>
        <v>1.45255E-4</v>
      </c>
      <c r="T88">
        <f t="shared" si="12"/>
        <v>67.703932815222288</v>
      </c>
      <c r="U88">
        <f t="shared" si="12"/>
        <v>81.154845378104312</v>
      </c>
      <c r="W88">
        <f t="shared" si="13"/>
        <v>0</v>
      </c>
      <c r="X88">
        <f t="shared" si="13"/>
        <v>0</v>
      </c>
    </row>
    <row r="89" spans="1:24" x14ac:dyDescent="0.35">
      <c r="A89">
        <v>567.92600000000004</v>
      </c>
      <c r="B89">
        <v>6.9793700000000004E-4</v>
      </c>
      <c r="C89">
        <v>1.4551899999999999E-4</v>
      </c>
      <c r="D89">
        <f t="shared" si="10"/>
        <v>68.31401836227316</v>
      </c>
      <c r="E89">
        <f t="shared" si="11"/>
        <v>81.302343771824454</v>
      </c>
      <c r="Q89">
        <f t="shared" si="8"/>
        <v>6.9793700000000004E-4</v>
      </c>
      <c r="R89">
        <f t="shared" si="9"/>
        <v>1.4551899999999999E-4</v>
      </c>
      <c r="T89">
        <f t="shared" si="12"/>
        <v>68.31401836227316</v>
      </c>
      <c r="U89">
        <f t="shared" si="12"/>
        <v>81.302343771824454</v>
      </c>
      <c r="W89">
        <f t="shared" si="13"/>
        <v>0</v>
      </c>
      <c r="X89">
        <f t="shared" si="13"/>
        <v>0</v>
      </c>
    </row>
    <row r="90" spans="1:24" x14ac:dyDescent="0.35">
      <c r="A90">
        <v>574.19000000000005</v>
      </c>
      <c r="B90">
        <v>7.0135399999999995E-4</v>
      </c>
      <c r="C90">
        <v>1.4608199999999999E-4</v>
      </c>
      <c r="D90">
        <f t="shared" si="10"/>
        <v>68.648474052032952</v>
      </c>
      <c r="E90">
        <f t="shared" si="11"/>
        <v>81.616895270553385</v>
      </c>
      <c r="Q90">
        <f t="shared" si="8"/>
        <v>7.0135399999999995E-4</v>
      </c>
      <c r="R90">
        <f t="shared" si="9"/>
        <v>1.4608199999999999E-4</v>
      </c>
      <c r="T90">
        <f t="shared" si="12"/>
        <v>68.648474052032952</v>
      </c>
      <c r="U90">
        <f t="shared" si="12"/>
        <v>81.616895270553385</v>
      </c>
      <c r="W90">
        <f t="shared" si="13"/>
        <v>0</v>
      </c>
      <c r="X90">
        <f t="shared" si="13"/>
        <v>0</v>
      </c>
    </row>
    <row r="91" spans="1:24" x14ac:dyDescent="0.35">
      <c r="A91">
        <v>580.33500000000004</v>
      </c>
      <c r="B91">
        <v>7.0605600000000004E-4</v>
      </c>
      <c r="C91">
        <v>1.4634000000000001E-4</v>
      </c>
      <c r="D91">
        <f t="shared" si="10"/>
        <v>69.108705440166005</v>
      </c>
      <c r="E91">
        <f t="shared" si="11"/>
        <v>81.761041428052636</v>
      </c>
      <c r="Q91">
        <f t="shared" si="8"/>
        <v>7.0605600000000004E-4</v>
      </c>
      <c r="R91">
        <f t="shared" si="9"/>
        <v>1.4634000000000001E-4</v>
      </c>
      <c r="T91">
        <f t="shared" si="12"/>
        <v>69.108705440166005</v>
      </c>
      <c r="U91">
        <f t="shared" si="12"/>
        <v>81.761041428052636</v>
      </c>
      <c r="W91">
        <f t="shared" si="13"/>
        <v>0</v>
      </c>
      <c r="X91">
        <f t="shared" si="13"/>
        <v>0</v>
      </c>
    </row>
    <row r="92" spans="1:24" x14ac:dyDescent="0.35">
      <c r="A92">
        <v>586.61800000000005</v>
      </c>
      <c r="B92">
        <v>7.1167500000000005E-4</v>
      </c>
      <c r="C92">
        <v>1.4721999999999999E-4</v>
      </c>
      <c r="D92">
        <f t="shared" si="10"/>
        <v>69.658692715776297</v>
      </c>
      <c r="E92">
        <f t="shared" si="11"/>
        <v>82.252702740453117</v>
      </c>
      <c r="Q92">
        <f t="shared" si="8"/>
        <v>7.1167500000000005E-4</v>
      </c>
      <c r="R92">
        <f t="shared" si="9"/>
        <v>1.4721999999999999E-4</v>
      </c>
      <c r="T92">
        <f t="shared" si="12"/>
        <v>69.658692715776297</v>
      </c>
      <c r="U92">
        <f t="shared" si="12"/>
        <v>82.252702740453117</v>
      </c>
      <c r="W92">
        <f t="shared" si="13"/>
        <v>0</v>
      </c>
      <c r="X92">
        <f t="shared" si="13"/>
        <v>0</v>
      </c>
    </row>
    <row r="93" spans="1:24" x14ac:dyDescent="0.35">
      <c r="A93">
        <v>592.80999999999995</v>
      </c>
      <c r="B93">
        <v>7.1462200000000004E-4</v>
      </c>
      <c r="C93">
        <v>1.4613000000000001E-4</v>
      </c>
      <c r="D93">
        <f t="shared" si="10"/>
        <v>69.947144842706976</v>
      </c>
      <c r="E93">
        <f t="shared" si="11"/>
        <v>81.643713160320715</v>
      </c>
      <c r="Q93">
        <f t="shared" si="8"/>
        <v>7.1462200000000004E-4</v>
      </c>
      <c r="R93">
        <f t="shared" si="9"/>
        <v>1.4613000000000001E-4</v>
      </c>
      <c r="T93">
        <f t="shared" si="12"/>
        <v>69.947144842706976</v>
      </c>
      <c r="U93">
        <f t="shared" si="12"/>
        <v>81.643713160320715</v>
      </c>
      <c r="W93">
        <f t="shared" si="13"/>
        <v>0</v>
      </c>
      <c r="X93">
        <f t="shared" si="13"/>
        <v>0</v>
      </c>
    </row>
    <row r="94" spans="1:24" x14ac:dyDescent="0.35">
      <c r="A94">
        <v>598.93799999999999</v>
      </c>
      <c r="B94">
        <v>7.1694E-4</v>
      </c>
      <c r="C94">
        <v>1.47274E-4</v>
      </c>
      <c r="D94">
        <f t="shared" si="10"/>
        <v>70.174030499383349</v>
      </c>
      <c r="E94">
        <f t="shared" si="11"/>
        <v>82.282872866441323</v>
      </c>
      <c r="Q94">
        <f t="shared" si="8"/>
        <v>7.1694E-4</v>
      </c>
      <c r="R94">
        <f t="shared" si="9"/>
        <v>1.47274E-4</v>
      </c>
      <c r="T94">
        <f t="shared" si="12"/>
        <v>70.174030499383349</v>
      </c>
      <c r="U94">
        <f t="shared" si="12"/>
        <v>82.282872866441323</v>
      </c>
      <c r="W94">
        <f t="shared" si="13"/>
        <v>0</v>
      </c>
      <c r="X94">
        <f t="shared" si="13"/>
        <v>0</v>
      </c>
    </row>
    <row r="95" spans="1:24" x14ac:dyDescent="0.35">
      <c r="A95">
        <v>605.25900000000001</v>
      </c>
      <c r="B95">
        <v>7.2179700000000004E-4</v>
      </c>
      <c r="C95">
        <v>1.4804299999999999E-4</v>
      </c>
      <c r="D95">
        <f t="shared" si="10"/>
        <v>70.64943327525792</v>
      </c>
      <c r="E95">
        <f t="shared" si="11"/>
        <v>82.712517808754924</v>
      </c>
      <c r="Q95">
        <f t="shared" si="8"/>
        <v>7.2179700000000004E-4</v>
      </c>
      <c r="R95">
        <f t="shared" si="9"/>
        <v>1.4804299999999999E-4</v>
      </c>
      <c r="T95">
        <f t="shared" si="12"/>
        <v>70.64943327525792</v>
      </c>
      <c r="U95">
        <f t="shared" si="12"/>
        <v>82.712517808754924</v>
      </c>
      <c r="W95">
        <f t="shared" si="13"/>
        <v>0</v>
      </c>
      <c r="X95">
        <f t="shared" si="13"/>
        <v>0</v>
      </c>
    </row>
    <row r="96" spans="1:24" x14ac:dyDescent="0.35">
      <c r="A96">
        <v>611.42399999999998</v>
      </c>
      <c r="B96">
        <v>7.2574800000000002E-4</v>
      </c>
      <c r="C96">
        <v>1.48441E-4</v>
      </c>
      <c r="D96">
        <f t="shared" si="10"/>
        <v>71.036156842785275</v>
      </c>
      <c r="E96">
        <f t="shared" si="11"/>
        <v>82.934882811408784</v>
      </c>
      <c r="Q96">
        <f t="shared" si="8"/>
        <v>7.2574800000000002E-4</v>
      </c>
      <c r="R96">
        <f t="shared" si="9"/>
        <v>1.48441E-4</v>
      </c>
      <c r="T96">
        <f t="shared" si="12"/>
        <v>71.036156842785275</v>
      </c>
      <c r="U96">
        <f t="shared" si="12"/>
        <v>82.934882811408784</v>
      </c>
      <c r="W96">
        <f t="shared" si="13"/>
        <v>0</v>
      </c>
      <c r="X96">
        <f t="shared" si="13"/>
        <v>0</v>
      </c>
    </row>
    <row r="97" spans="1:24" x14ac:dyDescent="0.35">
      <c r="A97">
        <v>617.57000000000005</v>
      </c>
      <c r="B97">
        <v>7.2841699999999998E-4</v>
      </c>
      <c r="C97">
        <v>1.4972799999999999E-4</v>
      </c>
      <c r="D97">
        <f t="shared" si="10"/>
        <v>71.297398351702128</v>
      </c>
      <c r="E97">
        <f t="shared" si="11"/>
        <v>83.653937480794468</v>
      </c>
      <c r="Q97">
        <f t="shared" si="8"/>
        <v>7.2841699999999998E-4</v>
      </c>
      <c r="R97">
        <f t="shared" si="9"/>
        <v>1.4972799999999999E-4</v>
      </c>
      <c r="T97">
        <f t="shared" si="12"/>
        <v>71.297398351702128</v>
      </c>
      <c r="U97">
        <f t="shared" si="12"/>
        <v>83.653937480794468</v>
      </c>
      <c r="W97">
        <f t="shared" si="13"/>
        <v>0</v>
      </c>
      <c r="X97">
        <f t="shared" si="13"/>
        <v>0</v>
      </c>
    </row>
    <row r="98" spans="1:24" x14ac:dyDescent="0.35">
      <c r="A98">
        <v>623.89099999999996</v>
      </c>
      <c r="B98">
        <v>7.3063200000000005E-4</v>
      </c>
      <c r="C98">
        <v>1.5056999999999999E-4</v>
      </c>
      <c r="D98">
        <f t="shared" si="10"/>
        <v>71.51420237652448</v>
      </c>
      <c r="E98">
        <f t="shared" si="11"/>
        <v>84.124367963795848</v>
      </c>
      <c r="Q98">
        <f t="shared" si="8"/>
        <v>7.3063200000000005E-4</v>
      </c>
      <c r="R98">
        <f t="shared" si="9"/>
        <v>1.5056999999999999E-4</v>
      </c>
      <c r="T98">
        <f t="shared" si="12"/>
        <v>71.51420237652448</v>
      </c>
      <c r="U98">
        <f t="shared" si="12"/>
        <v>84.124367963795848</v>
      </c>
      <c r="W98">
        <f t="shared" si="13"/>
        <v>0</v>
      </c>
      <c r="X98">
        <f t="shared" si="13"/>
        <v>0</v>
      </c>
    </row>
    <row r="99" spans="1:24" x14ac:dyDescent="0.35">
      <c r="A99">
        <v>630.03800000000001</v>
      </c>
      <c r="B99">
        <v>7.3371799999999996E-4</v>
      </c>
      <c r="C99">
        <v>1.5002599999999999E-4</v>
      </c>
      <c r="D99">
        <f t="shared" si="10"/>
        <v>71.816259812462064</v>
      </c>
      <c r="E99">
        <f t="shared" si="11"/>
        <v>83.82043187976646</v>
      </c>
      <c r="Q99">
        <f t="shared" ref="Q99:Q109" si="14">AVERAGE(B99,G99,L99)</f>
        <v>7.3371799999999996E-4</v>
      </c>
      <c r="R99">
        <f t="shared" ref="R99:R109" si="15">AVERAGE(C99,H99,M99)</f>
        <v>1.5002599999999999E-4</v>
      </c>
      <c r="T99">
        <f t="shared" si="12"/>
        <v>71.816259812462064</v>
      </c>
      <c r="U99">
        <f t="shared" si="12"/>
        <v>83.82043187976646</v>
      </c>
      <c r="W99">
        <f t="shared" si="13"/>
        <v>0</v>
      </c>
      <c r="X99">
        <f t="shared" si="13"/>
        <v>0</v>
      </c>
    </row>
    <row r="100" spans="1:24" x14ac:dyDescent="0.35">
      <c r="A100">
        <v>636.29200000000003</v>
      </c>
      <c r="B100">
        <v>7.3724200000000004E-4</v>
      </c>
      <c r="C100">
        <v>1.4903299999999999E-4</v>
      </c>
      <c r="D100">
        <f t="shared" si="10"/>
        <v>72.161188653759581</v>
      </c>
      <c r="E100">
        <f t="shared" si="11"/>
        <v>83.265636785205459</v>
      </c>
      <c r="Q100">
        <f t="shared" si="14"/>
        <v>7.3724200000000004E-4</v>
      </c>
      <c r="R100">
        <f t="shared" si="15"/>
        <v>1.4903299999999999E-4</v>
      </c>
      <c r="T100">
        <f t="shared" si="12"/>
        <v>72.161188653759581</v>
      </c>
      <c r="U100">
        <f t="shared" si="12"/>
        <v>83.265636785205459</v>
      </c>
      <c r="W100">
        <f t="shared" si="13"/>
        <v>0</v>
      </c>
      <c r="X100">
        <f t="shared" si="13"/>
        <v>0</v>
      </c>
    </row>
    <row r="101" spans="1:24" x14ac:dyDescent="0.35">
      <c r="A101">
        <v>642.43200000000002</v>
      </c>
      <c r="B101">
        <v>7.4116500000000001E-4</v>
      </c>
      <c r="C101">
        <v>1.4988600000000001E-4</v>
      </c>
      <c r="D101">
        <f t="shared" si="10"/>
        <v>72.545171583501372</v>
      </c>
      <c r="E101">
        <f t="shared" si="11"/>
        <v>83.742213034611851</v>
      </c>
      <c r="Q101">
        <f t="shared" si="14"/>
        <v>7.4116500000000001E-4</v>
      </c>
      <c r="R101">
        <f t="shared" si="15"/>
        <v>1.4988600000000001E-4</v>
      </c>
      <c r="T101">
        <f t="shared" si="12"/>
        <v>72.545171583501372</v>
      </c>
      <c r="U101">
        <f t="shared" si="12"/>
        <v>83.742213034611851</v>
      </c>
      <c r="W101">
        <f t="shared" si="13"/>
        <v>0</v>
      </c>
      <c r="X101">
        <f t="shared" si="13"/>
        <v>0</v>
      </c>
    </row>
    <row r="102" spans="1:24" x14ac:dyDescent="0.35">
      <c r="A102">
        <v>648.59</v>
      </c>
      <c r="B102">
        <v>7.4582299999999995E-4</v>
      </c>
      <c r="C102">
        <v>1.50311E-4</v>
      </c>
      <c r="D102">
        <f t="shared" si="10"/>
        <v>73.001096255114234</v>
      </c>
      <c r="E102">
        <f t="shared" si="11"/>
        <v>83.979663100259799</v>
      </c>
      <c r="Q102">
        <f t="shared" si="14"/>
        <v>7.4582299999999995E-4</v>
      </c>
      <c r="R102">
        <f t="shared" si="15"/>
        <v>1.50311E-4</v>
      </c>
      <c r="T102">
        <f t="shared" si="12"/>
        <v>73.001096255114234</v>
      </c>
      <c r="U102">
        <f t="shared" si="12"/>
        <v>83.979663100259799</v>
      </c>
      <c r="W102">
        <f t="shared" si="13"/>
        <v>0</v>
      </c>
      <c r="X102">
        <f t="shared" si="13"/>
        <v>0</v>
      </c>
    </row>
    <row r="103" spans="1:24" x14ac:dyDescent="0.35">
      <c r="A103">
        <v>654.86</v>
      </c>
      <c r="B103">
        <v>7.5014700000000005E-4</v>
      </c>
      <c r="C103">
        <v>1.5114600000000001E-4</v>
      </c>
      <c r="D103">
        <f t="shared" si="10"/>
        <v>73.424329033142143</v>
      </c>
      <c r="E103">
        <f t="shared" si="11"/>
        <v>84.446182641003446</v>
      </c>
      <c r="Q103">
        <f t="shared" si="14"/>
        <v>7.5014700000000005E-4</v>
      </c>
      <c r="R103">
        <f t="shared" si="15"/>
        <v>1.5114600000000001E-4</v>
      </c>
      <c r="T103">
        <f t="shared" si="12"/>
        <v>73.424329033142143</v>
      </c>
      <c r="U103">
        <f t="shared" si="12"/>
        <v>84.446182641003446</v>
      </c>
      <c r="W103">
        <f t="shared" si="13"/>
        <v>0</v>
      </c>
      <c r="X103">
        <f t="shared" si="13"/>
        <v>0</v>
      </c>
    </row>
    <row r="104" spans="1:24" x14ac:dyDescent="0.35">
      <c r="A104">
        <v>661.11800000000005</v>
      </c>
      <c r="B104">
        <v>7.5254300000000005E-4</v>
      </c>
      <c r="C104">
        <v>1.51442E-4</v>
      </c>
      <c r="D104">
        <f t="shared" si="10"/>
        <v>73.658849323649761</v>
      </c>
      <c r="E104">
        <f t="shared" si="11"/>
        <v>84.611559627901784</v>
      </c>
      <c r="Q104">
        <f t="shared" si="14"/>
        <v>7.5254300000000005E-4</v>
      </c>
      <c r="R104">
        <f t="shared" si="15"/>
        <v>1.51442E-4</v>
      </c>
      <c r="T104">
        <f t="shared" si="12"/>
        <v>73.658849323649761</v>
      </c>
      <c r="U104">
        <f t="shared" si="12"/>
        <v>84.611559627901784</v>
      </c>
      <c r="W104">
        <f t="shared" si="13"/>
        <v>0</v>
      </c>
      <c r="X104">
        <f t="shared" si="13"/>
        <v>0</v>
      </c>
    </row>
    <row r="105" spans="1:24" x14ac:dyDescent="0.35">
      <c r="A105">
        <v>667.221</v>
      </c>
      <c r="B105">
        <v>7.5828199999999999E-4</v>
      </c>
      <c r="C105">
        <v>1.5287699999999999E-4</v>
      </c>
      <c r="D105">
        <f t="shared" si="10"/>
        <v>74.220582189769587</v>
      </c>
      <c r="E105">
        <f t="shared" si="11"/>
        <v>85.413302790736651</v>
      </c>
      <c r="Q105">
        <f t="shared" si="14"/>
        <v>7.5828199999999999E-4</v>
      </c>
      <c r="R105">
        <f t="shared" si="15"/>
        <v>1.5287699999999999E-4</v>
      </c>
      <c r="T105">
        <f t="shared" si="12"/>
        <v>74.220582189769587</v>
      </c>
      <c r="U105">
        <f t="shared" si="12"/>
        <v>85.413302790736651</v>
      </c>
      <c r="W105">
        <f t="shared" si="13"/>
        <v>0</v>
      </c>
      <c r="X105">
        <f t="shared" si="13"/>
        <v>0</v>
      </c>
    </row>
    <row r="106" spans="1:24" x14ac:dyDescent="0.35">
      <c r="A106">
        <v>673.51599999999996</v>
      </c>
      <c r="B106">
        <v>7.6185999999999995E-4</v>
      </c>
      <c r="C106">
        <v>1.5341399999999999E-4</v>
      </c>
      <c r="D106">
        <f t="shared" si="10"/>
        <v>74.570796546796387</v>
      </c>
      <c r="E106">
        <f t="shared" si="11"/>
        <v>85.713327932508307</v>
      </c>
      <c r="Q106">
        <f t="shared" si="14"/>
        <v>7.6185999999999995E-4</v>
      </c>
      <c r="R106">
        <f t="shared" si="15"/>
        <v>1.5341399999999999E-4</v>
      </c>
      <c r="T106">
        <f t="shared" si="12"/>
        <v>74.570796546796387</v>
      </c>
      <c r="U106">
        <f t="shared" si="12"/>
        <v>85.713327932508307</v>
      </c>
      <c r="W106">
        <f t="shared" si="13"/>
        <v>0</v>
      </c>
      <c r="X106">
        <f t="shared" si="13"/>
        <v>0</v>
      </c>
    </row>
    <row r="107" spans="1:24" x14ac:dyDescent="0.35">
      <c r="A107">
        <v>679.74</v>
      </c>
      <c r="B107">
        <v>7.6627800000000001E-4</v>
      </c>
      <c r="C107">
        <v>1.5381300000000001E-4</v>
      </c>
      <c r="D107">
        <f t="shared" si="10"/>
        <v>75.003230037390139</v>
      </c>
      <c r="E107">
        <f t="shared" si="11"/>
        <v>85.936251641198993</v>
      </c>
      <c r="Q107">
        <f t="shared" si="14"/>
        <v>7.6627800000000001E-4</v>
      </c>
      <c r="R107">
        <f t="shared" si="15"/>
        <v>1.5381300000000001E-4</v>
      </c>
      <c r="T107">
        <f t="shared" si="12"/>
        <v>75.003230037390139</v>
      </c>
      <c r="U107">
        <f t="shared" si="12"/>
        <v>85.936251641198993</v>
      </c>
      <c r="W107">
        <f t="shared" si="13"/>
        <v>0</v>
      </c>
      <c r="X107">
        <f t="shared" si="13"/>
        <v>0</v>
      </c>
    </row>
    <row r="108" spans="1:24" x14ac:dyDescent="0.35">
      <c r="A108">
        <v>685.89499999999998</v>
      </c>
      <c r="B108">
        <v>7.7146500000000004E-4</v>
      </c>
      <c r="C108">
        <v>1.5394900000000001E-4</v>
      </c>
      <c r="D108">
        <f t="shared" si="10"/>
        <v>75.510933187165989</v>
      </c>
      <c r="E108">
        <f t="shared" si="11"/>
        <v>86.012235662206336</v>
      </c>
      <c r="Q108">
        <f t="shared" si="14"/>
        <v>7.7146500000000004E-4</v>
      </c>
      <c r="R108">
        <f t="shared" si="15"/>
        <v>1.5394900000000001E-4</v>
      </c>
      <c r="T108">
        <f t="shared" si="12"/>
        <v>75.510933187165989</v>
      </c>
      <c r="U108">
        <f t="shared" si="12"/>
        <v>86.012235662206336</v>
      </c>
      <c r="W108">
        <f t="shared" si="13"/>
        <v>0</v>
      </c>
      <c r="X108">
        <f t="shared" si="13"/>
        <v>0</v>
      </c>
    </row>
    <row r="109" spans="1:24" x14ac:dyDescent="0.35">
      <c r="A109">
        <v>692.197</v>
      </c>
      <c r="B109">
        <v>7.7657799999999999E-4</v>
      </c>
      <c r="C109">
        <v>1.5441599999999999E-4</v>
      </c>
      <c r="D109">
        <f t="shared" si="10"/>
        <v>76.011393222794283</v>
      </c>
      <c r="E109">
        <f t="shared" si="11"/>
        <v>86.273151381400666</v>
      </c>
      <c r="Q109">
        <f t="shared" si="14"/>
        <v>7.7657799999999999E-4</v>
      </c>
      <c r="R109">
        <f t="shared" si="15"/>
        <v>1.5441599999999999E-4</v>
      </c>
      <c r="T109">
        <f t="shared" si="12"/>
        <v>76.011393222794283</v>
      </c>
      <c r="U109">
        <f t="shared" si="12"/>
        <v>86.273151381400666</v>
      </c>
      <c r="W109">
        <f t="shared" si="13"/>
        <v>0</v>
      </c>
      <c r="X109">
        <f t="shared" si="13"/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33F7-B8D7-438E-B383-B86D9049EC88}">
  <dimension ref="A1:M108"/>
  <sheetViews>
    <sheetView topLeftCell="D6" zoomScale="115" zoomScaleNormal="115" workbookViewId="0">
      <selection activeCell="AA24" sqref="AA24"/>
    </sheetView>
  </sheetViews>
  <sheetFormatPr defaultColWidth="8.81640625" defaultRowHeight="14.5" x14ac:dyDescent="0.35"/>
  <cols>
    <col min="1" max="1" width="9.453125" bestFit="1" customWidth="1"/>
    <col min="2" max="3" width="12" bestFit="1" customWidth="1"/>
    <col min="5" max="6" width="12" bestFit="1" customWidth="1"/>
    <col min="7" max="7" width="11.81640625" bestFit="1" customWidth="1"/>
    <col min="8" max="9" width="12" bestFit="1" customWidth="1"/>
    <col min="11" max="12" width="12" bestFit="1" customWidth="1"/>
  </cols>
  <sheetData>
    <row r="1" spans="1:13" x14ac:dyDescent="0.35">
      <c r="A1" s="2" t="s">
        <v>5</v>
      </c>
      <c r="B1" t="s">
        <v>34</v>
      </c>
      <c r="C1" t="s">
        <v>35</v>
      </c>
      <c r="E1" t="s">
        <v>38</v>
      </c>
      <c r="F1" t="s">
        <v>39</v>
      </c>
      <c r="H1" t="s">
        <v>42</v>
      </c>
      <c r="I1" t="s">
        <v>43</v>
      </c>
      <c r="K1" t="s">
        <v>46</v>
      </c>
      <c r="L1" t="s">
        <v>47</v>
      </c>
    </row>
    <row r="2" spans="1:13" x14ac:dyDescent="0.35">
      <c r="A2" s="4">
        <v>6.2696399999999999</v>
      </c>
      <c r="B2" s="1">
        <f>'1233 P- 24 hpi'!T3</f>
        <v>100</v>
      </c>
      <c r="C2" s="1">
        <f>'1233 P- 24 hpi'!U3</f>
        <v>100</v>
      </c>
      <c r="D2" s="1"/>
      <c r="E2" s="1">
        <f>'1234 P- 24 hpi'!T3</f>
        <v>100</v>
      </c>
      <c r="F2" s="1">
        <f>'1234 P- 24 hpi'!U3</f>
        <v>100</v>
      </c>
      <c r="G2" s="1"/>
      <c r="H2" s="1">
        <f>'1250 P- 24 hpi'!AD3</f>
        <v>100</v>
      </c>
      <c r="I2" s="1">
        <f>'1250 P- 24 hpi'!AE3</f>
        <v>100</v>
      </c>
      <c r="J2" s="1"/>
      <c r="K2" s="1">
        <f>'1480 P- 24 hpi'!T3</f>
        <v>100</v>
      </c>
      <c r="L2" s="1">
        <f>'1480 P- 24 hpi'!U3</f>
        <v>100</v>
      </c>
      <c r="M2" s="1"/>
    </row>
    <row r="3" spans="1:13" s="1" customFormat="1" x14ac:dyDescent="0.35">
      <c r="A3" s="3">
        <v>12.3698</v>
      </c>
      <c r="B3">
        <f>'1233 P- 24 hpi'!T4</f>
        <v>100.04371105953179</v>
      </c>
      <c r="C3">
        <f>'1233 P- 24 hpi'!U4</f>
        <v>99.773574366846802</v>
      </c>
      <c r="D3"/>
      <c r="E3">
        <f>'1234 P- 24 hpi'!T4</f>
        <v>100.09348516919631</v>
      </c>
      <c r="F3">
        <f>'1234 P- 24 hpi'!U4</f>
        <v>100.28545086055526</v>
      </c>
      <c r="G3"/>
      <c r="H3">
        <f>'1250 P- 24 hpi'!AD4</f>
        <v>101.54820645646275</v>
      </c>
      <c r="I3">
        <f>'1250 P- 24 hpi'!AE4</f>
        <v>101.32224007633731</v>
      </c>
      <c r="J3"/>
      <c r="K3">
        <f>'1480 P- 24 hpi'!T4</f>
        <v>102.19707247838106</v>
      </c>
      <c r="L3">
        <f>'1480 P- 24 hpi'!U4</f>
        <v>100.42602081651755</v>
      </c>
      <c r="M3"/>
    </row>
    <row r="4" spans="1:13" x14ac:dyDescent="0.35">
      <c r="A4" s="3">
        <v>18.654</v>
      </c>
      <c r="B4">
        <f>'1233 P- 24 hpi'!T5</f>
        <v>100.16667033454756</v>
      </c>
      <c r="C4">
        <f>'1233 P- 24 hpi'!U5</f>
        <v>99.293951822298553</v>
      </c>
      <c r="E4">
        <f>'1234 P- 24 hpi'!T5</f>
        <v>100.3094709312727</v>
      </c>
      <c r="F4">
        <f>'1234 P- 24 hpi'!U5</f>
        <v>98.860813769160686</v>
      </c>
      <c r="H4">
        <f>'1250 P- 24 hpi'!AD5</f>
        <v>103.12103031996492</v>
      </c>
      <c r="I4">
        <f>'1250 P- 24 hpi'!AE5</f>
        <v>102.0845010308081</v>
      </c>
      <c r="K4">
        <f>'1480 P- 24 hpi'!T5</f>
        <v>104.38469872199977</v>
      </c>
      <c r="L4">
        <f>'1480 P- 24 hpi'!U5</f>
        <v>101.59378991511976</v>
      </c>
    </row>
    <row r="5" spans="1:13" x14ac:dyDescent="0.35">
      <c r="A5" s="3">
        <v>24.779599999999999</v>
      </c>
      <c r="B5">
        <f>'1233 P- 24 hpi'!T6</f>
        <v>100.3251550320614</v>
      </c>
      <c r="C5">
        <f>'1233 P- 24 hpi'!U6</f>
        <v>98.83570148727371</v>
      </c>
      <c r="E5">
        <f>'1234 P- 24 hpi'!T6</f>
        <v>100.41046662419501</v>
      </c>
      <c r="F5">
        <f>'1234 P- 24 hpi'!U6</f>
        <v>98.525898250848954</v>
      </c>
      <c r="H5">
        <f>'1250 P- 24 hpi'!AD6</f>
        <v>104.80117950066551</v>
      </c>
      <c r="I5">
        <f>'1250 P- 24 hpi'!AE6</f>
        <v>103.03073205231586</v>
      </c>
      <c r="K5">
        <f>'1480 P- 24 hpi'!T6</f>
        <v>106.63475671623189</v>
      </c>
      <c r="L5">
        <f>'1480 P- 24 hpi'!U6</f>
        <v>102.12760018949179</v>
      </c>
    </row>
    <row r="6" spans="1:13" x14ac:dyDescent="0.35">
      <c r="A6" s="3">
        <v>31.0945</v>
      </c>
      <c r="B6">
        <f>'1233 P- 24 hpi'!T7</f>
        <v>100.2717153860321</v>
      </c>
      <c r="C6">
        <f>'1233 P- 24 hpi'!U7</f>
        <v>98.304354131016069</v>
      </c>
      <c r="E6">
        <f>'1234 P- 24 hpi'!T7</f>
        <v>100.47713069836972</v>
      </c>
      <c r="F6">
        <f>'1234 P- 24 hpi'!U7</f>
        <v>97.954498086742646</v>
      </c>
      <c r="H6">
        <f>'1250 P- 24 hpi'!AD7</f>
        <v>106.60726928563149</v>
      </c>
      <c r="I6">
        <f>'1250 P- 24 hpi'!AE7</f>
        <v>104.48793385032381</v>
      </c>
      <c r="K6">
        <f>'1480 P- 24 hpi'!T7</f>
        <v>108.83134093668563</v>
      </c>
      <c r="L6">
        <f>'1480 P- 24 hpi'!U7</f>
        <v>104.50223805553082</v>
      </c>
    </row>
    <row r="7" spans="1:13" x14ac:dyDescent="0.35">
      <c r="A7" s="3">
        <v>37.161900000000003</v>
      </c>
      <c r="B7">
        <f>'1233 P- 24 hpi'!T8</f>
        <v>100.25350317577288</v>
      </c>
      <c r="C7">
        <f>'1233 P- 24 hpi'!U8</f>
        <v>98.109200831034869</v>
      </c>
      <c r="E7">
        <f>'1234 P- 24 hpi'!T8</f>
        <v>100.51178772700247</v>
      </c>
      <c r="F7">
        <f>'1234 P- 24 hpi'!U8</f>
        <v>97.459143026215926</v>
      </c>
      <c r="H7">
        <f>'1250 P- 24 hpi'!AD8</f>
        <v>108.16838439700942</v>
      </c>
      <c r="I7">
        <f>'1250 P- 24 hpi'!AE8</f>
        <v>105.4622515788222</v>
      </c>
      <c r="K7">
        <f>'1480 P- 24 hpi'!T8</f>
        <v>110.80318499293826</v>
      </c>
      <c r="L7">
        <f>'1480 P- 24 hpi'!U8</f>
        <v>105.61964833442322</v>
      </c>
    </row>
    <row r="8" spans="1:13" x14ac:dyDescent="0.35">
      <c r="A8" s="3">
        <v>43.441699999999997</v>
      </c>
      <c r="B8">
        <f>'1233 P- 24 hpi'!T9</f>
        <v>100.33039619156705</v>
      </c>
      <c r="C8">
        <f>'1233 P- 24 hpi'!U9</f>
        <v>97.651063226229041</v>
      </c>
      <c r="E8">
        <f>'1234 P- 24 hpi'!T9</f>
        <v>100.57714827048945</v>
      </c>
      <c r="F8">
        <f>'1234 P- 24 hpi'!U9</f>
        <v>96.888629189160682</v>
      </c>
      <c r="H8">
        <f>'1250 P- 24 hpi'!AD9</f>
        <v>109.76901203444326</v>
      </c>
      <c r="I8">
        <f>'1250 P- 24 hpi'!AE9</f>
        <v>106.27002103358275</v>
      </c>
      <c r="K8">
        <f>'1480 P- 24 hpi'!T9</f>
        <v>113.15672220760023</v>
      </c>
      <c r="L8">
        <f>'1480 P- 24 hpi'!U9</f>
        <v>106.56750874852783</v>
      </c>
    </row>
    <row r="9" spans="1:13" x14ac:dyDescent="0.35">
      <c r="A9" s="3">
        <v>49.671799999999998</v>
      </c>
      <c r="B9">
        <f>'1233 P- 24 hpi'!T10</f>
        <v>100.3389549420272</v>
      </c>
      <c r="C9">
        <f>'1233 P- 24 hpi'!U10</f>
        <v>97.349441528550201</v>
      </c>
      <c r="E9">
        <f>'1234 P- 24 hpi'!T10</f>
        <v>100.64167124712533</v>
      </c>
      <c r="F9">
        <f>'1234 P- 24 hpi'!U10</f>
        <v>97.401773253590662</v>
      </c>
      <c r="H9">
        <f>'1250 P- 24 hpi'!AD10</f>
        <v>111.57589962834329</v>
      </c>
      <c r="I9">
        <f>'1250 P- 24 hpi'!AE10</f>
        <v>107.91305605512282</v>
      </c>
      <c r="K9">
        <f>'1480 P- 24 hpi'!T10</f>
        <v>115.52423453321337</v>
      </c>
      <c r="L9">
        <f>'1480 P- 24 hpi'!U10</f>
        <v>108.30208105800283</v>
      </c>
    </row>
    <row r="10" spans="1:13" x14ac:dyDescent="0.35">
      <c r="A10" s="3">
        <v>55.927799999999998</v>
      </c>
      <c r="B10">
        <f>'1233 P- 24 hpi'!T11</f>
        <v>100.29126208438765</v>
      </c>
      <c r="C10">
        <f>'1233 P- 24 hpi'!U11</f>
        <v>97.203632174596962</v>
      </c>
      <c r="E10">
        <f>'1234 P- 24 hpi'!T11</f>
        <v>100.60274602638013</v>
      </c>
      <c r="F10">
        <f>'1234 P- 24 hpi'!U11</f>
        <v>96.117696619164619</v>
      </c>
      <c r="H10">
        <f>'1250 P- 24 hpi'!AD11</f>
        <v>113.29927980453299</v>
      </c>
      <c r="I10">
        <f>'1250 P- 24 hpi'!AE11</f>
        <v>109.2144252661512</v>
      </c>
      <c r="K10">
        <f>'1480 P- 24 hpi'!T11</f>
        <v>117.72280334535414</v>
      </c>
      <c r="L10">
        <f>'1480 P- 24 hpi'!U11</f>
        <v>110.05588370493298</v>
      </c>
    </row>
    <row r="11" spans="1:13" x14ac:dyDescent="0.35">
      <c r="A11" s="3">
        <v>62.031100000000002</v>
      </c>
      <c r="B11">
        <f>'1233 P- 24 hpi'!T12</f>
        <v>100.29858223852993</v>
      </c>
      <c r="C11">
        <f>'1233 P- 24 hpi'!U12</f>
        <v>96.893747702409314</v>
      </c>
      <c r="E11">
        <f>'1234 P- 24 hpi'!T12</f>
        <v>100.55779074055374</v>
      </c>
      <c r="F11">
        <f>'1234 P- 24 hpi'!U12</f>
        <v>96.04852705819583</v>
      </c>
      <c r="H11">
        <f>'1250 P- 24 hpi'!AD12</f>
        <v>115.01397154077418</v>
      </c>
      <c r="I11">
        <f>'1250 P- 24 hpi'!AE12</f>
        <v>110.39430155952341</v>
      </c>
      <c r="K11">
        <f>'1480 P- 24 hpi'!T12</f>
        <v>119.82415528386325</v>
      </c>
      <c r="L11">
        <f>'1480 P- 24 hpi'!U12</f>
        <v>110.33622223106703</v>
      </c>
    </row>
    <row r="12" spans="1:13" x14ac:dyDescent="0.35">
      <c r="A12" s="3">
        <v>68.213200000000001</v>
      </c>
      <c r="B12" s="1">
        <f>'1233 P- 24 hpi'!T13</f>
        <v>100.36051075815924</v>
      </c>
      <c r="C12" s="1">
        <f>'1233 P- 24 hpi'!U13</f>
        <v>96.600269021841214</v>
      </c>
      <c r="D12" s="1"/>
      <c r="E12" s="1">
        <f>'1234 P- 24 hpi'!T13</f>
        <v>100.57853607813867</v>
      </c>
      <c r="F12" s="1">
        <f>'1234 P- 24 hpi'!U13</f>
        <v>95.600134612292777</v>
      </c>
      <c r="G12" s="1"/>
      <c r="H12" s="1">
        <f>'1250 P- 24 hpi'!AD13</f>
        <v>116.7055534631379</v>
      </c>
      <c r="I12" s="1">
        <f>'1250 P- 24 hpi'!AE13</f>
        <v>111.89377596042365</v>
      </c>
      <c r="J12" s="1"/>
      <c r="K12" s="1">
        <f>'1480 P- 24 hpi'!T13</f>
        <v>122.3259478148637</v>
      </c>
      <c r="L12" s="1">
        <f>'1480 P- 24 hpi'!U13</f>
        <v>111.94744119066509</v>
      </c>
      <c r="M12" s="1"/>
    </row>
    <row r="13" spans="1:13" s="1" customFormat="1" x14ac:dyDescent="0.35">
      <c r="A13" s="3">
        <v>74.461600000000004</v>
      </c>
      <c r="B13">
        <f>'1233 P- 24 hpi'!T14</f>
        <v>100.31134377636359</v>
      </c>
      <c r="C13">
        <f>'1233 P- 24 hpi'!U14</f>
        <v>96.366862801789338</v>
      </c>
      <c r="D13"/>
      <c r="E13">
        <f>'1234 P- 24 hpi'!T14</f>
        <v>100.55151660855482</v>
      </c>
      <c r="F13">
        <f>'1234 P- 24 hpi'!U14</f>
        <v>95.11661156291477</v>
      </c>
      <c r="G13"/>
      <c r="H13">
        <f>'1250 P- 24 hpi'!AD14</f>
        <v>118.66483732746879</v>
      </c>
      <c r="I13">
        <f>'1250 P- 24 hpi'!AE14</f>
        <v>113.30632405435558</v>
      </c>
      <c r="J13"/>
      <c r="K13">
        <f>'1480 P- 24 hpi'!T14</f>
        <v>124.5566039580229</v>
      </c>
      <c r="L13">
        <f>'1480 P- 24 hpi'!U14</f>
        <v>114.08551921822482</v>
      </c>
      <c r="M13"/>
    </row>
    <row r="14" spans="1:13" x14ac:dyDescent="0.35">
      <c r="A14" s="3">
        <v>80.745000000000005</v>
      </c>
      <c r="B14">
        <f>'1233 P- 24 hpi'!T15</f>
        <v>100.33776742710158</v>
      </c>
      <c r="C14">
        <f>'1233 P- 24 hpi'!U15</f>
        <v>96.171645183775937</v>
      </c>
      <c r="E14">
        <f>'1234 P- 24 hpi'!T15</f>
        <v>100.54788146078529</v>
      </c>
      <c r="F14">
        <f>'1234 P- 24 hpi'!U15</f>
        <v>94.699068430684932</v>
      </c>
      <c r="H14">
        <f>'1250 P- 24 hpi'!AD15</f>
        <v>120.54451433370427</v>
      </c>
      <c r="I14">
        <f>'1250 P- 24 hpi'!AE15</f>
        <v>114.49878874062139</v>
      </c>
      <c r="K14">
        <f>'1480 P- 24 hpi'!T15</f>
        <v>126.58393971538764</v>
      </c>
      <c r="L14">
        <f>'1480 P- 24 hpi'!U15</f>
        <v>113.58819729015535</v>
      </c>
    </row>
    <row r="15" spans="1:13" x14ac:dyDescent="0.35">
      <c r="A15" s="3">
        <v>86.833600000000004</v>
      </c>
      <c r="B15">
        <f>'1233 P- 24 hpi'!T16</f>
        <v>100.28900723087509</v>
      </c>
      <c r="C15">
        <f>'1233 P- 24 hpi'!U16</f>
        <v>96.285885028921939</v>
      </c>
      <c r="E15">
        <f>'1234 P- 24 hpi'!T16</f>
        <v>100.58915331927871</v>
      </c>
      <c r="F15">
        <f>'1234 P- 24 hpi'!U16</f>
        <v>94.885813237447692</v>
      </c>
      <c r="H15">
        <f>'1250 P- 24 hpi'!AD16</f>
        <v>122.47130926697859</v>
      </c>
      <c r="I15">
        <f>'1250 P- 24 hpi'!AE16</f>
        <v>116.49394184092068</v>
      </c>
      <c r="K15">
        <f>'1480 P- 24 hpi'!T16</f>
        <v>129.23890447036888</v>
      </c>
      <c r="L15">
        <f>'1480 P- 24 hpi'!U16</f>
        <v>115.58178314326308</v>
      </c>
    </row>
    <row r="16" spans="1:13" x14ac:dyDescent="0.35">
      <c r="A16" s="3">
        <v>93.167199999999994</v>
      </c>
      <c r="B16">
        <f>'1233 P- 24 hpi'!T17</f>
        <v>100.40404724322069</v>
      </c>
      <c r="C16">
        <f>'1233 P- 24 hpi'!U17</f>
        <v>95.955277453570957</v>
      </c>
      <c r="E16">
        <f>'1234 P- 24 hpi'!T17</f>
        <v>100.57652630068982</v>
      </c>
      <c r="F16">
        <f>'1234 P- 24 hpi'!U17</f>
        <v>94.529836558373475</v>
      </c>
      <c r="H16">
        <f>'1250 P- 24 hpi'!AD17</f>
        <v>124.38815506737937</v>
      </c>
      <c r="I16">
        <f>'1250 P- 24 hpi'!AE17</f>
        <v>118.18929070839218</v>
      </c>
      <c r="K16">
        <f>'1480 P- 24 hpi'!T17</f>
        <v>132.19188830457122</v>
      </c>
      <c r="L16">
        <f>'1480 P- 24 hpi'!U17</f>
        <v>117.05211632517522</v>
      </c>
    </row>
    <row r="17" spans="1:12" x14ac:dyDescent="0.35">
      <c r="A17" s="3">
        <v>99.287099999999995</v>
      </c>
      <c r="B17">
        <f>'1233 P- 24 hpi'!T18</f>
        <v>100.51729966596109</v>
      </c>
      <c r="C17">
        <f>'1233 P- 24 hpi'!U18</f>
        <v>95.70283725451543</v>
      </c>
      <c r="E17">
        <f>'1234 P- 24 hpi'!T18</f>
        <v>100.5651329292221</v>
      </c>
      <c r="F17">
        <f>'1234 P- 24 hpi'!U18</f>
        <v>93.992938888201877</v>
      </c>
      <c r="H17">
        <f>'1250 P- 24 hpi'!AD18</f>
        <v>126.79526450981805</v>
      </c>
      <c r="I17">
        <f>'1250 P- 24 hpi'!AE18</f>
        <v>119.9255566267291</v>
      </c>
      <c r="K17">
        <f>'1480 P- 24 hpi'!T18</f>
        <v>134.81684430145728</v>
      </c>
      <c r="L17">
        <f>'1480 P- 24 hpi'!U18</f>
        <v>117.15710907327525</v>
      </c>
    </row>
    <row r="18" spans="1:12" x14ac:dyDescent="0.35">
      <c r="A18" s="3">
        <v>105.572</v>
      </c>
      <c r="B18">
        <f>'1233 P- 24 hpi'!T19</f>
        <v>100.61329115888094</v>
      </c>
      <c r="C18">
        <f>'1233 P- 24 hpi'!U19</f>
        <v>95.522152256176284</v>
      </c>
      <c r="E18">
        <f>'1234 P- 24 hpi'!T19</f>
        <v>100.57304108009238</v>
      </c>
      <c r="F18">
        <f>'1234 P- 24 hpi'!U19</f>
        <v>94.238231473480099</v>
      </c>
      <c r="H18">
        <f>'1250 P- 24 hpi'!AD19</f>
        <v>128.89193657275567</v>
      </c>
      <c r="I18">
        <f>'1250 P- 24 hpi'!AE19</f>
        <v>122.37498508654672</v>
      </c>
      <c r="K18">
        <f>'1480 P- 24 hpi'!T19</f>
        <v>137.28296079853888</v>
      </c>
      <c r="L18">
        <f>'1480 P- 24 hpi'!U19</f>
        <v>119.23921715465313</v>
      </c>
    </row>
    <row r="19" spans="1:12" x14ac:dyDescent="0.35">
      <c r="A19" s="3">
        <v>111.81699999999999</v>
      </c>
      <c r="B19">
        <f>'1233 P- 24 hpi'!T20</f>
        <v>100.70008714001483</v>
      </c>
      <c r="C19">
        <f>'1233 P- 24 hpi'!U20</f>
        <v>95.840408120006316</v>
      </c>
      <c r="E19">
        <f>'1234 P- 24 hpi'!T20</f>
        <v>100.51318790520072</v>
      </c>
      <c r="F19">
        <f>'1234 P- 24 hpi'!U20</f>
        <v>94.611623743715953</v>
      </c>
      <c r="H19">
        <f>'1250 P- 24 hpi'!AD20</f>
        <v>130.94585560726884</v>
      </c>
      <c r="I19">
        <f>'1250 P- 24 hpi'!AE20</f>
        <v>124.71647007081572</v>
      </c>
      <c r="K19">
        <f>'1480 P- 24 hpi'!T20</f>
        <v>140.35432980405244</v>
      </c>
      <c r="L19">
        <f>'1480 P- 24 hpi'!U20</f>
        <v>121.48484728166427</v>
      </c>
    </row>
    <row r="20" spans="1:12" x14ac:dyDescent="0.35">
      <c r="A20" s="3">
        <v>117.977</v>
      </c>
      <c r="B20">
        <f>'1233 P- 24 hpi'!T21</f>
        <v>100.81706885460282</v>
      </c>
      <c r="C20">
        <f>'1233 P- 24 hpi'!U21</f>
        <v>95.763600650751414</v>
      </c>
      <c r="E20">
        <f>'1234 P- 24 hpi'!T21</f>
        <v>100.57978440443488</v>
      </c>
      <c r="F20">
        <f>'1234 P- 24 hpi'!U21</f>
        <v>94.124160280104817</v>
      </c>
      <c r="H20">
        <f>'1250 P- 24 hpi'!AD21</f>
        <v>133.21245677144</v>
      </c>
      <c r="I20">
        <f>'1250 P- 24 hpi'!AE21</f>
        <v>124.41015949260002</v>
      </c>
      <c r="K20">
        <f>'1480 P- 24 hpi'!T21</f>
        <v>142.98504205983889</v>
      </c>
      <c r="L20">
        <f>'1480 P- 24 hpi'!U21</f>
        <v>121.84624560101783</v>
      </c>
    </row>
    <row r="21" spans="1:12" x14ac:dyDescent="0.35">
      <c r="A21" s="3">
        <v>124.10599999999999</v>
      </c>
      <c r="B21">
        <f>'1233 P- 24 hpi'!T22</f>
        <v>100.95523808101484</v>
      </c>
      <c r="C21">
        <f>'1233 P- 24 hpi'!U22</f>
        <v>95.555114781643724</v>
      </c>
      <c r="E21">
        <f>'1234 P- 24 hpi'!T22</f>
        <v>100.64300967796267</v>
      </c>
      <c r="F21">
        <f>'1234 P- 24 hpi'!U22</f>
        <v>93.967434429800974</v>
      </c>
      <c r="H21">
        <f>'1250 P- 24 hpi'!AD22</f>
        <v>135.20969775988357</v>
      </c>
      <c r="I21">
        <f>'1250 P- 24 hpi'!AE22</f>
        <v>126.83659178134454</v>
      </c>
      <c r="K21">
        <f>'1480 P- 24 hpi'!T22</f>
        <v>145.66493351520401</v>
      </c>
      <c r="L21">
        <f>'1480 P- 24 hpi'!U22</f>
        <v>124.19135612581664</v>
      </c>
    </row>
    <row r="22" spans="1:12" x14ac:dyDescent="0.35">
      <c r="A22" s="3">
        <v>130.37799999999999</v>
      </c>
      <c r="B22">
        <f>'1233 P- 24 hpi'!T23</f>
        <v>101.17196720872683</v>
      </c>
      <c r="C22">
        <f>'1233 P- 24 hpi'!U23</f>
        <v>95.784048544059658</v>
      </c>
      <c r="E22">
        <f>'1234 P- 24 hpi'!T23</f>
        <v>100.68106355518245</v>
      </c>
      <c r="F22">
        <f>'1234 P- 24 hpi'!U23</f>
        <v>94.210160035280879</v>
      </c>
      <c r="H22">
        <f>'1250 P- 24 hpi'!AD23</f>
        <v>137.3210567298118</v>
      </c>
      <c r="I22">
        <f>'1250 P- 24 hpi'!AE23</f>
        <v>128.42198668931528</v>
      </c>
      <c r="K22">
        <f>'1480 P- 24 hpi'!T23</f>
        <v>147.948298461669</v>
      </c>
      <c r="L22">
        <f>'1480 P- 24 hpi'!U23</f>
        <v>125.82487637863302</v>
      </c>
    </row>
    <row r="23" spans="1:12" x14ac:dyDescent="0.35">
      <c r="A23" s="3">
        <v>136.60400000000001</v>
      </c>
      <c r="B23">
        <f>'1233 P- 24 hpi'!T24</f>
        <v>101.39348447087815</v>
      </c>
      <c r="C23">
        <f>'1233 P- 24 hpi'!U24</f>
        <v>95.679336128933372</v>
      </c>
      <c r="E23">
        <f>'1234 P- 24 hpi'!T24</f>
        <v>100.76008910579969</v>
      </c>
      <c r="F23">
        <f>'1234 P- 24 hpi'!U24</f>
        <v>94.008694009877487</v>
      </c>
      <c r="H23">
        <f>'1250 P- 24 hpi'!AD24</f>
        <v>139.62987239618752</v>
      </c>
      <c r="I23">
        <f>'1250 P- 24 hpi'!AE24</f>
        <v>129.18565288422786</v>
      </c>
      <c r="K23">
        <f>'1480 P- 24 hpi'!T24</f>
        <v>151.05351751800873</v>
      </c>
      <c r="L23">
        <f>'1480 P- 24 hpi'!U24</f>
        <v>126.96793319909666</v>
      </c>
    </row>
    <row r="24" spans="1:12" x14ac:dyDescent="0.35">
      <c r="A24" s="3">
        <v>142.80099999999999</v>
      </c>
      <c r="B24">
        <f>'1233 P- 24 hpi'!T25</f>
        <v>101.59783708318805</v>
      </c>
      <c r="C24">
        <f>'1233 P- 24 hpi'!U25</f>
        <v>95.840256854028823</v>
      </c>
      <c r="E24">
        <f>'1234 P- 24 hpi'!T25</f>
        <v>100.92359631085476</v>
      </c>
      <c r="F24">
        <f>'1234 P- 24 hpi'!U25</f>
        <v>93.781911798240401</v>
      </c>
      <c r="H24">
        <f>'1250 P- 24 hpi'!AD25</f>
        <v>141.81285944750951</v>
      </c>
      <c r="I24">
        <f>'1250 P- 24 hpi'!AE25</f>
        <v>130.95449880444957</v>
      </c>
      <c r="K24">
        <f>'1480 P- 24 hpi'!T25</f>
        <v>154.21206210689493</v>
      </c>
      <c r="L24">
        <f>'1480 P- 24 hpi'!U25</f>
        <v>129.36353469246032</v>
      </c>
    </row>
    <row r="25" spans="1:12" x14ac:dyDescent="0.35">
      <c r="A25" s="3">
        <v>148.94900000000001</v>
      </c>
      <c r="B25">
        <f>'1233 P- 24 hpi'!T26</f>
        <v>101.77508459774326</v>
      </c>
      <c r="C25">
        <f>'1233 P- 24 hpi'!U26</f>
        <v>96.015709263238321</v>
      </c>
      <c r="E25">
        <f>'1234 P- 24 hpi'!T26</f>
        <v>100.96260949624104</v>
      </c>
      <c r="F25">
        <f>'1234 P- 24 hpi'!U26</f>
        <v>93.734809821821386</v>
      </c>
      <c r="H25">
        <f>'1250 P- 24 hpi'!AD26</f>
        <v>144.18453931162429</v>
      </c>
      <c r="I25">
        <f>'1250 P- 24 hpi'!AE26</f>
        <v>132.4373107041165</v>
      </c>
      <c r="K25">
        <f>'1480 P- 24 hpi'!T26</f>
        <v>156.95599063366748</v>
      </c>
      <c r="L25">
        <f>'1480 P- 24 hpi'!U26</f>
        <v>130.62236064328391</v>
      </c>
    </row>
    <row r="26" spans="1:12" x14ac:dyDescent="0.35">
      <c r="A26" s="3">
        <v>155.233</v>
      </c>
      <c r="B26">
        <f>'1233 P- 24 hpi'!T27</f>
        <v>102.05870455562253</v>
      </c>
      <c r="C26">
        <f>'1233 P- 24 hpi'!U27</f>
        <v>95.986550688644513</v>
      </c>
      <c r="E26">
        <f>'1234 P- 24 hpi'!T27</f>
        <v>101.04657908385775</v>
      </c>
      <c r="F26">
        <f>'1234 P- 24 hpi'!U27</f>
        <v>93.470051829958493</v>
      </c>
      <c r="H26">
        <f>'1250 P- 24 hpi'!AD27</f>
        <v>146.46257686948255</v>
      </c>
      <c r="I26">
        <f>'1250 P- 24 hpi'!AE27</f>
        <v>134.47607853442267</v>
      </c>
      <c r="K26">
        <f>'1480 P- 24 hpi'!T27</f>
        <v>159.96680185399973</v>
      </c>
      <c r="L26">
        <f>'1480 P- 24 hpi'!U27</f>
        <v>132.66969973693645</v>
      </c>
    </row>
    <row r="27" spans="1:12" x14ac:dyDescent="0.35">
      <c r="A27" s="3">
        <v>161.44499999999999</v>
      </c>
      <c r="B27">
        <f>'1233 P- 24 hpi'!T28</f>
        <v>102.30158372502031</v>
      </c>
      <c r="C27">
        <f>'1233 P- 24 hpi'!U28</f>
        <v>96.172580939430532</v>
      </c>
      <c r="E27">
        <f>'1234 P- 24 hpi'!T28</f>
        <v>101.18117205113981</v>
      </c>
      <c r="F27">
        <f>'1234 P- 24 hpi'!U28</f>
        <v>93.619656288019613</v>
      </c>
      <c r="H27">
        <f>'1250 P- 24 hpi'!AD28</f>
        <v>148.6930579841258</v>
      </c>
      <c r="I27">
        <f>'1250 P- 24 hpi'!AE28</f>
        <v>135.857746120125</v>
      </c>
      <c r="K27">
        <f>'1480 P- 24 hpi'!T28</f>
        <v>163.01692712106271</v>
      </c>
      <c r="L27">
        <f>'1480 P- 24 hpi'!U28</f>
        <v>132.63537412139007</v>
      </c>
    </row>
    <row r="28" spans="1:12" x14ac:dyDescent="0.35">
      <c r="A28" s="3">
        <v>167.59</v>
      </c>
      <c r="B28">
        <f>'1233 P- 24 hpi'!T29</f>
        <v>102.58236634634761</v>
      </c>
      <c r="C28">
        <f>'1233 P- 24 hpi'!U29</f>
        <v>96.168985839042023</v>
      </c>
      <c r="E28">
        <f>'1234 P- 24 hpi'!T29</f>
        <v>101.34148248640112</v>
      </c>
      <c r="F28">
        <f>'1234 P- 24 hpi'!U29</f>
        <v>94.001311077931277</v>
      </c>
      <c r="H28">
        <f>'1250 P- 24 hpi'!AD29</f>
        <v>150.77619521374839</v>
      </c>
      <c r="I28">
        <f>'1250 P- 24 hpi'!AE29</f>
        <v>137.95594415926354</v>
      </c>
      <c r="K28">
        <f>'1480 P- 24 hpi'!T29</f>
        <v>166.61360085158995</v>
      </c>
      <c r="L28">
        <f>'1480 P- 24 hpi'!U29</f>
        <v>135.76781588127062</v>
      </c>
    </row>
    <row r="29" spans="1:12" x14ac:dyDescent="0.35">
      <c r="A29" s="3">
        <v>173.74799999999999</v>
      </c>
      <c r="B29">
        <f>'1233 P- 24 hpi'!T30</f>
        <v>102.89739145936564</v>
      </c>
      <c r="C29">
        <f>'1233 P- 24 hpi'!U30</f>
        <v>96.510279466099703</v>
      </c>
      <c r="E29">
        <f>'1234 P- 24 hpi'!T30</f>
        <v>101.48343187107746</v>
      </c>
      <c r="F29">
        <f>'1234 P- 24 hpi'!U30</f>
        <v>93.881936696349598</v>
      </c>
      <c r="H29">
        <f>'1250 P- 24 hpi'!AD30</f>
        <v>153.18568170122199</v>
      </c>
      <c r="I29">
        <f>'1250 P- 24 hpi'!AE30</f>
        <v>138.78410738646889</v>
      </c>
      <c r="K29">
        <f>'1480 P- 24 hpi'!T30</f>
        <v>169.45504977084283</v>
      </c>
      <c r="L29">
        <f>'1480 P- 24 hpi'!U30</f>
        <v>137.21446157784655</v>
      </c>
    </row>
    <row r="30" spans="1:12" x14ac:dyDescent="0.35">
      <c r="A30" s="3">
        <v>179.999</v>
      </c>
      <c r="B30">
        <f>'1233 P- 24 hpi'!T31</f>
        <v>103.24115509495239</v>
      </c>
      <c r="C30">
        <f>'1233 P- 24 hpi'!U31</f>
        <v>96.582426746977845</v>
      </c>
      <c r="E30">
        <f>'1234 P- 24 hpi'!T31</f>
        <v>101.63918089825135</v>
      </c>
      <c r="F30">
        <f>'1234 P- 24 hpi'!U31</f>
        <v>94.057453308544879</v>
      </c>
      <c r="H30">
        <f>'1250 P- 24 hpi'!AD31</f>
        <v>155.3020955279402</v>
      </c>
      <c r="I30">
        <f>'1250 P- 24 hpi'!AE31</f>
        <v>140.56167204376919</v>
      </c>
      <c r="K30">
        <f>'1480 P- 24 hpi'!T31</f>
        <v>172.54111024790299</v>
      </c>
      <c r="L30">
        <f>'1480 P- 24 hpi'!U31</f>
        <v>139.54636838493681</v>
      </c>
    </row>
    <row r="31" spans="1:12" x14ac:dyDescent="0.35">
      <c r="A31" s="4">
        <v>193.20699999999999</v>
      </c>
      <c r="B31">
        <f>'1233 P- 24 hpi'!T32</f>
        <v>0.66399296041515787</v>
      </c>
      <c r="C31">
        <f>'1233 P- 24 hpi'!U32</f>
        <v>16.290445155083905</v>
      </c>
      <c r="E31">
        <f>'1234 P- 24 hpi'!T32</f>
        <v>0.59264253584825866</v>
      </c>
      <c r="F31">
        <f>'1234 P- 24 hpi'!U32</f>
        <v>18.094883494829759</v>
      </c>
      <c r="H31">
        <f>'1250 P- 24 hpi'!AD32</f>
        <v>0.13559261976372888</v>
      </c>
      <c r="I31">
        <f>'1250 P- 24 hpi'!AE32</f>
        <v>10.838714603868118</v>
      </c>
      <c r="K31">
        <f>'1480 P- 24 hpi'!T32</f>
        <v>0.70083295275527002</v>
      </c>
      <c r="L31">
        <f>'1480 P- 24 hpi'!U32</f>
        <v>11.893801666611012</v>
      </c>
    </row>
    <row r="32" spans="1:12" x14ac:dyDescent="0.35">
      <c r="A32" s="3">
        <v>199.40899999999999</v>
      </c>
      <c r="B32">
        <f>'1233 P- 24 hpi'!T33</f>
        <v>0.64525953059004371</v>
      </c>
      <c r="C32">
        <f>'1233 P- 24 hpi'!U33</f>
        <v>15.958725896180212</v>
      </c>
      <c r="E32">
        <f>'1234 P- 24 hpi'!T33</f>
        <v>0.57637602508185026</v>
      </c>
      <c r="F32">
        <f>'1234 P- 24 hpi'!U33</f>
        <v>17.844308849605152</v>
      </c>
      <c r="H32">
        <f>'1250 P- 24 hpi'!AD33</f>
        <v>0.13765191159224602</v>
      </c>
      <c r="I32">
        <f>'1250 P- 24 hpi'!AE33</f>
        <v>10.67341116442844</v>
      </c>
      <c r="K32">
        <f>'1480 P- 24 hpi'!T33</f>
        <v>0.67390788880406605</v>
      </c>
      <c r="L32">
        <f>'1480 P- 24 hpi'!U33</f>
        <v>11.57817280962063</v>
      </c>
    </row>
    <row r="33" spans="1:13" x14ac:dyDescent="0.35">
      <c r="A33" s="3">
        <v>205.65700000000001</v>
      </c>
      <c r="B33">
        <f>'1233 P- 24 hpi'!T34</f>
        <v>0.62349088093811766</v>
      </c>
      <c r="C33">
        <f>'1233 P- 24 hpi'!U34</f>
        <v>15.637829541633621</v>
      </c>
      <c r="E33">
        <f>'1234 P- 24 hpi'!T34</f>
        <v>0.559022270845976</v>
      </c>
      <c r="F33">
        <f>'1234 P- 24 hpi'!U34</f>
        <v>17.6099432978571</v>
      </c>
      <c r="H33">
        <f>'1250 P- 24 hpi'!AD34</f>
        <v>0.13638146324079373</v>
      </c>
      <c r="I33">
        <f>'1250 P- 24 hpi'!AE34</f>
        <v>10.436057806520612</v>
      </c>
      <c r="K33">
        <f>'1480 P- 24 hpi'!T34</f>
        <v>0.65209271516592926</v>
      </c>
      <c r="L33">
        <f>'1480 P- 24 hpi'!U34</f>
        <v>11.326084377197743</v>
      </c>
    </row>
    <row r="34" spans="1:13" x14ac:dyDescent="0.35">
      <c r="A34" s="3">
        <v>211.864</v>
      </c>
      <c r="B34">
        <f>'1233 P- 24 hpi'!T35</f>
        <v>0.60607592869074411</v>
      </c>
      <c r="C34">
        <f>'1233 P- 24 hpi'!U35</f>
        <v>15.412610418796232</v>
      </c>
      <c r="E34">
        <f>'1234 P- 24 hpi'!T35</f>
        <v>0.54643026810407136</v>
      </c>
      <c r="F34">
        <f>'1234 P- 24 hpi'!U35</f>
        <v>17.460890076312754</v>
      </c>
      <c r="H34">
        <f>'1250 P- 24 hpi'!AD35</f>
        <v>0.13502576150680062</v>
      </c>
      <c r="I34">
        <f>'1250 P- 24 hpi'!AE35</f>
        <v>10.310155503047163</v>
      </c>
      <c r="K34">
        <f>'1480 P- 24 hpi'!T35</f>
        <v>0.63568642911327256</v>
      </c>
      <c r="L34">
        <f>'1480 P- 24 hpi'!U35</f>
        <v>11.187062182271385</v>
      </c>
    </row>
    <row r="35" spans="1:13" x14ac:dyDescent="0.35">
      <c r="A35" s="3">
        <v>217.958</v>
      </c>
      <c r="B35">
        <f>'1233 P- 24 hpi'!T36</f>
        <v>0.58978031314095836</v>
      </c>
      <c r="C35">
        <f>'1233 P- 24 hpi'!U36</f>
        <v>15.20712082449055</v>
      </c>
      <c r="E35">
        <f>'1234 P- 24 hpi'!T36</f>
        <v>0.53603819315901802</v>
      </c>
      <c r="F35">
        <f>'1234 P- 24 hpi'!U36</f>
        <v>17.337430367142044</v>
      </c>
      <c r="H35">
        <f>'1250 P- 24 hpi'!AD36</f>
        <v>0.13482236035910189</v>
      </c>
      <c r="I35">
        <f>'1250 P- 24 hpi'!AE36</f>
        <v>10.250465329575871</v>
      </c>
      <c r="K35">
        <f>'1480 P- 24 hpi'!T36</f>
        <v>0.62307202541324713</v>
      </c>
      <c r="L35">
        <f>'1480 P- 24 hpi'!U36</f>
        <v>11.053124511159529</v>
      </c>
    </row>
    <row r="36" spans="1:13" x14ac:dyDescent="0.35">
      <c r="A36" s="3">
        <v>224.30799999999999</v>
      </c>
      <c r="B36">
        <f>'1233 P- 24 hpi'!T37</f>
        <v>0.57677318634592123</v>
      </c>
      <c r="C36">
        <f>'1233 P- 24 hpi'!U37</f>
        <v>15.028395753712678</v>
      </c>
      <c r="E36">
        <f>'1234 P- 24 hpi'!T37</f>
        <v>0.52630512901765825</v>
      </c>
      <c r="F36">
        <f>'1234 P- 24 hpi'!U37</f>
        <v>17.22923449486775</v>
      </c>
      <c r="H36">
        <f>'1250 P- 24 hpi'!AD37</f>
        <v>0.13390072953907223</v>
      </c>
      <c r="I36">
        <f>'1250 P- 24 hpi'!AE37</f>
        <v>10.190412416639536</v>
      </c>
      <c r="K36">
        <f>'1480 P- 24 hpi'!T37</f>
        <v>0.6123098700421733</v>
      </c>
      <c r="L36">
        <f>'1480 P- 24 hpi'!U37</f>
        <v>10.994414081694174</v>
      </c>
    </row>
    <row r="37" spans="1:13" x14ac:dyDescent="0.35">
      <c r="A37" s="3">
        <v>230.453</v>
      </c>
      <c r="B37" s="1">
        <f>'1233 P- 24 hpi'!T38</f>
        <v>0.56411219894019793</v>
      </c>
      <c r="C37" s="1">
        <f>'1233 P- 24 hpi'!U38</f>
        <v>14.861114421424006</v>
      </c>
      <c r="D37" s="1"/>
      <c r="E37" s="1">
        <f>'1234 P- 24 hpi'!T38</f>
        <v>0.51821660926249358</v>
      </c>
      <c r="F37" s="1">
        <f>'1234 P- 24 hpi'!U38</f>
        <v>17.151149837732756</v>
      </c>
      <c r="G37" s="1"/>
      <c r="H37" s="1">
        <f>'1250 P- 24 hpi'!AD38</f>
        <v>0.13345930140257486</v>
      </c>
      <c r="I37" s="1">
        <f>'1250 P- 24 hpi'!AE38</f>
        <v>10.14134927024651</v>
      </c>
      <c r="J37" s="1"/>
      <c r="K37" s="1">
        <f>'1480 P- 24 hpi'!T38</f>
        <v>0.60247311111134128</v>
      </c>
      <c r="L37" s="1">
        <f>'1480 P- 24 hpi'!U38</f>
        <v>10.913254151249275</v>
      </c>
      <c r="M37" s="1"/>
    </row>
    <row r="38" spans="1:13" s="1" customFormat="1" x14ac:dyDescent="0.35">
      <c r="A38" s="3">
        <v>236.73099999999999</v>
      </c>
      <c r="B38">
        <f>'1233 P- 24 hpi'!T39</f>
        <v>0.55505363898698767</v>
      </c>
      <c r="C38">
        <f>'1233 P- 24 hpi'!U39</f>
        <v>14.75257351696508</v>
      </c>
      <c r="D38"/>
      <c r="E38">
        <f>'1234 P- 24 hpi'!T39</f>
        <v>0.51114859263249024</v>
      </c>
      <c r="F38">
        <f>'1234 P- 24 hpi'!U39</f>
        <v>17.080411684445782</v>
      </c>
      <c r="G38"/>
      <c r="H38">
        <f>'1250 P- 24 hpi'!AD39</f>
        <v>0.13290559873525387</v>
      </c>
      <c r="I38">
        <f>'1250 P- 24 hpi'!AE39</f>
        <v>10.111436419489809</v>
      </c>
      <c r="J38"/>
      <c r="K38">
        <f>'1480 P- 24 hpi'!T39</f>
        <v>0.59362115656461401</v>
      </c>
      <c r="L38">
        <f>'1480 P- 24 hpi'!U39</f>
        <v>10.833528378947415</v>
      </c>
      <c r="M38"/>
    </row>
    <row r="39" spans="1:13" x14ac:dyDescent="0.35">
      <c r="A39" s="3">
        <v>242.83</v>
      </c>
      <c r="B39">
        <f>'1233 P- 24 hpi'!T40</f>
        <v>0.54551328684868639</v>
      </c>
      <c r="C39">
        <f>'1233 P- 24 hpi'!U40</f>
        <v>14.658933207397352</v>
      </c>
      <c r="E39">
        <f>'1234 P- 24 hpi'!T40</f>
        <v>0.50402582890095848</v>
      </c>
      <c r="F39">
        <f>'1234 P- 24 hpi'!U40</f>
        <v>17.00939562937636</v>
      </c>
      <c r="H39">
        <f>'1250 P- 24 hpi'!AD40</f>
        <v>0.13241419370055843</v>
      </c>
      <c r="I39">
        <f>'1250 P- 24 hpi'!AE40</f>
        <v>10.07931488908917</v>
      </c>
      <c r="K39">
        <f>'1480 P- 24 hpi'!T40</f>
        <v>0.58411855712404648</v>
      </c>
      <c r="L39">
        <f>'1480 P- 24 hpi'!U40</f>
        <v>10.746707357371209</v>
      </c>
    </row>
    <row r="40" spans="1:13" x14ac:dyDescent="0.35">
      <c r="A40" s="3">
        <v>249.16</v>
      </c>
      <c r="B40">
        <f>'1233 P- 24 hpi'!T41</f>
        <v>0.53768718321375697</v>
      </c>
      <c r="C40">
        <f>'1233 P- 24 hpi'!U41</f>
        <v>14.581482415148704</v>
      </c>
      <c r="E40">
        <f>'1234 P- 24 hpi'!T41</f>
        <v>0.49848582979462658</v>
      </c>
      <c r="F40">
        <f>'1234 P- 24 hpi'!U41</f>
        <v>16.949332917109587</v>
      </c>
      <c r="H40">
        <f>'1250 P- 24 hpi'!AD41</f>
        <v>0.13191647438831117</v>
      </c>
      <c r="I40">
        <f>'1250 P- 24 hpi'!AE41</f>
        <v>10.045377028160974</v>
      </c>
      <c r="K40">
        <f>'1480 P- 24 hpi'!T41</f>
        <v>0.57593097343387134</v>
      </c>
      <c r="L40">
        <f>'1480 P- 24 hpi'!U41</f>
        <v>10.66452456608056</v>
      </c>
    </row>
    <row r="41" spans="1:13" x14ac:dyDescent="0.35">
      <c r="A41" s="4">
        <v>262.286</v>
      </c>
      <c r="B41">
        <f>'1233 P- 24 hpi'!T42</f>
        <v>60.123833089731761</v>
      </c>
      <c r="C41">
        <f>'1233 P- 24 hpi'!U42</f>
        <v>79.118936674282637</v>
      </c>
      <c r="E41">
        <f>'1234 P- 24 hpi'!T42</f>
        <v>65.954160771915596</v>
      </c>
      <c r="F41">
        <f>'1234 P- 24 hpi'!U42</f>
        <v>88.030989268299535</v>
      </c>
      <c r="H41">
        <f>'1250 P- 24 hpi'!AD42</f>
        <v>62.594691227328532</v>
      </c>
      <c r="I41">
        <f>'1250 P- 24 hpi'!AE42</f>
        <v>82.048782440771305</v>
      </c>
      <c r="K41">
        <f>'1480 P- 24 hpi'!T42</f>
        <v>64.402113910537807</v>
      </c>
      <c r="L41">
        <f>'1480 P- 24 hpi'!U42</f>
        <v>87.911300492517185</v>
      </c>
    </row>
    <row r="42" spans="1:13" x14ac:dyDescent="0.35">
      <c r="A42" s="3">
        <v>268.49799999999999</v>
      </c>
      <c r="B42">
        <f>'1233 P- 24 hpi'!T43</f>
        <v>61.781687898938664</v>
      </c>
      <c r="C42">
        <f>'1233 P- 24 hpi'!U43</f>
        <v>77.724366140539146</v>
      </c>
      <c r="E42">
        <f>'1234 P- 24 hpi'!T43</f>
        <v>67.616201632023689</v>
      </c>
      <c r="F42">
        <f>'1234 P- 24 hpi'!U43</f>
        <v>85.254576892777251</v>
      </c>
      <c r="H42">
        <f>'1250 P- 24 hpi'!AD43</f>
        <v>66.229826879646765</v>
      </c>
      <c r="I42">
        <f>'1250 P- 24 hpi'!AE43</f>
        <v>82.162369467417477</v>
      </c>
      <c r="K42">
        <f>'1480 P- 24 hpi'!T43</f>
        <v>68.027032180723822</v>
      </c>
      <c r="L42">
        <f>'1480 P- 24 hpi'!U43</f>
        <v>88.051508900624071</v>
      </c>
    </row>
    <row r="43" spans="1:13" x14ac:dyDescent="0.35">
      <c r="A43" s="3">
        <v>274.608</v>
      </c>
      <c r="B43">
        <f>'1233 P- 24 hpi'!T44</f>
        <v>62.829835930826995</v>
      </c>
      <c r="C43">
        <f>'1233 P- 24 hpi'!U44</f>
        <v>76.608566249627344</v>
      </c>
      <c r="E43">
        <f>'1234 P- 24 hpi'!T44</f>
        <v>68.675901538162009</v>
      </c>
      <c r="F43">
        <f>'1234 P- 24 hpi'!U44</f>
        <v>83.017842288453778</v>
      </c>
      <c r="H43">
        <f>'1250 P- 24 hpi'!AD44</f>
        <v>68.912629418431933</v>
      </c>
      <c r="I43">
        <f>'1250 P- 24 hpi'!AE44</f>
        <v>82.859083432659105</v>
      </c>
      <c r="K43">
        <f>'1480 P- 24 hpi'!T44</f>
        <v>70.897512604984982</v>
      </c>
      <c r="L43">
        <f>'1480 P- 24 hpi'!U44</f>
        <v>87.920899023980155</v>
      </c>
    </row>
    <row r="44" spans="1:13" x14ac:dyDescent="0.35">
      <c r="A44" s="3">
        <v>280.779</v>
      </c>
      <c r="B44">
        <f>'1233 P- 24 hpi'!T45</f>
        <v>63.54519125351505</v>
      </c>
      <c r="C44">
        <f>'1233 P- 24 hpi'!U45</f>
        <v>75.102880716310366</v>
      </c>
      <c r="E44">
        <f>'1234 P- 24 hpi'!T45</f>
        <v>69.454647520094454</v>
      </c>
      <c r="F44">
        <f>'1234 P- 24 hpi'!U45</f>
        <v>81.009626389030856</v>
      </c>
      <c r="H44">
        <f>'1250 P- 24 hpi'!AD45</f>
        <v>71.189477621574596</v>
      </c>
      <c r="I44">
        <f>'1250 P- 24 hpi'!AE45</f>
        <v>83.233203526186202</v>
      </c>
      <c r="K44">
        <f>'1480 P- 24 hpi'!T45</f>
        <v>73.894391660519133</v>
      </c>
      <c r="L44">
        <f>'1480 P- 24 hpi'!U45</f>
        <v>90.044086897097756</v>
      </c>
    </row>
    <row r="45" spans="1:13" x14ac:dyDescent="0.35">
      <c r="A45" s="3">
        <v>287.00099999999998</v>
      </c>
      <c r="B45">
        <f>'1233 P- 24 hpi'!T46</f>
        <v>64.153729786159332</v>
      </c>
      <c r="C45">
        <f>'1233 P- 24 hpi'!U46</f>
        <v>74.660982163657422</v>
      </c>
      <c r="E45">
        <f>'1234 P- 24 hpi'!T46</f>
        <v>70.05834582267903</v>
      </c>
      <c r="F45">
        <f>'1234 P- 24 hpi'!U46</f>
        <v>79.913616753268357</v>
      </c>
      <c r="H45">
        <f>'1250 P- 24 hpi'!AD46</f>
        <v>73.212851460045101</v>
      </c>
      <c r="I45">
        <f>'1250 P- 24 hpi'!AE46</f>
        <v>84.179679798748452</v>
      </c>
      <c r="K45">
        <f>'1480 P- 24 hpi'!T46</f>
        <v>76.699318820784768</v>
      </c>
      <c r="L45">
        <f>'1480 P- 24 hpi'!U46</f>
        <v>90.701977094885592</v>
      </c>
    </row>
    <row r="46" spans="1:13" x14ac:dyDescent="0.35">
      <c r="A46" s="3">
        <v>293.27300000000002</v>
      </c>
      <c r="B46">
        <f>'1233 P- 24 hpi'!T47</f>
        <v>64.635724103190725</v>
      </c>
      <c r="C46">
        <f>'1233 P- 24 hpi'!U47</f>
        <v>74.425966390458697</v>
      </c>
      <c r="E46">
        <f>'1234 P- 24 hpi'!T47</f>
        <v>70.542517816433261</v>
      </c>
      <c r="F46">
        <f>'1234 P- 24 hpi'!U47</f>
        <v>79.211190268514173</v>
      </c>
      <c r="H46">
        <f>'1250 P- 24 hpi'!AD47</f>
        <v>75.302895779088288</v>
      </c>
      <c r="I46">
        <f>'1250 P- 24 hpi'!AE47</f>
        <v>85.304541513332154</v>
      </c>
      <c r="K46">
        <f>'1480 P- 24 hpi'!T47</f>
        <v>79.62411664503469</v>
      </c>
      <c r="L46">
        <f>'1480 P- 24 hpi'!U47</f>
        <v>93.172535555068109</v>
      </c>
    </row>
    <row r="47" spans="1:13" x14ac:dyDescent="0.35">
      <c r="A47" s="3">
        <v>299.46699999999998</v>
      </c>
      <c r="B47" s="1">
        <f>'1233 P- 24 hpi'!T48</f>
        <v>65.013176611033728</v>
      </c>
      <c r="C47" s="1">
        <f>'1233 P- 24 hpi'!U48</f>
        <v>74.182609092637605</v>
      </c>
      <c r="D47" s="1"/>
      <c r="E47" s="1">
        <f>'1234 P- 24 hpi'!T48</f>
        <v>70.948667127566608</v>
      </c>
      <c r="F47" s="1">
        <f>'1234 P- 24 hpi'!U48</f>
        <v>78.888412189051124</v>
      </c>
      <c r="G47" s="1"/>
      <c r="H47" s="1">
        <f>'1250 P- 24 hpi'!AD48</f>
        <v>77.244544909420625</v>
      </c>
      <c r="I47" s="1">
        <f>'1250 P- 24 hpi'!AE48</f>
        <v>86.686062803028193</v>
      </c>
      <c r="J47" s="1"/>
      <c r="K47" s="1">
        <f>'1480 P- 24 hpi'!T48</f>
        <v>82.012191686947588</v>
      </c>
      <c r="L47" s="1">
        <f>'1480 P- 24 hpi'!U48</f>
        <v>93.969569353295299</v>
      </c>
      <c r="M47" s="1"/>
    </row>
    <row r="48" spans="1:13" s="1" customFormat="1" x14ac:dyDescent="0.35">
      <c r="A48" s="3">
        <v>305.70800000000003</v>
      </c>
      <c r="B48">
        <f>'1233 P- 24 hpi'!T49</f>
        <v>65.320612963320528</v>
      </c>
      <c r="C48">
        <f>'1233 P- 24 hpi'!U49</f>
        <v>74.273015777014564</v>
      </c>
      <c r="D48"/>
      <c r="E48">
        <f>'1234 P- 24 hpi'!T49</f>
        <v>71.253347127478321</v>
      </c>
      <c r="F48">
        <f>'1234 P- 24 hpi'!U49</f>
        <v>78.384318037058918</v>
      </c>
      <c r="G48"/>
      <c r="H48">
        <f>'1250 P- 24 hpi'!AD49</f>
        <v>79.272430638520504</v>
      </c>
      <c r="I48">
        <f>'1250 P- 24 hpi'!AE49</f>
        <v>88.094186110249623</v>
      </c>
      <c r="J48"/>
      <c r="K48">
        <f>'1480 P- 24 hpi'!T49</f>
        <v>84.538876721852773</v>
      </c>
      <c r="L48">
        <f>'1480 P- 24 hpi'!U49</f>
        <v>95.778724014693736</v>
      </c>
      <c r="M48"/>
    </row>
    <row r="49" spans="1:12" x14ac:dyDescent="0.35">
      <c r="A49" s="3">
        <v>311.89499999999998</v>
      </c>
      <c r="B49">
        <f>'1233 P- 24 hpi'!T50</f>
        <v>65.603208309412764</v>
      </c>
      <c r="C49">
        <f>'1233 P- 24 hpi'!U50</f>
        <v>74.074452985327753</v>
      </c>
      <c r="E49">
        <f>'1234 P- 24 hpi'!T50</f>
        <v>71.502027939979868</v>
      </c>
      <c r="F49">
        <f>'1234 P- 24 hpi'!U50</f>
        <v>78.079421274493612</v>
      </c>
      <c r="H49">
        <f>'1250 P- 24 hpi'!AD50</f>
        <v>81.178385514892241</v>
      </c>
      <c r="I49">
        <f>'1250 P- 24 hpi'!AE50</f>
        <v>89.615050180006534</v>
      </c>
      <c r="K49">
        <f>'1480 P- 24 hpi'!T50</f>
        <v>86.829476189481724</v>
      </c>
      <c r="L49">
        <f>'1480 P- 24 hpi'!U50</f>
        <v>97.864517722098199</v>
      </c>
    </row>
    <row r="50" spans="1:12" x14ac:dyDescent="0.35">
      <c r="A50" s="3">
        <v>318.09899999999999</v>
      </c>
      <c r="B50">
        <f>'1233 P- 24 hpi'!T51</f>
        <v>65.815898190734757</v>
      </c>
      <c r="C50">
        <f>'1233 P- 24 hpi'!U51</f>
        <v>74.226994031666933</v>
      </c>
      <c r="E50">
        <f>'1234 P- 24 hpi'!T51</f>
        <v>71.772226106517181</v>
      </c>
      <c r="F50">
        <f>'1234 P- 24 hpi'!U51</f>
        <v>77.871635404598493</v>
      </c>
      <c r="H50">
        <f>'1250 P- 24 hpi'!AD51</f>
        <v>83.13537688648583</v>
      </c>
      <c r="I50">
        <f>'1250 P- 24 hpi'!AE51</f>
        <v>91.312493963609612</v>
      </c>
      <c r="K50">
        <f>'1480 P- 24 hpi'!T51</f>
        <v>89.203122647196622</v>
      </c>
      <c r="L50">
        <f>'1480 P- 24 hpi'!U51</f>
        <v>99.39417964169202</v>
      </c>
    </row>
    <row r="51" spans="1:12" x14ac:dyDescent="0.35">
      <c r="A51" s="3">
        <v>324.33999999999997</v>
      </c>
      <c r="B51">
        <f>'1233 P- 24 hpi'!T52</f>
        <v>66.08845596663248</v>
      </c>
      <c r="C51">
        <f>'1233 P- 24 hpi'!U52</f>
        <v>74.071934953311981</v>
      </c>
      <c r="E51">
        <f>'1234 P- 24 hpi'!T52</f>
        <v>71.853601528215819</v>
      </c>
      <c r="F51">
        <f>'1234 P- 24 hpi'!U52</f>
        <v>78.505503406466786</v>
      </c>
      <c r="H51">
        <f>'1250 P- 24 hpi'!AD52</f>
        <v>85.113435899537308</v>
      </c>
      <c r="I51">
        <f>'1250 P- 24 hpi'!AE52</f>
        <v>92.256581755922113</v>
      </c>
      <c r="K51">
        <f>'1480 P- 24 hpi'!T52</f>
        <v>91.502665829411058</v>
      </c>
      <c r="L51">
        <f>'1480 P- 24 hpi'!U52</f>
        <v>99.7349549465725</v>
      </c>
    </row>
    <row r="52" spans="1:12" x14ac:dyDescent="0.35">
      <c r="A52" s="3">
        <v>330.45299999999997</v>
      </c>
      <c r="B52">
        <f>'1233 P- 24 hpi'!T53</f>
        <v>66.316031829663245</v>
      </c>
      <c r="C52">
        <f>'1233 P- 24 hpi'!U53</f>
        <v>73.86924122998191</v>
      </c>
      <c r="E52">
        <f>'1234 P- 24 hpi'!T53</f>
        <v>72.13241747866185</v>
      </c>
      <c r="F52">
        <f>'1234 P- 24 hpi'!U53</f>
        <v>77.566336887169257</v>
      </c>
      <c r="H52">
        <f>'1250 P- 24 hpi'!AD53</f>
        <v>87.149731639732281</v>
      </c>
      <c r="I52">
        <f>'1250 P- 24 hpi'!AE53</f>
        <v>93.127902528474209</v>
      </c>
      <c r="K52">
        <f>'1480 P- 24 hpi'!T53</f>
        <v>94.254328136115092</v>
      </c>
      <c r="L52">
        <f>'1480 P- 24 hpi'!U53</f>
        <v>101.94959220308105</v>
      </c>
    </row>
    <row r="53" spans="1:12" x14ac:dyDescent="0.35">
      <c r="A53" s="3">
        <v>336.67899999999997</v>
      </c>
      <c r="B53">
        <f>'1233 P- 24 hpi'!T54</f>
        <v>66.553339184477807</v>
      </c>
      <c r="C53">
        <f>'1233 P- 24 hpi'!U54</f>
        <v>73.798565565730513</v>
      </c>
      <c r="E53">
        <f>'1234 P- 24 hpi'!T54</f>
        <v>72.330055052529588</v>
      </c>
      <c r="F53">
        <f>'1234 P- 24 hpi'!U54</f>
        <v>77.317776168661979</v>
      </c>
      <c r="H53">
        <f>'1250 P- 24 hpi'!AD54</f>
        <v>89.090648166799795</v>
      </c>
      <c r="I53">
        <f>'1250 P- 24 hpi'!AE54</f>
        <v>95.382467500821605</v>
      </c>
      <c r="K53">
        <f>'1480 P- 24 hpi'!T54</f>
        <v>96.957709114487201</v>
      </c>
      <c r="L53">
        <f>'1480 P- 24 hpi'!U54</f>
        <v>102.2594721568726</v>
      </c>
    </row>
    <row r="54" spans="1:12" x14ac:dyDescent="0.35">
      <c r="A54" s="3">
        <v>342.94200000000001</v>
      </c>
      <c r="B54">
        <f>'1233 P- 24 hpi'!T55</f>
        <v>66.765494745652873</v>
      </c>
      <c r="C54">
        <f>'1233 P- 24 hpi'!U55</f>
        <v>73.892555003354119</v>
      </c>
      <c r="E54">
        <f>'1234 P- 24 hpi'!T55</f>
        <v>72.555662309996308</v>
      </c>
      <c r="F54">
        <f>'1234 P- 24 hpi'!U55</f>
        <v>77.197970330462795</v>
      </c>
      <c r="H54">
        <f>'1250 P- 24 hpi'!AD55</f>
        <v>91.197832475847889</v>
      </c>
      <c r="I54">
        <f>'1250 P- 24 hpi'!AE55</f>
        <v>96.671104339647655</v>
      </c>
      <c r="K54">
        <f>'1480 P- 24 hpi'!T55</f>
        <v>99.500513605778067</v>
      </c>
      <c r="L54">
        <f>'1480 P- 24 hpi'!U55</f>
        <v>104.25101060578083</v>
      </c>
    </row>
    <row r="55" spans="1:12" x14ac:dyDescent="0.35">
      <c r="A55" s="3">
        <v>349.24099999999999</v>
      </c>
      <c r="B55">
        <f>'1233 P- 24 hpi'!T56</f>
        <v>66.999534501886089</v>
      </c>
      <c r="C55">
        <f>'1233 P- 24 hpi'!U56</f>
        <v>73.986416891445188</v>
      </c>
      <c r="E55">
        <f>'1234 P- 24 hpi'!T56</f>
        <v>72.735277145422927</v>
      </c>
      <c r="F55">
        <f>'1234 P- 24 hpi'!U56</f>
        <v>77.581516435451945</v>
      </c>
      <c r="H55">
        <f>'1250 P- 24 hpi'!AD56</f>
        <v>93.130846050540242</v>
      </c>
      <c r="I55">
        <f>'1250 P- 24 hpi'!AE56</f>
        <v>98.535814785028236</v>
      </c>
      <c r="K55">
        <f>'1480 P- 24 hpi'!T56</f>
        <v>102.17288878564783</v>
      </c>
      <c r="L55">
        <f>'1480 P- 24 hpi'!U56</f>
        <v>107.81000768898109</v>
      </c>
    </row>
    <row r="56" spans="1:12" x14ac:dyDescent="0.35">
      <c r="A56" s="3">
        <v>355.43299999999999</v>
      </c>
      <c r="B56">
        <f>'1233 P- 24 hpi'!T57</f>
        <v>67.211230319802084</v>
      </c>
      <c r="C56">
        <f>'1233 P- 24 hpi'!U57</f>
        <v>74.109659373111697</v>
      </c>
      <c r="E56">
        <f>'1234 P- 24 hpi'!T57</f>
        <v>72.963444340358663</v>
      </c>
      <c r="F56">
        <f>'1234 P- 24 hpi'!U57</f>
        <v>77.971246291204054</v>
      </c>
      <c r="H56">
        <f>'1250 P- 24 hpi'!AD57</f>
        <v>95.104986477007017</v>
      </c>
      <c r="I56">
        <f>'1250 P- 24 hpi'!AE57</f>
        <v>99.847008117784739</v>
      </c>
      <c r="K56">
        <f>'1480 P- 24 hpi'!T57</f>
        <v>104.93370415901927</v>
      </c>
      <c r="L56">
        <f>'1480 P- 24 hpi'!U57</f>
        <v>108.83044584791007</v>
      </c>
    </row>
    <row r="57" spans="1:12" x14ac:dyDescent="0.35">
      <c r="A57" s="3">
        <v>361.57799999999997</v>
      </c>
      <c r="B57">
        <f>'1233 P- 24 hpi'!T58</f>
        <v>67.464549934245824</v>
      </c>
      <c r="C57">
        <f>'1233 P- 24 hpi'!U58</f>
        <v>74.219828397519109</v>
      </c>
      <c r="E57">
        <f>'1234 P- 24 hpi'!T58</f>
        <v>73.131823882558862</v>
      </c>
      <c r="F57">
        <f>'1234 P- 24 hpi'!U58</f>
        <v>77.736010203633285</v>
      </c>
      <c r="H57">
        <f>'1250 P- 24 hpi'!AD58</f>
        <v>97.069053187844332</v>
      </c>
      <c r="I57">
        <f>'1250 P- 24 hpi'!AE58</f>
        <v>102.2912830259443</v>
      </c>
      <c r="K57">
        <f>'1480 P- 24 hpi'!T58</f>
        <v>107.82653431754748</v>
      </c>
      <c r="L57">
        <f>'1480 P- 24 hpi'!U58</f>
        <v>111.91682600881019</v>
      </c>
    </row>
    <row r="58" spans="1:12" x14ac:dyDescent="0.35">
      <c r="A58" s="3">
        <v>367.786</v>
      </c>
      <c r="B58">
        <f>'1233 P- 24 hpi'!T59</f>
        <v>67.590437726706753</v>
      </c>
      <c r="C58">
        <f>'1233 P- 24 hpi'!U59</f>
        <v>74.452682132054974</v>
      </c>
      <c r="E58">
        <f>'1234 P- 24 hpi'!T59</f>
        <v>73.234767674686864</v>
      </c>
      <c r="F58">
        <f>'1234 P- 24 hpi'!U59</f>
        <v>78.052318685799193</v>
      </c>
      <c r="H58">
        <f>'1250 P- 24 hpi'!AD59</f>
        <v>99.23120670986863</v>
      </c>
      <c r="I58">
        <f>'1250 P- 24 hpi'!AE59</f>
        <v>103.54884126618408</v>
      </c>
      <c r="K58">
        <f>'1480 P- 24 hpi'!T59</f>
        <v>110.26263068067811</v>
      </c>
      <c r="L58">
        <f>'1480 P- 24 hpi'!U59</f>
        <v>112.50256035109209</v>
      </c>
    </row>
    <row r="59" spans="1:12" x14ac:dyDescent="0.35">
      <c r="A59" s="3">
        <v>374.03899999999999</v>
      </c>
      <c r="B59">
        <f>'1233 P- 24 hpi'!T60</f>
        <v>67.763584049136412</v>
      </c>
      <c r="C59">
        <f>'1233 P- 24 hpi'!U60</f>
        <v>74.61447779084402</v>
      </c>
      <c r="E59">
        <f>'1234 P- 24 hpi'!T60</f>
        <v>73.388767330616801</v>
      </c>
      <c r="F59">
        <f>'1234 P- 24 hpi'!U60</f>
        <v>77.909217561204017</v>
      </c>
      <c r="H59">
        <f>'1250 P- 24 hpi'!AD60</f>
        <v>101.29778286704922</v>
      </c>
      <c r="I59">
        <f>'1250 P- 24 hpi'!AE60</f>
        <v>105.21112768713542</v>
      </c>
      <c r="K59">
        <f>'1480 P- 24 hpi'!T60</f>
        <v>112.97825969776456</v>
      </c>
      <c r="L59">
        <f>'1480 P- 24 hpi'!U60</f>
        <v>114.17594281933155</v>
      </c>
    </row>
    <row r="60" spans="1:12" x14ac:dyDescent="0.35">
      <c r="A60" s="3">
        <v>380.137</v>
      </c>
      <c r="B60">
        <f>'1233 P- 24 hpi'!T61</f>
        <v>68.017784575217902</v>
      </c>
      <c r="C60">
        <f>'1233 P- 24 hpi'!U61</f>
        <v>74.607198390847003</v>
      </c>
      <c r="E60">
        <f>'1234 P- 24 hpi'!T61</f>
        <v>73.54956138871141</v>
      </c>
      <c r="F60">
        <f>'1234 P- 24 hpi'!U61</f>
        <v>77.679394190125834</v>
      </c>
      <c r="H60">
        <f>'1250 P- 24 hpi'!AD61</f>
        <v>103.42163303951315</v>
      </c>
      <c r="I60">
        <f>'1250 P- 24 hpi'!AE61</f>
        <v>107.13661427776182</v>
      </c>
      <c r="K60">
        <f>'1480 P- 24 hpi'!T61</f>
        <v>115.55349994620109</v>
      </c>
      <c r="L60">
        <f>'1480 P- 24 hpi'!U61</f>
        <v>114.56592074602001</v>
      </c>
    </row>
    <row r="61" spans="1:12" x14ac:dyDescent="0.35">
      <c r="A61" s="3">
        <v>386.49799999999999</v>
      </c>
      <c r="B61">
        <f>'1233 P- 24 hpi'!T62</f>
        <v>68.223636781213983</v>
      </c>
      <c r="C61">
        <f>'1233 P- 24 hpi'!U62</f>
        <v>74.665929176940509</v>
      </c>
      <c r="E61">
        <f>'1234 P- 24 hpi'!T62</f>
        <v>73.777488720530684</v>
      </c>
      <c r="F61">
        <f>'1234 P- 24 hpi'!U62</f>
        <v>77.441269544526833</v>
      </c>
      <c r="H61">
        <f>'1250 P- 24 hpi'!AD62</f>
        <v>105.51152098219275</v>
      </c>
      <c r="I61">
        <f>'1250 P- 24 hpi'!AE62</f>
        <v>109.58066239664188</v>
      </c>
      <c r="K61">
        <f>'1480 P- 24 hpi'!T62</f>
        <v>118.3016160757188</v>
      </c>
      <c r="L61">
        <f>'1480 P- 24 hpi'!U62</f>
        <v>115.64809081971343</v>
      </c>
    </row>
    <row r="62" spans="1:12" x14ac:dyDescent="0.35">
      <c r="A62" s="3">
        <v>392.601</v>
      </c>
      <c r="B62">
        <f>'1233 P- 24 hpi'!T63</f>
        <v>68.377065521892021</v>
      </c>
      <c r="C62">
        <f>'1233 P- 24 hpi'!U63</f>
        <v>74.805016234233619</v>
      </c>
      <c r="E62">
        <f>'1234 P- 24 hpi'!T63</f>
        <v>73.971874955173675</v>
      </c>
      <c r="F62">
        <f>'1234 P- 24 hpi'!U63</f>
        <v>77.697680455249284</v>
      </c>
      <c r="H62">
        <f>'1250 P- 24 hpi'!AD63</f>
        <v>107.70786442867805</v>
      </c>
      <c r="I62">
        <f>'1250 P- 24 hpi'!AE63</f>
        <v>111.04166896168219</v>
      </c>
      <c r="K62">
        <f>'1480 P- 24 hpi'!T63</f>
        <v>121.10920654884303</v>
      </c>
      <c r="L62">
        <f>'1480 P- 24 hpi'!U63</f>
        <v>117.74580722287517</v>
      </c>
    </row>
    <row r="63" spans="1:12" x14ac:dyDescent="0.35">
      <c r="A63" s="3">
        <v>398.83199999999999</v>
      </c>
      <c r="B63">
        <f>'1233 P- 24 hpi'!T64</f>
        <v>68.64145184763828</v>
      </c>
      <c r="C63">
        <f>'1233 P- 24 hpi'!U64</f>
        <v>74.963948427598197</v>
      </c>
      <c r="E63">
        <f>'1234 P- 24 hpi'!T64</f>
        <v>74.138345531138427</v>
      </c>
      <c r="F63">
        <f>'1234 P- 24 hpi'!U64</f>
        <v>77.903330792210582</v>
      </c>
      <c r="H63">
        <f>'1250 P- 24 hpi'!AD64</f>
        <v>109.8222974018388</v>
      </c>
      <c r="I63">
        <f>'1250 P- 24 hpi'!AE64</f>
        <v>112.91753695862963</v>
      </c>
      <c r="K63">
        <f>'1480 P- 24 hpi'!T64</f>
        <v>123.64310612101382</v>
      </c>
      <c r="L63">
        <f>'1480 P- 24 hpi'!U64</f>
        <v>120.00152012049034</v>
      </c>
    </row>
    <row r="64" spans="1:12" x14ac:dyDescent="0.35">
      <c r="A64" s="3">
        <v>405.02199999999999</v>
      </c>
      <c r="B64">
        <f>'1233 P- 24 hpi'!T65</f>
        <v>68.862348598995652</v>
      </c>
      <c r="C64">
        <f>'1233 P- 24 hpi'!U65</f>
        <v>75.155944597660152</v>
      </c>
      <c r="E64">
        <f>'1234 P- 24 hpi'!T65</f>
        <v>74.338076444054934</v>
      </c>
      <c r="F64">
        <f>'1234 P- 24 hpi'!U65</f>
        <v>78.217322858956024</v>
      </c>
      <c r="H64">
        <f>'1250 P- 24 hpi'!AD65</f>
        <v>111.90755008308284</v>
      </c>
      <c r="I64">
        <f>'1250 P- 24 hpi'!AE65</f>
        <v>114.52655801407245</v>
      </c>
      <c r="K64">
        <f>'1480 P- 24 hpi'!T65</f>
        <v>126.53976815961609</v>
      </c>
      <c r="L64">
        <f>'1480 P- 24 hpi'!U65</f>
        <v>121.3496225791796</v>
      </c>
    </row>
    <row r="65" spans="1:13" x14ac:dyDescent="0.35">
      <c r="A65" s="3">
        <v>411.33699999999999</v>
      </c>
      <c r="B65">
        <f>'1233 P- 24 hpi'!T66</f>
        <v>69.065691377923898</v>
      </c>
      <c r="C65">
        <f>'1233 P- 24 hpi'!U66</f>
        <v>75.359123159400653</v>
      </c>
      <c r="E65">
        <f>'1234 P- 24 hpi'!T66</f>
        <v>74.484178597514543</v>
      </c>
      <c r="F65">
        <f>'1234 P- 24 hpi'!U66</f>
        <v>78.265825624345624</v>
      </c>
      <c r="H65">
        <f>'1250 P- 24 hpi'!AD66</f>
        <v>114.05041182496367</v>
      </c>
      <c r="I65">
        <f>'1250 P- 24 hpi'!AE66</f>
        <v>116.7719588533857</v>
      </c>
      <c r="K65">
        <f>'1480 P- 24 hpi'!T66</f>
        <v>129.2495619548165</v>
      </c>
      <c r="L65">
        <f>'1480 P- 24 hpi'!U66</f>
        <v>122.21177806640719</v>
      </c>
    </row>
    <row r="66" spans="1:13" x14ac:dyDescent="0.35">
      <c r="A66" s="3">
        <v>417.42200000000003</v>
      </c>
      <c r="B66">
        <f>'1233 P- 24 hpi'!T67</f>
        <v>69.280794408992321</v>
      </c>
      <c r="C66">
        <f>'1233 P- 24 hpi'!U67</f>
        <v>75.473933875970047</v>
      </c>
      <c r="E66">
        <f>'1234 P- 24 hpi'!T67</f>
        <v>74.620112691096153</v>
      </c>
      <c r="F66">
        <f>'1234 P- 24 hpi'!U67</f>
        <v>78.930483157997841</v>
      </c>
      <c r="H66">
        <f>'1250 P- 24 hpi'!AD67</f>
        <v>116.33276276330101</v>
      </c>
      <c r="I66">
        <f>'1250 P- 24 hpi'!AE67</f>
        <v>119.40204727094579</v>
      </c>
      <c r="K66">
        <f>'1480 P- 24 hpi'!T67</f>
        <v>132.31628309695839</v>
      </c>
      <c r="L66">
        <f>'1480 P- 24 hpi'!U67</f>
        <v>125.09528649021763</v>
      </c>
    </row>
    <row r="67" spans="1:13" x14ac:dyDescent="0.35">
      <c r="A67" s="3">
        <v>423.74099999999999</v>
      </c>
      <c r="B67">
        <f>'1233 P- 24 hpi'!T68</f>
        <v>69.499437190871291</v>
      </c>
      <c r="C67">
        <f>'1233 P- 24 hpi'!U68</f>
        <v>75.866061250628277</v>
      </c>
      <c r="E67">
        <f>'1234 P- 24 hpi'!T68</f>
        <v>74.745980442513613</v>
      </c>
      <c r="F67">
        <f>'1234 P- 24 hpi'!U68</f>
        <v>79.507008353172324</v>
      </c>
      <c r="H67">
        <f>'1250 P- 24 hpi'!AD68</f>
        <v>118.68759790365523</v>
      </c>
      <c r="I67">
        <f>'1250 P- 24 hpi'!AE68</f>
        <v>120.86517563755456</v>
      </c>
      <c r="K67">
        <f>'1480 P- 24 hpi'!T68</f>
        <v>135.2983298935707</v>
      </c>
      <c r="L67">
        <f>'1480 P- 24 hpi'!U68</f>
        <v>125.77566356409487</v>
      </c>
    </row>
    <row r="68" spans="1:13" x14ac:dyDescent="0.35">
      <c r="A68" s="3">
        <v>429.80099999999999</v>
      </c>
      <c r="B68">
        <f>'1233 P- 24 hpi'!T69</f>
        <v>69.715035647682967</v>
      </c>
      <c r="C68">
        <f>'1233 P- 24 hpi'!U69</f>
        <v>75.991737907263641</v>
      </c>
      <c r="E68">
        <f>'1234 P- 24 hpi'!T69</f>
        <v>74.960203402665442</v>
      </c>
      <c r="F68">
        <f>'1234 P- 24 hpi'!U69</f>
        <v>79.036730362460304</v>
      </c>
      <c r="H68">
        <f>'1250 P- 24 hpi'!AD69</f>
        <v>120.95751735721542</v>
      </c>
      <c r="I68">
        <f>'1250 P- 24 hpi'!AE69</f>
        <v>122.39367388106287</v>
      </c>
      <c r="K68">
        <f>'1480 P- 24 hpi'!T69</f>
        <v>138.4978866584116</v>
      </c>
      <c r="L68">
        <f>'1480 P- 24 hpi'!U69</f>
        <v>126.63575380033386</v>
      </c>
    </row>
    <row r="69" spans="1:13" x14ac:dyDescent="0.35">
      <c r="A69" s="3">
        <v>436.18</v>
      </c>
      <c r="B69">
        <f>'1233 P- 24 hpi'!T70</f>
        <v>69.902632358190274</v>
      </c>
      <c r="C69">
        <f>'1233 P- 24 hpi'!U70</f>
        <v>76.201241809066943</v>
      </c>
      <c r="E69">
        <f>'1234 P- 24 hpi'!T70</f>
        <v>75.188468813193083</v>
      </c>
      <c r="F69">
        <f>'1234 P- 24 hpi'!U70</f>
        <v>79.293644100995152</v>
      </c>
      <c r="H69">
        <f>'1250 P- 24 hpi'!AD70</f>
        <v>123.09191689720942</v>
      </c>
      <c r="I69">
        <f>'1250 P- 24 hpi'!AE70</f>
        <v>124.65981384828414</v>
      </c>
      <c r="K69">
        <f>'1480 P- 24 hpi'!T70</f>
        <v>141.90587861285289</v>
      </c>
      <c r="L69">
        <f>'1480 P- 24 hpi'!U70</f>
        <v>129.26329873643704</v>
      </c>
    </row>
    <row r="70" spans="1:13" x14ac:dyDescent="0.35">
      <c r="A70" s="4">
        <v>449.34699999999998</v>
      </c>
      <c r="B70">
        <f>'1233 P- 24 hpi'!T71</f>
        <v>0.51464157982786018</v>
      </c>
      <c r="C70">
        <f>'1233 P- 24 hpi'!U71</f>
        <v>14.413821285418587</v>
      </c>
      <c r="E70">
        <f>'1234 P- 24 hpi'!T71</f>
        <v>0.47815120705704145</v>
      </c>
      <c r="F70">
        <f>'1234 P- 24 hpi'!U71</f>
        <v>16.897555363997206</v>
      </c>
      <c r="H70">
        <f>'1250 P- 24 hpi'!AD71</f>
        <v>0.12744943867319644</v>
      </c>
      <c r="I70">
        <f>'1250 P- 24 hpi'!AE71</f>
        <v>10.272833468803787</v>
      </c>
      <c r="K70">
        <f>'1480 P- 24 hpi'!T71</f>
        <v>0.52233072922207413</v>
      </c>
      <c r="L70">
        <f>'1480 P- 24 hpi'!U71</f>
        <v>10.496203373270651</v>
      </c>
    </row>
    <row r="71" spans="1:13" x14ac:dyDescent="0.35">
      <c r="A71" s="3">
        <v>455.601</v>
      </c>
      <c r="B71">
        <f>'1233 P- 24 hpi'!T72</f>
        <v>0.50885595957457841</v>
      </c>
      <c r="C71">
        <f>'1233 P- 24 hpi'!U72</f>
        <v>14.348982779891436</v>
      </c>
      <c r="E71">
        <f>'1234 P- 24 hpi'!T72</f>
        <v>0.4728283704050818</v>
      </c>
      <c r="F71">
        <f>'1234 P- 24 hpi'!U72</f>
        <v>16.863201554630283</v>
      </c>
      <c r="H71">
        <f>'1250 P- 24 hpi'!AD72</f>
        <v>0.12951768651415707</v>
      </c>
      <c r="I71">
        <f>'1250 P- 24 hpi'!AE72</f>
        <v>10.226317785890767</v>
      </c>
      <c r="K71">
        <f>'1480 P- 24 hpi'!T72</f>
        <v>0.51629765476881773</v>
      </c>
      <c r="L71">
        <f>'1480 P- 24 hpi'!U72</f>
        <v>10.339884957779246</v>
      </c>
    </row>
    <row r="72" spans="1:13" x14ac:dyDescent="0.35">
      <c r="A72" s="3">
        <v>461.72699999999998</v>
      </c>
      <c r="B72" s="1">
        <f>'1233 P- 24 hpi'!T73</f>
        <v>0.50189874486891872</v>
      </c>
      <c r="C72" s="1">
        <f>'1233 P- 24 hpi'!U73</f>
        <v>14.272387010189581</v>
      </c>
      <c r="D72" s="1"/>
      <c r="E72" s="1">
        <f>'1234 P- 24 hpi'!T73</f>
        <v>0.46724342864547569</v>
      </c>
      <c r="F72" s="1">
        <f>'1234 P- 24 hpi'!U73</f>
        <v>16.804794081549463</v>
      </c>
      <c r="G72" s="1"/>
      <c r="H72" s="1">
        <f>'1250 P- 24 hpi'!AD73</f>
        <v>0.12896134940011464</v>
      </c>
      <c r="I72" s="1">
        <f>'1250 P- 24 hpi'!AE73</f>
        <v>10.132105941272656</v>
      </c>
      <c r="J72" s="1"/>
      <c r="K72" s="1">
        <f>'1480 P- 24 hpi'!T73</f>
        <v>0.50890393981353377</v>
      </c>
      <c r="L72" s="1">
        <f>'1480 P- 24 hpi'!U73</f>
        <v>10.254916598335265</v>
      </c>
      <c r="M72" s="1"/>
    </row>
    <row r="73" spans="1:13" s="1" customFormat="1" x14ac:dyDescent="0.35">
      <c r="A73" s="3">
        <v>467.90100000000001</v>
      </c>
      <c r="B73">
        <f>'1233 P- 24 hpi'!T74</f>
        <v>0.49621139271784126</v>
      </c>
      <c r="C73">
        <f>'1233 P- 24 hpi'!U74</f>
        <v>14.226736200281634</v>
      </c>
      <c r="D73"/>
      <c r="E73">
        <f>'1234 P- 24 hpi'!T74</f>
        <v>0.46257808719552646</v>
      </c>
      <c r="F73">
        <f>'1234 P- 24 hpi'!U74</f>
        <v>16.759336891950635</v>
      </c>
      <c r="G73"/>
      <c r="H73">
        <f>'1250 P- 24 hpi'!AD74</f>
        <v>0.12892318954562976</v>
      </c>
      <c r="I73">
        <f>'1250 P- 24 hpi'!AE74</f>
        <v>10.109197336685581</v>
      </c>
      <c r="J73"/>
      <c r="K73">
        <f>'1480 P- 24 hpi'!T74</f>
        <v>0.50267863140873315</v>
      </c>
      <c r="L73">
        <f>'1480 P- 24 hpi'!U74</f>
        <v>10.129513910984459</v>
      </c>
      <c r="M73"/>
    </row>
    <row r="74" spans="1:13" x14ac:dyDescent="0.35">
      <c r="A74" s="3">
        <v>474.11200000000002</v>
      </c>
      <c r="B74">
        <f>'1233 P- 24 hpi'!T75</f>
        <v>0.49211531820362725</v>
      </c>
      <c r="C74">
        <f>'1233 P- 24 hpi'!U75</f>
        <v>14.205088192386976</v>
      </c>
      <c r="E74">
        <f>'1234 P- 24 hpi'!T75</f>
        <v>0.45869943307491412</v>
      </c>
      <c r="F74">
        <f>'1234 P- 24 hpi'!U75</f>
        <v>16.726458794387298</v>
      </c>
      <c r="H74">
        <f>'1250 P- 24 hpi'!AD75</f>
        <v>0.12883261232842147</v>
      </c>
      <c r="I74">
        <f>'1250 P- 24 hpi'!AE75</f>
        <v>10.115206830589923</v>
      </c>
      <c r="K74">
        <f>'1480 P- 24 hpi'!T75</f>
        <v>0.49777564180549999</v>
      </c>
      <c r="L74">
        <f>'1480 P- 24 hpi'!U75</f>
        <v>10.06325541180091</v>
      </c>
    </row>
    <row r="75" spans="1:13" x14ac:dyDescent="0.35">
      <c r="A75" s="3">
        <v>480.45699999999999</v>
      </c>
      <c r="B75">
        <f>'1233 P- 24 hpi'!T76</f>
        <v>0.48860971702226114</v>
      </c>
      <c r="C75">
        <f>'1233 P- 24 hpi'!U76</f>
        <v>14.184418374451345</v>
      </c>
      <c r="E75">
        <f>'1234 P- 24 hpi'!T76</f>
        <v>0.45517634174856186</v>
      </c>
      <c r="F75">
        <f>'1234 P- 24 hpi'!U76</f>
        <v>16.696277500805987</v>
      </c>
      <c r="H75">
        <f>'1250 P- 24 hpi'!AD76</f>
        <v>0.12910995668936742</v>
      </c>
      <c r="I75">
        <f>'1250 P- 24 hpi'!AE76</f>
        <v>10.111436578799255</v>
      </c>
      <c r="K75">
        <f>'1480 P- 24 hpi'!T76</f>
        <v>0.49405255770142786</v>
      </c>
      <c r="L75">
        <f>'1480 P- 24 hpi'!U76</f>
        <v>10.011169096902551</v>
      </c>
    </row>
    <row r="76" spans="1:13" x14ac:dyDescent="0.35">
      <c r="A76" s="3">
        <v>486.59</v>
      </c>
      <c r="B76">
        <f>'1233 P- 24 hpi'!T77</f>
        <v>0.4850317608226325</v>
      </c>
      <c r="C76">
        <f>'1233 P- 24 hpi'!U77</f>
        <v>14.160408905781201</v>
      </c>
      <c r="E76">
        <f>'1234 P- 24 hpi'!T77</f>
        <v>0.45156133220278977</v>
      </c>
      <c r="F76">
        <f>'1234 P- 24 hpi'!U77</f>
        <v>16.661566454570323</v>
      </c>
      <c r="H76">
        <f>'1250 P- 24 hpi'!AD77</f>
        <v>0.12940346977609302</v>
      </c>
      <c r="I76">
        <f>'1250 P- 24 hpi'!AE77</f>
        <v>10.117054784644669</v>
      </c>
      <c r="K76">
        <f>'1480 P- 24 hpi'!T77</f>
        <v>0.49033879339807124</v>
      </c>
      <c r="L76">
        <f>'1480 P- 24 hpi'!U77</f>
        <v>9.9727955794316596</v>
      </c>
    </row>
    <row r="77" spans="1:13" x14ac:dyDescent="0.35">
      <c r="A77" s="3">
        <v>492.80599999999998</v>
      </c>
      <c r="B77">
        <f>'1233 P- 24 hpi'!T78</f>
        <v>0.48061764377249555</v>
      </c>
      <c r="C77">
        <f>'1233 P- 24 hpi'!U78</f>
        <v>14.137310015590884</v>
      </c>
      <c r="E77">
        <f>'1234 P- 24 hpi'!T78</f>
        <v>0.44830859273792562</v>
      </c>
      <c r="F77">
        <f>'1234 P- 24 hpi'!U78</f>
        <v>16.631550062948843</v>
      </c>
      <c r="H77">
        <f>'1250 P- 24 hpi'!AD78</f>
        <v>0.12958530204490407</v>
      </c>
      <c r="I77">
        <f>'1250 P- 24 hpi'!AE78</f>
        <v>10.129966123684659</v>
      </c>
      <c r="K77">
        <f>'1480 P- 24 hpi'!T78</f>
        <v>0.48631826154402735</v>
      </c>
      <c r="L77">
        <f>'1480 P- 24 hpi'!U78</f>
        <v>9.9388537044744734</v>
      </c>
    </row>
    <row r="78" spans="1:13" x14ac:dyDescent="0.35">
      <c r="A78" s="3">
        <v>499.017</v>
      </c>
      <c r="B78">
        <f>'1233 P- 24 hpi'!T79</f>
        <v>0.47730605702996193</v>
      </c>
      <c r="C78">
        <f>'1233 P- 24 hpi'!U79</f>
        <v>14.127049450936921</v>
      </c>
      <c r="E78">
        <f>'1234 P- 24 hpi'!T79</f>
        <v>0.44519483688095668</v>
      </c>
      <c r="F78">
        <f>'1234 P- 24 hpi'!U79</f>
        <v>16.613847297506698</v>
      </c>
      <c r="H78">
        <f>'1250 P- 24 hpi'!AD79</f>
        <v>0.12969428833960817</v>
      </c>
      <c r="I78">
        <f>'1250 P- 24 hpi'!AE79</f>
        <v>10.143950342142029</v>
      </c>
      <c r="K78">
        <f>'1480 P- 24 hpi'!T79</f>
        <v>0.48311296702897683</v>
      </c>
      <c r="L78">
        <f>'1480 P- 24 hpi'!U79</f>
        <v>9.9108722834313916</v>
      </c>
    </row>
    <row r="79" spans="1:13" x14ac:dyDescent="0.35">
      <c r="A79" s="3">
        <v>505.20699999999999</v>
      </c>
      <c r="B79">
        <f>'1233 P- 24 hpi'!T80</f>
        <v>0.47385869576951106</v>
      </c>
      <c r="C79">
        <f>'1233 P- 24 hpi'!U80</f>
        <v>14.098923465296409</v>
      </c>
      <c r="E79">
        <f>'1234 P- 24 hpi'!T80</f>
        <v>0.44247901838950288</v>
      </c>
      <c r="F79">
        <f>'1234 P- 24 hpi'!U80</f>
        <v>16.588763779163184</v>
      </c>
      <c r="H79">
        <f>'1250 P- 24 hpi'!AD80</f>
        <v>0.12976466847146034</v>
      </c>
      <c r="I79">
        <f>'1250 P- 24 hpi'!AE80</f>
        <v>10.157955191003484</v>
      </c>
      <c r="K79">
        <f>'1480 P- 24 hpi'!T80</f>
        <v>0.47982080215907535</v>
      </c>
      <c r="L79">
        <f>'1480 P- 24 hpi'!U80</f>
        <v>9.8873780411603551</v>
      </c>
    </row>
    <row r="80" spans="1:13" x14ac:dyDescent="0.35">
      <c r="A80" s="4">
        <v>518.327</v>
      </c>
      <c r="B80">
        <f>'1233 P- 24 hpi'!T81</f>
        <v>59.145001651994612</v>
      </c>
      <c r="C80">
        <f>'1233 P- 24 hpi'!U81</f>
        <v>82.627809884191038</v>
      </c>
      <c r="E80">
        <f>'1234 P- 24 hpi'!T81</f>
        <v>66.276454838567716</v>
      </c>
      <c r="F80">
        <f>'1234 P- 24 hpi'!U81</f>
        <v>90.284116206762675</v>
      </c>
      <c r="H80">
        <f>'1250 P- 24 hpi'!AD81</f>
        <v>62.590201616135275</v>
      </c>
      <c r="I80">
        <f>'1250 P- 24 hpi'!AE81</f>
        <v>83.62749889122135</v>
      </c>
      <c r="K80">
        <f>'1480 P- 24 hpi'!T81</f>
        <v>60.333367421128465</v>
      </c>
      <c r="L80">
        <f>'1480 P- 24 hpi'!U81</f>
        <v>90.719122593917405</v>
      </c>
    </row>
    <row r="81" spans="1:12" x14ac:dyDescent="0.35">
      <c r="A81" s="3">
        <v>524.44100000000003</v>
      </c>
      <c r="B81">
        <f>'1233 P- 24 hpi'!T82</f>
        <v>60.954513427351664</v>
      </c>
      <c r="C81">
        <f>'1233 P- 24 hpi'!U82</f>
        <v>80.479100429691869</v>
      </c>
      <c r="E81">
        <f>'1234 P- 24 hpi'!T82</f>
        <v>67.861564717728555</v>
      </c>
      <c r="F81">
        <f>'1234 P- 24 hpi'!U82</f>
        <v>87.8352080226868</v>
      </c>
      <c r="H81">
        <f>'1250 P- 24 hpi'!AD82</f>
        <v>65.926699640765932</v>
      </c>
      <c r="I81">
        <f>'1250 P- 24 hpi'!AE82</f>
        <v>84.597729660390456</v>
      </c>
      <c r="K81">
        <f>'1480 P- 24 hpi'!T82</f>
        <v>62.336260007126839</v>
      </c>
      <c r="L81">
        <f>'1480 P- 24 hpi'!U82</f>
        <v>90.650155388888081</v>
      </c>
    </row>
    <row r="82" spans="1:12" x14ac:dyDescent="0.35">
      <c r="A82" s="3">
        <v>530.67700000000002</v>
      </c>
      <c r="B82">
        <f>'1233 P- 24 hpi'!T83</f>
        <v>62.120346712015873</v>
      </c>
      <c r="C82">
        <f>'1233 P- 24 hpi'!U83</f>
        <v>78.818539706150787</v>
      </c>
      <c r="E82">
        <f>'1234 P- 24 hpi'!T83</f>
        <v>69.041571706638834</v>
      </c>
      <c r="F82">
        <f>'1234 P- 24 hpi'!U83</f>
        <v>85.11248206840672</v>
      </c>
      <c r="H82">
        <f>'1250 P- 24 hpi'!AD83</f>
        <v>68.483883801752697</v>
      </c>
      <c r="I82">
        <f>'1250 P- 24 hpi'!AE83</f>
        <v>84.905100800095198</v>
      </c>
      <c r="K82">
        <f>'1480 P- 24 hpi'!T83</f>
        <v>64.083597826706011</v>
      </c>
      <c r="L82">
        <f>'1480 P- 24 hpi'!U83</f>
        <v>90.538644216310331</v>
      </c>
    </row>
    <row r="83" spans="1:12" x14ac:dyDescent="0.35">
      <c r="A83" s="3">
        <v>536.91800000000001</v>
      </c>
      <c r="B83">
        <f>'1233 P- 24 hpi'!T84</f>
        <v>63.015276394837798</v>
      </c>
      <c r="C83">
        <f>'1233 P- 24 hpi'!U84</f>
        <v>77.669789914558791</v>
      </c>
      <c r="E83">
        <f>'1234 P- 24 hpi'!T84</f>
        <v>69.90876465488634</v>
      </c>
      <c r="F83">
        <f>'1234 P- 24 hpi'!U84</f>
        <v>83.751899310113529</v>
      </c>
      <c r="H83">
        <f>'1250 P- 24 hpi'!AD84</f>
        <v>70.750867163984182</v>
      </c>
      <c r="I83">
        <f>'1250 P- 24 hpi'!AE84</f>
        <v>85.601097550460622</v>
      </c>
      <c r="K83">
        <f>'1480 P- 24 hpi'!T84</f>
        <v>65.649240812439658</v>
      </c>
      <c r="L83">
        <f>'1480 P- 24 hpi'!U84</f>
        <v>90.204091674506245</v>
      </c>
    </row>
    <row r="84" spans="1:12" x14ac:dyDescent="0.35">
      <c r="A84" s="3">
        <v>543.17700000000002</v>
      </c>
      <c r="B84">
        <f>'1233 P- 24 hpi'!T85</f>
        <v>63.811545559432943</v>
      </c>
      <c r="C84">
        <f>'1233 P- 24 hpi'!U85</f>
        <v>77.305896986910724</v>
      </c>
      <c r="E84">
        <f>'1234 P- 24 hpi'!T85</f>
        <v>70.558195466241031</v>
      </c>
      <c r="F84">
        <f>'1234 P- 24 hpi'!U85</f>
        <v>82.961862402999671</v>
      </c>
      <c r="H84">
        <f>'1250 P- 24 hpi'!AD85</f>
        <v>72.852274587386589</v>
      </c>
      <c r="I84">
        <f>'1250 P- 24 hpi'!AE85</f>
        <v>86.896451387178573</v>
      </c>
      <c r="K84">
        <f>'1480 P- 24 hpi'!T85</f>
        <v>67.373062239155942</v>
      </c>
      <c r="L84">
        <f>'1480 P- 24 hpi'!U85</f>
        <v>90.574880225310054</v>
      </c>
    </row>
    <row r="85" spans="1:12" x14ac:dyDescent="0.35">
      <c r="A85" s="3">
        <v>549.27800000000002</v>
      </c>
      <c r="B85">
        <f>'1233 P- 24 hpi'!T86</f>
        <v>64.412407988351347</v>
      </c>
      <c r="C85">
        <f>'1233 P- 24 hpi'!U86</f>
        <v>77.104601239895587</v>
      </c>
      <c r="E85">
        <f>'1234 P- 24 hpi'!T86</f>
        <v>71.229339040921005</v>
      </c>
      <c r="F85">
        <f>'1234 P- 24 hpi'!U86</f>
        <v>82.545299400892461</v>
      </c>
      <c r="H85">
        <f>'1250 P- 24 hpi'!AD86</f>
        <v>74.906709111435291</v>
      </c>
      <c r="I85">
        <f>'1250 P- 24 hpi'!AE86</f>
        <v>87.986371132233174</v>
      </c>
      <c r="K85">
        <f>'1480 P- 24 hpi'!T86</f>
        <v>68.800179444017274</v>
      </c>
      <c r="L85">
        <f>'1480 P- 24 hpi'!U86</f>
        <v>92.050752135249652</v>
      </c>
    </row>
    <row r="86" spans="1:12" x14ac:dyDescent="0.35">
      <c r="A86" s="3">
        <v>555.61199999999997</v>
      </c>
      <c r="B86">
        <f>'1233 P- 24 hpi'!T87</f>
        <v>64.879563738869692</v>
      </c>
      <c r="C86">
        <f>'1233 P- 24 hpi'!U87</f>
        <v>77.36582032194643</v>
      </c>
      <c r="E86">
        <f>'1234 P- 24 hpi'!T87</f>
        <v>71.713095407079365</v>
      </c>
      <c r="F86">
        <f>'1234 P- 24 hpi'!U87</f>
        <v>82.230919761101006</v>
      </c>
      <c r="H86">
        <f>'1250 P- 24 hpi'!AD87</f>
        <v>76.825471246600927</v>
      </c>
      <c r="I86">
        <f>'1250 P- 24 hpi'!AE87</f>
        <v>89.8652340065087</v>
      </c>
      <c r="K86">
        <f>'1480 P- 24 hpi'!T87</f>
        <v>70.214725826909188</v>
      </c>
      <c r="L86">
        <f>'1480 P- 24 hpi'!U87</f>
        <v>93.434699845393766</v>
      </c>
    </row>
    <row r="87" spans="1:12" x14ac:dyDescent="0.35">
      <c r="A87" s="3">
        <v>561.73</v>
      </c>
      <c r="B87">
        <f>'1233 P- 24 hpi'!T88</f>
        <v>65.270931020702548</v>
      </c>
      <c r="C87">
        <f>'1233 P- 24 hpi'!U88</f>
        <v>77.65942498773893</v>
      </c>
      <c r="E87">
        <f>'1234 P- 24 hpi'!T88</f>
        <v>72.043304611628983</v>
      </c>
      <c r="F87">
        <f>'1234 P- 24 hpi'!U88</f>
        <v>82.151984092991214</v>
      </c>
      <c r="H87">
        <f>'1250 P- 24 hpi'!AD88</f>
        <v>78.546501967034757</v>
      </c>
      <c r="I87">
        <f>'1250 P- 24 hpi'!AE88</f>
        <v>91.55407013513873</v>
      </c>
      <c r="K87">
        <f>'1480 P- 24 hpi'!T88</f>
        <v>71.612848046890051</v>
      </c>
      <c r="L87">
        <f>'1480 P- 24 hpi'!U88</f>
        <v>94.760258852669509</v>
      </c>
    </row>
    <row r="88" spans="1:12" x14ac:dyDescent="0.35">
      <c r="A88" s="3">
        <v>567.92600000000004</v>
      </c>
      <c r="B88">
        <f>'1233 P- 24 hpi'!T89</f>
        <v>65.669806690146871</v>
      </c>
      <c r="C88">
        <f>'1233 P- 24 hpi'!U89</f>
        <v>77.425390048793602</v>
      </c>
      <c r="E88">
        <f>'1234 P- 24 hpi'!T89</f>
        <v>72.380668685288526</v>
      </c>
      <c r="F88">
        <f>'1234 P- 24 hpi'!U89</f>
        <v>82.562319444474909</v>
      </c>
      <c r="H88">
        <f>'1250 P- 24 hpi'!AD89</f>
        <v>80.349908301734416</v>
      </c>
      <c r="I88">
        <f>'1250 P- 24 hpi'!AE89</f>
        <v>92.843005097351721</v>
      </c>
      <c r="K88">
        <f>'1480 P- 24 hpi'!T89</f>
        <v>72.963660677217462</v>
      </c>
      <c r="L88">
        <f>'1480 P- 24 hpi'!U89</f>
        <v>95.098775083233022</v>
      </c>
    </row>
    <row r="89" spans="1:12" x14ac:dyDescent="0.35">
      <c r="A89" s="3">
        <v>574.19000000000005</v>
      </c>
      <c r="B89">
        <f>'1233 P- 24 hpi'!T90</f>
        <v>65.986372751143236</v>
      </c>
      <c r="C89">
        <f>'1233 P- 24 hpi'!U90</f>
        <v>77.603829298237159</v>
      </c>
      <c r="E89">
        <f>'1234 P- 24 hpi'!T90</f>
        <v>72.670077054876188</v>
      </c>
      <c r="F89">
        <f>'1234 P- 24 hpi'!U90</f>
        <v>82.300610967955592</v>
      </c>
      <c r="H89">
        <f>'1250 P- 24 hpi'!AD90</f>
        <v>81.92936524775233</v>
      </c>
      <c r="I89">
        <f>'1250 P- 24 hpi'!AE90</f>
        <v>94.866849009369531</v>
      </c>
      <c r="K89">
        <f>'1480 P- 24 hpi'!T90</f>
        <v>74.466318312440805</v>
      </c>
      <c r="L89">
        <f>'1480 P- 24 hpi'!U90</f>
        <v>94.582326011799907</v>
      </c>
    </row>
    <row r="90" spans="1:12" x14ac:dyDescent="0.35">
      <c r="A90" s="3">
        <v>580.33500000000004</v>
      </c>
      <c r="B90">
        <f>'1233 P- 24 hpi'!T91</f>
        <v>66.244583959069359</v>
      </c>
      <c r="C90">
        <f>'1233 P- 24 hpi'!U91</f>
        <v>77.357824127811455</v>
      </c>
      <c r="E90">
        <f>'1234 P- 24 hpi'!T91</f>
        <v>73.006557199814992</v>
      </c>
      <c r="F90">
        <f>'1234 P- 24 hpi'!U91</f>
        <v>82.189929064880928</v>
      </c>
      <c r="H90">
        <f>'1250 P- 24 hpi'!AD91</f>
        <v>83.592646530620698</v>
      </c>
      <c r="I90">
        <f>'1250 P- 24 hpi'!AE91</f>
        <v>96.435334788191824</v>
      </c>
      <c r="K90">
        <f>'1480 P- 24 hpi'!T91</f>
        <v>76.090960931811608</v>
      </c>
      <c r="L90">
        <f>'1480 P- 24 hpi'!U91</f>
        <v>95.750850853272709</v>
      </c>
    </row>
    <row r="91" spans="1:12" x14ac:dyDescent="0.35">
      <c r="A91" s="3">
        <v>586.61800000000005</v>
      </c>
      <c r="B91">
        <f>'1233 P- 24 hpi'!T92</f>
        <v>66.531311756645536</v>
      </c>
      <c r="C91">
        <f>'1233 P- 24 hpi'!U92</f>
        <v>77.080669093736972</v>
      </c>
      <c r="E91">
        <f>'1234 P- 24 hpi'!T92</f>
        <v>73.202577558999153</v>
      </c>
      <c r="F91">
        <f>'1234 P- 24 hpi'!U92</f>
        <v>82.118567349709693</v>
      </c>
      <c r="H91">
        <f>'1250 P- 24 hpi'!AD92</f>
        <v>85.383481827671872</v>
      </c>
      <c r="I91">
        <f>'1250 P- 24 hpi'!AE92</f>
        <v>97.487603455896661</v>
      </c>
      <c r="K91">
        <f>'1480 P- 24 hpi'!T92</f>
        <v>77.67503372166999</v>
      </c>
      <c r="L91">
        <f>'1480 P- 24 hpi'!U92</f>
        <v>95.092117400176221</v>
      </c>
    </row>
    <row r="92" spans="1:12" x14ac:dyDescent="0.35">
      <c r="A92" s="3">
        <v>592.80999999999995</v>
      </c>
      <c r="B92">
        <f>'1233 P- 24 hpi'!T93</f>
        <v>66.983345480656268</v>
      </c>
      <c r="C92">
        <f>'1233 P- 24 hpi'!U93</f>
        <v>77.175099215964636</v>
      </c>
      <c r="E92">
        <f>'1234 P- 24 hpi'!T93</f>
        <v>73.598644529661755</v>
      </c>
      <c r="F92">
        <f>'1234 P- 24 hpi'!U93</f>
        <v>81.780191945272023</v>
      </c>
      <c r="H92">
        <f>'1250 P- 24 hpi'!AD93</f>
        <v>87.016311410950806</v>
      </c>
      <c r="I92">
        <f>'1250 P- 24 hpi'!AE93</f>
        <v>99.124901567007399</v>
      </c>
      <c r="K92">
        <f>'1480 P- 24 hpi'!T93</f>
        <v>79.362607484144604</v>
      </c>
      <c r="L92">
        <f>'1480 P- 24 hpi'!U93</f>
        <v>96.967227129982362</v>
      </c>
    </row>
    <row r="93" spans="1:12" x14ac:dyDescent="0.35">
      <c r="A93" s="3">
        <v>598.93799999999999</v>
      </c>
      <c r="B93">
        <f>'1233 P- 24 hpi'!T94</f>
        <v>67.321966530028092</v>
      </c>
      <c r="C93">
        <f>'1233 P- 24 hpi'!U94</f>
        <v>77.486532108573584</v>
      </c>
      <c r="E93">
        <f>'1234 P- 24 hpi'!T94</f>
        <v>73.941017474031412</v>
      </c>
      <c r="F93">
        <f>'1234 P- 24 hpi'!U94</f>
        <v>81.941663881020872</v>
      </c>
      <c r="H93">
        <f>'1250 P- 24 hpi'!AD94</f>
        <v>88.632504577889819</v>
      </c>
      <c r="I93">
        <f>'1250 P- 24 hpi'!AE94</f>
        <v>101.12517113978375</v>
      </c>
      <c r="K93">
        <f>'1480 P- 24 hpi'!T94</f>
        <v>81.183088905048876</v>
      </c>
      <c r="L93">
        <f>'1480 P- 24 hpi'!U94</f>
        <v>97.320280905421271</v>
      </c>
    </row>
    <row r="94" spans="1:12" x14ac:dyDescent="0.35">
      <c r="A94" s="3">
        <v>605.25900000000001</v>
      </c>
      <c r="B94">
        <f>'1233 P- 24 hpi'!T95</f>
        <v>67.627678584326318</v>
      </c>
      <c r="C94">
        <f>'1233 P- 24 hpi'!U95</f>
        <v>77.75229246078635</v>
      </c>
      <c r="E94">
        <f>'1234 P- 24 hpi'!T95</f>
        <v>74.304743309596333</v>
      </c>
      <c r="F94">
        <f>'1234 P- 24 hpi'!U95</f>
        <v>82.293432158265162</v>
      </c>
      <c r="H94">
        <f>'1250 P- 24 hpi'!AD95</f>
        <v>90.210124232053801</v>
      </c>
      <c r="I94">
        <f>'1250 P- 24 hpi'!AE95</f>
        <v>103.26896555289322</v>
      </c>
      <c r="K94">
        <f>'1480 P- 24 hpi'!T95</f>
        <v>83.040330591212509</v>
      </c>
      <c r="L94">
        <f>'1480 P- 24 hpi'!U95</f>
        <v>98.592177953154248</v>
      </c>
    </row>
    <row r="95" spans="1:12" x14ac:dyDescent="0.35">
      <c r="A95" s="3">
        <v>611.42399999999998</v>
      </c>
      <c r="B95">
        <f>'1233 P- 24 hpi'!T96</f>
        <v>67.913315927227814</v>
      </c>
      <c r="C95">
        <f>'1233 P- 24 hpi'!U96</f>
        <v>78.076028760741835</v>
      </c>
      <c r="E95">
        <f>'1234 P- 24 hpi'!T96</f>
        <v>74.470711885008868</v>
      </c>
      <c r="F95">
        <f>'1234 P- 24 hpi'!U96</f>
        <v>82.549102717180574</v>
      </c>
      <c r="H95">
        <f>'1250 P- 24 hpi'!AD96</f>
        <v>91.950121742696837</v>
      </c>
      <c r="I95">
        <f>'1250 P- 24 hpi'!AE96</f>
        <v>104.27879213649608</v>
      </c>
      <c r="K95">
        <f>'1480 P- 24 hpi'!T96</f>
        <v>85.405940753164529</v>
      </c>
      <c r="L95">
        <f>'1480 P- 24 hpi'!U96</f>
        <v>101.72706657457428</v>
      </c>
    </row>
    <row r="96" spans="1:12" x14ac:dyDescent="0.35">
      <c r="A96" s="3">
        <v>617.57000000000005</v>
      </c>
      <c r="B96">
        <f>'1233 P- 24 hpi'!T97</f>
        <v>68.184154195380856</v>
      </c>
      <c r="C96">
        <f>'1233 P- 24 hpi'!U97</f>
        <v>78.480983697260527</v>
      </c>
      <c r="E96">
        <f>'1234 P- 24 hpi'!T97</f>
        <v>74.728503845684429</v>
      </c>
      <c r="F96">
        <f>'1234 P- 24 hpi'!U97</f>
        <v>82.936780850247942</v>
      </c>
      <c r="H96">
        <f>'1250 P- 24 hpi'!AD97</f>
        <v>93.60319680823774</v>
      </c>
      <c r="I96">
        <f>'1250 P- 24 hpi'!AE97</f>
        <v>105.33595700262376</v>
      </c>
      <c r="K96">
        <f>'1480 P- 24 hpi'!T97</f>
        <v>87.234739832586413</v>
      </c>
      <c r="L96">
        <f>'1480 P- 24 hpi'!U97</f>
        <v>102.94640828792978</v>
      </c>
    </row>
    <row r="97" spans="1:12" x14ac:dyDescent="0.35">
      <c r="A97" s="3">
        <v>623.89099999999996</v>
      </c>
      <c r="B97">
        <f>'1233 P- 24 hpi'!T98</f>
        <v>68.48518263225013</v>
      </c>
      <c r="C97">
        <f>'1233 P- 24 hpi'!U98</f>
        <v>78.711908311457378</v>
      </c>
      <c r="E97">
        <f>'1234 P- 24 hpi'!T98</f>
        <v>75.093941579065969</v>
      </c>
      <c r="F97">
        <f>'1234 P- 24 hpi'!U98</f>
        <v>82.943733852995635</v>
      </c>
      <c r="H97">
        <f>'1250 P- 24 hpi'!AD98</f>
        <v>95.065155569436527</v>
      </c>
      <c r="I97">
        <f>'1250 P- 24 hpi'!AE98</f>
        <v>107.71992066347161</v>
      </c>
      <c r="K97">
        <f>'1480 P- 24 hpi'!T98</f>
        <v>89.216235218109134</v>
      </c>
      <c r="L97">
        <f>'1480 P- 24 hpi'!U98</f>
        <v>104.6568633679824</v>
      </c>
    </row>
    <row r="98" spans="1:12" x14ac:dyDescent="0.35">
      <c r="A98" s="3">
        <v>630.03800000000001</v>
      </c>
      <c r="B98">
        <f>'1233 P- 24 hpi'!T99</f>
        <v>68.733050417477799</v>
      </c>
      <c r="C98">
        <f>'1233 P- 24 hpi'!U99</f>
        <v>78.791852954745309</v>
      </c>
      <c r="E98">
        <f>'1234 P- 24 hpi'!T99</f>
        <v>75.276658996451545</v>
      </c>
      <c r="F98">
        <f>'1234 P- 24 hpi'!U99</f>
        <v>83.194056106165235</v>
      </c>
      <c r="H98">
        <f>'1250 P- 24 hpi'!AD99</f>
        <v>96.845991853856532</v>
      </c>
      <c r="I98">
        <f>'1250 P- 24 hpi'!AE99</f>
        <v>107.55991459385726</v>
      </c>
      <c r="K98">
        <f>'1480 P- 24 hpi'!T99</f>
        <v>90.944603922378917</v>
      </c>
      <c r="L98">
        <f>'1480 P- 24 hpi'!U99</f>
        <v>103.30793448433224</v>
      </c>
    </row>
    <row r="99" spans="1:12" x14ac:dyDescent="0.35">
      <c r="A99" s="3">
        <v>636.29200000000003</v>
      </c>
      <c r="B99">
        <f>'1233 P- 24 hpi'!T100</f>
        <v>68.945361673336251</v>
      </c>
      <c r="C99">
        <f>'1233 P- 24 hpi'!U100</f>
        <v>78.536042309251854</v>
      </c>
      <c r="E99">
        <f>'1234 P- 24 hpi'!T100</f>
        <v>75.549799263999574</v>
      </c>
      <c r="F99">
        <f>'1234 P- 24 hpi'!U100</f>
        <v>83.343987216799192</v>
      </c>
      <c r="H99">
        <f>'1250 P- 24 hpi'!AD100</f>
        <v>98.515325765921219</v>
      </c>
      <c r="I99">
        <f>'1250 P- 24 hpi'!AE100</f>
        <v>109.02731763349246</v>
      </c>
      <c r="K99">
        <f>'1480 P- 24 hpi'!T100</f>
        <v>93.511909937802088</v>
      </c>
      <c r="L99">
        <f>'1480 P- 24 hpi'!U100</f>
        <v>106.60312193831618</v>
      </c>
    </row>
    <row r="100" spans="1:12" x14ac:dyDescent="0.35">
      <c r="A100" s="3">
        <v>642.43200000000002</v>
      </c>
      <c r="B100">
        <f>'1233 P- 24 hpi'!T101</f>
        <v>69.365156829503547</v>
      </c>
      <c r="C100">
        <f>'1233 P- 24 hpi'!U101</f>
        <v>79.066849647602012</v>
      </c>
      <c r="E100">
        <f>'1234 P- 24 hpi'!T101</f>
        <v>75.882426792760597</v>
      </c>
      <c r="F100">
        <f>'1234 P- 24 hpi'!U101</f>
        <v>83.505562651380743</v>
      </c>
      <c r="H100">
        <f>'1250 P- 24 hpi'!AD101</f>
        <v>100.01763265711024</v>
      </c>
      <c r="I100">
        <f>'1250 P- 24 hpi'!AE101</f>
        <v>110.58253722296502</v>
      </c>
      <c r="K100">
        <f>'1480 P- 24 hpi'!T101</f>
        <v>95.336603178724545</v>
      </c>
      <c r="L100">
        <f>'1480 P- 24 hpi'!U101</f>
        <v>106.87710250451077</v>
      </c>
    </row>
    <row r="101" spans="1:12" x14ac:dyDescent="0.35">
      <c r="A101" s="3">
        <v>648.59</v>
      </c>
      <c r="B101">
        <f>'1233 P- 24 hpi'!T102</f>
        <v>69.692875317838912</v>
      </c>
      <c r="C101">
        <f>'1233 P- 24 hpi'!U102</f>
        <v>79.075997319301166</v>
      </c>
      <c r="E101">
        <f>'1234 P- 24 hpi'!T102</f>
        <v>76.28437787769964</v>
      </c>
      <c r="F101">
        <f>'1234 P- 24 hpi'!U102</f>
        <v>83.281074521162779</v>
      </c>
      <c r="H101">
        <f>'1250 P- 24 hpi'!AD102</f>
        <v>101.65392510343159</v>
      </c>
      <c r="I101">
        <f>'1250 P- 24 hpi'!AE102</f>
        <v>112.09048777802295</v>
      </c>
      <c r="K101">
        <f>'1480 P- 24 hpi'!T102</f>
        <v>97.707285676388764</v>
      </c>
      <c r="L101">
        <f>'1480 P- 24 hpi'!U102</f>
        <v>108.7460081175218</v>
      </c>
    </row>
    <row r="102" spans="1:12" x14ac:dyDescent="0.35">
      <c r="A102" s="3">
        <v>654.86</v>
      </c>
      <c r="B102">
        <f>'1233 P- 24 hpi'!T103</f>
        <v>70.011233928121626</v>
      </c>
      <c r="C102">
        <f>'1233 P- 24 hpi'!U103</f>
        <v>79.497934374846082</v>
      </c>
      <c r="E102">
        <f>'1234 P- 24 hpi'!T103</f>
        <v>76.599884871546536</v>
      </c>
      <c r="F102">
        <f>'1234 P- 24 hpi'!U103</f>
        <v>83.425852943395441</v>
      </c>
      <c r="H102">
        <f>'1250 P- 24 hpi'!AD103</f>
        <v>103.40777463705226</v>
      </c>
      <c r="I102">
        <f>'1250 P- 24 hpi'!AE103</f>
        <v>112.75167290924574</v>
      </c>
      <c r="K102">
        <f>'1480 P- 24 hpi'!T103</f>
        <v>99.794427908910507</v>
      </c>
      <c r="L102">
        <f>'1480 P- 24 hpi'!U103</f>
        <v>111.27286716647298</v>
      </c>
    </row>
    <row r="103" spans="1:12" x14ac:dyDescent="0.35">
      <c r="A103" s="3">
        <v>661.11800000000005</v>
      </c>
      <c r="B103">
        <f>'1233 P- 24 hpi'!T104</f>
        <v>70.335719798632567</v>
      </c>
      <c r="C103">
        <f>'1233 P- 24 hpi'!U104</f>
        <v>79.806460557872114</v>
      </c>
      <c r="E103">
        <f>'1234 P- 24 hpi'!T104</f>
        <v>76.914206459320127</v>
      </c>
      <c r="F103">
        <f>'1234 P- 24 hpi'!U104</f>
        <v>84.272482968288855</v>
      </c>
      <c r="H103">
        <f>'1250 P- 24 hpi'!AD104</f>
        <v>104.99831462517609</v>
      </c>
      <c r="I103">
        <f>'1250 P- 24 hpi'!AE104</f>
        <v>114.30041027265656</v>
      </c>
      <c r="K103">
        <f>'1480 P- 24 hpi'!T104</f>
        <v>102.01996067779216</v>
      </c>
      <c r="L103">
        <f>'1480 P- 24 hpi'!U104</f>
        <v>112.13851747972099</v>
      </c>
    </row>
    <row r="104" spans="1:12" x14ac:dyDescent="0.35">
      <c r="A104" s="3">
        <v>667.221</v>
      </c>
      <c r="B104">
        <f>'1233 P- 24 hpi'!T105</f>
        <v>70.696599578019885</v>
      </c>
      <c r="C104">
        <f>'1233 P- 24 hpi'!U105</f>
        <v>80.342611064175983</v>
      </c>
      <c r="E104">
        <f>'1234 P- 24 hpi'!T105</f>
        <v>77.298845677632769</v>
      </c>
      <c r="F104">
        <f>'1234 P- 24 hpi'!U105</f>
        <v>84.705561954586258</v>
      </c>
      <c r="H104">
        <f>'1250 P- 24 hpi'!AD105</f>
        <v>106.68535841590005</v>
      </c>
      <c r="I104">
        <f>'1250 P- 24 hpi'!AE105</f>
        <v>114.9116831538342</v>
      </c>
      <c r="K104">
        <f>'1480 P- 24 hpi'!T105</f>
        <v>104.22735034489858</v>
      </c>
      <c r="L104">
        <f>'1480 P- 24 hpi'!U105</f>
        <v>112.66702039089476</v>
      </c>
    </row>
    <row r="105" spans="1:12" x14ac:dyDescent="0.35">
      <c r="A105" s="3">
        <v>673.51599999999996</v>
      </c>
      <c r="B105">
        <f>'1233 P- 24 hpi'!T106</f>
        <v>70.956691221499227</v>
      </c>
      <c r="C105">
        <f>'1233 P- 24 hpi'!U106</f>
        <v>80.428488227271927</v>
      </c>
      <c r="E105">
        <f>'1234 P- 24 hpi'!T106</f>
        <v>77.65147425711956</v>
      </c>
      <c r="F105">
        <f>'1234 P- 24 hpi'!U106</f>
        <v>84.765813313056469</v>
      </c>
      <c r="H105">
        <f>'1250 P- 24 hpi'!AD106</f>
        <v>108.19531390141132</v>
      </c>
      <c r="I105">
        <f>'1250 P- 24 hpi'!AE106</f>
        <v>117.26622180279909</v>
      </c>
      <c r="K105">
        <f>'1480 P- 24 hpi'!T106</f>
        <v>106.70759308386023</v>
      </c>
      <c r="L105">
        <f>'1480 P- 24 hpi'!U106</f>
        <v>112.33926957958079</v>
      </c>
    </row>
    <row r="106" spans="1:12" x14ac:dyDescent="0.35">
      <c r="A106" s="3">
        <v>679.74</v>
      </c>
      <c r="B106">
        <f>'1233 P- 24 hpi'!T107</f>
        <v>71.27039898532378</v>
      </c>
      <c r="C106">
        <f>'1233 P- 24 hpi'!U107</f>
        <v>80.922861780241021</v>
      </c>
      <c r="E106">
        <f>'1234 P- 24 hpi'!T107</f>
        <v>77.892752982650578</v>
      </c>
      <c r="F106">
        <f>'1234 P- 24 hpi'!U107</f>
        <v>85.424042782535665</v>
      </c>
      <c r="H106">
        <f>'1250 P- 24 hpi'!AD107</f>
        <v>110.03587426325001</v>
      </c>
      <c r="I106">
        <f>'1250 P- 24 hpi'!AE107</f>
        <v>117.47183177454072</v>
      </c>
      <c r="K106">
        <f>'1480 P- 24 hpi'!T107</f>
        <v>109.43925803666399</v>
      </c>
      <c r="L106">
        <f>'1480 P- 24 hpi'!U107</f>
        <v>116.60701444732756</v>
      </c>
    </row>
    <row r="107" spans="1:12" x14ac:dyDescent="0.35">
      <c r="A107" s="3">
        <v>685.89499999999998</v>
      </c>
      <c r="B107">
        <f>'1233 P- 24 hpi'!T108</f>
        <v>71.639928018003062</v>
      </c>
      <c r="C107">
        <f>'1233 P- 24 hpi'!U108</f>
        <v>81.090409945848805</v>
      </c>
      <c r="E107">
        <f>'1234 P- 24 hpi'!T108</f>
        <v>78.363395514629929</v>
      </c>
      <c r="F107">
        <f>'1234 P- 24 hpi'!U108</f>
        <v>85.545503332342548</v>
      </c>
      <c r="H107">
        <f>'1250 P- 24 hpi'!AD108</f>
        <v>111.74303919002782</v>
      </c>
      <c r="I107">
        <f>'1250 P- 24 hpi'!AE108</f>
        <v>118.94852112522472</v>
      </c>
      <c r="K107">
        <f>'1480 P- 24 hpi'!T108</f>
        <v>111.53571442308596</v>
      </c>
      <c r="L107">
        <f>'1480 P- 24 hpi'!U108</f>
        <v>118.73065474920202</v>
      </c>
    </row>
    <row r="108" spans="1:12" x14ac:dyDescent="0.35">
      <c r="A108" s="3">
        <v>692.197</v>
      </c>
      <c r="B108">
        <f>'1233 P- 24 hpi'!T109</f>
        <v>72.00588533225239</v>
      </c>
      <c r="C108">
        <f>'1233 P- 24 hpi'!U109</f>
        <v>81.173746904971935</v>
      </c>
      <c r="E108">
        <f>'1234 P- 24 hpi'!T109</f>
        <v>78.793239476793076</v>
      </c>
      <c r="F108">
        <f>'1234 P- 24 hpi'!U109</f>
        <v>85.64812125522451</v>
      </c>
      <c r="H108">
        <f>'1250 P- 24 hpi'!AD109</f>
        <v>113.42184880046027</v>
      </c>
      <c r="I108">
        <f>'1250 P- 24 hpi'!AE109</f>
        <v>120.25856438629482</v>
      </c>
      <c r="K108">
        <f>'1480 P- 24 hpi'!T109</f>
        <v>113.82406898778014</v>
      </c>
      <c r="L108">
        <f>'1480 P- 24 hpi'!U109</f>
        <v>121.08951345150406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DA6-D036-45F1-A8E3-24B775723B74}">
  <dimension ref="A1:X108"/>
  <sheetViews>
    <sheetView topLeftCell="N1" zoomScale="115" zoomScaleNormal="115" workbookViewId="0">
      <selection activeCell="AJ25" sqref="AJ25"/>
    </sheetView>
  </sheetViews>
  <sheetFormatPr defaultColWidth="8.81640625" defaultRowHeight="14.5" x14ac:dyDescent="0.35"/>
  <cols>
    <col min="1" max="1" width="9.453125" bestFit="1" customWidth="1"/>
    <col min="2" max="3" width="12" bestFit="1" customWidth="1"/>
    <col min="5" max="6" width="12" bestFit="1" customWidth="1"/>
    <col min="7" max="7" width="11.81640625" customWidth="1"/>
    <col min="8" max="9" width="12" bestFit="1" customWidth="1"/>
    <col min="10" max="10" width="11.81640625" bestFit="1" customWidth="1"/>
    <col min="11" max="12" width="12" bestFit="1" customWidth="1"/>
    <col min="13" max="13" width="11.81640625" customWidth="1"/>
    <col min="14" max="15" width="12" bestFit="1" customWidth="1"/>
    <col min="17" max="17" width="12" bestFit="1" customWidth="1"/>
    <col min="18" max="18" width="12.1796875" bestFit="1" customWidth="1"/>
    <col min="20" max="21" width="12" bestFit="1" customWidth="1"/>
    <col min="23" max="24" width="8.81640625" bestFit="1" customWidth="1"/>
  </cols>
  <sheetData>
    <row r="1" spans="1:24" x14ac:dyDescent="0.35">
      <c r="A1" s="2" t="s">
        <v>5</v>
      </c>
      <c r="B1" t="s">
        <v>34</v>
      </c>
      <c r="C1" t="s">
        <v>35</v>
      </c>
      <c r="E1" t="s">
        <v>36</v>
      </c>
      <c r="F1" t="s">
        <v>37</v>
      </c>
      <c r="H1" t="s">
        <v>38</v>
      </c>
      <c r="I1" t="s">
        <v>39</v>
      </c>
      <c r="K1" t="s">
        <v>40</v>
      </c>
      <c r="L1" t="s">
        <v>41</v>
      </c>
      <c r="N1" t="s">
        <v>42</v>
      </c>
      <c r="O1" t="s">
        <v>43</v>
      </c>
      <c r="Q1" t="s">
        <v>44</v>
      </c>
      <c r="R1" t="s">
        <v>45</v>
      </c>
      <c r="T1" t="s">
        <v>46</v>
      </c>
      <c r="U1" t="s">
        <v>47</v>
      </c>
      <c r="W1" t="s">
        <v>48</v>
      </c>
      <c r="X1" t="s">
        <v>49</v>
      </c>
    </row>
    <row r="2" spans="1:24" x14ac:dyDescent="0.35">
      <c r="A2" s="4">
        <v>6.2696399999999999</v>
      </c>
      <c r="B2" s="1">
        <f>'1233 P- 24 hpi'!T3</f>
        <v>100</v>
      </c>
      <c r="C2" s="1">
        <f>'1233 P- 24 hpi'!U3</f>
        <v>100</v>
      </c>
      <c r="D2" s="1"/>
      <c r="E2" s="1">
        <f>'1233 P+ 24 hpi'!T3</f>
        <v>100</v>
      </c>
      <c r="F2" s="1">
        <f>'1233 P+ 24 hpi'!U3</f>
        <v>100</v>
      </c>
      <c r="G2" s="1"/>
      <c r="H2" s="1">
        <f>'1234 P- 24 hpi'!T3</f>
        <v>100</v>
      </c>
      <c r="I2" s="1">
        <f>'1234 P- 24 hpi'!U3</f>
        <v>100</v>
      </c>
      <c r="J2" s="1"/>
      <c r="K2" s="1">
        <f>'1234 P+ 24 hpi'!T3</f>
        <v>100</v>
      </c>
      <c r="L2" s="1">
        <f>'1234 P+ 24 hpi'!U3</f>
        <v>100</v>
      </c>
      <c r="M2" s="1"/>
      <c r="N2" s="1">
        <f>'1250 P- 24 hpi'!AD3</f>
        <v>100</v>
      </c>
      <c r="O2" s="1">
        <f>'1250 P- 24 hpi'!AE3</f>
        <v>100</v>
      </c>
      <c r="P2" s="1"/>
      <c r="Q2" s="1">
        <f>'1250 P+ 24 hpi'!T3</f>
        <v>100</v>
      </c>
      <c r="R2" s="1">
        <f>'1250 P+ 24 hpi'!U3</f>
        <v>100</v>
      </c>
      <c r="S2" s="1"/>
      <c r="T2" s="1">
        <f>'1480 P- 24 hpi'!T3</f>
        <v>100</v>
      </c>
      <c r="U2" s="1">
        <f>'1480 P- 24 hpi'!U3</f>
        <v>100</v>
      </c>
      <c r="V2" s="1"/>
      <c r="W2" s="1">
        <f>'NAD003 P+ 24 hpi'!T3</f>
        <v>100</v>
      </c>
      <c r="X2" s="1">
        <f>'NAD003 P+ 24 hpi'!U3</f>
        <v>100</v>
      </c>
    </row>
    <row r="3" spans="1:24" s="1" customFormat="1" x14ac:dyDescent="0.35">
      <c r="A3" s="3">
        <v>12.3698</v>
      </c>
      <c r="B3">
        <f>'1233 P- 24 hpi'!T4</f>
        <v>100.04371105953179</v>
      </c>
      <c r="C3">
        <f>'1233 P- 24 hpi'!U4</f>
        <v>99.773574366846802</v>
      </c>
      <c r="D3"/>
      <c r="E3">
        <f>'1233 P+ 24 hpi'!T4</f>
        <v>100.04704224997801</v>
      </c>
      <c r="F3">
        <f>'1233 P+ 24 hpi'!U4</f>
        <v>99.513037803589839</v>
      </c>
      <c r="G3"/>
      <c r="H3">
        <f>'1234 P- 24 hpi'!T4</f>
        <v>100.09348516919631</v>
      </c>
      <c r="I3">
        <f>'1234 P- 24 hpi'!U4</f>
        <v>100.28545086055526</v>
      </c>
      <c r="J3"/>
      <c r="K3">
        <f>'1234 P+ 24 hpi'!T4</f>
        <v>100.41395720624686</v>
      </c>
      <c r="L3">
        <f>'1234 P+ 24 hpi'!U4</f>
        <v>97.388242198963113</v>
      </c>
      <c r="M3"/>
      <c r="N3">
        <f>'1250 P- 24 hpi'!AD4</f>
        <v>101.54820645646275</v>
      </c>
      <c r="O3">
        <f>'1250 P- 24 hpi'!AE4</f>
        <v>101.32224007633731</v>
      </c>
      <c r="P3"/>
      <c r="Q3">
        <f>'1250 P+ 24 hpi'!T4</f>
        <v>100.66142029885398</v>
      </c>
      <c r="R3">
        <f>'1250 P+ 24 hpi'!U4</f>
        <v>99.39219602219805</v>
      </c>
      <c r="S3"/>
      <c r="T3">
        <f>'1480 P- 24 hpi'!T4</f>
        <v>102.19707247838106</v>
      </c>
      <c r="U3">
        <f>'1480 P- 24 hpi'!U4</f>
        <v>100.42602081651755</v>
      </c>
      <c r="V3"/>
      <c r="W3">
        <f>'NAD003 P+ 24 hpi'!T4</f>
        <v>100.3690073018421</v>
      </c>
      <c r="X3">
        <f>'NAD003 P+ 24 hpi'!U4</f>
        <v>100.02123082939912</v>
      </c>
    </row>
    <row r="4" spans="1:24" x14ac:dyDescent="0.35">
      <c r="A4" s="3">
        <v>18.654</v>
      </c>
      <c r="B4">
        <f>'1233 P- 24 hpi'!T5</f>
        <v>100.16667033454756</v>
      </c>
      <c r="C4">
        <f>'1233 P- 24 hpi'!U5</f>
        <v>99.293951822298553</v>
      </c>
      <c r="E4">
        <f>'1233 P+ 24 hpi'!T5</f>
        <v>100.26766285548973</v>
      </c>
      <c r="F4">
        <f>'1233 P+ 24 hpi'!U5</f>
        <v>99.249318242599273</v>
      </c>
      <c r="H4">
        <f>'1234 P- 24 hpi'!T5</f>
        <v>100.3094709312727</v>
      </c>
      <c r="I4">
        <f>'1234 P- 24 hpi'!U5</f>
        <v>98.860813769160686</v>
      </c>
      <c r="K4">
        <f>'1234 P+ 24 hpi'!T5</f>
        <v>100.70981229069045</v>
      </c>
      <c r="L4">
        <f>'1234 P+ 24 hpi'!U5</f>
        <v>95.936969222697471</v>
      </c>
      <c r="N4">
        <f>'1250 P- 24 hpi'!AD5</f>
        <v>103.12103031996492</v>
      </c>
      <c r="O4">
        <f>'1250 P- 24 hpi'!AE5</f>
        <v>102.0845010308081</v>
      </c>
      <c r="Q4">
        <f>'1250 P+ 24 hpi'!T5</f>
        <v>101.31339173629577</v>
      </c>
      <c r="R4">
        <f>'1250 P+ 24 hpi'!U5</f>
        <v>99.364036892791702</v>
      </c>
      <c r="T4">
        <f>'1480 P- 24 hpi'!T5</f>
        <v>104.38469872199977</v>
      </c>
      <c r="U4">
        <f>'1480 P- 24 hpi'!U5</f>
        <v>101.59378991511976</v>
      </c>
      <c r="W4">
        <f>'NAD003 P+ 24 hpi'!T5</f>
        <v>101.02382397275025</v>
      </c>
      <c r="X4">
        <f>'NAD003 P+ 24 hpi'!U5</f>
        <v>100.17096404726654</v>
      </c>
    </row>
    <row r="5" spans="1:24" x14ac:dyDescent="0.35">
      <c r="A5" s="3">
        <v>24.779599999999999</v>
      </c>
      <c r="B5">
        <f>'1233 P- 24 hpi'!T6</f>
        <v>100.3251550320614</v>
      </c>
      <c r="C5">
        <f>'1233 P- 24 hpi'!U6</f>
        <v>98.83570148727371</v>
      </c>
      <c r="E5">
        <f>'1233 P+ 24 hpi'!T6</f>
        <v>100.43319120033208</v>
      </c>
      <c r="F5">
        <f>'1233 P+ 24 hpi'!U6</f>
        <v>99.416905105358751</v>
      </c>
      <c r="H5">
        <f>'1234 P- 24 hpi'!T6</f>
        <v>100.41046662419501</v>
      </c>
      <c r="I5">
        <f>'1234 P- 24 hpi'!U6</f>
        <v>98.525898250848954</v>
      </c>
      <c r="K5">
        <f>'1234 P+ 24 hpi'!T6</f>
        <v>100.99519848899077</v>
      </c>
      <c r="L5">
        <f>'1234 P+ 24 hpi'!U6</f>
        <v>94.71067912816909</v>
      </c>
      <c r="N5">
        <f>'1250 P- 24 hpi'!AD6</f>
        <v>104.80117950066551</v>
      </c>
      <c r="O5">
        <f>'1250 P- 24 hpi'!AE6</f>
        <v>103.03073205231586</v>
      </c>
      <c r="Q5">
        <f>'1250 P+ 24 hpi'!T6</f>
        <v>101.98291105921736</v>
      </c>
      <c r="R5">
        <f>'1250 P+ 24 hpi'!U6</f>
        <v>99.341509589266607</v>
      </c>
      <c r="T5">
        <f>'1480 P- 24 hpi'!T6</f>
        <v>106.63475671623189</v>
      </c>
      <c r="U5">
        <f>'1480 P- 24 hpi'!U6</f>
        <v>102.12760018949179</v>
      </c>
      <c r="W5">
        <f>'NAD003 P+ 24 hpi'!T6</f>
        <v>101.41044966035668</v>
      </c>
      <c r="X5">
        <f>'NAD003 P+ 24 hpi'!U6</f>
        <v>99.705003212559717</v>
      </c>
    </row>
    <row r="6" spans="1:24" x14ac:dyDescent="0.35">
      <c r="A6" s="3">
        <v>31.0945</v>
      </c>
      <c r="B6">
        <f>'1233 P- 24 hpi'!T7</f>
        <v>100.2717153860321</v>
      </c>
      <c r="C6">
        <f>'1233 P- 24 hpi'!U7</f>
        <v>98.304354131016069</v>
      </c>
      <c r="E6">
        <f>'1233 P+ 24 hpi'!T7</f>
        <v>100.78361822824297</v>
      </c>
      <c r="F6">
        <f>'1233 P+ 24 hpi'!U7</f>
        <v>97.986582725232921</v>
      </c>
      <c r="H6">
        <f>'1234 P- 24 hpi'!T7</f>
        <v>100.47713069836972</v>
      </c>
      <c r="I6">
        <f>'1234 P- 24 hpi'!U7</f>
        <v>97.954498086742646</v>
      </c>
      <c r="K6">
        <f>'1234 P+ 24 hpi'!T7</f>
        <v>101.27807651665263</v>
      </c>
      <c r="L6">
        <f>'1234 P+ 24 hpi'!U7</f>
        <v>93.698700790552493</v>
      </c>
      <c r="N6">
        <f>'1250 P- 24 hpi'!AD7</f>
        <v>106.60726928563149</v>
      </c>
      <c r="O6">
        <f>'1250 P- 24 hpi'!AE7</f>
        <v>104.48793385032381</v>
      </c>
      <c r="Q6">
        <f>'1250 P+ 24 hpi'!T7</f>
        <v>102.64433135807135</v>
      </c>
      <c r="R6">
        <f>'1250 P+ 24 hpi'!U7</f>
        <v>99.762596878235584</v>
      </c>
      <c r="T6">
        <f>'1480 P- 24 hpi'!T7</f>
        <v>108.83134093668563</v>
      </c>
      <c r="U6">
        <f>'1480 P- 24 hpi'!U7</f>
        <v>104.50223805553082</v>
      </c>
      <c r="W6">
        <f>'NAD003 P+ 24 hpi'!T7</f>
        <v>101.94389522933265</v>
      </c>
      <c r="X6">
        <f>'NAD003 P+ 24 hpi'!U7</f>
        <v>99.141268821409625</v>
      </c>
    </row>
    <row r="7" spans="1:24" x14ac:dyDescent="0.35">
      <c r="A7" s="3">
        <v>37.161900000000003</v>
      </c>
      <c r="B7">
        <f>'1233 P- 24 hpi'!T8</f>
        <v>100.25350317577288</v>
      </c>
      <c r="C7">
        <f>'1233 P- 24 hpi'!U8</f>
        <v>98.109200831034869</v>
      </c>
      <c r="E7">
        <f>'1233 P+ 24 hpi'!T8</f>
        <v>100.58765078047369</v>
      </c>
      <c r="F7">
        <f>'1233 P+ 24 hpi'!U8</f>
        <v>99.133360111435451</v>
      </c>
      <c r="H7">
        <f>'1234 P- 24 hpi'!T8</f>
        <v>100.51178772700247</v>
      </c>
      <c r="I7">
        <f>'1234 P- 24 hpi'!U8</f>
        <v>97.459143026215926</v>
      </c>
      <c r="K7">
        <f>'1234 P+ 24 hpi'!T8</f>
        <v>101.51820659256296</v>
      </c>
      <c r="L7">
        <f>'1234 P+ 24 hpi'!U8</f>
        <v>92.881470481000932</v>
      </c>
      <c r="N7">
        <f>'1250 P- 24 hpi'!AD8</f>
        <v>108.16838439700942</v>
      </c>
      <c r="O7">
        <f>'1250 P- 24 hpi'!AE8</f>
        <v>105.4622515788222</v>
      </c>
      <c r="Q7">
        <f>'1250 P+ 24 hpi'!T8</f>
        <v>103.22948584695544</v>
      </c>
      <c r="R7">
        <f>'1250 P+ 24 hpi'!U8</f>
        <v>100.09877356161002</v>
      </c>
      <c r="T7">
        <f>'1480 P- 24 hpi'!T8</f>
        <v>110.80318499293826</v>
      </c>
      <c r="U7">
        <f>'1480 P- 24 hpi'!U8</f>
        <v>105.61964833442322</v>
      </c>
      <c r="W7">
        <f>'NAD003 P+ 24 hpi'!T8</f>
        <v>102.28255975569172</v>
      </c>
      <c r="X7">
        <f>'NAD003 P+ 24 hpi'!U8</f>
        <v>99.78322205771434</v>
      </c>
    </row>
    <row r="8" spans="1:24" x14ac:dyDescent="0.35">
      <c r="A8" s="3">
        <v>43.441699999999997</v>
      </c>
      <c r="B8">
        <f>'1233 P- 24 hpi'!T9</f>
        <v>100.33039619156705</v>
      </c>
      <c r="C8">
        <f>'1233 P- 24 hpi'!U9</f>
        <v>97.651063226229041</v>
      </c>
      <c r="E8">
        <f>'1233 P+ 24 hpi'!T9</f>
        <v>100.52148975510357</v>
      </c>
      <c r="F8">
        <f>'1233 P+ 24 hpi'!U9</f>
        <v>99.367238265563742</v>
      </c>
      <c r="H8">
        <f>'1234 P- 24 hpi'!T9</f>
        <v>100.57714827048945</v>
      </c>
      <c r="I8">
        <f>'1234 P- 24 hpi'!U9</f>
        <v>96.888629189160682</v>
      </c>
      <c r="K8">
        <f>'1234 P+ 24 hpi'!T9</f>
        <v>101.69377853725669</v>
      </c>
      <c r="L8">
        <f>'1234 P+ 24 hpi'!U9</f>
        <v>92.22875334584225</v>
      </c>
      <c r="N8">
        <f>'1250 P- 24 hpi'!AD9</f>
        <v>109.76901203444326</v>
      </c>
      <c r="O8">
        <f>'1250 P- 24 hpi'!AE9</f>
        <v>106.27002103358275</v>
      </c>
      <c r="Q8">
        <f>'1250 P+ 24 hpi'!T9</f>
        <v>103.73904944454193</v>
      </c>
      <c r="R8">
        <f>'1250 P+ 24 hpi'!U9</f>
        <v>100.371700508164</v>
      </c>
      <c r="T8">
        <f>'1480 P- 24 hpi'!T9</f>
        <v>113.15672220760023</v>
      </c>
      <c r="U8">
        <f>'1480 P- 24 hpi'!U9</f>
        <v>106.56750874852783</v>
      </c>
      <c r="W8">
        <f>'NAD003 P+ 24 hpi'!T9</f>
        <v>102.83460250964116</v>
      </c>
      <c r="X8">
        <f>'NAD003 P+ 24 hpi'!U9</f>
        <v>99.48878397631087</v>
      </c>
    </row>
    <row r="9" spans="1:24" x14ac:dyDescent="0.35">
      <c r="A9" s="3">
        <v>49.671799999999998</v>
      </c>
      <c r="B9">
        <f>'1233 P- 24 hpi'!T10</f>
        <v>100.3389549420272</v>
      </c>
      <c r="C9">
        <f>'1233 P- 24 hpi'!U10</f>
        <v>97.349441528550201</v>
      </c>
      <c r="E9">
        <f>'1233 P+ 24 hpi'!T10</f>
        <v>100.8100323258242</v>
      </c>
      <c r="F9">
        <f>'1233 P+ 24 hpi'!U10</f>
        <v>98.932730860454768</v>
      </c>
      <c r="H9">
        <f>'1234 P- 24 hpi'!T10</f>
        <v>100.64167124712533</v>
      </c>
      <c r="I9">
        <f>'1234 P- 24 hpi'!U10</f>
        <v>97.401773253590662</v>
      </c>
      <c r="K9">
        <f>'1234 P+ 24 hpi'!T10</f>
        <v>101.843723521079</v>
      </c>
      <c r="L9">
        <f>'1234 P+ 24 hpi'!U10</f>
        <v>91.673854854917153</v>
      </c>
      <c r="N9">
        <f>'1250 P- 24 hpi'!AD10</f>
        <v>111.57589962834329</v>
      </c>
      <c r="O9">
        <f>'1250 P- 24 hpi'!AE10</f>
        <v>107.91305605512282</v>
      </c>
      <c r="Q9">
        <f>'1250 P+ 24 hpi'!T10</f>
        <v>104.29653226786171</v>
      </c>
      <c r="R9">
        <f>'1250 P+ 24 hpi'!U10</f>
        <v>100.64852641109729</v>
      </c>
      <c r="T9">
        <f>'1480 P- 24 hpi'!T10</f>
        <v>115.52423453321337</v>
      </c>
      <c r="U9">
        <f>'1480 P- 24 hpi'!U10</f>
        <v>108.30208105800283</v>
      </c>
      <c r="W9">
        <f>'NAD003 P+ 24 hpi'!T10</f>
        <v>103.28289254742282</v>
      </c>
      <c r="X9">
        <f>'NAD003 P+ 24 hpi'!U10</f>
        <v>99.48543174008995</v>
      </c>
    </row>
    <row r="10" spans="1:24" x14ac:dyDescent="0.35">
      <c r="A10" s="3">
        <v>55.927799999999998</v>
      </c>
      <c r="B10">
        <f>'1233 P- 24 hpi'!T11</f>
        <v>100.29126208438765</v>
      </c>
      <c r="C10">
        <f>'1233 P- 24 hpi'!U11</f>
        <v>97.203632174596962</v>
      </c>
      <c r="E10">
        <f>'1233 P+ 24 hpi'!T11</f>
        <v>101.03769669069092</v>
      </c>
      <c r="F10">
        <f>'1233 P+ 24 hpi'!U11</f>
        <v>98.665707060642077</v>
      </c>
      <c r="H10">
        <f>'1234 P- 24 hpi'!T11</f>
        <v>100.60274602638013</v>
      </c>
      <c r="I10">
        <f>'1234 P- 24 hpi'!U11</f>
        <v>96.117696619164619</v>
      </c>
      <c r="K10">
        <f>'1234 P+ 24 hpi'!T11</f>
        <v>102.00773607065628</v>
      </c>
      <c r="L10">
        <f>'1234 P+ 24 hpi'!U11</f>
        <v>90.729460307861928</v>
      </c>
      <c r="N10">
        <f>'1250 P- 24 hpi'!AD11</f>
        <v>113.29927980453299</v>
      </c>
      <c r="O10">
        <f>'1250 P- 24 hpi'!AE11</f>
        <v>109.2144252661512</v>
      </c>
      <c r="Q10">
        <f>'1250 P+ 24 hpi'!T11</f>
        <v>104.85401509118151</v>
      </c>
      <c r="R10">
        <f>'1250 P+ 24 hpi'!U11</f>
        <v>100.98903526822653</v>
      </c>
      <c r="T10">
        <f>'1480 P- 24 hpi'!T11</f>
        <v>117.72280334535414</v>
      </c>
      <c r="U10">
        <f>'1480 P- 24 hpi'!U11</f>
        <v>110.05588370493298</v>
      </c>
      <c r="W10">
        <f>'NAD003 P+ 24 hpi'!T11</f>
        <v>103.74194937650489</v>
      </c>
      <c r="X10">
        <f>'NAD003 P+ 24 hpi'!U11</f>
        <v>99.845797133838047</v>
      </c>
    </row>
    <row r="11" spans="1:24" x14ac:dyDescent="0.35">
      <c r="A11" s="3">
        <v>62.031100000000002</v>
      </c>
      <c r="B11">
        <f>'1233 P- 24 hpi'!T12</f>
        <v>100.29858223852993</v>
      </c>
      <c r="C11">
        <f>'1233 P- 24 hpi'!U12</f>
        <v>96.893747702409314</v>
      </c>
      <c r="E11">
        <f>'1233 P+ 24 hpi'!T12</f>
        <v>101.04826232972341</v>
      </c>
      <c r="F11">
        <f>'1233 P+ 24 hpi'!U12</f>
        <v>98.68790741522821</v>
      </c>
      <c r="H11">
        <f>'1234 P- 24 hpi'!T12</f>
        <v>100.55779074055374</v>
      </c>
      <c r="I11">
        <f>'1234 P- 24 hpi'!U12</f>
        <v>96.04852705819583</v>
      </c>
      <c r="K11">
        <f>'1234 P+ 24 hpi'!T12</f>
        <v>102.14950223717916</v>
      </c>
      <c r="L11">
        <f>'1234 P+ 24 hpi'!U12</f>
        <v>90.588067903924298</v>
      </c>
      <c r="N11">
        <f>'1250 P- 24 hpi'!AD12</f>
        <v>115.01397154077418</v>
      </c>
      <c r="O11">
        <f>'1250 P- 24 hpi'!AE12</f>
        <v>110.39430155952341</v>
      </c>
      <c r="Q11">
        <f>'1250 P+ 24 hpi'!T12</f>
        <v>105.36492852611261</v>
      </c>
      <c r="R11">
        <f>'1250 P+ 24 hpi'!U12</f>
        <v>101.0267251798935</v>
      </c>
      <c r="T11">
        <f>'1480 P- 24 hpi'!T12</f>
        <v>119.82415528386325</v>
      </c>
      <c r="U11">
        <f>'1480 P- 24 hpi'!U12</f>
        <v>110.33622223106703</v>
      </c>
      <c r="W11">
        <f>'NAD003 P+ 24 hpi'!T12</f>
        <v>104.15793904038526</v>
      </c>
      <c r="X11">
        <f>'NAD003 P+ 24 hpi'!U12</f>
        <v>100.00893929658909</v>
      </c>
    </row>
    <row r="12" spans="1:24" x14ac:dyDescent="0.35">
      <c r="A12" s="3">
        <v>68.213200000000001</v>
      </c>
      <c r="B12" s="1">
        <f>'1233 P- 24 hpi'!T13</f>
        <v>100.36051075815924</v>
      </c>
      <c r="C12" s="1">
        <f>'1233 P- 24 hpi'!U13</f>
        <v>96.600269021841214</v>
      </c>
      <c r="D12" s="1"/>
      <c r="E12" s="1">
        <f>'1233 P+ 24 hpi'!T13</f>
        <v>101.14108901550884</v>
      </c>
      <c r="F12" s="1">
        <f>'1233 P+ 24 hpi'!U13</f>
        <v>98.551504306352498</v>
      </c>
      <c r="G12" s="1"/>
      <c r="H12" s="1">
        <f>'1234 P- 24 hpi'!T13</f>
        <v>100.57853607813867</v>
      </c>
      <c r="I12" s="1">
        <f>'1234 P- 24 hpi'!U13</f>
        <v>95.600134612292777</v>
      </c>
      <c r="J12" s="1"/>
      <c r="K12" s="1">
        <f>'1234 P+ 24 hpi'!T13</f>
        <v>102.52267440782636</v>
      </c>
      <c r="L12" s="1">
        <f>'1234 P+ 24 hpi'!U13</f>
        <v>90.187900722968706</v>
      </c>
      <c r="M12" s="1"/>
      <c r="N12" s="1">
        <f>'1250 P- 24 hpi'!AD13</f>
        <v>116.7055534631379</v>
      </c>
      <c r="O12" s="1">
        <f>'1250 P- 24 hpi'!AE13</f>
        <v>111.89377596042365</v>
      </c>
      <c r="P12" s="1"/>
      <c r="Q12" s="1">
        <f>'1250 P+ 24 hpi'!T13</f>
        <v>105.82522306062118</v>
      </c>
      <c r="R12" s="1">
        <f>'1250 P+ 24 hpi'!U13</f>
        <v>101.34687282037508</v>
      </c>
      <c r="S12" s="1"/>
      <c r="T12" s="1">
        <f>'1480 P- 24 hpi'!T13</f>
        <v>122.3259478148637</v>
      </c>
      <c r="U12" s="1">
        <f>'1480 P- 24 hpi'!U13</f>
        <v>111.94744119066509</v>
      </c>
      <c r="V12" s="1"/>
      <c r="W12" s="1">
        <f>'NAD003 P+ 24 hpi'!T13</f>
        <v>104.79122212869252</v>
      </c>
      <c r="X12" s="1">
        <f>'NAD003 P+ 24 hpi'!U13</f>
        <v>100.41232505517222</v>
      </c>
    </row>
    <row r="13" spans="1:24" s="1" customFormat="1" x14ac:dyDescent="0.35">
      <c r="A13" s="3">
        <v>74.461600000000004</v>
      </c>
      <c r="B13">
        <f>'1233 P- 24 hpi'!T14</f>
        <v>100.31134377636359</v>
      </c>
      <c r="C13">
        <f>'1233 P- 24 hpi'!U14</f>
        <v>96.366862801789338</v>
      </c>
      <c r="D13"/>
      <c r="E13">
        <f>'1233 P+ 24 hpi'!T14</f>
        <v>101.26385167855301</v>
      </c>
      <c r="F13">
        <f>'1233 P+ 24 hpi'!U14</f>
        <v>98.378961085359833</v>
      </c>
      <c r="G13"/>
      <c r="H13">
        <f>'1234 P- 24 hpi'!T14</f>
        <v>100.55151660855482</v>
      </c>
      <c r="I13">
        <f>'1234 P- 24 hpi'!U14</f>
        <v>95.11661156291477</v>
      </c>
      <c r="J13"/>
      <c r="K13">
        <f>'1234 P+ 24 hpi'!T14</f>
        <v>102.46585889031989</v>
      </c>
      <c r="L13">
        <f>'1234 P+ 24 hpi'!U14</f>
        <v>89.681911554160394</v>
      </c>
      <c r="M13"/>
      <c r="N13">
        <f>'1250 P- 24 hpi'!AD14</f>
        <v>118.66483732746879</v>
      </c>
      <c r="O13">
        <f>'1250 P- 24 hpi'!AE14</f>
        <v>113.30632405435558</v>
      </c>
      <c r="P13"/>
      <c r="Q13">
        <f>'1250 P+ 24 hpi'!T14</f>
        <v>106.58518148563098</v>
      </c>
      <c r="R13">
        <f>'1250 P+ 24 hpi'!U14</f>
        <v>101.52622481382483</v>
      </c>
      <c r="S13"/>
      <c r="T13">
        <f>'1480 P- 24 hpi'!T14</f>
        <v>124.5566039580229</v>
      </c>
      <c r="U13">
        <f>'1480 P- 24 hpi'!U14</f>
        <v>114.08551921822482</v>
      </c>
      <c r="V13"/>
      <c r="W13">
        <f>'NAD003 P+ 24 hpi'!T14</f>
        <v>105.19840259969071</v>
      </c>
      <c r="X13">
        <f>'NAD003 P+ 24 hpi'!U14</f>
        <v>100.85370282425903</v>
      </c>
    </row>
    <row r="14" spans="1:24" x14ac:dyDescent="0.35">
      <c r="A14" s="3">
        <v>80.745000000000005</v>
      </c>
      <c r="B14">
        <f>'1233 P- 24 hpi'!T15</f>
        <v>100.33776742710158</v>
      </c>
      <c r="C14">
        <f>'1233 P- 24 hpi'!U15</f>
        <v>96.171645183775937</v>
      </c>
      <c r="E14">
        <f>'1233 P+ 24 hpi'!T15</f>
        <v>101.3725268228872</v>
      </c>
      <c r="F14">
        <f>'1233 P+ 24 hpi'!U15</f>
        <v>98.217466412928644</v>
      </c>
      <c r="H14">
        <f>'1234 P- 24 hpi'!T15</f>
        <v>100.54788146078529</v>
      </c>
      <c r="I14">
        <f>'1234 P- 24 hpi'!U15</f>
        <v>94.699068430684932</v>
      </c>
      <c r="K14">
        <f>'1234 P+ 24 hpi'!T15</f>
        <v>102.61024227837861</v>
      </c>
      <c r="L14">
        <f>'1234 P+ 24 hpi'!U15</f>
        <v>89.159026437711759</v>
      </c>
      <c r="N14">
        <f>'1250 P- 24 hpi'!AD15</f>
        <v>120.54451433370427</v>
      </c>
      <c r="O14">
        <f>'1250 P- 24 hpi'!AE15</f>
        <v>114.49878874062139</v>
      </c>
      <c r="Q14">
        <f>'1250 P+ 24 hpi'!T15</f>
        <v>107.17236073053196</v>
      </c>
      <c r="R14">
        <f>'1250 P+ 24 hpi'!U15</f>
        <v>101.67178585198695</v>
      </c>
      <c r="T14">
        <f>'1480 P- 24 hpi'!T15</f>
        <v>126.58393971538764</v>
      </c>
      <c r="U14">
        <f>'1480 P- 24 hpi'!U15</f>
        <v>113.58819729015535</v>
      </c>
      <c r="W14">
        <f>'NAD003 P+ 24 hpi'!T15</f>
        <v>105.67507781453713</v>
      </c>
      <c r="X14">
        <f>'NAD003 P+ 24 hpi'!U15</f>
        <v>100.27600078218846</v>
      </c>
    </row>
    <row r="15" spans="1:24" x14ac:dyDescent="0.35">
      <c r="A15" s="3">
        <v>86.833600000000004</v>
      </c>
      <c r="B15">
        <f>'1233 P- 24 hpi'!T16</f>
        <v>100.28900723087509</v>
      </c>
      <c r="C15">
        <f>'1233 P- 24 hpi'!U16</f>
        <v>96.285885028921939</v>
      </c>
      <c r="E15">
        <f>'1233 P+ 24 hpi'!T16</f>
        <v>101.44371910493946</v>
      </c>
      <c r="F15">
        <f>'1233 P+ 24 hpi'!U16</f>
        <v>98.455578123047786</v>
      </c>
      <c r="H15">
        <f>'1234 P- 24 hpi'!T16</f>
        <v>100.58915331927871</v>
      </c>
      <c r="I15">
        <f>'1234 P- 24 hpi'!U16</f>
        <v>94.885813237447692</v>
      </c>
      <c r="K15">
        <f>'1234 P+ 24 hpi'!T16</f>
        <v>102.71013290032857</v>
      </c>
      <c r="L15">
        <f>'1234 P+ 24 hpi'!U16</f>
        <v>89.047868887446285</v>
      </c>
      <c r="N15">
        <f>'1250 P- 24 hpi'!AD16</f>
        <v>122.47130926697859</v>
      </c>
      <c r="O15">
        <f>'1250 P- 24 hpi'!AE16</f>
        <v>116.49394184092068</v>
      </c>
      <c r="Q15">
        <f>'1250 P+ 24 hpi'!T16</f>
        <v>107.57528717789506</v>
      </c>
      <c r="R15">
        <f>'1250 P+ 24 hpi'!U16</f>
        <v>102.03135627363741</v>
      </c>
      <c r="T15">
        <f>'1480 P- 24 hpi'!T16</f>
        <v>129.23890447036888</v>
      </c>
      <c r="U15">
        <f>'1480 P- 24 hpi'!U16</f>
        <v>115.58178314326308</v>
      </c>
      <c r="W15">
        <f>'NAD003 P+ 24 hpi'!T16</f>
        <v>106.27801812736135</v>
      </c>
      <c r="X15">
        <f>'NAD003 P+ 24 hpi'!U16</f>
        <v>100.20057546721792</v>
      </c>
    </row>
    <row r="16" spans="1:24" x14ac:dyDescent="0.35">
      <c r="A16" s="3">
        <v>93.167199999999994</v>
      </c>
      <c r="B16">
        <f>'1233 P- 24 hpi'!T17</f>
        <v>100.40404724322069</v>
      </c>
      <c r="C16">
        <f>'1233 P- 24 hpi'!U17</f>
        <v>95.955277453570957</v>
      </c>
      <c r="E16">
        <f>'1233 P+ 24 hpi'!T17</f>
        <v>101.57503490434323</v>
      </c>
      <c r="F16">
        <f>'1233 P+ 24 hpi'!U17</f>
        <v>98.22479769281523</v>
      </c>
      <c r="H16">
        <f>'1234 P- 24 hpi'!T17</f>
        <v>100.57652630068982</v>
      </c>
      <c r="I16">
        <f>'1234 P- 24 hpi'!U17</f>
        <v>94.529836558373475</v>
      </c>
      <c r="K16">
        <f>'1234 P+ 24 hpi'!T17</f>
        <v>102.8756721624684</v>
      </c>
      <c r="L16">
        <f>'1234 P+ 24 hpi'!U17</f>
        <v>88.629916498448239</v>
      </c>
      <c r="N16">
        <f>'1250 P- 24 hpi'!AD17</f>
        <v>124.38815506737937</v>
      </c>
      <c r="O16">
        <f>'1250 P- 24 hpi'!AE17</f>
        <v>118.18929070839218</v>
      </c>
      <c r="Q16">
        <f>'1250 P+ 24 hpi'!T17</f>
        <v>107.98766248667036</v>
      </c>
      <c r="R16">
        <f>'1250 P+ 24 hpi'!U17</f>
        <v>102.14052705225902</v>
      </c>
      <c r="T16">
        <f>'1480 P- 24 hpi'!T17</f>
        <v>132.19188830457122</v>
      </c>
      <c r="U16">
        <f>'1480 P- 24 hpi'!U17</f>
        <v>117.05211632517522</v>
      </c>
      <c r="W16">
        <f>'NAD003 P+ 24 hpi'!T17</f>
        <v>106.6969441888691</v>
      </c>
      <c r="X16">
        <f>'NAD003 P+ 24 hpi'!U17</f>
        <v>100.69167807358158</v>
      </c>
    </row>
    <row r="17" spans="1:24" x14ac:dyDescent="0.35">
      <c r="A17" s="3">
        <v>99.287099999999995</v>
      </c>
      <c r="B17">
        <f>'1233 P- 24 hpi'!T18</f>
        <v>100.51729966596109</v>
      </c>
      <c r="C17">
        <f>'1233 P- 24 hpi'!U18</f>
        <v>95.70283725451543</v>
      </c>
      <c r="E17">
        <f>'1233 P+ 24 hpi'!T18</f>
        <v>101.58258178936643</v>
      </c>
      <c r="F17">
        <f>'1233 P+ 24 hpi'!U18</f>
        <v>98.344782865043527</v>
      </c>
      <c r="H17">
        <f>'1234 P- 24 hpi'!T18</f>
        <v>100.5651329292221</v>
      </c>
      <c r="I17">
        <f>'1234 P- 24 hpi'!U18</f>
        <v>93.992938888201877</v>
      </c>
      <c r="K17">
        <f>'1234 P+ 24 hpi'!T18</f>
        <v>103.02605334988</v>
      </c>
      <c r="L17">
        <f>'1234 P+ 24 hpi'!U18</f>
        <v>88.533342818777626</v>
      </c>
      <c r="N17">
        <f>'1250 P- 24 hpi'!AD18</f>
        <v>126.79526450981805</v>
      </c>
      <c r="O17">
        <f>'1250 P- 24 hpi'!AE18</f>
        <v>119.9255566267291</v>
      </c>
      <c r="Q17">
        <f>'1250 P+ 24 hpi'!T18</f>
        <v>108.52354791247653</v>
      </c>
      <c r="R17">
        <f>'1250 P+ 24 hpi'!U18</f>
        <v>102.10760253172235</v>
      </c>
      <c r="T17">
        <f>'1480 P- 24 hpi'!T18</f>
        <v>134.81684430145728</v>
      </c>
      <c r="U17">
        <f>'1480 P- 24 hpi'!U18</f>
        <v>117.15710907327525</v>
      </c>
      <c r="W17">
        <f>'NAD003 P+ 24 hpi'!T18</f>
        <v>107.20200458078028</v>
      </c>
      <c r="X17">
        <f>'NAD003 P+ 24 hpi'!U18</f>
        <v>100.92745202111911</v>
      </c>
    </row>
    <row r="18" spans="1:24" x14ac:dyDescent="0.35">
      <c r="A18" s="3">
        <v>105.572</v>
      </c>
      <c r="B18">
        <f>'1233 P- 24 hpi'!T19</f>
        <v>100.61329115888094</v>
      </c>
      <c r="C18">
        <f>'1233 P- 24 hpi'!U19</f>
        <v>95.522152256176284</v>
      </c>
      <c r="E18">
        <f>'1233 P+ 24 hpi'!T19</f>
        <v>101.66081783077369</v>
      </c>
      <c r="F18">
        <f>'1233 P+ 24 hpi'!U19</f>
        <v>97.898710624057131</v>
      </c>
      <c r="H18">
        <f>'1234 P- 24 hpi'!T19</f>
        <v>100.57304108009238</v>
      </c>
      <c r="I18">
        <f>'1234 P- 24 hpi'!U19</f>
        <v>94.238231473480099</v>
      </c>
      <c r="K18">
        <f>'1234 P+ 24 hpi'!T19</f>
        <v>103.15844113923292</v>
      </c>
      <c r="L18">
        <f>'1234 P+ 24 hpi'!U19</f>
        <v>87.990004713080111</v>
      </c>
      <c r="N18">
        <f>'1250 P- 24 hpi'!AD19</f>
        <v>128.89193657275567</v>
      </c>
      <c r="O18">
        <f>'1250 P- 24 hpi'!AE19</f>
        <v>122.37498508654672</v>
      </c>
      <c r="Q18">
        <f>'1250 P+ 24 hpi'!T19</f>
        <v>109.05605874492122</v>
      </c>
      <c r="R18">
        <f>'1250 P+ 24 hpi'!U19</f>
        <v>103.03382128050391</v>
      </c>
      <c r="T18">
        <f>'1480 P- 24 hpi'!T19</f>
        <v>137.28296079853888</v>
      </c>
      <c r="U18">
        <f>'1480 P- 24 hpi'!U19</f>
        <v>119.23921715465313</v>
      </c>
      <c r="W18">
        <f>'NAD003 P+ 24 hpi'!T19</f>
        <v>107.5935242644324</v>
      </c>
      <c r="X18">
        <f>'NAD003 P+ 24 hpi'!U19</f>
        <v>101.25429505265804</v>
      </c>
    </row>
    <row r="19" spans="1:24" x14ac:dyDescent="0.35">
      <c r="A19" s="3">
        <v>111.81699999999999</v>
      </c>
      <c r="B19">
        <f>'1233 P- 24 hpi'!T20</f>
        <v>100.70008714001483</v>
      </c>
      <c r="C19">
        <f>'1233 P- 24 hpi'!U20</f>
        <v>95.840408120006316</v>
      </c>
      <c r="E19">
        <f>'1233 P+ 24 hpi'!T20</f>
        <v>101.71616165427719</v>
      </c>
      <c r="F19">
        <f>'1233 P+ 24 hpi'!U20</f>
        <v>97.882292687409716</v>
      </c>
      <c r="H19">
        <f>'1234 P- 24 hpi'!T20</f>
        <v>100.51318790520072</v>
      </c>
      <c r="I19">
        <f>'1234 P- 24 hpi'!U20</f>
        <v>94.611623743715953</v>
      </c>
      <c r="K19">
        <f>'1234 P+ 24 hpi'!T20</f>
        <v>103.27065451258066</v>
      </c>
      <c r="L19">
        <f>'1234 P+ 24 hpi'!U20</f>
        <v>88.095826700932832</v>
      </c>
      <c r="N19">
        <f>'1250 P- 24 hpi'!AD20</f>
        <v>130.94585560726884</v>
      </c>
      <c r="O19">
        <f>'1250 P- 24 hpi'!AE20</f>
        <v>124.71647007081572</v>
      </c>
      <c r="Q19">
        <f>'1250 P+ 24 hpi'!T20</f>
        <v>109.47518324041954</v>
      </c>
      <c r="R19">
        <f>'1250 P+ 24 hpi'!U20</f>
        <v>103.29765066217276</v>
      </c>
      <c r="T19">
        <f>'1480 P- 24 hpi'!T20</f>
        <v>140.35432980405244</v>
      </c>
      <c r="U19">
        <f>'1480 P- 24 hpi'!U20</f>
        <v>121.48484728166427</v>
      </c>
      <c r="W19">
        <f>'NAD003 P+ 24 hpi'!T20</f>
        <v>108.01049272752188</v>
      </c>
      <c r="X19">
        <f>'NAD003 P+ 24 hpi'!U20</f>
        <v>101.51968042014694</v>
      </c>
    </row>
    <row r="20" spans="1:24" x14ac:dyDescent="0.35">
      <c r="A20" s="3">
        <v>117.977</v>
      </c>
      <c r="B20">
        <f>'1233 P- 24 hpi'!T21</f>
        <v>100.81706885460282</v>
      </c>
      <c r="C20">
        <f>'1233 P- 24 hpi'!U21</f>
        <v>95.763600650751414</v>
      </c>
      <c r="E20">
        <f>'1233 P+ 24 hpi'!T21</f>
        <v>101.78836018766589</v>
      </c>
      <c r="F20">
        <f>'1233 P+ 24 hpi'!U21</f>
        <v>97.914405758462195</v>
      </c>
      <c r="H20">
        <f>'1234 P- 24 hpi'!T21</f>
        <v>100.57978440443488</v>
      </c>
      <c r="I20">
        <f>'1234 P- 24 hpi'!U21</f>
        <v>94.124160280104817</v>
      </c>
      <c r="K20">
        <f>'1234 P+ 24 hpi'!T21</f>
        <v>103.42703349934514</v>
      </c>
      <c r="L20">
        <f>'1234 P+ 24 hpi'!U21</f>
        <v>87.973197691479982</v>
      </c>
      <c r="N20">
        <f>'1250 P- 24 hpi'!AD21</f>
        <v>133.21245677144</v>
      </c>
      <c r="O20">
        <f>'1250 P- 24 hpi'!AE21</f>
        <v>124.41015949260002</v>
      </c>
      <c r="Q20">
        <f>'1250 P+ 24 hpi'!T21</f>
        <v>109.77619696826532</v>
      </c>
      <c r="R20">
        <f>'1250 P+ 24 hpi'!U21</f>
        <v>103.53245447968426</v>
      </c>
      <c r="T20">
        <f>'1480 P- 24 hpi'!T21</f>
        <v>142.98504205983889</v>
      </c>
      <c r="U20">
        <f>'1480 P- 24 hpi'!U21</f>
        <v>121.84624560101783</v>
      </c>
      <c r="W20">
        <f>'NAD003 P+ 24 hpi'!T21</f>
        <v>108.50576512734177</v>
      </c>
      <c r="X20">
        <f>'NAD003 P+ 24 hpi'!U21</f>
        <v>101.35206860910131</v>
      </c>
    </row>
    <row r="21" spans="1:24" x14ac:dyDescent="0.35">
      <c r="A21" s="3">
        <v>124.10599999999999</v>
      </c>
      <c r="B21">
        <f>'1233 P- 24 hpi'!T22</f>
        <v>100.95523808101484</v>
      </c>
      <c r="C21">
        <f>'1233 P- 24 hpi'!U22</f>
        <v>95.555114781643724</v>
      </c>
      <c r="E21">
        <f>'1233 P+ 24 hpi'!T22</f>
        <v>101.83691181464852</v>
      </c>
      <c r="F21">
        <f>'1233 P+ 24 hpi'!U22</f>
        <v>97.726890205306816</v>
      </c>
      <c r="H21">
        <f>'1234 P- 24 hpi'!T22</f>
        <v>100.64300967796267</v>
      </c>
      <c r="I21">
        <f>'1234 P- 24 hpi'!U22</f>
        <v>93.967434429800974</v>
      </c>
      <c r="K21">
        <f>'1234 P+ 24 hpi'!T22</f>
        <v>103.55037006422008</v>
      </c>
      <c r="L21">
        <f>'1234 P+ 24 hpi'!U22</f>
        <v>87.905258196757757</v>
      </c>
      <c r="N21">
        <f>'1250 P- 24 hpi'!AD22</f>
        <v>135.20969775988357</v>
      </c>
      <c r="O21">
        <f>'1250 P- 24 hpi'!AE22</f>
        <v>126.83659178134454</v>
      </c>
      <c r="Q21">
        <f>'1250 P+ 24 hpi'!T22</f>
        <v>110.32153125548372</v>
      </c>
      <c r="R21">
        <f>'1250 P+ 24 hpi'!U22</f>
        <v>103.43064839644589</v>
      </c>
      <c r="T21">
        <f>'1480 P- 24 hpi'!T22</f>
        <v>145.66493351520401</v>
      </c>
      <c r="U21">
        <f>'1480 P- 24 hpi'!U22</f>
        <v>124.19135612581664</v>
      </c>
      <c r="W21">
        <f>'NAD003 P+ 24 hpi'!T22</f>
        <v>109.24671612865336</v>
      </c>
      <c r="X21">
        <f>'NAD003 P+ 24 hpi'!U22</f>
        <v>101.85658016034864</v>
      </c>
    </row>
    <row r="22" spans="1:24" x14ac:dyDescent="0.35">
      <c r="A22" s="3">
        <v>130.37799999999999</v>
      </c>
      <c r="B22">
        <f>'1233 P- 24 hpi'!T23</f>
        <v>101.17196720872683</v>
      </c>
      <c r="C22">
        <f>'1233 P- 24 hpi'!U23</f>
        <v>95.784048544059658</v>
      </c>
      <c r="E22">
        <f>'1233 P+ 24 hpi'!T23</f>
        <v>101.86735091757544</v>
      </c>
      <c r="F22">
        <f>'1233 P+ 24 hpi'!U23</f>
        <v>97.783785067525201</v>
      </c>
      <c r="H22">
        <f>'1234 P- 24 hpi'!T23</f>
        <v>100.68106355518245</v>
      </c>
      <c r="I22">
        <f>'1234 P- 24 hpi'!U23</f>
        <v>94.210160035280879</v>
      </c>
      <c r="K22">
        <f>'1234 P+ 24 hpi'!T23</f>
        <v>103.65942096154539</v>
      </c>
      <c r="L22">
        <f>'1234 P+ 24 hpi'!U23</f>
        <v>87.863107253697081</v>
      </c>
      <c r="N22">
        <f>'1250 P- 24 hpi'!AD23</f>
        <v>137.3210567298118</v>
      </c>
      <c r="O22">
        <f>'1250 P- 24 hpi'!AE23</f>
        <v>128.42198668931528</v>
      </c>
      <c r="Q22">
        <f>'1250 P+ 24 hpi'!T23</f>
        <v>110.93570724727668</v>
      </c>
      <c r="R22">
        <f>'1250 P+ 24 hpi'!U23</f>
        <v>103.78761951384345</v>
      </c>
      <c r="T22">
        <f>'1480 P- 24 hpi'!T23</f>
        <v>147.948298461669</v>
      </c>
      <c r="U22">
        <f>'1480 P- 24 hpi'!U23</f>
        <v>125.82487637863302</v>
      </c>
      <c r="W22">
        <f>'NAD003 P+ 24 hpi'!T23</f>
        <v>109.88097801616976</v>
      </c>
      <c r="X22">
        <f>'NAD003 P+ 24 hpi'!U23</f>
        <v>101.9806129005224</v>
      </c>
    </row>
    <row r="23" spans="1:24" x14ac:dyDescent="0.35">
      <c r="A23" s="3">
        <v>136.60400000000001</v>
      </c>
      <c r="B23">
        <f>'1233 P- 24 hpi'!T24</f>
        <v>101.39348447087815</v>
      </c>
      <c r="C23">
        <f>'1233 P- 24 hpi'!U24</f>
        <v>95.679336128933372</v>
      </c>
      <c r="E23">
        <f>'1233 P+ 24 hpi'!T24</f>
        <v>101.87590405393507</v>
      </c>
      <c r="F23">
        <f>'1233 P+ 24 hpi'!U24</f>
        <v>97.827772746844701</v>
      </c>
      <c r="H23">
        <f>'1234 P- 24 hpi'!T24</f>
        <v>100.76008910579969</v>
      </c>
      <c r="I23">
        <f>'1234 P- 24 hpi'!U24</f>
        <v>94.008694009877487</v>
      </c>
      <c r="K23">
        <f>'1234 P+ 24 hpi'!T24</f>
        <v>103.80424055319341</v>
      </c>
      <c r="L23">
        <f>'1234 P+ 24 hpi'!U24</f>
        <v>87.554711746240642</v>
      </c>
      <c r="N23">
        <f>'1250 P- 24 hpi'!AD24</f>
        <v>139.62987239618752</v>
      </c>
      <c r="O23">
        <f>'1250 P- 24 hpi'!AE24</f>
        <v>129.18565288422786</v>
      </c>
      <c r="Q23">
        <f>'1250 P+ 24 hpi'!T24</f>
        <v>111.4054506431975</v>
      </c>
      <c r="R23">
        <f>'1250 P+ 24 hpi'!U24</f>
        <v>104.28322019139544</v>
      </c>
      <c r="T23">
        <f>'1480 P- 24 hpi'!T24</f>
        <v>151.05351751800873</v>
      </c>
      <c r="U23">
        <f>'1480 P- 24 hpi'!U24</f>
        <v>126.96793319909666</v>
      </c>
      <c r="W23">
        <f>'NAD003 P+ 24 hpi'!T24</f>
        <v>110.42323277802792</v>
      </c>
      <c r="X23">
        <f>'NAD003 P+ 24 hpi'!U24</f>
        <v>102.62033131267985</v>
      </c>
    </row>
    <row r="24" spans="1:24" x14ac:dyDescent="0.35">
      <c r="A24" s="3">
        <v>142.80099999999999</v>
      </c>
      <c r="B24">
        <f>'1233 P- 24 hpi'!T25</f>
        <v>101.59783708318805</v>
      </c>
      <c r="C24">
        <f>'1233 P- 24 hpi'!U25</f>
        <v>95.840256854028823</v>
      </c>
      <c r="E24">
        <f>'1233 P+ 24 hpi'!T25</f>
        <v>102.0049557878319</v>
      </c>
      <c r="F24">
        <f>'1233 P+ 24 hpi'!U25</f>
        <v>97.691163123042614</v>
      </c>
      <c r="H24">
        <f>'1234 P- 24 hpi'!T25</f>
        <v>100.92359631085476</v>
      </c>
      <c r="I24">
        <f>'1234 P- 24 hpi'!U25</f>
        <v>93.781911798240401</v>
      </c>
      <c r="K24">
        <f>'1234 P+ 24 hpi'!T25</f>
        <v>103.90543978591128</v>
      </c>
      <c r="L24">
        <f>'1234 P+ 24 hpi'!U25</f>
        <v>87.407361297608773</v>
      </c>
      <c r="N24">
        <f>'1250 P- 24 hpi'!AD25</f>
        <v>141.81285944750951</v>
      </c>
      <c r="O24">
        <f>'1250 P- 24 hpi'!AE25</f>
        <v>130.95449880444957</v>
      </c>
      <c r="Q24">
        <f>'1250 P+ 24 hpi'!T25</f>
        <v>111.91433932211167</v>
      </c>
      <c r="R24">
        <f>'1250 P+ 24 hpi'!U25</f>
        <v>104.1749158475248</v>
      </c>
      <c r="T24">
        <f>'1480 P- 24 hpi'!T25</f>
        <v>154.21206210689493</v>
      </c>
      <c r="U24">
        <f>'1480 P- 24 hpi'!U25</f>
        <v>129.36353469246032</v>
      </c>
      <c r="W24">
        <f>'NAD003 P+ 24 hpi'!T25</f>
        <v>111.04672787424389</v>
      </c>
      <c r="X24">
        <f>'NAD003 P+ 24 hpi'!U25</f>
        <v>102.93991116574016</v>
      </c>
    </row>
    <row r="25" spans="1:24" x14ac:dyDescent="0.35">
      <c r="A25" s="3">
        <v>148.94900000000001</v>
      </c>
      <c r="B25">
        <f>'1233 P- 24 hpi'!T26</f>
        <v>101.77508459774326</v>
      </c>
      <c r="C25">
        <f>'1233 P- 24 hpi'!U26</f>
        <v>96.015709263238321</v>
      </c>
      <c r="E25">
        <f>'1233 P+ 24 hpi'!T26</f>
        <v>102.04948240946882</v>
      </c>
      <c r="F25">
        <f>'1233 P+ 24 hpi'!U26</f>
        <v>97.907177736038804</v>
      </c>
      <c r="H25">
        <f>'1234 P- 24 hpi'!T26</f>
        <v>100.96260949624104</v>
      </c>
      <c r="I25">
        <f>'1234 P- 24 hpi'!U26</f>
        <v>93.734809821821386</v>
      </c>
      <c r="K25">
        <f>'1234 P+ 24 hpi'!T26</f>
        <v>104.05189514101917</v>
      </c>
      <c r="L25">
        <f>'1234 P+ 24 hpi'!U26</f>
        <v>87.168505953598384</v>
      </c>
      <c r="N25">
        <f>'1250 P- 24 hpi'!AD26</f>
        <v>144.18453931162429</v>
      </c>
      <c r="O25">
        <f>'1250 P- 24 hpi'!AE26</f>
        <v>132.4373107041165</v>
      </c>
      <c r="Q25">
        <f>'1250 P+ 24 hpi'!T26</f>
        <v>112.36316023919117</v>
      </c>
      <c r="R25">
        <f>'1250 P+ 24 hpi'!U26</f>
        <v>104.72726800126499</v>
      </c>
      <c r="T25">
        <f>'1480 P- 24 hpi'!T26</f>
        <v>156.95599063366748</v>
      </c>
      <c r="U25">
        <f>'1480 P- 24 hpi'!U26</f>
        <v>130.62236064328391</v>
      </c>
      <c r="W25">
        <f>'NAD003 P+ 24 hpi'!T26</f>
        <v>111.59974942740247</v>
      </c>
      <c r="X25">
        <f>'NAD003 P+ 24 hpi'!U26</f>
        <v>103.45894907394475</v>
      </c>
    </row>
    <row r="26" spans="1:24" x14ac:dyDescent="0.35">
      <c r="A26" s="3">
        <v>155.233</v>
      </c>
      <c r="B26">
        <f>'1233 P- 24 hpi'!T27</f>
        <v>102.05870455562253</v>
      </c>
      <c r="C26">
        <f>'1233 P- 24 hpi'!U27</f>
        <v>95.986550688644513</v>
      </c>
      <c r="E26">
        <f>'1233 P+ 24 hpi'!T27</f>
        <v>101.97728387608014</v>
      </c>
      <c r="F26">
        <f>'1233 P+ 24 hpi'!U27</f>
        <v>97.224439389417967</v>
      </c>
      <c r="H26">
        <f>'1234 P- 24 hpi'!T27</f>
        <v>101.04657908385775</v>
      </c>
      <c r="I26">
        <f>'1234 P- 24 hpi'!U27</f>
        <v>93.470051829958493</v>
      </c>
      <c r="K26">
        <f>'1234 P+ 24 hpi'!T27</f>
        <v>104.17512265499678</v>
      </c>
      <c r="L26">
        <f>'1234 P+ 24 hpi'!U27</f>
        <v>87.26925915715897</v>
      </c>
      <c r="N26">
        <f>'1250 P- 24 hpi'!AD27</f>
        <v>146.46257686948255</v>
      </c>
      <c r="O26">
        <f>'1250 P- 24 hpi'!AE27</f>
        <v>134.47607853442267</v>
      </c>
      <c r="Q26">
        <f>'1250 P+ 24 hpi'!T27</f>
        <v>112.87204891810536</v>
      </c>
      <c r="R26">
        <f>'1250 P+ 24 hpi'!U27</f>
        <v>105.39009058575321</v>
      </c>
      <c r="T26">
        <f>'1480 P- 24 hpi'!T27</f>
        <v>159.96680185399973</v>
      </c>
      <c r="U26">
        <f>'1480 P- 24 hpi'!U27</f>
        <v>132.66969973693645</v>
      </c>
      <c r="W26">
        <f>'NAD003 P+ 24 hpi'!T27</f>
        <v>112.27707848012058</v>
      </c>
      <c r="X26">
        <f>'NAD003 P+ 24 hpi'!U27</f>
        <v>103.51202614744253</v>
      </c>
    </row>
    <row r="27" spans="1:24" x14ac:dyDescent="0.35">
      <c r="A27" s="3">
        <v>161.44499999999999</v>
      </c>
      <c r="B27">
        <f>'1233 P- 24 hpi'!T28</f>
        <v>102.30158372502031</v>
      </c>
      <c r="C27">
        <f>'1233 P- 24 hpi'!U28</f>
        <v>96.172580939430532</v>
      </c>
      <c r="E27">
        <f>'1233 P+ 24 hpi'!T28</f>
        <v>102.03388551375421</v>
      </c>
      <c r="F27">
        <f>'1233 P+ 24 hpi'!U28</f>
        <v>97.12871972103963</v>
      </c>
      <c r="H27">
        <f>'1234 P- 24 hpi'!T28</f>
        <v>101.18117205113981</v>
      </c>
      <c r="I27">
        <f>'1234 P- 24 hpi'!U28</f>
        <v>93.619656288019613</v>
      </c>
      <c r="K27">
        <f>'1234 P+ 24 hpi'!T28</f>
        <v>104.31874268677421</v>
      </c>
      <c r="L27">
        <f>'1234 P+ 24 hpi'!U28</f>
        <v>87.084381919557501</v>
      </c>
      <c r="N27">
        <f>'1250 P- 24 hpi'!AD28</f>
        <v>148.6930579841258</v>
      </c>
      <c r="O27">
        <f>'1250 P- 24 hpi'!AE28</f>
        <v>135.857746120125</v>
      </c>
      <c r="Q27">
        <f>'1250 P+ 24 hpi'!T28</f>
        <v>113.25202813061026</v>
      </c>
      <c r="R27">
        <f>'1250 P+ 24 hpi'!U28</f>
        <v>106.18114551338425</v>
      </c>
      <c r="T27">
        <f>'1480 P- 24 hpi'!T28</f>
        <v>163.01692712106271</v>
      </c>
      <c r="U27">
        <f>'1480 P- 24 hpi'!U28</f>
        <v>132.63537412139007</v>
      </c>
      <c r="W27">
        <f>'NAD003 P+ 24 hpi'!T28</f>
        <v>112.96908952097566</v>
      </c>
      <c r="X27">
        <f>'NAD003 P+ 24 hpi'!U28</f>
        <v>104.08525854121855</v>
      </c>
    </row>
    <row r="28" spans="1:24" x14ac:dyDescent="0.35">
      <c r="A28" s="3">
        <v>167.59</v>
      </c>
      <c r="B28">
        <f>'1233 P- 24 hpi'!T29</f>
        <v>102.58236634634761</v>
      </c>
      <c r="C28">
        <f>'1233 P- 24 hpi'!U29</f>
        <v>96.168985839042023</v>
      </c>
      <c r="E28">
        <f>'1233 P+ 24 hpi'!T29</f>
        <v>102.0114964215187</v>
      </c>
      <c r="F28">
        <f>'1233 P+ 24 hpi'!U29</f>
        <v>97.576134309047518</v>
      </c>
      <c r="H28">
        <f>'1234 P- 24 hpi'!T29</f>
        <v>101.34148248640112</v>
      </c>
      <c r="I28">
        <f>'1234 P- 24 hpi'!U29</f>
        <v>94.001311077931277</v>
      </c>
      <c r="K28">
        <f>'1234 P+ 24 hpi'!T29</f>
        <v>104.44993091625653</v>
      </c>
      <c r="L28">
        <f>'1234 P+ 24 hpi'!U29</f>
        <v>87.215458902830505</v>
      </c>
      <c r="N28">
        <f>'1250 P- 24 hpi'!AD29</f>
        <v>150.77619521374839</v>
      </c>
      <c r="O28">
        <f>'1250 P- 24 hpi'!AE29</f>
        <v>137.95594415926354</v>
      </c>
      <c r="Q28">
        <f>'1250 P+ 24 hpi'!T29</f>
        <v>113.83988229418355</v>
      </c>
      <c r="R28">
        <f>'1250 P+ 24 hpi'!U29</f>
        <v>105.4520406704472</v>
      </c>
      <c r="T28">
        <f>'1480 P- 24 hpi'!T29</f>
        <v>166.61360085158995</v>
      </c>
      <c r="U28">
        <f>'1480 P- 24 hpi'!U29</f>
        <v>135.76781588127062</v>
      </c>
      <c r="W28">
        <f>'NAD003 P+ 24 hpi'!T29</f>
        <v>113.56517823933598</v>
      </c>
      <c r="X28">
        <f>'NAD003 P+ 24 hpi'!U29</f>
        <v>104.69983518171915</v>
      </c>
    </row>
    <row r="29" spans="1:24" x14ac:dyDescent="0.35">
      <c r="A29" s="3">
        <v>173.74799999999999</v>
      </c>
      <c r="B29">
        <f>'1233 P- 24 hpi'!T30</f>
        <v>102.89739145936564</v>
      </c>
      <c r="C29">
        <f>'1233 P- 24 hpi'!U30</f>
        <v>96.510279466099703</v>
      </c>
      <c r="E29">
        <f>'1233 P+ 24 hpi'!T30</f>
        <v>102.12771845087607</v>
      </c>
      <c r="F29">
        <f>'1233 P+ 24 hpi'!U30</f>
        <v>97.239101949191124</v>
      </c>
      <c r="H29">
        <f>'1234 P- 24 hpi'!T30</f>
        <v>101.48343187107746</v>
      </c>
      <c r="I29">
        <f>'1234 P- 24 hpi'!U30</f>
        <v>93.881936696349598</v>
      </c>
      <c r="K29">
        <f>'1234 P+ 24 hpi'!T30</f>
        <v>104.6509117200271</v>
      </c>
      <c r="L29">
        <f>'1234 P+ 24 hpi'!U30</f>
        <v>87.484549100513092</v>
      </c>
      <c r="N29">
        <f>'1250 P- 24 hpi'!AD30</f>
        <v>153.18568170122199</v>
      </c>
      <c r="O29">
        <f>'1250 P- 24 hpi'!AE30</f>
        <v>138.78410738646889</v>
      </c>
      <c r="Q29">
        <f>'1250 P+ 24 hpi'!T30</f>
        <v>114.41356316563854</v>
      </c>
      <c r="R29">
        <f>'1250 P+ 24 hpi'!U30</f>
        <v>106.20020707790549</v>
      </c>
      <c r="T29">
        <f>'1480 P- 24 hpi'!T30</f>
        <v>169.45504977084283</v>
      </c>
      <c r="U29">
        <f>'1480 P- 24 hpi'!U30</f>
        <v>137.21446157784655</v>
      </c>
      <c r="W29">
        <f>'NAD003 P+ 24 hpi'!T30</f>
        <v>114.18280054029717</v>
      </c>
      <c r="X29">
        <f>'NAD003 P+ 24 hpi'!U30</f>
        <v>104.79258038383104</v>
      </c>
    </row>
    <row r="30" spans="1:24" x14ac:dyDescent="0.35">
      <c r="A30" s="3">
        <v>179.999</v>
      </c>
      <c r="B30">
        <f>'1233 P- 24 hpi'!T31</f>
        <v>103.24115509495239</v>
      </c>
      <c r="C30">
        <f>'1233 P- 24 hpi'!U31</f>
        <v>96.582426746977845</v>
      </c>
      <c r="E30">
        <f>'1233 P+ 24 hpi'!T31</f>
        <v>102.205199803781</v>
      </c>
      <c r="F30">
        <f>'1233 P+ 24 hpi'!U31</f>
        <v>97.332859725768813</v>
      </c>
      <c r="H30">
        <f>'1234 P- 24 hpi'!T31</f>
        <v>101.63918089825135</v>
      </c>
      <c r="I30">
        <f>'1234 P- 24 hpi'!U31</f>
        <v>94.057453308544879</v>
      </c>
      <c r="K30">
        <f>'1234 P+ 24 hpi'!T31</f>
        <v>104.73717097981144</v>
      </c>
      <c r="L30">
        <f>'1234 P+ 24 hpi'!U31</f>
        <v>87.249517576231824</v>
      </c>
      <c r="N30">
        <f>'1250 P- 24 hpi'!AD31</f>
        <v>155.3020955279402</v>
      </c>
      <c r="O30">
        <f>'1250 P- 24 hpi'!AE31</f>
        <v>140.56167204376919</v>
      </c>
      <c r="Q30">
        <f>'1250 P+ 24 hpi'!T31</f>
        <v>114.90625379641753</v>
      </c>
      <c r="R30">
        <f>'1250 P+ 24 hpi'!U31</f>
        <v>106.42201437415252</v>
      </c>
      <c r="T30">
        <f>'1480 P- 24 hpi'!T31</f>
        <v>172.54111024790299</v>
      </c>
      <c r="U30">
        <f>'1480 P- 24 hpi'!U31</f>
        <v>139.54636838493681</v>
      </c>
      <c r="W30">
        <f>'NAD003 P+ 24 hpi'!T31</f>
        <v>114.98150069494744</v>
      </c>
      <c r="X30">
        <f>'NAD003 P+ 24 hpi'!U31</f>
        <v>105.68259910048327</v>
      </c>
    </row>
    <row r="31" spans="1:24" x14ac:dyDescent="0.35">
      <c r="A31" s="4">
        <v>193.20699999999999</v>
      </c>
      <c r="B31">
        <f>'1233 P- 24 hpi'!T32</f>
        <v>0.66399296041515787</v>
      </c>
      <c r="C31">
        <f>'1233 P- 24 hpi'!U32</f>
        <v>16.290445155083905</v>
      </c>
      <c r="E31">
        <f>'1233 P+ 24 hpi'!T32</f>
        <v>1.5423770172194762</v>
      </c>
      <c r="F31">
        <f>'1233 P+ 24 hpi'!U32</f>
        <v>20.259837080374577</v>
      </c>
      <c r="H31">
        <f>'1234 P- 24 hpi'!T32</f>
        <v>0.59264253584825866</v>
      </c>
      <c r="I31">
        <f>'1234 P- 24 hpi'!U32</f>
        <v>18.094883494829759</v>
      </c>
      <c r="K31">
        <f>'1234 P+ 24 hpi'!T32</f>
        <v>6.0792276579247836E-2</v>
      </c>
      <c r="L31">
        <f>'1234 P+ 24 hpi'!U32</f>
        <v>9.7526077561292261</v>
      </c>
      <c r="N31">
        <f>'1250 P- 24 hpi'!AD32</f>
        <v>0.13559261976372888</v>
      </c>
      <c r="O31">
        <f>'1250 P- 24 hpi'!AE32</f>
        <v>10.838714603868118</v>
      </c>
      <c r="Q31">
        <f>'1250 P+ 24 hpi'!T32</f>
        <v>0.22946154988323905</v>
      </c>
      <c r="R31">
        <f>'1250 P+ 24 hpi'!U32</f>
        <v>14.118380980024344</v>
      </c>
      <c r="T31">
        <f>'1480 P- 24 hpi'!T32</f>
        <v>0.70083295275527002</v>
      </c>
      <c r="U31">
        <f>'1480 P- 24 hpi'!U32</f>
        <v>11.893801666611012</v>
      </c>
      <c r="W31">
        <f>'NAD003 P+ 24 hpi'!T32</f>
        <v>0.70472172738484429</v>
      </c>
      <c r="X31">
        <f>'NAD003 P+ 24 hpi'!U32</f>
        <v>18.462608598485907</v>
      </c>
    </row>
    <row r="32" spans="1:24" x14ac:dyDescent="0.35">
      <c r="A32" s="3">
        <v>199.40899999999999</v>
      </c>
      <c r="B32">
        <f>'1233 P- 24 hpi'!T33</f>
        <v>0.64525953059004371</v>
      </c>
      <c r="C32">
        <f>'1233 P- 24 hpi'!U33</f>
        <v>15.958725896180212</v>
      </c>
      <c r="E32">
        <f>'1233 P+ 24 hpi'!T33</f>
        <v>1.4909600895563691</v>
      </c>
      <c r="F32">
        <f>'1233 P+ 24 hpi'!U33</f>
        <v>19.997872896258258</v>
      </c>
      <c r="H32">
        <f>'1234 P- 24 hpi'!T33</f>
        <v>0.57637602508185026</v>
      </c>
      <c r="I32">
        <f>'1234 P- 24 hpi'!U33</f>
        <v>17.844308849605152</v>
      </c>
      <c r="K32">
        <f>'1234 P+ 24 hpi'!T33</f>
        <v>6.0873628548652518E-2</v>
      </c>
      <c r="L32">
        <f>'1234 P+ 24 hpi'!U33</f>
        <v>9.660124674308376</v>
      </c>
      <c r="N32">
        <f>'1250 P- 24 hpi'!AD33</f>
        <v>0.13765191159224602</v>
      </c>
      <c r="O32">
        <f>'1250 P- 24 hpi'!AE33</f>
        <v>10.67341116442844</v>
      </c>
      <c r="Q32">
        <f>'1250 P+ 24 hpi'!T33</f>
        <v>0.2281171118880175</v>
      </c>
      <c r="R32">
        <f>'1250 P+ 24 hpi'!U33</f>
        <v>13.938855699624403</v>
      </c>
      <c r="T32">
        <f>'1480 P- 24 hpi'!T33</f>
        <v>0.67390788880406605</v>
      </c>
      <c r="U32">
        <f>'1480 P- 24 hpi'!U33</f>
        <v>11.57817280962063</v>
      </c>
      <c r="W32">
        <f>'NAD003 P+ 24 hpi'!T33</f>
        <v>0.68165730282089931</v>
      </c>
      <c r="X32">
        <f>'NAD003 P+ 24 hpi'!U33</f>
        <v>17.96306953096628</v>
      </c>
    </row>
    <row r="33" spans="1:24" x14ac:dyDescent="0.35">
      <c r="A33" s="3">
        <v>205.65700000000001</v>
      </c>
      <c r="B33">
        <f>'1233 P- 24 hpi'!T34</f>
        <v>0.62349088093811766</v>
      </c>
      <c r="C33">
        <f>'1233 P- 24 hpi'!U34</f>
        <v>15.637829541633621</v>
      </c>
      <c r="E33">
        <f>'1233 P+ 24 hpi'!T34</f>
        <v>1.4478397041621072</v>
      </c>
      <c r="F33">
        <f>'1233 P+ 24 hpi'!U34</f>
        <v>19.788983048222267</v>
      </c>
      <c r="H33">
        <f>'1234 P- 24 hpi'!T34</f>
        <v>0.559022270845976</v>
      </c>
      <c r="I33">
        <f>'1234 P- 24 hpi'!U34</f>
        <v>17.6099432978571</v>
      </c>
      <c r="K33">
        <f>'1234 P+ 24 hpi'!T34</f>
        <v>6.0524011371827585E-2</v>
      </c>
      <c r="L33">
        <f>'1234 P+ 24 hpi'!U34</f>
        <v>9.5391852596195736</v>
      </c>
      <c r="N33">
        <f>'1250 P- 24 hpi'!AD34</f>
        <v>0.13638146324079373</v>
      </c>
      <c r="O33">
        <f>'1250 P- 24 hpi'!AE34</f>
        <v>10.436057806520612</v>
      </c>
      <c r="Q33">
        <f>'1250 P+ 24 hpi'!T34</f>
        <v>0.22284599705735458</v>
      </c>
      <c r="R33">
        <f>'1250 P+ 24 hpi'!U34</f>
        <v>13.659647101125932</v>
      </c>
      <c r="T33">
        <f>'1480 P- 24 hpi'!T34</f>
        <v>0.65209271516592926</v>
      </c>
      <c r="U33">
        <f>'1480 P- 24 hpi'!U34</f>
        <v>11.326084377197743</v>
      </c>
      <c r="W33">
        <f>'NAD003 P+ 24 hpi'!T34</f>
        <v>0.65160816710060099</v>
      </c>
      <c r="X33">
        <f>'NAD003 P+ 24 hpi'!U34</f>
        <v>17.495879542978461</v>
      </c>
    </row>
    <row r="34" spans="1:24" x14ac:dyDescent="0.35">
      <c r="A34" s="3">
        <v>211.864</v>
      </c>
      <c r="B34">
        <f>'1233 P- 24 hpi'!T35</f>
        <v>0.60607592869074411</v>
      </c>
      <c r="C34">
        <f>'1233 P- 24 hpi'!U35</f>
        <v>15.412610418796232</v>
      </c>
      <c r="E34">
        <f>'1233 P+ 24 hpi'!T35</f>
        <v>1.4130385016917602</v>
      </c>
      <c r="F34">
        <f>'1233 P+ 24 hpi'!U35</f>
        <v>19.590418946505405</v>
      </c>
      <c r="H34">
        <f>'1234 P- 24 hpi'!T35</f>
        <v>0.54643026810407136</v>
      </c>
      <c r="I34">
        <f>'1234 P- 24 hpi'!U35</f>
        <v>17.460890076312754</v>
      </c>
      <c r="K34">
        <f>'1234 P+ 24 hpi'!T35</f>
        <v>6.0115615761344297E-2</v>
      </c>
      <c r="L34">
        <f>'1234 P+ 24 hpi'!U35</f>
        <v>9.4667994628867156</v>
      </c>
      <c r="N34">
        <f>'1250 P- 24 hpi'!AD35</f>
        <v>0.13502576150680062</v>
      </c>
      <c r="O34">
        <f>'1250 P- 24 hpi'!AE35</f>
        <v>10.310155503047163</v>
      </c>
      <c r="Q34">
        <f>'1250 P+ 24 hpi'!T35</f>
        <v>0.21896858928499113</v>
      </c>
      <c r="R34">
        <f>'1250 P+ 24 hpi'!U35</f>
        <v>13.458114378051475</v>
      </c>
      <c r="T34">
        <f>'1480 P- 24 hpi'!T35</f>
        <v>0.63568642911327256</v>
      </c>
      <c r="U34">
        <f>'1480 P- 24 hpi'!U35</f>
        <v>11.187062182271385</v>
      </c>
      <c r="W34">
        <f>'NAD003 P+ 24 hpi'!T35</f>
        <v>0.62996104379147655</v>
      </c>
      <c r="X34">
        <f>'NAD003 P+ 24 hpi'!U35</f>
        <v>17.165460792803866</v>
      </c>
    </row>
    <row r="35" spans="1:24" x14ac:dyDescent="0.35">
      <c r="A35" s="3">
        <v>217.958</v>
      </c>
      <c r="B35">
        <f>'1233 P- 24 hpi'!T36</f>
        <v>0.58978031314095836</v>
      </c>
      <c r="C35">
        <f>'1233 P- 24 hpi'!U36</f>
        <v>15.20712082449055</v>
      </c>
      <c r="E35">
        <f>'1233 P+ 24 hpi'!T36</f>
        <v>1.3865237789768941</v>
      </c>
      <c r="F35">
        <f>'1233 P+ 24 hpi'!U36</f>
        <v>19.431195938264427</v>
      </c>
      <c r="H35">
        <f>'1234 P- 24 hpi'!T36</f>
        <v>0.53603819315901802</v>
      </c>
      <c r="I35">
        <f>'1234 P- 24 hpi'!U36</f>
        <v>17.337430367142044</v>
      </c>
      <c r="K35">
        <f>'1234 P+ 24 hpi'!T36</f>
        <v>6.045192872869555E-2</v>
      </c>
      <c r="L35">
        <f>'1234 P+ 24 hpi'!U36</f>
        <v>9.4140663210407904</v>
      </c>
      <c r="N35">
        <f>'1250 P- 24 hpi'!AD36</f>
        <v>0.13482236035910189</v>
      </c>
      <c r="O35">
        <f>'1250 P- 24 hpi'!AE36</f>
        <v>10.250465329575871</v>
      </c>
      <c r="Q35">
        <f>'1250 P+ 24 hpi'!T36</f>
        <v>0.21604619143393219</v>
      </c>
      <c r="R35">
        <f>'1250 P+ 24 hpi'!U36</f>
        <v>13.317751948395145</v>
      </c>
      <c r="T35">
        <f>'1480 P- 24 hpi'!T36</f>
        <v>0.62307202541324713</v>
      </c>
      <c r="U35">
        <f>'1480 P- 24 hpi'!U36</f>
        <v>11.053124511159529</v>
      </c>
      <c r="W35">
        <f>'NAD003 P+ 24 hpi'!T36</f>
        <v>0.61389796997044033</v>
      </c>
      <c r="X35">
        <f>'NAD003 P+ 24 hpi'!U36</f>
        <v>16.941643154454287</v>
      </c>
    </row>
    <row r="36" spans="1:24" x14ac:dyDescent="0.35">
      <c r="A36" s="3">
        <v>224.30799999999999</v>
      </c>
      <c r="B36">
        <f>'1233 P- 24 hpi'!T37</f>
        <v>0.57677318634592123</v>
      </c>
      <c r="C36">
        <f>'1233 P- 24 hpi'!U37</f>
        <v>15.028395753712678</v>
      </c>
      <c r="E36">
        <f>'1233 P+ 24 hpi'!T37</f>
        <v>1.3624190282127717</v>
      </c>
      <c r="F36">
        <f>'1233 P+ 24 hpi'!U37</f>
        <v>19.281885646489812</v>
      </c>
      <c r="H36">
        <f>'1234 P- 24 hpi'!T37</f>
        <v>0.52630512901765825</v>
      </c>
      <c r="I36">
        <f>'1234 P- 24 hpi'!U37</f>
        <v>17.22923449486775</v>
      </c>
      <c r="K36">
        <f>'1234 P+ 24 hpi'!T37</f>
        <v>6.1401871095296323E-2</v>
      </c>
      <c r="L36">
        <f>'1234 P+ 24 hpi'!U37</f>
        <v>9.359110028189555</v>
      </c>
      <c r="N36">
        <f>'1250 P- 24 hpi'!AD37</f>
        <v>0.13390072953907223</v>
      </c>
      <c r="O36">
        <f>'1250 P- 24 hpi'!AE37</f>
        <v>10.190412416639536</v>
      </c>
      <c r="Q36">
        <f>'1250 P+ 24 hpi'!T37</f>
        <v>0.21391479826680884</v>
      </c>
      <c r="R36">
        <f>'1250 P+ 24 hpi'!U37</f>
        <v>13.19068929216613</v>
      </c>
      <c r="T36">
        <f>'1480 P- 24 hpi'!T37</f>
        <v>0.6123098700421733</v>
      </c>
      <c r="U36">
        <f>'1480 P- 24 hpi'!U37</f>
        <v>10.994414081694174</v>
      </c>
      <c r="W36">
        <f>'NAD003 P+ 24 hpi'!T37</f>
        <v>0.6003562829121234</v>
      </c>
      <c r="X36">
        <f>'NAD003 P+ 24 hpi'!U37</f>
        <v>16.77503701427494</v>
      </c>
    </row>
    <row r="37" spans="1:24" x14ac:dyDescent="0.35">
      <c r="A37" s="3">
        <v>230.453</v>
      </c>
      <c r="B37" s="1">
        <f>'1233 P- 24 hpi'!T38</f>
        <v>0.56411219894019793</v>
      </c>
      <c r="C37" s="1">
        <f>'1233 P- 24 hpi'!U38</f>
        <v>14.861114421424006</v>
      </c>
      <c r="D37" s="1"/>
      <c r="E37" s="1">
        <f>'1233 P+ 24 hpi'!T38</f>
        <v>1.3380526521011786</v>
      </c>
      <c r="F37" s="1">
        <f>'1233 P+ 24 hpi'!U38</f>
        <v>19.167992664589811</v>
      </c>
      <c r="G37" s="1"/>
      <c r="H37" s="1">
        <f>'1234 P- 24 hpi'!T38</f>
        <v>0.51821660926249358</v>
      </c>
      <c r="I37" s="1">
        <f>'1234 P- 24 hpi'!U38</f>
        <v>17.151149837732756</v>
      </c>
      <c r="J37" s="1"/>
      <c r="K37" s="1">
        <f>'1234 P+ 24 hpi'!T38</f>
        <v>6.0109290809299436E-2</v>
      </c>
      <c r="L37" s="1">
        <f>'1234 P+ 24 hpi'!U38</f>
        <v>9.2854792668937236</v>
      </c>
      <c r="M37" s="1"/>
      <c r="N37" s="1">
        <f>'1250 P- 24 hpi'!AD38</f>
        <v>0.13345930140257486</v>
      </c>
      <c r="O37" s="1">
        <f>'1250 P- 24 hpi'!AE38</f>
        <v>10.14134927024651</v>
      </c>
      <c r="P37" s="1"/>
      <c r="Q37" s="1">
        <f>'1250 P+ 24 hpi'!T38</f>
        <v>0.21261557982263138</v>
      </c>
      <c r="R37" s="1">
        <f>'1250 P+ 24 hpi'!U38</f>
        <v>13.108031416924071</v>
      </c>
      <c r="S37" s="1"/>
      <c r="T37" s="1">
        <f>'1480 P- 24 hpi'!T38</f>
        <v>0.60247311111134128</v>
      </c>
      <c r="U37" s="1">
        <f>'1480 P- 24 hpi'!U38</f>
        <v>10.913254151249275</v>
      </c>
      <c r="V37" s="1"/>
      <c r="W37" s="1">
        <f>'NAD003 P+ 24 hpi'!T38</f>
        <v>0.58806354364465674</v>
      </c>
      <c r="X37" s="1">
        <f>'NAD003 P+ 24 hpi'!U38</f>
        <v>16.592563622649941</v>
      </c>
    </row>
    <row r="38" spans="1:24" s="1" customFormat="1" x14ac:dyDescent="0.35">
      <c r="A38" s="3">
        <v>236.73099999999999</v>
      </c>
      <c r="B38">
        <f>'1233 P- 24 hpi'!T39</f>
        <v>0.55505363898698767</v>
      </c>
      <c r="C38">
        <f>'1233 P- 24 hpi'!U39</f>
        <v>14.75257351696508</v>
      </c>
      <c r="D38"/>
      <c r="E38">
        <f>'1233 P+ 24 hpi'!T39</f>
        <v>1.3179880004528131</v>
      </c>
      <c r="F38">
        <f>'1233 P+ 24 hpi'!U39</f>
        <v>19.053789910300242</v>
      </c>
      <c r="G38"/>
      <c r="H38">
        <f>'1234 P- 24 hpi'!T39</f>
        <v>0.51114859263249024</v>
      </c>
      <c r="I38">
        <f>'1234 P- 24 hpi'!U39</f>
        <v>17.080411684445782</v>
      </c>
      <c r="J38"/>
      <c r="K38">
        <f>'1234 P+ 24 hpi'!T39</f>
        <v>6.1272100527479188E-2</v>
      </c>
      <c r="L38">
        <f>'1234 P+ 24 hpi'!U39</f>
        <v>9.274363511867179</v>
      </c>
      <c r="M38"/>
      <c r="N38">
        <f>'1250 P- 24 hpi'!AD39</f>
        <v>0.13290559873525387</v>
      </c>
      <c r="O38">
        <f>'1250 P- 24 hpi'!AE39</f>
        <v>10.111436419489809</v>
      </c>
      <c r="P38"/>
      <c r="Q38">
        <f>'1250 P+ 24 hpi'!T39</f>
        <v>0.21076427790451246</v>
      </c>
      <c r="R38">
        <f>'1250 P+ 24 hpi'!U39</f>
        <v>13.070298183519547</v>
      </c>
      <c r="S38"/>
      <c r="T38">
        <f>'1480 P- 24 hpi'!T39</f>
        <v>0.59362115656461401</v>
      </c>
      <c r="U38">
        <f>'1480 P- 24 hpi'!U39</f>
        <v>10.833528378947415</v>
      </c>
      <c r="V38"/>
      <c r="W38">
        <f>'NAD003 P+ 24 hpi'!T39</f>
        <v>0.57889415265352462</v>
      </c>
      <c r="X38">
        <f>'NAD003 P+ 24 hpi'!U39</f>
        <v>16.475347096125375</v>
      </c>
    </row>
    <row r="39" spans="1:24" x14ac:dyDescent="0.35">
      <c r="A39" s="3">
        <v>242.83</v>
      </c>
      <c r="B39">
        <f>'1233 P- 24 hpi'!T40</f>
        <v>0.54551328684868639</v>
      </c>
      <c r="C39">
        <f>'1233 P- 24 hpi'!U40</f>
        <v>14.658933207397352</v>
      </c>
      <c r="E39">
        <f>'1233 P+ 24 hpi'!T40</f>
        <v>1.3005521804208648</v>
      </c>
      <c r="F39">
        <f>'1233 P+ 24 hpi'!U40</f>
        <v>18.962716827765519</v>
      </c>
      <c r="H39">
        <f>'1234 P- 24 hpi'!T40</f>
        <v>0.50402582890095848</v>
      </c>
      <c r="I39">
        <f>'1234 P- 24 hpi'!U40</f>
        <v>17.00939562937636</v>
      </c>
      <c r="K39">
        <f>'1234 P+ 24 hpi'!T40</f>
        <v>6.2037746877600192E-2</v>
      </c>
      <c r="L39">
        <f>'1234 P+ 24 hpi'!U40</f>
        <v>9.2475967737632594</v>
      </c>
      <c r="N39">
        <f>'1250 P- 24 hpi'!AD40</f>
        <v>0.13241419370055843</v>
      </c>
      <c r="O39">
        <f>'1250 P- 24 hpi'!AE40</f>
        <v>10.07931488908917</v>
      </c>
      <c r="Q39">
        <f>'1250 P+ 24 hpi'!T40</f>
        <v>0.20984976310354603</v>
      </c>
      <c r="R39">
        <f>'1250 P+ 24 hpi'!U40</f>
        <v>13.023640672180079</v>
      </c>
      <c r="T39">
        <f>'1480 P- 24 hpi'!T40</f>
        <v>0.58411855712404648</v>
      </c>
      <c r="U39">
        <f>'1480 P- 24 hpi'!U40</f>
        <v>10.746707357371209</v>
      </c>
      <c r="W39">
        <f>'NAD003 P+ 24 hpi'!T40</f>
        <v>0.57003895620852341</v>
      </c>
      <c r="X39">
        <f>'NAD003 P+ 24 hpi'!U40</f>
        <v>16.354778333379894</v>
      </c>
    </row>
    <row r="40" spans="1:24" x14ac:dyDescent="0.35">
      <c r="A40" s="3">
        <v>249.16</v>
      </c>
      <c r="B40">
        <f>'1233 P- 24 hpi'!T41</f>
        <v>0.53768718321375697</v>
      </c>
      <c r="C40">
        <f>'1233 P- 24 hpi'!U41</f>
        <v>14.581482415148704</v>
      </c>
      <c r="E40">
        <f>'1233 P+ 24 hpi'!T41</f>
        <v>1.2830333446536608</v>
      </c>
      <c r="F40">
        <f>'1233 P+ 24 hpi'!U41</f>
        <v>18.88093691691801</v>
      </c>
      <c r="H40">
        <f>'1234 P- 24 hpi'!T41</f>
        <v>0.49848582979462658</v>
      </c>
      <c r="I40">
        <f>'1234 P- 24 hpi'!U41</f>
        <v>16.949332917109587</v>
      </c>
      <c r="K40">
        <f>'1234 P+ 24 hpi'!T41</f>
        <v>6.1901215154148904E-2</v>
      </c>
      <c r="L40">
        <f>'1234 P+ 24 hpi'!U41</f>
        <v>9.1942411496358467</v>
      </c>
      <c r="N40">
        <f>'1250 P- 24 hpi'!AD41</f>
        <v>0.13191647438831117</v>
      </c>
      <c r="O40">
        <f>'1250 P- 24 hpi'!AE41</f>
        <v>10.045377028160974</v>
      </c>
      <c r="Q40">
        <f>'1250 P+ 24 hpi'!T41</f>
        <v>0.20845875571993575</v>
      </c>
      <c r="R40">
        <f>'1250 P+ 24 hpi'!U41</f>
        <v>12.977459699953645</v>
      </c>
      <c r="T40">
        <f>'1480 P- 24 hpi'!T41</f>
        <v>0.57593097343387134</v>
      </c>
      <c r="U40">
        <f>'1480 P- 24 hpi'!U41</f>
        <v>10.66452456608056</v>
      </c>
      <c r="W40">
        <f>'NAD003 P+ 24 hpi'!T41</f>
        <v>0.55922028855000694</v>
      </c>
      <c r="X40">
        <f>'NAD003 P+ 24 hpi'!U41</f>
        <v>16.195658854093921</v>
      </c>
    </row>
    <row r="41" spans="1:24" x14ac:dyDescent="0.35">
      <c r="A41" s="4">
        <v>262.286</v>
      </c>
      <c r="B41">
        <f>'1233 P- 24 hpi'!T42</f>
        <v>60.123833089731761</v>
      </c>
      <c r="C41">
        <f>'1233 P- 24 hpi'!U42</f>
        <v>79.118936674282637</v>
      </c>
      <c r="E41">
        <f>'1233 P+ 24 hpi'!T42</f>
        <v>67.552419405557032</v>
      </c>
      <c r="F41">
        <f>'1233 P+ 24 hpi'!U42</f>
        <v>99.799577263945679</v>
      </c>
      <c r="H41">
        <f>'1234 P- 24 hpi'!T42</f>
        <v>65.954160771915596</v>
      </c>
      <c r="I41">
        <f>'1234 P- 24 hpi'!U42</f>
        <v>88.030989268299535</v>
      </c>
      <c r="K41">
        <f>'1234 P+ 24 hpi'!T42</f>
        <v>60.501655937875888</v>
      </c>
      <c r="L41">
        <f>'1234 P+ 24 hpi'!U42</f>
        <v>75.497585658008219</v>
      </c>
      <c r="N41">
        <f>'1250 P- 24 hpi'!AD42</f>
        <v>62.594691227328532</v>
      </c>
      <c r="O41">
        <f>'1250 P- 24 hpi'!AE42</f>
        <v>82.048782440771305</v>
      </c>
      <c r="Q41">
        <f>'1250 P+ 24 hpi'!T42</f>
        <v>63.511466868242373</v>
      </c>
      <c r="R41">
        <f>'1250 P+ 24 hpi'!U42</f>
        <v>81.553604151955327</v>
      </c>
      <c r="T41">
        <f>'1480 P- 24 hpi'!T42</f>
        <v>64.402113910537807</v>
      </c>
      <c r="U41">
        <f>'1480 P- 24 hpi'!U42</f>
        <v>87.911300492517185</v>
      </c>
      <c r="W41">
        <f>'NAD003 P+ 24 hpi'!T42</f>
        <v>60.580232171172398</v>
      </c>
      <c r="X41">
        <f>'NAD003 P+ 24 hpi'!U42</f>
        <v>79.08260468754365</v>
      </c>
    </row>
    <row r="42" spans="1:24" x14ac:dyDescent="0.35">
      <c r="A42" s="3">
        <v>268.49799999999999</v>
      </c>
      <c r="B42">
        <f>'1233 P- 24 hpi'!T43</f>
        <v>61.781687898938664</v>
      </c>
      <c r="C42">
        <f>'1233 P- 24 hpi'!U43</f>
        <v>77.724366140539146</v>
      </c>
      <c r="E42">
        <f>'1233 P+ 24 hpi'!T43</f>
        <v>70.166911940429927</v>
      </c>
      <c r="F42">
        <f>'1233 P+ 24 hpi'!U43</f>
        <v>97.616404719692113</v>
      </c>
      <c r="H42">
        <f>'1234 P- 24 hpi'!T43</f>
        <v>67.616201632023689</v>
      </c>
      <c r="I42">
        <f>'1234 P- 24 hpi'!U43</f>
        <v>85.254576892777251</v>
      </c>
      <c r="K42">
        <f>'1234 P+ 24 hpi'!T43</f>
        <v>61.941127782569957</v>
      </c>
      <c r="L42">
        <f>'1234 P+ 24 hpi'!U43</f>
        <v>72.182867509092688</v>
      </c>
      <c r="N42">
        <f>'1250 P- 24 hpi'!AD43</f>
        <v>66.229826879646765</v>
      </c>
      <c r="O42">
        <f>'1250 P- 24 hpi'!AE43</f>
        <v>82.162369467417477</v>
      </c>
      <c r="Q42">
        <f>'1250 P+ 24 hpi'!T43</f>
        <v>65.230079775387068</v>
      </c>
      <c r="R42">
        <f>'1250 P+ 24 hpi'!U43</f>
        <v>81.413674939674479</v>
      </c>
      <c r="T42">
        <f>'1480 P- 24 hpi'!T43</f>
        <v>68.027032180723822</v>
      </c>
      <c r="U42">
        <f>'1480 P- 24 hpi'!U43</f>
        <v>88.051508900624071</v>
      </c>
      <c r="W42">
        <f>'NAD003 P+ 24 hpi'!T43</f>
        <v>62.446508623221028</v>
      </c>
      <c r="X42">
        <f>'NAD003 P+ 24 hpi'!U43</f>
        <v>79.36810347235803</v>
      </c>
    </row>
    <row r="43" spans="1:24" x14ac:dyDescent="0.35">
      <c r="A43" s="3">
        <v>274.608</v>
      </c>
      <c r="B43">
        <f>'1233 P- 24 hpi'!T44</f>
        <v>62.829835930826995</v>
      </c>
      <c r="C43">
        <f>'1233 P- 24 hpi'!U44</f>
        <v>76.608566249627344</v>
      </c>
      <c r="E43">
        <f>'1233 P+ 24 hpi'!T44</f>
        <v>72.017408148120197</v>
      </c>
      <c r="F43">
        <f>'1233 P+ 24 hpi'!U44</f>
        <v>94.376598554602026</v>
      </c>
      <c r="H43">
        <f>'1234 P- 24 hpi'!T44</f>
        <v>68.675901538162009</v>
      </c>
      <c r="I43">
        <f>'1234 P- 24 hpi'!U44</f>
        <v>83.017842288453778</v>
      </c>
      <c r="K43">
        <f>'1234 P+ 24 hpi'!T44</f>
        <v>62.82258618565043</v>
      </c>
      <c r="L43">
        <f>'1234 P+ 24 hpi'!U44</f>
        <v>70.492116706535171</v>
      </c>
      <c r="N43">
        <f>'1250 P- 24 hpi'!AD44</f>
        <v>68.912629418431933</v>
      </c>
      <c r="O43">
        <f>'1250 P- 24 hpi'!AE44</f>
        <v>82.859083432659105</v>
      </c>
      <c r="Q43">
        <f>'1250 P+ 24 hpi'!T44</f>
        <v>66.213976215865983</v>
      </c>
      <c r="R43">
        <f>'1250 P+ 24 hpi'!U44</f>
        <v>80.303772023688325</v>
      </c>
      <c r="T43">
        <f>'1480 P- 24 hpi'!T44</f>
        <v>70.897512604984982</v>
      </c>
      <c r="U43">
        <f>'1480 P- 24 hpi'!U44</f>
        <v>87.920899023980155</v>
      </c>
      <c r="W43">
        <f>'NAD003 P+ 24 hpi'!T44</f>
        <v>63.57340015269267</v>
      </c>
      <c r="X43">
        <f>'NAD003 P+ 24 hpi'!U44</f>
        <v>78.978685364695366</v>
      </c>
    </row>
    <row r="44" spans="1:24" x14ac:dyDescent="0.35">
      <c r="A44" s="3">
        <v>280.779</v>
      </c>
      <c r="B44">
        <f>'1233 P- 24 hpi'!T45</f>
        <v>63.54519125351505</v>
      </c>
      <c r="C44">
        <f>'1233 P- 24 hpi'!U45</f>
        <v>75.102880716310366</v>
      </c>
      <c r="E44">
        <f>'1233 P+ 24 hpi'!T45</f>
        <v>73.643510307787125</v>
      </c>
      <c r="F44">
        <f>'1233 P+ 24 hpi'!U45</f>
        <v>92.385897921737026</v>
      </c>
      <c r="H44">
        <f>'1234 P- 24 hpi'!T45</f>
        <v>69.454647520094454</v>
      </c>
      <c r="I44">
        <f>'1234 P- 24 hpi'!U45</f>
        <v>81.009626389030856</v>
      </c>
      <c r="K44">
        <f>'1234 P+ 24 hpi'!T45</f>
        <v>63.549519467220939</v>
      </c>
      <c r="L44">
        <f>'1234 P+ 24 hpi'!U45</f>
        <v>69.363734182280595</v>
      </c>
      <c r="N44">
        <f>'1250 P- 24 hpi'!AD45</f>
        <v>71.189477621574596</v>
      </c>
      <c r="O44">
        <f>'1250 P- 24 hpi'!AE45</f>
        <v>83.233203526186202</v>
      </c>
      <c r="Q44">
        <f>'1250 P+ 24 hpi'!T45</f>
        <v>67.041224032504076</v>
      </c>
      <c r="R44">
        <f>'1250 P+ 24 hpi'!U45</f>
        <v>79.264050322530338</v>
      </c>
      <c r="T44">
        <f>'1480 P- 24 hpi'!T45</f>
        <v>73.894391660519133</v>
      </c>
      <c r="U44">
        <f>'1480 P- 24 hpi'!U45</f>
        <v>90.044086897097756</v>
      </c>
      <c r="W44">
        <f>'NAD003 P+ 24 hpi'!T45</f>
        <v>64.35751619912692</v>
      </c>
      <c r="X44">
        <f>'NAD003 P+ 24 hpi'!U45</f>
        <v>78.445679805570308</v>
      </c>
    </row>
    <row r="45" spans="1:24" x14ac:dyDescent="0.35">
      <c r="A45" s="3">
        <v>287.00099999999998</v>
      </c>
      <c r="B45">
        <f>'1233 P- 24 hpi'!T46</f>
        <v>64.153729786159332</v>
      </c>
      <c r="C45">
        <f>'1233 P- 24 hpi'!U46</f>
        <v>74.660982163657422</v>
      </c>
      <c r="E45">
        <f>'1233 P+ 24 hpi'!T46</f>
        <v>74.892016653459621</v>
      </c>
      <c r="F45">
        <f>'1233 P+ 24 hpi'!U46</f>
        <v>91.273402013314012</v>
      </c>
      <c r="H45">
        <f>'1234 P- 24 hpi'!T46</f>
        <v>70.05834582267903</v>
      </c>
      <c r="I45">
        <f>'1234 P- 24 hpi'!U46</f>
        <v>79.913616753268357</v>
      </c>
      <c r="K45">
        <f>'1234 P+ 24 hpi'!T46</f>
        <v>64.180378908247846</v>
      </c>
      <c r="L45">
        <f>'1234 P+ 24 hpi'!U46</f>
        <v>68.472784185392996</v>
      </c>
      <c r="N45">
        <f>'1250 P- 24 hpi'!AD46</f>
        <v>73.212851460045101</v>
      </c>
      <c r="O45">
        <f>'1250 P- 24 hpi'!AE46</f>
        <v>84.179679798748452</v>
      </c>
      <c r="Q45">
        <f>'1250 P+ 24 hpi'!T46</f>
        <v>67.755085512195777</v>
      </c>
      <c r="R45">
        <f>'1250 P+ 24 hpi'!U46</f>
        <v>79.236757627874937</v>
      </c>
      <c r="T45">
        <f>'1480 P- 24 hpi'!T46</f>
        <v>76.699318820784768</v>
      </c>
      <c r="U45">
        <f>'1480 P- 24 hpi'!U46</f>
        <v>90.701977094885592</v>
      </c>
      <c r="W45">
        <f>'NAD003 P+ 24 hpi'!T46</f>
        <v>64.921108783744103</v>
      </c>
      <c r="X45">
        <f>'NAD003 P+ 24 hpi'!U46</f>
        <v>77.958488141464372</v>
      </c>
    </row>
    <row r="46" spans="1:24" x14ac:dyDescent="0.35">
      <c r="A46" s="3">
        <v>293.27300000000002</v>
      </c>
      <c r="B46">
        <f>'1233 P- 24 hpi'!T47</f>
        <v>64.635724103190725</v>
      </c>
      <c r="C46">
        <f>'1233 P- 24 hpi'!U47</f>
        <v>74.425966390458697</v>
      </c>
      <c r="E46">
        <f>'1233 P+ 24 hpi'!T47</f>
        <v>75.891224230532188</v>
      </c>
      <c r="F46">
        <f>'1233 P+ 24 hpi'!U47</f>
        <v>91.14753116568383</v>
      </c>
      <c r="H46">
        <f>'1234 P- 24 hpi'!T47</f>
        <v>70.542517816433261</v>
      </c>
      <c r="I46">
        <f>'1234 P- 24 hpi'!U47</f>
        <v>79.211190268514173</v>
      </c>
      <c r="K46">
        <f>'1234 P+ 24 hpi'!T47</f>
        <v>64.76543697239812</v>
      </c>
      <c r="L46">
        <f>'1234 P+ 24 hpi'!U47</f>
        <v>67.816865712786665</v>
      </c>
      <c r="N46">
        <f>'1250 P- 24 hpi'!AD47</f>
        <v>75.302895779088288</v>
      </c>
      <c r="O46">
        <f>'1250 P- 24 hpi'!AE47</f>
        <v>85.304541513332154</v>
      </c>
      <c r="Q46">
        <f>'1250 P+ 24 hpi'!T47</f>
        <v>68.247101224302469</v>
      </c>
      <c r="R46">
        <f>'1250 P+ 24 hpi'!U47</f>
        <v>79.287010843430906</v>
      </c>
      <c r="T46">
        <f>'1480 P- 24 hpi'!T47</f>
        <v>79.62411664503469</v>
      </c>
      <c r="U46">
        <f>'1480 P- 24 hpi'!U47</f>
        <v>93.172535555068109</v>
      </c>
      <c r="W46">
        <f>'NAD003 P+ 24 hpi'!T47</f>
        <v>65.513086545426063</v>
      </c>
      <c r="X46">
        <f>'NAD003 P+ 24 hpi'!U47</f>
        <v>77.255077241109575</v>
      </c>
    </row>
    <row r="47" spans="1:24" x14ac:dyDescent="0.35">
      <c r="A47" s="3">
        <v>299.46699999999998</v>
      </c>
      <c r="B47" s="1">
        <f>'1233 P- 24 hpi'!T48</f>
        <v>65.013176611033728</v>
      </c>
      <c r="C47" s="1">
        <f>'1233 P- 24 hpi'!U48</f>
        <v>74.182609092637605</v>
      </c>
      <c r="D47" s="1"/>
      <c r="E47" s="1">
        <f>'1233 P+ 24 hpi'!T48</f>
        <v>76.594593914695054</v>
      </c>
      <c r="F47" s="1">
        <f>'1233 P+ 24 hpi'!U48</f>
        <v>91.26483164386913</v>
      </c>
      <c r="G47" s="1"/>
      <c r="H47" s="1">
        <f>'1234 P- 24 hpi'!T48</f>
        <v>70.948667127566608</v>
      </c>
      <c r="I47" s="1">
        <f>'1234 P- 24 hpi'!U48</f>
        <v>78.888412189051124</v>
      </c>
      <c r="J47" s="1"/>
      <c r="K47" s="1">
        <f>'1234 P+ 24 hpi'!T48</f>
        <v>65.266962049197232</v>
      </c>
      <c r="L47" s="1">
        <f>'1234 P+ 24 hpi'!U48</f>
        <v>67.129912052146224</v>
      </c>
      <c r="M47" s="1"/>
      <c r="N47" s="1">
        <f>'1250 P- 24 hpi'!AD48</f>
        <v>77.244544909420625</v>
      </c>
      <c r="O47" s="1">
        <f>'1250 P- 24 hpi'!AE48</f>
        <v>86.686062803028193</v>
      </c>
      <c r="P47" s="1"/>
      <c r="Q47" s="1">
        <f>'1250 P+ 24 hpi'!T48</f>
        <v>68.736417261719964</v>
      </c>
      <c r="R47" s="1">
        <f>'1250 P+ 24 hpi'!U48</f>
        <v>78.787511209499598</v>
      </c>
      <c r="S47" s="1"/>
      <c r="T47" s="1">
        <f>'1480 P- 24 hpi'!T48</f>
        <v>82.012191686947588</v>
      </c>
      <c r="U47" s="1">
        <f>'1480 P- 24 hpi'!U48</f>
        <v>93.969569353295299</v>
      </c>
      <c r="V47" s="1"/>
      <c r="W47" s="1">
        <f>'NAD003 P+ 24 hpi'!T48</f>
        <v>65.973807333163677</v>
      </c>
      <c r="X47" s="1">
        <f>'NAD003 P+ 24 hpi'!U48</f>
        <v>76.996955052099352</v>
      </c>
    </row>
    <row r="48" spans="1:24" s="1" customFormat="1" x14ac:dyDescent="0.35">
      <c r="A48" s="3">
        <v>305.70800000000003</v>
      </c>
      <c r="B48">
        <f>'1233 P- 24 hpi'!T49</f>
        <v>65.320612963320528</v>
      </c>
      <c r="C48">
        <f>'1233 P- 24 hpi'!U49</f>
        <v>74.273015777014564</v>
      </c>
      <c r="D48"/>
      <c r="E48">
        <f>'1233 P+ 24 hpi'!T49</f>
        <v>77.096461768738294</v>
      </c>
      <c r="F48">
        <f>'1233 P+ 24 hpi'!U49</f>
        <v>91.669600899579024</v>
      </c>
      <c r="G48"/>
      <c r="H48">
        <f>'1234 P- 24 hpi'!T49</f>
        <v>71.253347127478321</v>
      </c>
      <c r="I48">
        <f>'1234 P- 24 hpi'!U49</f>
        <v>78.384318037058918</v>
      </c>
      <c r="J48"/>
      <c r="K48">
        <f>'1234 P+ 24 hpi'!T49</f>
        <v>65.698912653502774</v>
      </c>
      <c r="L48">
        <f>'1234 P+ 24 hpi'!U49</f>
        <v>66.611028607507123</v>
      </c>
      <c r="M48"/>
      <c r="N48">
        <f>'1250 P- 24 hpi'!AD49</f>
        <v>79.272430638520504</v>
      </c>
      <c r="O48">
        <f>'1250 P- 24 hpi'!AE49</f>
        <v>88.094186110249623</v>
      </c>
      <c r="P48"/>
      <c r="Q48">
        <f>'1250 P+ 24 hpi'!T49</f>
        <v>69.144743058461458</v>
      </c>
      <c r="R48">
        <f>'1250 P+ 24 hpi'!U49</f>
        <v>78.644982692965854</v>
      </c>
      <c r="S48"/>
      <c r="T48">
        <f>'1480 P- 24 hpi'!T49</f>
        <v>84.538876721852773</v>
      </c>
      <c r="U48">
        <f>'1480 P- 24 hpi'!U49</f>
        <v>95.778724014693736</v>
      </c>
      <c r="V48"/>
      <c r="W48">
        <f>'NAD003 P+ 24 hpi'!T49</f>
        <v>66.35563690464538</v>
      </c>
      <c r="X48">
        <f>'NAD003 P+ 24 hpi'!U49</f>
        <v>77.010922703019801</v>
      </c>
    </row>
    <row r="49" spans="1:24" x14ac:dyDescent="0.35">
      <c r="A49" s="3">
        <v>311.89499999999998</v>
      </c>
      <c r="B49">
        <f>'1233 P- 24 hpi'!T50</f>
        <v>65.603208309412764</v>
      </c>
      <c r="C49">
        <f>'1233 P- 24 hpi'!U50</f>
        <v>74.074452985327753</v>
      </c>
      <c r="E49">
        <f>'1233 P+ 24 hpi'!T50</f>
        <v>77.509779505175914</v>
      </c>
      <c r="F49">
        <f>'1233 P+ 24 hpi'!U50</f>
        <v>90.854486485146936</v>
      </c>
      <c r="H49">
        <f>'1234 P- 24 hpi'!T50</f>
        <v>71.502027939979868</v>
      </c>
      <c r="I49">
        <f>'1234 P- 24 hpi'!U50</f>
        <v>78.079421274493612</v>
      </c>
      <c r="K49">
        <f>'1234 P+ 24 hpi'!T50</f>
        <v>66.155399709706515</v>
      </c>
      <c r="L49">
        <f>'1234 P+ 24 hpi'!U50</f>
        <v>66.47150365041395</v>
      </c>
      <c r="N49">
        <f>'1250 P- 24 hpi'!AD50</f>
        <v>81.178385514892241</v>
      </c>
      <c r="O49">
        <f>'1250 P- 24 hpi'!AE50</f>
        <v>89.615050180006534</v>
      </c>
      <c r="Q49">
        <f>'1250 P+ 24 hpi'!T50</f>
        <v>69.53957048175694</v>
      </c>
      <c r="R49">
        <f>'1250 P+ 24 hpi'!U50</f>
        <v>79.034445113524626</v>
      </c>
      <c r="T49">
        <f>'1480 P- 24 hpi'!T50</f>
        <v>86.829476189481724</v>
      </c>
      <c r="U49">
        <f>'1480 P- 24 hpi'!U50</f>
        <v>97.864517722098199</v>
      </c>
      <c r="W49">
        <f>'NAD003 P+ 24 hpi'!T50</f>
        <v>66.813421294755599</v>
      </c>
      <c r="X49">
        <f>'NAD003 P+ 24 hpi'!U50</f>
        <v>76.872363605888765</v>
      </c>
    </row>
    <row r="50" spans="1:24" x14ac:dyDescent="0.35">
      <c r="A50" s="3">
        <v>318.09899999999999</v>
      </c>
      <c r="B50">
        <f>'1233 P- 24 hpi'!T51</f>
        <v>65.815898190734757</v>
      </c>
      <c r="C50">
        <f>'1233 P- 24 hpi'!U51</f>
        <v>74.226994031666933</v>
      </c>
      <c r="E50">
        <f>'1233 P+ 24 hpi'!T51</f>
        <v>77.851150271058955</v>
      </c>
      <c r="F50">
        <f>'1233 P+ 24 hpi'!U51</f>
        <v>90.854589742610116</v>
      </c>
      <c r="H50">
        <f>'1234 P- 24 hpi'!T51</f>
        <v>71.772226106517181</v>
      </c>
      <c r="I50">
        <f>'1234 P- 24 hpi'!U51</f>
        <v>77.871635404598493</v>
      </c>
      <c r="K50">
        <f>'1234 P+ 24 hpi'!T51</f>
        <v>66.526390862407212</v>
      </c>
      <c r="L50">
        <f>'1234 P+ 24 hpi'!U51</f>
        <v>66.265550941282129</v>
      </c>
      <c r="N50">
        <f>'1250 P- 24 hpi'!AD51</f>
        <v>83.13537688648583</v>
      </c>
      <c r="O50">
        <f>'1250 P- 24 hpi'!AE51</f>
        <v>91.312493963609612</v>
      </c>
      <c r="Q50">
        <f>'1250 P+ 24 hpi'!T51</f>
        <v>69.893902784714442</v>
      </c>
      <c r="R50">
        <f>'1250 P+ 24 hpi'!U51</f>
        <v>78.937404421416531</v>
      </c>
      <c r="T50">
        <f>'1480 P- 24 hpi'!T51</f>
        <v>89.203122647196622</v>
      </c>
      <c r="U50">
        <f>'1480 P- 24 hpi'!U51</f>
        <v>99.39417964169202</v>
      </c>
      <c r="W50">
        <f>'NAD003 P+ 24 hpi'!T51</f>
        <v>67.185169234383267</v>
      </c>
      <c r="X50">
        <f>'NAD003 P+ 24 hpi'!U51</f>
        <v>76.601949884068503</v>
      </c>
    </row>
    <row r="51" spans="1:24" x14ac:dyDescent="0.35">
      <c r="A51" s="3">
        <v>324.33999999999997</v>
      </c>
      <c r="B51">
        <f>'1233 P- 24 hpi'!T52</f>
        <v>66.08845596663248</v>
      </c>
      <c r="C51">
        <f>'1233 P- 24 hpi'!U52</f>
        <v>74.071934953311981</v>
      </c>
      <c r="E51">
        <f>'1233 P+ 24 hpi'!T52</f>
        <v>78.121831880557963</v>
      </c>
      <c r="F51">
        <f>'1233 P+ 24 hpi'!U52</f>
        <v>90.902191433141297</v>
      </c>
      <c r="H51">
        <f>'1234 P- 24 hpi'!T52</f>
        <v>71.853601528215819</v>
      </c>
      <c r="I51">
        <f>'1234 P- 24 hpi'!U52</f>
        <v>78.505503406466786</v>
      </c>
      <c r="K51">
        <f>'1234 P+ 24 hpi'!T52</f>
        <v>66.901962152795576</v>
      </c>
      <c r="L51">
        <f>'1234 P+ 24 hpi'!U52</f>
        <v>66.133406845526565</v>
      </c>
      <c r="N51">
        <f>'1250 P- 24 hpi'!AD52</f>
        <v>85.113435899537308</v>
      </c>
      <c r="O51">
        <f>'1250 P- 24 hpi'!AE52</f>
        <v>92.256581755922113</v>
      </c>
      <c r="Q51">
        <f>'1250 P+ 24 hpi'!T52</f>
        <v>70.16319533496214</v>
      </c>
      <c r="R51">
        <f>'1250 P+ 24 hpi'!U52</f>
        <v>78.635885128080716</v>
      </c>
      <c r="T51">
        <f>'1480 P- 24 hpi'!T52</f>
        <v>91.502665829411058</v>
      </c>
      <c r="U51">
        <f>'1480 P- 24 hpi'!U52</f>
        <v>99.7349549465725</v>
      </c>
      <c r="W51">
        <f>'NAD003 P+ 24 hpi'!T52</f>
        <v>67.425953839829305</v>
      </c>
      <c r="X51">
        <f>'NAD003 P+ 24 hpi'!U52</f>
        <v>76.657820487750357</v>
      </c>
    </row>
    <row r="52" spans="1:24" x14ac:dyDescent="0.35">
      <c r="A52" s="3">
        <v>330.45299999999997</v>
      </c>
      <c r="B52">
        <f>'1233 P- 24 hpi'!T53</f>
        <v>66.316031829663245</v>
      </c>
      <c r="C52">
        <f>'1233 P- 24 hpi'!U53</f>
        <v>73.86924122998191</v>
      </c>
      <c r="E52">
        <f>'1233 P+ 24 hpi'!T53</f>
        <v>78.533388677156836</v>
      </c>
      <c r="F52">
        <f>'1233 P+ 24 hpi'!U53</f>
        <v>90.152335735446115</v>
      </c>
      <c r="H52">
        <f>'1234 P- 24 hpi'!T53</f>
        <v>72.13241747866185</v>
      </c>
      <c r="I52">
        <f>'1234 P- 24 hpi'!U53</f>
        <v>77.566336887169257</v>
      </c>
      <c r="K52">
        <f>'1234 P+ 24 hpi'!T53</f>
        <v>67.287675176635204</v>
      </c>
      <c r="L52">
        <f>'1234 P+ 24 hpi'!U53</f>
        <v>65.919006162574576</v>
      </c>
      <c r="N52">
        <f>'1250 P- 24 hpi'!AD53</f>
        <v>87.149731639732281</v>
      </c>
      <c r="O52">
        <f>'1250 P- 24 hpi'!AE53</f>
        <v>93.127902528474209</v>
      </c>
      <c r="Q52">
        <f>'1250 P+ 24 hpi'!T53</f>
        <v>70.569496375686725</v>
      </c>
      <c r="R52">
        <f>'1250 P+ 24 hpi'!U53</f>
        <v>78.695669125897311</v>
      </c>
      <c r="T52">
        <f>'1480 P- 24 hpi'!T53</f>
        <v>94.254328136115092</v>
      </c>
      <c r="U52">
        <f>'1480 P- 24 hpi'!U53</f>
        <v>101.94959220308105</v>
      </c>
      <c r="W52">
        <f>'NAD003 P+ 24 hpi'!T53</f>
        <v>67.803280934949001</v>
      </c>
      <c r="X52">
        <f>'NAD003 P+ 24 hpi'!U53</f>
        <v>76.522054920803427</v>
      </c>
    </row>
    <row r="53" spans="1:24" x14ac:dyDescent="0.35">
      <c r="A53" s="3">
        <v>336.67899999999997</v>
      </c>
      <c r="B53">
        <f>'1233 P- 24 hpi'!T54</f>
        <v>66.553339184477807</v>
      </c>
      <c r="C53">
        <f>'1233 P- 24 hpi'!U54</f>
        <v>73.798565565730513</v>
      </c>
      <c r="E53">
        <f>'1233 P+ 24 hpi'!T54</f>
        <v>78.711746726538621</v>
      </c>
      <c r="F53">
        <f>'1233 P+ 24 hpi'!U54</f>
        <v>89.977624107726442</v>
      </c>
      <c r="H53">
        <f>'1234 P- 24 hpi'!T54</f>
        <v>72.330055052529588</v>
      </c>
      <c r="I53">
        <f>'1234 P- 24 hpi'!U54</f>
        <v>77.317776168661979</v>
      </c>
      <c r="K53">
        <f>'1234 P+ 24 hpi'!T54</f>
        <v>67.591709078378159</v>
      </c>
      <c r="L53">
        <f>'1234 P+ 24 hpi'!U54</f>
        <v>65.690466239228826</v>
      </c>
      <c r="N53">
        <f>'1250 P- 24 hpi'!AD54</f>
        <v>89.090648166799795</v>
      </c>
      <c r="O53">
        <f>'1250 P- 24 hpi'!AE54</f>
        <v>95.382467500821605</v>
      </c>
      <c r="Q53">
        <f>'1250 P+ 24 hpi'!T54</f>
        <v>70.856336811414224</v>
      </c>
      <c r="R53">
        <f>'1250 P+ 24 hpi'!U54</f>
        <v>78.693936256395375</v>
      </c>
      <c r="T53">
        <f>'1480 P- 24 hpi'!T54</f>
        <v>96.957709114487201</v>
      </c>
      <c r="U53">
        <f>'1480 P- 24 hpi'!U54</f>
        <v>102.2594721568726</v>
      </c>
      <c r="W53">
        <f>'NAD003 P+ 24 hpi'!T54</f>
        <v>68.046023138813311</v>
      </c>
      <c r="X53">
        <f>'NAD003 P+ 24 hpi'!U54</f>
        <v>77.163449451071315</v>
      </c>
    </row>
    <row r="54" spans="1:24" x14ac:dyDescent="0.35">
      <c r="A54" s="3">
        <v>342.94200000000001</v>
      </c>
      <c r="B54">
        <f>'1233 P- 24 hpi'!T55</f>
        <v>66.765494745652873</v>
      </c>
      <c r="C54">
        <f>'1233 P- 24 hpi'!U55</f>
        <v>73.892555003354119</v>
      </c>
      <c r="E54">
        <f>'1233 P+ 24 hpi'!T55</f>
        <v>79.083305032514488</v>
      </c>
      <c r="F54">
        <f>'1233 P+ 24 hpi'!U55</f>
        <v>89.398556254149653</v>
      </c>
      <c r="H54">
        <f>'1234 P- 24 hpi'!T55</f>
        <v>72.555662309996308</v>
      </c>
      <c r="I54">
        <f>'1234 P- 24 hpi'!U55</f>
        <v>77.197970330462795</v>
      </c>
      <c r="K54">
        <f>'1234 P+ 24 hpi'!T55</f>
        <v>68.015808018076285</v>
      </c>
      <c r="L54">
        <f>'1234 P+ 24 hpi'!U55</f>
        <v>65.520350724302588</v>
      </c>
      <c r="N54">
        <f>'1250 P- 24 hpi'!AD55</f>
        <v>91.197832475847889</v>
      </c>
      <c r="O54">
        <f>'1250 P- 24 hpi'!AE55</f>
        <v>96.671104339647655</v>
      </c>
      <c r="Q54">
        <f>'1250 P+ 24 hpi'!T55</f>
        <v>71.214718626405514</v>
      </c>
      <c r="R54">
        <f>'1250 P+ 24 hpi'!U55</f>
        <v>78.981592593715746</v>
      </c>
      <c r="T54">
        <f>'1480 P- 24 hpi'!T55</f>
        <v>99.500513605778067</v>
      </c>
      <c r="U54">
        <f>'1480 P- 24 hpi'!U55</f>
        <v>104.25101060578083</v>
      </c>
      <c r="W54">
        <f>'NAD003 P+ 24 hpi'!T55</f>
        <v>68.366677759724382</v>
      </c>
      <c r="X54">
        <f>'NAD003 P+ 24 hpi'!U55</f>
        <v>76.720954269910891</v>
      </c>
    </row>
    <row r="55" spans="1:24" x14ac:dyDescent="0.35">
      <c r="A55" s="3">
        <v>349.24099999999999</v>
      </c>
      <c r="B55">
        <f>'1233 P- 24 hpi'!T56</f>
        <v>66.999534501886089</v>
      </c>
      <c r="C55">
        <f>'1233 P- 24 hpi'!U56</f>
        <v>73.986416891445188</v>
      </c>
      <c r="E55">
        <f>'1233 P+ 24 hpi'!T56</f>
        <v>79.564544734160975</v>
      </c>
      <c r="F55">
        <f>'1233 P+ 24 hpi'!U56</f>
        <v>89.655047792716829</v>
      </c>
      <c r="H55">
        <f>'1234 P- 24 hpi'!T56</f>
        <v>72.735277145422927</v>
      </c>
      <c r="I55">
        <f>'1234 P- 24 hpi'!U56</f>
        <v>77.581516435451945</v>
      </c>
      <c r="K55">
        <f>'1234 P+ 24 hpi'!T56</f>
        <v>68.341870201078962</v>
      </c>
      <c r="L55">
        <f>'1234 P+ 24 hpi'!U56</f>
        <v>65.710919228477678</v>
      </c>
      <c r="N55">
        <f>'1250 P- 24 hpi'!AD56</f>
        <v>93.130846050540242</v>
      </c>
      <c r="O55">
        <f>'1250 P- 24 hpi'!AE56</f>
        <v>98.535814785028236</v>
      </c>
      <c r="Q55">
        <f>'1250 P+ 24 hpi'!T56</f>
        <v>71.509658086200602</v>
      </c>
      <c r="R55">
        <f>'1250 P+ 24 hpi'!U56</f>
        <v>79.356325623508113</v>
      </c>
      <c r="T55">
        <f>'1480 P- 24 hpi'!T56</f>
        <v>102.17288878564783</v>
      </c>
      <c r="U55">
        <f>'1480 P- 24 hpi'!U56</f>
        <v>107.81000768898109</v>
      </c>
      <c r="W55">
        <f>'NAD003 P+ 24 hpi'!T56</f>
        <v>68.690366658183748</v>
      </c>
      <c r="X55">
        <f>'NAD003 P+ 24 hpi'!U56</f>
        <v>76.842752185937371</v>
      </c>
    </row>
    <row r="56" spans="1:24" x14ac:dyDescent="0.35">
      <c r="A56" s="3">
        <v>355.43299999999999</v>
      </c>
      <c r="B56">
        <f>'1233 P- 24 hpi'!T57</f>
        <v>67.211230319802084</v>
      </c>
      <c r="C56">
        <f>'1233 P- 24 hpi'!U57</f>
        <v>74.109659373111697</v>
      </c>
      <c r="E56">
        <f>'1233 P+ 24 hpi'!T57</f>
        <v>79.816107568267867</v>
      </c>
      <c r="F56">
        <f>'1233 P+ 24 hpi'!U57</f>
        <v>89.750044658852829</v>
      </c>
      <c r="H56">
        <f>'1234 P- 24 hpi'!T57</f>
        <v>72.963444340358663</v>
      </c>
      <c r="I56">
        <f>'1234 P- 24 hpi'!U57</f>
        <v>77.971246291204054</v>
      </c>
      <c r="K56">
        <f>'1234 P+ 24 hpi'!T57</f>
        <v>68.653537665634673</v>
      </c>
      <c r="L56">
        <f>'1234 P+ 24 hpi'!U57</f>
        <v>65.65614078770686</v>
      </c>
      <c r="N56">
        <f>'1250 P- 24 hpi'!AD57</f>
        <v>95.104986477007017</v>
      </c>
      <c r="O56">
        <f>'1250 P- 24 hpi'!AE57</f>
        <v>99.847008117784739</v>
      </c>
      <c r="Q56">
        <f>'1250 P+ 24 hpi'!T57</f>
        <v>71.874789087914891</v>
      </c>
      <c r="R56">
        <f>'1250 P+ 24 hpi'!U57</f>
        <v>79.741455870312038</v>
      </c>
      <c r="T56">
        <f>'1480 P- 24 hpi'!T57</f>
        <v>104.93370415901927</v>
      </c>
      <c r="U56">
        <f>'1480 P- 24 hpi'!U57</f>
        <v>108.83044584791007</v>
      </c>
      <c r="W56">
        <f>'NAD003 P+ 24 hpi'!T57</f>
        <v>68.895914492101085</v>
      </c>
      <c r="X56">
        <f>'NAD003 P+ 24 hpi'!U57</f>
        <v>76.998072464172978</v>
      </c>
    </row>
    <row r="57" spans="1:24" x14ac:dyDescent="0.35">
      <c r="A57" s="3">
        <v>361.57799999999997</v>
      </c>
      <c r="B57">
        <f>'1233 P- 24 hpi'!T58</f>
        <v>67.464549934245824</v>
      </c>
      <c r="C57">
        <f>'1233 P- 24 hpi'!U58</f>
        <v>74.219828397519109</v>
      </c>
      <c r="E57">
        <f>'1233 P+ 24 hpi'!T58</f>
        <v>80.014339081544094</v>
      </c>
      <c r="F57">
        <f>'1233 P+ 24 hpi'!U58</f>
        <v>89.746017617788368</v>
      </c>
      <c r="H57">
        <f>'1234 P- 24 hpi'!T58</f>
        <v>73.131823882558862</v>
      </c>
      <c r="I57">
        <f>'1234 P- 24 hpi'!U58</f>
        <v>77.736010203633285</v>
      </c>
      <c r="K57">
        <f>'1234 P+ 24 hpi'!T58</f>
        <v>69.063569039577857</v>
      </c>
      <c r="L57">
        <f>'1234 P+ 24 hpi'!U58</f>
        <v>65.649382408650723</v>
      </c>
      <c r="N57">
        <f>'1250 P- 24 hpi'!AD58</f>
        <v>97.069053187844332</v>
      </c>
      <c r="O57">
        <f>'1250 P- 24 hpi'!AE58</f>
        <v>102.2912830259443</v>
      </c>
      <c r="Q57">
        <f>'1250 P+ 24 hpi'!T58</f>
        <v>72.160954604970101</v>
      </c>
      <c r="R57">
        <f>'1250 P+ 24 hpi'!U58</f>
        <v>79.307372060078592</v>
      </c>
      <c r="T57">
        <f>'1480 P- 24 hpi'!T58</f>
        <v>107.82653431754748</v>
      </c>
      <c r="U57">
        <f>'1480 P- 24 hpi'!U58</f>
        <v>111.91682600881019</v>
      </c>
      <c r="W57">
        <f>'NAD003 P+ 24 hpi'!T58</f>
        <v>69.127008985376733</v>
      </c>
      <c r="X57">
        <f>'NAD003 P+ 24 hpi'!U58</f>
        <v>77.494203424868019</v>
      </c>
    </row>
    <row r="58" spans="1:24" x14ac:dyDescent="0.35">
      <c r="A58" s="3">
        <v>367.786</v>
      </c>
      <c r="B58">
        <f>'1233 P- 24 hpi'!T59</f>
        <v>67.590437726706753</v>
      </c>
      <c r="C58">
        <f>'1233 P- 24 hpi'!U59</f>
        <v>74.452682132054974</v>
      </c>
      <c r="E58">
        <f>'1233 P+ 24 hpi'!T59</f>
        <v>80.115215778020968</v>
      </c>
      <c r="F58">
        <f>'1233 P+ 24 hpi'!U59</f>
        <v>89.885105420707035</v>
      </c>
      <c r="H58">
        <f>'1234 P- 24 hpi'!T59</f>
        <v>73.234767674686864</v>
      </c>
      <c r="I58">
        <f>'1234 P- 24 hpi'!U59</f>
        <v>78.052318685799193</v>
      </c>
      <c r="K58">
        <f>'1234 P+ 24 hpi'!T59</f>
        <v>69.383197219638333</v>
      </c>
      <c r="L58">
        <f>'1234 P+ 24 hpi'!U59</f>
        <v>65.813006322641442</v>
      </c>
      <c r="N58">
        <f>'1250 P- 24 hpi'!AD59</f>
        <v>99.23120670986863</v>
      </c>
      <c r="O58">
        <f>'1250 P- 24 hpi'!AE59</f>
        <v>103.54884126618408</v>
      </c>
      <c r="Q58">
        <f>'1250 P+ 24 hpi'!T59</f>
        <v>72.437671260613087</v>
      </c>
      <c r="R58">
        <f>'1250 P+ 24 hpi'!U59</f>
        <v>79.566869267992601</v>
      </c>
      <c r="T58">
        <f>'1480 P- 24 hpi'!T59</f>
        <v>110.26263068067811</v>
      </c>
      <c r="U58">
        <f>'1480 P- 24 hpi'!U59</f>
        <v>112.50256035109209</v>
      </c>
      <c r="W58">
        <f>'NAD003 P+ 24 hpi'!T59</f>
        <v>69.487109214415753</v>
      </c>
      <c r="X58">
        <f>'NAD003 P+ 24 hpi'!U59</f>
        <v>77.14333603374584</v>
      </c>
    </row>
    <row r="59" spans="1:24" x14ac:dyDescent="0.35">
      <c r="A59" s="3">
        <v>374.03899999999999</v>
      </c>
      <c r="B59">
        <f>'1233 P- 24 hpi'!T60</f>
        <v>67.763584049136412</v>
      </c>
      <c r="C59">
        <f>'1233 P- 24 hpi'!U60</f>
        <v>74.61447779084402</v>
      </c>
      <c r="E59">
        <f>'1233 P+ 24 hpi'!T60</f>
        <v>80.292316013232195</v>
      </c>
      <c r="F59">
        <f>'1233 P+ 24 hpi'!U60</f>
        <v>90.229159288060444</v>
      </c>
      <c r="H59">
        <f>'1234 P- 24 hpi'!T60</f>
        <v>73.388767330616801</v>
      </c>
      <c r="I59">
        <f>'1234 P- 24 hpi'!U60</f>
        <v>77.909217561204017</v>
      </c>
      <c r="K59">
        <f>'1234 P+ 24 hpi'!T60</f>
        <v>69.602171421467546</v>
      </c>
      <c r="L59">
        <f>'1234 P+ 24 hpi'!U60</f>
        <v>65.867340133211201</v>
      </c>
      <c r="N59">
        <f>'1250 P- 24 hpi'!AD60</f>
        <v>101.29778286704922</v>
      </c>
      <c r="O59">
        <f>'1250 P- 24 hpi'!AE60</f>
        <v>105.21112768713542</v>
      </c>
      <c r="Q59">
        <f>'1250 P+ 24 hpi'!T60</f>
        <v>72.736660232441992</v>
      </c>
      <c r="R59">
        <f>'1250 P+ 24 hpi'!U60</f>
        <v>79.857558126941356</v>
      </c>
      <c r="T59">
        <f>'1480 P- 24 hpi'!T60</f>
        <v>112.97825969776456</v>
      </c>
      <c r="U59">
        <f>'1480 P- 24 hpi'!U60</f>
        <v>114.17594281933155</v>
      </c>
      <c r="W59">
        <f>'NAD003 P+ 24 hpi'!T60</f>
        <v>69.814321790028004</v>
      </c>
      <c r="X59">
        <f>'NAD003 P+ 24 hpi'!U60</f>
        <v>77.4578875324748</v>
      </c>
    </row>
    <row r="60" spans="1:24" x14ac:dyDescent="0.35">
      <c r="A60" s="3">
        <v>380.137</v>
      </c>
      <c r="B60">
        <f>'1233 P- 24 hpi'!T61</f>
        <v>68.017784575217902</v>
      </c>
      <c r="C60">
        <f>'1233 P- 24 hpi'!U61</f>
        <v>74.607198390847003</v>
      </c>
      <c r="E60">
        <f>'1233 P+ 24 hpi'!T61</f>
        <v>80.427656817981713</v>
      </c>
      <c r="F60">
        <f>'1233 P+ 24 hpi'!U61</f>
        <v>89.73331694981583</v>
      </c>
      <c r="H60">
        <f>'1234 P- 24 hpi'!T61</f>
        <v>73.54956138871141</v>
      </c>
      <c r="I60">
        <f>'1234 P- 24 hpi'!U61</f>
        <v>77.679394190125834</v>
      </c>
      <c r="K60">
        <f>'1234 P+ 24 hpi'!T61</f>
        <v>70.020490663607433</v>
      </c>
      <c r="L60">
        <f>'1234 P+ 24 hpi'!U61</f>
        <v>65.802157345735552</v>
      </c>
      <c r="N60">
        <f>'1250 P- 24 hpi'!AD61</f>
        <v>103.42163303951315</v>
      </c>
      <c r="O60">
        <f>'1250 P- 24 hpi'!AE61</f>
        <v>107.13661427776182</v>
      </c>
      <c r="Q60">
        <f>'1250 P+ 24 hpi'!T61</f>
        <v>72.930361891392081</v>
      </c>
      <c r="R60">
        <f>'1250 P+ 24 hpi'!U61</f>
        <v>79.852359518435563</v>
      </c>
      <c r="T60">
        <f>'1480 P- 24 hpi'!T61</f>
        <v>115.55349994620109</v>
      </c>
      <c r="U60">
        <f>'1480 P- 24 hpi'!U61</f>
        <v>114.56592074602001</v>
      </c>
      <c r="W60">
        <f>'NAD003 P+ 24 hpi'!T61</f>
        <v>70.030538535324865</v>
      </c>
      <c r="X60">
        <f>'NAD003 P+ 24 hpi'!U61</f>
        <v>77.73332960862642</v>
      </c>
    </row>
    <row r="61" spans="1:24" x14ac:dyDescent="0.35">
      <c r="A61" s="3">
        <v>386.49799999999999</v>
      </c>
      <c r="B61">
        <f>'1233 P- 24 hpi'!T62</f>
        <v>68.223636781213983</v>
      </c>
      <c r="C61">
        <f>'1233 P- 24 hpi'!U62</f>
        <v>74.665929176940509</v>
      </c>
      <c r="E61">
        <f>'1233 P+ 24 hpi'!T62</f>
        <v>80.611297686879752</v>
      </c>
      <c r="F61">
        <f>'1233 P+ 24 hpi'!U62</f>
        <v>89.381828545112668</v>
      </c>
      <c r="H61">
        <f>'1234 P- 24 hpi'!T62</f>
        <v>73.777488720530684</v>
      </c>
      <c r="I61">
        <f>'1234 P- 24 hpi'!U62</f>
        <v>77.441269544526833</v>
      </c>
      <c r="K61">
        <f>'1234 P+ 24 hpi'!T62</f>
        <v>70.374578927222714</v>
      </c>
      <c r="L61">
        <f>'1234 P+ 24 hpi'!U62</f>
        <v>66.047059660480372</v>
      </c>
      <c r="N61">
        <f>'1250 P- 24 hpi'!AD62</f>
        <v>105.51152098219275</v>
      </c>
      <c r="O61">
        <f>'1250 P- 24 hpi'!AE62</f>
        <v>109.58066239664188</v>
      </c>
      <c r="Q61">
        <f>'1250 P+ 24 hpi'!T62</f>
        <v>73.307641429207777</v>
      </c>
      <c r="R61">
        <f>'1250 P+ 24 hpi'!U62</f>
        <v>80.218861418093752</v>
      </c>
      <c r="T61">
        <f>'1480 P- 24 hpi'!T62</f>
        <v>118.3016160757188</v>
      </c>
      <c r="U61">
        <f>'1480 P- 24 hpi'!U62</f>
        <v>115.64809081971343</v>
      </c>
      <c r="W61">
        <f>'NAD003 P+ 24 hpi'!T62</f>
        <v>70.097977800833945</v>
      </c>
      <c r="X61">
        <f>'NAD003 P+ 24 hpi'!U62</f>
        <v>75.13925747967707</v>
      </c>
    </row>
    <row r="62" spans="1:24" x14ac:dyDescent="0.35">
      <c r="A62" s="3">
        <v>392.601</v>
      </c>
      <c r="B62">
        <f>'1233 P- 24 hpi'!T63</f>
        <v>68.377065521892021</v>
      </c>
      <c r="C62">
        <f>'1233 P- 24 hpi'!U63</f>
        <v>74.805016234233619</v>
      </c>
      <c r="E62">
        <f>'1233 P+ 24 hpi'!T63</f>
        <v>80.789655736261523</v>
      </c>
      <c r="F62">
        <f>'1233 P+ 24 hpi'!U63</f>
        <v>89.525562933874951</v>
      </c>
      <c r="H62">
        <f>'1234 P- 24 hpi'!T63</f>
        <v>73.971874955173675</v>
      </c>
      <c r="I62">
        <f>'1234 P- 24 hpi'!U63</f>
        <v>77.697680455249284</v>
      </c>
      <c r="K62">
        <f>'1234 P+ 24 hpi'!T63</f>
        <v>70.22256197635123</v>
      </c>
      <c r="L62">
        <f>'1234 P+ 24 hpi'!U63</f>
        <v>67.461695108178517</v>
      </c>
      <c r="N62">
        <f>'1250 P- 24 hpi'!AD63</f>
        <v>107.70786442867805</v>
      </c>
      <c r="O62">
        <f>'1250 P- 24 hpi'!AE63</f>
        <v>111.04166896168219</v>
      </c>
      <c r="Q62">
        <f>'1250 P+ 24 hpi'!T63</f>
        <v>73.685595885695761</v>
      </c>
      <c r="R62">
        <f>'1250 P+ 24 hpi'!U63</f>
        <v>80.319801066581178</v>
      </c>
      <c r="T62">
        <f>'1480 P- 24 hpi'!T63</f>
        <v>121.10920654884303</v>
      </c>
      <c r="U62">
        <f>'1480 P- 24 hpi'!U63</f>
        <v>117.74580722287517</v>
      </c>
      <c r="W62">
        <f>'NAD003 P+ 24 hpi'!T63</f>
        <v>70.508975588747731</v>
      </c>
      <c r="X62">
        <f>'NAD003 P+ 24 hpi'!U63</f>
        <v>78.354610721568847</v>
      </c>
    </row>
    <row r="63" spans="1:24" x14ac:dyDescent="0.35">
      <c r="A63" s="3">
        <v>398.83199999999999</v>
      </c>
      <c r="B63">
        <f>'1233 P- 24 hpi'!T64</f>
        <v>68.64145184763828</v>
      </c>
      <c r="C63">
        <f>'1233 P- 24 hpi'!U64</f>
        <v>74.963948427598197</v>
      </c>
      <c r="E63">
        <f>'1233 P+ 24 hpi'!T64</f>
        <v>80.843490182760405</v>
      </c>
      <c r="F63">
        <f>'1233 P+ 24 hpi'!U64</f>
        <v>89.619836997768616</v>
      </c>
      <c r="H63">
        <f>'1234 P- 24 hpi'!T64</f>
        <v>74.138345531138427</v>
      </c>
      <c r="I63">
        <f>'1234 P- 24 hpi'!U64</f>
        <v>77.903330792210582</v>
      </c>
      <c r="K63">
        <f>'1234 P+ 24 hpi'!T64</f>
        <v>70.672833131407415</v>
      </c>
      <c r="L63">
        <f>'1234 P+ 24 hpi'!U64</f>
        <v>66.655402701573095</v>
      </c>
      <c r="N63">
        <f>'1250 P- 24 hpi'!AD64</f>
        <v>109.8222974018388</v>
      </c>
      <c r="O63">
        <f>'1250 P- 24 hpi'!AE64</f>
        <v>112.91753695862963</v>
      </c>
      <c r="Q63">
        <f>'1250 P+ 24 hpi'!T64</f>
        <v>73.905619372865573</v>
      </c>
      <c r="R63">
        <f>'1250 P+ 24 hpi'!U64</f>
        <v>80.585796535127429</v>
      </c>
      <c r="T63">
        <f>'1480 P- 24 hpi'!T64</f>
        <v>123.64310612101382</v>
      </c>
      <c r="U63">
        <f>'1480 P- 24 hpi'!U64</f>
        <v>120.00152012049034</v>
      </c>
      <c r="W63">
        <f>'NAD003 P+ 24 hpi'!T64</f>
        <v>70.802321711724062</v>
      </c>
      <c r="X63">
        <f>'NAD003 P+ 24 hpi'!U64</f>
        <v>77.927200603402525</v>
      </c>
    </row>
    <row r="64" spans="1:24" x14ac:dyDescent="0.35">
      <c r="A64" s="3">
        <v>405.02199999999999</v>
      </c>
      <c r="B64">
        <f>'1233 P- 24 hpi'!T65</f>
        <v>68.862348598995652</v>
      </c>
      <c r="C64">
        <f>'1233 P- 24 hpi'!U65</f>
        <v>75.155944597660152</v>
      </c>
      <c r="E64">
        <f>'1233 P+ 24 hpi'!T65</f>
        <v>81.089267071682841</v>
      </c>
      <c r="F64">
        <f>'1233 P+ 24 hpi'!U65</f>
        <v>89.311510212679394</v>
      </c>
      <c r="H64">
        <f>'1234 P- 24 hpi'!T65</f>
        <v>74.338076444054934</v>
      </c>
      <c r="I64">
        <f>'1234 P- 24 hpi'!U65</f>
        <v>78.217322858956024</v>
      </c>
      <c r="K64">
        <f>'1234 P+ 24 hpi'!T65</f>
        <v>71.031065329121063</v>
      </c>
      <c r="L64">
        <f>'1234 P+ 24 hpi'!U65</f>
        <v>66.868380567881687</v>
      </c>
      <c r="N64">
        <f>'1250 P- 24 hpi'!AD65</f>
        <v>111.90755008308284</v>
      </c>
      <c r="O64">
        <f>'1250 P- 24 hpi'!AE65</f>
        <v>114.52655801407245</v>
      </c>
      <c r="Q64">
        <f>'1250 P+ 24 hpi'!T65</f>
        <v>74.288298260059662</v>
      </c>
      <c r="R64">
        <f>'1250 P+ 24 hpi'!U65</f>
        <v>81.038508692506639</v>
      </c>
      <c r="T64">
        <f>'1480 P- 24 hpi'!T65</f>
        <v>126.53976815961609</v>
      </c>
      <c r="U64">
        <f>'1480 P- 24 hpi'!U65</f>
        <v>121.3496225791796</v>
      </c>
      <c r="W64">
        <f>'NAD003 P+ 24 hpi'!T65</f>
        <v>71.081279486326181</v>
      </c>
      <c r="X64">
        <f>'NAD003 P+ 24 hpi'!U65</f>
        <v>78.766377070704252</v>
      </c>
    </row>
    <row r="65" spans="1:24" x14ac:dyDescent="0.35">
      <c r="A65" s="3">
        <v>411.33699999999999</v>
      </c>
      <c r="B65">
        <f>'1233 P- 24 hpi'!T66</f>
        <v>69.065691377923898</v>
      </c>
      <c r="C65">
        <f>'1233 P- 24 hpi'!U66</f>
        <v>75.359123159400653</v>
      </c>
      <c r="E65">
        <f>'1233 P+ 24 hpi'!T66</f>
        <v>81.353911173163283</v>
      </c>
      <c r="F65">
        <f>'1233 P+ 24 hpi'!U66</f>
        <v>89.478477530659717</v>
      </c>
      <c r="H65">
        <f>'1234 P- 24 hpi'!T66</f>
        <v>74.484178597514543</v>
      </c>
      <c r="I65">
        <f>'1234 P- 24 hpi'!U66</f>
        <v>78.265825624345624</v>
      </c>
      <c r="K65">
        <f>'1234 P+ 24 hpi'!T66</f>
        <v>71.403583194384325</v>
      </c>
      <c r="L65">
        <f>'1234 P+ 24 hpi'!U66</f>
        <v>66.878340284385473</v>
      </c>
      <c r="N65">
        <f>'1250 P- 24 hpi'!AD66</f>
        <v>114.05041182496367</v>
      </c>
      <c r="O65">
        <f>'1250 P- 24 hpi'!AE66</f>
        <v>116.7719588533857</v>
      </c>
      <c r="Q65">
        <f>'1250 P+ 24 hpi'!T66</f>
        <v>74.51912044598626</v>
      </c>
      <c r="R65">
        <f>'1250 P+ 24 hpi'!U66</f>
        <v>81.367753897873342</v>
      </c>
      <c r="T65">
        <f>'1480 P- 24 hpi'!T66</f>
        <v>129.2495619548165</v>
      </c>
      <c r="U65">
        <f>'1480 P- 24 hpi'!U66</f>
        <v>122.21177806640719</v>
      </c>
      <c r="W65">
        <f>'NAD003 P+ 24 hpi'!T66</f>
        <v>71.303760546561477</v>
      </c>
      <c r="X65">
        <f>'NAD003 P+ 24 hpi'!U66</f>
        <v>78.78816660614018</v>
      </c>
    </row>
    <row r="66" spans="1:24" x14ac:dyDescent="0.35">
      <c r="A66" s="3">
        <v>417.42200000000003</v>
      </c>
      <c r="B66">
        <f>'1233 P- 24 hpi'!T67</f>
        <v>69.280794408992321</v>
      </c>
      <c r="C66">
        <f>'1233 P- 24 hpi'!U67</f>
        <v>75.473933875970047</v>
      </c>
      <c r="E66">
        <f>'1233 P+ 24 hpi'!T67</f>
        <v>81.493025420424388</v>
      </c>
      <c r="F66">
        <f>'1233 P+ 24 hpi'!U67</f>
        <v>90.402735083685002</v>
      </c>
      <c r="H66">
        <f>'1234 P- 24 hpi'!T67</f>
        <v>74.620112691096153</v>
      </c>
      <c r="I66">
        <f>'1234 P- 24 hpi'!U67</f>
        <v>78.930483157997841</v>
      </c>
      <c r="K66">
        <f>'1234 P+ 24 hpi'!T67</f>
        <v>71.803036631286929</v>
      </c>
      <c r="L66">
        <f>'1234 P+ 24 hpi'!U67</f>
        <v>66.892212746658601</v>
      </c>
      <c r="N66">
        <f>'1250 P- 24 hpi'!AD67</f>
        <v>116.33276276330101</v>
      </c>
      <c r="O66">
        <f>'1250 P- 24 hpi'!AE67</f>
        <v>119.40204727094579</v>
      </c>
      <c r="Q66">
        <f>'1250 P+ 24 hpi'!T67</f>
        <v>74.922721812021649</v>
      </c>
      <c r="R66">
        <f>'1250 P+ 24 hpi'!U67</f>
        <v>81.649345191936945</v>
      </c>
      <c r="T66">
        <f>'1480 P- 24 hpi'!T67</f>
        <v>132.31628309695839</v>
      </c>
      <c r="U66">
        <f>'1480 P- 24 hpi'!U67</f>
        <v>125.09528649021763</v>
      </c>
      <c r="W66">
        <f>'NAD003 P+ 24 hpi'!T67</f>
        <v>71.611103498228374</v>
      </c>
      <c r="X66">
        <f>'NAD003 P+ 24 hpi'!U67</f>
        <v>79.202726485459678</v>
      </c>
    </row>
    <row r="67" spans="1:24" x14ac:dyDescent="0.35">
      <c r="A67" s="3">
        <v>423.74099999999999</v>
      </c>
      <c r="B67">
        <f>'1233 P- 24 hpi'!T68</f>
        <v>69.499437190871291</v>
      </c>
      <c r="C67">
        <f>'1233 P- 24 hpi'!U68</f>
        <v>75.866061250628277</v>
      </c>
      <c r="E67">
        <f>'1233 P+ 24 hpi'!T68</f>
        <v>81.465856634340838</v>
      </c>
      <c r="F67">
        <f>'1233 P+ 24 hpi'!U68</f>
        <v>90.144488168243569</v>
      </c>
      <c r="H67">
        <f>'1234 P- 24 hpi'!T68</f>
        <v>74.745980442513613</v>
      </c>
      <c r="I67">
        <f>'1234 P- 24 hpi'!U68</f>
        <v>79.507008353172324</v>
      </c>
      <c r="K67">
        <f>'1234 P+ 24 hpi'!T68</f>
        <v>72.195510810760709</v>
      </c>
      <c r="L67">
        <f>'1234 P+ 24 hpi'!U68</f>
        <v>66.95801801641575</v>
      </c>
      <c r="N67">
        <f>'1250 P- 24 hpi'!AD68</f>
        <v>118.68759790365523</v>
      </c>
      <c r="O67">
        <f>'1250 P- 24 hpi'!AE68</f>
        <v>120.86517563755456</v>
      </c>
      <c r="Q67">
        <f>'1250 P+ 24 hpi'!T68</f>
        <v>75.268955090911533</v>
      </c>
      <c r="R67">
        <f>'1250 P+ 24 hpi'!U68</f>
        <v>82.082562567419444</v>
      </c>
      <c r="T67">
        <f>'1480 P- 24 hpi'!T68</f>
        <v>135.2983298935707</v>
      </c>
      <c r="U67">
        <f>'1480 P- 24 hpi'!U68</f>
        <v>125.77566356409487</v>
      </c>
      <c r="W67">
        <f>'NAD003 P+ 24 hpi'!T68</f>
        <v>71.923829845545484</v>
      </c>
      <c r="X67">
        <f>'NAD003 P+ 24 hpi'!U68</f>
        <v>78.968628656032635</v>
      </c>
    </row>
    <row r="68" spans="1:24" x14ac:dyDescent="0.35">
      <c r="A68" s="3">
        <v>429.80099999999999</v>
      </c>
      <c r="B68">
        <f>'1233 P- 24 hpi'!T69</f>
        <v>69.715035647682967</v>
      </c>
      <c r="C68">
        <f>'1233 P- 24 hpi'!U69</f>
        <v>75.991737907263641</v>
      </c>
      <c r="E68">
        <f>'1233 P+ 24 hpi'!T69</f>
        <v>81.396676854961441</v>
      </c>
      <c r="F68">
        <f>'1233 P+ 24 hpi'!U69</f>
        <v>90.093169209037498</v>
      </c>
      <c r="H68">
        <f>'1234 P- 24 hpi'!T69</f>
        <v>74.960203402665442</v>
      </c>
      <c r="I68">
        <f>'1234 P- 24 hpi'!U69</f>
        <v>79.036730362460304</v>
      </c>
      <c r="K68">
        <f>'1234 P+ 24 hpi'!T69</f>
        <v>72.503143392115405</v>
      </c>
      <c r="L68">
        <f>'1234 P+ 24 hpi'!U69</f>
        <v>67.236356522280417</v>
      </c>
      <c r="N68">
        <f>'1250 P- 24 hpi'!AD69</f>
        <v>120.95751735721542</v>
      </c>
      <c r="O68">
        <f>'1250 P- 24 hpi'!AE69</f>
        <v>122.39367388106287</v>
      </c>
      <c r="Q68">
        <f>'1250 P+ 24 hpi'!T69</f>
        <v>75.55444568929444</v>
      </c>
      <c r="R68">
        <f>'1250 P+ 24 hpi'!U69</f>
        <v>82.355056296597937</v>
      </c>
      <c r="T68">
        <f>'1480 P- 24 hpi'!T69</f>
        <v>138.4978866584116</v>
      </c>
      <c r="U68">
        <f>'1480 P- 24 hpi'!U69</f>
        <v>126.63575380033386</v>
      </c>
      <c r="W68">
        <f>'NAD003 P+ 24 hpi'!T69</f>
        <v>72.157762856527626</v>
      </c>
      <c r="X68">
        <f>'NAD003 P+ 24 hpi'!U69</f>
        <v>79.375925356873481</v>
      </c>
    </row>
    <row r="69" spans="1:24" x14ac:dyDescent="0.35">
      <c r="A69" s="3">
        <v>436.18</v>
      </c>
      <c r="B69">
        <f>'1233 P- 24 hpi'!T70</f>
        <v>69.902632358190274</v>
      </c>
      <c r="C69">
        <f>'1233 P- 24 hpi'!U70</f>
        <v>76.201241809066943</v>
      </c>
      <c r="E69">
        <f>'1233 P+ 24 hpi'!T70</f>
        <v>81.612769329459269</v>
      </c>
      <c r="F69">
        <f>'1233 P+ 24 hpi'!U70</f>
        <v>89.778543718693612</v>
      </c>
      <c r="H69">
        <f>'1234 P- 24 hpi'!T70</f>
        <v>75.188468813193083</v>
      </c>
      <c r="I69">
        <f>'1234 P- 24 hpi'!U70</f>
        <v>79.293644100995152</v>
      </c>
      <c r="K69">
        <f>'1234 P+ 24 hpi'!T70</f>
        <v>72.917209649259604</v>
      </c>
      <c r="L69">
        <f>'1234 P+ 24 hpi'!U70</f>
        <v>67.297004081705239</v>
      </c>
      <c r="N69">
        <f>'1250 P- 24 hpi'!AD70</f>
        <v>123.09191689720942</v>
      </c>
      <c r="O69">
        <f>'1250 P- 24 hpi'!AE70</f>
        <v>124.65981384828414</v>
      </c>
      <c r="Q69">
        <f>'1250 P+ 24 hpi'!T70</f>
        <v>76.03296302795512</v>
      </c>
      <c r="R69">
        <f>'1250 P+ 24 hpi'!U70</f>
        <v>82.918672102100672</v>
      </c>
      <c r="T69">
        <f>'1480 P- 24 hpi'!T70</f>
        <v>141.90587861285289</v>
      </c>
      <c r="U69">
        <f>'1480 P- 24 hpi'!U70</f>
        <v>129.26329873643704</v>
      </c>
      <c r="W69">
        <f>'NAD003 P+ 24 hpi'!T70</f>
        <v>72.415774328054354</v>
      </c>
      <c r="X69">
        <f>'NAD003 P+ 24 hpi'!U70</f>
        <v>79.588792356901422</v>
      </c>
    </row>
    <row r="70" spans="1:24" x14ac:dyDescent="0.35">
      <c r="A70" s="4">
        <v>449.34699999999998</v>
      </c>
      <c r="B70">
        <f>'1233 P- 24 hpi'!T71</f>
        <v>0.51464157982786018</v>
      </c>
      <c r="C70">
        <f>'1233 P- 24 hpi'!U71</f>
        <v>14.413821285418587</v>
      </c>
      <c r="E70">
        <f>'1233 P+ 24 hpi'!T71</f>
        <v>1.2609335496773706</v>
      </c>
      <c r="F70">
        <f>'1233 P+ 24 hpi'!U71</f>
        <v>18.760125684984192</v>
      </c>
      <c r="H70">
        <f>'1234 P- 24 hpi'!T71</f>
        <v>0.47815120705704145</v>
      </c>
      <c r="I70">
        <f>'1234 P- 24 hpi'!U71</f>
        <v>16.897555363997206</v>
      </c>
      <c r="K70">
        <f>'1234 P+ 24 hpi'!T71</f>
        <v>7.3846977599855188E-2</v>
      </c>
      <c r="L70">
        <f>'1234 P+ 24 hpi'!U71</f>
        <v>9.5777791610717351</v>
      </c>
      <c r="N70">
        <f>'1250 P- 24 hpi'!AD71</f>
        <v>0.12744943867319644</v>
      </c>
      <c r="O70">
        <f>'1250 P- 24 hpi'!AE71</f>
        <v>10.272833468803787</v>
      </c>
      <c r="Q70">
        <f>'1250 P+ 24 hpi'!T71</f>
        <v>0.20349675364118625</v>
      </c>
      <c r="R70">
        <f>'1250 P+ 24 hpi'!U71</f>
        <v>12.966845874254323</v>
      </c>
      <c r="T70">
        <f>'1480 P- 24 hpi'!T71</f>
        <v>0.52233072922207413</v>
      </c>
      <c r="U70">
        <f>'1480 P- 24 hpi'!U71</f>
        <v>10.496203373270651</v>
      </c>
      <c r="W70">
        <f>'NAD003 P+ 24 hpi'!T71</f>
        <v>0.53494998336041344</v>
      </c>
      <c r="X70">
        <f>'NAD003 P+ 24 hpi'!U71</f>
        <v>16.052350755649915</v>
      </c>
    </row>
    <row r="71" spans="1:24" x14ac:dyDescent="0.35">
      <c r="A71" s="3">
        <v>455.601</v>
      </c>
      <c r="B71">
        <f>'1233 P- 24 hpi'!T72</f>
        <v>0.50885595957457841</v>
      </c>
      <c r="C71">
        <f>'1233 P- 24 hpi'!U72</f>
        <v>14.348982779891436</v>
      </c>
      <c r="E71">
        <f>'1233 P+ 24 hpi'!T72</f>
        <v>1.2384740198483077</v>
      </c>
      <c r="F71">
        <f>'1233 P+ 24 hpi'!U72</f>
        <v>18.670085177081383</v>
      </c>
      <c r="H71">
        <f>'1234 P- 24 hpi'!T72</f>
        <v>0.4728283704050818</v>
      </c>
      <c r="I71">
        <f>'1234 P- 24 hpi'!U72</f>
        <v>16.863201554630283</v>
      </c>
      <c r="K71">
        <f>'1234 P+ 24 hpi'!T72</f>
        <v>7.1928554214108362E-2</v>
      </c>
      <c r="L71">
        <f>'1234 P+ 24 hpi'!U72</f>
        <v>9.6145056156794393</v>
      </c>
      <c r="N71">
        <f>'1250 P- 24 hpi'!AD72</f>
        <v>0.12951768651415707</v>
      </c>
      <c r="O71">
        <f>'1250 P- 24 hpi'!AE72</f>
        <v>10.226317785890767</v>
      </c>
      <c r="Q71">
        <f>'1250 P+ 24 hpi'!T72</f>
        <v>0.20496875126547248</v>
      </c>
      <c r="R71">
        <f>'1250 P+ 24 hpi'!U72</f>
        <v>12.989156569091673</v>
      </c>
      <c r="T71">
        <f>'1480 P- 24 hpi'!T72</f>
        <v>0.51629765476881773</v>
      </c>
      <c r="U71">
        <f>'1480 P- 24 hpi'!U72</f>
        <v>10.339884957779246</v>
      </c>
      <c r="W71">
        <f>'NAD003 P+ 24 hpi'!T72</f>
        <v>0.5327799855137717</v>
      </c>
      <c r="X71">
        <f>'NAD003 P+ 24 hpi'!U72</f>
        <v>16.029499678744028</v>
      </c>
    </row>
    <row r="72" spans="1:24" x14ac:dyDescent="0.35">
      <c r="A72" s="3">
        <v>461.72699999999998</v>
      </c>
      <c r="B72" s="1">
        <f>'1233 P- 24 hpi'!T73</f>
        <v>0.50189874486891872</v>
      </c>
      <c r="C72" s="1">
        <f>'1233 P- 24 hpi'!U73</f>
        <v>14.272387010189581</v>
      </c>
      <c r="D72" s="1"/>
      <c r="E72" s="1">
        <f>'1233 P+ 24 hpi'!T73</f>
        <v>1.2214457316076124</v>
      </c>
      <c r="F72" s="1">
        <f>'1233 P+ 24 hpi'!U73</f>
        <v>18.581387016200061</v>
      </c>
      <c r="G72" s="1"/>
      <c r="H72" s="1">
        <f>'1234 P- 24 hpi'!T73</f>
        <v>0.46724342864547569</v>
      </c>
      <c r="I72" s="1">
        <f>'1234 P- 24 hpi'!U73</f>
        <v>16.804794081549463</v>
      </c>
      <c r="J72" s="1"/>
      <c r="K72" s="1">
        <f>'1234 P+ 24 hpi'!T73</f>
        <v>7.2453961437421707E-2</v>
      </c>
      <c r="L72" s="1">
        <f>'1234 P+ 24 hpi'!U73</f>
        <v>9.5514570531688783</v>
      </c>
      <c r="M72" s="1"/>
      <c r="N72" s="1">
        <f>'1250 P- 24 hpi'!AD73</f>
        <v>0.12896134940011464</v>
      </c>
      <c r="O72" s="1">
        <f>'1250 P- 24 hpi'!AE73</f>
        <v>10.132105941272656</v>
      </c>
      <c r="P72" s="1"/>
      <c r="Q72" s="1">
        <f>'1250 P+ 24 hpi'!T73</f>
        <v>0.2049579525667157</v>
      </c>
      <c r="R72" s="1">
        <f>'1250 P+ 24 hpi'!U73</f>
        <v>12.967539022055096</v>
      </c>
      <c r="S72" s="1"/>
      <c r="T72" s="1">
        <f>'1480 P- 24 hpi'!T73</f>
        <v>0.50890393981353377</v>
      </c>
      <c r="U72" s="1">
        <f>'1480 P- 24 hpi'!U73</f>
        <v>10.254916598335265</v>
      </c>
      <c r="V72" s="1"/>
      <c r="W72" s="1">
        <f>'NAD003 P+ 24 hpi'!T73</f>
        <v>0.52647358220934559</v>
      </c>
      <c r="X72" s="1">
        <f>'NAD003 P+ 24 hpi'!U73</f>
        <v>15.959214459312236</v>
      </c>
    </row>
    <row r="73" spans="1:24" s="1" customFormat="1" x14ac:dyDescent="0.35">
      <c r="A73" s="3">
        <v>467.90100000000001</v>
      </c>
      <c r="B73">
        <f>'1233 P- 24 hpi'!T74</f>
        <v>0.49621139271784126</v>
      </c>
      <c r="C73">
        <f>'1233 P- 24 hpi'!U74</f>
        <v>14.226736200281634</v>
      </c>
      <c r="D73"/>
      <c r="E73">
        <f>'1233 P+ 24 hpi'!T74</f>
        <v>1.2070261499566053</v>
      </c>
      <c r="F73">
        <f>'1233 P+ 24 hpi'!U74</f>
        <v>18.530894116699521</v>
      </c>
      <c r="G73"/>
      <c r="H73">
        <f>'1234 P- 24 hpi'!T74</f>
        <v>0.46257808719552646</v>
      </c>
      <c r="I73">
        <f>'1234 P- 24 hpi'!U74</f>
        <v>16.759336891950635</v>
      </c>
      <c r="J73"/>
      <c r="K73">
        <f>'1234 P+ 24 hpi'!T74</f>
        <v>7.0071526483555677E-2</v>
      </c>
      <c r="L73">
        <f>'1234 P+ 24 hpi'!U74</f>
        <v>9.4561283380612338</v>
      </c>
      <c r="M73"/>
      <c r="N73">
        <f>'1250 P- 24 hpi'!AD74</f>
        <v>0.12892318954562976</v>
      </c>
      <c r="O73">
        <f>'1250 P- 24 hpi'!AE74</f>
        <v>10.109197336685581</v>
      </c>
      <c r="P73"/>
      <c r="Q73">
        <f>'1250 P+ 24 hpi'!T74</f>
        <v>0.20428978308113874</v>
      </c>
      <c r="R73">
        <f>'1250 P+ 24 hpi'!U74</f>
        <v>12.95458582252817</v>
      </c>
      <c r="S73"/>
      <c r="T73">
        <f>'1480 P- 24 hpi'!T74</f>
        <v>0.50267863140873315</v>
      </c>
      <c r="U73">
        <f>'1480 P- 24 hpi'!U74</f>
        <v>10.129513910984459</v>
      </c>
      <c r="V73"/>
      <c r="W73">
        <f>'NAD003 P+ 24 hpi'!T74</f>
        <v>0.52163439891940577</v>
      </c>
      <c r="X73">
        <f>'NAD003 P+ 24 hpi'!U74</f>
        <v>15.930217616001341</v>
      </c>
    </row>
    <row r="74" spans="1:24" x14ac:dyDescent="0.35">
      <c r="A74" s="3">
        <v>474.11200000000002</v>
      </c>
      <c r="B74">
        <f>'1233 P- 24 hpi'!T75</f>
        <v>0.49211531820362725</v>
      </c>
      <c r="C74">
        <f>'1233 P- 24 hpi'!U75</f>
        <v>14.205088192386976</v>
      </c>
      <c r="E74">
        <f>'1233 P+ 24 hpi'!T75</f>
        <v>1.1942543048689986</v>
      </c>
      <c r="F74">
        <f>'1233 P+ 24 hpi'!U75</f>
        <v>18.478026295545575</v>
      </c>
      <c r="H74">
        <f>'1234 P- 24 hpi'!T75</f>
        <v>0.45869943307491412</v>
      </c>
      <c r="I74">
        <f>'1234 P- 24 hpi'!U75</f>
        <v>16.726458794387298</v>
      </c>
      <c r="K74">
        <f>'1234 P+ 24 hpi'!T75</f>
        <v>7.1483735603918422E-2</v>
      </c>
      <c r="L74">
        <f>'1234 P+ 24 hpi'!U75</f>
        <v>9.4198465136545924</v>
      </c>
      <c r="N74">
        <f>'1250 P- 24 hpi'!AD75</f>
        <v>0.12883261232842147</v>
      </c>
      <c r="O74">
        <f>'1250 P- 24 hpi'!AE75</f>
        <v>10.115206830589923</v>
      </c>
      <c r="Q74">
        <f>'1250 P+ 24 hpi'!T75</f>
        <v>0.20415074983464487</v>
      </c>
      <c r="R74">
        <f>'1250 P+ 24 hpi'!U75</f>
        <v>12.945574901118134</v>
      </c>
      <c r="T74">
        <f>'1480 P- 24 hpi'!T75</f>
        <v>0.49777564180549999</v>
      </c>
      <c r="U74">
        <f>'1480 P- 24 hpi'!U75</f>
        <v>10.06325541180091</v>
      </c>
      <c r="W74">
        <f>'NAD003 P+ 24 hpi'!T75</f>
        <v>0.51749799346162129</v>
      </c>
      <c r="X74">
        <f>'NAD003 P+ 24 hpi'!U75</f>
        <v>15.911668575578961</v>
      </c>
    </row>
    <row r="75" spans="1:24" x14ac:dyDescent="0.35">
      <c r="A75" s="3">
        <v>480.45699999999999</v>
      </c>
      <c r="B75">
        <f>'1233 P- 24 hpi'!T76</f>
        <v>0.48860971702226114</v>
      </c>
      <c r="C75">
        <f>'1233 P- 24 hpi'!U76</f>
        <v>14.184418374451345</v>
      </c>
      <c r="E75">
        <f>'1233 P+ 24 hpi'!T76</f>
        <v>1.1811856156371459</v>
      </c>
      <c r="F75">
        <f>'1233 P+ 24 hpi'!U76</f>
        <v>18.42887574306652</v>
      </c>
      <c r="H75">
        <f>'1234 P- 24 hpi'!T76</f>
        <v>0.45517634174856186</v>
      </c>
      <c r="I75">
        <f>'1234 P- 24 hpi'!U76</f>
        <v>16.696277500805987</v>
      </c>
      <c r="K75">
        <f>'1234 P+ 24 hpi'!T76</f>
        <v>7.2131061730441454E-2</v>
      </c>
      <c r="L75">
        <f>'1234 P+ 24 hpi'!U76</f>
        <v>9.3796519434786099</v>
      </c>
      <c r="N75">
        <f>'1250 P- 24 hpi'!AD76</f>
        <v>0.12910995668936742</v>
      </c>
      <c r="O75">
        <f>'1250 P- 24 hpi'!AE76</f>
        <v>10.111436578799255</v>
      </c>
      <c r="Q75">
        <f>'1250 P+ 24 hpi'!T76</f>
        <v>0.2043505257616457</v>
      </c>
      <c r="R75">
        <f>'1250 P+ 24 hpi'!U76</f>
        <v>12.934484536305781</v>
      </c>
      <c r="T75">
        <f>'1480 P- 24 hpi'!T76</f>
        <v>0.49405255770142786</v>
      </c>
      <c r="U75">
        <f>'1480 P- 24 hpi'!U76</f>
        <v>10.011169096902551</v>
      </c>
      <c r="W75">
        <f>'NAD003 P+ 24 hpi'!T76</f>
        <v>0.51371884971516946</v>
      </c>
      <c r="X75">
        <f>'NAD003 P+ 24 hpi'!U76</f>
        <v>15.881386708383385</v>
      </c>
    </row>
    <row r="76" spans="1:24" x14ac:dyDescent="0.35">
      <c r="A76" s="3">
        <v>486.59</v>
      </c>
      <c r="B76">
        <f>'1233 P- 24 hpi'!T77</f>
        <v>0.4850317608226325</v>
      </c>
      <c r="C76">
        <f>'1233 P- 24 hpi'!U77</f>
        <v>14.160408905781201</v>
      </c>
      <c r="E76">
        <f>'1233 P+ 24 hpi'!T77</f>
        <v>1.1714677433555967</v>
      </c>
      <c r="F76">
        <f>'1233 P+ 24 hpi'!U77</f>
        <v>18.398208276498703</v>
      </c>
      <c r="H76">
        <f>'1234 P- 24 hpi'!T77</f>
        <v>0.45156133220278977</v>
      </c>
      <c r="I76">
        <f>'1234 P- 24 hpi'!U77</f>
        <v>16.661566454570323</v>
      </c>
      <c r="K76">
        <f>'1234 P+ 24 hpi'!T77</f>
        <v>7.2009469979923732E-2</v>
      </c>
      <c r="L76">
        <f>'1234 P+ 24 hpi'!U77</f>
        <v>9.3397241514232601</v>
      </c>
      <c r="N76">
        <f>'1250 P- 24 hpi'!AD77</f>
        <v>0.12940346977609302</v>
      </c>
      <c r="O76">
        <f>'1250 P- 24 hpi'!AE77</f>
        <v>10.117054784644669</v>
      </c>
      <c r="Q76">
        <f>'1250 P+ 24 hpi'!T77</f>
        <v>0.2041932697109998</v>
      </c>
      <c r="R76">
        <f>'1250 P+ 24 hpi'!U77</f>
        <v>12.934614501518427</v>
      </c>
      <c r="T76">
        <f>'1480 P- 24 hpi'!T77</f>
        <v>0.49033879339807124</v>
      </c>
      <c r="U76">
        <f>'1480 P- 24 hpi'!U77</f>
        <v>9.9727955794316596</v>
      </c>
      <c r="W76">
        <f>'NAD003 P+ 24 hpi'!T77</f>
        <v>0.51030773447135058</v>
      </c>
      <c r="X76">
        <f>'NAD003 P+ 24 hpi'!U77</f>
        <v>15.876414224655699</v>
      </c>
    </row>
    <row r="77" spans="1:24" x14ac:dyDescent="0.35">
      <c r="A77" s="3">
        <v>492.80599999999998</v>
      </c>
      <c r="B77">
        <f>'1233 P- 24 hpi'!T78</f>
        <v>0.48061764377249555</v>
      </c>
      <c r="C77">
        <f>'1233 P- 24 hpi'!U78</f>
        <v>14.137310015590884</v>
      </c>
      <c r="E77">
        <f>'1233 P+ 24 hpi'!T78</f>
        <v>1.1617523867023887</v>
      </c>
      <c r="F77">
        <f>'1233 P+ 24 hpi'!U78</f>
        <v>18.364856115887914</v>
      </c>
      <c r="H77">
        <f>'1234 P- 24 hpi'!T78</f>
        <v>0.44830859273792562</v>
      </c>
      <c r="I77">
        <f>'1234 P- 24 hpi'!U78</f>
        <v>16.631550062948843</v>
      </c>
      <c r="K77">
        <f>'1234 P+ 24 hpi'!T78</f>
        <v>7.263825745390147E-2</v>
      </c>
      <c r="L77">
        <f>'1234 P+ 24 hpi'!U78</f>
        <v>9.3196268663352697</v>
      </c>
      <c r="N77">
        <f>'1250 P- 24 hpi'!AD78</f>
        <v>0.12958530204490407</v>
      </c>
      <c r="O77">
        <f>'1250 P- 24 hpi'!AE78</f>
        <v>10.129966123684659</v>
      </c>
      <c r="Q77">
        <f>'1250 P+ 24 hpi'!T78</f>
        <v>0.2041541244280064</v>
      </c>
      <c r="R77">
        <f>'1250 P+ 24 hpi'!U78</f>
        <v>12.932058519003082</v>
      </c>
      <c r="T77">
        <f>'1480 P- 24 hpi'!T78</f>
        <v>0.48631826154402735</v>
      </c>
      <c r="U77">
        <f>'1480 P- 24 hpi'!U78</f>
        <v>9.9388537044744734</v>
      </c>
      <c r="W77">
        <f>'NAD003 P+ 24 hpi'!T78</f>
        <v>0.50701603273104556</v>
      </c>
      <c r="X77">
        <f>'NAD003 P+ 24 hpi'!U78</f>
        <v>15.855853842500768</v>
      </c>
    </row>
    <row r="78" spans="1:24" x14ac:dyDescent="0.35">
      <c r="A78" s="3">
        <v>499.017</v>
      </c>
      <c r="B78">
        <f>'1233 P- 24 hpi'!T79</f>
        <v>0.47730605702996193</v>
      </c>
      <c r="C78">
        <f>'1233 P- 24 hpi'!U79</f>
        <v>14.127049450936921</v>
      </c>
      <c r="E78">
        <f>'1233 P+ 24 hpi'!T79</f>
        <v>1.1517502484182989</v>
      </c>
      <c r="F78">
        <f>'1233 P+ 24 hpi'!U79</f>
        <v>18.31973260447332</v>
      </c>
      <c r="H78">
        <f>'1234 P- 24 hpi'!T79</f>
        <v>0.44519483688095668</v>
      </c>
      <c r="I78">
        <f>'1234 P- 24 hpi'!U79</f>
        <v>16.613847297506698</v>
      </c>
      <c r="K78">
        <f>'1234 P+ 24 hpi'!T79</f>
        <v>7.413716203763783E-2</v>
      </c>
      <c r="L78">
        <f>'1234 P+ 24 hpi'!U79</f>
        <v>9.2853903408535103</v>
      </c>
      <c r="N78">
        <f>'1250 P- 24 hpi'!AD79</f>
        <v>0.12969428833960817</v>
      </c>
      <c r="O78">
        <f>'1250 P- 24 hpi'!AE79</f>
        <v>10.143950342142029</v>
      </c>
      <c r="Q78">
        <f>'1250 P+ 24 hpi'!T79</f>
        <v>0.203764021435417</v>
      </c>
      <c r="R78">
        <f>'1250 P+ 24 hpi'!U79</f>
        <v>12.935177684106552</v>
      </c>
      <c r="T78">
        <f>'1480 P- 24 hpi'!T79</f>
        <v>0.48311296702897683</v>
      </c>
      <c r="U78">
        <f>'1480 P- 24 hpi'!U79</f>
        <v>9.9108722834313916</v>
      </c>
      <c r="W78">
        <f>'NAD003 P+ 24 hpi'!T79</f>
        <v>0.50430182252412747</v>
      </c>
      <c r="X78">
        <f>'NAD003 P+ 24 hpi'!U79</f>
        <v>15.84222141520239</v>
      </c>
    </row>
    <row r="79" spans="1:24" x14ac:dyDescent="0.35">
      <c r="A79" s="3">
        <v>505.20699999999999</v>
      </c>
      <c r="B79">
        <f>'1233 P- 24 hpi'!T80</f>
        <v>0.47385869576951106</v>
      </c>
      <c r="C79">
        <f>'1233 P- 24 hpi'!U80</f>
        <v>14.098923465296409</v>
      </c>
      <c r="E79">
        <f>'1233 P+ 24 hpi'!T80</f>
        <v>1.1413154220595449</v>
      </c>
      <c r="F79">
        <f>'1233 P+ 24 hpi'!U80</f>
        <v>18.275022122911487</v>
      </c>
      <c r="H79">
        <f>'1234 P- 24 hpi'!T80</f>
        <v>0.44247901838950288</v>
      </c>
      <c r="I79">
        <f>'1234 P- 24 hpi'!U80</f>
        <v>16.588763779163184</v>
      </c>
      <c r="K79">
        <f>'1234 P+ 24 hpi'!T80</f>
        <v>7.343934534565319E-2</v>
      </c>
      <c r="L79">
        <f>'1234 P+ 24 hpi'!U80</f>
        <v>9.2468853654415604</v>
      </c>
      <c r="N79">
        <f>'1250 P- 24 hpi'!AD80</f>
        <v>0.12976466847146034</v>
      </c>
      <c r="O79">
        <f>'1250 P- 24 hpi'!AE80</f>
        <v>10.157955191003484</v>
      </c>
      <c r="Q79">
        <f>'1250 P+ 24 hpi'!T80</f>
        <v>0.20362633802626784</v>
      </c>
      <c r="R79">
        <f>'1250 P+ 24 hpi'!U80</f>
        <v>12.943408814240723</v>
      </c>
      <c r="T79">
        <f>'1480 P- 24 hpi'!T80</f>
        <v>0.47982080215907535</v>
      </c>
      <c r="U79">
        <f>'1480 P- 24 hpi'!U80</f>
        <v>9.8873780411603551</v>
      </c>
      <c r="W79">
        <f>'NAD003 P+ 24 hpi'!T80</f>
        <v>0.50284145410410519</v>
      </c>
      <c r="X79">
        <f>'NAD003 P+ 24 hpi'!U80</f>
        <v>15.848255440400033</v>
      </c>
    </row>
    <row r="80" spans="1:24" x14ac:dyDescent="0.35">
      <c r="A80" s="4">
        <v>518.327</v>
      </c>
      <c r="B80">
        <f>'1233 P- 24 hpi'!T81</f>
        <v>59.145001651994612</v>
      </c>
      <c r="C80">
        <f>'1233 P- 24 hpi'!U81</f>
        <v>82.627809884191038</v>
      </c>
      <c r="E80">
        <f>'1233 P+ 24 hpi'!T81</f>
        <v>66.523778976893951</v>
      </c>
      <c r="F80">
        <f>'1233 P+ 24 hpi'!U81</f>
        <v>96.858907969720775</v>
      </c>
      <c r="H80">
        <f>'1234 P- 24 hpi'!T81</f>
        <v>66.276454838567716</v>
      </c>
      <c r="I80">
        <f>'1234 P- 24 hpi'!U81</f>
        <v>90.284116206762675</v>
      </c>
      <c r="K80">
        <f>'1234 P+ 24 hpi'!T81</f>
        <v>56.844088841585041</v>
      </c>
      <c r="L80">
        <f>'1234 P+ 24 hpi'!U81</f>
        <v>72.141072270192879</v>
      </c>
      <c r="N80">
        <f>'1250 P- 24 hpi'!AD81</f>
        <v>62.590201616135275</v>
      </c>
      <c r="O80">
        <f>'1250 P- 24 hpi'!AE81</f>
        <v>83.62749889122135</v>
      </c>
      <c r="Q80">
        <f>'1250 P+ 24 hpi'!T81</f>
        <v>54.320491880728369</v>
      </c>
      <c r="R80">
        <f>'1250 P+ 24 hpi'!U81</f>
        <v>72.400154225385677</v>
      </c>
      <c r="T80">
        <f>'1480 P- 24 hpi'!T81</f>
        <v>60.333367421128465</v>
      </c>
      <c r="U80">
        <f>'1480 P- 24 hpi'!U81</f>
        <v>90.719122593917405</v>
      </c>
      <c r="W80">
        <f>'NAD003 P+ 24 hpi'!T81</f>
        <v>61.179061527318289</v>
      </c>
      <c r="X80">
        <f>'NAD003 P+ 24 hpi'!U81</f>
        <v>81.702936000223474</v>
      </c>
    </row>
    <row r="81" spans="1:24" x14ac:dyDescent="0.35">
      <c r="A81" s="3">
        <v>524.44100000000003</v>
      </c>
      <c r="B81">
        <f>'1233 P- 24 hpi'!T82</f>
        <v>60.954513427351664</v>
      </c>
      <c r="C81">
        <f>'1233 P- 24 hpi'!U82</f>
        <v>80.479100429691869</v>
      </c>
      <c r="E81">
        <f>'1233 P+ 24 hpi'!T82</f>
        <v>68.794888243210949</v>
      </c>
      <c r="F81">
        <f>'1233 P+ 24 hpi'!U82</f>
        <v>94.708261526372468</v>
      </c>
      <c r="H81">
        <f>'1234 P- 24 hpi'!T82</f>
        <v>67.861564717728555</v>
      </c>
      <c r="I81">
        <f>'1234 P- 24 hpi'!U82</f>
        <v>87.8352080226868</v>
      </c>
      <c r="K81">
        <f>'1234 P+ 24 hpi'!T82</f>
        <v>58.139940654501679</v>
      </c>
      <c r="L81">
        <f>'1234 P+ 24 hpi'!U82</f>
        <v>69.340168781624314</v>
      </c>
      <c r="N81">
        <f>'1250 P- 24 hpi'!AD82</f>
        <v>65.926699640765932</v>
      </c>
      <c r="O81">
        <f>'1250 P- 24 hpi'!AE82</f>
        <v>84.597729660390456</v>
      </c>
      <c r="Q81">
        <f>'1250 P+ 24 hpi'!T82</f>
        <v>56.060837169121115</v>
      </c>
      <c r="R81">
        <f>'1250 P+ 24 hpi'!U82</f>
        <v>72.540949872417499</v>
      </c>
      <c r="T81">
        <f>'1480 P- 24 hpi'!T82</f>
        <v>62.336260007126839</v>
      </c>
      <c r="U81">
        <f>'1480 P- 24 hpi'!U82</f>
        <v>90.650155388888081</v>
      </c>
      <c r="W81">
        <f>'NAD003 P+ 24 hpi'!T82</f>
        <v>62.967229802478322</v>
      </c>
      <c r="X81">
        <f>'NAD003 P+ 24 hpi'!U82</f>
        <v>82.039277034388363</v>
      </c>
    </row>
    <row r="82" spans="1:24" x14ac:dyDescent="0.35">
      <c r="A82" s="3">
        <v>530.67700000000002</v>
      </c>
      <c r="B82">
        <f>'1233 P- 24 hpi'!T83</f>
        <v>62.120346712015873</v>
      </c>
      <c r="C82">
        <f>'1233 P- 24 hpi'!U83</f>
        <v>78.818539706150787</v>
      </c>
      <c r="E82">
        <f>'1233 P+ 24 hpi'!T83</f>
        <v>70.431807604744478</v>
      </c>
      <c r="F82">
        <f>'1233 P+ 24 hpi'!U83</f>
        <v>92.51383391863105</v>
      </c>
      <c r="H82">
        <f>'1234 P- 24 hpi'!T83</f>
        <v>69.041571706638834</v>
      </c>
      <c r="I82">
        <f>'1234 P- 24 hpi'!U83</f>
        <v>85.11248206840672</v>
      </c>
      <c r="K82">
        <f>'1234 P+ 24 hpi'!T83</f>
        <v>58.905696055519996</v>
      </c>
      <c r="L82">
        <f>'1234 P+ 24 hpi'!U83</f>
        <v>67.742523543169128</v>
      </c>
      <c r="N82">
        <f>'1250 P- 24 hpi'!AD83</f>
        <v>68.483883801752697</v>
      </c>
      <c r="O82">
        <f>'1250 P- 24 hpi'!AE83</f>
        <v>84.905100800095198</v>
      </c>
      <c r="Q82">
        <f>'1250 P+ 24 hpi'!T83</f>
        <v>57.118097269279048</v>
      </c>
      <c r="R82">
        <f>'1250 P+ 24 hpi'!U83</f>
        <v>72.297914924771803</v>
      </c>
      <c r="T82">
        <f>'1480 P- 24 hpi'!T83</f>
        <v>64.083597826706011</v>
      </c>
      <c r="U82">
        <f>'1480 P- 24 hpi'!U83</f>
        <v>90.538644216310331</v>
      </c>
      <c r="W82">
        <f>'NAD003 P+ 24 hpi'!T83</f>
        <v>64.136796977468038</v>
      </c>
      <c r="X82">
        <f>'NAD003 P+ 24 hpi'!U83</f>
        <v>81.739810598653534</v>
      </c>
    </row>
    <row r="83" spans="1:24" x14ac:dyDescent="0.35">
      <c r="A83" s="3">
        <v>536.91800000000001</v>
      </c>
      <c r="B83">
        <f>'1233 P- 24 hpi'!T84</f>
        <v>63.015276394837798</v>
      </c>
      <c r="C83">
        <f>'1233 P- 24 hpi'!U84</f>
        <v>77.669789914558791</v>
      </c>
      <c r="E83">
        <f>'1233 P+ 24 hpi'!T84</f>
        <v>71.901437681596931</v>
      </c>
      <c r="F83">
        <f>'1233 P+ 24 hpi'!U84</f>
        <v>91.078864952661604</v>
      </c>
      <c r="H83">
        <f>'1234 P- 24 hpi'!T84</f>
        <v>69.90876465488634</v>
      </c>
      <c r="I83">
        <f>'1234 P- 24 hpi'!U84</f>
        <v>83.751899310113529</v>
      </c>
      <c r="K83">
        <f>'1234 P+ 24 hpi'!T84</f>
        <v>59.645606393872221</v>
      </c>
      <c r="L83">
        <f>'1234 P+ 24 hpi'!U84</f>
        <v>67.095942304785112</v>
      </c>
      <c r="N83">
        <f>'1250 P- 24 hpi'!AD84</f>
        <v>70.750867163984182</v>
      </c>
      <c r="O83">
        <f>'1250 P- 24 hpi'!AE84</f>
        <v>85.601097550460622</v>
      </c>
      <c r="Q83">
        <f>'1250 P+ 24 hpi'!T84</f>
        <v>58.073984584857527</v>
      </c>
      <c r="R83">
        <f>'1250 P+ 24 hpi'!U84</f>
        <v>72.52925300327945</v>
      </c>
      <c r="T83">
        <f>'1480 P- 24 hpi'!T84</f>
        <v>65.649240812439658</v>
      </c>
      <c r="U83">
        <f>'1480 P- 24 hpi'!U84</f>
        <v>90.204091674506245</v>
      </c>
      <c r="W83">
        <f>'NAD003 P+ 24 hpi'!T84</f>
        <v>65.190180686334003</v>
      </c>
      <c r="X83">
        <f>'NAD003 P+ 24 hpi'!U84</f>
        <v>81.354862139285416</v>
      </c>
    </row>
    <row r="84" spans="1:24" x14ac:dyDescent="0.35">
      <c r="A84" s="3">
        <v>543.17700000000002</v>
      </c>
      <c r="B84">
        <f>'1233 P- 24 hpi'!T85</f>
        <v>63.811545559432943</v>
      </c>
      <c r="C84">
        <f>'1233 P- 24 hpi'!U85</f>
        <v>77.305896986910724</v>
      </c>
      <c r="E84">
        <f>'1233 P+ 24 hpi'!T85</f>
        <v>72.90567651535163</v>
      </c>
      <c r="F84">
        <f>'1233 P+ 24 hpi'!U85</f>
        <v>89.843182890651377</v>
      </c>
      <c r="H84">
        <f>'1234 P- 24 hpi'!T85</f>
        <v>70.558195466241031</v>
      </c>
      <c r="I84">
        <f>'1234 P- 24 hpi'!U85</f>
        <v>82.961862402999671</v>
      </c>
      <c r="K84">
        <f>'1234 P+ 24 hpi'!T85</f>
        <v>60.155855542457338</v>
      </c>
      <c r="L84">
        <f>'1234 P+ 24 hpi'!U85</f>
        <v>66.229980525197192</v>
      </c>
      <c r="N84">
        <f>'1250 P- 24 hpi'!AD85</f>
        <v>72.852274587386589</v>
      </c>
      <c r="O84">
        <f>'1250 P- 24 hpi'!AE85</f>
        <v>86.896451387178573</v>
      </c>
      <c r="Q84">
        <f>'1250 P+ 24 hpi'!T85</f>
        <v>58.842379493271061</v>
      </c>
      <c r="R84">
        <f>'1250 P+ 24 hpi'!U85</f>
        <v>71.825707985495896</v>
      </c>
      <c r="T84">
        <f>'1480 P- 24 hpi'!T85</f>
        <v>67.373062239155942</v>
      </c>
      <c r="U84">
        <f>'1480 P- 24 hpi'!U85</f>
        <v>90.574880225310054</v>
      </c>
      <c r="W84">
        <f>'NAD003 P+ 24 hpi'!T85</f>
        <v>66.014133860579832</v>
      </c>
      <c r="X84">
        <f>'NAD003 P+ 24 hpi'!U85</f>
        <v>81.026901695672819</v>
      </c>
    </row>
    <row r="85" spans="1:24" x14ac:dyDescent="0.35">
      <c r="A85" s="3">
        <v>549.27800000000002</v>
      </c>
      <c r="B85">
        <f>'1233 P- 24 hpi'!T86</f>
        <v>64.412407988351347</v>
      </c>
      <c r="C85">
        <f>'1233 P- 24 hpi'!U86</f>
        <v>77.104601239895587</v>
      </c>
      <c r="E85">
        <f>'1233 P+ 24 hpi'!T86</f>
        <v>73.76023546281273</v>
      </c>
      <c r="F85">
        <f>'1233 P+ 24 hpi'!U86</f>
        <v>89.915566372348465</v>
      </c>
      <c r="H85">
        <f>'1234 P- 24 hpi'!T86</f>
        <v>71.229339040921005</v>
      </c>
      <c r="I85">
        <f>'1234 P- 24 hpi'!U86</f>
        <v>82.545299400892461</v>
      </c>
      <c r="K85">
        <f>'1234 P+ 24 hpi'!T86</f>
        <v>60.610161580714575</v>
      </c>
      <c r="L85">
        <f>'1234 P+ 24 hpi'!U86</f>
        <v>65.583488212853354</v>
      </c>
      <c r="N85">
        <f>'1250 P- 24 hpi'!AD86</f>
        <v>74.906709111435291</v>
      </c>
      <c r="O85">
        <f>'1250 P- 24 hpi'!AE86</f>
        <v>87.986371132233174</v>
      </c>
      <c r="Q85">
        <f>'1250 P+ 24 hpi'!T86</f>
        <v>59.284451223627556</v>
      </c>
      <c r="R85">
        <f>'1250 P+ 24 hpi'!U86</f>
        <v>72.776186907304478</v>
      </c>
      <c r="T85">
        <f>'1480 P- 24 hpi'!T86</f>
        <v>68.800179444017274</v>
      </c>
      <c r="U85">
        <f>'1480 P- 24 hpi'!U86</f>
        <v>92.050752135249652</v>
      </c>
      <c r="W85">
        <f>'NAD003 P+ 24 hpi'!T86</f>
        <v>66.660239218526712</v>
      </c>
      <c r="X85">
        <f>'NAD003 P+ 24 hpi'!U86</f>
        <v>81.119088191747906</v>
      </c>
    </row>
    <row r="86" spans="1:24" x14ac:dyDescent="0.35">
      <c r="A86" s="3">
        <v>555.61199999999997</v>
      </c>
      <c r="B86">
        <f>'1233 P- 24 hpi'!T87</f>
        <v>64.879563738869692</v>
      </c>
      <c r="C86">
        <f>'1233 P- 24 hpi'!U87</f>
        <v>77.36582032194643</v>
      </c>
      <c r="E86">
        <f>'1233 P+ 24 hpi'!T87</f>
        <v>74.439455114901335</v>
      </c>
      <c r="F86">
        <f>'1233 P+ 24 hpi'!U87</f>
        <v>89.62892365452943</v>
      </c>
      <c r="H86">
        <f>'1234 P- 24 hpi'!T87</f>
        <v>71.713095407079365</v>
      </c>
      <c r="I86">
        <f>'1234 P- 24 hpi'!U87</f>
        <v>82.230919761101006</v>
      </c>
      <c r="K86">
        <f>'1234 P+ 24 hpi'!T87</f>
        <v>61.092166546892436</v>
      </c>
      <c r="L86">
        <f>'1234 P+ 24 hpi'!U87</f>
        <v>64.970787795790244</v>
      </c>
      <c r="N86">
        <f>'1250 P- 24 hpi'!AD87</f>
        <v>76.825471246600927</v>
      </c>
      <c r="O86">
        <f>'1250 P- 24 hpi'!AE87</f>
        <v>89.8652340065087</v>
      </c>
      <c r="Q86">
        <f>'1250 P+ 24 hpi'!T87</f>
        <v>60.084499817771956</v>
      </c>
      <c r="R86">
        <f>'1250 P+ 24 hpi'!U87</f>
        <v>72.689976649583471</v>
      </c>
      <c r="T86">
        <f>'1480 P- 24 hpi'!T87</f>
        <v>70.214725826909188</v>
      </c>
      <c r="U86">
        <f>'1480 P- 24 hpi'!U87</f>
        <v>93.434699845393766</v>
      </c>
      <c r="W86">
        <f>'NAD003 P+ 24 hpi'!T87</f>
        <v>67.177240960789291</v>
      </c>
      <c r="X86">
        <f>'NAD003 P+ 24 hpi'!U87</f>
        <v>81.035282286225112</v>
      </c>
    </row>
    <row r="87" spans="1:24" x14ac:dyDescent="0.35">
      <c r="A87" s="3">
        <v>561.73</v>
      </c>
      <c r="B87">
        <f>'1233 P- 24 hpi'!T88</f>
        <v>65.270931020702548</v>
      </c>
      <c r="C87">
        <f>'1233 P- 24 hpi'!U88</f>
        <v>77.65942498773893</v>
      </c>
      <c r="E87">
        <f>'1233 P+ 24 hpi'!T88</f>
        <v>74.898808849980512</v>
      </c>
      <c r="F87">
        <f>'1233 P+ 24 hpi'!U88</f>
        <v>90.040198130420364</v>
      </c>
      <c r="H87">
        <f>'1234 P- 24 hpi'!T88</f>
        <v>72.043304611628983</v>
      </c>
      <c r="I87">
        <f>'1234 P- 24 hpi'!U88</f>
        <v>82.151984092991214</v>
      </c>
      <c r="K87">
        <f>'1234 P+ 24 hpi'!T88</f>
        <v>61.519973217099619</v>
      </c>
      <c r="L87">
        <f>'1234 P+ 24 hpi'!U88</f>
        <v>64.495300258774762</v>
      </c>
      <c r="N87">
        <f>'1250 P- 24 hpi'!AD88</f>
        <v>78.546501967034757</v>
      </c>
      <c r="O87">
        <f>'1250 P- 24 hpi'!AE88</f>
        <v>91.55407013513873</v>
      </c>
      <c r="Q87">
        <f>'1250 P+ 24 hpi'!T88</f>
        <v>60.575638135604656</v>
      </c>
      <c r="R87">
        <f>'1250 P+ 24 hpi'!U88</f>
        <v>72.407952138144367</v>
      </c>
      <c r="T87">
        <f>'1480 P- 24 hpi'!T88</f>
        <v>71.612848046890051</v>
      </c>
      <c r="U87">
        <f>'1480 P- 24 hpi'!U88</f>
        <v>94.760258852669509</v>
      </c>
      <c r="W87">
        <f>'NAD003 P+ 24 hpi'!T88</f>
        <v>67.703932815222288</v>
      </c>
      <c r="X87">
        <f>'NAD003 P+ 24 hpi'!U88</f>
        <v>81.154845378104312</v>
      </c>
    </row>
    <row r="88" spans="1:24" x14ac:dyDescent="0.35">
      <c r="A88" s="3">
        <v>567.92600000000004</v>
      </c>
      <c r="B88">
        <f>'1233 P- 24 hpi'!T89</f>
        <v>65.669806690146871</v>
      </c>
      <c r="C88">
        <f>'1233 P- 24 hpi'!U89</f>
        <v>77.425390048793602</v>
      </c>
      <c r="E88">
        <f>'1233 P+ 24 hpi'!T89</f>
        <v>75.314139089090986</v>
      </c>
      <c r="F88">
        <f>'1233 P+ 24 hpi'!U89</f>
        <v>90.49680263265229</v>
      </c>
      <c r="H88">
        <f>'1234 P- 24 hpi'!T89</f>
        <v>72.380668685288526</v>
      </c>
      <c r="I88">
        <f>'1234 P- 24 hpi'!U89</f>
        <v>82.562319444474909</v>
      </c>
      <c r="K88">
        <f>'1234 P+ 24 hpi'!T89</f>
        <v>61.954977246530284</v>
      </c>
      <c r="L88">
        <f>'1234 P+ 24 hpi'!U89</f>
        <v>64.07165660320311</v>
      </c>
      <c r="N88">
        <f>'1250 P- 24 hpi'!AD89</f>
        <v>80.349908301734416</v>
      </c>
      <c r="O88">
        <f>'1250 P- 24 hpi'!AE89</f>
        <v>92.843005097351721</v>
      </c>
      <c r="Q88">
        <f>'1250 P+ 24 hpi'!T89</f>
        <v>61.080274826883361</v>
      </c>
      <c r="R88">
        <f>'1250 P+ 24 hpi'!U89</f>
        <v>72.205639623794028</v>
      </c>
      <c r="T88">
        <f>'1480 P- 24 hpi'!T89</f>
        <v>72.963660677217462</v>
      </c>
      <c r="U88">
        <f>'1480 P- 24 hpi'!U89</f>
        <v>95.098775083233022</v>
      </c>
      <c r="W88">
        <f>'NAD003 P+ 24 hpi'!T89</f>
        <v>68.31401836227316</v>
      </c>
      <c r="X88">
        <f>'NAD003 P+ 24 hpi'!U89</f>
        <v>81.302343771824454</v>
      </c>
    </row>
    <row r="89" spans="1:24" x14ac:dyDescent="0.35">
      <c r="A89" s="3">
        <v>574.19000000000005</v>
      </c>
      <c r="B89">
        <f>'1233 P- 24 hpi'!T90</f>
        <v>65.986372751143236</v>
      </c>
      <c r="C89">
        <f>'1233 P- 24 hpi'!U90</f>
        <v>77.603829298237159</v>
      </c>
      <c r="E89">
        <f>'1233 P+ 24 hpi'!T90</f>
        <v>75.690980214583107</v>
      </c>
      <c r="F89">
        <f>'1233 P+ 24 hpi'!U90</f>
        <v>90.431027628599409</v>
      </c>
      <c r="H89">
        <f>'1234 P- 24 hpi'!T90</f>
        <v>72.670077054876188</v>
      </c>
      <c r="I89">
        <f>'1234 P- 24 hpi'!U90</f>
        <v>82.300610967955592</v>
      </c>
      <c r="K89">
        <f>'1234 P+ 24 hpi'!T90</f>
        <v>62.345597560749532</v>
      </c>
      <c r="L89">
        <f>'1234 P+ 24 hpi'!U90</f>
        <v>62.915884858563132</v>
      </c>
      <c r="N89">
        <f>'1250 P- 24 hpi'!AD90</f>
        <v>81.92936524775233</v>
      </c>
      <c r="O89">
        <f>'1250 P- 24 hpi'!AE90</f>
        <v>94.866849009369531</v>
      </c>
      <c r="Q89">
        <f>'1250 P+ 24 hpi'!T90</f>
        <v>61.561086889029873</v>
      </c>
      <c r="R89">
        <f>'1250 P+ 24 hpi'!U90</f>
        <v>72.843768817879749</v>
      </c>
      <c r="T89">
        <f>'1480 P- 24 hpi'!T90</f>
        <v>74.466318312440805</v>
      </c>
      <c r="U89">
        <f>'1480 P- 24 hpi'!U90</f>
        <v>94.582326011799907</v>
      </c>
      <c r="W89">
        <f>'NAD003 P+ 24 hpi'!T90</f>
        <v>68.648474052032952</v>
      </c>
      <c r="X89">
        <f>'NAD003 P+ 24 hpi'!U90</f>
        <v>81.616895270553385</v>
      </c>
    </row>
    <row r="90" spans="1:24" x14ac:dyDescent="0.35">
      <c r="A90" s="3">
        <v>580.33500000000004</v>
      </c>
      <c r="B90">
        <f>'1233 P- 24 hpi'!T91</f>
        <v>66.244583959069359</v>
      </c>
      <c r="C90">
        <f>'1233 P- 24 hpi'!U91</f>
        <v>77.357824127811455</v>
      </c>
      <c r="E90">
        <f>'1233 P+ 24 hpi'!T91</f>
        <v>76.090965120813053</v>
      </c>
      <c r="F90">
        <f>'1233 P+ 24 hpi'!U91</f>
        <v>90.002096126502778</v>
      </c>
      <c r="H90">
        <f>'1234 P- 24 hpi'!T91</f>
        <v>73.006557199814992</v>
      </c>
      <c r="I90">
        <f>'1234 P- 24 hpi'!U91</f>
        <v>82.189929064880928</v>
      </c>
      <c r="K90">
        <f>'1234 P+ 24 hpi'!T91</f>
        <v>62.728257159464043</v>
      </c>
      <c r="L90">
        <f>'1234 P+ 24 hpi'!U91</f>
        <v>63.906343094448339</v>
      </c>
      <c r="N90">
        <f>'1250 P- 24 hpi'!AD91</f>
        <v>83.592646530620698</v>
      </c>
      <c r="O90">
        <f>'1250 P- 24 hpi'!AE91</f>
        <v>96.435334788191824</v>
      </c>
      <c r="Q90">
        <f>'1250 P+ 24 hpi'!T91</f>
        <v>62.019289175654322</v>
      </c>
      <c r="R90">
        <f>'1250 P+ 24 hpi'!U91</f>
        <v>72.929112640849809</v>
      </c>
      <c r="T90">
        <f>'1480 P- 24 hpi'!T91</f>
        <v>76.090960931811608</v>
      </c>
      <c r="U90">
        <f>'1480 P- 24 hpi'!U91</f>
        <v>95.750850853272709</v>
      </c>
      <c r="W90">
        <f>'NAD003 P+ 24 hpi'!T91</f>
        <v>69.108705440166005</v>
      </c>
      <c r="X90">
        <f>'NAD003 P+ 24 hpi'!U91</f>
        <v>81.761041428052636</v>
      </c>
    </row>
    <row r="91" spans="1:24" x14ac:dyDescent="0.35">
      <c r="A91" s="3">
        <v>586.61800000000005</v>
      </c>
      <c r="B91">
        <f>'1233 P- 24 hpi'!T92</f>
        <v>66.531311756645536</v>
      </c>
      <c r="C91">
        <f>'1233 P- 24 hpi'!U92</f>
        <v>77.080669093736972</v>
      </c>
      <c r="E91">
        <f>'1233 P+ 24 hpi'!T92</f>
        <v>76.509062551098694</v>
      </c>
      <c r="F91">
        <f>'1233 P+ 24 hpi'!U92</f>
        <v>89.946543611305856</v>
      </c>
      <c r="H91">
        <f>'1234 P- 24 hpi'!T92</f>
        <v>73.202577558999153</v>
      </c>
      <c r="I91">
        <f>'1234 P- 24 hpi'!U92</f>
        <v>82.118567349709693</v>
      </c>
      <c r="K91">
        <f>'1234 P+ 24 hpi'!T92</f>
        <v>63.050938764649636</v>
      </c>
      <c r="L91">
        <f>'1234 P+ 24 hpi'!U92</f>
        <v>63.921638373364864</v>
      </c>
      <c r="N91">
        <f>'1250 P- 24 hpi'!AD92</f>
        <v>85.383481827671872</v>
      </c>
      <c r="O91">
        <f>'1250 P- 24 hpi'!AE92</f>
        <v>97.487603455896661</v>
      </c>
      <c r="Q91">
        <f>'1250 P+ 24 hpi'!T92</f>
        <v>62.473104490908838</v>
      </c>
      <c r="R91">
        <f>'1250 P+ 24 hpi'!U92</f>
        <v>73.183844457633512</v>
      </c>
      <c r="T91">
        <f>'1480 P- 24 hpi'!T92</f>
        <v>77.67503372166999</v>
      </c>
      <c r="U91">
        <f>'1480 P- 24 hpi'!U92</f>
        <v>95.092117400176221</v>
      </c>
      <c r="W91">
        <f>'NAD003 P+ 24 hpi'!T92</f>
        <v>69.658692715776297</v>
      </c>
      <c r="X91">
        <f>'NAD003 P+ 24 hpi'!U92</f>
        <v>82.252702740453117</v>
      </c>
    </row>
    <row r="92" spans="1:24" x14ac:dyDescent="0.35">
      <c r="A92" s="3">
        <v>592.80999999999995</v>
      </c>
      <c r="B92">
        <f>'1233 P- 24 hpi'!T93</f>
        <v>66.983345480656268</v>
      </c>
      <c r="C92">
        <f>'1233 P- 24 hpi'!U93</f>
        <v>77.175099215964636</v>
      </c>
      <c r="E92">
        <f>'1233 P+ 24 hpi'!T93</f>
        <v>76.786284794284484</v>
      </c>
      <c r="F92">
        <f>'1233 P+ 24 hpi'!U93</f>
        <v>89.518025139061976</v>
      </c>
      <c r="H92">
        <f>'1234 P- 24 hpi'!T93</f>
        <v>73.598644529661755</v>
      </c>
      <c r="I92">
        <f>'1234 P- 24 hpi'!U93</f>
        <v>81.780191945272023</v>
      </c>
      <c r="K92">
        <f>'1234 P+ 24 hpi'!T93</f>
        <v>63.285943448385673</v>
      </c>
      <c r="L92">
        <f>'1234 P+ 24 hpi'!U93</f>
        <v>63.790739242172279</v>
      </c>
      <c r="N92">
        <f>'1250 P- 24 hpi'!AD93</f>
        <v>87.016311410950806</v>
      </c>
      <c r="O92">
        <f>'1250 P- 24 hpi'!AE93</f>
        <v>99.124901567007399</v>
      </c>
      <c r="Q92">
        <f>'1250 P+ 24 hpi'!T93</f>
        <v>62.905254916782525</v>
      </c>
      <c r="R92">
        <f>'1250 P+ 24 hpi'!U93</f>
        <v>73.358431059952949</v>
      </c>
      <c r="T92">
        <f>'1480 P- 24 hpi'!T93</f>
        <v>79.362607484144604</v>
      </c>
      <c r="U92">
        <f>'1480 P- 24 hpi'!U93</f>
        <v>96.967227129982362</v>
      </c>
      <c r="W92">
        <f>'NAD003 P+ 24 hpi'!T93</f>
        <v>69.947144842706976</v>
      </c>
      <c r="X92">
        <f>'NAD003 P+ 24 hpi'!U93</f>
        <v>81.643713160320715</v>
      </c>
    </row>
    <row r="93" spans="1:24" x14ac:dyDescent="0.35">
      <c r="A93" s="3">
        <v>598.93799999999999</v>
      </c>
      <c r="B93">
        <f>'1233 P- 24 hpi'!T94</f>
        <v>67.321966530028092</v>
      </c>
      <c r="C93">
        <f>'1233 P- 24 hpi'!U94</f>
        <v>77.486532108573584</v>
      </c>
      <c r="E93">
        <f>'1233 P+ 24 hpi'!T94</f>
        <v>77.192307208533023</v>
      </c>
      <c r="F93">
        <f>'1233 P+ 24 hpi'!U94</f>
        <v>89.282185093133066</v>
      </c>
      <c r="H93">
        <f>'1234 P- 24 hpi'!T94</f>
        <v>73.941017474031412</v>
      </c>
      <c r="I93">
        <f>'1234 P- 24 hpi'!U94</f>
        <v>81.941663881020872</v>
      </c>
      <c r="K93">
        <f>'1234 P+ 24 hpi'!T94</f>
        <v>63.674273693761094</v>
      </c>
      <c r="L93">
        <f>'1234 P+ 24 hpi'!U94</f>
        <v>63.759437276017529</v>
      </c>
      <c r="N93">
        <f>'1250 P- 24 hpi'!AD94</f>
        <v>88.632504577889819</v>
      </c>
      <c r="O93">
        <f>'1250 P- 24 hpi'!AE94</f>
        <v>101.12517113978375</v>
      </c>
      <c r="Q93">
        <f>'1250 P+ 24 hpi'!T94</f>
        <v>63.301769636758763</v>
      </c>
      <c r="R93">
        <f>'1250 P+ 24 hpi'!U94</f>
        <v>73.952805299114928</v>
      </c>
      <c r="T93">
        <f>'1480 P- 24 hpi'!T94</f>
        <v>81.183088905048876</v>
      </c>
      <c r="U93">
        <f>'1480 P- 24 hpi'!U94</f>
        <v>97.320280905421271</v>
      </c>
      <c r="W93">
        <f>'NAD003 P+ 24 hpi'!T94</f>
        <v>70.174030499383349</v>
      </c>
      <c r="X93">
        <f>'NAD003 P+ 24 hpi'!U94</f>
        <v>82.282872866441323</v>
      </c>
    </row>
    <row r="94" spans="1:24" x14ac:dyDescent="0.35">
      <c r="A94" s="3">
        <v>605.25900000000001</v>
      </c>
      <c r="B94">
        <f>'1233 P- 24 hpi'!T95</f>
        <v>67.627678584326318</v>
      </c>
      <c r="C94">
        <f>'1233 P- 24 hpi'!U95</f>
        <v>77.75229246078635</v>
      </c>
      <c r="E94">
        <f>'1233 P+ 24 hpi'!T95</f>
        <v>77.519842018540174</v>
      </c>
      <c r="F94">
        <f>'1233 P+ 24 hpi'!U95</f>
        <v>89.255957697482486</v>
      </c>
      <c r="H94">
        <f>'1234 P- 24 hpi'!T95</f>
        <v>74.304743309596333</v>
      </c>
      <c r="I94">
        <f>'1234 P- 24 hpi'!U95</f>
        <v>82.293432158265162</v>
      </c>
      <c r="K94">
        <f>'1234 P+ 24 hpi'!T95</f>
        <v>63.984959700240893</v>
      </c>
      <c r="L94">
        <f>'1234 P+ 24 hpi'!U95</f>
        <v>63.693187376059321</v>
      </c>
      <c r="N94">
        <f>'1250 P- 24 hpi'!AD95</f>
        <v>90.210124232053801</v>
      </c>
      <c r="O94">
        <f>'1250 P- 24 hpi'!AE95</f>
        <v>103.26896555289322</v>
      </c>
      <c r="Q94">
        <f>'1250 P+ 24 hpi'!T95</f>
        <v>63.805191474427339</v>
      </c>
      <c r="R94">
        <f>'1250 P+ 24 hpi'!U95</f>
        <v>74.193674159883187</v>
      </c>
      <c r="T94">
        <f>'1480 P- 24 hpi'!T95</f>
        <v>83.040330591212509</v>
      </c>
      <c r="U94">
        <f>'1480 P- 24 hpi'!U95</f>
        <v>98.592177953154248</v>
      </c>
      <c r="W94">
        <f>'NAD003 P+ 24 hpi'!T95</f>
        <v>70.64943327525792</v>
      </c>
      <c r="X94">
        <f>'NAD003 P+ 24 hpi'!U95</f>
        <v>82.712517808754924</v>
      </c>
    </row>
    <row r="95" spans="1:24" x14ac:dyDescent="0.35">
      <c r="A95" s="3">
        <v>611.42399999999998</v>
      </c>
      <c r="B95">
        <f>'1233 P- 24 hpi'!T96</f>
        <v>67.913315927227814</v>
      </c>
      <c r="C95">
        <f>'1233 P- 24 hpi'!U96</f>
        <v>78.076028760741835</v>
      </c>
      <c r="E95">
        <f>'1233 P+ 24 hpi'!T96</f>
        <v>77.806875212256145</v>
      </c>
      <c r="F95">
        <f>'1233 P+ 24 hpi'!U96</f>
        <v>89.174797331414112</v>
      </c>
      <c r="H95">
        <f>'1234 P- 24 hpi'!T96</f>
        <v>74.470711885008868</v>
      </c>
      <c r="I95">
        <f>'1234 P- 24 hpi'!U96</f>
        <v>82.549102717180574</v>
      </c>
      <c r="K95">
        <f>'1234 P+ 24 hpi'!T96</f>
        <v>64.311458086832872</v>
      </c>
      <c r="L95">
        <f>'1234 P+ 24 hpi'!U96</f>
        <v>63.64792402159123</v>
      </c>
      <c r="N95">
        <f>'1250 P- 24 hpi'!AD96</f>
        <v>91.950121742696837</v>
      </c>
      <c r="O95">
        <f>'1250 P- 24 hpi'!AE96</f>
        <v>104.27879213649608</v>
      </c>
      <c r="Q95">
        <f>'1250 P+ 24 hpi'!T96</f>
        <v>64.215677010920174</v>
      </c>
      <c r="R95">
        <f>'1250 P+ 24 hpi'!U96</f>
        <v>74.285516243485489</v>
      </c>
      <c r="T95">
        <f>'1480 P- 24 hpi'!T96</f>
        <v>85.405940753164529</v>
      </c>
      <c r="U95">
        <f>'1480 P- 24 hpi'!U96</f>
        <v>101.72706657457428</v>
      </c>
      <c r="W95">
        <f>'NAD003 P+ 24 hpi'!T96</f>
        <v>71.036156842785275</v>
      </c>
      <c r="X95">
        <f>'NAD003 P+ 24 hpi'!U96</f>
        <v>82.934882811408784</v>
      </c>
    </row>
    <row r="96" spans="1:24" x14ac:dyDescent="0.35">
      <c r="A96" s="3">
        <v>617.57000000000005</v>
      </c>
      <c r="B96">
        <f>'1233 P- 24 hpi'!T97</f>
        <v>68.184154195380856</v>
      </c>
      <c r="C96">
        <f>'1233 P- 24 hpi'!U97</f>
        <v>78.480983697260527</v>
      </c>
      <c r="E96">
        <f>'1233 P+ 24 hpi'!T97</f>
        <v>77.967875426084561</v>
      </c>
      <c r="F96">
        <f>'1233 P+ 24 hpi'!U97</f>
        <v>89.876122021409387</v>
      </c>
      <c r="H96">
        <f>'1234 P- 24 hpi'!T97</f>
        <v>74.728503845684429</v>
      </c>
      <c r="I96">
        <f>'1234 P- 24 hpi'!U97</f>
        <v>82.936780850247942</v>
      </c>
      <c r="K96">
        <f>'1234 P+ 24 hpi'!T97</f>
        <v>64.661075263657821</v>
      </c>
      <c r="L96">
        <f>'1234 P+ 24 hpi'!U97</f>
        <v>63.760771166620714</v>
      </c>
      <c r="N96">
        <f>'1250 P- 24 hpi'!AD97</f>
        <v>93.60319680823774</v>
      </c>
      <c r="O96">
        <f>'1250 P- 24 hpi'!AE97</f>
        <v>105.33595700262376</v>
      </c>
      <c r="Q96">
        <f>'1250 P+ 24 hpi'!T97</f>
        <v>64.649852192810769</v>
      </c>
      <c r="R96">
        <f>'1250 P+ 24 hpi'!U97</f>
        <v>74.907616394678357</v>
      </c>
      <c r="T96">
        <f>'1480 P- 24 hpi'!T97</f>
        <v>87.234739832586413</v>
      </c>
      <c r="U96">
        <f>'1480 P- 24 hpi'!U97</f>
        <v>102.94640828792978</v>
      </c>
      <c r="W96">
        <f>'NAD003 P+ 24 hpi'!T97</f>
        <v>71.297398351702128</v>
      </c>
      <c r="X96">
        <f>'NAD003 P+ 24 hpi'!U97</f>
        <v>83.653937480794468</v>
      </c>
    </row>
    <row r="97" spans="1:24" x14ac:dyDescent="0.35">
      <c r="A97" s="3">
        <v>623.89099999999996</v>
      </c>
      <c r="B97">
        <f>'1233 P- 24 hpi'!T98</f>
        <v>68.48518263225013</v>
      </c>
      <c r="C97">
        <f>'1233 P- 24 hpi'!U98</f>
        <v>78.711908311457378</v>
      </c>
      <c r="E97">
        <f>'1233 P+ 24 hpi'!T98</f>
        <v>78.257675810975698</v>
      </c>
      <c r="F97">
        <f>'1233 P+ 24 hpi'!U98</f>
        <v>89.982477208496434</v>
      </c>
      <c r="H97">
        <f>'1234 P- 24 hpi'!T98</f>
        <v>75.093941579065969</v>
      </c>
      <c r="I97">
        <f>'1234 P- 24 hpi'!U98</f>
        <v>82.943733852995635</v>
      </c>
      <c r="K97">
        <f>'1234 P+ 24 hpi'!T98</f>
        <v>64.925087486082376</v>
      </c>
      <c r="L97">
        <f>'1234 P+ 24 hpi'!U98</f>
        <v>63.690252816732318</v>
      </c>
      <c r="N97">
        <f>'1250 P- 24 hpi'!AD98</f>
        <v>95.065155569436527</v>
      </c>
      <c r="O97">
        <f>'1250 P- 24 hpi'!AE98</f>
        <v>107.71992066347161</v>
      </c>
      <c r="Q97">
        <f>'1250 P+ 24 hpi'!T98</f>
        <v>65.088076886735152</v>
      </c>
      <c r="R97">
        <f>'1250 P+ 24 hpi'!U98</f>
        <v>74.721332923220885</v>
      </c>
      <c r="T97">
        <f>'1480 P- 24 hpi'!T98</f>
        <v>89.216235218109134</v>
      </c>
      <c r="U97">
        <f>'1480 P- 24 hpi'!U98</f>
        <v>104.6568633679824</v>
      </c>
      <c r="W97">
        <f>'NAD003 P+ 24 hpi'!T98</f>
        <v>71.51420237652448</v>
      </c>
      <c r="X97">
        <f>'NAD003 P+ 24 hpi'!U98</f>
        <v>84.124367963795848</v>
      </c>
    </row>
    <row r="98" spans="1:24" x14ac:dyDescent="0.35">
      <c r="A98" s="3">
        <v>630.03800000000001</v>
      </c>
      <c r="B98">
        <f>'1233 P- 24 hpi'!T99</f>
        <v>68.733050417477799</v>
      </c>
      <c r="C98">
        <f>'1233 P- 24 hpi'!U99</f>
        <v>78.791852954745309</v>
      </c>
      <c r="E98">
        <f>'1233 P+ 24 hpi'!T99</f>
        <v>78.345219677244884</v>
      </c>
      <c r="F98">
        <f>'1233 P+ 24 hpi'!U99</f>
        <v>90.112271839727896</v>
      </c>
      <c r="H98">
        <f>'1234 P- 24 hpi'!T99</f>
        <v>75.276658996451545</v>
      </c>
      <c r="I98">
        <f>'1234 P- 24 hpi'!U99</f>
        <v>83.194056106165235</v>
      </c>
      <c r="K98">
        <f>'1234 P+ 24 hpi'!T99</f>
        <v>65.290517043019491</v>
      </c>
      <c r="L98">
        <f>'1234 P+ 24 hpi'!U99</f>
        <v>63.647212613269531</v>
      </c>
      <c r="N98">
        <f>'1250 P- 24 hpi'!AD99</f>
        <v>96.845991853856532</v>
      </c>
      <c r="O98">
        <f>'1250 P- 24 hpi'!AE99</f>
        <v>107.55991459385726</v>
      </c>
      <c r="Q98">
        <f>'1250 P+ 24 hpi'!T99</f>
        <v>65.477909911855619</v>
      </c>
      <c r="R98">
        <f>'1250 P+ 24 hpi'!U99</f>
        <v>75.726397234340268</v>
      </c>
      <c r="T98">
        <f>'1480 P- 24 hpi'!T99</f>
        <v>90.944603922378917</v>
      </c>
      <c r="U98">
        <f>'1480 P- 24 hpi'!U99</f>
        <v>103.30793448433224</v>
      </c>
      <c r="W98">
        <f>'NAD003 P+ 24 hpi'!T99</f>
        <v>71.816259812462064</v>
      </c>
      <c r="X98">
        <f>'NAD003 P+ 24 hpi'!U99</f>
        <v>83.82043187976646</v>
      </c>
    </row>
    <row r="99" spans="1:24" x14ac:dyDescent="0.35">
      <c r="A99" s="3">
        <v>636.29200000000003</v>
      </c>
      <c r="B99">
        <f>'1233 P- 24 hpi'!T100</f>
        <v>68.945361673336251</v>
      </c>
      <c r="C99">
        <f>'1233 P- 24 hpi'!U100</f>
        <v>78.536042309251854</v>
      </c>
      <c r="E99">
        <f>'1233 P+ 24 hpi'!T100</f>
        <v>78.602568456536233</v>
      </c>
      <c r="F99">
        <f>'1233 P+ 24 hpi'!U100</f>
        <v>89.932707111238216</v>
      </c>
      <c r="H99">
        <f>'1234 P- 24 hpi'!T100</f>
        <v>75.549799263999574</v>
      </c>
      <c r="I99">
        <f>'1234 P- 24 hpi'!U100</f>
        <v>83.343987216799192</v>
      </c>
      <c r="K99">
        <f>'1234 P+ 24 hpi'!T100</f>
        <v>65.544932786479436</v>
      </c>
      <c r="L99">
        <f>'1234 P+ 24 hpi'!U100</f>
        <v>63.546103705548099</v>
      </c>
      <c r="N99">
        <f>'1250 P- 24 hpi'!AD100</f>
        <v>98.515325765921219</v>
      </c>
      <c r="O99">
        <f>'1250 P- 24 hpi'!AE100</f>
        <v>109.02731763349246</v>
      </c>
      <c r="Q99">
        <f>'1250 P+ 24 hpi'!T100</f>
        <v>65.942118974663543</v>
      </c>
      <c r="R99">
        <f>'1250 P+ 24 hpi'!U100</f>
        <v>75.903149923537129</v>
      </c>
      <c r="T99">
        <f>'1480 P- 24 hpi'!T100</f>
        <v>93.511909937802088</v>
      </c>
      <c r="U99">
        <f>'1480 P- 24 hpi'!U100</f>
        <v>106.60312193831618</v>
      </c>
      <c r="W99">
        <f>'NAD003 P+ 24 hpi'!T100</f>
        <v>72.161188653759581</v>
      </c>
      <c r="X99">
        <f>'NAD003 P+ 24 hpi'!U100</f>
        <v>83.265636785205459</v>
      </c>
    </row>
    <row r="100" spans="1:24" x14ac:dyDescent="0.35">
      <c r="A100" s="3">
        <v>642.43200000000002</v>
      </c>
      <c r="B100">
        <f>'1233 P- 24 hpi'!T101</f>
        <v>69.365156829503547</v>
      </c>
      <c r="C100">
        <f>'1233 P- 24 hpi'!U101</f>
        <v>79.066849647602012</v>
      </c>
      <c r="E100">
        <f>'1233 P+ 24 hpi'!T101</f>
        <v>78.776901500572308</v>
      </c>
      <c r="F100">
        <f>'1233 P+ 24 hpi'!U101</f>
        <v>89.485292523230342</v>
      </c>
      <c r="H100">
        <f>'1234 P- 24 hpi'!T101</f>
        <v>75.882426792760597</v>
      </c>
      <c r="I100">
        <f>'1234 P- 24 hpi'!U101</f>
        <v>83.505562651380743</v>
      </c>
      <c r="K100">
        <f>'1234 P+ 24 hpi'!T101</f>
        <v>65.878410430500239</v>
      </c>
      <c r="L100">
        <f>'1234 P+ 24 hpi'!U101</f>
        <v>63.846318017305002</v>
      </c>
      <c r="N100">
        <f>'1250 P- 24 hpi'!AD101</f>
        <v>100.01763265711024</v>
      </c>
      <c r="O100">
        <f>'1250 P- 24 hpi'!AE101</f>
        <v>110.58253722296502</v>
      </c>
      <c r="Q100">
        <f>'1250 P+ 24 hpi'!T101</f>
        <v>66.35422431596993</v>
      </c>
      <c r="R100">
        <f>'1250 P+ 24 hpi'!U101</f>
        <v>76.395718079460735</v>
      </c>
      <c r="T100">
        <f>'1480 P- 24 hpi'!T101</f>
        <v>95.336603178724545</v>
      </c>
      <c r="U100">
        <f>'1480 P- 24 hpi'!U101</f>
        <v>106.87710250451077</v>
      </c>
      <c r="W100">
        <f>'NAD003 P+ 24 hpi'!T101</f>
        <v>72.545171583501372</v>
      </c>
      <c r="X100">
        <f>'NAD003 P+ 24 hpi'!U101</f>
        <v>83.742213034611851</v>
      </c>
    </row>
    <row r="101" spans="1:24" x14ac:dyDescent="0.35">
      <c r="A101" s="3">
        <v>648.59</v>
      </c>
      <c r="B101">
        <f>'1233 P- 24 hpi'!T102</f>
        <v>69.692875317838912</v>
      </c>
      <c r="C101">
        <f>'1233 P- 24 hpi'!U102</f>
        <v>79.075997319301166</v>
      </c>
      <c r="E101">
        <f>'1233 P+ 24 hpi'!T102</f>
        <v>78.897651660943623</v>
      </c>
      <c r="F101">
        <f>'1233 P+ 24 hpi'!U102</f>
        <v>89.924343256719723</v>
      </c>
      <c r="H101">
        <f>'1234 P- 24 hpi'!T102</f>
        <v>76.28437787769964</v>
      </c>
      <c r="I101">
        <f>'1234 P- 24 hpi'!U102</f>
        <v>83.281074521162779</v>
      </c>
      <c r="K101">
        <f>'1234 P+ 24 hpi'!T102</f>
        <v>66.174592667635764</v>
      </c>
      <c r="L101">
        <f>'1234 P+ 24 hpi'!U102</f>
        <v>63.936311169999904</v>
      </c>
      <c r="N101">
        <f>'1250 P- 24 hpi'!AD102</f>
        <v>101.65392510343159</v>
      </c>
      <c r="O101">
        <f>'1250 P- 24 hpi'!AE102</f>
        <v>112.09048777802295</v>
      </c>
      <c r="Q101">
        <f>'1250 P+ 24 hpi'!T102</f>
        <v>66.813506472470067</v>
      </c>
      <c r="R101">
        <f>'1250 P+ 24 hpi'!U102</f>
        <v>76.423877208867097</v>
      </c>
      <c r="T101">
        <f>'1480 P- 24 hpi'!T102</f>
        <v>97.707285676388764</v>
      </c>
      <c r="U101">
        <f>'1480 P- 24 hpi'!U102</f>
        <v>108.7460081175218</v>
      </c>
      <c r="W101">
        <f>'NAD003 P+ 24 hpi'!T102</f>
        <v>73.001096255114234</v>
      </c>
      <c r="X101">
        <f>'NAD003 P+ 24 hpi'!U102</f>
        <v>83.979663100259799</v>
      </c>
    </row>
    <row r="102" spans="1:24" x14ac:dyDescent="0.35">
      <c r="A102" s="3">
        <v>654.86</v>
      </c>
      <c r="B102">
        <f>'1233 P- 24 hpi'!T103</f>
        <v>70.011233928121626</v>
      </c>
      <c r="C102">
        <f>'1233 P- 24 hpi'!U103</f>
        <v>79.497934374846082</v>
      </c>
      <c r="E102">
        <f>'1233 P+ 24 hpi'!T103</f>
        <v>79.172106712954232</v>
      </c>
      <c r="F102">
        <f>'1233 P+ 24 hpi'!U103</f>
        <v>89.684682684652728</v>
      </c>
      <c r="H102">
        <f>'1234 P- 24 hpi'!T103</f>
        <v>76.599884871546536</v>
      </c>
      <c r="I102">
        <f>'1234 P- 24 hpi'!U103</f>
        <v>83.425852943395441</v>
      </c>
      <c r="K102">
        <f>'1234 P+ 24 hpi'!T103</f>
        <v>66.487459692062075</v>
      </c>
      <c r="L102">
        <f>'1234 P+ 24 hpi'!U103</f>
        <v>63.997492285665999</v>
      </c>
      <c r="N102">
        <f>'1250 P- 24 hpi'!AD103</f>
        <v>103.40777463705226</v>
      </c>
      <c r="O102">
        <f>'1250 P- 24 hpi'!AE103</f>
        <v>112.75167290924574</v>
      </c>
      <c r="Q102">
        <f>'1250 P+ 24 hpi'!T103</f>
        <v>67.286152018681747</v>
      </c>
      <c r="R102">
        <f>'1250 P+ 24 hpi'!U103</f>
        <v>77.271250395310858</v>
      </c>
      <c r="T102">
        <f>'1480 P- 24 hpi'!T103</f>
        <v>99.794427908910507</v>
      </c>
      <c r="U102">
        <f>'1480 P- 24 hpi'!U103</f>
        <v>111.27286716647298</v>
      </c>
      <c r="W102">
        <f>'NAD003 P+ 24 hpi'!T103</f>
        <v>73.424329033142143</v>
      </c>
      <c r="X102">
        <f>'NAD003 P+ 24 hpi'!U103</f>
        <v>84.446182641003446</v>
      </c>
    </row>
    <row r="103" spans="1:24" x14ac:dyDescent="0.35">
      <c r="A103" s="3">
        <v>661.11800000000005</v>
      </c>
      <c r="B103">
        <f>'1233 P- 24 hpi'!T104</f>
        <v>70.335719798632567</v>
      </c>
      <c r="C103">
        <f>'1233 P- 24 hpi'!U104</f>
        <v>79.806460557872114</v>
      </c>
      <c r="E103">
        <f>'1233 P+ 24 hpi'!T104</f>
        <v>79.536872822409222</v>
      </c>
      <c r="F103">
        <f>'1233 P+ 24 hpi'!U104</f>
        <v>89.449771955892544</v>
      </c>
      <c r="H103">
        <f>'1234 P- 24 hpi'!T104</f>
        <v>76.914206459320127</v>
      </c>
      <c r="I103">
        <f>'1234 P- 24 hpi'!U104</f>
        <v>84.272482968288855</v>
      </c>
      <c r="K103">
        <f>'1234 P+ 24 hpi'!T104</f>
        <v>66.625081924486622</v>
      </c>
      <c r="L103">
        <f>'1234 P+ 24 hpi'!U104</f>
        <v>64.569286724231461</v>
      </c>
      <c r="N103">
        <f>'1250 P- 24 hpi'!AD104</f>
        <v>104.99831462517609</v>
      </c>
      <c r="O103">
        <f>'1250 P- 24 hpi'!AE104</f>
        <v>114.30041027265656</v>
      </c>
      <c r="Q103">
        <f>'1250 P+ 24 hpi'!T104</f>
        <v>67.738887464060568</v>
      </c>
      <c r="R103">
        <f>'1250 P+ 24 hpi'!U104</f>
        <v>77.542011254987415</v>
      </c>
      <c r="T103">
        <f>'1480 P- 24 hpi'!T104</f>
        <v>102.01996067779216</v>
      </c>
      <c r="U103">
        <f>'1480 P- 24 hpi'!U104</f>
        <v>112.13851747972099</v>
      </c>
      <c r="W103">
        <f>'NAD003 P+ 24 hpi'!T104</f>
        <v>73.658849323649761</v>
      </c>
      <c r="X103">
        <f>'NAD003 P+ 24 hpi'!U104</f>
        <v>84.611559627901784</v>
      </c>
    </row>
    <row r="104" spans="1:24" x14ac:dyDescent="0.35">
      <c r="A104" s="3">
        <v>667.221</v>
      </c>
      <c r="B104">
        <f>'1233 P- 24 hpi'!T105</f>
        <v>70.696599578019885</v>
      </c>
      <c r="C104">
        <f>'1233 P- 24 hpi'!U105</f>
        <v>80.342611064175983</v>
      </c>
      <c r="E104">
        <f>'1233 P+ 24 hpi'!T105</f>
        <v>79.722023068311898</v>
      </c>
      <c r="F104">
        <f>'1233 P+ 24 hpi'!U105</f>
        <v>89.730942028162431</v>
      </c>
      <c r="H104">
        <f>'1234 P- 24 hpi'!T105</f>
        <v>77.298845677632769</v>
      </c>
      <c r="I104">
        <f>'1234 P- 24 hpi'!U105</f>
        <v>84.705561954586258</v>
      </c>
      <c r="K104">
        <f>'1234 P+ 24 hpi'!T105</f>
        <v>66.95561519427963</v>
      </c>
      <c r="L104">
        <f>'1234 P+ 24 hpi'!U105</f>
        <v>64.041066045370059</v>
      </c>
      <c r="N104">
        <f>'1250 P- 24 hpi'!AD105</f>
        <v>106.68535841590005</v>
      </c>
      <c r="O104">
        <f>'1250 P- 24 hpi'!AE105</f>
        <v>114.9116831538342</v>
      </c>
      <c r="Q104">
        <f>'1250 P+ 24 hpi'!T105</f>
        <v>68.168810658315664</v>
      </c>
      <c r="R104">
        <f>'1250 P+ 24 hpi'!U105</f>
        <v>77.529014733722931</v>
      </c>
      <c r="T104">
        <f>'1480 P- 24 hpi'!T105</f>
        <v>104.22735034489858</v>
      </c>
      <c r="U104">
        <f>'1480 P- 24 hpi'!U105</f>
        <v>112.66702039089476</v>
      </c>
      <c r="W104">
        <f>'NAD003 P+ 24 hpi'!T105</f>
        <v>74.220582189769587</v>
      </c>
      <c r="X104">
        <f>'NAD003 P+ 24 hpi'!U105</f>
        <v>85.413302790736651</v>
      </c>
    </row>
    <row r="105" spans="1:24" x14ac:dyDescent="0.35">
      <c r="A105" s="3">
        <v>673.51599999999996</v>
      </c>
      <c r="B105">
        <f>'1233 P- 24 hpi'!T106</f>
        <v>70.956691221499227</v>
      </c>
      <c r="C105">
        <f>'1233 P- 24 hpi'!U106</f>
        <v>80.428488227271927</v>
      </c>
      <c r="E105">
        <f>'1233 P+ 24 hpi'!T106</f>
        <v>79.823402890456975</v>
      </c>
      <c r="F105">
        <f>'1233 P+ 24 hpi'!U106</f>
        <v>90.073447033567959</v>
      </c>
      <c r="H105">
        <f>'1234 P- 24 hpi'!T106</f>
        <v>77.65147425711956</v>
      </c>
      <c r="I105">
        <f>'1234 P- 24 hpi'!U106</f>
        <v>84.765813313056469</v>
      </c>
      <c r="K105">
        <f>'1234 P+ 24 hpi'!T106</f>
        <v>67.290728601760307</v>
      </c>
      <c r="L105">
        <f>'1234 P+ 24 hpi'!U106</f>
        <v>64.348839070545026</v>
      </c>
      <c r="N105">
        <f>'1250 P- 24 hpi'!AD106</f>
        <v>108.19531390141132</v>
      </c>
      <c r="O105">
        <f>'1250 P- 24 hpi'!AE106</f>
        <v>117.26622180279909</v>
      </c>
      <c r="Q105">
        <f>'1250 P+ 24 hpi'!T106</f>
        <v>68.577136455057158</v>
      </c>
      <c r="R105">
        <f>'1250 P+ 24 hpi'!U106</f>
        <v>79.124554327624978</v>
      </c>
      <c r="T105">
        <f>'1480 P- 24 hpi'!T106</f>
        <v>106.70759308386023</v>
      </c>
      <c r="U105">
        <f>'1480 P- 24 hpi'!U106</f>
        <v>112.33926957958079</v>
      </c>
      <c r="W105">
        <f>'NAD003 P+ 24 hpi'!T106</f>
        <v>74.570796546796387</v>
      </c>
      <c r="X105">
        <f>'NAD003 P+ 24 hpi'!U106</f>
        <v>85.713327932508307</v>
      </c>
    </row>
    <row r="106" spans="1:24" x14ac:dyDescent="0.35">
      <c r="A106" s="3">
        <v>679.74</v>
      </c>
      <c r="B106">
        <f>'1233 P- 24 hpi'!T107</f>
        <v>71.27039898532378</v>
      </c>
      <c r="C106">
        <f>'1233 P- 24 hpi'!U107</f>
        <v>80.922861780241021</v>
      </c>
      <c r="E106">
        <f>'1233 P+ 24 hpi'!T107</f>
        <v>79.982893727280739</v>
      </c>
      <c r="F106">
        <f>'1233 P+ 24 hpi'!U107</f>
        <v>90.21263809394982</v>
      </c>
      <c r="H106">
        <f>'1234 P- 24 hpi'!T107</f>
        <v>77.892752982650578</v>
      </c>
      <c r="I106">
        <f>'1234 P- 24 hpi'!U107</f>
        <v>85.424042782535665</v>
      </c>
      <c r="K106">
        <f>'1234 P+ 24 hpi'!T107</f>
        <v>67.602177964521388</v>
      </c>
      <c r="L106">
        <f>'1234 P+ 24 hpi'!U107</f>
        <v>64.886930539869979</v>
      </c>
      <c r="N106">
        <f>'1250 P- 24 hpi'!AD107</f>
        <v>110.03587426325001</v>
      </c>
      <c r="O106">
        <f>'1250 P- 24 hpi'!AE107</f>
        <v>117.47183177454072</v>
      </c>
      <c r="Q106">
        <f>'1250 P+ 24 hpi'!T107</f>
        <v>69.065102655130048</v>
      </c>
      <c r="R106">
        <f>'1250 P+ 24 hpi'!U107</f>
        <v>78.883252249481217</v>
      </c>
      <c r="T106">
        <f>'1480 P- 24 hpi'!T107</f>
        <v>109.43925803666399</v>
      </c>
      <c r="U106">
        <f>'1480 P- 24 hpi'!U107</f>
        <v>116.60701444732756</v>
      </c>
      <c r="W106">
        <f>'NAD003 P+ 24 hpi'!T107</f>
        <v>75.003230037390139</v>
      </c>
      <c r="X106">
        <f>'NAD003 P+ 24 hpi'!U107</f>
        <v>85.936251641198993</v>
      </c>
    </row>
    <row r="107" spans="1:24" x14ac:dyDescent="0.35">
      <c r="A107" s="3">
        <v>685.89499999999998</v>
      </c>
      <c r="B107">
        <f>'1233 P- 24 hpi'!T108</f>
        <v>71.639928018003062</v>
      </c>
      <c r="C107">
        <f>'1233 P- 24 hpi'!U108</f>
        <v>81.090409945848805</v>
      </c>
      <c r="E107">
        <f>'1233 P+ 24 hpi'!T108</f>
        <v>80.131818925072025</v>
      </c>
      <c r="F107">
        <f>'1233 P+ 24 hpi'!U108</f>
        <v>90.122184556194256</v>
      </c>
      <c r="H107">
        <f>'1234 P- 24 hpi'!T108</f>
        <v>78.363395514629929</v>
      </c>
      <c r="I107">
        <f>'1234 P- 24 hpi'!U108</f>
        <v>85.545503332342548</v>
      </c>
      <c r="K107">
        <f>'1234 P+ 24 hpi'!T108</f>
        <v>67.873060393477445</v>
      </c>
      <c r="L107">
        <f>'1234 P+ 24 hpi'!U108</f>
        <v>64.809920589046087</v>
      </c>
      <c r="N107">
        <f>'1250 P- 24 hpi'!AD108</f>
        <v>111.74303919002782</v>
      </c>
      <c r="O107">
        <f>'1250 P- 24 hpi'!AE108</f>
        <v>118.94852112522472</v>
      </c>
      <c r="Q107">
        <f>'1250 P+ 24 hpi'!T108</f>
        <v>69.612461698365337</v>
      </c>
      <c r="R107">
        <f>'1250 P+ 24 hpi'!U108</f>
        <v>79.356758840883586</v>
      </c>
      <c r="T107">
        <f>'1480 P- 24 hpi'!T108</f>
        <v>111.53571442308596</v>
      </c>
      <c r="U107">
        <f>'1480 P- 24 hpi'!U108</f>
        <v>118.73065474920202</v>
      </c>
      <c r="W107">
        <f>'NAD003 P+ 24 hpi'!T108</f>
        <v>75.510933187165989</v>
      </c>
      <c r="X107">
        <f>'NAD003 P+ 24 hpi'!U108</f>
        <v>86.012235662206336</v>
      </c>
    </row>
    <row r="108" spans="1:24" x14ac:dyDescent="0.35">
      <c r="A108" s="3">
        <v>692.197</v>
      </c>
      <c r="B108">
        <f>'1233 P- 24 hpi'!T109</f>
        <v>72.00588533225239</v>
      </c>
      <c r="C108">
        <f>'1233 P- 24 hpi'!U109</f>
        <v>81.173746904971935</v>
      </c>
      <c r="E108">
        <f>'1233 P+ 24 hpi'!T109</f>
        <v>80.309925411619687</v>
      </c>
      <c r="F108">
        <f>'1233 P+ 24 hpi'!U109</f>
        <v>90.116505395718733</v>
      </c>
      <c r="H108">
        <f>'1234 P- 24 hpi'!T109</f>
        <v>78.793239476793076</v>
      </c>
      <c r="I108">
        <f>'1234 P- 24 hpi'!U109</f>
        <v>85.64812125522451</v>
      </c>
      <c r="K108">
        <f>'1234 P+ 24 hpi'!T109</f>
        <v>68.130529562062506</v>
      </c>
      <c r="L108">
        <f>'1234 P+ 24 hpi'!U109</f>
        <v>64.630645691977975</v>
      </c>
      <c r="N108">
        <f>'1250 P- 24 hpi'!AD109</f>
        <v>113.42184880046027</v>
      </c>
      <c r="O108">
        <f>'1250 P- 24 hpi'!AE109</f>
        <v>120.25856438629482</v>
      </c>
      <c r="Q108">
        <f>'1250 P+ 24 hpi'!T109</f>
        <v>69.928998555674042</v>
      </c>
      <c r="R108">
        <f>'1250 P+ 24 hpi'!U109</f>
        <v>79.33336510260753</v>
      </c>
      <c r="T108">
        <f>'1480 P- 24 hpi'!T109</f>
        <v>113.82406898778014</v>
      </c>
      <c r="U108">
        <f>'1480 P- 24 hpi'!U109</f>
        <v>121.08951345150406</v>
      </c>
      <c r="W108">
        <f>'NAD003 P+ 24 hpi'!T109</f>
        <v>76.011393222794283</v>
      </c>
      <c r="X108">
        <f>'NAD003 P+ 24 hpi'!U109</f>
        <v>86.273151381400666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C186-73CE-484E-B5F3-2F69EF38A742}">
  <dimension ref="A1:X108"/>
  <sheetViews>
    <sheetView workbookViewId="0">
      <selection activeCell="E2" sqref="E2"/>
    </sheetView>
  </sheetViews>
  <sheetFormatPr defaultColWidth="8.81640625" defaultRowHeight="14.5" x14ac:dyDescent="0.35"/>
  <cols>
    <col min="1" max="1" width="9.453125" bestFit="1" customWidth="1"/>
  </cols>
  <sheetData>
    <row r="1" spans="1:24" x14ac:dyDescent="0.35">
      <c r="A1" s="2" t="s">
        <v>5</v>
      </c>
      <c r="B1" t="s">
        <v>50</v>
      </c>
      <c r="C1" t="s">
        <v>51</v>
      </c>
      <c r="E1" t="s">
        <v>52</v>
      </c>
      <c r="F1" t="s">
        <v>53</v>
      </c>
      <c r="H1" t="s">
        <v>54</v>
      </c>
      <c r="I1" t="s">
        <v>55</v>
      </c>
      <c r="K1" t="s">
        <v>56</v>
      </c>
      <c r="L1" t="s">
        <v>57</v>
      </c>
      <c r="N1" t="s">
        <v>58</v>
      </c>
      <c r="O1" t="s">
        <v>59</v>
      </c>
      <c r="Q1" t="s">
        <v>60</v>
      </c>
      <c r="R1" t="s">
        <v>61</v>
      </c>
      <c r="T1" t="s">
        <v>62</v>
      </c>
      <c r="U1" t="s">
        <v>63</v>
      </c>
      <c r="W1" t="s">
        <v>64</v>
      </c>
      <c r="X1" t="s">
        <v>65</v>
      </c>
    </row>
    <row r="2" spans="1:24" x14ac:dyDescent="0.35">
      <c r="A2" s="4">
        <v>6.2696399999999999</v>
      </c>
      <c r="B2">
        <f>'1233 P- 24 hpi'!W3</f>
        <v>0</v>
      </c>
      <c r="C2">
        <f>'1233 P- 24 hpi'!X3</f>
        <v>0</v>
      </c>
      <c r="E2">
        <f>'1233 P+ 24 hpi'!W3</f>
        <v>0</v>
      </c>
      <c r="F2">
        <f>'1233 P+ 24 hpi'!X3</f>
        <v>0</v>
      </c>
      <c r="H2">
        <f>'1234 P- 24 hpi'!W3</f>
        <v>0</v>
      </c>
      <c r="I2">
        <f>'1234 P- 24 hpi'!X3</f>
        <v>0</v>
      </c>
      <c r="K2">
        <f>'1234 P+ 24 hpi'!W3</f>
        <v>0</v>
      </c>
      <c r="L2">
        <f>'1234 P+ 24 hpi'!X3</f>
        <v>0</v>
      </c>
      <c r="N2">
        <f>'1250 P- 24 hpi'!AG3</f>
        <v>0</v>
      </c>
      <c r="O2">
        <f>'1250 P- 24 hpi'!AH3</f>
        <v>0</v>
      </c>
      <c r="Q2">
        <f>'1250 P+ 24 hpi'!W3</f>
        <v>0</v>
      </c>
      <c r="R2">
        <f>'1250 P+ 24 hpi'!X3</f>
        <v>0</v>
      </c>
      <c r="T2">
        <f>'1480 P- 24 hpi'!W3</f>
        <v>0</v>
      </c>
      <c r="U2">
        <f>'1480 P- 24 hpi'!X3</f>
        <v>0</v>
      </c>
      <c r="W2">
        <f>'NAD003 P+ 24 hpi'!W3</f>
        <v>0</v>
      </c>
      <c r="X2">
        <f>'NAD003 P+ 24 hpi'!X3</f>
        <v>0</v>
      </c>
    </row>
    <row r="3" spans="1:24" x14ac:dyDescent="0.35">
      <c r="A3" s="3">
        <v>12.3698</v>
      </c>
      <c r="B3">
        <f>'1233 P- 24 hpi'!W4</f>
        <v>0.28863888188893827</v>
      </c>
      <c r="C3">
        <f>'1233 P- 24 hpi'!X4</f>
        <v>0.26294293502001209</v>
      </c>
      <c r="E3">
        <f>'1233 P+ 24 hpi'!W4</f>
        <v>0</v>
      </c>
      <c r="F3">
        <f>'1233 P+ 24 hpi'!X4</f>
        <v>0</v>
      </c>
      <c r="H3">
        <f>'1234 P- 24 hpi'!W4</f>
        <v>0.23398318868142454</v>
      </c>
      <c r="I3">
        <f>'1234 P- 24 hpi'!X4</f>
        <v>0.92794385855374628</v>
      </c>
      <c r="K3">
        <f>'1234 P+ 24 hpi'!W4</f>
        <v>0</v>
      </c>
      <c r="L3">
        <f>'1234 P+ 24 hpi'!X4</f>
        <v>0</v>
      </c>
      <c r="N3">
        <f>'1250 P- 24 hpi'!AG4</f>
        <v>0.87765130371778355</v>
      </c>
      <c r="O3">
        <f>'1250 P- 24 hpi'!AH4</f>
        <v>1.1535862445438432</v>
      </c>
      <c r="Q3">
        <f>'1250 P+ 24 hpi'!W4</f>
        <v>0</v>
      </c>
      <c r="R3">
        <f>'1250 P+ 24 hpi'!X4</f>
        <v>0</v>
      </c>
      <c r="T3">
        <f>'1480 P- 24 hpi'!W4</f>
        <v>0.54367117248567909</v>
      </c>
      <c r="U3">
        <f>'1480 P- 24 hpi'!X4</f>
        <v>1.0346782761727304</v>
      </c>
      <c r="W3">
        <f>'NAD003 P+ 24 hpi'!W4</f>
        <v>0</v>
      </c>
      <c r="X3">
        <f>'NAD003 P+ 24 hpi'!X4</f>
        <v>0</v>
      </c>
    </row>
    <row r="4" spans="1:24" x14ac:dyDescent="0.35">
      <c r="A4" s="3">
        <v>18.654</v>
      </c>
      <c r="B4">
        <f>'1233 P- 24 hpi'!W5</f>
        <v>0.39908918450260228</v>
      </c>
      <c r="C4">
        <f>'1233 P- 24 hpi'!X5</f>
        <v>0.25440603697031322</v>
      </c>
      <c r="E4">
        <f>'1233 P+ 24 hpi'!W5</f>
        <v>0</v>
      </c>
      <c r="F4">
        <f>'1233 P+ 24 hpi'!X5</f>
        <v>0</v>
      </c>
      <c r="H4">
        <f>'1234 P- 24 hpi'!W5</f>
        <v>0.15096101906009396</v>
      </c>
      <c r="I4">
        <f>'1234 P- 24 hpi'!X5</f>
        <v>0.29328632054466863</v>
      </c>
      <c r="K4">
        <f>'1234 P+ 24 hpi'!W5</f>
        <v>0</v>
      </c>
      <c r="L4">
        <f>'1234 P+ 24 hpi'!X5</f>
        <v>0</v>
      </c>
      <c r="N4">
        <f>'1250 P- 24 hpi'!AG5</f>
        <v>1.7184617854333144</v>
      </c>
      <c r="O4">
        <f>'1250 P- 24 hpi'!AH5</f>
        <v>2.0709842000402126</v>
      </c>
      <c r="Q4">
        <f>'1250 P+ 24 hpi'!W5</f>
        <v>0</v>
      </c>
      <c r="R4">
        <f>'1250 P+ 24 hpi'!X5</f>
        <v>0</v>
      </c>
      <c r="T4">
        <f>'1480 P- 24 hpi'!W5</f>
        <v>1.060540176533695</v>
      </c>
      <c r="U4">
        <f>'1480 P- 24 hpi'!X5</f>
        <v>2.0044467197256908</v>
      </c>
      <c r="W4">
        <f>'NAD003 P+ 24 hpi'!W5</f>
        <v>0</v>
      </c>
      <c r="X4">
        <f>'NAD003 P+ 24 hpi'!X5</f>
        <v>0</v>
      </c>
    </row>
    <row r="5" spans="1:24" x14ac:dyDescent="0.35">
      <c r="A5" s="3">
        <v>24.779599999999999</v>
      </c>
      <c r="B5">
        <f>'1233 P- 24 hpi'!W6</f>
        <v>0.51086561002659847</v>
      </c>
      <c r="C5">
        <f>'1233 P- 24 hpi'!X6</f>
        <v>0.64273847784658078</v>
      </c>
      <c r="E5">
        <f>'1233 P+ 24 hpi'!W6</f>
        <v>0</v>
      </c>
      <c r="F5">
        <f>'1233 P+ 24 hpi'!X6</f>
        <v>0</v>
      </c>
      <c r="H5">
        <f>'1234 P- 24 hpi'!W6</f>
        <v>0.34563917735206962</v>
      </c>
      <c r="I5">
        <f>'1234 P- 24 hpi'!X6</f>
        <v>0.67502522254880148</v>
      </c>
      <c r="K5">
        <f>'1234 P+ 24 hpi'!W6</f>
        <v>0</v>
      </c>
      <c r="L5">
        <f>'1234 P+ 24 hpi'!X6</f>
        <v>0</v>
      </c>
      <c r="N5">
        <f>'1250 P- 24 hpi'!AG6</f>
        <v>2.6874819080077299</v>
      </c>
      <c r="O5">
        <f>'1250 P- 24 hpi'!AH6</f>
        <v>3.4202333923589374</v>
      </c>
      <c r="Q5">
        <f>'1250 P+ 24 hpi'!W6</f>
        <v>0</v>
      </c>
      <c r="R5">
        <f>'1250 P+ 24 hpi'!X6</f>
        <v>0</v>
      </c>
      <c r="T5">
        <f>'1480 P- 24 hpi'!W6</f>
        <v>1.534550475960575</v>
      </c>
      <c r="U5">
        <f>'1480 P- 24 hpi'!X6</f>
        <v>0.94862032972582377</v>
      </c>
      <c r="W5">
        <f>'NAD003 P+ 24 hpi'!W6</f>
        <v>0</v>
      </c>
      <c r="X5">
        <f>'NAD003 P+ 24 hpi'!X6</f>
        <v>0</v>
      </c>
    </row>
    <row r="6" spans="1:24" x14ac:dyDescent="0.35">
      <c r="A6" s="3">
        <v>31.0945</v>
      </c>
      <c r="B6">
        <f>'1233 P- 24 hpi'!W7</f>
        <v>0.71170200268550421</v>
      </c>
      <c r="C6">
        <f>'1233 P- 24 hpi'!X7</f>
        <v>0.34180184066291014</v>
      </c>
      <c r="E6">
        <f>'1233 P+ 24 hpi'!W7</f>
        <v>0</v>
      </c>
      <c r="F6">
        <f>'1233 P+ 24 hpi'!X7</f>
        <v>0</v>
      </c>
      <c r="H6">
        <f>'1234 P- 24 hpi'!W7</f>
        <v>0.40019592818673094</v>
      </c>
      <c r="I6">
        <f>'1234 P- 24 hpi'!X7</f>
        <v>0.87070309116518785</v>
      </c>
      <c r="K6">
        <f>'1234 P+ 24 hpi'!W7</f>
        <v>0</v>
      </c>
      <c r="L6">
        <f>'1234 P+ 24 hpi'!X7</f>
        <v>0</v>
      </c>
      <c r="N6">
        <f>'1250 P- 24 hpi'!AG7</f>
        <v>3.6057398164822971</v>
      </c>
      <c r="O6">
        <f>'1250 P- 24 hpi'!AH7</f>
        <v>4.3992932672704299</v>
      </c>
      <c r="Q6">
        <f>'1250 P+ 24 hpi'!W7</f>
        <v>0</v>
      </c>
      <c r="R6">
        <f>'1250 P+ 24 hpi'!X7</f>
        <v>0</v>
      </c>
      <c r="T6">
        <f>'1480 P- 24 hpi'!W7</f>
        <v>2.3001255682914303</v>
      </c>
      <c r="U6">
        <f>'1480 P- 24 hpi'!X7</f>
        <v>2.2562316495749655</v>
      </c>
      <c r="W6">
        <f>'NAD003 P+ 24 hpi'!W7</f>
        <v>0</v>
      </c>
      <c r="X6">
        <f>'NAD003 P+ 24 hpi'!X7</f>
        <v>0</v>
      </c>
    </row>
    <row r="7" spans="1:24" x14ac:dyDescent="0.35">
      <c r="A7" s="3">
        <v>37.161900000000003</v>
      </c>
      <c r="B7">
        <f>'1233 P- 24 hpi'!W8</f>
        <v>0.82879369091364496</v>
      </c>
      <c r="C7">
        <f>'1233 P- 24 hpi'!X8</f>
        <v>0.4337541076599562</v>
      </c>
      <c r="E7">
        <f>'1233 P+ 24 hpi'!W8</f>
        <v>0</v>
      </c>
      <c r="F7">
        <f>'1233 P+ 24 hpi'!X8</f>
        <v>0</v>
      </c>
      <c r="H7">
        <f>'1234 P- 24 hpi'!W8</f>
        <v>0.46473194968786663</v>
      </c>
      <c r="I7">
        <f>'1234 P- 24 hpi'!X8</f>
        <v>1.4477085804357317</v>
      </c>
      <c r="K7">
        <f>'1234 P+ 24 hpi'!W8</f>
        <v>0</v>
      </c>
      <c r="L7">
        <f>'1234 P+ 24 hpi'!X8</f>
        <v>0</v>
      </c>
      <c r="N7">
        <f>'1250 P- 24 hpi'!AG8</f>
        <v>4.4558556898644071</v>
      </c>
      <c r="O7">
        <f>'1250 P- 24 hpi'!AH8</f>
        <v>5.2191835954996222</v>
      </c>
      <c r="Q7">
        <f>'1250 P+ 24 hpi'!W8</f>
        <v>0</v>
      </c>
      <c r="R7">
        <f>'1250 P+ 24 hpi'!X8</f>
        <v>0</v>
      </c>
      <c r="T7">
        <f>'1480 P- 24 hpi'!W8</f>
        <v>2.7717238515992131</v>
      </c>
      <c r="U7">
        <f>'1480 P- 24 hpi'!X8</f>
        <v>3.0923846443909642</v>
      </c>
      <c r="W7">
        <f>'NAD003 P+ 24 hpi'!W8</f>
        <v>0</v>
      </c>
      <c r="X7">
        <f>'NAD003 P+ 24 hpi'!X8</f>
        <v>0</v>
      </c>
    </row>
    <row r="8" spans="1:24" x14ac:dyDescent="0.35">
      <c r="A8" s="3">
        <v>43.441699999999997</v>
      </c>
      <c r="B8">
        <f>'1233 P- 24 hpi'!W9</f>
        <v>1.0173852051611592</v>
      </c>
      <c r="C8">
        <f>'1233 P- 24 hpi'!X9</f>
        <v>0.54988714897174895</v>
      </c>
      <c r="E8">
        <f>'1233 P+ 24 hpi'!W9</f>
        <v>0</v>
      </c>
      <c r="F8">
        <f>'1233 P+ 24 hpi'!X9</f>
        <v>0</v>
      </c>
      <c r="H8">
        <f>'1234 P- 24 hpi'!W9</f>
        <v>0.47090942404617808</v>
      </c>
      <c r="I8">
        <f>'1234 P- 24 hpi'!X9</f>
        <v>2.0156083175865658</v>
      </c>
      <c r="K8">
        <f>'1234 P+ 24 hpi'!W9</f>
        <v>0</v>
      </c>
      <c r="L8">
        <f>'1234 P+ 24 hpi'!X9</f>
        <v>0</v>
      </c>
      <c r="N8">
        <f>'1250 P- 24 hpi'!AG9</f>
        <v>5.5104618321336769</v>
      </c>
      <c r="O8">
        <f>'1250 P- 24 hpi'!AH9</f>
        <v>5.8263179855879415</v>
      </c>
      <c r="Q8">
        <f>'1250 P+ 24 hpi'!W9</f>
        <v>0</v>
      </c>
      <c r="R8">
        <f>'1250 P+ 24 hpi'!X9</f>
        <v>0</v>
      </c>
      <c r="T8">
        <f>'1480 P- 24 hpi'!W9</f>
        <v>3.6476576983328717</v>
      </c>
      <c r="U8">
        <f>'1480 P- 24 hpi'!X9</f>
        <v>3.1466985395391691</v>
      </c>
      <c r="W8">
        <f>'NAD003 P+ 24 hpi'!W9</f>
        <v>0</v>
      </c>
      <c r="X8">
        <f>'NAD003 P+ 24 hpi'!X9</f>
        <v>0</v>
      </c>
    </row>
    <row r="9" spans="1:24" x14ac:dyDescent="0.35">
      <c r="A9" s="3">
        <v>49.671799999999998</v>
      </c>
      <c r="B9">
        <f>'1233 P- 24 hpi'!W10</f>
        <v>1.0875540697399919</v>
      </c>
      <c r="C9">
        <f>'1233 P- 24 hpi'!X10</f>
        <v>0.75209123422838264</v>
      </c>
      <c r="E9">
        <f>'1233 P+ 24 hpi'!W10</f>
        <v>0</v>
      </c>
      <c r="F9">
        <f>'1233 P+ 24 hpi'!X10</f>
        <v>0</v>
      </c>
      <c r="H9">
        <f>'1234 P- 24 hpi'!W10</f>
        <v>0.46035978743679101</v>
      </c>
      <c r="I9">
        <f>'1234 P- 24 hpi'!X10</f>
        <v>0.96785227974550403</v>
      </c>
      <c r="K9">
        <f>'1234 P+ 24 hpi'!W10</f>
        <v>0</v>
      </c>
      <c r="L9">
        <f>'1234 P+ 24 hpi'!X10</f>
        <v>0</v>
      </c>
      <c r="N9">
        <f>'1250 P- 24 hpi'!AG10</f>
        <v>6.6457719803394397</v>
      </c>
      <c r="O9">
        <f>'1250 P- 24 hpi'!AH10</f>
        <v>7.0461780846549269</v>
      </c>
      <c r="Q9">
        <f>'1250 P+ 24 hpi'!W10</f>
        <v>0</v>
      </c>
      <c r="R9">
        <f>'1250 P+ 24 hpi'!X10</f>
        <v>0</v>
      </c>
      <c r="T9">
        <f>'1480 P- 24 hpi'!W10</f>
        <v>4.6165765593143089</v>
      </c>
      <c r="U9">
        <f>'1480 P- 24 hpi'!X10</f>
        <v>3.9549561971071685</v>
      </c>
      <c r="W9">
        <f>'NAD003 P+ 24 hpi'!W10</f>
        <v>0</v>
      </c>
      <c r="X9">
        <f>'NAD003 P+ 24 hpi'!X10</f>
        <v>0</v>
      </c>
    </row>
    <row r="10" spans="1:24" x14ac:dyDescent="0.35">
      <c r="A10" s="3">
        <v>55.927799999999998</v>
      </c>
      <c r="B10">
        <f>'1233 P- 24 hpi'!W11</f>
        <v>1.2706116947330119</v>
      </c>
      <c r="C10">
        <f>'1233 P- 24 hpi'!X11</f>
        <v>0.56645128760104979</v>
      </c>
      <c r="E10">
        <f>'1233 P+ 24 hpi'!W11</f>
        <v>0</v>
      </c>
      <c r="F10">
        <f>'1233 P+ 24 hpi'!X11</f>
        <v>0</v>
      </c>
      <c r="H10">
        <f>'1234 P- 24 hpi'!W11</f>
        <v>0.59325243537531824</v>
      </c>
      <c r="I10">
        <f>'1234 P- 24 hpi'!X11</f>
        <v>2.5373886382407056</v>
      </c>
      <c r="K10">
        <f>'1234 P+ 24 hpi'!W11</f>
        <v>0</v>
      </c>
      <c r="L10">
        <f>'1234 P+ 24 hpi'!X11</f>
        <v>0</v>
      </c>
      <c r="N10">
        <f>'1250 P- 24 hpi'!AG11</f>
        <v>7.6830150654446134</v>
      </c>
      <c r="O10">
        <f>'1250 P- 24 hpi'!AH11</f>
        <v>8.5561892417615102</v>
      </c>
      <c r="Q10">
        <f>'1250 P+ 24 hpi'!W11</f>
        <v>0</v>
      </c>
      <c r="R10">
        <f>'1250 P+ 24 hpi'!X11</f>
        <v>0</v>
      </c>
      <c r="T10">
        <f>'1480 P- 24 hpi'!W11</f>
        <v>5.4795741737175252</v>
      </c>
      <c r="U10">
        <f>'1480 P- 24 hpi'!X11</f>
        <v>4.4415048827912127</v>
      </c>
      <c r="W10">
        <f>'NAD003 P+ 24 hpi'!W11</f>
        <v>0</v>
      </c>
      <c r="X10">
        <f>'NAD003 P+ 24 hpi'!X11</f>
        <v>0</v>
      </c>
    </row>
    <row r="11" spans="1:24" x14ac:dyDescent="0.35">
      <c r="A11" s="3">
        <v>62.031100000000002</v>
      </c>
      <c r="B11">
        <f>'1233 P- 24 hpi'!W12</f>
        <v>1.4370250882172959</v>
      </c>
      <c r="C11">
        <f>'1233 P- 24 hpi'!X12</f>
        <v>0.64157281033125835</v>
      </c>
      <c r="E11">
        <f>'1233 P+ 24 hpi'!W12</f>
        <v>0</v>
      </c>
      <c r="F11">
        <f>'1233 P+ 24 hpi'!X12</f>
        <v>0</v>
      </c>
      <c r="H11">
        <f>'1234 P- 24 hpi'!W12</f>
        <v>0.5650894038891181</v>
      </c>
      <c r="I11">
        <f>'1234 P- 24 hpi'!X12</f>
        <v>2.6964812285746969</v>
      </c>
      <c r="K11">
        <f>'1234 P+ 24 hpi'!W12</f>
        <v>0</v>
      </c>
      <c r="L11">
        <f>'1234 P+ 24 hpi'!X12</f>
        <v>0</v>
      </c>
      <c r="N11">
        <f>'1250 P- 24 hpi'!AG12</f>
        <v>8.8528392816063892</v>
      </c>
      <c r="O11">
        <f>'1250 P- 24 hpi'!AH12</f>
        <v>9.1349313336281348</v>
      </c>
      <c r="Q11">
        <f>'1250 P+ 24 hpi'!W12</f>
        <v>0</v>
      </c>
      <c r="R11">
        <f>'1250 P+ 24 hpi'!X12</f>
        <v>0</v>
      </c>
      <c r="T11">
        <f>'1480 P- 24 hpi'!W12</f>
        <v>5.8911861073595038</v>
      </c>
      <c r="U11">
        <f>'1480 P- 24 hpi'!X12</f>
        <v>5.600672682004932</v>
      </c>
      <c r="W11">
        <f>'NAD003 P+ 24 hpi'!W12</f>
        <v>0</v>
      </c>
      <c r="X11">
        <f>'NAD003 P+ 24 hpi'!X12</f>
        <v>0</v>
      </c>
    </row>
    <row r="12" spans="1:24" x14ac:dyDescent="0.35">
      <c r="A12" s="3">
        <v>68.213200000000001</v>
      </c>
      <c r="B12">
        <f>'1233 P- 24 hpi'!W13</f>
        <v>1.4841529174558383</v>
      </c>
      <c r="C12">
        <f>'1233 P- 24 hpi'!X13</f>
        <v>0.73480736399498392</v>
      </c>
      <c r="E12">
        <f>'1233 P+ 24 hpi'!W13</f>
        <v>0</v>
      </c>
      <c r="F12">
        <f>'1233 P+ 24 hpi'!X13</f>
        <v>0</v>
      </c>
      <c r="H12">
        <f>'1234 P- 24 hpi'!W13</f>
        <v>0.60986982385400645</v>
      </c>
      <c r="I12">
        <f>'1234 P- 24 hpi'!X13</f>
        <v>2.8399754484857853</v>
      </c>
      <c r="K12">
        <f>'1234 P+ 24 hpi'!W13</f>
        <v>0</v>
      </c>
      <c r="L12">
        <f>'1234 P+ 24 hpi'!X13</f>
        <v>0</v>
      </c>
      <c r="N12">
        <f>'1250 P- 24 hpi'!AG13</f>
        <v>9.9089053174114028</v>
      </c>
      <c r="O12">
        <f>'1250 P- 24 hpi'!AH13</f>
        <v>10.121622526142554</v>
      </c>
      <c r="Q12">
        <f>'1250 P+ 24 hpi'!W13</f>
        <v>0</v>
      </c>
      <c r="R12">
        <f>'1250 P+ 24 hpi'!X13</f>
        <v>0</v>
      </c>
      <c r="T12">
        <f>'1480 P- 24 hpi'!W13</f>
        <v>6.996616645192355</v>
      </c>
      <c r="U12">
        <f>'1480 P- 24 hpi'!X13</f>
        <v>5.037482238578467</v>
      </c>
      <c r="W12">
        <f>'NAD003 P+ 24 hpi'!W13</f>
        <v>0</v>
      </c>
      <c r="X12">
        <f>'NAD003 P+ 24 hpi'!X13</f>
        <v>0</v>
      </c>
    </row>
    <row r="13" spans="1:24" x14ac:dyDescent="0.35">
      <c r="A13" s="3">
        <v>74.461600000000004</v>
      </c>
      <c r="B13">
        <f>'1233 P- 24 hpi'!W14</f>
        <v>1.5961458245972024</v>
      </c>
      <c r="C13">
        <f>'1233 P- 24 hpi'!X14</f>
        <v>0.96055596749924999</v>
      </c>
      <c r="E13">
        <f>'1233 P+ 24 hpi'!W14</f>
        <v>0</v>
      </c>
      <c r="F13">
        <f>'1233 P+ 24 hpi'!X14</f>
        <v>0</v>
      </c>
      <c r="H13">
        <f>'1234 P- 24 hpi'!W14</f>
        <v>0.67547730653437044</v>
      </c>
      <c r="I13">
        <f>'1234 P- 24 hpi'!X14</f>
        <v>3.1107418535835216</v>
      </c>
      <c r="K13">
        <f>'1234 P+ 24 hpi'!W14</f>
        <v>0</v>
      </c>
      <c r="L13">
        <f>'1234 P+ 24 hpi'!X14</f>
        <v>0</v>
      </c>
      <c r="N13">
        <f>'1250 P- 24 hpi'!AG14</f>
        <v>11.220336636578628</v>
      </c>
      <c r="O13">
        <f>'1250 P- 24 hpi'!AH14</f>
        <v>11.48877778203016</v>
      </c>
      <c r="Q13">
        <f>'1250 P+ 24 hpi'!W14</f>
        <v>0</v>
      </c>
      <c r="R13">
        <f>'1250 P+ 24 hpi'!X14</f>
        <v>0</v>
      </c>
      <c r="T13">
        <f>'1480 P- 24 hpi'!W14</f>
        <v>7.6333201852782828</v>
      </c>
      <c r="U13">
        <f>'1480 P- 24 hpi'!X14</f>
        <v>5.9944267260002606</v>
      </c>
      <c r="W13">
        <f>'NAD003 P+ 24 hpi'!W14</f>
        <v>0</v>
      </c>
      <c r="X13">
        <f>'NAD003 P+ 24 hpi'!X14</f>
        <v>0</v>
      </c>
    </row>
    <row r="14" spans="1:24" x14ac:dyDescent="0.35">
      <c r="A14" s="3">
        <v>80.745000000000005</v>
      </c>
      <c r="B14">
        <f>'1233 P- 24 hpi'!W15</f>
        <v>1.740683012931824</v>
      </c>
      <c r="C14">
        <f>'1233 P- 24 hpi'!X15</f>
        <v>0.7902225505042485</v>
      </c>
      <c r="E14">
        <f>'1233 P+ 24 hpi'!W15</f>
        <v>0</v>
      </c>
      <c r="F14">
        <f>'1233 P+ 24 hpi'!X15</f>
        <v>0</v>
      </c>
      <c r="H14">
        <f>'1234 P- 24 hpi'!W15</f>
        <v>0.70777908625356722</v>
      </c>
      <c r="I14">
        <f>'1234 P- 24 hpi'!X15</f>
        <v>3.4400006560297833</v>
      </c>
      <c r="K14">
        <f>'1234 P+ 24 hpi'!W15</f>
        <v>0</v>
      </c>
      <c r="L14">
        <f>'1234 P+ 24 hpi'!X15</f>
        <v>0</v>
      </c>
      <c r="N14">
        <f>'1250 P- 24 hpi'!AG15</f>
        <v>12.446956341763727</v>
      </c>
      <c r="O14">
        <f>'1250 P- 24 hpi'!AH15</f>
        <v>12.653414270921845</v>
      </c>
      <c r="Q14">
        <f>'1250 P+ 24 hpi'!W15</f>
        <v>0</v>
      </c>
      <c r="R14">
        <f>'1250 P+ 24 hpi'!X15</f>
        <v>0</v>
      </c>
      <c r="T14">
        <f>'1480 P- 24 hpi'!W15</f>
        <v>8.5643241280805178</v>
      </c>
      <c r="U14">
        <f>'1480 P- 24 hpi'!X15</f>
        <v>6.8649502135640423</v>
      </c>
      <c r="W14">
        <f>'NAD003 P+ 24 hpi'!W15</f>
        <v>0</v>
      </c>
      <c r="X14">
        <f>'NAD003 P+ 24 hpi'!X15</f>
        <v>0</v>
      </c>
    </row>
    <row r="15" spans="1:24" x14ac:dyDescent="0.35">
      <c r="A15" s="3">
        <v>86.833600000000004</v>
      </c>
      <c r="B15">
        <f>'1233 P- 24 hpi'!W16</f>
        <v>1.7940725988145585</v>
      </c>
      <c r="C15">
        <f>'1233 P- 24 hpi'!X16</f>
        <v>0.73295148432655022</v>
      </c>
      <c r="E15">
        <f>'1233 P+ 24 hpi'!W16</f>
        <v>0</v>
      </c>
      <c r="F15">
        <f>'1233 P+ 24 hpi'!X16</f>
        <v>0</v>
      </c>
      <c r="H15">
        <f>'1234 P- 24 hpi'!W16</f>
        <v>0.76844428866703518</v>
      </c>
      <c r="I15">
        <f>'1234 P- 24 hpi'!X16</f>
        <v>3.3891480721843723</v>
      </c>
      <c r="K15">
        <f>'1234 P+ 24 hpi'!W16</f>
        <v>0</v>
      </c>
      <c r="L15">
        <f>'1234 P+ 24 hpi'!X16</f>
        <v>0</v>
      </c>
      <c r="N15">
        <f>'1250 P- 24 hpi'!AG16</f>
        <v>13.678301356492064</v>
      </c>
      <c r="O15">
        <f>'1250 P- 24 hpi'!AH16</f>
        <v>13.517759261473708</v>
      </c>
      <c r="Q15">
        <f>'1250 P+ 24 hpi'!W16</f>
        <v>0</v>
      </c>
      <c r="R15">
        <f>'1250 P+ 24 hpi'!X16</f>
        <v>0</v>
      </c>
      <c r="T15">
        <f>'1480 P- 24 hpi'!W16</f>
        <v>9.4660371102169432</v>
      </c>
      <c r="U15">
        <f>'1480 P- 24 hpi'!X16</f>
        <v>7.1992937605243998</v>
      </c>
      <c r="W15">
        <f>'NAD003 P+ 24 hpi'!W16</f>
        <v>0</v>
      </c>
      <c r="X15">
        <f>'NAD003 P+ 24 hpi'!X16</f>
        <v>0</v>
      </c>
    </row>
    <row r="16" spans="1:24" x14ac:dyDescent="0.35">
      <c r="A16" s="3">
        <v>93.167199999999994</v>
      </c>
      <c r="B16">
        <f>'1233 P- 24 hpi'!W17</f>
        <v>1.9165325058179821</v>
      </c>
      <c r="C16">
        <f>'1233 P- 24 hpi'!X17</f>
        <v>0.92231099540703509</v>
      </c>
      <c r="E16">
        <f>'1233 P+ 24 hpi'!W17</f>
        <v>0</v>
      </c>
      <c r="F16">
        <f>'1233 P+ 24 hpi'!X17</f>
        <v>0</v>
      </c>
      <c r="H16">
        <f>'1234 P- 24 hpi'!W17</f>
        <v>0.85490005202076702</v>
      </c>
      <c r="I16">
        <f>'1234 P- 24 hpi'!X17</f>
        <v>3.3181013079537256</v>
      </c>
      <c r="K16">
        <f>'1234 P+ 24 hpi'!W17</f>
        <v>0</v>
      </c>
      <c r="L16">
        <f>'1234 P+ 24 hpi'!X17</f>
        <v>0</v>
      </c>
      <c r="N16">
        <f>'1250 P- 24 hpi'!AG17</f>
        <v>15.022181854023279</v>
      </c>
      <c r="O16">
        <f>'1250 P- 24 hpi'!AH17</f>
        <v>15.105903049313214</v>
      </c>
      <c r="Q16">
        <f>'1250 P+ 24 hpi'!W17</f>
        <v>0</v>
      </c>
      <c r="R16">
        <f>'1250 P+ 24 hpi'!X17</f>
        <v>0</v>
      </c>
      <c r="T16">
        <f>'1480 P- 24 hpi'!W17</f>
        <v>10.649092154657623</v>
      </c>
      <c r="U16">
        <f>'1480 P- 24 hpi'!X17</f>
        <v>7.2342743315102718</v>
      </c>
      <c r="W16">
        <f>'NAD003 P+ 24 hpi'!W17</f>
        <v>0</v>
      </c>
      <c r="X16">
        <f>'NAD003 P+ 24 hpi'!X17</f>
        <v>0</v>
      </c>
    </row>
    <row r="17" spans="1:24" x14ac:dyDescent="0.35">
      <c r="A17" s="3">
        <v>99.287099999999995</v>
      </c>
      <c r="B17">
        <f>'1233 P- 24 hpi'!W18</f>
        <v>1.9961171467652696</v>
      </c>
      <c r="C17">
        <f>'1233 P- 24 hpi'!X18</f>
        <v>1.0664818210417482</v>
      </c>
      <c r="E17">
        <f>'1233 P+ 24 hpi'!W18</f>
        <v>0</v>
      </c>
      <c r="F17">
        <f>'1233 P+ 24 hpi'!X18</f>
        <v>0</v>
      </c>
      <c r="H17">
        <f>'1234 P- 24 hpi'!W18</f>
        <v>0.9234699589844837</v>
      </c>
      <c r="I17">
        <f>'1234 P- 24 hpi'!X18</f>
        <v>3.477088351540691</v>
      </c>
      <c r="K17">
        <f>'1234 P+ 24 hpi'!W18</f>
        <v>0</v>
      </c>
      <c r="L17">
        <f>'1234 P+ 24 hpi'!X18</f>
        <v>0</v>
      </c>
      <c r="N17">
        <f>'1250 P- 24 hpi'!AG18</f>
        <v>16.595957849327036</v>
      </c>
      <c r="O17">
        <f>'1250 P- 24 hpi'!AH18</f>
        <v>16.591390284259248</v>
      </c>
      <c r="Q17">
        <f>'1250 P+ 24 hpi'!W18</f>
        <v>0</v>
      </c>
      <c r="R17">
        <f>'1250 P+ 24 hpi'!X18</f>
        <v>0</v>
      </c>
      <c r="T17">
        <f>'1480 P- 24 hpi'!W18</f>
        <v>11.828706249349395</v>
      </c>
      <c r="U17">
        <f>'1480 P- 24 hpi'!X18</f>
        <v>7.4215051744083409</v>
      </c>
      <c r="W17">
        <f>'NAD003 P+ 24 hpi'!W18</f>
        <v>0</v>
      </c>
      <c r="X17">
        <f>'NAD003 P+ 24 hpi'!X18</f>
        <v>0</v>
      </c>
    </row>
    <row r="18" spans="1:24" x14ac:dyDescent="0.35">
      <c r="A18" s="3">
        <v>105.572</v>
      </c>
      <c r="B18">
        <f>'1233 P- 24 hpi'!W19</f>
        <v>2.1478419850845625</v>
      </c>
      <c r="C18">
        <f>'1233 P- 24 hpi'!X19</f>
        <v>1.0947988747324584</v>
      </c>
      <c r="E18">
        <f>'1233 P+ 24 hpi'!W19</f>
        <v>0</v>
      </c>
      <c r="F18">
        <f>'1233 P+ 24 hpi'!X19</f>
        <v>0</v>
      </c>
      <c r="H18">
        <f>'1234 P- 24 hpi'!W19</f>
        <v>0.95052745267780114</v>
      </c>
      <c r="I18">
        <f>'1234 P- 24 hpi'!X19</f>
        <v>3.8525409305105436</v>
      </c>
      <c r="K18">
        <f>'1234 P+ 24 hpi'!W19</f>
        <v>0</v>
      </c>
      <c r="L18">
        <f>'1234 P+ 24 hpi'!X19</f>
        <v>0</v>
      </c>
      <c r="N18">
        <f>'1250 P- 24 hpi'!AG19</f>
        <v>18.031481865105203</v>
      </c>
      <c r="O18">
        <f>'1250 P- 24 hpi'!AH19</f>
        <v>18.638284682212056</v>
      </c>
      <c r="Q18">
        <f>'1250 P+ 24 hpi'!W19</f>
        <v>0</v>
      </c>
      <c r="R18">
        <f>'1250 P+ 24 hpi'!X19</f>
        <v>0</v>
      </c>
      <c r="T18">
        <f>'1480 P- 24 hpi'!W19</f>
        <v>13.029617372138489</v>
      </c>
      <c r="U18">
        <f>'1480 P- 24 hpi'!X19</f>
        <v>9.9499384781841993</v>
      </c>
      <c r="W18">
        <f>'NAD003 P+ 24 hpi'!W19</f>
        <v>0</v>
      </c>
      <c r="X18">
        <f>'NAD003 P+ 24 hpi'!X19</f>
        <v>0</v>
      </c>
    </row>
    <row r="19" spans="1:24" x14ac:dyDescent="0.35">
      <c r="A19" s="3">
        <v>111.81699999999999</v>
      </c>
      <c r="B19">
        <f>'1233 P- 24 hpi'!W20</f>
        <v>2.2807165671210941</v>
      </c>
      <c r="C19">
        <f>'1233 P- 24 hpi'!X20</f>
        <v>0.93261302946498625</v>
      </c>
      <c r="E19">
        <f>'1233 P+ 24 hpi'!W20</f>
        <v>0</v>
      </c>
      <c r="F19">
        <f>'1233 P+ 24 hpi'!X20</f>
        <v>0</v>
      </c>
      <c r="H19">
        <f>'1234 P- 24 hpi'!W20</f>
        <v>1.0394914291444215</v>
      </c>
      <c r="I19">
        <f>'1234 P- 24 hpi'!X20</f>
        <v>2.9468686655409426</v>
      </c>
      <c r="K19">
        <f>'1234 P+ 24 hpi'!W20</f>
        <v>0</v>
      </c>
      <c r="L19">
        <f>'1234 P+ 24 hpi'!X20</f>
        <v>0</v>
      </c>
      <c r="N19">
        <f>'1250 P- 24 hpi'!AG20</f>
        <v>19.272466244210761</v>
      </c>
      <c r="O19">
        <f>'1250 P- 24 hpi'!AH20</f>
        <v>19.906067698856528</v>
      </c>
      <c r="Q19">
        <f>'1250 P+ 24 hpi'!W20</f>
        <v>0</v>
      </c>
      <c r="R19">
        <f>'1250 P+ 24 hpi'!X20</f>
        <v>0</v>
      </c>
      <c r="T19">
        <f>'1480 P- 24 hpi'!W20</f>
        <v>14.371404890485319</v>
      </c>
      <c r="U19">
        <f>'1480 P- 24 hpi'!X20</f>
        <v>9.1184759195738359</v>
      </c>
      <c r="W19">
        <f>'NAD003 P+ 24 hpi'!W20</f>
        <v>0</v>
      </c>
      <c r="X19">
        <f>'NAD003 P+ 24 hpi'!X20</f>
        <v>0</v>
      </c>
    </row>
    <row r="20" spans="1:24" x14ac:dyDescent="0.35">
      <c r="A20" s="3">
        <v>117.977</v>
      </c>
      <c r="B20">
        <f>'1233 P- 24 hpi'!W21</f>
        <v>2.3321809351362481</v>
      </c>
      <c r="C20">
        <f>'1233 P- 24 hpi'!X21</f>
        <v>1.0455924818514613</v>
      </c>
      <c r="E20">
        <f>'1233 P+ 24 hpi'!W21</f>
        <v>0</v>
      </c>
      <c r="F20">
        <f>'1233 P+ 24 hpi'!X21</f>
        <v>0</v>
      </c>
      <c r="H20">
        <f>'1234 P- 24 hpi'!W21</f>
        <v>1.0721099595572905</v>
      </c>
      <c r="I20">
        <f>'1234 P- 24 hpi'!X21</f>
        <v>3.4272377813768173</v>
      </c>
      <c r="K20">
        <f>'1234 P+ 24 hpi'!W21</f>
        <v>0</v>
      </c>
      <c r="L20">
        <f>'1234 P+ 24 hpi'!X21</f>
        <v>0</v>
      </c>
      <c r="N20">
        <f>'1250 P- 24 hpi'!AG21</f>
        <v>20.657784421874698</v>
      </c>
      <c r="O20">
        <f>'1250 P- 24 hpi'!AH21</f>
        <v>19.120758998421969</v>
      </c>
      <c r="Q20">
        <f>'1250 P+ 24 hpi'!W21</f>
        <v>0</v>
      </c>
      <c r="R20">
        <f>'1250 P+ 24 hpi'!X21</f>
        <v>0</v>
      </c>
      <c r="T20">
        <f>'1480 P- 24 hpi'!W21</f>
        <v>15.631467495273764</v>
      </c>
      <c r="U20">
        <f>'1480 P- 24 hpi'!X21</f>
        <v>10.647792605649553</v>
      </c>
      <c r="W20">
        <f>'NAD003 P+ 24 hpi'!W21</f>
        <v>0</v>
      </c>
      <c r="X20">
        <f>'NAD003 P+ 24 hpi'!X21</f>
        <v>0</v>
      </c>
    </row>
    <row r="21" spans="1:24" x14ac:dyDescent="0.35">
      <c r="A21" s="3">
        <v>124.10599999999999</v>
      </c>
      <c r="B21">
        <f>'1233 P- 24 hpi'!W22</f>
        <v>2.3931597295628895</v>
      </c>
      <c r="C21">
        <f>'1233 P- 24 hpi'!X22</f>
        <v>1.2785769866191334</v>
      </c>
      <c r="E21">
        <f>'1233 P+ 24 hpi'!W22</f>
        <v>0</v>
      </c>
      <c r="F21">
        <f>'1233 P+ 24 hpi'!X22</f>
        <v>0</v>
      </c>
      <c r="H21">
        <f>'1234 P- 24 hpi'!W22</f>
        <v>1.1889666704270812</v>
      </c>
      <c r="I21">
        <f>'1234 P- 24 hpi'!X22</f>
        <v>3.6021107951078006</v>
      </c>
      <c r="K21">
        <f>'1234 P+ 24 hpi'!W22</f>
        <v>0</v>
      </c>
      <c r="L21">
        <f>'1234 P+ 24 hpi'!X22</f>
        <v>0</v>
      </c>
      <c r="N21">
        <f>'1250 P- 24 hpi'!AG22</f>
        <v>21.751855916408896</v>
      </c>
      <c r="O21">
        <f>'1250 P- 24 hpi'!AH22</f>
        <v>20.689780257263063</v>
      </c>
      <c r="Q21">
        <f>'1250 P+ 24 hpi'!W22</f>
        <v>0</v>
      </c>
      <c r="R21">
        <f>'1250 P+ 24 hpi'!X22</f>
        <v>0</v>
      </c>
      <c r="T21">
        <f>'1480 P- 24 hpi'!W22</f>
        <v>16.638761005232318</v>
      </c>
      <c r="U21">
        <f>'1480 P- 24 hpi'!X22</f>
        <v>10.690877049431869</v>
      </c>
      <c r="W21">
        <f>'NAD003 P+ 24 hpi'!W22</f>
        <v>0</v>
      </c>
      <c r="X21">
        <f>'NAD003 P+ 24 hpi'!X22</f>
        <v>0</v>
      </c>
    </row>
    <row r="22" spans="1:24" x14ac:dyDescent="0.35">
      <c r="A22" s="3">
        <v>130.37799999999999</v>
      </c>
      <c r="B22">
        <f>'1233 P- 24 hpi'!W23</f>
        <v>2.5259586205388058</v>
      </c>
      <c r="C22">
        <f>'1233 P- 24 hpi'!X23</f>
        <v>1.1544988901441264</v>
      </c>
      <c r="E22">
        <f>'1233 P+ 24 hpi'!W23</f>
        <v>0</v>
      </c>
      <c r="F22">
        <f>'1233 P+ 24 hpi'!X23</f>
        <v>0</v>
      </c>
      <c r="H22">
        <f>'1234 P- 24 hpi'!W23</f>
        <v>1.2070974710065971</v>
      </c>
      <c r="I22">
        <f>'1234 P- 24 hpi'!X23</f>
        <v>3.4510939097293472</v>
      </c>
      <c r="K22">
        <f>'1234 P+ 24 hpi'!W23</f>
        <v>0</v>
      </c>
      <c r="L22">
        <f>'1234 P+ 24 hpi'!X23</f>
        <v>0</v>
      </c>
      <c r="N22">
        <f>'1250 P- 24 hpi'!AG23</f>
        <v>22.861426499144258</v>
      </c>
      <c r="O22">
        <f>'1250 P- 24 hpi'!AH23</f>
        <v>21.261428622015387</v>
      </c>
      <c r="Q22">
        <f>'1250 P+ 24 hpi'!W23</f>
        <v>0</v>
      </c>
      <c r="R22">
        <f>'1250 P+ 24 hpi'!X23</f>
        <v>0</v>
      </c>
      <c r="T22">
        <f>'1480 P- 24 hpi'!W23</f>
        <v>17.721387895545412</v>
      </c>
      <c r="U22">
        <f>'1480 P- 24 hpi'!X23</f>
        <v>11.495579039508749</v>
      </c>
      <c r="W22">
        <f>'NAD003 P+ 24 hpi'!W23</f>
        <v>0</v>
      </c>
      <c r="X22">
        <f>'NAD003 P+ 24 hpi'!X23</f>
        <v>0</v>
      </c>
    </row>
    <row r="23" spans="1:24" x14ac:dyDescent="0.35">
      <c r="A23" s="3">
        <v>136.60400000000001</v>
      </c>
      <c r="B23">
        <f>'1233 P- 24 hpi'!W24</f>
        <v>2.6171185313155823</v>
      </c>
      <c r="C23">
        <f>'1233 P- 24 hpi'!X24</f>
        <v>1.1849502086550647</v>
      </c>
      <c r="E23">
        <f>'1233 P+ 24 hpi'!W24</f>
        <v>0</v>
      </c>
      <c r="F23">
        <f>'1233 P+ 24 hpi'!X24</f>
        <v>0</v>
      </c>
      <c r="H23">
        <f>'1234 P- 24 hpi'!W24</f>
        <v>1.3414266298055411</v>
      </c>
      <c r="I23">
        <f>'1234 P- 24 hpi'!X24</f>
        <v>3.8722166656951731</v>
      </c>
      <c r="K23">
        <f>'1234 P+ 24 hpi'!W24</f>
        <v>0</v>
      </c>
      <c r="L23">
        <f>'1234 P+ 24 hpi'!X24</f>
        <v>0</v>
      </c>
      <c r="N23">
        <f>'1250 P- 24 hpi'!AG24</f>
        <v>24.023628467300068</v>
      </c>
      <c r="O23">
        <f>'1250 P- 24 hpi'!AH24</f>
        <v>21.623681363352233</v>
      </c>
      <c r="Q23">
        <f>'1250 P+ 24 hpi'!W24</f>
        <v>0</v>
      </c>
      <c r="R23">
        <f>'1250 P+ 24 hpi'!X24</f>
        <v>0</v>
      </c>
      <c r="T23">
        <f>'1480 P- 24 hpi'!W24</f>
        <v>19.109112527661008</v>
      </c>
      <c r="U23">
        <f>'1480 P- 24 hpi'!X24</f>
        <v>12.667291147090554</v>
      </c>
      <c r="W23">
        <f>'NAD003 P+ 24 hpi'!W24</f>
        <v>0</v>
      </c>
      <c r="X23">
        <f>'NAD003 P+ 24 hpi'!X24</f>
        <v>0</v>
      </c>
    </row>
    <row r="24" spans="1:24" x14ac:dyDescent="0.35">
      <c r="A24" s="3">
        <v>142.80099999999999</v>
      </c>
      <c r="B24">
        <f>'1233 P- 24 hpi'!W25</f>
        <v>2.6888224972063441</v>
      </c>
      <c r="C24">
        <f>'1233 P- 24 hpi'!X25</f>
        <v>1.255973589829309</v>
      </c>
      <c r="E24">
        <f>'1233 P+ 24 hpi'!W25</f>
        <v>0</v>
      </c>
      <c r="F24">
        <f>'1233 P+ 24 hpi'!X25</f>
        <v>0</v>
      </c>
      <c r="H24">
        <f>'1234 P- 24 hpi'!W25</f>
        <v>1.4141263489684195</v>
      </c>
      <c r="I24">
        <f>'1234 P- 24 hpi'!X25</f>
        <v>3.9569898834415831</v>
      </c>
      <c r="K24">
        <f>'1234 P+ 24 hpi'!W25</f>
        <v>0</v>
      </c>
      <c r="L24">
        <f>'1234 P+ 24 hpi'!X25</f>
        <v>0</v>
      </c>
      <c r="N24">
        <f>'1250 P- 24 hpi'!AG25</f>
        <v>25.224522936980438</v>
      </c>
      <c r="O24">
        <f>'1250 P- 24 hpi'!AH25</f>
        <v>23.194877663350624</v>
      </c>
      <c r="Q24">
        <f>'1250 P+ 24 hpi'!W25</f>
        <v>0</v>
      </c>
      <c r="R24">
        <f>'1250 P+ 24 hpi'!X25</f>
        <v>0</v>
      </c>
      <c r="T24">
        <f>'1480 P- 24 hpi'!W25</f>
        <v>20.167002941931802</v>
      </c>
      <c r="U24">
        <f>'1480 P- 24 hpi'!X25</f>
        <v>12.656831318024432</v>
      </c>
      <c r="W24">
        <f>'NAD003 P+ 24 hpi'!W25</f>
        <v>0</v>
      </c>
      <c r="X24">
        <f>'NAD003 P+ 24 hpi'!X25</f>
        <v>0</v>
      </c>
    </row>
    <row r="25" spans="1:24" x14ac:dyDescent="0.35">
      <c r="A25" s="3">
        <v>148.94900000000001</v>
      </c>
      <c r="B25">
        <f>'1233 P- 24 hpi'!W26</f>
        <v>2.7692542767567501</v>
      </c>
      <c r="C25">
        <f>'1233 P- 24 hpi'!X26</f>
        <v>1.3043601948062447</v>
      </c>
      <c r="E25">
        <f>'1233 P+ 24 hpi'!W26</f>
        <v>0</v>
      </c>
      <c r="F25">
        <f>'1233 P+ 24 hpi'!X26</f>
        <v>0</v>
      </c>
      <c r="H25">
        <f>'1234 P- 24 hpi'!W26</f>
        <v>1.5580282620073325</v>
      </c>
      <c r="I25">
        <f>'1234 P- 24 hpi'!X26</f>
        <v>4.2251122290832015</v>
      </c>
      <c r="K25">
        <f>'1234 P+ 24 hpi'!W26</f>
        <v>0</v>
      </c>
      <c r="L25">
        <f>'1234 P+ 24 hpi'!X26</f>
        <v>0</v>
      </c>
      <c r="N25">
        <f>'1250 P- 24 hpi'!AG26</f>
        <v>26.562339669164679</v>
      </c>
      <c r="O25">
        <f>'1250 P- 24 hpi'!AH26</f>
        <v>24.036964262333942</v>
      </c>
      <c r="Q25">
        <f>'1250 P+ 24 hpi'!W26</f>
        <v>0</v>
      </c>
      <c r="R25">
        <f>'1250 P+ 24 hpi'!X26</f>
        <v>0</v>
      </c>
      <c r="T25">
        <f>'1480 P- 24 hpi'!W26</f>
        <v>21.491384325444667</v>
      </c>
      <c r="U25">
        <f>'1480 P- 24 hpi'!X26</f>
        <v>13.623435147287143</v>
      </c>
      <c r="W25">
        <f>'NAD003 P+ 24 hpi'!W26</f>
        <v>0</v>
      </c>
      <c r="X25">
        <f>'NAD003 P+ 24 hpi'!X26</f>
        <v>0</v>
      </c>
    </row>
    <row r="26" spans="1:24" x14ac:dyDescent="0.35">
      <c r="A26" s="3">
        <v>155.233</v>
      </c>
      <c r="B26">
        <f>'1233 P- 24 hpi'!W27</f>
        <v>2.8931457917795105</v>
      </c>
      <c r="C26">
        <f>'1233 P- 24 hpi'!X27</f>
        <v>1.3014279766982459</v>
      </c>
      <c r="E26">
        <f>'1233 P+ 24 hpi'!W27</f>
        <v>0</v>
      </c>
      <c r="F26">
        <f>'1233 P+ 24 hpi'!X27</f>
        <v>0</v>
      </c>
      <c r="H26">
        <f>'1234 P- 24 hpi'!W27</f>
        <v>1.62719763528664</v>
      </c>
      <c r="I26">
        <f>'1234 P- 24 hpi'!X27</f>
        <v>4.8101758295897277</v>
      </c>
      <c r="K26">
        <f>'1234 P+ 24 hpi'!W27</f>
        <v>0</v>
      </c>
      <c r="L26">
        <f>'1234 P+ 24 hpi'!X27</f>
        <v>0</v>
      </c>
      <c r="N26">
        <f>'1250 P- 24 hpi'!AG27</f>
        <v>27.601088451799505</v>
      </c>
      <c r="O26">
        <f>'1250 P- 24 hpi'!AH27</f>
        <v>25.134851937598043</v>
      </c>
      <c r="Q26">
        <f>'1250 P+ 24 hpi'!W27</f>
        <v>0</v>
      </c>
      <c r="R26">
        <f>'1250 P+ 24 hpi'!X27</f>
        <v>0</v>
      </c>
      <c r="T26">
        <f>'1480 P- 24 hpi'!W27</f>
        <v>22.659375820718257</v>
      </c>
      <c r="U26">
        <f>'1480 P- 24 hpi'!X27</f>
        <v>14.102596256979769</v>
      </c>
      <c r="W26">
        <f>'NAD003 P+ 24 hpi'!W27</f>
        <v>0</v>
      </c>
      <c r="X26">
        <f>'NAD003 P+ 24 hpi'!X27</f>
        <v>0</v>
      </c>
    </row>
    <row r="27" spans="1:24" x14ac:dyDescent="0.35">
      <c r="A27" s="3">
        <v>161.44499999999999</v>
      </c>
      <c r="B27">
        <f>'1233 P- 24 hpi'!W28</f>
        <v>2.9658280242011741</v>
      </c>
      <c r="C27">
        <f>'1233 P- 24 hpi'!X28</f>
        <v>1.3244292127592749</v>
      </c>
      <c r="E27">
        <f>'1233 P+ 24 hpi'!W28</f>
        <v>0</v>
      </c>
      <c r="F27">
        <f>'1233 P+ 24 hpi'!X28</f>
        <v>0</v>
      </c>
      <c r="H27">
        <f>'1234 P- 24 hpi'!W28</f>
        <v>1.8157024324680342</v>
      </c>
      <c r="I27">
        <f>'1234 P- 24 hpi'!X28</f>
        <v>4.3192437638185641</v>
      </c>
      <c r="K27">
        <f>'1234 P+ 24 hpi'!W28</f>
        <v>0</v>
      </c>
      <c r="L27">
        <f>'1234 P+ 24 hpi'!X28</f>
        <v>0</v>
      </c>
      <c r="N27">
        <f>'1250 P- 24 hpi'!AG28</f>
        <v>28.713682890137907</v>
      </c>
      <c r="O27">
        <f>'1250 P- 24 hpi'!AH28</f>
        <v>25.460240711969657</v>
      </c>
      <c r="Q27">
        <f>'1250 P+ 24 hpi'!W28</f>
        <v>0</v>
      </c>
      <c r="R27">
        <f>'1250 P+ 24 hpi'!X28</f>
        <v>0</v>
      </c>
      <c r="T27">
        <f>'1480 P- 24 hpi'!W28</f>
        <v>23.809384592118011</v>
      </c>
      <c r="U27">
        <f>'1480 P- 24 hpi'!X28</f>
        <v>14.477659289490347</v>
      </c>
      <c r="W27">
        <f>'NAD003 P+ 24 hpi'!W28</f>
        <v>0</v>
      </c>
      <c r="X27">
        <f>'NAD003 P+ 24 hpi'!X28</f>
        <v>0</v>
      </c>
    </row>
    <row r="28" spans="1:24" x14ac:dyDescent="0.35">
      <c r="A28" s="3">
        <v>167.59</v>
      </c>
      <c r="B28">
        <f>'1233 P- 24 hpi'!W29</f>
        <v>3.0266322311523033</v>
      </c>
      <c r="C28">
        <f>'1233 P- 24 hpi'!X29</f>
        <v>1.3106651189168324</v>
      </c>
      <c r="E28">
        <f>'1233 P+ 24 hpi'!W29</f>
        <v>0</v>
      </c>
      <c r="F28">
        <f>'1233 P+ 24 hpi'!X29</f>
        <v>0</v>
      </c>
      <c r="H28">
        <f>'1234 P- 24 hpi'!W29</f>
        <v>1.9257888334542665</v>
      </c>
      <c r="I28">
        <f>'1234 P- 24 hpi'!X29</f>
        <v>4.0737126588745998</v>
      </c>
      <c r="K28">
        <f>'1234 P+ 24 hpi'!W29</f>
        <v>0</v>
      </c>
      <c r="L28">
        <f>'1234 P+ 24 hpi'!X29</f>
        <v>0</v>
      </c>
      <c r="N28">
        <f>'1250 P- 24 hpi'!AG29</f>
        <v>29.814430851167703</v>
      </c>
      <c r="O28">
        <f>'1250 P- 24 hpi'!AH29</f>
        <v>26.350949398301097</v>
      </c>
      <c r="Q28">
        <f>'1250 P+ 24 hpi'!W29</f>
        <v>0</v>
      </c>
      <c r="R28">
        <f>'1250 P+ 24 hpi'!X29</f>
        <v>0</v>
      </c>
      <c r="T28">
        <f>'1480 P- 24 hpi'!W29</f>
        <v>25.062707761576181</v>
      </c>
      <c r="U28">
        <f>'1480 P- 24 hpi'!X29</f>
        <v>13.176999036658227</v>
      </c>
      <c r="W28">
        <f>'NAD003 P+ 24 hpi'!W29</f>
        <v>0</v>
      </c>
      <c r="X28">
        <f>'NAD003 P+ 24 hpi'!X29</f>
        <v>0</v>
      </c>
    </row>
    <row r="29" spans="1:24" x14ac:dyDescent="0.35">
      <c r="A29" s="3">
        <v>173.74799999999999</v>
      </c>
      <c r="B29">
        <f>'1233 P- 24 hpi'!W30</f>
        <v>3.1485543985525135</v>
      </c>
      <c r="C29">
        <f>'1233 P- 24 hpi'!X30</f>
        <v>1.6641862314103457</v>
      </c>
      <c r="E29">
        <f>'1233 P+ 24 hpi'!W30</f>
        <v>0</v>
      </c>
      <c r="F29">
        <f>'1233 P+ 24 hpi'!X30</f>
        <v>0</v>
      </c>
      <c r="H29">
        <f>'1234 P- 24 hpi'!W30</f>
        <v>2.0337230216151645</v>
      </c>
      <c r="I29">
        <f>'1234 P- 24 hpi'!X30</f>
        <v>4.3792192645399748</v>
      </c>
      <c r="K29">
        <f>'1234 P+ 24 hpi'!W30</f>
        <v>0</v>
      </c>
      <c r="L29">
        <f>'1234 P+ 24 hpi'!X30</f>
        <v>0</v>
      </c>
      <c r="N29">
        <f>'1250 P- 24 hpi'!AG30</f>
        <v>30.874338020173429</v>
      </c>
      <c r="O29">
        <f>'1250 P- 24 hpi'!AH30</f>
        <v>26.661258887623983</v>
      </c>
      <c r="Q29">
        <f>'1250 P+ 24 hpi'!W30</f>
        <v>0</v>
      </c>
      <c r="R29">
        <f>'1250 P+ 24 hpi'!X30</f>
        <v>0</v>
      </c>
      <c r="T29">
        <f>'1480 P- 24 hpi'!W30</f>
        <v>26.030964095414816</v>
      </c>
      <c r="U29">
        <f>'1480 P- 24 hpi'!X30</f>
        <v>15.942246455738967</v>
      </c>
      <c r="W29">
        <f>'NAD003 P+ 24 hpi'!W30</f>
        <v>0</v>
      </c>
      <c r="X29">
        <f>'NAD003 P+ 24 hpi'!X30</f>
        <v>0</v>
      </c>
    </row>
    <row r="30" spans="1:24" x14ac:dyDescent="0.35">
      <c r="A30" s="3">
        <v>179.999</v>
      </c>
      <c r="B30">
        <f>'1233 P- 24 hpi'!W31</f>
        <v>3.3570854677581226</v>
      </c>
      <c r="C30">
        <f>'1233 P- 24 hpi'!X31</f>
        <v>1.4989363273181417</v>
      </c>
      <c r="E30">
        <f>'1233 P+ 24 hpi'!W31</f>
        <v>0</v>
      </c>
      <c r="F30">
        <f>'1233 P+ 24 hpi'!X31</f>
        <v>0</v>
      </c>
      <c r="H30">
        <f>'1234 P- 24 hpi'!W31</f>
        <v>2.1606128538766582</v>
      </c>
      <c r="I30">
        <f>'1234 P- 24 hpi'!X31</f>
        <v>4.5294226861216664</v>
      </c>
      <c r="K30">
        <f>'1234 P+ 24 hpi'!W31</f>
        <v>0</v>
      </c>
      <c r="L30">
        <f>'1234 P+ 24 hpi'!X31</f>
        <v>0</v>
      </c>
      <c r="N30">
        <f>'1250 P- 24 hpi'!AG31</f>
        <v>31.865768309524679</v>
      </c>
      <c r="O30">
        <f>'1250 P- 24 hpi'!AH31</f>
        <v>27.327705976631524</v>
      </c>
      <c r="Q30">
        <f>'1250 P+ 24 hpi'!W31</f>
        <v>0</v>
      </c>
      <c r="R30">
        <f>'1250 P+ 24 hpi'!X31</f>
        <v>0</v>
      </c>
      <c r="T30">
        <f>'1480 P- 24 hpi'!W31</f>
        <v>27.142386589263214</v>
      </c>
      <c r="U30">
        <f>'1480 P- 24 hpi'!X31</f>
        <v>15.894542956099672</v>
      </c>
      <c r="W30">
        <f>'NAD003 P+ 24 hpi'!W31</f>
        <v>0</v>
      </c>
      <c r="X30">
        <f>'NAD003 P+ 24 hpi'!X31</f>
        <v>0</v>
      </c>
    </row>
    <row r="31" spans="1:24" x14ac:dyDescent="0.35">
      <c r="A31" s="4">
        <v>193.20699999999999</v>
      </c>
      <c r="B31">
        <f>'1233 P- 24 hpi'!W32</f>
        <v>0.33919247303404154</v>
      </c>
      <c r="C31">
        <f>'1233 P- 24 hpi'!X32</f>
        <v>1.748273883014249</v>
      </c>
      <c r="E31">
        <f>'1233 P+ 24 hpi'!W32</f>
        <v>0</v>
      </c>
      <c r="F31">
        <f>'1233 P+ 24 hpi'!X32</f>
        <v>0</v>
      </c>
      <c r="H31">
        <f>'1234 P- 24 hpi'!W32</f>
        <v>0.35110996027556107</v>
      </c>
      <c r="I31">
        <f>'1234 P- 24 hpi'!X32</f>
        <v>1.2791135082414111</v>
      </c>
      <c r="K31">
        <f>'1234 P+ 24 hpi'!W32</f>
        <v>0</v>
      </c>
      <c r="L31">
        <f>'1234 P+ 24 hpi'!X32</f>
        <v>0</v>
      </c>
      <c r="N31">
        <f>'1250 P- 24 hpi'!AG32</f>
        <v>5.0333512067671095E-2</v>
      </c>
      <c r="O31">
        <f>'1250 P- 24 hpi'!AH32</f>
        <v>1.8598227253963717</v>
      </c>
      <c r="Q31">
        <f>'1250 P+ 24 hpi'!W32</f>
        <v>0</v>
      </c>
      <c r="R31">
        <f>'1250 P+ 24 hpi'!X32</f>
        <v>0</v>
      </c>
      <c r="T31">
        <f>'1480 P- 24 hpi'!W32</f>
        <v>0.16221092435788548</v>
      </c>
      <c r="U31">
        <f>'1480 P- 24 hpi'!X32</f>
        <v>0.56906062119473755</v>
      </c>
      <c r="W31">
        <f>'NAD003 P+ 24 hpi'!W32</f>
        <v>0</v>
      </c>
      <c r="X31">
        <f>'NAD003 P+ 24 hpi'!X32</f>
        <v>0</v>
      </c>
    </row>
    <row r="32" spans="1:24" x14ac:dyDescent="0.35">
      <c r="A32" s="3">
        <v>199.40899999999999</v>
      </c>
      <c r="B32">
        <f>'1233 P- 24 hpi'!W33</f>
        <v>0.3263546276147522</v>
      </c>
      <c r="C32">
        <f>'1233 P- 24 hpi'!X33</f>
        <v>1.5923496841063018</v>
      </c>
      <c r="E32">
        <f>'1233 P+ 24 hpi'!W33</f>
        <v>0</v>
      </c>
      <c r="F32">
        <f>'1233 P+ 24 hpi'!X33</f>
        <v>0</v>
      </c>
      <c r="H32">
        <f>'1234 P- 24 hpi'!W33</f>
        <v>0.3344826756886467</v>
      </c>
      <c r="I32">
        <f>'1234 P- 24 hpi'!X33</f>
        <v>1.265416885830144</v>
      </c>
      <c r="K32">
        <f>'1234 P+ 24 hpi'!W33</f>
        <v>0</v>
      </c>
      <c r="L32">
        <f>'1234 P+ 24 hpi'!X33</f>
        <v>0</v>
      </c>
      <c r="N32">
        <f>'1250 P- 24 hpi'!AG33</f>
        <v>4.819686345225236E-2</v>
      </c>
      <c r="O32">
        <f>'1250 P- 24 hpi'!AH33</f>
        <v>1.8553591574204298</v>
      </c>
      <c r="Q32">
        <f>'1250 P+ 24 hpi'!W33</f>
        <v>0</v>
      </c>
      <c r="R32">
        <f>'1250 P+ 24 hpi'!X33</f>
        <v>0</v>
      </c>
      <c r="T32">
        <f>'1480 P- 24 hpi'!W33</f>
        <v>0.14855062472784814</v>
      </c>
      <c r="U32">
        <f>'1480 P- 24 hpi'!X33</f>
        <v>0.59729312252757338</v>
      </c>
      <c r="W32">
        <f>'NAD003 P+ 24 hpi'!W33</f>
        <v>0</v>
      </c>
      <c r="X32">
        <f>'NAD003 P+ 24 hpi'!X33</f>
        <v>0</v>
      </c>
    </row>
    <row r="33" spans="1:24" x14ac:dyDescent="0.35">
      <c r="A33" s="3">
        <v>205.65700000000001</v>
      </c>
      <c r="B33">
        <f>'1233 P- 24 hpi'!W34</f>
        <v>0.311540659262109</v>
      </c>
      <c r="C33">
        <f>'1233 P- 24 hpi'!X34</f>
        <v>1.4682619473601293</v>
      </c>
      <c r="E33">
        <f>'1233 P+ 24 hpi'!W34</f>
        <v>0</v>
      </c>
      <c r="F33">
        <f>'1233 P+ 24 hpi'!X34</f>
        <v>0</v>
      </c>
      <c r="H33">
        <f>'1234 P- 24 hpi'!W34</f>
        <v>0.3206882009374728</v>
      </c>
      <c r="I33">
        <f>'1234 P- 24 hpi'!X34</f>
        <v>1.2379073646194079</v>
      </c>
      <c r="K33">
        <f>'1234 P+ 24 hpi'!W34</f>
        <v>0</v>
      </c>
      <c r="L33">
        <f>'1234 P+ 24 hpi'!X34</f>
        <v>0</v>
      </c>
      <c r="N33">
        <f>'1250 P- 24 hpi'!AG34</f>
        <v>4.5891064222525819E-2</v>
      </c>
      <c r="O33">
        <f>'1250 P- 24 hpi'!AH34</f>
        <v>1.7669676269755041</v>
      </c>
      <c r="Q33">
        <f>'1250 P+ 24 hpi'!W34</f>
        <v>0</v>
      </c>
      <c r="R33">
        <f>'1250 P+ 24 hpi'!X34</f>
        <v>0</v>
      </c>
      <c r="T33">
        <f>'1480 P- 24 hpi'!W34</f>
        <v>0.13703618698891959</v>
      </c>
      <c r="U33">
        <f>'1480 P- 24 hpi'!X34</f>
        <v>0.55763642695130167</v>
      </c>
      <c r="W33">
        <f>'NAD003 P+ 24 hpi'!W34</f>
        <v>0</v>
      </c>
      <c r="X33">
        <f>'NAD003 P+ 24 hpi'!X34</f>
        <v>0</v>
      </c>
    </row>
    <row r="34" spans="1:24" x14ac:dyDescent="0.35">
      <c r="A34" s="3">
        <v>211.864</v>
      </c>
      <c r="B34">
        <f>'1233 P- 24 hpi'!W35</f>
        <v>0.30046426186993169</v>
      </c>
      <c r="C34">
        <f>'1233 P- 24 hpi'!X35</f>
        <v>1.4097119069599235</v>
      </c>
      <c r="E34">
        <f>'1233 P+ 24 hpi'!W35</f>
        <v>0</v>
      </c>
      <c r="F34">
        <f>'1233 P+ 24 hpi'!X35</f>
        <v>0</v>
      </c>
      <c r="H34">
        <f>'1234 P- 24 hpi'!W35</f>
        <v>0.30951356208857711</v>
      </c>
      <c r="I34">
        <f>'1234 P- 24 hpi'!X35</f>
        <v>1.2437076699387821</v>
      </c>
      <c r="K34">
        <f>'1234 P+ 24 hpi'!W35</f>
        <v>0</v>
      </c>
      <c r="L34">
        <f>'1234 P+ 24 hpi'!X35</f>
        <v>0</v>
      </c>
      <c r="N34">
        <f>'1250 P- 24 hpi'!AG35</f>
        <v>4.4536622800765771E-2</v>
      </c>
      <c r="O34">
        <f>'1250 P- 24 hpi'!AH35</f>
        <v>1.7066303275148398</v>
      </c>
      <c r="Q34">
        <f>'1250 P+ 24 hpi'!W35</f>
        <v>0</v>
      </c>
      <c r="R34">
        <f>'1250 P+ 24 hpi'!X35</f>
        <v>0</v>
      </c>
      <c r="T34">
        <f>'1480 P- 24 hpi'!W35</f>
        <v>0.13065301806105339</v>
      </c>
      <c r="U34">
        <f>'1480 P- 24 hpi'!X35</f>
        <v>0.56604450629879099</v>
      </c>
      <c r="W34">
        <f>'NAD003 P+ 24 hpi'!W35</f>
        <v>0</v>
      </c>
      <c r="X34">
        <f>'NAD003 P+ 24 hpi'!X35</f>
        <v>0</v>
      </c>
    </row>
    <row r="35" spans="1:24" x14ac:dyDescent="0.35">
      <c r="A35" s="3">
        <v>217.958</v>
      </c>
      <c r="B35">
        <f>'1233 P- 24 hpi'!W36</f>
        <v>0.29025943540388743</v>
      </c>
      <c r="C35">
        <f>'1233 P- 24 hpi'!X36</f>
        <v>1.366817910389077</v>
      </c>
      <c r="E35">
        <f>'1233 P+ 24 hpi'!W36</f>
        <v>0</v>
      </c>
      <c r="F35">
        <f>'1233 P+ 24 hpi'!X36</f>
        <v>0</v>
      </c>
      <c r="H35">
        <f>'1234 P- 24 hpi'!W36</f>
        <v>0.30139386580565258</v>
      </c>
      <c r="I35">
        <f>'1234 P- 24 hpi'!X36</f>
        <v>1.230289540775642</v>
      </c>
      <c r="K35">
        <f>'1234 P+ 24 hpi'!W36</f>
        <v>0</v>
      </c>
      <c r="L35">
        <f>'1234 P+ 24 hpi'!X36</f>
        <v>0</v>
      </c>
      <c r="N35">
        <f>'1250 P- 24 hpi'!AG36</f>
        <v>4.3584618631045666E-2</v>
      </c>
      <c r="O35">
        <f>'1250 P- 24 hpi'!AH36</f>
        <v>1.659476357920344</v>
      </c>
      <c r="Q35">
        <f>'1250 P+ 24 hpi'!W36</f>
        <v>0</v>
      </c>
      <c r="R35">
        <f>'1250 P+ 24 hpi'!X36</f>
        <v>0</v>
      </c>
      <c r="T35">
        <f>'1480 P- 24 hpi'!W36</f>
        <v>0.1246389250804521</v>
      </c>
      <c r="U35">
        <f>'1480 P- 24 hpi'!X36</f>
        <v>0.53579523867942658</v>
      </c>
      <c r="W35">
        <f>'NAD003 P+ 24 hpi'!W36</f>
        <v>0</v>
      </c>
      <c r="X35">
        <f>'NAD003 P+ 24 hpi'!X36</f>
        <v>0</v>
      </c>
    </row>
    <row r="36" spans="1:24" x14ac:dyDescent="0.35">
      <c r="A36" s="3">
        <v>224.30799999999999</v>
      </c>
      <c r="B36">
        <f>'1233 P- 24 hpi'!W37</f>
        <v>0.28184019814889927</v>
      </c>
      <c r="C36">
        <f>'1233 P- 24 hpi'!X37</f>
        <v>1.3282264241323127</v>
      </c>
      <c r="E36">
        <f>'1233 P+ 24 hpi'!W37</f>
        <v>0</v>
      </c>
      <c r="F36">
        <f>'1233 P+ 24 hpi'!X37</f>
        <v>0</v>
      </c>
      <c r="H36">
        <f>'1234 P- 24 hpi'!W37</f>
        <v>0.29311897521387426</v>
      </c>
      <c r="I36">
        <f>'1234 P- 24 hpi'!X37</f>
        <v>1.2129662200917781</v>
      </c>
      <c r="K36">
        <f>'1234 P+ 24 hpi'!W37</f>
        <v>0</v>
      </c>
      <c r="L36">
        <f>'1234 P+ 24 hpi'!X37</f>
        <v>0</v>
      </c>
      <c r="N36">
        <f>'1250 P- 24 hpi'!AG37</f>
        <v>4.2874918608452876E-2</v>
      </c>
      <c r="O36">
        <f>'1250 P- 24 hpi'!AH37</f>
        <v>1.640947139520526</v>
      </c>
      <c r="Q36">
        <f>'1250 P+ 24 hpi'!W37</f>
        <v>0</v>
      </c>
      <c r="R36">
        <f>'1250 P+ 24 hpi'!X37</f>
        <v>0</v>
      </c>
      <c r="T36">
        <f>'1480 P- 24 hpi'!W37</f>
        <v>0.11831627696246064</v>
      </c>
      <c r="U36">
        <f>'1480 P- 24 hpi'!X37</f>
        <v>0.53592813170570974</v>
      </c>
      <c r="W36">
        <f>'NAD003 P+ 24 hpi'!W37</f>
        <v>0</v>
      </c>
      <c r="X36">
        <f>'NAD003 P+ 24 hpi'!X37</f>
        <v>0</v>
      </c>
    </row>
    <row r="37" spans="1:24" x14ac:dyDescent="0.35">
      <c r="A37" s="3">
        <v>230.453</v>
      </c>
      <c r="B37">
        <f>'1233 P- 24 hpi'!W38</f>
        <v>0.27298534075648051</v>
      </c>
      <c r="C37">
        <f>'1233 P- 24 hpi'!X38</f>
        <v>1.2876872559888652</v>
      </c>
      <c r="E37">
        <f>'1233 P+ 24 hpi'!W38</f>
        <v>0</v>
      </c>
      <c r="F37">
        <f>'1233 P+ 24 hpi'!X38</f>
        <v>0</v>
      </c>
      <c r="H37">
        <f>'1234 P- 24 hpi'!W38</f>
        <v>0.28697156219645831</v>
      </c>
      <c r="I37">
        <f>'1234 P- 24 hpi'!X38</f>
        <v>1.2137361164077121</v>
      </c>
      <c r="K37">
        <f>'1234 P+ 24 hpi'!W38</f>
        <v>0</v>
      </c>
      <c r="L37">
        <f>'1234 P+ 24 hpi'!X38</f>
        <v>0</v>
      </c>
      <c r="N37">
        <f>'1250 P- 24 hpi'!AG38</f>
        <v>4.1667042308579878E-2</v>
      </c>
      <c r="O37">
        <f>'1250 P- 24 hpi'!AH38</f>
        <v>1.5961335217973769</v>
      </c>
      <c r="Q37">
        <f>'1250 P+ 24 hpi'!W38</f>
        <v>0</v>
      </c>
      <c r="R37">
        <f>'1250 P+ 24 hpi'!X38</f>
        <v>0</v>
      </c>
      <c r="T37">
        <f>'1480 P- 24 hpi'!W38</f>
        <v>0.11424797282406367</v>
      </c>
      <c r="U37">
        <f>'1480 P- 24 hpi'!X38</f>
        <v>0.54498460908020596</v>
      </c>
      <c r="W37">
        <f>'NAD003 P+ 24 hpi'!W38</f>
        <v>0</v>
      </c>
      <c r="X37">
        <f>'NAD003 P+ 24 hpi'!X38</f>
        <v>0</v>
      </c>
    </row>
    <row r="38" spans="1:24" x14ac:dyDescent="0.35">
      <c r="A38" s="3">
        <v>236.73099999999999</v>
      </c>
      <c r="B38">
        <f>'1233 P- 24 hpi'!W39</f>
        <v>0.26635147755050786</v>
      </c>
      <c r="C38">
        <f>'1233 P- 24 hpi'!X39</f>
        <v>1.2686438688789301</v>
      </c>
      <c r="E38">
        <f>'1233 P+ 24 hpi'!W39</f>
        <v>0</v>
      </c>
      <c r="F38">
        <f>'1233 P+ 24 hpi'!X39</f>
        <v>0</v>
      </c>
      <c r="H38">
        <f>'1234 P- 24 hpi'!W39</f>
        <v>0.28128412644397915</v>
      </c>
      <c r="I38">
        <f>'1234 P- 24 hpi'!X39</f>
        <v>1.218349353838827</v>
      </c>
      <c r="K38">
        <f>'1234 P+ 24 hpi'!W39</f>
        <v>0</v>
      </c>
      <c r="L38">
        <f>'1234 P+ 24 hpi'!X39</f>
        <v>0</v>
      </c>
      <c r="N38">
        <f>'1250 P- 24 hpi'!AG39</f>
        <v>4.1210534612458952E-2</v>
      </c>
      <c r="O38">
        <f>'1250 P- 24 hpi'!AH39</f>
        <v>1.5679764479344913</v>
      </c>
      <c r="Q38">
        <f>'1250 P+ 24 hpi'!W39</f>
        <v>0</v>
      </c>
      <c r="R38">
        <f>'1250 P+ 24 hpi'!X39</f>
        <v>0</v>
      </c>
      <c r="T38">
        <f>'1480 P- 24 hpi'!W39</f>
        <v>0.10994413963291075</v>
      </c>
      <c r="U38">
        <f>'1480 P- 24 hpi'!X39</f>
        <v>0.54042787315039431</v>
      </c>
      <c r="W38">
        <f>'NAD003 P+ 24 hpi'!W39</f>
        <v>0</v>
      </c>
      <c r="X38">
        <f>'NAD003 P+ 24 hpi'!X39</f>
        <v>0</v>
      </c>
    </row>
    <row r="39" spans="1:24" x14ac:dyDescent="0.35">
      <c r="A39" s="3">
        <v>242.83</v>
      </c>
      <c r="B39">
        <f>'1233 P- 24 hpi'!W40</f>
        <v>0.26019691009280432</v>
      </c>
      <c r="C39">
        <f>'1233 P- 24 hpi'!X40</f>
        <v>1.2571073724662087</v>
      </c>
      <c r="E39">
        <f>'1233 P+ 24 hpi'!W40</f>
        <v>0</v>
      </c>
      <c r="F39">
        <f>'1233 P+ 24 hpi'!X40</f>
        <v>0</v>
      </c>
      <c r="H39">
        <f>'1234 P- 24 hpi'!W40</f>
        <v>0.2759146971241439</v>
      </c>
      <c r="I39">
        <f>'1234 P- 24 hpi'!X40</f>
        <v>1.2164659551092982</v>
      </c>
      <c r="K39">
        <f>'1234 P+ 24 hpi'!W40</f>
        <v>0</v>
      </c>
      <c r="L39">
        <f>'1234 P+ 24 hpi'!X40</f>
        <v>0</v>
      </c>
      <c r="N39">
        <f>'1250 P- 24 hpi'!AG40</f>
        <v>4.0616798901465939E-2</v>
      </c>
      <c r="O39">
        <f>'1250 P- 24 hpi'!AH40</f>
        <v>1.551778834282445</v>
      </c>
      <c r="Q39">
        <f>'1250 P+ 24 hpi'!W40</f>
        <v>0</v>
      </c>
      <c r="R39">
        <f>'1250 P+ 24 hpi'!X40</f>
        <v>0</v>
      </c>
      <c r="T39">
        <f>'1480 P- 24 hpi'!W40</f>
        <v>0.10592202804428973</v>
      </c>
      <c r="U39">
        <f>'1480 P- 24 hpi'!X40</f>
        <v>0.53588129075158897</v>
      </c>
      <c r="W39">
        <f>'NAD003 P+ 24 hpi'!W40</f>
        <v>0</v>
      </c>
      <c r="X39">
        <f>'NAD003 P+ 24 hpi'!X40</f>
        <v>0</v>
      </c>
    </row>
    <row r="40" spans="1:24" x14ac:dyDescent="0.35">
      <c r="A40" s="3">
        <v>249.16</v>
      </c>
      <c r="B40">
        <f>'1233 P- 24 hpi'!W41</f>
        <v>0.25470593706071543</v>
      </c>
      <c r="C40">
        <f>'1233 P- 24 hpi'!X41</f>
        <v>1.2473518669314512</v>
      </c>
      <c r="E40">
        <f>'1233 P+ 24 hpi'!W41</f>
        <v>0</v>
      </c>
      <c r="F40">
        <f>'1233 P+ 24 hpi'!X41</f>
        <v>0</v>
      </c>
      <c r="H40">
        <f>'1234 P- 24 hpi'!W41</f>
        <v>0.27093172483463651</v>
      </c>
      <c r="I40">
        <f>'1234 P- 24 hpi'!X41</f>
        <v>1.2128030331049584</v>
      </c>
      <c r="K40">
        <f>'1234 P+ 24 hpi'!W41</f>
        <v>0</v>
      </c>
      <c r="L40">
        <f>'1234 P+ 24 hpi'!X41</f>
        <v>0</v>
      </c>
      <c r="N40">
        <f>'1250 P- 24 hpi'!AG41</f>
        <v>3.9493958886346069E-2</v>
      </c>
      <c r="O40">
        <f>'1250 P- 24 hpi'!AH41</f>
        <v>1.5131407547347653</v>
      </c>
      <c r="Q40">
        <f>'1250 P+ 24 hpi'!W41</f>
        <v>0</v>
      </c>
      <c r="R40">
        <f>'1250 P+ 24 hpi'!X41</f>
        <v>0</v>
      </c>
      <c r="T40">
        <f>'1480 P- 24 hpi'!W41</f>
        <v>0.10205662521305005</v>
      </c>
      <c r="U40">
        <f>'1480 P- 24 hpi'!X41</f>
        <v>0.51570286613592808</v>
      </c>
      <c r="W40">
        <f>'NAD003 P+ 24 hpi'!W41</f>
        <v>0</v>
      </c>
      <c r="X40">
        <f>'NAD003 P+ 24 hpi'!X41</f>
        <v>0</v>
      </c>
    </row>
    <row r="41" spans="1:24" x14ac:dyDescent="0.35">
      <c r="A41" s="4">
        <v>262.286</v>
      </c>
      <c r="B41">
        <f>'1233 P- 24 hpi'!W42</f>
        <v>3.7608804082575773</v>
      </c>
      <c r="C41">
        <f>'1233 P- 24 hpi'!X42</f>
        <v>4.3522914095172931</v>
      </c>
      <c r="E41">
        <f>'1233 P+ 24 hpi'!W42</f>
        <v>0</v>
      </c>
      <c r="F41">
        <f>'1233 P+ 24 hpi'!X42</f>
        <v>0</v>
      </c>
      <c r="H41">
        <f>'1234 P- 24 hpi'!W42</f>
        <v>1.4587915372333233</v>
      </c>
      <c r="I41">
        <f>'1234 P- 24 hpi'!X42</f>
        <v>4.3157061505123213</v>
      </c>
      <c r="K41">
        <f>'1234 P+ 24 hpi'!W42</f>
        <v>0</v>
      </c>
      <c r="L41">
        <f>'1234 P+ 24 hpi'!X42</f>
        <v>0</v>
      </c>
      <c r="N41">
        <f>'1250 P- 24 hpi'!AG42</f>
        <v>4.4108928130454315</v>
      </c>
      <c r="O41">
        <f>'1250 P- 24 hpi'!AH42</f>
        <v>4.4146450658889771</v>
      </c>
      <c r="Q41">
        <f>'1250 P+ 24 hpi'!W42</f>
        <v>0</v>
      </c>
      <c r="R41">
        <f>'1250 P+ 24 hpi'!X42</f>
        <v>0</v>
      </c>
      <c r="T41">
        <f>'1480 P- 24 hpi'!W42</f>
        <v>14.553198775924034</v>
      </c>
      <c r="U41">
        <f>'1480 P- 24 hpi'!X42</f>
        <v>5.6129689883941767</v>
      </c>
      <c r="W41">
        <f>'NAD003 P+ 24 hpi'!W42</f>
        <v>0</v>
      </c>
      <c r="X41">
        <f>'NAD003 P+ 24 hpi'!X42</f>
        <v>0</v>
      </c>
    </row>
    <row r="42" spans="1:24" x14ac:dyDescent="0.35">
      <c r="A42" s="3">
        <v>268.49799999999999</v>
      </c>
      <c r="B42">
        <f>'1233 P- 24 hpi'!W43</f>
        <v>3.7178931514211775</v>
      </c>
      <c r="C42">
        <f>'1233 P- 24 hpi'!X43</f>
        <v>5.0333449751364796</v>
      </c>
      <c r="E42">
        <f>'1233 P+ 24 hpi'!W43</f>
        <v>0</v>
      </c>
      <c r="F42">
        <f>'1233 P+ 24 hpi'!X43</f>
        <v>0</v>
      </c>
      <c r="H42">
        <f>'1234 P- 24 hpi'!W43</f>
        <v>1.674206791176575</v>
      </c>
      <c r="I42">
        <f>'1234 P- 24 hpi'!X43</f>
        <v>5.4541680396740269</v>
      </c>
      <c r="K42">
        <f>'1234 P+ 24 hpi'!W43</f>
        <v>0</v>
      </c>
      <c r="L42">
        <f>'1234 P+ 24 hpi'!X43</f>
        <v>0</v>
      </c>
      <c r="N42">
        <f>'1250 P- 24 hpi'!AG43</f>
        <v>5.3353052058316006</v>
      </c>
      <c r="O42">
        <f>'1250 P- 24 hpi'!AH43</f>
        <v>5.580413228296</v>
      </c>
      <c r="Q42">
        <f>'1250 P+ 24 hpi'!W43</f>
        <v>0</v>
      </c>
      <c r="R42">
        <f>'1250 P+ 24 hpi'!X43</f>
        <v>0</v>
      </c>
      <c r="T42">
        <f>'1480 P- 24 hpi'!W43</f>
        <v>15.822490813122048</v>
      </c>
      <c r="U42">
        <f>'1480 P- 24 hpi'!X43</f>
        <v>5.516275968333316</v>
      </c>
      <c r="W42">
        <f>'NAD003 P+ 24 hpi'!W43</f>
        <v>0</v>
      </c>
      <c r="X42">
        <f>'NAD003 P+ 24 hpi'!X43</f>
        <v>0</v>
      </c>
    </row>
    <row r="43" spans="1:24" x14ac:dyDescent="0.35">
      <c r="A43" s="3">
        <v>274.608</v>
      </c>
      <c r="B43">
        <f>'1233 P- 24 hpi'!W44</f>
        <v>3.7902988657908248</v>
      </c>
      <c r="C43">
        <f>'1233 P- 24 hpi'!X44</f>
        <v>4.657028623091672</v>
      </c>
      <c r="E43">
        <f>'1233 P+ 24 hpi'!W44</f>
        <v>0</v>
      </c>
      <c r="F43">
        <f>'1233 P+ 24 hpi'!X44</f>
        <v>0</v>
      </c>
      <c r="H43">
        <f>'1234 P- 24 hpi'!W44</f>
        <v>1.8071915008822557</v>
      </c>
      <c r="I43">
        <f>'1234 P- 24 hpi'!X44</f>
        <v>5.0397691405317184</v>
      </c>
      <c r="K43">
        <f>'1234 P+ 24 hpi'!W44</f>
        <v>0</v>
      </c>
      <c r="L43">
        <f>'1234 P+ 24 hpi'!X44</f>
        <v>0</v>
      </c>
      <c r="N43">
        <f>'1250 P- 24 hpi'!AG44</f>
        <v>6.1714038754620058</v>
      </c>
      <c r="O43">
        <f>'1250 P- 24 hpi'!AH44</f>
        <v>6.4806753727995368</v>
      </c>
      <c r="Q43">
        <f>'1250 P+ 24 hpi'!W44</f>
        <v>0</v>
      </c>
      <c r="R43">
        <f>'1250 P+ 24 hpi'!X44</f>
        <v>0</v>
      </c>
      <c r="T43">
        <f>'1480 P- 24 hpi'!W44</f>
        <v>17.016494346918169</v>
      </c>
      <c r="U43">
        <f>'1480 P- 24 hpi'!X44</f>
        <v>5.387316394041167</v>
      </c>
      <c r="W43">
        <f>'NAD003 P+ 24 hpi'!W44</f>
        <v>0</v>
      </c>
      <c r="X43">
        <f>'NAD003 P+ 24 hpi'!X44</f>
        <v>0</v>
      </c>
    </row>
    <row r="44" spans="1:24" x14ac:dyDescent="0.35">
      <c r="A44" s="3">
        <v>280.779</v>
      </c>
      <c r="B44">
        <f>'1233 P- 24 hpi'!W45</f>
        <v>3.7609708454654096</v>
      </c>
      <c r="C44">
        <f>'1233 P- 24 hpi'!X45</f>
        <v>4.1163101736440533</v>
      </c>
      <c r="E44">
        <f>'1233 P+ 24 hpi'!W45</f>
        <v>0</v>
      </c>
      <c r="F44">
        <f>'1233 P+ 24 hpi'!X45</f>
        <v>0</v>
      </c>
      <c r="H44">
        <f>'1234 P- 24 hpi'!W45</f>
        <v>2.0343795892014866</v>
      </c>
      <c r="I44">
        <f>'1234 P- 24 hpi'!X45</f>
        <v>5.5952781412016526</v>
      </c>
      <c r="K44">
        <f>'1234 P+ 24 hpi'!W45</f>
        <v>0</v>
      </c>
      <c r="L44">
        <f>'1234 P+ 24 hpi'!X45</f>
        <v>0</v>
      </c>
      <c r="N44">
        <f>'1250 P- 24 hpi'!AG45</f>
        <v>7.0901760878727282</v>
      </c>
      <c r="O44">
        <f>'1250 P- 24 hpi'!AH45</f>
        <v>7.0820322326181744</v>
      </c>
      <c r="Q44">
        <f>'1250 P+ 24 hpi'!W45</f>
        <v>0</v>
      </c>
      <c r="R44">
        <f>'1250 P+ 24 hpi'!X45</f>
        <v>0</v>
      </c>
      <c r="T44">
        <f>'1480 P- 24 hpi'!W45</f>
        <v>18.28271951570925</v>
      </c>
      <c r="U44">
        <f>'1480 P- 24 hpi'!X45</f>
        <v>5.3619688442126554</v>
      </c>
      <c r="W44">
        <f>'NAD003 P+ 24 hpi'!W45</f>
        <v>0</v>
      </c>
      <c r="X44">
        <f>'NAD003 P+ 24 hpi'!X45</f>
        <v>0</v>
      </c>
    </row>
    <row r="45" spans="1:24" x14ac:dyDescent="0.35">
      <c r="A45" s="3">
        <v>287.00099999999998</v>
      </c>
      <c r="B45">
        <f>'1233 P- 24 hpi'!W46</f>
        <v>3.7925387765657108</v>
      </c>
      <c r="C45">
        <f>'1233 P- 24 hpi'!X46</f>
        <v>3.8775372260436991</v>
      </c>
      <c r="E45">
        <f>'1233 P+ 24 hpi'!W46</f>
        <v>0</v>
      </c>
      <c r="F45">
        <f>'1233 P+ 24 hpi'!X46</f>
        <v>0</v>
      </c>
      <c r="H45">
        <f>'1234 P- 24 hpi'!W46</f>
        <v>2.1970268813903688</v>
      </c>
      <c r="I45">
        <f>'1234 P- 24 hpi'!X46</f>
        <v>5.6443333867809029</v>
      </c>
      <c r="K45">
        <f>'1234 P+ 24 hpi'!W46</f>
        <v>0</v>
      </c>
      <c r="L45">
        <f>'1234 P+ 24 hpi'!X46</f>
        <v>0</v>
      </c>
      <c r="N45">
        <f>'1250 P- 24 hpi'!AG46</f>
        <v>7.8827467321994744</v>
      </c>
      <c r="O45">
        <f>'1250 P- 24 hpi'!AH46</f>
        <v>7.7433105775178257</v>
      </c>
      <c r="Q45">
        <f>'1250 P+ 24 hpi'!W46</f>
        <v>0</v>
      </c>
      <c r="R45">
        <f>'1250 P+ 24 hpi'!X46</f>
        <v>0</v>
      </c>
      <c r="T45">
        <f>'1480 P- 24 hpi'!W46</f>
        <v>19.626116985640035</v>
      </c>
      <c r="U45">
        <f>'1480 P- 24 hpi'!X46</f>
        <v>6.1765786237739011</v>
      </c>
      <c r="W45">
        <f>'NAD003 P+ 24 hpi'!W46</f>
        <v>0</v>
      </c>
      <c r="X45">
        <f>'NAD003 P+ 24 hpi'!X46</f>
        <v>0</v>
      </c>
    </row>
    <row r="46" spans="1:24" x14ac:dyDescent="0.35">
      <c r="A46" s="3">
        <v>293.27300000000002</v>
      </c>
      <c r="B46">
        <f>'1233 P- 24 hpi'!W47</f>
        <v>3.8144459858733732</v>
      </c>
      <c r="C46">
        <f>'1233 P- 24 hpi'!X47</f>
        <v>3.9440534804305294</v>
      </c>
      <c r="E46">
        <f>'1233 P+ 24 hpi'!W47</f>
        <v>0</v>
      </c>
      <c r="F46">
        <f>'1233 P+ 24 hpi'!X47</f>
        <v>0</v>
      </c>
      <c r="H46">
        <f>'1234 P- 24 hpi'!W47</f>
        <v>2.3360620955492455</v>
      </c>
      <c r="I46">
        <f>'1234 P- 24 hpi'!X47</f>
        <v>6.006499472903835</v>
      </c>
      <c r="K46">
        <f>'1234 P+ 24 hpi'!W47</f>
        <v>0</v>
      </c>
      <c r="L46">
        <f>'1234 P+ 24 hpi'!X47</f>
        <v>0</v>
      </c>
      <c r="N46">
        <f>'1250 P- 24 hpi'!AG47</f>
        <v>8.8165464920468697</v>
      </c>
      <c r="O46">
        <f>'1250 P- 24 hpi'!AH47</f>
        <v>8.3331945325959893</v>
      </c>
      <c r="Q46">
        <f>'1250 P+ 24 hpi'!W47</f>
        <v>0</v>
      </c>
      <c r="R46">
        <f>'1250 P+ 24 hpi'!X47</f>
        <v>0</v>
      </c>
      <c r="T46">
        <f>'1480 P- 24 hpi'!W47</f>
        <v>20.301454617913151</v>
      </c>
      <c r="U46">
        <f>'1480 P- 24 hpi'!X47</f>
        <v>4.6463469414982521</v>
      </c>
      <c r="W46">
        <f>'NAD003 P+ 24 hpi'!W47</f>
        <v>0</v>
      </c>
      <c r="X46">
        <f>'NAD003 P+ 24 hpi'!X47</f>
        <v>0</v>
      </c>
    </row>
    <row r="47" spans="1:24" x14ac:dyDescent="0.35">
      <c r="A47" s="3">
        <v>299.46699999999998</v>
      </c>
      <c r="B47">
        <f>'1233 P- 24 hpi'!W48</f>
        <v>3.8240296262092279</v>
      </c>
      <c r="C47">
        <f>'1233 P- 24 hpi'!X48</f>
        <v>4.0593791774921373</v>
      </c>
      <c r="E47">
        <f>'1233 P+ 24 hpi'!W48</f>
        <v>0</v>
      </c>
      <c r="F47">
        <f>'1233 P+ 24 hpi'!X48</f>
        <v>0</v>
      </c>
      <c r="H47">
        <f>'1234 P- 24 hpi'!W48</f>
        <v>2.4045572299774056</v>
      </c>
      <c r="I47">
        <f>'1234 P- 24 hpi'!X48</f>
        <v>6.3501901251928654</v>
      </c>
      <c r="K47">
        <f>'1234 P+ 24 hpi'!W48</f>
        <v>0</v>
      </c>
      <c r="L47">
        <f>'1234 P+ 24 hpi'!X48</f>
        <v>0</v>
      </c>
      <c r="N47">
        <f>'1250 P- 24 hpi'!AG48</f>
        <v>9.6552671930176412</v>
      </c>
      <c r="O47">
        <f>'1250 P- 24 hpi'!AH48</f>
        <v>9.1900996809357309</v>
      </c>
      <c r="Q47">
        <f>'1250 P+ 24 hpi'!W48</f>
        <v>0</v>
      </c>
      <c r="R47">
        <f>'1250 P+ 24 hpi'!X48</f>
        <v>0</v>
      </c>
      <c r="T47">
        <f>'1480 P- 24 hpi'!W48</f>
        <v>21.093337119608968</v>
      </c>
      <c r="U47">
        <f>'1480 P- 24 hpi'!X48</f>
        <v>6.6908530141891154</v>
      </c>
      <c r="W47">
        <f>'NAD003 P+ 24 hpi'!W48</f>
        <v>0</v>
      </c>
      <c r="X47">
        <f>'NAD003 P+ 24 hpi'!X48</f>
        <v>0</v>
      </c>
    </row>
    <row r="48" spans="1:24" x14ac:dyDescent="0.35">
      <c r="A48" s="3">
        <v>305.70800000000003</v>
      </c>
      <c r="B48">
        <f>'1233 P- 24 hpi'!W49</f>
        <v>3.8240759221737255</v>
      </c>
      <c r="C48">
        <f>'1233 P- 24 hpi'!X49</f>
        <v>4.3159022358116292</v>
      </c>
      <c r="E48">
        <f>'1233 P+ 24 hpi'!W49</f>
        <v>0</v>
      </c>
      <c r="F48">
        <f>'1233 P+ 24 hpi'!X49</f>
        <v>0</v>
      </c>
      <c r="H48">
        <f>'1234 P- 24 hpi'!W49</f>
        <v>2.4638393019492013</v>
      </c>
      <c r="I48">
        <f>'1234 P- 24 hpi'!X49</f>
        <v>7.0017712221106825</v>
      </c>
      <c r="K48">
        <f>'1234 P+ 24 hpi'!W49</f>
        <v>0</v>
      </c>
      <c r="L48">
        <f>'1234 P+ 24 hpi'!X49</f>
        <v>0</v>
      </c>
      <c r="N48">
        <f>'1250 P- 24 hpi'!AG49</f>
        <v>10.546409755490432</v>
      </c>
      <c r="O48">
        <f>'1250 P- 24 hpi'!AH49</f>
        <v>10.250498853611388</v>
      </c>
      <c r="Q48">
        <f>'1250 P+ 24 hpi'!W49</f>
        <v>0</v>
      </c>
      <c r="R48">
        <f>'1250 P+ 24 hpi'!X49</f>
        <v>0</v>
      </c>
      <c r="T48">
        <f>'1480 P- 24 hpi'!W49</f>
        <v>21.574795654218232</v>
      </c>
      <c r="U48">
        <f>'1480 P- 24 hpi'!X49</f>
        <v>6.2972261094651589</v>
      </c>
      <c r="W48">
        <f>'NAD003 P+ 24 hpi'!W49</f>
        <v>0</v>
      </c>
      <c r="X48">
        <f>'NAD003 P+ 24 hpi'!X49</f>
        <v>0</v>
      </c>
    </row>
    <row r="49" spans="1:24" x14ac:dyDescent="0.35">
      <c r="A49" s="3">
        <v>311.89499999999998</v>
      </c>
      <c r="B49">
        <f>'1233 P- 24 hpi'!W50</f>
        <v>3.7511046575305298</v>
      </c>
      <c r="C49">
        <f>'1233 P- 24 hpi'!X50</f>
        <v>4.1548470260238792</v>
      </c>
      <c r="E49">
        <f>'1233 P+ 24 hpi'!W50</f>
        <v>0</v>
      </c>
      <c r="F49">
        <f>'1233 P+ 24 hpi'!X50</f>
        <v>0</v>
      </c>
      <c r="H49">
        <f>'1234 P- 24 hpi'!W50</f>
        <v>2.5520159832988156</v>
      </c>
      <c r="I49">
        <f>'1234 P- 24 hpi'!X50</f>
        <v>7.2758615038378025</v>
      </c>
      <c r="K49">
        <f>'1234 P+ 24 hpi'!W50</f>
        <v>0</v>
      </c>
      <c r="L49">
        <f>'1234 P+ 24 hpi'!X50</f>
        <v>0</v>
      </c>
      <c r="N49">
        <f>'1250 P- 24 hpi'!AG50</f>
        <v>11.44356254320693</v>
      </c>
      <c r="O49">
        <f>'1250 P- 24 hpi'!AH50</f>
        <v>11.493402182293369</v>
      </c>
      <c r="Q49">
        <f>'1250 P+ 24 hpi'!W50</f>
        <v>0</v>
      </c>
      <c r="R49">
        <f>'1250 P+ 24 hpi'!X50</f>
        <v>0</v>
      </c>
      <c r="T49">
        <f>'1480 P- 24 hpi'!W50</f>
        <v>22.257367115403376</v>
      </c>
      <c r="U49">
        <f>'1480 P- 24 hpi'!X50</f>
        <v>6.8956955995032496</v>
      </c>
      <c r="W49">
        <f>'NAD003 P+ 24 hpi'!W50</f>
        <v>0</v>
      </c>
      <c r="X49">
        <f>'NAD003 P+ 24 hpi'!X50</f>
        <v>0</v>
      </c>
    </row>
    <row r="50" spans="1:24" x14ac:dyDescent="0.35">
      <c r="A50" s="3">
        <v>318.09899999999999</v>
      </c>
      <c r="B50">
        <f>'1233 P- 24 hpi'!W51</f>
        <v>3.6796201925094727</v>
      </c>
      <c r="C50">
        <f>'1233 P- 24 hpi'!X51</f>
        <v>4.21268015829519</v>
      </c>
      <c r="E50">
        <f>'1233 P+ 24 hpi'!W51</f>
        <v>0</v>
      </c>
      <c r="F50">
        <f>'1233 P+ 24 hpi'!X51</f>
        <v>0</v>
      </c>
      <c r="H50">
        <f>'1234 P- 24 hpi'!W51</f>
        <v>2.5564676887473952</v>
      </c>
      <c r="I50">
        <f>'1234 P- 24 hpi'!X51</f>
        <v>7.0911301626346921</v>
      </c>
      <c r="K50">
        <f>'1234 P+ 24 hpi'!W51</f>
        <v>0</v>
      </c>
      <c r="L50">
        <f>'1234 P+ 24 hpi'!X51</f>
        <v>0</v>
      </c>
      <c r="N50">
        <f>'1250 P- 24 hpi'!AG51</f>
        <v>12.407743851250334</v>
      </c>
      <c r="O50">
        <f>'1250 P- 24 hpi'!AH51</f>
        <v>11.939797423109077</v>
      </c>
      <c r="Q50">
        <f>'1250 P+ 24 hpi'!W51</f>
        <v>0</v>
      </c>
      <c r="R50">
        <f>'1250 P+ 24 hpi'!X51</f>
        <v>0</v>
      </c>
      <c r="T50">
        <f>'1480 P- 24 hpi'!W51</f>
        <v>22.785082830007159</v>
      </c>
      <c r="U50">
        <f>'1480 P- 24 hpi'!X51</f>
        <v>6.4079698980292052</v>
      </c>
      <c r="W50">
        <f>'NAD003 P+ 24 hpi'!W51</f>
        <v>0</v>
      </c>
      <c r="X50">
        <f>'NAD003 P+ 24 hpi'!X51</f>
        <v>0</v>
      </c>
    </row>
    <row r="51" spans="1:24" x14ac:dyDescent="0.35">
      <c r="A51" s="3">
        <v>324.33999999999997</v>
      </c>
      <c r="B51">
        <f>'1233 P- 24 hpi'!W52</f>
        <v>3.6638617745362621</v>
      </c>
      <c r="C51">
        <f>'1233 P- 24 hpi'!X52</f>
        <v>3.9974903234297288</v>
      </c>
      <c r="E51">
        <f>'1233 P+ 24 hpi'!W52</f>
        <v>0</v>
      </c>
      <c r="F51">
        <f>'1233 P+ 24 hpi'!X52</f>
        <v>0</v>
      </c>
      <c r="H51">
        <f>'1234 P- 24 hpi'!W52</f>
        <v>2.7165372007839701</v>
      </c>
      <c r="I51">
        <f>'1234 P- 24 hpi'!X52</f>
        <v>6.1013514108175997</v>
      </c>
      <c r="K51">
        <f>'1234 P+ 24 hpi'!W52</f>
        <v>0</v>
      </c>
      <c r="L51">
        <f>'1234 P+ 24 hpi'!X52</f>
        <v>0</v>
      </c>
      <c r="N51">
        <f>'1250 P- 24 hpi'!AG52</f>
        <v>13.331535920782365</v>
      </c>
      <c r="O51">
        <f>'1250 P- 24 hpi'!AH52</f>
        <v>12.431278285594264</v>
      </c>
      <c r="Q51">
        <f>'1250 P+ 24 hpi'!W52</f>
        <v>0</v>
      </c>
      <c r="R51">
        <f>'1250 P+ 24 hpi'!X52</f>
        <v>0</v>
      </c>
      <c r="T51">
        <f>'1480 P- 24 hpi'!W52</f>
        <v>23.408125900273738</v>
      </c>
      <c r="U51">
        <f>'1480 P- 24 hpi'!X52</f>
        <v>8.2346986309805352</v>
      </c>
      <c r="W51">
        <f>'NAD003 P+ 24 hpi'!W52</f>
        <v>0</v>
      </c>
      <c r="X51">
        <f>'NAD003 P+ 24 hpi'!X52</f>
        <v>0</v>
      </c>
    </row>
    <row r="52" spans="1:24" x14ac:dyDescent="0.35">
      <c r="A52" s="3">
        <v>330.45299999999997</v>
      </c>
      <c r="B52">
        <f>'1233 P- 24 hpi'!W53</f>
        <v>3.6076562966175527</v>
      </c>
      <c r="C52">
        <f>'1233 P- 24 hpi'!X53</f>
        <v>3.7265124452608904</v>
      </c>
      <c r="E52">
        <f>'1233 P+ 24 hpi'!W53</f>
        <v>0</v>
      </c>
      <c r="F52">
        <f>'1233 P+ 24 hpi'!X53</f>
        <v>0</v>
      </c>
      <c r="H52">
        <f>'1234 P- 24 hpi'!W53</f>
        <v>2.7021539890266126</v>
      </c>
      <c r="I52">
        <f>'1234 P- 24 hpi'!X53</f>
        <v>6.5517035817454348</v>
      </c>
      <c r="K52">
        <f>'1234 P+ 24 hpi'!W53</f>
        <v>0</v>
      </c>
      <c r="L52">
        <f>'1234 P+ 24 hpi'!X53</f>
        <v>0</v>
      </c>
      <c r="N52">
        <f>'1250 P- 24 hpi'!AG53</f>
        <v>14.220034451472898</v>
      </c>
      <c r="O52">
        <f>'1250 P- 24 hpi'!AH53</f>
        <v>12.957495630239643</v>
      </c>
      <c r="Q52">
        <f>'1250 P+ 24 hpi'!W53</f>
        <v>0</v>
      </c>
      <c r="R52">
        <f>'1250 P+ 24 hpi'!X53</f>
        <v>0</v>
      </c>
      <c r="T52">
        <f>'1480 P- 24 hpi'!W53</f>
        <v>24.246972154854486</v>
      </c>
      <c r="U52">
        <f>'1480 P- 24 hpi'!X53</f>
        <v>8.416002434208151</v>
      </c>
      <c r="W52">
        <f>'NAD003 P+ 24 hpi'!W53</f>
        <v>0</v>
      </c>
      <c r="X52">
        <f>'NAD003 P+ 24 hpi'!X53</f>
        <v>0</v>
      </c>
    </row>
    <row r="53" spans="1:24" x14ac:dyDescent="0.35">
      <c r="A53" s="3">
        <v>336.67899999999997</v>
      </c>
      <c r="B53">
        <f>'1233 P- 24 hpi'!W54</f>
        <v>3.5901766281433116</v>
      </c>
      <c r="C53">
        <f>'1233 P- 24 hpi'!X54</f>
        <v>3.5656811502544512</v>
      </c>
      <c r="E53">
        <f>'1233 P+ 24 hpi'!W54</f>
        <v>0</v>
      </c>
      <c r="F53">
        <f>'1233 P+ 24 hpi'!X54</f>
        <v>0</v>
      </c>
      <c r="H53">
        <f>'1234 P- 24 hpi'!W54</f>
        <v>2.7525223395255236</v>
      </c>
      <c r="I53">
        <f>'1234 P- 24 hpi'!X54</f>
        <v>6.2947725114794126</v>
      </c>
      <c r="K53">
        <f>'1234 P+ 24 hpi'!W54</f>
        <v>0</v>
      </c>
      <c r="L53">
        <f>'1234 P+ 24 hpi'!X54</f>
        <v>0</v>
      </c>
      <c r="N53">
        <f>'1250 P- 24 hpi'!AG54</f>
        <v>15.115450598901237</v>
      </c>
      <c r="O53">
        <f>'1250 P- 24 hpi'!AH54</f>
        <v>14.100670579712434</v>
      </c>
      <c r="Q53">
        <f>'1250 P+ 24 hpi'!W54</f>
        <v>0</v>
      </c>
      <c r="R53">
        <f>'1250 P+ 24 hpi'!X54</f>
        <v>0</v>
      </c>
      <c r="T53">
        <f>'1480 P- 24 hpi'!W54</f>
        <v>25.309831521246142</v>
      </c>
      <c r="U53">
        <f>'1480 P- 24 hpi'!X54</f>
        <v>8.968127143772131</v>
      </c>
      <c r="W53">
        <f>'NAD003 P+ 24 hpi'!W54</f>
        <v>0</v>
      </c>
      <c r="X53">
        <f>'NAD003 P+ 24 hpi'!X54</f>
        <v>0</v>
      </c>
    </row>
    <row r="54" spans="1:24" x14ac:dyDescent="0.35">
      <c r="A54" s="3">
        <v>342.94200000000001</v>
      </c>
      <c r="B54">
        <f>'1233 P- 24 hpi'!W55</f>
        <v>3.6166040295555315</v>
      </c>
      <c r="C54">
        <f>'1233 P- 24 hpi'!X55</f>
        <v>3.3610897527710972</v>
      </c>
      <c r="E54">
        <f>'1233 P+ 24 hpi'!W55</f>
        <v>0</v>
      </c>
      <c r="F54">
        <f>'1233 P+ 24 hpi'!X55</f>
        <v>0</v>
      </c>
      <c r="H54">
        <f>'1234 P- 24 hpi'!W55</f>
        <v>2.857422130022103</v>
      </c>
      <c r="I54">
        <f>'1234 P- 24 hpi'!X55</f>
        <v>6.2517296692266378</v>
      </c>
      <c r="K54">
        <f>'1234 P+ 24 hpi'!W55</f>
        <v>0</v>
      </c>
      <c r="L54">
        <f>'1234 P+ 24 hpi'!X55</f>
        <v>0</v>
      </c>
      <c r="N54">
        <f>'1250 P- 24 hpi'!AG55</f>
        <v>16.154220448366921</v>
      </c>
      <c r="O54">
        <f>'1250 P- 24 hpi'!AH55</f>
        <v>14.542073538466575</v>
      </c>
      <c r="Q54">
        <f>'1250 P+ 24 hpi'!W55</f>
        <v>0</v>
      </c>
      <c r="R54">
        <f>'1250 P+ 24 hpi'!X55</f>
        <v>0</v>
      </c>
      <c r="T54">
        <f>'1480 P- 24 hpi'!W55</f>
        <v>26.162255499584269</v>
      </c>
      <c r="U54">
        <f>'1480 P- 24 hpi'!X55</f>
        <v>9.9446259745548282</v>
      </c>
      <c r="W54">
        <f>'NAD003 P+ 24 hpi'!W55</f>
        <v>0</v>
      </c>
      <c r="X54">
        <f>'NAD003 P+ 24 hpi'!X55</f>
        <v>0</v>
      </c>
    </row>
    <row r="55" spans="1:24" x14ac:dyDescent="0.35">
      <c r="A55" s="3">
        <v>349.24099999999999</v>
      </c>
      <c r="B55">
        <f>'1233 P- 24 hpi'!W56</f>
        <v>3.6192501952858165</v>
      </c>
      <c r="C55">
        <f>'1233 P- 24 hpi'!X56</f>
        <v>3.3714000897566105</v>
      </c>
      <c r="E55">
        <f>'1233 P+ 24 hpi'!W56</f>
        <v>0</v>
      </c>
      <c r="F55">
        <f>'1233 P+ 24 hpi'!X56</f>
        <v>0</v>
      </c>
      <c r="H55">
        <f>'1234 P- 24 hpi'!W56</f>
        <v>2.8296141105486545</v>
      </c>
      <c r="I55">
        <f>'1234 P- 24 hpi'!X56</f>
        <v>6.7056075056295237</v>
      </c>
      <c r="K55">
        <f>'1234 P+ 24 hpi'!W56</f>
        <v>0</v>
      </c>
      <c r="L55">
        <f>'1234 P+ 24 hpi'!X56</f>
        <v>0</v>
      </c>
      <c r="N55">
        <f>'1250 P- 24 hpi'!AG56</f>
        <v>17.067399095048451</v>
      </c>
      <c r="O55">
        <f>'1250 P- 24 hpi'!AH56</f>
        <v>15.638177243754043</v>
      </c>
      <c r="Q55">
        <f>'1250 P+ 24 hpi'!W56</f>
        <v>0</v>
      </c>
      <c r="R55">
        <f>'1250 P+ 24 hpi'!X56</f>
        <v>0</v>
      </c>
      <c r="T55">
        <f>'1480 P- 24 hpi'!W56</f>
        <v>26.569421602424288</v>
      </c>
      <c r="U55">
        <f>'1480 P- 24 hpi'!X56</f>
        <v>9.5841705723664834</v>
      </c>
      <c r="W55">
        <f>'NAD003 P+ 24 hpi'!W56</f>
        <v>0</v>
      </c>
      <c r="X55">
        <f>'NAD003 P+ 24 hpi'!X56</f>
        <v>0</v>
      </c>
    </row>
    <row r="56" spans="1:24" x14ac:dyDescent="0.35">
      <c r="A56" s="3">
        <v>355.43299999999999</v>
      </c>
      <c r="B56">
        <f>'1233 P- 24 hpi'!W57</f>
        <v>3.5699935134341452</v>
      </c>
      <c r="C56">
        <f>'1233 P- 24 hpi'!X57</f>
        <v>3.4801915656155695</v>
      </c>
      <c r="E56">
        <f>'1233 P+ 24 hpi'!W57</f>
        <v>0</v>
      </c>
      <c r="F56">
        <f>'1233 P+ 24 hpi'!X57</f>
        <v>0</v>
      </c>
      <c r="H56">
        <f>'1234 P- 24 hpi'!W57</f>
        <v>2.8442824301402228</v>
      </c>
      <c r="I56">
        <f>'1234 P- 24 hpi'!X57</f>
        <v>6.3243139082842461</v>
      </c>
      <c r="K56">
        <f>'1234 P+ 24 hpi'!W57</f>
        <v>0</v>
      </c>
      <c r="L56">
        <f>'1234 P+ 24 hpi'!X57</f>
        <v>0</v>
      </c>
      <c r="N56">
        <f>'1250 P- 24 hpi'!AG57</f>
        <v>17.97813120209365</v>
      </c>
      <c r="O56">
        <f>'1250 P- 24 hpi'!AH57</f>
        <v>16.061530379148824</v>
      </c>
      <c r="Q56">
        <f>'1250 P+ 24 hpi'!W57</f>
        <v>0</v>
      </c>
      <c r="R56">
        <f>'1250 P+ 24 hpi'!X57</f>
        <v>0</v>
      </c>
      <c r="T56">
        <f>'1480 P- 24 hpi'!W57</f>
        <v>28.023240262610301</v>
      </c>
      <c r="U56">
        <f>'1480 P- 24 hpi'!X57</f>
        <v>11.189268300012483</v>
      </c>
      <c r="W56">
        <f>'NAD003 P+ 24 hpi'!W57</f>
        <v>0</v>
      </c>
      <c r="X56">
        <f>'NAD003 P+ 24 hpi'!X57</f>
        <v>0</v>
      </c>
    </row>
    <row r="57" spans="1:24" x14ac:dyDescent="0.35">
      <c r="A57" s="3">
        <v>361.57799999999997</v>
      </c>
      <c r="B57">
        <f>'1233 P- 24 hpi'!W58</f>
        <v>3.5334927610571794</v>
      </c>
      <c r="C57">
        <f>'1233 P- 24 hpi'!X58</f>
        <v>3.5988490786402045</v>
      </c>
      <c r="E57">
        <f>'1233 P+ 24 hpi'!W58</f>
        <v>0</v>
      </c>
      <c r="F57">
        <f>'1233 P+ 24 hpi'!X58</f>
        <v>0</v>
      </c>
      <c r="H57">
        <f>'1234 P- 24 hpi'!W58</f>
        <v>2.9172748264622097</v>
      </c>
      <c r="I57">
        <f>'1234 P- 24 hpi'!X58</f>
        <v>7.060846755828404</v>
      </c>
      <c r="K57">
        <f>'1234 P+ 24 hpi'!W58</f>
        <v>0</v>
      </c>
      <c r="L57">
        <f>'1234 P+ 24 hpi'!X58</f>
        <v>0</v>
      </c>
      <c r="N57">
        <f>'1250 P- 24 hpi'!AG58</f>
        <v>18.834444993828022</v>
      </c>
      <c r="O57">
        <f>'1250 P- 24 hpi'!AH58</f>
        <v>17.611161799629244</v>
      </c>
      <c r="Q57">
        <f>'1250 P+ 24 hpi'!W58</f>
        <v>0</v>
      </c>
      <c r="R57">
        <f>'1250 P+ 24 hpi'!X58</f>
        <v>0</v>
      </c>
      <c r="T57">
        <f>'1480 P- 24 hpi'!W58</f>
        <v>28.688420249760735</v>
      </c>
      <c r="U57">
        <f>'1480 P- 24 hpi'!X58</f>
        <v>10.77998090911297</v>
      </c>
      <c r="W57">
        <f>'NAD003 P+ 24 hpi'!W58</f>
        <v>0</v>
      </c>
      <c r="X57">
        <f>'NAD003 P+ 24 hpi'!X58</f>
        <v>0</v>
      </c>
    </row>
    <row r="58" spans="1:24" x14ac:dyDescent="0.35">
      <c r="A58" s="3">
        <v>367.786</v>
      </c>
      <c r="B58">
        <f>'1233 P- 24 hpi'!W59</f>
        <v>3.4607588398243441</v>
      </c>
      <c r="C58">
        <f>'1233 P- 24 hpi'!X59</f>
        <v>3.6266829043154596</v>
      </c>
      <c r="E58">
        <f>'1233 P+ 24 hpi'!W59</f>
        <v>0</v>
      </c>
      <c r="F58">
        <f>'1233 P+ 24 hpi'!X59</f>
        <v>0</v>
      </c>
      <c r="H58">
        <f>'1234 P- 24 hpi'!W59</f>
        <v>2.8984548117631337</v>
      </c>
      <c r="I58">
        <f>'1234 P- 24 hpi'!X59</f>
        <v>6.5473519652861585</v>
      </c>
      <c r="K58">
        <f>'1234 P+ 24 hpi'!W59</f>
        <v>0</v>
      </c>
      <c r="L58">
        <f>'1234 P+ 24 hpi'!X59</f>
        <v>0</v>
      </c>
      <c r="N58">
        <f>'1250 P- 24 hpi'!AG59</f>
        <v>19.866273320006488</v>
      </c>
      <c r="O58">
        <f>'1250 P- 24 hpi'!AH59</f>
        <v>18.518091409638938</v>
      </c>
      <c r="Q58">
        <f>'1250 P+ 24 hpi'!W59</f>
        <v>0</v>
      </c>
      <c r="R58">
        <f>'1250 P+ 24 hpi'!X59</f>
        <v>0</v>
      </c>
      <c r="T58">
        <f>'1480 P- 24 hpi'!W59</f>
        <v>29.491398774822901</v>
      </c>
      <c r="U58">
        <f>'1480 P- 24 hpi'!X59</f>
        <v>11.859445880137246</v>
      </c>
      <c r="W58">
        <f>'NAD003 P+ 24 hpi'!W59</f>
        <v>0</v>
      </c>
      <c r="X58">
        <f>'NAD003 P+ 24 hpi'!X59</f>
        <v>0</v>
      </c>
    </row>
    <row r="59" spans="1:24" x14ac:dyDescent="0.35">
      <c r="A59" s="3">
        <v>374.03899999999999</v>
      </c>
      <c r="B59">
        <f>'1233 P- 24 hpi'!W60</f>
        <v>3.4554282455922229</v>
      </c>
      <c r="C59">
        <f>'1233 P- 24 hpi'!X60</f>
        <v>3.5273475629026758</v>
      </c>
      <c r="E59">
        <f>'1233 P+ 24 hpi'!W60</f>
        <v>0</v>
      </c>
      <c r="F59">
        <f>'1233 P+ 24 hpi'!X60</f>
        <v>0</v>
      </c>
      <c r="H59">
        <f>'1234 P- 24 hpi'!W60</f>
        <v>2.886708809623451</v>
      </c>
      <c r="I59">
        <f>'1234 P- 24 hpi'!X60</f>
        <v>6.80052472175616</v>
      </c>
      <c r="K59">
        <f>'1234 P+ 24 hpi'!W60</f>
        <v>0</v>
      </c>
      <c r="L59">
        <f>'1234 P+ 24 hpi'!X60</f>
        <v>0</v>
      </c>
      <c r="N59">
        <f>'1250 P- 24 hpi'!AG60</f>
        <v>20.860997871903098</v>
      </c>
      <c r="O59">
        <f>'1250 P- 24 hpi'!AH60</f>
        <v>19.249739564886397</v>
      </c>
      <c r="Q59">
        <f>'1250 P+ 24 hpi'!W60</f>
        <v>0</v>
      </c>
      <c r="R59">
        <f>'1250 P+ 24 hpi'!X60</f>
        <v>0</v>
      </c>
      <c r="T59">
        <f>'1480 P- 24 hpi'!W60</f>
        <v>29.979039745033173</v>
      </c>
      <c r="U59">
        <f>'1480 P- 24 hpi'!X60</f>
        <v>10.95937118334553</v>
      </c>
      <c r="W59">
        <f>'NAD003 P+ 24 hpi'!W60</f>
        <v>0</v>
      </c>
      <c r="X59">
        <f>'NAD003 P+ 24 hpi'!X60</f>
        <v>0</v>
      </c>
    </row>
    <row r="60" spans="1:24" x14ac:dyDescent="0.35">
      <c r="A60" s="3">
        <v>380.137</v>
      </c>
      <c r="B60">
        <f>'1233 P- 24 hpi'!W61</f>
        <v>3.3688426710134247</v>
      </c>
      <c r="C60">
        <f>'1233 P- 24 hpi'!X61</f>
        <v>3.2436487378920007</v>
      </c>
      <c r="E60">
        <f>'1233 P+ 24 hpi'!W61</f>
        <v>0</v>
      </c>
      <c r="F60">
        <f>'1233 P+ 24 hpi'!X61</f>
        <v>0</v>
      </c>
      <c r="H60">
        <f>'1234 P- 24 hpi'!W61</f>
        <v>2.8787441039815853</v>
      </c>
      <c r="I60">
        <f>'1234 P- 24 hpi'!X61</f>
        <v>6.5152502486221113</v>
      </c>
      <c r="K60">
        <f>'1234 P+ 24 hpi'!W61</f>
        <v>0</v>
      </c>
      <c r="L60">
        <f>'1234 P+ 24 hpi'!X61</f>
        <v>0</v>
      </c>
      <c r="N60">
        <f>'1250 P- 24 hpi'!AG61</f>
        <v>21.795449102529343</v>
      </c>
      <c r="O60">
        <f>'1250 P- 24 hpi'!AH61</f>
        <v>20.608010622940863</v>
      </c>
      <c r="Q60">
        <f>'1250 P+ 24 hpi'!W61</f>
        <v>0</v>
      </c>
      <c r="R60">
        <f>'1250 P+ 24 hpi'!X61</f>
        <v>0</v>
      </c>
      <c r="T60">
        <f>'1480 P- 24 hpi'!W61</f>
        <v>30.926613115704328</v>
      </c>
      <c r="U60">
        <f>'1480 P- 24 hpi'!X61</f>
        <v>12.088375115630758</v>
      </c>
      <c r="W60">
        <f>'NAD003 P+ 24 hpi'!W61</f>
        <v>0</v>
      </c>
      <c r="X60">
        <f>'NAD003 P+ 24 hpi'!X61</f>
        <v>0</v>
      </c>
    </row>
    <row r="61" spans="1:24" x14ac:dyDescent="0.35">
      <c r="A61" s="3">
        <v>386.49799999999999</v>
      </c>
      <c r="B61">
        <f>'1233 P- 24 hpi'!W62</f>
        <v>3.3363477516260609</v>
      </c>
      <c r="C61">
        <f>'1233 P- 24 hpi'!X62</f>
        <v>3.1864344594740248</v>
      </c>
      <c r="E61">
        <f>'1233 P+ 24 hpi'!W62</f>
        <v>0</v>
      </c>
      <c r="F61">
        <f>'1233 P+ 24 hpi'!X62</f>
        <v>0</v>
      </c>
      <c r="H61">
        <f>'1234 P- 24 hpi'!W62</f>
        <v>2.9537292102868102</v>
      </c>
      <c r="I61">
        <f>'1234 P- 24 hpi'!X62</f>
        <v>6.8189480895562538</v>
      </c>
      <c r="K61">
        <f>'1234 P+ 24 hpi'!W62</f>
        <v>0</v>
      </c>
      <c r="L61">
        <f>'1234 P+ 24 hpi'!X62</f>
        <v>0</v>
      </c>
      <c r="N61">
        <f>'1250 P- 24 hpi'!AG62</f>
        <v>22.847599024186611</v>
      </c>
      <c r="O61">
        <f>'1250 P- 24 hpi'!AH62</f>
        <v>21.998010162185331</v>
      </c>
      <c r="Q61">
        <f>'1250 P+ 24 hpi'!W62</f>
        <v>0</v>
      </c>
      <c r="R61">
        <f>'1250 P+ 24 hpi'!X62</f>
        <v>0</v>
      </c>
      <c r="T61">
        <f>'1480 P- 24 hpi'!W62</f>
        <v>31.501330590797838</v>
      </c>
      <c r="U61">
        <f>'1480 P- 24 hpi'!X62</f>
        <v>12.249820792497903</v>
      </c>
      <c r="W61">
        <f>'NAD003 P+ 24 hpi'!W62</f>
        <v>0</v>
      </c>
      <c r="X61">
        <f>'NAD003 P+ 24 hpi'!X62</f>
        <v>0</v>
      </c>
    </row>
    <row r="62" spans="1:24" x14ac:dyDescent="0.35">
      <c r="A62" s="3">
        <v>392.601</v>
      </c>
      <c r="B62">
        <f>'1233 P- 24 hpi'!W63</f>
        <v>3.4076816802623209</v>
      </c>
      <c r="C62">
        <f>'1233 P- 24 hpi'!X63</f>
        <v>3.0563739454103431</v>
      </c>
      <c r="E62">
        <f>'1233 P+ 24 hpi'!W63</f>
        <v>0</v>
      </c>
      <c r="F62">
        <f>'1233 P+ 24 hpi'!X63</f>
        <v>0</v>
      </c>
      <c r="H62">
        <f>'1234 P- 24 hpi'!W63</f>
        <v>2.9530989844622826</v>
      </c>
      <c r="I62">
        <f>'1234 P- 24 hpi'!X63</f>
        <v>6.6914334167457241</v>
      </c>
      <c r="K62">
        <f>'1234 P+ 24 hpi'!W63</f>
        <v>0</v>
      </c>
      <c r="L62">
        <f>'1234 P+ 24 hpi'!X63</f>
        <v>0</v>
      </c>
      <c r="N62">
        <f>'1250 P- 24 hpi'!AG63</f>
        <v>23.988177555515669</v>
      </c>
      <c r="O62">
        <f>'1250 P- 24 hpi'!AH63</f>
        <v>22.366690554677586</v>
      </c>
      <c r="Q62">
        <f>'1250 P+ 24 hpi'!W63</f>
        <v>0</v>
      </c>
      <c r="R62">
        <f>'1250 P+ 24 hpi'!X63</f>
        <v>0</v>
      </c>
      <c r="T62">
        <f>'1480 P- 24 hpi'!W63</f>
        <v>32.25354318993525</v>
      </c>
      <c r="U62">
        <f>'1480 P- 24 hpi'!X63</f>
        <v>12.814588341296766</v>
      </c>
      <c r="W62">
        <f>'NAD003 P+ 24 hpi'!W63</f>
        <v>0</v>
      </c>
      <c r="X62">
        <f>'NAD003 P+ 24 hpi'!X63</f>
        <v>0</v>
      </c>
    </row>
    <row r="63" spans="1:24" x14ac:dyDescent="0.35">
      <c r="A63" s="3">
        <v>398.83199999999999</v>
      </c>
      <c r="B63">
        <f>'1233 P- 24 hpi'!W64</f>
        <v>3.4499944696803264</v>
      </c>
      <c r="C63">
        <f>'1233 P- 24 hpi'!X64</f>
        <v>2.8927059401013171</v>
      </c>
      <c r="E63">
        <f>'1233 P+ 24 hpi'!W64</f>
        <v>0</v>
      </c>
      <c r="F63">
        <f>'1233 P+ 24 hpi'!X64</f>
        <v>0</v>
      </c>
      <c r="H63">
        <f>'1234 P- 24 hpi'!W64</f>
        <v>2.917319117496866</v>
      </c>
      <c r="I63">
        <f>'1234 P- 24 hpi'!X64</f>
        <v>6.9005629507149173</v>
      </c>
      <c r="K63">
        <f>'1234 P+ 24 hpi'!W64</f>
        <v>0</v>
      </c>
      <c r="L63">
        <f>'1234 P+ 24 hpi'!X64</f>
        <v>0</v>
      </c>
      <c r="N63">
        <f>'1250 P- 24 hpi'!AG64</f>
        <v>24.976936571830247</v>
      </c>
      <c r="O63">
        <f>'1250 P- 24 hpi'!AH64</f>
        <v>23.721803870599533</v>
      </c>
      <c r="Q63">
        <f>'1250 P+ 24 hpi'!W64</f>
        <v>0</v>
      </c>
      <c r="R63">
        <f>'1250 P+ 24 hpi'!X64</f>
        <v>0</v>
      </c>
      <c r="T63">
        <f>'1480 P- 24 hpi'!W64</f>
        <v>32.764302784788725</v>
      </c>
      <c r="U63">
        <f>'1480 P- 24 hpi'!X64</f>
        <v>12.858642384683865</v>
      </c>
      <c r="W63">
        <f>'NAD003 P+ 24 hpi'!W64</f>
        <v>0</v>
      </c>
      <c r="X63">
        <f>'NAD003 P+ 24 hpi'!X64</f>
        <v>0</v>
      </c>
    </row>
    <row r="64" spans="1:24" x14ac:dyDescent="0.35">
      <c r="A64" s="3">
        <v>405.02199999999999</v>
      </c>
      <c r="B64">
        <f>'1233 P- 24 hpi'!W65</f>
        <v>3.4206968767289068</v>
      </c>
      <c r="C64">
        <f>'1233 P- 24 hpi'!X65</f>
        <v>3.0216114444439302</v>
      </c>
      <c r="E64">
        <f>'1233 P+ 24 hpi'!W65</f>
        <v>0</v>
      </c>
      <c r="F64">
        <f>'1233 P+ 24 hpi'!X65</f>
        <v>0</v>
      </c>
      <c r="H64">
        <f>'1234 P- 24 hpi'!W65</f>
        <v>2.9793698567909255</v>
      </c>
      <c r="I64">
        <f>'1234 P- 24 hpi'!X65</f>
        <v>6.7362051953348088</v>
      </c>
      <c r="K64">
        <f>'1234 P+ 24 hpi'!W65</f>
        <v>0</v>
      </c>
      <c r="L64">
        <f>'1234 P+ 24 hpi'!X65</f>
        <v>0</v>
      </c>
      <c r="N64">
        <f>'1250 P- 24 hpi'!AG65</f>
        <v>25.996561727928309</v>
      </c>
      <c r="O64">
        <f>'1250 P- 24 hpi'!AH65</f>
        <v>24.458364383110421</v>
      </c>
      <c r="Q64">
        <f>'1250 P+ 24 hpi'!W65</f>
        <v>0</v>
      </c>
      <c r="R64">
        <f>'1250 P+ 24 hpi'!X65</f>
        <v>0</v>
      </c>
      <c r="T64">
        <f>'1480 P- 24 hpi'!W65</f>
        <v>33.712395871534746</v>
      </c>
      <c r="U64">
        <f>'1480 P- 24 hpi'!X65</f>
        <v>14.120072808135763</v>
      </c>
      <c r="W64">
        <f>'NAD003 P+ 24 hpi'!W65</f>
        <v>0</v>
      </c>
      <c r="X64">
        <f>'NAD003 P+ 24 hpi'!X65</f>
        <v>0</v>
      </c>
    </row>
    <row r="65" spans="1:24" x14ac:dyDescent="0.35">
      <c r="A65" s="3">
        <v>411.33699999999999</v>
      </c>
      <c r="B65">
        <f>'1233 P- 24 hpi'!W66</f>
        <v>3.3272012213069528</v>
      </c>
      <c r="C65">
        <f>'1233 P- 24 hpi'!X66</f>
        <v>3.0083947514183587</v>
      </c>
      <c r="E65">
        <f>'1233 P+ 24 hpi'!W66</f>
        <v>0</v>
      </c>
      <c r="F65">
        <f>'1233 P+ 24 hpi'!X66</f>
        <v>0</v>
      </c>
      <c r="H65">
        <f>'1234 P- 24 hpi'!W66</f>
        <v>3.0066599859069396</v>
      </c>
      <c r="I65">
        <f>'1234 P- 24 hpi'!X66</f>
        <v>7.0239572745410372</v>
      </c>
      <c r="K65">
        <f>'1234 P+ 24 hpi'!W66</f>
        <v>0</v>
      </c>
      <c r="L65">
        <f>'1234 P+ 24 hpi'!X66</f>
        <v>0</v>
      </c>
      <c r="N65">
        <f>'1250 P- 24 hpi'!AG66</f>
        <v>27.126014330343097</v>
      </c>
      <c r="O65">
        <f>'1250 P- 24 hpi'!AH66</f>
        <v>26.128038512485293</v>
      </c>
      <c r="Q65">
        <f>'1250 P+ 24 hpi'!W66</f>
        <v>0</v>
      </c>
      <c r="R65">
        <f>'1250 P+ 24 hpi'!X66</f>
        <v>0</v>
      </c>
      <c r="T65">
        <f>'1480 P- 24 hpi'!W66</f>
        <v>34.625006199174635</v>
      </c>
      <c r="U65">
        <f>'1480 P- 24 hpi'!X66</f>
        <v>15.377173067783517</v>
      </c>
      <c r="W65">
        <f>'NAD003 P+ 24 hpi'!W66</f>
        <v>0</v>
      </c>
      <c r="X65">
        <f>'NAD003 P+ 24 hpi'!X66</f>
        <v>0</v>
      </c>
    </row>
    <row r="66" spans="1:24" x14ac:dyDescent="0.35">
      <c r="A66" s="3">
        <v>417.42200000000003</v>
      </c>
      <c r="B66">
        <f>'1233 P- 24 hpi'!W67</f>
        <v>3.3812882334912566</v>
      </c>
      <c r="C66">
        <f>'1233 P- 24 hpi'!X67</f>
        <v>3.0630172026623002</v>
      </c>
      <c r="E66">
        <f>'1233 P+ 24 hpi'!W67</f>
        <v>0</v>
      </c>
      <c r="F66">
        <f>'1233 P+ 24 hpi'!X67</f>
        <v>0</v>
      </c>
      <c r="H66">
        <f>'1234 P- 24 hpi'!W67</f>
        <v>3.0140516106062241</v>
      </c>
      <c r="I66">
        <f>'1234 P- 24 hpi'!X67</f>
        <v>6.5662917954133517</v>
      </c>
      <c r="K66">
        <f>'1234 P+ 24 hpi'!W67</f>
        <v>0</v>
      </c>
      <c r="L66">
        <f>'1234 P+ 24 hpi'!X67</f>
        <v>0</v>
      </c>
      <c r="N66">
        <f>'1250 P- 24 hpi'!AG67</f>
        <v>28.287748464120877</v>
      </c>
      <c r="O66">
        <f>'1250 P- 24 hpi'!AH67</f>
        <v>27.45094420490069</v>
      </c>
      <c r="Q66">
        <f>'1250 P+ 24 hpi'!W67</f>
        <v>0</v>
      </c>
      <c r="R66">
        <f>'1250 P+ 24 hpi'!X67</f>
        <v>0</v>
      </c>
      <c r="T66">
        <f>'1480 P- 24 hpi'!W67</f>
        <v>35.264798462352701</v>
      </c>
      <c r="U66">
        <f>'1480 P- 24 hpi'!X67</f>
        <v>15.147543100584702</v>
      </c>
      <c r="W66">
        <f>'NAD003 P+ 24 hpi'!W67</f>
        <v>0</v>
      </c>
      <c r="X66">
        <f>'NAD003 P+ 24 hpi'!X67</f>
        <v>0</v>
      </c>
    </row>
    <row r="67" spans="1:24" x14ac:dyDescent="0.35">
      <c r="A67" s="3">
        <v>423.74099999999999</v>
      </c>
      <c r="B67">
        <f>'1233 P- 24 hpi'!W68</f>
        <v>3.3226144134448323</v>
      </c>
      <c r="C67">
        <f>'1233 P- 24 hpi'!X68</f>
        <v>3.0863891647032702</v>
      </c>
      <c r="E67">
        <f>'1233 P+ 24 hpi'!W68</f>
        <v>0</v>
      </c>
      <c r="F67">
        <f>'1233 P+ 24 hpi'!X68</f>
        <v>0</v>
      </c>
      <c r="H67">
        <f>'1234 P- 24 hpi'!W68</f>
        <v>3.0439330933411202</v>
      </c>
      <c r="I67">
        <f>'1234 P- 24 hpi'!X68</f>
        <v>6.3259573579135804</v>
      </c>
      <c r="K67">
        <f>'1234 P+ 24 hpi'!W68</f>
        <v>0</v>
      </c>
      <c r="L67">
        <f>'1234 P+ 24 hpi'!X68</f>
        <v>0</v>
      </c>
      <c r="N67">
        <f>'1250 P- 24 hpi'!AG68</f>
        <v>29.48536647883261</v>
      </c>
      <c r="O67">
        <f>'1250 P- 24 hpi'!AH68</f>
        <v>28.262511615946352</v>
      </c>
      <c r="Q67">
        <f>'1250 P+ 24 hpi'!W68</f>
        <v>0</v>
      </c>
      <c r="R67">
        <f>'1250 P+ 24 hpi'!X68</f>
        <v>0</v>
      </c>
      <c r="T67">
        <f>'1480 P- 24 hpi'!W68</f>
        <v>36.49192755847649</v>
      </c>
      <c r="U67">
        <f>'1480 P- 24 hpi'!X68</f>
        <v>16.512069753503042</v>
      </c>
      <c r="W67">
        <f>'NAD003 P+ 24 hpi'!W68</f>
        <v>0</v>
      </c>
      <c r="X67">
        <f>'NAD003 P+ 24 hpi'!X68</f>
        <v>0</v>
      </c>
    </row>
    <row r="68" spans="1:24" x14ac:dyDescent="0.35">
      <c r="A68" s="3">
        <v>429.80099999999999</v>
      </c>
      <c r="B68">
        <f>'1233 P- 24 hpi'!W69</f>
        <v>3.3355253448186195</v>
      </c>
      <c r="C68">
        <f>'1233 P- 24 hpi'!X69</f>
        <v>2.78006930166501</v>
      </c>
      <c r="E68">
        <f>'1233 P+ 24 hpi'!W69</f>
        <v>0</v>
      </c>
      <c r="F68">
        <f>'1233 P+ 24 hpi'!X69</f>
        <v>0</v>
      </c>
      <c r="H68">
        <f>'1234 P- 24 hpi'!W69</f>
        <v>2.9883673120000398</v>
      </c>
      <c r="I68">
        <f>'1234 P- 24 hpi'!X69</f>
        <v>6.8667011344961315</v>
      </c>
      <c r="K68">
        <f>'1234 P+ 24 hpi'!W69</f>
        <v>0</v>
      </c>
      <c r="L68">
        <f>'1234 P+ 24 hpi'!X69</f>
        <v>0</v>
      </c>
      <c r="N68">
        <f>'1250 P- 24 hpi'!AG69</f>
        <v>30.624994985856961</v>
      </c>
      <c r="O68">
        <f>'1250 P- 24 hpi'!AH69</f>
        <v>29.155581027905658</v>
      </c>
      <c r="Q68">
        <f>'1250 P+ 24 hpi'!W69</f>
        <v>0</v>
      </c>
      <c r="R68">
        <f>'1250 P+ 24 hpi'!X69</f>
        <v>0</v>
      </c>
      <c r="T68">
        <f>'1480 P- 24 hpi'!W69</f>
        <v>37.831233446853851</v>
      </c>
      <c r="U68">
        <f>'1480 P- 24 hpi'!X69</f>
        <v>17.990009975151217</v>
      </c>
      <c r="W68">
        <f>'NAD003 P+ 24 hpi'!W69</f>
        <v>0</v>
      </c>
      <c r="X68">
        <f>'NAD003 P+ 24 hpi'!X69</f>
        <v>0</v>
      </c>
    </row>
    <row r="69" spans="1:24" x14ac:dyDescent="0.35">
      <c r="A69" s="3">
        <v>436.18</v>
      </c>
      <c r="B69">
        <f>'1233 P- 24 hpi'!W70</f>
        <v>3.2412281073581153</v>
      </c>
      <c r="C69">
        <f>'1233 P- 24 hpi'!X70</f>
        <v>2.8013842728657874</v>
      </c>
      <c r="E69">
        <f>'1233 P+ 24 hpi'!W70</f>
        <v>0</v>
      </c>
      <c r="F69">
        <f>'1233 P+ 24 hpi'!X70</f>
        <v>0</v>
      </c>
      <c r="H69">
        <f>'1234 P- 24 hpi'!W70</f>
        <v>3.041622586952335</v>
      </c>
      <c r="I69">
        <f>'1234 P- 24 hpi'!X70</f>
        <v>6.8890395742913748</v>
      </c>
      <c r="K69">
        <f>'1234 P+ 24 hpi'!W70</f>
        <v>0</v>
      </c>
      <c r="L69">
        <f>'1234 P+ 24 hpi'!X70</f>
        <v>0</v>
      </c>
      <c r="N69">
        <f>'1250 P- 24 hpi'!AG70</f>
        <v>31.794133296174262</v>
      </c>
      <c r="O69">
        <f>'1250 P- 24 hpi'!AH70</f>
        <v>30.146622690583737</v>
      </c>
      <c r="Q69">
        <f>'1250 P+ 24 hpi'!W70</f>
        <v>0</v>
      </c>
      <c r="R69">
        <f>'1250 P+ 24 hpi'!X70</f>
        <v>0</v>
      </c>
      <c r="T69">
        <f>'1480 P- 24 hpi'!W70</f>
        <v>38.946883932301581</v>
      </c>
      <c r="U69">
        <f>'1480 P- 24 hpi'!X70</f>
        <v>18.942773895547624</v>
      </c>
      <c r="W69">
        <f>'NAD003 P+ 24 hpi'!W70</f>
        <v>0</v>
      </c>
      <c r="X69">
        <f>'NAD003 P+ 24 hpi'!X70</f>
        <v>0</v>
      </c>
    </row>
    <row r="70" spans="1:24" x14ac:dyDescent="0.35">
      <c r="A70" s="4">
        <v>449.34699999999998</v>
      </c>
      <c r="B70">
        <f>'1233 P- 24 hpi'!W71</f>
        <v>0.24823015143271548</v>
      </c>
      <c r="C70">
        <f>'1233 P- 24 hpi'!X71</f>
        <v>1.4998278555283775</v>
      </c>
      <c r="E70">
        <f>'1233 P+ 24 hpi'!W71</f>
        <v>0</v>
      </c>
      <c r="F70">
        <f>'1233 P+ 24 hpi'!X71</f>
        <v>0</v>
      </c>
      <c r="H70">
        <f>'1234 P- 24 hpi'!W71</f>
        <v>0.2489140115768107</v>
      </c>
      <c r="I70">
        <f>'1234 P- 24 hpi'!X71</f>
        <v>1.4849729743376205</v>
      </c>
      <c r="K70">
        <f>'1234 P+ 24 hpi'!W71</f>
        <v>0</v>
      </c>
      <c r="L70">
        <f>'1234 P+ 24 hpi'!X71</f>
        <v>0</v>
      </c>
      <c r="N70">
        <f>'1250 P- 24 hpi'!AG71</f>
        <v>3.8052076064528768E-2</v>
      </c>
      <c r="O70">
        <f>'1250 P- 24 hpi'!AH71</f>
        <v>1.4769667418566825</v>
      </c>
      <c r="Q70">
        <f>'1250 P+ 24 hpi'!W71</f>
        <v>0</v>
      </c>
      <c r="R70">
        <f>'1250 P+ 24 hpi'!X71</f>
        <v>0</v>
      </c>
      <c r="T70">
        <f>'1480 P- 24 hpi'!W71</f>
        <v>8.8376584146721643E-2</v>
      </c>
      <c r="U70">
        <f>'1480 P- 24 hpi'!X71</f>
        <v>0.57804393165995749</v>
      </c>
      <c r="W70">
        <f>'NAD003 P+ 24 hpi'!W71</f>
        <v>0</v>
      </c>
      <c r="X70">
        <f>'NAD003 P+ 24 hpi'!X71</f>
        <v>0</v>
      </c>
    </row>
    <row r="71" spans="1:24" x14ac:dyDescent="0.35">
      <c r="A71" s="3">
        <v>455.601</v>
      </c>
      <c r="B71">
        <f>'1233 P- 24 hpi'!W72</f>
        <v>0.24282288000690178</v>
      </c>
      <c r="C71">
        <f>'1233 P- 24 hpi'!X72</f>
        <v>1.4703525561708168</v>
      </c>
      <c r="E71">
        <f>'1233 P+ 24 hpi'!W72</f>
        <v>0</v>
      </c>
      <c r="F71">
        <f>'1233 P+ 24 hpi'!X72</f>
        <v>0</v>
      </c>
      <c r="H71">
        <f>'1234 P- 24 hpi'!W72</f>
        <v>0.24462632540753954</v>
      </c>
      <c r="I71">
        <f>'1234 P- 24 hpi'!X72</f>
        <v>1.5101437723898876</v>
      </c>
      <c r="K71">
        <f>'1234 P+ 24 hpi'!W72</f>
        <v>0</v>
      </c>
      <c r="L71">
        <f>'1234 P+ 24 hpi'!X72</f>
        <v>0</v>
      </c>
      <c r="N71">
        <f>'1250 P- 24 hpi'!AG72</f>
        <v>3.7858125674541623E-2</v>
      </c>
      <c r="O71">
        <f>'1250 P- 24 hpi'!AH72</f>
        <v>1.5078346106990981</v>
      </c>
      <c r="Q71">
        <f>'1250 P+ 24 hpi'!W72</f>
        <v>0</v>
      </c>
      <c r="R71">
        <f>'1250 P+ 24 hpi'!X72</f>
        <v>0</v>
      </c>
      <c r="T71">
        <f>'1480 P- 24 hpi'!W72</f>
        <v>8.4859033452493002E-2</v>
      </c>
      <c r="U71">
        <f>'1480 P- 24 hpi'!X72</f>
        <v>0.53604177075395631</v>
      </c>
      <c r="W71">
        <f>'NAD003 P+ 24 hpi'!W72</f>
        <v>0</v>
      </c>
      <c r="X71">
        <f>'NAD003 P+ 24 hpi'!X72</f>
        <v>0</v>
      </c>
    </row>
    <row r="72" spans="1:24" x14ac:dyDescent="0.35">
      <c r="A72" s="3">
        <v>461.72699999999998</v>
      </c>
      <c r="B72">
        <f>'1233 P- 24 hpi'!W73</f>
        <v>0.23726649991390333</v>
      </c>
      <c r="C72">
        <f>'1233 P- 24 hpi'!X73</f>
        <v>1.4379523866162935</v>
      </c>
      <c r="E72">
        <f>'1233 P+ 24 hpi'!W73</f>
        <v>0</v>
      </c>
      <c r="F72">
        <f>'1233 P+ 24 hpi'!X73</f>
        <v>0</v>
      </c>
      <c r="H72">
        <f>'1234 P- 24 hpi'!W73</f>
        <v>0.24072213480939941</v>
      </c>
      <c r="I72">
        <f>'1234 P- 24 hpi'!X73</f>
        <v>1.5047038732060523</v>
      </c>
      <c r="K72">
        <f>'1234 P+ 24 hpi'!W73</f>
        <v>0</v>
      </c>
      <c r="L72">
        <f>'1234 P+ 24 hpi'!X73</f>
        <v>0</v>
      </c>
      <c r="N72">
        <f>'1250 P- 24 hpi'!AG73</f>
        <v>3.7549254823526723E-2</v>
      </c>
      <c r="O72">
        <f>'1250 P- 24 hpi'!AH73</f>
        <v>1.4656883982514168</v>
      </c>
      <c r="Q72">
        <f>'1250 P+ 24 hpi'!W73</f>
        <v>0</v>
      </c>
      <c r="R72">
        <f>'1250 P+ 24 hpi'!X73</f>
        <v>0</v>
      </c>
      <c r="T72">
        <f>'1480 P- 24 hpi'!W73</f>
        <v>8.2241113713633532E-2</v>
      </c>
      <c r="U72">
        <f>'1480 P- 24 hpi'!X73</f>
        <v>0.50251780624035425</v>
      </c>
      <c r="W72">
        <f>'NAD003 P+ 24 hpi'!W73</f>
        <v>0</v>
      </c>
      <c r="X72">
        <f>'NAD003 P+ 24 hpi'!X73</f>
        <v>0</v>
      </c>
    </row>
    <row r="73" spans="1:24" x14ac:dyDescent="0.35">
      <c r="A73" s="3">
        <v>467.90100000000001</v>
      </c>
      <c r="B73">
        <f>'1233 P- 24 hpi'!W74</f>
        <v>0.2328278079550907</v>
      </c>
      <c r="C73">
        <f>'1233 P- 24 hpi'!X74</f>
        <v>1.4140282487177054</v>
      </c>
      <c r="E73">
        <f>'1233 P+ 24 hpi'!W74</f>
        <v>0</v>
      </c>
      <c r="F73">
        <f>'1233 P+ 24 hpi'!X74</f>
        <v>0</v>
      </c>
      <c r="H73">
        <f>'1234 P- 24 hpi'!W74</f>
        <v>0.23720878255643785</v>
      </c>
      <c r="I73">
        <f>'1234 P- 24 hpi'!X74</f>
        <v>1.4928573722350311</v>
      </c>
      <c r="K73">
        <f>'1234 P+ 24 hpi'!W74</f>
        <v>0</v>
      </c>
      <c r="L73">
        <f>'1234 P+ 24 hpi'!X74</f>
        <v>0</v>
      </c>
      <c r="N73">
        <f>'1250 P- 24 hpi'!AG74</f>
        <v>3.7208043318665368E-2</v>
      </c>
      <c r="O73">
        <f>'1250 P- 24 hpi'!AH74</f>
        <v>1.4607381610672054</v>
      </c>
      <c r="Q73">
        <f>'1250 P+ 24 hpi'!W74</f>
        <v>0</v>
      </c>
      <c r="R73">
        <f>'1250 P+ 24 hpi'!X74</f>
        <v>0</v>
      </c>
      <c r="T73">
        <f>'1480 P- 24 hpi'!W74</f>
        <v>7.9991728452343563E-2</v>
      </c>
      <c r="U73">
        <f>'1480 P- 24 hpi'!X74</f>
        <v>0.46271325707541028</v>
      </c>
      <c r="W73">
        <f>'NAD003 P+ 24 hpi'!W74</f>
        <v>0</v>
      </c>
      <c r="X73">
        <f>'NAD003 P+ 24 hpi'!X74</f>
        <v>0</v>
      </c>
    </row>
    <row r="74" spans="1:24" x14ac:dyDescent="0.35">
      <c r="A74" s="3">
        <v>474.11200000000002</v>
      </c>
      <c r="B74">
        <f>'1233 P- 24 hpi'!W75</f>
        <v>0.22968775715987638</v>
      </c>
      <c r="C74">
        <f>'1233 P- 24 hpi'!X75</f>
        <v>1.4074258092973657</v>
      </c>
      <c r="E74">
        <f>'1233 P+ 24 hpi'!W75</f>
        <v>0</v>
      </c>
      <c r="F74">
        <f>'1233 P+ 24 hpi'!X75</f>
        <v>0</v>
      </c>
      <c r="H74">
        <f>'1234 P- 24 hpi'!W75</f>
        <v>0.23368723689914014</v>
      </c>
      <c r="I74">
        <f>'1234 P- 24 hpi'!X75</f>
        <v>1.5039495956003899</v>
      </c>
      <c r="K74">
        <f>'1234 P+ 24 hpi'!W75</f>
        <v>0</v>
      </c>
      <c r="L74">
        <f>'1234 P+ 24 hpi'!X75</f>
        <v>0</v>
      </c>
      <c r="N74">
        <f>'1250 P- 24 hpi'!AG75</f>
        <v>3.6817278091759525E-2</v>
      </c>
      <c r="O74">
        <f>'1250 P- 24 hpi'!AH75</f>
        <v>1.4447978641010111</v>
      </c>
      <c r="Q74">
        <f>'1250 P+ 24 hpi'!W75</f>
        <v>0</v>
      </c>
      <c r="R74">
        <f>'1250 P+ 24 hpi'!X75</f>
        <v>0</v>
      </c>
      <c r="T74">
        <f>'1480 P- 24 hpi'!W75</f>
        <v>7.7254240790833067E-2</v>
      </c>
      <c r="U74">
        <f>'1480 P- 24 hpi'!X75</f>
        <v>0.44590533772773133</v>
      </c>
      <c r="W74">
        <f>'NAD003 P+ 24 hpi'!W75</f>
        <v>0</v>
      </c>
      <c r="X74">
        <f>'NAD003 P+ 24 hpi'!X75</f>
        <v>0</v>
      </c>
    </row>
    <row r="75" spans="1:24" x14ac:dyDescent="0.35">
      <c r="A75" s="3">
        <v>480.45699999999999</v>
      </c>
      <c r="B75">
        <f>'1233 P- 24 hpi'!W76</f>
        <v>0.22716717820504187</v>
      </c>
      <c r="C75">
        <f>'1233 P- 24 hpi'!X76</f>
        <v>1.3900907481899636</v>
      </c>
      <c r="E75">
        <f>'1233 P+ 24 hpi'!W76</f>
        <v>0</v>
      </c>
      <c r="F75">
        <f>'1233 P+ 24 hpi'!X76</f>
        <v>0</v>
      </c>
      <c r="H75">
        <f>'1234 P- 24 hpi'!W76</f>
        <v>0.23090049915209282</v>
      </c>
      <c r="I75">
        <f>'1234 P- 24 hpi'!X76</f>
        <v>1.5083943080572679</v>
      </c>
      <c r="K75">
        <f>'1234 P+ 24 hpi'!W76</f>
        <v>0</v>
      </c>
      <c r="L75">
        <f>'1234 P+ 24 hpi'!X76</f>
        <v>0</v>
      </c>
      <c r="N75">
        <f>'1250 P- 24 hpi'!AG76</f>
        <v>3.631815990816574E-2</v>
      </c>
      <c r="O75">
        <f>'1250 P- 24 hpi'!AH76</f>
        <v>1.4273423139143508</v>
      </c>
      <c r="Q75">
        <f>'1250 P+ 24 hpi'!W76</f>
        <v>0</v>
      </c>
      <c r="R75">
        <f>'1250 P+ 24 hpi'!X76</f>
        <v>0</v>
      </c>
      <c r="T75">
        <f>'1480 P- 24 hpi'!W76</f>
        <v>7.5384121003340659E-2</v>
      </c>
      <c r="U75">
        <f>'1480 P- 24 hpi'!X76</f>
        <v>0.43704037725516548</v>
      </c>
      <c r="W75">
        <f>'NAD003 P+ 24 hpi'!W76</f>
        <v>0</v>
      </c>
      <c r="X75">
        <f>'NAD003 P+ 24 hpi'!X76</f>
        <v>0</v>
      </c>
    </row>
    <row r="76" spans="1:24" x14ac:dyDescent="0.35">
      <c r="A76" s="3">
        <v>486.59</v>
      </c>
      <c r="B76">
        <f>'1233 P- 24 hpi'!W77</f>
        <v>0.22476238859261899</v>
      </c>
      <c r="C76">
        <f>'1233 P- 24 hpi'!X77</f>
        <v>1.3836531202793894</v>
      </c>
      <c r="E76">
        <f>'1233 P+ 24 hpi'!W77</f>
        <v>0</v>
      </c>
      <c r="F76">
        <f>'1233 P+ 24 hpi'!X77</f>
        <v>0</v>
      </c>
      <c r="H76">
        <f>'1234 P- 24 hpi'!W77</f>
        <v>0.22805041545273527</v>
      </c>
      <c r="I76">
        <f>'1234 P- 24 hpi'!X77</f>
        <v>1.5247552858361708</v>
      </c>
      <c r="K76">
        <f>'1234 P+ 24 hpi'!W77</f>
        <v>0</v>
      </c>
      <c r="L76">
        <f>'1234 P+ 24 hpi'!X77</f>
        <v>0</v>
      </c>
      <c r="N76">
        <f>'1250 P- 24 hpi'!AG77</f>
        <v>3.615299954357426E-2</v>
      </c>
      <c r="O76">
        <f>'1250 P- 24 hpi'!AH77</f>
        <v>1.4330250256359947</v>
      </c>
      <c r="Q76">
        <f>'1250 P+ 24 hpi'!W77</f>
        <v>0</v>
      </c>
      <c r="R76">
        <f>'1250 P+ 24 hpi'!X77</f>
        <v>0</v>
      </c>
      <c r="T76">
        <f>'1480 P- 24 hpi'!W77</f>
        <v>7.4048982704601168E-2</v>
      </c>
      <c r="U76">
        <f>'1480 P- 24 hpi'!X77</f>
        <v>0.43202323454525876</v>
      </c>
      <c r="W76">
        <f>'NAD003 P+ 24 hpi'!W77</f>
        <v>0</v>
      </c>
      <c r="X76">
        <f>'NAD003 P+ 24 hpi'!X77</f>
        <v>0</v>
      </c>
    </row>
    <row r="77" spans="1:24" x14ac:dyDescent="0.35">
      <c r="A77" s="3">
        <v>492.80599999999998</v>
      </c>
      <c r="B77">
        <f>'1233 P- 24 hpi'!W78</f>
        <v>0.22031051416893277</v>
      </c>
      <c r="C77">
        <f>'1233 P- 24 hpi'!X78</f>
        <v>1.368028622926901</v>
      </c>
      <c r="E77">
        <f>'1233 P+ 24 hpi'!W78</f>
        <v>0</v>
      </c>
      <c r="F77">
        <f>'1233 P+ 24 hpi'!X78</f>
        <v>0</v>
      </c>
      <c r="H77">
        <f>'1234 P- 24 hpi'!W78</f>
        <v>0.22553326169568286</v>
      </c>
      <c r="I77">
        <f>'1234 P- 24 hpi'!X78</f>
        <v>1.5260491251443042</v>
      </c>
      <c r="K77">
        <f>'1234 P+ 24 hpi'!W78</f>
        <v>0</v>
      </c>
      <c r="L77">
        <f>'1234 P+ 24 hpi'!X78</f>
        <v>0</v>
      </c>
      <c r="N77">
        <f>'1250 P- 24 hpi'!AG78</f>
        <v>3.597079026680735E-2</v>
      </c>
      <c r="O77">
        <f>'1250 P- 24 hpi'!AH78</f>
        <v>1.4180139105035865</v>
      </c>
      <c r="Q77">
        <f>'1250 P+ 24 hpi'!W78</f>
        <v>0</v>
      </c>
      <c r="R77">
        <f>'1250 P+ 24 hpi'!X78</f>
        <v>0</v>
      </c>
      <c r="T77">
        <f>'1480 P- 24 hpi'!W78</f>
        <v>7.2924025429720346E-2</v>
      </c>
      <c r="U77">
        <f>'1480 P- 24 hpi'!X78</f>
        <v>0.43771832089834178</v>
      </c>
      <c r="W77">
        <f>'NAD003 P+ 24 hpi'!W78</f>
        <v>0</v>
      </c>
      <c r="X77">
        <f>'NAD003 P+ 24 hpi'!X78</f>
        <v>0</v>
      </c>
    </row>
    <row r="78" spans="1:24" x14ac:dyDescent="0.35">
      <c r="A78" s="3">
        <v>499.017</v>
      </c>
      <c r="B78">
        <f>'1233 P- 24 hpi'!W79</f>
        <v>0.21828092927577186</v>
      </c>
      <c r="C78">
        <f>'1233 P- 24 hpi'!X79</f>
        <v>1.3545977184078435</v>
      </c>
      <c r="E78">
        <f>'1233 P+ 24 hpi'!W79</f>
        <v>0</v>
      </c>
      <c r="F78">
        <f>'1233 P+ 24 hpi'!X79</f>
        <v>0</v>
      </c>
      <c r="H78">
        <f>'1234 P- 24 hpi'!W79</f>
        <v>0.22299316350562973</v>
      </c>
      <c r="I78">
        <f>'1234 P- 24 hpi'!X79</f>
        <v>1.528043123713464</v>
      </c>
      <c r="K78">
        <f>'1234 P+ 24 hpi'!W79</f>
        <v>0</v>
      </c>
      <c r="L78">
        <f>'1234 P+ 24 hpi'!X79</f>
        <v>0</v>
      </c>
      <c r="N78">
        <f>'1250 P- 24 hpi'!AG79</f>
        <v>3.5798793863286174E-2</v>
      </c>
      <c r="O78">
        <f>'1250 P- 24 hpi'!AH79</f>
        <v>1.4143637746206947</v>
      </c>
      <c r="Q78">
        <f>'1250 P+ 24 hpi'!W79</f>
        <v>0</v>
      </c>
      <c r="R78">
        <f>'1250 P+ 24 hpi'!X79</f>
        <v>0</v>
      </c>
      <c r="T78">
        <f>'1480 P- 24 hpi'!W79</f>
        <v>7.1751141108027522E-2</v>
      </c>
      <c r="U78">
        <f>'1480 P- 24 hpi'!X79</f>
        <v>0.44205267849227631</v>
      </c>
      <c r="W78">
        <f>'NAD003 P+ 24 hpi'!W79</f>
        <v>0</v>
      </c>
      <c r="X78">
        <f>'NAD003 P+ 24 hpi'!X79</f>
        <v>0</v>
      </c>
    </row>
    <row r="79" spans="1:24" x14ac:dyDescent="0.35">
      <c r="A79" s="3">
        <v>505.20699999999999</v>
      </c>
      <c r="B79">
        <f>'1233 P- 24 hpi'!W80</f>
        <v>0.21504094363905304</v>
      </c>
      <c r="C79">
        <f>'1233 P- 24 hpi'!X80</f>
        <v>1.3255734198890841</v>
      </c>
      <c r="E79">
        <f>'1233 P+ 24 hpi'!W80</f>
        <v>0</v>
      </c>
      <c r="F79">
        <f>'1233 P+ 24 hpi'!X80</f>
        <v>0</v>
      </c>
      <c r="H79">
        <f>'1234 P- 24 hpi'!W80</f>
        <v>0.22104317514383767</v>
      </c>
      <c r="I79">
        <f>'1234 P- 24 hpi'!X80</f>
        <v>1.520392382432558</v>
      </c>
      <c r="K79">
        <f>'1234 P+ 24 hpi'!W80</f>
        <v>0</v>
      </c>
      <c r="L79">
        <f>'1234 P+ 24 hpi'!X80</f>
        <v>0</v>
      </c>
      <c r="N79">
        <f>'1250 P- 24 hpi'!AG80</f>
        <v>3.5294971517923927E-2</v>
      </c>
      <c r="O79">
        <f>'1250 P- 24 hpi'!AH80</f>
        <v>1.4136147224811144</v>
      </c>
      <c r="Q79">
        <f>'1250 P+ 24 hpi'!W80</f>
        <v>0</v>
      </c>
      <c r="R79">
        <f>'1250 P+ 24 hpi'!X80</f>
        <v>0</v>
      </c>
      <c r="T79">
        <f>'1480 P- 24 hpi'!W80</f>
        <v>7.0363815006847963E-2</v>
      </c>
      <c r="U79">
        <f>'1480 P- 24 hpi'!X80</f>
        <v>0.44619338522994179</v>
      </c>
      <c r="W79">
        <f>'NAD003 P+ 24 hpi'!W80</f>
        <v>0</v>
      </c>
      <c r="X79">
        <f>'NAD003 P+ 24 hpi'!X80</f>
        <v>0</v>
      </c>
    </row>
    <row r="80" spans="1:24" x14ac:dyDescent="0.35">
      <c r="A80" s="4">
        <v>518.327</v>
      </c>
      <c r="B80">
        <f>'1233 P- 24 hpi'!W81</f>
        <v>1.2455759093209748</v>
      </c>
      <c r="C80">
        <f>'1233 P- 24 hpi'!X81</f>
        <v>3.4924135119201787</v>
      </c>
      <c r="E80">
        <f>'1233 P+ 24 hpi'!W81</f>
        <v>0</v>
      </c>
      <c r="F80">
        <f>'1233 P+ 24 hpi'!X81</f>
        <v>0</v>
      </c>
      <c r="H80">
        <f>'1234 P- 24 hpi'!W81</f>
        <v>2.4857137467693029</v>
      </c>
      <c r="I80">
        <f>'1234 P- 24 hpi'!X81</f>
        <v>2.3301548670641421</v>
      </c>
      <c r="K80">
        <f>'1234 P+ 24 hpi'!W81</f>
        <v>0</v>
      </c>
      <c r="L80">
        <f>'1234 P+ 24 hpi'!X81</f>
        <v>0</v>
      </c>
      <c r="N80">
        <f>'1250 P- 24 hpi'!AG81</f>
        <v>4.6441974483313988</v>
      </c>
      <c r="O80">
        <f>'1250 P- 24 hpi'!AH81</f>
        <v>6.284544751082537</v>
      </c>
      <c r="Q80">
        <f>'1250 P+ 24 hpi'!W81</f>
        <v>0</v>
      </c>
      <c r="R80">
        <f>'1250 P+ 24 hpi'!X81</f>
        <v>0</v>
      </c>
      <c r="T80">
        <f>'1480 P- 24 hpi'!W81</f>
        <v>7.5198743721890766</v>
      </c>
      <c r="U80">
        <f>'1480 P- 24 hpi'!X81</f>
        <v>9.4395895877152523</v>
      </c>
      <c r="W80">
        <f>'NAD003 P+ 24 hpi'!W81</f>
        <v>0</v>
      </c>
      <c r="X80">
        <f>'NAD003 P+ 24 hpi'!X81</f>
        <v>0</v>
      </c>
    </row>
    <row r="81" spans="1:24" x14ac:dyDescent="0.35">
      <c r="A81" s="3">
        <v>524.44100000000003</v>
      </c>
      <c r="B81">
        <f>'1233 P- 24 hpi'!W82</f>
        <v>1.3574728751228058</v>
      </c>
      <c r="C81">
        <f>'1233 P- 24 hpi'!X82</f>
        <v>4.0554586932247396</v>
      </c>
      <c r="E81">
        <f>'1233 P+ 24 hpi'!W82</f>
        <v>0</v>
      </c>
      <c r="F81">
        <f>'1233 P+ 24 hpi'!X82</f>
        <v>0</v>
      </c>
      <c r="H81">
        <f>'1234 P- 24 hpi'!W82</f>
        <v>2.1878984052823114</v>
      </c>
      <c r="I81">
        <f>'1234 P- 24 hpi'!X82</f>
        <v>3.3312494183965256</v>
      </c>
      <c r="K81">
        <f>'1234 P+ 24 hpi'!W82</f>
        <v>0</v>
      </c>
      <c r="L81">
        <f>'1234 P+ 24 hpi'!X82</f>
        <v>0</v>
      </c>
      <c r="N81">
        <f>'1250 P- 24 hpi'!AG82</f>
        <v>5.4762717587527732</v>
      </c>
      <c r="O81">
        <f>'1250 P- 24 hpi'!AH82</f>
        <v>6.3963272100153867</v>
      </c>
      <c r="Q81">
        <f>'1250 P+ 24 hpi'!W82</f>
        <v>0</v>
      </c>
      <c r="R81">
        <f>'1250 P+ 24 hpi'!X82</f>
        <v>0</v>
      </c>
      <c r="T81">
        <f>'1480 P- 24 hpi'!W82</f>
        <v>7.7926584920814115</v>
      </c>
      <c r="U81">
        <f>'1480 P- 24 hpi'!X82</f>
        <v>9.6019917212402213</v>
      </c>
      <c r="W81">
        <f>'NAD003 P+ 24 hpi'!W82</f>
        <v>0</v>
      </c>
      <c r="X81">
        <f>'NAD003 P+ 24 hpi'!X82</f>
        <v>0</v>
      </c>
    </row>
    <row r="82" spans="1:24" x14ac:dyDescent="0.35">
      <c r="A82" s="3">
        <v>530.67700000000002</v>
      </c>
      <c r="B82">
        <f>'1233 P- 24 hpi'!W83</f>
        <v>1.4630099923211026</v>
      </c>
      <c r="C82">
        <f>'1233 P- 24 hpi'!X83</f>
        <v>3.5075295341076376</v>
      </c>
      <c r="E82">
        <f>'1233 P+ 24 hpi'!W83</f>
        <v>0</v>
      </c>
      <c r="F82">
        <f>'1233 P+ 24 hpi'!X83</f>
        <v>0</v>
      </c>
      <c r="H82">
        <f>'1234 P- 24 hpi'!W83</f>
        <v>1.9420630027619024</v>
      </c>
      <c r="I82">
        <f>'1234 P- 24 hpi'!X83</f>
        <v>3.2681761874886757</v>
      </c>
      <c r="K82">
        <f>'1234 P+ 24 hpi'!W83</f>
        <v>0</v>
      </c>
      <c r="L82">
        <f>'1234 P+ 24 hpi'!X83</f>
        <v>0</v>
      </c>
      <c r="N82">
        <f>'1250 P- 24 hpi'!AG83</f>
        <v>6.2891534832036955</v>
      </c>
      <c r="O82">
        <f>'1250 P- 24 hpi'!AH83</f>
        <v>7.3271364481307941</v>
      </c>
      <c r="Q82">
        <f>'1250 P+ 24 hpi'!W83</f>
        <v>0</v>
      </c>
      <c r="R82">
        <f>'1250 P+ 24 hpi'!X83</f>
        <v>0</v>
      </c>
      <c r="T82">
        <f>'1480 P- 24 hpi'!W83</f>
        <v>8.2580168018775044</v>
      </c>
      <c r="U82">
        <f>'1480 P- 24 hpi'!X83</f>
        <v>10.00557076775536</v>
      </c>
      <c r="W82">
        <f>'NAD003 P+ 24 hpi'!W83</f>
        <v>0</v>
      </c>
      <c r="X82">
        <f>'NAD003 P+ 24 hpi'!X83</f>
        <v>0</v>
      </c>
    </row>
    <row r="83" spans="1:24" x14ac:dyDescent="0.35">
      <c r="A83" s="3">
        <v>536.91800000000001</v>
      </c>
      <c r="B83">
        <f>'1233 P- 24 hpi'!W84</f>
        <v>1.6026057325508414</v>
      </c>
      <c r="C83">
        <f>'1233 P- 24 hpi'!X84</f>
        <v>3.2116127816819553</v>
      </c>
      <c r="E83">
        <f>'1233 P+ 24 hpi'!W84</f>
        <v>0</v>
      </c>
      <c r="F83">
        <f>'1233 P+ 24 hpi'!X84</f>
        <v>0</v>
      </c>
      <c r="H83">
        <f>'1234 P- 24 hpi'!W84</f>
        <v>1.7496138543143362</v>
      </c>
      <c r="I83">
        <f>'1234 P- 24 hpi'!X84</f>
        <v>3.0624598738635602</v>
      </c>
      <c r="K83">
        <f>'1234 P+ 24 hpi'!W84</f>
        <v>0</v>
      </c>
      <c r="L83">
        <f>'1234 P+ 24 hpi'!X84</f>
        <v>0</v>
      </c>
      <c r="N83">
        <f>'1250 P- 24 hpi'!AG84</f>
        <v>7.1451668314492167</v>
      </c>
      <c r="O83">
        <f>'1250 P- 24 hpi'!AH84</f>
        <v>8.1898505176021192</v>
      </c>
      <c r="Q83">
        <f>'1250 P+ 24 hpi'!W84</f>
        <v>0</v>
      </c>
      <c r="R83">
        <f>'1250 P+ 24 hpi'!X84</f>
        <v>0</v>
      </c>
      <c r="T83">
        <f>'1480 P- 24 hpi'!W84</f>
        <v>8.5323800634742959</v>
      </c>
      <c r="U83">
        <f>'1480 P- 24 hpi'!X84</f>
        <v>10.599773858440217</v>
      </c>
      <c r="W83">
        <f>'NAD003 P+ 24 hpi'!W84</f>
        <v>0</v>
      </c>
      <c r="X83">
        <f>'NAD003 P+ 24 hpi'!X84</f>
        <v>0</v>
      </c>
    </row>
    <row r="84" spans="1:24" x14ac:dyDescent="0.35">
      <c r="A84" s="3">
        <v>543.17700000000002</v>
      </c>
      <c r="B84">
        <f>'1233 P- 24 hpi'!W85</f>
        <v>1.7978946105027018</v>
      </c>
      <c r="C84">
        <f>'1233 P- 24 hpi'!X85</f>
        <v>2.9976121002676042</v>
      </c>
      <c r="E84">
        <f>'1233 P+ 24 hpi'!W85</f>
        <v>0</v>
      </c>
      <c r="F84">
        <f>'1233 P+ 24 hpi'!X85</f>
        <v>0</v>
      </c>
      <c r="H84">
        <f>'1234 P- 24 hpi'!W85</f>
        <v>1.5791514413527303</v>
      </c>
      <c r="I84">
        <f>'1234 P- 24 hpi'!X85</f>
        <v>3.3151024567756355</v>
      </c>
      <c r="K84">
        <f>'1234 P+ 24 hpi'!W85</f>
        <v>0</v>
      </c>
      <c r="L84">
        <f>'1234 P+ 24 hpi'!X85</f>
        <v>0</v>
      </c>
      <c r="N84">
        <f>'1250 P- 24 hpi'!AG85</f>
        <v>7.9678915916002557</v>
      </c>
      <c r="O84">
        <f>'1250 P- 24 hpi'!AH85</f>
        <v>9.3368966479860838</v>
      </c>
      <c r="Q84">
        <f>'1250 P+ 24 hpi'!W85</f>
        <v>0</v>
      </c>
      <c r="R84">
        <f>'1250 P+ 24 hpi'!X85</f>
        <v>0</v>
      </c>
      <c r="T84">
        <f>'1480 P- 24 hpi'!W85</f>
        <v>9.0411731594905547</v>
      </c>
      <c r="U84">
        <f>'1480 P- 24 hpi'!X85</f>
        <v>12.111881519287735</v>
      </c>
      <c r="W84">
        <f>'NAD003 P+ 24 hpi'!W85</f>
        <v>0</v>
      </c>
      <c r="X84">
        <f>'NAD003 P+ 24 hpi'!X85</f>
        <v>0</v>
      </c>
    </row>
    <row r="85" spans="1:24" x14ac:dyDescent="0.35">
      <c r="A85" s="3">
        <v>549.27800000000002</v>
      </c>
      <c r="B85">
        <f>'1233 P- 24 hpi'!W86</f>
        <v>1.9824361076104489</v>
      </c>
      <c r="C85">
        <f>'1233 P- 24 hpi'!X86</f>
        <v>2.9871309835872943</v>
      </c>
      <c r="E85">
        <f>'1233 P+ 24 hpi'!W86</f>
        <v>0</v>
      </c>
      <c r="F85">
        <f>'1233 P+ 24 hpi'!X86</f>
        <v>0</v>
      </c>
      <c r="H85">
        <f>'1234 P- 24 hpi'!W86</f>
        <v>1.5776547533596406</v>
      </c>
      <c r="I85">
        <f>'1234 P- 24 hpi'!X86</f>
        <v>4.0104592292176164</v>
      </c>
      <c r="K85">
        <f>'1234 P+ 24 hpi'!W86</f>
        <v>0</v>
      </c>
      <c r="L85">
        <f>'1234 P+ 24 hpi'!X86</f>
        <v>0</v>
      </c>
      <c r="N85">
        <f>'1250 P- 24 hpi'!AG86</f>
        <v>8.8585424514456363</v>
      </c>
      <c r="O85">
        <f>'1250 P- 24 hpi'!AH86</f>
        <v>10.010840466632677</v>
      </c>
      <c r="Q85">
        <f>'1250 P+ 24 hpi'!W86</f>
        <v>0</v>
      </c>
      <c r="R85">
        <f>'1250 P+ 24 hpi'!X86</f>
        <v>0</v>
      </c>
      <c r="T85">
        <f>'1480 P- 24 hpi'!W86</f>
        <v>9.2839686836677018</v>
      </c>
      <c r="U85">
        <f>'1480 P- 24 hpi'!X86</f>
        <v>12.310663863228578</v>
      </c>
      <c r="W85">
        <f>'NAD003 P+ 24 hpi'!W86</f>
        <v>0</v>
      </c>
      <c r="X85">
        <f>'NAD003 P+ 24 hpi'!X86</f>
        <v>0</v>
      </c>
    </row>
    <row r="86" spans="1:24" x14ac:dyDescent="0.35">
      <c r="A86" s="3">
        <v>555.61199999999997</v>
      </c>
      <c r="B86">
        <f>'1233 P- 24 hpi'!W87</f>
        <v>2.0741751516128861</v>
      </c>
      <c r="C86">
        <f>'1233 P- 24 hpi'!X87</f>
        <v>3.210558811149653</v>
      </c>
      <c r="E86">
        <f>'1233 P+ 24 hpi'!W87</f>
        <v>0</v>
      </c>
      <c r="F86">
        <f>'1233 P+ 24 hpi'!X87</f>
        <v>0</v>
      </c>
      <c r="H86">
        <f>'1234 P- 24 hpi'!W87</f>
        <v>1.5491423011769427</v>
      </c>
      <c r="I86">
        <f>'1234 P- 24 hpi'!X87</f>
        <v>4.518608883548441</v>
      </c>
      <c r="K86">
        <f>'1234 P+ 24 hpi'!W87</f>
        <v>0</v>
      </c>
      <c r="L86">
        <f>'1234 P+ 24 hpi'!X87</f>
        <v>0</v>
      </c>
      <c r="N86">
        <f>'1250 P- 24 hpi'!AG87</f>
        <v>9.7042830525045449</v>
      </c>
      <c r="O86">
        <f>'1250 P- 24 hpi'!AH87</f>
        <v>11.194266602115059</v>
      </c>
      <c r="Q86">
        <f>'1250 P+ 24 hpi'!W87</f>
        <v>0</v>
      </c>
      <c r="R86">
        <f>'1250 P+ 24 hpi'!X87</f>
        <v>0</v>
      </c>
      <c r="T86">
        <f>'1480 P- 24 hpi'!W87</f>
        <v>9.4813881726049054</v>
      </c>
      <c r="U86">
        <f>'1480 P- 24 hpi'!X87</f>
        <v>13.045853667365128</v>
      </c>
      <c r="W86">
        <f>'NAD003 P+ 24 hpi'!W87</f>
        <v>0</v>
      </c>
      <c r="X86">
        <f>'NAD003 P+ 24 hpi'!X87</f>
        <v>0</v>
      </c>
    </row>
    <row r="87" spans="1:24" x14ac:dyDescent="0.35">
      <c r="A87" s="3">
        <v>561.73</v>
      </c>
      <c r="B87">
        <f>'1233 P- 24 hpi'!W88</f>
        <v>2.1519430844819563</v>
      </c>
      <c r="C87">
        <f>'1233 P- 24 hpi'!X88</f>
        <v>3.2286977738267684</v>
      </c>
      <c r="E87">
        <f>'1233 P+ 24 hpi'!W88</f>
        <v>0</v>
      </c>
      <c r="F87">
        <f>'1233 P+ 24 hpi'!X88</f>
        <v>0</v>
      </c>
      <c r="H87">
        <f>'1234 P- 24 hpi'!W88</f>
        <v>1.4999313950422746</v>
      </c>
      <c r="I87">
        <f>'1234 P- 24 hpi'!X88</f>
        <v>5.258085534444918</v>
      </c>
      <c r="K87">
        <f>'1234 P+ 24 hpi'!W88</f>
        <v>0</v>
      </c>
      <c r="L87">
        <f>'1234 P+ 24 hpi'!X88</f>
        <v>0</v>
      </c>
      <c r="N87">
        <f>'1250 P- 24 hpi'!AG88</f>
        <v>10.542067492755972</v>
      </c>
      <c r="O87">
        <f>'1250 P- 24 hpi'!AH88</f>
        <v>12.03657908896948</v>
      </c>
      <c r="Q87">
        <f>'1250 P+ 24 hpi'!W88</f>
        <v>0</v>
      </c>
      <c r="R87">
        <f>'1250 P+ 24 hpi'!X88</f>
        <v>0</v>
      </c>
      <c r="T87">
        <f>'1480 P- 24 hpi'!W88</f>
        <v>9.750463946598229</v>
      </c>
      <c r="U87">
        <f>'1480 P- 24 hpi'!X88</f>
        <v>14.056452930484639</v>
      </c>
      <c r="W87">
        <f>'NAD003 P+ 24 hpi'!W88</f>
        <v>0</v>
      </c>
      <c r="X87">
        <f>'NAD003 P+ 24 hpi'!X88</f>
        <v>0</v>
      </c>
    </row>
    <row r="88" spans="1:24" x14ac:dyDescent="0.35">
      <c r="A88" s="3">
        <v>567.92600000000004</v>
      </c>
      <c r="B88">
        <f>'1233 P- 24 hpi'!W89</f>
        <v>2.3012665946579527</v>
      </c>
      <c r="C88">
        <f>'1233 P- 24 hpi'!X89</f>
        <v>3.4877504956750234</v>
      </c>
      <c r="E88">
        <f>'1233 P+ 24 hpi'!W89</f>
        <v>0</v>
      </c>
      <c r="F88">
        <f>'1233 P+ 24 hpi'!X89</f>
        <v>0</v>
      </c>
      <c r="H88">
        <f>'1234 P- 24 hpi'!W89</f>
        <v>1.5156717832600328</v>
      </c>
      <c r="I88">
        <f>'1234 P- 24 hpi'!X89</f>
        <v>5.4333248446863722</v>
      </c>
      <c r="K88">
        <f>'1234 P+ 24 hpi'!W89</f>
        <v>0</v>
      </c>
      <c r="L88">
        <f>'1234 P+ 24 hpi'!X89</f>
        <v>0</v>
      </c>
      <c r="N88">
        <f>'1250 P- 24 hpi'!AG89</f>
        <v>11.460393355484046</v>
      </c>
      <c r="O88">
        <f>'1250 P- 24 hpi'!AH89</f>
        <v>13.118589531400255</v>
      </c>
      <c r="Q88">
        <f>'1250 P+ 24 hpi'!W89</f>
        <v>0</v>
      </c>
      <c r="R88">
        <f>'1250 P+ 24 hpi'!X89</f>
        <v>0</v>
      </c>
      <c r="T88">
        <f>'1480 P- 24 hpi'!W89</f>
        <v>10.155748521460323</v>
      </c>
      <c r="U88">
        <f>'1480 P- 24 hpi'!X89</f>
        <v>14.314703834037456</v>
      </c>
      <c r="W88">
        <f>'NAD003 P+ 24 hpi'!W89</f>
        <v>0</v>
      </c>
      <c r="X88">
        <f>'NAD003 P+ 24 hpi'!X89</f>
        <v>0</v>
      </c>
    </row>
    <row r="89" spans="1:24" x14ac:dyDescent="0.35">
      <c r="A89" s="3">
        <v>574.19000000000005</v>
      </c>
      <c r="B89">
        <f>'1233 P- 24 hpi'!W90</f>
        <v>2.3769764196341661</v>
      </c>
      <c r="C89">
        <f>'1233 P- 24 hpi'!X90</f>
        <v>3.4709947526850251</v>
      </c>
      <c r="E89">
        <f>'1233 P+ 24 hpi'!W90</f>
        <v>0</v>
      </c>
      <c r="F89">
        <f>'1233 P+ 24 hpi'!X90</f>
        <v>0</v>
      </c>
      <c r="H89">
        <f>'1234 P- 24 hpi'!W90</f>
        <v>1.5374574597808985</v>
      </c>
      <c r="I89">
        <f>'1234 P- 24 hpi'!X90</f>
        <v>5.1950364688730923</v>
      </c>
      <c r="K89">
        <f>'1234 P+ 24 hpi'!W90</f>
        <v>0</v>
      </c>
      <c r="L89">
        <f>'1234 P+ 24 hpi'!X90</f>
        <v>0</v>
      </c>
      <c r="N89">
        <f>'1250 P- 24 hpi'!AG90</f>
        <v>12.220454247803456</v>
      </c>
      <c r="O89">
        <f>'1250 P- 24 hpi'!AH90</f>
        <v>14.921440184980247</v>
      </c>
      <c r="Q89">
        <f>'1250 P+ 24 hpi'!W90</f>
        <v>0</v>
      </c>
      <c r="R89">
        <f>'1250 P+ 24 hpi'!X90</f>
        <v>0</v>
      </c>
      <c r="T89">
        <f>'1480 P- 24 hpi'!W90</f>
        <v>10.69006053266965</v>
      </c>
      <c r="U89">
        <f>'1480 P- 24 hpi'!X90</f>
        <v>14.896726157727985</v>
      </c>
      <c r="W89">
        <f>'NAD003 P+ 24 hpi'!W90</f>
        <v>0</v>
      </c>
      <c r="X89">
        <f>'NAD003 P+ 24 hpi'!X90</f>
        <v>0</v>
      </c>
    </row>
    <row r="90" spans="1:24" x14ac:dyDescent="0.35">
      <c r="A90" s="3">
        <v>580.33500000000004</v>
      </c>
      <c r="B90">
        <f>'1233 P- 24 hpi'!W91</f>
        <v>2.3964583637917349</v>
      </c>
      <c r="C90">
        <f>'1233 P- 24 hpi'!X91</f>
        <v>3.4724060695031524</v>
      </c>
      <c r="E90">
        <f>'1233 P+ 24 hpi'!W91</f>
        <v>0</v>
      </c>
      <c r="F90">
        <f>'1233 P+ 24 hpi'!X91</f>
        <v>0</v>
      </c>
      <c r="H90">
        <f>'1234 P- 24 hpi'!W91</f>
        <v>1.5926304659050827</v>
      </c>
      <c r="I90">
        <f>'1234 P- 24 hpi'!X91</f>
        <v>5.2135850613715684</v>
      </c>
      <c r="K90">
        <f>'1234 P+ 24 hpi'!W91</f>
        <v>0</v>
      </c>
      <c r="L90">
        <f>'1234 P+ 24 hpi'!X91</f>
        <v>0</v>
      </c>
      <c r="N90">
        <f>'1250 P- 24 hpi'!AG91</f>
        <v>13.063424112277593</v>
      </c>
      <c r="O90">
        <f>'1250 P- 24 hpi'!AH91</f>
        <v>16.394451591330355</v>
      </c>
      <c r="Q90">
        <f>'1250 P+ 24 hpi'!W91</f>
        <v>0</v>
      </c>
      <c r="R90">
        <f>'1250 P+ 24 hpi'!X91</f>
        <v>0</v>
      </c>
      <c r="T90">
        <f>'1480 P- 24 hpi'!W91</f>
        <v>11.021653545005293</v>
      </c>
      <c r="U90">
        <f>'1480 P- 24 hpi'!X91</f>
        <v>14.390707419545096</v>
      </c>
      <c r="W90">
        <f>'NAD003 P+ 24 hpi'!W91</f>
        <v>0</v>
      </c>
      <c r="X90">
        <f>'NAD003 P+ 24 hpi'!X91</f>
        <v>0</v>
      </c>
    </row>
    <row r="91" spans="1:24" x14ac:dyDescent="0.35">
      <c r="A91" s="3">
        <v>586.61800000000005</v>
      </c>
      <c r="B91">
        <f>'1233 P- 24 hpi'!W92</f>
        <v>2.5898477371682493</v>
      </c>
      <c r="C91">
        <f>'1233 P- 24 hpi'!X92</f>
        <v>3.7068354929106175</v>
      </c>
      <c r="E91">
        <f>'1233 P+ 24 hpi'!W92</f>
        <v>0</v>
      </c>
      <c r="F91">
        <f>'1233 P+ 24 hpi'!X92</f>
        <v>0</v>
      </c>
      <c r="H91">
        <f>'1234 P- 24 hpi'!W92</f>
        <v>1.5087518588940356</v>
      </c>
      <c r="I91">
        <f>'1234 P- 24 hpi'!X92</f>
        <v>5.3666332733296764</v>
      </c>
      <c r="K91">
        <f>'1234 P+ 24 hpi'!W92</f>
        <v>0</v>
      </c>
      <c r="L91">
        <f>'1234 P+ 24 hpi'!X92</f>
        <v>0</v>
      </c>
      <c r="N91">
        <f>'1250 P- 24 hpi'!AG92</f>
        <v>13.999915341477049</v>
      </c>
      <c r="O91">
        <f>'1250 P- 24 hpi'!AH92</f>
        <v>17.110373642258057</v>
      </c>
      <c r="Q91">
        <f>'1250 P+ 24 hpi'!W92</f>
        <v>0</v>
      </c>
      <c r="R91">
        <f>'1250 P+ 24 hpi'!X92</f>
        <v>0</v>
      </c>
      <c r="T91">
        <f>'1480 P- 24 hpi'!W92</f>
        <v>11.354640113684313</v>
      </c>
      <c r="U91">
        <f>'1480 P- 24 hpi'!X92</f>
        <v>13.850084778903799</v>
      </c>
      <c r="W91">
        <f>'NAD003 P+ 24 hpi'!W92</f>
        <v>0</v>
      </c>
      <c r="X91">
        <f>'NAD003 P+ 24 hpi'!X92</f>
        <v>0</v>
      </c>
    </row>
    <row r="92" spans="1:24" x14ac:dyDescent="0.35">
      <c r="A92" s="3">
        <v>592.80999999999995</v>
      </c>
      <c r="B92">
        <f>'1233 P- 24 hpi'!W93</f>
        <v>2.7605497991264181</v>
      </c>
      <c r="C92">
        <f>'1233 P- 24 hpi'!X93</f>
        <v>3.5077567846399433</v>
      </c>
      <c r="E92">
        <f>'1233 P+ 24 hpi'!W93</f>
        <v>0</v>
      </c>
      <c r="F92">
        <f>'1233 P+ 24 hpi'!X93</f>
        <v>0</v>
      </c>
      <c r="H92">
        <f>'1234 P- 24 hpi'!W93</f>
        <v>1.6305015627722295</v>
      </c>
      <c r="I92">
        <f>'1234 P- 24 hpi'!X93</f>
        <v>5.0883655297239043</v>
      </c>
      <c r="K92">
        <f>'1234 P+ 24 hpi'!W93</f>
        <v>0</v>
      </c>
      <c r="L92">
        <f>'1234 P+ 24 hpi'!X93</f>
        <v>0</v>
      </c>
      <c r="N92">
        <f>'1250 P- 24 hpi'!AG93</f>
        <v>14.76018721023468</v>
      </c>
      <c r="O92">
        <f>'1250 P- 24 hpi'!AH93</f>
        <v>18.88649634788278</v>
      </c>
      <c r="Q92">
        <f>'1250 P+ 24 hpi'!W93</f>
        <v>0</v>
      </c>
      <c r="R92">
        <f>'1250 P+ 24 hpi'!X93</f>
        <v>0</v>
      </c>
      <c r="T92">
        <f>'1480 P- 24 hpi'!W93</f>
        <v>11.898765733033922</v>
      </c>
      <c r="U92">
        <f>'1480 P- 24 hpi'!X93</f>
        <v>15.222499502560575</v>
      </c>
      <c r="W92">
        <f>'NAD003 P+ 24 hpi'!W93</f>
        <v>0</v>
      </c>
      <c r="X92">
        <f>'NAD003 P+ 24 hpi'!X93</f>
        <v>0</v>
      </c>
    </row>
    <row r="93" spans="1:24" x14ac:dyDescent="0.35">
      <c r="A93" s="3">
        <v>598.93799999999999</v>
      </c>
      <c r="B93">
        <f>'1233 P- 24 hpi'!W94</f>
        <v>2.9625717822683972</v>
      </c>
      <c r="C93">
        <f>'1233 P- 24 hpi'!X94</f>
        <v>3.5072022005225496</v>
      </c>
      <c r="E93">
        <f>'1233 P+ 24 hpi'!W94</f>
        <v>0</v>
      </c>
      <c r="F93">
        <f>'1233 P+ 24 hpi'!X94</f>
        <v>0</v>
      </c>
      <c r="H93">
        <f>'1234 P- 24 hpi'!W94</f>
        <v>1.7111453457365169</v>
      </c>
      <c r="I93">
        <f>'1234 P- 24 hpi'!X94</f>
        <v>5.0072179278230786</v>
      </c>
      <c r="K93">
        <f>'1234 P+ 24 hpi'!W94</f>
        <v>0</v>
      </c>
      <c r="L93">
        <f>'1234 P+ 24 hpi'!X94</f>
        <v>0</v>
      </c>
      <c r="N93">
        <f>'1250 P- 24 hpi'!AG94</f>
        <v>15.558240735131918</v>
      </c>
      <c r="O93">
        <f>'1250 P- 24 hpi'!AH94</f>
        <v>20.317936227019437</v>
      </c>
      <c r="Q93">
        <f>'1250 P+ 24 hpi'!W94</f>
        <v>0</v>
      </c>
      <c r="R93">
        <f>'1250 P+ 24 hpi'!X94</f>
        <v>0</v>
      </c>
      <c r="T93">
        <f>'1480 P- 24 hpi'!W94</f>
        <v>12.362472526898319</v>
      </c>
      <c r="U93">
        <f>'1480 P- 24 hpi'!X94</f>
        <v>13.902544476168215</v>
      </c>
      <c r="W93">
        <f>'NAD003 P+ 24 hpi'!W94</f>
        <v>0</v>
      </c>
      <c r="X93">
        <f>'NAD003 P+ 24 hpi'!X94</f>
        <v>0</v>
      </c>
    </row>
    <row r="94" spans="1:24" x14ac:dyDescent="0.35">
      <c r="A94" s="3">
        <v>605.25900000000001</v>
      </c>
      <c r="B94">
        <f>'1233 P- 24 hpi'!W95</f>
        <v>3.1008525144293992</v>
      </c>
      <c r="C94">
        <f>'1233 P- 24 hpi'!X95</f>
        <v>3.8074204062915662</v>
      </c>
      <c r="E94">
        <f>'1233 P+ 24 hpi'!W95</f>
        <v>0</v>
      </c>
      <c r="F94">
        <f>'1233 P+ 24 hpi'!X95</f>
        <v>0</v>
      </c>
      <c r="H94">
        <f>'1234 P- 24 hpi'!W95</f>
        <v>1.8197940787523967</v>
      </c>
      <c r="I94">
        <f>'1234 P- 24 hpi'!X95</f>
        <v>5.6124553443619076</v>
      </c>
      <c r="K94">
        <f>'1234 P+ 24 hpi'!W95</f>
        <v>0</v>
      </c>
      <c r="L94">
        <f>'1234 P+ 24 hpi'!X95</f>
        <v>0</v>
      </c>
      <c r="N94">
        <f>'1250 P- 24 hpi'!AG95</f>
        <v>16.28607278921443</v>
      </c>
      <c r="O94">
        <f>'1250 P- 24 hpi'!AH95</f>
        <v>21.976233062491996</v>
      </c>
      <c r="Q94">
        <f>'1250 P+ 24 hpi'!W95</f>
        <v>0</v>
      </c>
      <c r="R94">
        <f>'1250 P+ 24 hpi'!X95</f>
        <v>0</v>
      </c>
      <c r="T94">
        <f>'1480 P- 24 hpi'!W95</f>
        <v>12.765020016121596</v>
      </c>
      <c r="U94">
        <f>'1480 P- 24 hpi'!X95</f>
        <v>13.981452397824977</v>
      </c>
      <c r="W94">
        <f>'NAD003 P+ 24 hpi'!W95</f>
        <v>0</v>
      </c>
      <c r="X94">
        <f>'NAD003 P+ 24 hpi'!X95</f>
        <v>0</v>
      </c>
    </row>
    <row r="95" spans="1:24" x14ac:dyDescent="0.35">
      <c r="A95" s="3">
        <v>611.42399999999998</v>
      </c>
      <c r="B95">
        <f>'1233 P- 24 hpi'!W96</f>
        <v>3.2647006066618594</v>
      </c>
      <c r="C95">
        <f>'1233 P- 24 hpi'!X96</f>
        <v>4.1587554815452794</v>
      </c>
      <c r="E95">
        <f>'1233 P+ 24 hpi'!W96</f>
        <v>0</v>
      </c>
      <c r="F95">
        <f>'1233 P+ 24 hpi'!X96</f>
        <v>0</v>
      </c>
      <c r="H95">
        <f>'1234 P- 24 hpi'!W96</f>
        <v>1.7405309885340714</v>
      </c>
      <c r="I95">
        <f>'1234 P- 24 hpi'!X96</f>
        <v>6.2708394108301775</v>
      </c>
      <c r="K95">
        <f>'1234 P+ 24 hpi'!W96</f>
        <v>0</v>
      </c>
      <c r="L95">
        <f>'1234 P+ 24 hpi'!X96</f>
        <v>0</v>
      </c>
      <c r="N95">
        <f>'1250 P- 24 hpi'!AG96</f>
        <v>17.287139999013743</v>
      </c>
      <c r="O95">
        <f>'1250 P- 24 hpi'!AH96</f>
        <v>21.613586506474061</v>
      </c>
      <c r="Q95">
        <f>'1250 P+ 24 hpi'!W96</f>
        <v>0</v>
      </c>
      <c r="R95">
        <f>'1250 P+ 24 hpi'!X96</f>
        <v>0</v>
      </c>
      <c r="T95">
        <f>'1480 P- 24 hpi'!W96</f>
        <v>13.88158153105743</v>
      </c>
      <c r="U95">
        <f>'1480 P- 24 hpi'!X96</f>
        <v>18.402503577970752</v>
      </c>
      <c r="W95">
        <f>'NAD003 P+ 24 hpi'!W96</f>
        <v>0</v>
      </c>
      <c r="X95">
        <f>'NAD003 P+ 24 hpi'!X96</f>
        <v>0</v>
      </c>
    </row>
    <row r="96" spans="1:24" x14ac:dyDescent="0.35">
      <c r="A96" s="3">
        <v>617.57000000000005</v>
      </c>
      <c r="B96">
        <f>'1233 P- 24 hpi'!W97</f>
        <v>3.4357025692039254</v>
      </c>
      <c r="C96">
        <f>'1233 P- 24 hpi'!X97</f>
        <v>4.4454515349619266</v>
      </c>
      <c r="E96">
        <f>'1233 P+ 24 hpi'!W97</f>
        <v>0</v>
      </c>
      <c r="F96">
        <f>'1233 P+ 24 hpi'!X97</f>
        <v>0</v>
      </c>
      <c r="H96">
        <f>'1234 P- 24 hpi'!W97</f>
        <v>1.807253098393913</v>
      </c>
      <c r="I96">
        <f>'1234 P- 24 hpi'!X97</f>
        <v>6.6540014112822101</v>
      </c>
      <c r="K96">
        <f>'1234 P+ 24 hpi'!W97</f>
        <v>0</v>
      </c>
      <c r="L96">
        <f>'1234 P+ 24 hpi'!X97</f>
        <v>0</v>
      </c>
      <c r="N96">
        <f>'1250 P- 24 hpi'!AG97</f>
        <v>18.117956696615785</v>
      </c>
      <c r="O96">
        <f>'1250 P- 24 hpi'!AH97</f>
        <v>22.388930797997723</v>
      </c>
      <c r="Q96">
        <f>'1250 P+ 24 hpi'!W97</f>
        <v>0</v>
      </c>
      <c r="R96">
        <f>'1250 P+ 24 hpi'!X97</f>
        <v>0</v>
      </c>
      <c r="T96">
        <f>'1480 P- 24 hpi'!W97</f>
        <v>14.299596063674578</v>
      </c>
      <c r="U96">
        <f>'1480 P- 24 hpi'!X97</f>
        <v>17.402264364909719</v>
      </c>
      <c r="W96">
        <f>'NAD003 P+ 24 hpi'!W97</f>
        <v>0</v>
      </c>
      <c r="X96">
        <f>'NAD003 P+ 24 hpi'!X97</f>
        <v>0</v>
      </c>
    </row>
    <row r="97" spans="1:24" x14ac:dyDescent="0.35">
      <c r="A97" s="3">
        <v>623.89099999999996</v>
      </c>
      <c r="B97">
        <f>'1233 P- 24 hpi'!W98</f>
        <v>3.6227118680465011</v>
      </c>
      <c r="C97">
        <f>'1233 P- 24 hpi'!X98</f>
        <v>4.4302153410887994</v>
      </c>
      <c r="E97">
        <f>'1233 P+ 24 hpi'!W98</f>
        <v>0</v>
      </c>
      <c r="F97">
        <f>'1233 P+ 24 hpi'!X98</f>
        <v>0</v>
      </c>
      <c r="H97">
        <f>'1234 P- 24 hpi'!W98</f>
        <v>2.0202706532706114</v>
      </c>
      <c r="I97">
        <f>'1234 P- 24 hpi'!X98</f>
        <v>6.2850140446968616</v>
      </c>
      <c r="K97">
        <f>'1234 P+ 24 hpi'!W98</f>
        <v>0</v>
      </c>
      <c r="L97">
        <f>'1234 P+ 24 hpi'!X98</f>
        <v>0</v>
      </c>
      <c r="N97">
        <f>'1250 P- 24 hpi'!AG98</f>
        <v>18.989776118305056</v>
      </c>
      <c r="O97">
        <f>'1250 P- 24 hpi'!AH98</f>
        <v>23.054968894673578</v>
      </c>
      <c r="Q97">
        <f>'1250 P+ 24 hpi'!W98</f>
        <v>0</v>
      </c>
      <c r="R97">
        <f>'1250 P+ 24 hpi'!X98</f>
        <v>0</v>
      </c>
      <c r="T97">
        <f>'1480 P- 24 hpi'!W98</f>
        <v>15.042494679434245</v>
      </c>
      <c r="U97">
        <f>'1480 P- 24 hpi'!X98</f>
        <v>18.238170952224657</v>
      </c>
      <c r="W97">
        <f>'NAD003 P+ 24 hpi'!W98</f>
        <v>0</v>
      </c>
      <c r="X97">
        <f>'NAD003 P+ 24 hpi'!X98</f>
        <v>0</v>
      </c>
    </row>
    <row r="98" spans="1:24" x14ac:dyDescent="0.35">
      <c r="A98" s="3">
        <v>630.03800000000001</v>
      </c>
      <c r="B98">
        <f>'1233 P- 24 hpi'!W99</f>
        <v>3.7470041155957343</v>
      </c>
      <c r="C98">
        <f>'1233 P- 24 hpi'!X99</f>
        <v>4.595025152856441</v>
      </c>
      <c r="E98">
        <f>'1233 P+ 24 hpi'!W99</f>
        <v>0</v>
      </c>
      <c r="F98">
        <f>'1233 P+ 24 hpi'!X99</f>
        <v>0</v>
      </c>
      <c r="H98">
        <f>'1234 P- 24 hpi'!W99</f>
        <v>2.1389104540441668</v>
      </c>
      <c r="I98">
        <f>'1234 P- 24 hpi'!X99</f>
        <v>6.3384869994785342</v>
      </c>
      <c r="K98">
        <f>'1234 P+ 24 hpi'!W99</f>
        <v>0</v>
      </c>
      <c r="L98">
        <f>'1234 P+ 24 hpi'!X99</f>
        <v>0</v>
      </c>
      <c r="N98">
        <f>'1250 P- 24 hpi'!AG99</f>
        <v>19.88644092124219</v>
      </c>
      <c r="O98">
        <f>'1250 P- 24 hpi'!AH99</f>
        <v>24.073215549818912</v>
      </c>
      <c r="Q98">
        <f>'1250 P+ 24 hpi'!W99</f>
        <v>0</v>
      </c>
      <c r="R98">
        <f>'1250 P+ 24 hpi'!X99</f>
        <v>0</v>
      </c>
      <c r="T98">
        <f>'1480 P- 24 hpi'!W99</f>
        <v>15.538446985426578</v>
      </c>
      <c r="U98">
        <f>'1480 P- 24 hpi'!X99</f>
        <v>16.132352355937112</v>
      </c>
      <c r="W98">
        <f>'NAD003 P+ 24 hpi'!W99</f>
        <v>0</v>
      </c>
      <c r="X98">
        <f>'NAD003 P+ 24 hpi'!X99</f>
        <v>0</v>
      </c>
    </row>
    <row r="99" spans="1:24" x14ac:dyDescent="0.35">
      <c r="A99" s="3">
        <v>636.29200000000003</v>
      </c>
      <c r="B99">
        <f>'1233 P- 24 hpi'!W100</f>
        <v>3.9811822139614708</v>
      </c>
      <c r="C99">
        <f>'1233 P- 24 hpi'!X100</f>
        <v>5.0228755872228152</v>
      </c>
      <c r="E99">
        <f>'1233 P+ 24 hpi'!W100</f>
        <v>0</v>
      </c>
      <c r="F99">
        <f>'1233 P+ 24 hpi'!X100</f>
        <v>0</v>
      </c>
      <c r="H99">
        <f>'1234 P- 24 hpi'!W100</f>
        <v>2.1036456270183361</v>
      </c>
      <c r="I99">
        <f>'1234 P- 24 hpi'!X100</f>
        <v>6.3561981168280148</v>
      </c>
      <c r="K99">
        <f>'1234 P+ 24 hpi'!W100</f>
        <v>0</v>
      </c>
      <c r="L99">
        <f>'1234 P+ 24 hpi'!X100</f>
        <v>0</v>
      </c>
      <c r="N99">
        <f>'1250 P- 24 hpi'!AG100</f>
        <v>20.712010386876692</v>
      </c>
      <c r="O99">
        <f>'1250 P- 24 hpi'!AH100</f>
        <v>25.11164683880375</v>
      </c>
      <c r="Q99">
        <f>'1250 P+ 24 hpi'!W100</f>
        <v>0</v>
      </c>
      <c r="R99">
        <f>'1250 P+ 24 hpi'!X100</f>
        <v>0</v>
      </c>
      <c r="T99">
        <f>'1480 P- 24 hpi'!W100</f>
        <v>16.361581089479447</v>
      </c>
      <c r="U99">
        <f>'1480 P- 24 hpi'!X100</f>
        <v>16.155082010810997</v>
      </c>
      <c r="W99">
        <f>'NAD003 P+ 24 hpi'!W100</f>
        <v>0</v>
      </c>
      <c r="X99">
        <f>'NAD003 P+ 24 hpi'!X100</f>
        <v>0</v>
      </c>
    </row>
    <row r="100" spans="1:24" x14ac:dyDescent="0.35">
      <c r="A100" s="3">
        <v>642.43200000000002</v>
      </c>
      <c r="B100">
        <f>'1233 P- 24 hpi'!W101</f>
        <v>4.2041997558507687</v>
      </c>
      <c r="C100">
        <f>'1233 P- 24 hpi'!X101</f>
        <v>4.5606220564770963</v>
      </c>
      <c r="E100">
        <f>'1233 P+ 24 hpi'!W101</f>
        <v>0</v>
      </c>
      <c r="F100">
        <f>'1233 P+ 24 hpi'!X101</f>
        <v>0</v>
      </c>
      <c r="H100">
        <f>'1234 P- 24 hpi'!W101</f>
        <v>2.2434840401002605</v>
      </c>
      <c r="I100">
        <f>'1234 P- 24 hpi'!X101</f>
        <v>6.3149882861241009</v>
      </c>
      <c r="K100">
        <f>'1234 P+ 24 hpi'!W101</f>
        <v>0</v>
      </c>
      <c r="L100">
        <f>'1234 P+ 24 hpi'!X101</f>
        <v>0</v>
      </c>
      <c r="N100">
        <f>'1250 P- 24 hpi'!AG101</f>
        <v>21.432962975064029</v>
      </c>
      <c r="O100">
        <f>'1250 P- 24 hpi'!AH101</f>
        <v>25.844713122178018</v>
      </c>
      <c r="Q100">
        <f>'1250 P+ 24 hpi'!W101</f>
        <v>0</v>
      </c>
      <c r="R100">
        <f>'1250 P+ 24 hpi'!X101</f>
        <v>0</v>
      </c>
      <c r="T100">
        <f>'1480 P- 24 hpi'!W101</f>
        <v>17.358639049001471</v>
      </c>
      <c r="U100">
        <f>'1480 P- 24 hpi'!X101</f>
        <v>18.655844942092489</v>
      </c>
      <c r="W100">
        <f>'NAD003 P+ 24 hpi'!W101</f>
        <v>0</v>
      </c>
      <c r="X100">
        <f>'NAD003 P+ 24 hpi'!X101</f>
        <v>0</v>
      </c>
    </row>
    <row r="101" spans="1:24" x14ac:dyDescent="0.35">
      <c r="A101" s="3">
        <v>648.59</v>
      </c>
      <c r="B101">
        <f>'1233 P- 24 hpi'!W102</f>
        <v>4.4088486776696652</v>
      </c>
      <c r="C101">
        <f>'1233 P- 24 hpi'!X102</f>
        <v>4.4090688624289527</v>
      </c>
      <c r="E101">
        <f>'1233 P+ 24 hpi'!W102</f>
        <v>0</v>
      </c>
      <c r="F101">
        <f>'1233 P+ 24 hpi'!X102</f>
        <v>0</v>
      </c>
      <c r="H101">
        <f>'1234 P- 24 hpi'!W102</f>
        <v>2.4521289896881719</v>
      </c>
      <c r="I101">
        <f>'1234 P- 24 hpi'!X102</f>
        <v>6.474107855804216</v>
      </c>
      <c r="K101">
        <f>'1234 P+ 24 hpi'!W102</f>
        <v>0</v>
      </c>
      <c r="L101">
        <f>'1234 P+ 24 hpi'!X102</f>
        <v>0</v>
      </c>
      <c r="N101">
        <f>'1250 P- 24 hpi'!AG102</f>
        <v>22.18695037863333</v>
      </c>
      <c r="O101">
        <f>'1250 P- 24 hpi'!AH102</f>
        <v>26.828667209957711</v>
      </c>
      <c r="Q101">
        <f>'1250 P+ 24 hpi'!W102</f>
        <v>0</v>
      </c>
      <c r="R101">
        <f>'1250 P+ 24 hpi'!X102</f>
        <v>0</v>
      </c>
      <c r="T101">
        <f>'1480 P- 24 hpi'!W102</f>
        <v>18.256374065849894</v>
      </c>
      <c r="U101">
        <f>'1480 P- 24 hpi'!X102</f>
        <v>19.235467264876856</v>
      </c>
      <c r="W101">
        <f>'NAD003 P+ 24 hpi'!W102</f>
        <v>0</v>
      </c>
      <c r="X101">
        <f>'NAD003 P+ 24 hpi'!X102</f>
        <v>0</v>
      </c>
    </row>
    <row r="102" spans="1:24" x14ac:dyDescent="0.35">
      <c r="A102" s="3">
        <v>654.86</v>
      </c>
      <c r="B102">
        <f>'1233 P- 24 hpi'!W103</f>
        <v>4.5906043071504286</v>
      </c>
      <c r="C102">
        <f>'1233 P- 24 hpi'!X103</f>
        <v>4.7325245554182436</v>
      </c>
      <c r="E102">
        <f>'1233 P+ 24 hpi'!W103</f>
        <v>0</v>
      </c>
      <c r="F102">
        <f>'1233 P+ 24 hpi'!X103</f>
        <v>0</v>
      </c>
      <c r="H102">
        <f>'1234 P- 24 hpi'!W103</f>
        <v>2.6027738049735771</v>
      </c>
      <c r="I102">
        <f>'1234 P- 24 hpi'!X103</f>
        <v>6.8249556928485529</v>
      </c>
      <c r="K102">
        <f>'1234 P+ 24 hpi'!W103</f>
        <v>0</v>
      </c>
      <c r="L102">
        <f>'1234 P+ 24 hpi'!X103</f>
        <v>0</v>
      </c>
      <c r="N102">
        <f>'1250 P- 24 hpi'!AG103</f>
        <v>23.173268155345394</v>
      </c>
      <c r="O102">
        <f>'1250 P- 24 hpi'!AH103</f>
        <v>26.42425320003991</v>
      </c>
      <c r="Q102">
        <f>'1250 P+ 24 hpi'!W103</f>
        <v>0</v>
      </c>
      <c r="R102">
        <f>'1250 P+ 24 hpi'!X103</f>
        <v>0</v>
      </c>
      <c r="T102">
        <f>'1480 P- 24 hpi'!W103</f>
        <v>18.822532096120401</v>
      </c>
      <c r="U102">
        <f>'1480 P- 24 hpi'!X103</f>
        <v>20.247185890888293</v>
      </c>
      <c r="W102">
        <f>'NAD003 P+ 24 hpi'!W103</f>
        <v>0</v>
      </c>
      <c r="X102">
        <f>'NAD003 P+ 24 hpi'!X103</f>
        <v>0</v>
      </c>
    </row>
    <row r="103" spans="1:24" x14ac:dyDescent="0.35">
      <c r="A103" s="3">
        <v>661.11800000000005</v>
      </c>
      <c r="B103">
        <f>'1233 P- 24 hpi'!W104</f>
        <v>4.9130654899473365</v>
      </c>
      <c r="C103">
        <f>'1233 P- 24 hpi'!X104</f>
        <v>4.9836378409595188</v>
      </c>
      <c r="E103">
        <f>'1233 P+ 24 hpi'!W104</f>
        <v>0</v>
      </c>
      <c r="F103">
        <f>'1233 P+ 24 hpi'!X104</f>
        <v>0</v>
      </c>
      <c r="H103">
        <f>'1234 P- 24 hpi'!W104</f>
        <v>2.7220243785739164</v>
      </c>
      <c r="I103">
        <f>'1234 P- 24 hpi'!X104</f>
        <v>6.5236413743600314</v>
      </c>
      <c r="K103">
        <f>'1234 P+ 24 hpi'!W104</f>
        <v>0</v>
      </c>
      <c r="L103">
        <f>'1234 P+ 24 hpi'!X104</f>
        <v>0</v>
      </c>
      <c r="N103">
        <f>'1250 P- 24 hpi'!AG104</f>
        <v>24.018919294252683</v>
      </c>
      <c r="O103">
        <f>'1250 P- 24 hpi'!AH104</f>
        <v>26.907727267762393</v>
      </c>
      <c r="Q103">
        <f>'1250 P+ 24 hpi'!W104</f>
        <v>0</v>
      </c>
      <c r="R103">
        <f>'1250 P+ 24 hpi'!X104</f>
        <v>0</v>
      </c>
      <c r="T103">
        <f>'1480 P- 24 hpi'!W104</f>
        <v>19.621328662487372</v>
      </c>
      <c r="U103">
        <f>'1480 P- 24 hpi'!X104</f>
        <v>20.377997743970784</v>
      </c>
      <c r="W103">
        <f>'NAD003 P+ 24 hpi'!W104</f>
        <v>0</v>
      </c>
      <c r="X103">
        <f>'NAD003 P+ 24 hpi'!X104</f>
        <v>0</v>
      </c>
    </row>
    <row r="104" spans="1:24" x14ac:dyDescent="0.35">
      <c r="A104" s="3">
        <v>667.221</v>
      </c>
      <c r="B104">
        <f>'1233 P- 24 hpi'!W105</f>
        <v>5.1740178591890311</v>
      </c>
      <c r="C104">
        <f>'1233 P- 24 hpi'!X105</f>
        <v>5.0266714810664075</v>
      </c>
      <c r="E104">
        <f>'1233 P+ 24 hpi'!W105</f>
        <v>0</v>
      </c>
      <c r="F104">
        <f>'1233 P+ 24 hpi'!X105</f>
        <v>0</v>
      </c>
      <c r="H104">
        <f>'1234 P- 24 hpi'!W105</f>
        <v>2.9987875551245629</v>
      </c>
      <c r="I104">
        <f>'1234 P- 24 hpi'!X105</f>
        <v>6.6802892807261829</v>
      </c>
      <c r="K104">
        <f>'1234 P+ 24 hpi'!W105</f>
        <v>0</v>
      </c>
      <c r="L104">
        <f>'1234 P+ 24 hpi'!X105</f>
        <v>0</v>
      </c>
      <c r="N104">
        <f>'1250 P- 24 hpi'!AG105</f>
        <v>24.863617608437927</v>
      </c>
      <c r="O104">
        <f>'1250 P- 24 hpi'!AH105</f>
        <v>26.774166922181042</v>
      </c>
      <c r="Q104">
        <f>'1250 P+ 24 hpi'!W105</f>
        <v>0</v>
      </c>
      <c r="R104">
        <f>'1250 P+ 24 hpi'!X105</f>
        <v>0</v>
      </c>
      <c r="T104">
        <f>'1480 P- 24 hpi'!W105</f>
        <v>20.57126801328338</v>
      </c>
      <c r="U104">
        <f>'1480 P- 24 hpi'!X105</f>
        <v>18.961289960580771</v>
      </c>
      <c r="W104">
        <f>'NAD003 P+ 24 hpi'!W105</f>
        <v>0</v>
      </c>
      <c r="X104">
        <f>'NAD003 P+ 24 hpi'!X105</f>
        <v>0</v>
      </c>
    </row>
    <row r="105" spans="1:24" x14ac:dyDescent="0.35">
      <c r="A105" s="3">
        <v>673.51599999999996</v>
      </c>
      <c r="B105">
        <f>'1233 P- 24 hpi'!W106</f>
        <v>5.3863320047477359</v>
      </c>
      <c r="C105">
        <f>'1233 P- 24 hpi'!X106</f>
        <v>4.7922648101766123</v>
      </c>
      <c r="E105">
        <f>'1233 P+ 24 hpi'!W106</f>
        <v>0</v>
      </c>
      <c r="F105">
        <f>'1233 P+ 24 hpi'!X106</f>
        <v>0</v>
      </c>
      <c r="H105">
        <f>'1234 P- 24 hpi'!W106</f>
        <v>3.2494458973214098</v>
      </c>
      <c r="I105">
        <f>'1234 P- 24 hpi'!X106</f>
        <v>6.682966614869537</v>
      </c>
      <c r="K105">
        <f>'1234 P+ 24 hpi'!W106</f>
        <v>0</v>
      </c>
      <c r="L105">
        <f>'1234 P+ 24 hpi'!X106</f>
        <v>0</v>
      </c>
      <c r="N105">
        <f>'1250 P- 24 hpi'!AG106</f>
        <v>25.541048952835617</v>
      </c>
      <c r="O105">
        <f>'1250 P- 24 hpi'!AH106</f>
        <v>28.949890018564069</v>
      </c>
      <c r="Q105">
        <f>'1250 P+ 24 hpi'!W106</f>
        <v>0</v>
      </c>
      <c r="R105">
        <f>'1250 P+ 24 hpi'!X106</f>
        <v>0</v>
      </c>
      <c r="T105">
        <f>'1480 P- 24 hpi'!W106</f>
        <v>21.32292666150305</v>
      </c>
      <c r="U105">
        <f>'1480 P- 24 hpi'!X106</f>
        <v>19.325051453058453</v>
      </c>
      <c r="W105">
        <f>'NAD003 P+ 24 hpi'!W106</f>
        <v>0</v>
      </c>
      <c r="X105">
        <f>'NAD003 P+ 24 hpi'!X106</f>
        <v>0</v>
      </c>
    </row>
    <row r="106" spans="1:24" x14ac:dyDescent="0.35">
      <c r="A106" s="3">
        <v>679.74</v>
      </c>
      <c r="B106">
        <f>'1233 P- 24 hpi'!W107</f>
        <v>5.5522831205068792</v>
      </c>
      <c r="C106">
        <f>'1233 P- 24 hpi'!X107</f>
        <v>5.5537345682977417</v>
      </c>
      <c r="E106">
        <f>'1233 P+ 24 hpi'!W107</f>
        <v>0</v>
      </c>
      <c r="F106">
        <f>'1233 P+ 24 hpi'!X107</f>
        <v>0</v>
      </c>
      <c r="H106">
        <f>'1234 P- 24 hpi'!W107</f>
        <v>3.4279062406672622</v>
      </c>
      <c r="I106">
        <f>'1234 P- 24 hpi'!X107</f>
        <v>6.8479097457973275</v>
      </c>
      <c r="K106">
        <f>'1234 P+ 24 hpi'!W107</f>
        <v>0</v>
      </c>
      <c r="L106">
        <f>'1234 P+ 24 hpi'!X107</f>
        <v>0</v>
      </c>
      <c r="N106">
        <f>'1250 P- 24 hpi'!AG107</f>
        <v>26.643614072880048</v>
      </c>
      <c r="O106">
        <f>'1250 P- 24 hpi'!AH107</f>
        <v>27.898617820881732</v>
      </c>
      <c r="Q106">
        <f>'1250 P+ 24 hpi'!W107</f>
        <v>0</v>
      </c>
      <c r="R106">
        <f>'1250 P+ 24 hpi'!X107</f>
        <v>0</v>
      </c>
      <c r="T106">
        <f>'1480 P- 24 hpi'!W107</f>
        <v>22.402691245024418</v>
      </c>
      <c r="U106">
        <f>'1480 P- 24 hpi'!X107</f>
        <v>21.385445569781396</v>
      </c>
      <c r="W106">
        <f>'NAD003 P+ 24 hpi'!W107</f>
        <v>0</v>
      </c>
      <c r="X106">
        <f>'NAD003 P+ 24 hpi'!X107</f>
        <v>0</v>
      </c>
    </row>
    <row r="107" spans="1:24" x14ac:dyDescent="0.35">
      <c r="A107" s="3">
        <v>685.89499999999998</v>
      </c>
      <c r="B107">
        <f>'1233 P- 24 hpi'!W108</f>
        <v>5.7894257319817424</v>
      </c>
      <c r="C107">
        <f>'1233 P- 24 hpi'!X108</f>
        <v>5.6346279512251343</v>
      </c>
      <c r="E107">
        <f>'1233 P+ 24 hpi'!W108</f>
        <v>0</v>
      </c>
      <c r="F107">
        <f>'1233 P+ 24 hpi'!X108</f>
        <v>0</v>
      </c>
      <c r="H107">
        <f>'1234 P- 24 hpi'!W108</f>
        <v>3.6189793912811927</v>
      </c>
      <c r="I107">
        <f>'1234 P- 24 hpi'!X108</f>
        <v>6.9778029698811768</v>
      </c>
      <c r="K107">
        <f>'1234 P+ 24 hpi'!W108</f>
        <v>0</v>
      </c>
      <c r="L107">
        <f>'1234 P+ 24 hpi'!X108</f>
        <v>0</v>
      </c>
      <c r="N107">
        <f>'1250 P- 24 hpi'!AG108</f>
        <v>27.429322951514592</v>
      </c>
      <c r="O107">
        <f>'1250 P- 24 hpi'!AH108</f>
        <v>29.633510629675708</v>
      </c>
      <c r="Q107">
        <f>'1250 P+ 24 hpi'!W108</f>
        <v>0</v>
      </c>
      <c r="R107">
        <f>'1250 P+ 24 hpi'!X108</f>
        <v>0</v>
      </c>
      <c r="T107">
        <f>'1480 P- 24 hpi'!W108</f>
        <v>23.328039450849936</v>
      </c>
      <c r="U107">
        <f>'1480 P- 24 hpi'!X108</f>
        <v>21.627669328377067</v>
      </c>
      <c r="W107">
        <f>'NAD003 P+ 24 hpi'!W108</f>
        <v>0</v>
      </c>
      <c r="X107">
        <f>'NAD003 P+ 24 hpi'!X108</f>
        <v>0</v>
      </c>
    </row>
    <row r="108" spans="1:24" x14ac:dyDescent="0.35">
      <c r="A108" s="3">
        <v>692.197</v>
      </c>
      <c r="B108">
        <f>'1233 P- 24 hpi'!W109</f>
        <v>6.0016718397524329</v>
      </c>
      <c r="C108">
        <f>'1233 P- 24 hpi'!X109</f>
        <v>5.4995517246850039</v>
      </c>
      <c r="E108">
        <f>'1233 P+ 24 hpi'!W109</f>
        <v>0</v>
      </c>
      <c r="F108">
        <f>'1233 P+ 24 hpi'!X109</f>
        <v>0</v>
      </c>
      <c r="H108">
        <f>'1234 P- 24 hpi'!W109</f>
        <v>3.9564201038959967</v>
      </c>
      <c r="I108">
        <f>'1234 P- 24 hpi'!X109</f>
        <v>7.0753401840509405</v>
      </c>
      <c r="K108">
        <f>'1234 P+ 24 hpi'!W109</f>
        <v>0</v>
      </c>
      <c r="L108">
        <f>'1234 P+ 24 hpi'!X109</f>
        <v>0</v>
      </c>
      <c r="N108">
        <f>'1250 P- 24 hpi'!AG109</f>
        <v>28.336777129380607</v>
      </c>
      <c r="O108">
        <f>'1250 P- 24 hpi'!AH109</f>
        <v>30.002447702992932</v>
      </c>
      <c r="Q108">
        <f>'1250 P+ 24 hpi'!W109</f>
        <v>0</v>
      </c>
      <c r="R108">
        <f>'1250 P+ 24 hpi'!X109</f>
        <v>0</v>
      </c>
      <c r="T108">
        <f>'1480 P- 24 hpi'!W109</f>
        <v>24.162700785075842</v>
      </c>
      <c r="U108">
        <f>'1480 P- 24 hpi'!X109</f>
        <v>21.917289275174181</v>
      </c>
      <c r="W108">
        <f>'NAD003 P+ 24 hpi'!W109</f>
        <v>0</v>
      </c>
      <c r="X108">
        <f>'NAD003 P+ 24 hpi'!X109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FED1-2CE6-4845-8372-DFB834D54EF0}">
  <dimension ref="A1:I5"/>
  <sheetViews>
    <sheetView workbookViewId="0">
      <selection activeCell="A2" sqref="A2:A5"/>
    </sheetView>
  </sheetViews>
  <sheetFormatPr defaultColWidth="10.90625" defaultRowHeight="14.5" x14ac:dyDescent="0.35"/>
  <sheetData>
    <row r="1" spans="1:9" x14ac:dyDescent="0.35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</row>
    <row r="2" spans="1:9" x14ac:dyDescent="0.35">
      <c r="A2" t="s">
        <v>72</v>
      </c>
      <c r="B2" s="5">
        <f>'Average comparison'!$B$40</f>
        <v>0.53768718321375697</v>
      </c>
      <c r="C2" t="e">
        <f>'Average comparison'!#REF!</f>
        <v>#REF!</v>
      </c>
      <c r="D2">
        <f>'Average comparison'!$E$40</f>
        <v>0.49848582979462658</v>
      </c>
      <c r="E2" t="e">
        <f>'Average comparison'!#REF!</f>
        <v>#REF!</v>
      </c>
      <c r="F2">
        <f>'Average comparison'!$H$40</f>
        <v>0.13191647438831117</v>
      </c>
      <c r="G2" t="e">
        <f>'Average comparison'!#REF!</f>
        <v>#REF!</v>
      </c>
      <c r="H2">
        <f>'Average comparison'!$K$40</f>
        <v>0.57593097343387134</v>
      </c>
      <c r="I2" t="e">
        <f>'Average comparison'!#REF!</f>
        <v>#REF!</v>
      </c>
    </row>
    <row r="3" spans="1:9" x14ac:dyDescent="0.35">
      <c r="A3" t="s">
        <v>73</v>
      </c>
      <c r="B3">
        <f>'Average comparison'!$B$69</f>
        <v>69.902632358190274</v>
      </c>
      <c r="C3" t="e">
        <f>'Average comparison'!#REF!</f>
        <v>#REF!</v>
      </c>
      <c r="D3">
        <f>'Average comparison'!$E$69</f>
        <v>75.188468813193083</v>
      </c>
      <c r="E3" t="e">
        <f>'Average comparison'!#REF!</f>
        <v>#REF!</v>
      </c>
      <c r="F3">
        <f>'Average comparison'!$H$69</f>
        <v>123.09191689720942</v>
      </c>
      <c r="G3" t="e">
        <f>'Average comparison'!#REF!</f>
        <v>#REF!</v>
      </c>
      <c r="H3">
        <f>'Average comparison'!$K$69</f>
        <v>141.90587861285289</v>
      </c>
      <c r="I3" t="e">
        <f>'Average comparison'!#REF!</f>
        <v>#REF!</v>
      </c>
    </row>
    <row r="4" spans="1:9" x14ac:dyDescent="0.35">
      <c r="A4" t="s">
        <v>74</v>
      </c>
      <c r="B4">
        <f>'Average comparison'!$B$79</f>
        <v>0.47385869576951106</v>
      </c>
      <c r="C4" t="e">
        <f>'Average comparison'!#REF!</f>
        <v>#REF!</v>
      </c>
      <c r="D4">
        <f>'Average comparison'!$E$79</f>
        <v>0.44247901838950288</v>
      </c>
      <c r="E4" t="e">
        <f>'Average comparison'!#REF!</f>
        <v>#REF!</v>
      </c>
      <c r="F4">
        <f>'Average comparison'!$H$79</f>
        <v>0.12976466847146034</v>
      </c>
      <c r="G4" t="e">
        <f>'Average comparison'!#REF!</f>
        <v>#REF!</v>
      </c>
      <c r="H4">
        <f>'Average comparison'!$K$79</f>
        <v>0.47982080215907535</v>
      </c>
      <c r="I4" t="e">
        <f>'Average comparison'!#REF!</f>
        <v>#REF!</v>
      </c>
    </row>
    <row r="5" spans="1:9" x14ac:dyDescent="0.35">
      <c r="A5" t="s">
        <v>75</v>
      </c>
      <c r="B5">
        <f>'Average comparison'!$B$108</f>
        <v>72.00588533225239</v>
      </c>
      <c r="C5" t="e">
        <f>'Average comparison'!#REF!</f>
        <v>#REF!</v>
      </c>
      <c r="D5">
        <f>'Average comparison'!$E$108</f>
        <v>78.793239476793076</v>
      </c>
      <c r="E5" t="e">
        <f>'Average comparison'!#REF!</f>
        <v>#REF!</v>
      </c>
      <c r="F5">
        <f>'Average comparison'!$H$108</f>
        <v>113.42184880046027</v>
      </c>
      <c r="G5" t="e">
        <f>'Average comparison'!#REF!</f>
        <v>#REF!</v>
      </c>
      <c r="H5">
        <f>'Average comparison'!$K$108</f>
        <v>113.82406898778014</v>
      </c>
      <c r="I5" t="e">
        <f>'Average comparison'!#REF!</f>
        <v>#REF!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A29E-2808-47F6-AF5A-3C15A65AA51D}">
  <dimension ref="A1:Q20"/>
  <sheetViews>
    <sheetView workbookViewId="0">
      <selection activeCell="R22" sqref="P22:R30"/>
    </sheetView>
  </sheetViews>
  <sheetFormatPr defaultColWidth="8.81640625" defaultRowHeight="14.5" x14ac:dyDescent="0.35"/>
  <sheetData>
    <row r="1" spans="1:17" x14ac:dyDescent="0.35">
      <c r="B1" t="s">
        <v>26</v>
      </c>
      <c r="C1" t="s">
        <v>7</v>
      </c>
      <c r="D1" t="s">
        <v>27</v>
      </c>
      <c r="E1" t="s">
        <v>7</v>
      </c>
      <c r="F1" t="s">
        <v>28</v>
      </c>
      <c r="G1" t="s">
        <v>7</v>
      </c>
      <c r="H1" t="s">
        <v>29</v>
      </c>
      <c r="I1" t="s">
        <v>7</v>
      </c>
      <c r="J1" t="s">
        <v>30</v>
      </c>
      <c r="K1" t="s">
        <v>7</v>
      </c>
      <c r="L1" t="s">
        <v>31</v>
      </c>
      <c r="M1" t="s">
        <v>7</v>
      </c>
      <c r="N1" t="s">
        <v>32</v>
      </c>
      <c r="O1" t="s">
        <v>7</v>
      </c>
      <c r="P1" t="s">
        <v>33</v>
      </c>
      <c r="Q1" t="s">
        <v>7</v>
      </c>
    </row>
    <row r="2" spans="1:17" x14ac:dyDescent="0.35">
      <c r="A2" t="s">
        <v>8</v>
      </c>
    </row>
    <row r="3" spans="1:17" x14ac:dyDescent="0.35">
      <c r="A3" t="s">
        <v>9</v>
      </c>
    </row>
    <row r="4" spans="1:17" x14ac:dyDescent="0.35">
      <c r="A4" t="s">
        <v>10</v>
      </c>
      <c r="B4" s="1"/>
      <c r="C4" s="1" t="e">
        <f t="shared" ref="C4:C11" si="0">(B4-B3)/B3*100</f>
        <v>#DIV/0!</v>
      </c>
      <c r="D4" s="1"/>
      <c r="E4" s="1" t="e">
        <f t="shared" ref="E4:E11" si="1">(D4-D3)/D3*100</f>
        <v>#DIV/0!</v>
      </c>
      <c r="F4" s="1"/>
      <c r="G4" s="1" t="e">
        <f t="shared" ref="G4:G11" si="2">(F4-F3)/F3*100</f>
        <v>#DIV/0!</v>
      </c>
      <c r="H4" s="1"/>
      <c r="I4" s="1" t="e">
        <f t="shared" ref="I4:I11" si="3">(H4-H3)/H3*100</f>
        <v>#DIV/0!</v>
      </c>
      <c r="J4" s="1"/>
      <c r="K4" s="1" t="e">
        <f t="shared" ref="K4:K11" si="4">(J4-J3)/J3*100</f>
        <v>#DIV/0!</v>
      </c>
      <c r="L4" s="1"/>
      <c r="M4" s="1" t="e">
        <f t="shared" ref="M4:M11" si="5">(L4-L3)/L3*100</f>
        <v>#DIV/0!</v>
      </c>
      <c r="N4" s="1"/>
      <c r="O4" s="1" t="e">
        <f t="shared" ref="O4:O11" si="6">(N4-N3)/N3*100</f>
        <v>#DIV/0!</v>
      </c>
      <c r="P4" s="1"/>
      <c r="Q4" s="1" t="e">
        <f t="shared" ref="Q4:Q11" si="7">(P4-P3)/P3*100</f>
        <v>#DIV/0!</v>
      </c>
    </row>
    <row r="5" spans="1:17" x14ac:dyDescent="0.35">
      <c r="A5" t="s">
        <v>11</v>
      </c>
      <c r="C5" t="e">
        <f t="shared" si="0"/>
        <v>#DIV/0!</v>
      </c>
      <c r="E5" t="e">
        <f t="shared" si="1"/>
        <v>#DIV/0!</v>
      </c>
      <c r="G5" t="e">
        <f t="shared" si="2"/>
        <v>#DIV/0!</v>
      </c>
      <c r="I5" t="e">
        <f t="shared" si="3"/>
        <v>#DIV/0!</v>
      </c>
      <c r="K5" t="e">
        <f t="shared" si="4"/>
        <v>#DIV/0!</v>
      </c>
      <c r="M5" t="e">
        <f t="shared" si="5"/>
        <v>#DIV/0!</v>
      </c>
      <c r="O5" t="e">
        <f t="shared" si="6"/>
        <v>#DIV/0!</v>
      </c>
      <c r="Q5" t="e">
        <f t="shared" si="7"/>
        <v>#DIV/0!</v>
      </c>
    </row>
    <row r="6" spans="1:17" x14ac:dyDescent="0.35">
      <c r="A6" t="s">
        <v>12</v>
      </c>
      <c r="B6" s="1"/>
      <c r="C6" t="e">
        <f t="shared" si="0"/>
        <v>#DIV/0!</v>
      </c>
      <c r="D6" s="1"/>
      <c r="E6" t="e">
        <f t="shared" si="1"/>
        <v>#DIV/0!</v>
      </c>
      <c r="F6" s="1"/>
      <c r="G6" t="e">
        <f t="shared" si="2"/>
        <v>#DIV/0!</v>
      </c>
      <c r="H6" s="1"/>
      <c r="I6" t="e">
        <f t="shared" si="3"/>
        <v>#DIV/0!</v>
      </c>
      <c r="J6" s="1"/>
      <c r="K6" t="e">
        <f t="shared" si="4"/>
        <v>#DIV/0!</v>
      </c>
      <c r="L6" s="1"/>
      <c r="M6" t="e">
        <f t="shared" si="5"/>
        <v>#DIV/0!</v>
      </c>
      <c r="N6" s="1"/>
      <c r="O6" t="e">
        <f t="shared" si="6"/>
        <v>#DIV/0!</v>
      </c>
      <c r="P6" s="1"/>
      <c r="Q6" t="e">
        <f t="shared" si="7"/>
        <v>#DIV/0!</v>
      </c>
    </row>
    <row r="7" spans="1:17" x14ac:dyDescent="0.35">
      <c r="A7" t="s">
        <v>13</v>
      </c>
      <c r="C7" t="e">
        <f t="shared" si="0"/>
        <v>#DIV/0!</v>
      </c>
      <c r="E7" t="e">
        <f t="shared" si="1"/>
        <v>#DIV/0!</v>
      </c>
      <c r="G7" t="e">
        <f t="shared" si="2"/>
        <v>#DIV/0!</v>
      </c>
      <c r="I7" t="e">
        <f t="shared" si="3"/>
        <v>#DIV/0!</v>
      </c>
      <c r="K7" t="e">
        <f t="shared" si="4"/>
        <v>#DIV/0!</v>
      </c>
      <c r="M7" t="e">
        <f t="shared" si="5"/>
        <v>#DIV/0!</v>
      </c>
      <c r="O7" t="e">
        <f t="shared" si="6"/>
        <v>#DIV/0!</v>
      </c>
      <c r="Q7" t="e">
        <f t="shared" si="7"/>
        <v>#DIV/0!</v>
      </c>
    </row>
    <row r="8" spans="1:17" x14ac:dyDescent="0.35">
      <c r="A8" t="s">
        <v>14</v>
      </c>
      <c r="B8" s="1"/>
      <c r="C8" s="1" t="e">
        <f t="shared" si="0"/>
        <v>#DIV/0!</v>
      </c>
      <c r="D8" s="1"/>
      <c r="E8" s="1" t="e">
        <f t="shared" si="1"/>
        <v>#DIV/0!</v>
      </c>
      <c r="F8" s="1"/>
      <c r="G8" s="1" t="e">
        <f t="shared" si="2"/>
        <v>#DIV/0!</v>
      </c>
      <c r="H8" s="1"/>
      <c r="I8" s="1" t="e">
        <f t="shared" si="3"/>
        <v>#DIV/0!</v>
      </c>
      <c r="J8" s="1"/>
      <c r="K8" s="1" t="e">
        <f t="shared" si="4"/>
        <v>#DIV/0!</v>
      </c>
      <c r="L8" s="1"/>
      <c r="M8" s="1" t="e">
        <f t="shared" si="5"/>
        <v>#DIV/0!</v>
      </c>
      <c r="N8" s="1"/>
      <c r="O8" s="1" t="e">
        <f t="shared" si="6"/>
        <v>#DIV/0!</v>
      </c>
      <c r="P8" s="1"/>
      <c r="Q8" s="1" t="e">
        <f t="shared" si="7"/>
        <v>#DIV/0!</v>
      </c>
    </row>
    <row r="9" spans="1:17" x14ac:dyDescent="0.35">
      <c r="A9" t="s">
        <v>15</v>
      </c>
      <c r="C9" t="e">
        <f t="shared" si="0"/>
        <v>#DIV/0!</v>
      </c>
      <c r="E9" t="e">
        <f t="shared" si="1"/>
        <v>#DIV/0!</v>
      </c>
      <c r="G9" t="e">
        <f t="shared" si="2"/>
        <v>#DIV/0!</v>
      </c>
      <c r="I9" t="e">
        <f t="shared" si="3"/>
        <v>#DIV/0!</v>
      </c>
      <c r="K9" t="e">
        <f t="shared" si="4"/>
        <v>#DIV/0!</v>
      </c>
      <c r="M9" t="e">
        <f t="shared" si="5"/>
        <v>#DIV/0!</v>
      </c>
      <c r="O9" t="e">
        <f t="shared" si="6"/>
        <v>#DIV/0!</v>
      </c>
      <c r="Q9" t="e">
        <f t="shared" si="7"/>
        <v>#DIV/0!</v>
      </c>
    </row>
    <row r="10" spans="1:17" x14ac:dyDescent="0.35">
      <c r="A10" t="s">
        <v>16</v>
      </c>
      <c r="B10" s="1"/>
      <c r="C10" t="e">
        <f t="shared" si="0"/>
        <v>#DIV/0!</v>
      </c>
      <c r="D10" s="1"/>
      <c r="E10" t="e">
        <f t="shared" si="1"/>
        <v>#DIV/0!</v>
      </c>
      <c r="F10" s="1"/>
      <c r="G10" t="e">
        <f t="shared" si="2"/>
        <v>#DIV/0!</v>
      </c>
      <c r="H10" s="1"/>
      <c r="I10" t="e">
        <f t="shared" si="3"/>
        <v>#DIV/0!</v>
      </c>
      <c r="J10" s="1"/>
      <c r="K10" t="e">
        <f t="shared" si="4"/>
        <v>#DIV/0!</v>
      </c>
      <c r="L10" s="1"/>
      <c r="M10" t="e">
        <f t="shared" si="5"/>
        <v>#DIV/0!</v>
      </c>
      <c r="N10" s="1"/>
      <c r="O10" t="e">
        <f t="shared" si="6"/>
        <v>#DIV/0!</v>
      </c>
      <c r="P10" s="1"/>
      <c r="Q10" t="e">
        <f t="shared" si="7"/>
        <v>#DIV/0!</v>
      </c>
    </row>
    <row r="11" spans="1:17" x14ac:dyDescent="0.35">
      <c r="A11" t="s">
        <v>17</v>
      </c>
      <c r="C11" t="e">
        <f t="shared" si="0"/>
        <v>#DIV/0!</v>
      </c>
      <c r="E11" t="e">
        <f t="shared" si="1"/>
        <v>#DIV/0!</v>
      </c>
      <c r="G11" t="e">
        <f t="shared" si="2"/>
        <v>#DIV/0!</v>
      </c>
      <c r="I11" t="e">
        <f t="shared" si="3"/>
        <v>#DIV/0!</v>
      </c>
      <c r="K11" t="e">
        <f t="shared" si="4"/>
        <v>#DIV/0!</v>
      </c>
      <c r="M11" t="e">
        <f t="shared" si="5"/>
        <v>#DIV/0!</v>
      </c>
      <c r="O11" t="e">
        <f t="shared" si="6"/>
        <v>#DIV/0!</v>
      </c>
      <c r="Q11" t="e">
        <f t="shared" si="7"/>
        <v>#DIV/0!</v>
      </c>
    </row>
    <row r="14" spans="1:17" x14ac:dyDescent="0.35">
      <c r="A14" t="s">
        <v>24</v>
      </c>
      <c r="C14" t="s">
        <v>25</v>
      </c>
    </row>
    <row r="15" spans="1:17" x14ac:dyDescent="0.35">
      <c r="A15" t="s">
        <v>18</v>
      </c>
    </row>
    <row r="16" spans="1:17" x14ac:dyDescent="0.35">
      <c r="A16" s="1" t="s">
        <v>19</v>
      </c>
      <c r="B16" s="1"/>
      <c r="C16" s="1" t="e">
        <f>B7/B3*100</f>
        <v>#DIV/0!</v>
      </c>
      <c r="D16" s="1"/>
      <c r="E16" s="1" t="e">
        <f t="shared" ref="E16:I16" si="8">D7/D3*100</f>
        <v>#DIV/0!</v>
      </c>
      <c r="F16" s="1"/>
      <c r="G16" s="1" t="e">
        <f t="shared" si="8"/>
        <v>#DIV/0!</v>
      </c>
      <c r="H16" s="1"/>
      <c r="I16" s="1" t="e">
        <f t="shared" si="8"/>
        <v>#DIV/0!</v>
      </c>
      <c r="J16" s="1"/>
      <c r="K16" s="1" t="e">
        <f>J7/J3*100</f>
        <v>#DIV/0!</v>
      </c>
      <c r="L16" s="1"/>
      <c r="M16" s="1" t="e">
        <f t="shared" ref="M16" si="9">L7/L3*100</f>
        <v>#DIV/0!</v>
      </c>
      <c r="N16" s="1"/>
      <c r="O16" s="1" t="e">
        <f t="shared" ref="O16" si="10">N7/N3*100</f>
        <v>#DIV/0!</v>
      </c>
      <c r="P16" s="1"/>
      <c r="Q16" s="1" t="e">
        <f t="shared" ref="Q16" si="11">P7/P3*100</f>
        <v>#DIV/0!</v>
      </c>
    </row>
    <row r="17" spans="1:17" x14ac:dyDescent="0.35">
      <c r="A17" t="s">
        <v>20</v>
      </c>
    </row>
    <row r="18" spans="1:17" x14ac:dyDescent="0.35">
      <c r="A18" s="1" t="s">
        <v>21</v>
      </c>
      <c r="B18" s="1"/>
      <c r="C18" s="1" t="e">
        <f>B11/B7*100</f>
        <v>#DIV/0!</v>
      </c>
      <c r="D18" s="1"/>
      <c r="E18" s="1" t="e">
        <f>D11/D7*100</f>
        <v>#DIV/0!</v>
      </c>
      <c r="F18" s="1"/>
      <c r="G18" s="1" t="e">
        <f>F11/F7*100</f>
        <v>#DIV/0!</v>
      </c>
      <c r="H18" s="1"/>
      <c r="I18" s="1" t="e">
        <f>H11/H7*100</f>
        <v>#DIV/0!</v>
      </c>
      <c r="J18" s="1"/>
      <c r="K18" s="1" t="e">
        <f>J11/J7*100</f>
        <v>#DIV/0!</v>
      </c>
      <c r="L18" s="1"/>
      <c r="M18" s="1" t="e">
        <f>L11/L7*100</f>
        <v>#DIV/0!</v>
      </c>
      <c r="N18" s="1"/>
      <c r="O18" s="1" t="e">
        <f>N11/N7*100</f>
        <v>#DIV/0!</v>
      </c>
      <c r="P18" s="1"/>
      <c r="Q18" s="1" t="e">
        <f>P11/P7*100</f>
        <v>#DIV/0!</v>
      </c>
    </row>
    <row r="19" spans="1:17" x14ac:dyDescent="0.35">
      <c r="A19" t="s">
        <v>22</v>
      </c>
    </row>
    <row r="20" spans="1:17" x14ac:dyDescent="0.35">
      <c r="A20" s="1" t="s">
        <v>23</v>
      </c>
      <c r="B20" s="1"/>
      <c r="C20" s="1" t="e">
        <f>B11/B3*100</f>
        <v>#DIV/0!</v>
      </c>
      <c r="D20" s="1"/>
      <c r="E20" s="1" t="e">
        <f>D11/D3*100</f>
        <v>#DIV/0!</v>
      </c>
      <c r="F20" s="1"/>
      <c r="G20" s="1" t="e">
        <f>F11/F3*100</f>
        <v>#DIV/0!</v>
      </c>
      <c r="H20" s="1"/>
      <c r="I20" s="1" t="e">
        <f>H11/H3*100</f>
        <v>#DIV/0!</v>
      </c>
      <c r="J20" s="1"/>
      <c r="K20" s="1" t="e">
        <f>J11/J3*100</f>
        <v>#DIV/0!</v>
      </c>
      <c r="L20" s="1"/>
      <c r="M20" s="1" t="e">
        <f>L11/L3*100</f>
        <v>#DIV/0!</v>
      </c>
      <c r="N20" s="1"/>
      <c r="O20" s="1" t="e">
        <f>N11/N3*100</f>
        <v>#DIV/0!</v>
      </c>
      <c r="P20" s="1"/>
      <c r="Q20" s="1" t="e">
        <f>P11/P3*100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1233 P- 24 hpi</vt:lpstr>
      <vt:lpstr>1233 P- 24 hpi IPTG</vt:lpstr>
      <vt:lpstr>1233 P+ 24 hpi</vt:lpstr>
      <vt:lpstr>1234 P- 24 hpi</vt:lpstr>
      <vt:lpstr>1234 P+ 24 hpi</vt:lpstr>
      <vt:lpstr>1250 P- 24 hpi</vt:lpstr>
      <vt:lpstr>1250 P+ 24 hpi</vt:lpstr>
      <vt:lpstr>1480 P- 24 hpi</vt:lpstr>
      <vt:lpstr>1009 24 hpi</vt:lpstr>
      <vt:lpstr>NAD003 P- 24 hpi</vt:lpstr>
      <vt:lpstr>NAD003 P+ 24 hpi</vt:lpstr>
      <vt:lpstr>Average comparison</vt:lpstr>
      <vt:lpstr>Average comparison (2)</vt:lpstr>
      <vt:lpstr>Standard deviations</vt:lpstr>
      <vt:lpstr>Recovery</vt:lpstr>
      <vt:lpstr>Recovery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LarkinLab</dc:creator>
  <cp:lastModifiedBy>LarkinLab</cp:lastModifiedBy>
  <dcterms:created xsi:type="dcterms:W3CDTF">2025-02-20T18:06:46Z</dcterms:created>
  <dcterms:modified xsi:type="dcterms:W3CDTF">2026-04-01T19:02:24Z</dcterms:modified>
</cp:coreProperties>
</file>
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Data\"/>
    </mc:Choice>
  </mc:AlternateContent>
  <xr:revisionPtr revIDLastSave="0" documentId="13_ncr:1_{F7A00F02-31BA-45AD-ACEA-9E3A9FE00D7C}" xr6:coauthVersionLast="47" xr6:coauthVersionMax="47" xr10:uidLastSave="{00000000-0000-0000-0000-000000000000}"/>
  <bookViews>
    <workbookView xWindow="-110" yWindow="-110" windowWidth="38620" windowHeight="21100" activeTab="2" xr2:uid="{12E7C934-ABEF-2042-B2F7-0A4EB10C727D}"/>
  </bookViews>
  <sheets>
    <sheet name="24 hpi" sheetId="1" r:id="rId1"/>
    <sheet name="24 hpi plot" sheetId="3" r:id="rId2"/>
    <sheet name="72 hpi" sheetId="2" r:id="rId3"/>
    <sheet name="72 hpi pl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G22" i="1"/>
  <c r="I22" i="1"/>
  <c r="J22" i="1"/>
  <c r="H22" i="1"/>
  <c r="E22" i="1"/>
  <c r="F21" i="1"/>
  <c r="G21" i="1"/>
  <c r="I21" i="1"/>
  <c r="J21" i="1"/>
  <c r="H21" i="1"/>
  <c r="F20" i="1"/>
  <c r="G20" i="1" s="1"/>
  <c r="E21" i="1"/>
  <c r="E20" i="1"/>
  <c r="F20" i="2"/>
  <c r="F21" i="2"/>
  <c r="F22" i="2"/>
  <c r="E22" i="2"/>
  <c r="E21" i="2"/>
  <c r="E20" i="2"/>
  <c r="H20" i="2" l="1"/>
  <c r="I20" i="1"/>
  <c r="J20" i="1"/>
  <c r="H20" i="1"/>
  <c r="H22" i="2"/>
  <c r="L20" i="2" s="1"/>
  <c r="H21" i="2"/>
  <c r="G22" i="2"/>
  <c r="G21" i="2"/>
  <c r="G20" i="2"/>
  <c r="F28" i="2"/>
  <c r="E28" i="2"/>
  <c r="F27" i="2"/>
  <c r="E27" i="2"/>
  <c r="F26" i="2"/>
  <c r="E26" i="2"/>
  <c r="F25" i="2"/>
  <c r="E25" i="2"/>
  <c r="F24" i="2"/>
  <c r="E24" i="2"/>
  <c r="F23" i="2"/>
  <c r="E23" i="2"/>
  <c r="F19" i="2"/>
  <c r="E19" i="2"/>
  <c r="G19" i="2" s="1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3" i="1"/>
  <c r="H3" i="1" s="1"/>
  <c r="F4" i="1"/>
  <c r="F5" i="1"/>
  <c r="F6" i="1"/>
  <c r="H6" i="1" s="1"/>
  <c r="F7" i="1"/>
  <c r="H7" i="1" s="1"/>
  <c r="F8" i="1"/>
  <c r="F9" i="1"/>
  <c r="F10" i="1"/>
  <c r="H10" i="1" s="1"/>
  <c r="F11" i="1"/>
  <c r="H11" i="1" s="1"/>
  <c r="F12" i="1"/>
  <c r="F13" i="1"/>
  <c r="F14" i="1"/>
  <c r="H14" i="1" s="1"/>
  <c r="F15" i="1"/>
  <c r="H15" i="1" s="1"/>
  <c r="F16" i="1"/>
  <c r="F17" i="1"/>
  <c r="F18" i="1"/>
  <c r="H18" i="1" s="1"/>
  <c r="F19" i="1"/>
  <c r="H19" i="1" s="1"/>
  <c r="F23" i="1"/>
  <c r="F24" i="1"/>
  <c r="F25" i="1"/>
  <c r="H25" i="1" s="1"/>
  <c r="F26" i="1"/>
  <c r="H26" i="1" s="1"/>
  <c r="F27" i="1"/>
  <c r="F28" i="1"/>
  <c r="E3" i="1"/>
  <c r="G3" i="1" s="1"/>
  <c r="E4" i="1"/>
  <c r="G4" i="1" s="1"/>
  <c r="E5" i="1"/>
  <c r="G5" i="1" s="1"/>
  <c r="E6" i="1"/>
  <c r="E7" i="1"/>
  <c r="E8" i="1"/>
  <c r="G8" i="1" s="1"/>
  <c r="E9" i="1"/>
  <c r="G9" i="1" s="1"/>
  <c r="E10" i="1"/>
  <c r="E11" i="1"/>
  <c r="E12" i="1"/>
  <c r="G12" i="1" s="1"/>
  <c r="E13" i="1"/>
  <c r="G13" i="1" s="1"/>
  <c r="E14" i="1"/>
  <c r="E15" i="1"/>
  <c r="E16" i="1"/>
  <c r="G16" i="1" s="1"/>
  <c r="E17" i="1"/>
  <c r="G17" i="1" s="1"/>
  <c r="E18" i="1"/>
  <c r="E19" i="1"/>
  <c r="E23" i="1"/>
  <c r="G23" i="1" s="1"/>
  <c r="E24" i="1"/>
  <c r="G24" i="1" s="1"/>
  <c r="E25" i="1"/>
  <c r="E26" i="1"/>
  <c r="E27" i="1"/>
  <c r="G27" i="1" s="1"/>
  <c r="J27" i="1" s="1"/>
  <c r="E28" i="1"/>
  <c r="G28" i="1" s="1"/>
  <c r="F2" i="1"/>
  <c r="E2" i="1"/>
  <c r="G2" i="1" s="1"/>
  <c r="P20" i="2" l="1"/>
  <c r="G15" i="1"/>
  <c r="G19" i="1"/>
  <c r="G7" i="1"/>
  <c r="G18" i="1"/>
  <c r="G14" i="1"/>
  <c r="G10" i="1"/>
  <c r="G6" i="1"/>
  <c r="H28" i="1"/>
  <c r="H24" i="1"/>
  <c r="H17" i="1"/>
  <c r="H13" i="1"/>
  <c r="H9" i="1"/>
  <c r="H5" i="1"/>
  <c r="G26" i="1"/>
  <c r="G11" i="1"/>
  <c r="H27" i="1"/>
  <c r="H23" i="1"/>
  <c r="H16" i="1"/>
  <c r="H12" i="1"/>
  <c r="H8" i="1"/>
  <c r="H4" i="1"/>
  <c r="J26" i="1"/>
  <c r="I26" i="1"/>
  <c r="J19" i="1"/>
  <c r="I19" i="1"/>
  <c r="J15" i="1"/>
  <c r="I15" i="1"/>
  <c r="J11" i="1"/>
  <c r="I11" i="1"/>
  <c r="J7" i="1"/>
  <c r="I7" i="1"/>
  <c r="J3" i="1"/>
  <c r="I3" i="1"/>
  <c r="P14" i="1"/>
  <c r="F6" i="3" s="1"/>
  <c r="L14" i="1"/>
  <c r="B6" i="3" s="1"/>
  <c r="J18" i="1"/>
  <c r="I18" i="1"/>
  <c r="J14" i="1"/>
  <c r="I14" i="1"/>
  <c r="J10" i="1"/>
  <c r="I10" i="1"/>
  <c r="J6" i="1"/>
  <c r="I6" i="1"/>
  <c r="P17" i="1"/>
  <c r="F7" i="3" s="1"/>
  <c r="L17" i="1"/>
  <c r="B7" i="3" s="1"/>
  <c r="P5" i="1"/>
  <c r="F3" i="3" s="1"/>
  <c r="L5" i="1"/>
  <c r="B3" i="3" s="1"/>
  <c r="I28" i="1"/>
  <c r="J28" i="1"/>
  <c r="I24" i="1"/>
  <c r="J24" i="1"/>
  <c r="I17" i="1"/>
  <c r="J17" i="1"/>
  <c r="I13" i="1"/>
  <c r="J13" i="1"/>
  <c r="I9" i="1"/>
  <c r="J9" i="1"/>
  <c r="I5" i="1"/>
  <c r="J5" i="1"/>
  <c r="P23" i="1"/>
  <c r="F8" i="3" s="1"/>
  <c r="L23" i="1"/>
  <c r="B8" i="3" s="1"/>
  <c r="P8" i="1"/>
  <c r="F4" i="3" s="1"/>
  <c r="L8" i="1"/>
  <c r="B4" i="3" s="1"/>
  <c r="I23" i="1"/>
  <c r="J23" i="1"/>
  <c r="I16" i="1"/>
  <c r="J16" i="1"/>
  <c r="I12" i="1"/>
  <c r="J12" i="1"/>
  <c r="I8" i="1"/>
  <c r="J8" i="1"/>
  <c r="I4" i="1"/>
  <c r="J4" i="1"/>
  <c r="P26" i="1"/>
  <c r="F9" i="3" s="1"/>
  <c r="L26" i="1"/>
  <c r="B9" i="3" s="1"/>
  <c r="P11" i="1"/>
  <c r="F5" i="3" s="1"/>
  <c r="L11" i="1"/>
  <c r="B5" i="3" s="1"/>
  <c r="I27" i="1"/>
  <c r="G2" i="2"/>
  <c r="J2" i="2" s="1"/>
  <c r="G8" i="2"/>
  <c r="J8" i="2" s="1"/>
  <c r="H18" i="2"/>
  <c r="G27" i="2"/>
  <c r="J27" i="2" s="1"/>
  <c r="J22" i="2"/>
  <c r="I22" i="2"/>
  <c r="J21" i="2"/>
  <c r="I21" i="2"/>
  <c r="J20" i="2"/>
  <c r="I20" i="2"/>
  <c r="H5" i="2"/>
  <c r="G25" i="1"/>
  <c r="G26" i="2"/>
  <c r="I26" i="2" s="1"/>
  <c r="G23" i="2"/>
  <c r="J23" i="2" s="1"/>
  <c r="G16" i="2"/>
  <c r="J16" i="2" s="1"/>
  <c r="H14" i="2"/>
  <c r="G12" i="2"/>
  <c r="J12" i="2" s="1"/>
  <c r="G10" i="2"/>
  <c r="J10" i="2" s="1"/>
  <c r="R8" i="2" s="1"/>
  <c r="H4" i="4" s="1"/>
  <c r="G6" i="2"/>
  <c r="J6" i="2" s="1"/>
  <c r="G4" i="2"/>
  <c r="J4" i="2" s="1"/>
  <c r="H27" i="2"/>
  <c r="H24" i="2"/>
  <c r="H17" i="2"/>
  <c r="H16" i="2"/>
  <c r="H13" i="2"/>
  <c r="H12" i="2"/>
  <c r="H7" i="2"/>
  <c r="H6" i="2"/>
  <c r="H4" i="2"/>
  <c r="H28" i="2"/>
  <c r="H25" i="2"/>
  <c r="H23" i="2"/>
  <c r="G15" i="2"/>
  <c r="I15" i="2" s="1"/>
  <c r="G11" i="2"/>
  <c r="I11" i="2" s="1"/>
  <c r="H9" i="2"/>
  <c r="H3" i="2"/>
  <c r="H8" i="2"/>
  <c r="H11" i="2"/>
  <c r="H15" i="2"/>
  <c r="H19" i="2"/>
  <c r="H26" i="2"/>
  <c r="H2" i="2"/>
  <c r="G7" i="2"/>
  <c r="J7" i="2" s="1"/>
  <c r="H10" i="2"/>
  <c r="G13" i="2"/>
  <c r="I13" i="2" s="1"/>
  <c r="G14" i="2"/>
  <c r="J14" i="2" s="1"/>
  <c r="G17" i="2"/>
  <c r="J17" i="2" s="1"/>
  <c r="G18" i="2"/>
  <c r="J18" i="2" s="1"/>
  <c r="G24" i="2"/>
  <c r="J24" i="2" s="1"/>
  <c r="G25" i="2"/>
  <c r="J25" i="2" s="1"/>
  <c r="G28" i="2"/>
  <c r="J28" i="2" s="1"/>
  <c r="G9" i="2"/>
  <c r="J9" i="2" s="1"/>
  <c r="J15" i="2"/>
  <c r="J11" i="2"/>
  <c r="J19" i="2"/>
  <c r="I19" i="2"/>
  <c r="J26" i="2"/>
  <c r="I2" i="2"/>
  <c r="G3" i="2"/>
  <c r="G5" i="2"/>
  <c r="I8" i="2"/>
  <c r="I12" i="2"/>
  <c r="I23" i="2"/>
  <c r="I27" i="2"/>
  <c r="H2" i="1"/>
  <c r="J2" i="1"/>
  <c r="I2" i="1"/>
  <c r="Q8" i="1" l="1"/>
  <c r="G4" i="3" s="1"/>
  <c r="M8" i="1"/>
  <c r="C4" i="3" s="1"/>
  <c r="Q5" i="1"/>
  <c r="G3" i="3" s="1"/>
  <c r="M5" i="1"/>
  <c r="C3" i="3" s="1"/>
  <c r="R14" i="1"/>
  <c r="H6" i="3" s="1"/>
  <c r="N14" i="1"/>
  <c r="D6" i="3" s="1"/>
  <c r="R26" i="1"/>
  <c r="H9" i="3" s="1"/>
  <c r="N26" i="1"/>
  <c r="D9" i="3" s="1"/>
  <c r="Q2" i="1"/>
  <c r="G2" i="3" s="1"/>
  <c r="M2" i="1"/>
  <c r="C2" i="3" s="1"/>
  <c r="N23" i="1"/>
  <c r="D8" i="3" s="1"/>
  <c r="R17" i="1"/>
  <c r="H7" i="3" s="1"/>
  <c r="N17" i="1"/>
  <c r="D7" i="3" s="1"/>
  <c r="Q11" i="1"/>
  <c r="G5" i="3" s="1"/>
  <c r="M11" i="1"/>
  <c r="C5" i="3" s="1"/>
  <c r="R2" i="1"/>
  <c r="H2" i="3" s="1"/>
  <c r="N2" i="1"/>
  <c r="D2" i="3" s="1"/>
  <c r="I16" i="2"/>
  <c r="I6" i="2"/>
  <c r="Q17" i="1"/>
  <c r="G7" i="3" s="1"/>
  <c r="M17" i="1"/>
  <c r="C7" i="3" s="1"/>
  <c r="R11" i="1"/>
  <c r="H5" i="3" s="1"/>
  <c r="N11" i="1"/>
  <c r="D5" i="3" s="1"/>
  <c r="P2" i="1"/>
  <c r="F2" i="3" s="1"/>
  <c r="L2" i="1"/>
  <c r="B2" i="3" s="1"/>
  <c r="I14" i="2"/>
  <c r="Q14" i="2" s="1"/>
  <c r="G6" i="4" s="1"/>
  <c r="L5" i="2"/>
  <c r="B3" i="4" s="1"/>
  <c r="J25" i="1"/>
  <c r="R23" i="1" s="1"/>
  <c r="H8" i="3" s="1"/>
  <c r="I25" i="1"/>
  <c r="M23" i="1" s="1"/>
  <c r="C8" i="3" s="1"/>
  <c r="R8" i="1"/>
  <c r="H4" i="3" s="1"/>
  <c r="N8" i="1"/>
  <c r="D4" i="3" s="1"/>
  <c r="R5" i="1"/>
  <c r="H3" i="3" s="1"/>
  <c r="N5" i="1"/>
  <c r="D3" i="3" s="1"/>
  <c r="Q14" i="1"/>
  <c r="G6" i="3" s="1"/>
  <c r="M14" i="1"/>
  <c r="C6" i="3" s="1"/>
  <c r="Q26" i="1"/>
  <c r="G9" i="3" s="1"/>
  <c r="M26" i="1"/>
  <c r="C9" i="3" s="1"/>
  <c r="Q20" i="2"/>
  <c r="M20" i="2"/>
  <c r="N20" i="2"/>
  <c r="R20" i="2"/>
  <c r="L26" i="2"/>
  <c r="B9" i="4" s="1"/>
  <c r="P26" i="2"/>
  <c r="F9" i="4" s="1"/>
  <c r="L17" i="2"/>
  <c r="B7" i="4" s="1"/>
  <c r="P17" i="2"/>
  <c r="F7" i="4" s="1"/>
  <c r="L11" i="2"/>
  <c r="B5" i="4" s="1"/>
  <c r="P11" i="2"/>
  <c r="F5" i="4" s="1"/>
  <c r="N8" i="2"/>
  <c r="D4" i="4" s="1"/>
  <c r="L8" i="2"/>
  <c r="B4" i="4" s="1"/>
  <c r="P8" i="2"/>
  <c r="F4" i="4" s="1"/>
  <c r="Q11" i="2"/>
  <c r="G5" i="4" s="1"/>
  <c r="I10" i="2"/>
  <c r="N26" i="2"/>
  <c r="D9" i="4" s="1"/>
  <c r="R26" i="2"/>
  <c r="H9" i="4" s="1"/>
  <c r="P23" i="2"/>
  <c r="F8" i="4" s="1"/>
  <c r="P14" i="2"/>
  <c r="F6" i="4" s="1"/>
  <c r="R17" i="2"/>
  <c r="H7" i="4" s="1"/>
  <c r="N14" i="2"/>
  <c r="D6" i="4" s="1"/>
  <c r="R14" i="2"/>
  <c r="H6" i="4" s="1"/>
  <c r="R23" i="2"/>
  <c r="H8" i="4" s="1"/>
  <c r="I4" i="2"/>
  <c r="P5" i="2"/>
  <c r="F3" i="4" s="1"/>
  <c r="P2" i="2"/>
  <c r="F2" i="4" s="1"/>
  <c r="L23" i="2"/>
  <c r="B8" i="4" s="1"/>
  <c r="N23" i="2"/>
  <c r="D8" i="4" s="1"/>
  <c r="N17" i="2"/>
  <c r="D7" i="4" s="1"/>
  <c r="L14" i="2"/>
  <c r="B6" i="4" s="1"/>
  <c r="M11" i="2"/>
  <c r="C5" i="4" s="1"/>
  <c r="L2" i="2"/>
  <c r="B2" i="4" s="1"/>
  <c r="I24" i="2"/>
  <c r="I9" i="2"/>
  <c r="I25" i="2"/>
  <c r="J13" i="2"/>
  <c r="N11" i="2" s="1"/>
  <c r="D5" i="4" s="1"/>
  <c r="I18" i="2"/>
  <c r="I28" i="2"/>
  <c r="Q26" i="2" s="1"/>
  <c r="G9" i="4" s="1"/>
  <c r="I7" i="2"/>
  <c r="I17" i="2"/>
  <c r="J3" i="2"/>
  <c r="I3" i="2"/>
  <c r="M2" i="2" s="1"/>
  <c r="C2" i="4" s="1"/>
  <c r="J5" i="2"/>
  <c r="I5" i="2"/>
  <c r="Q23" i="1" l="1"/>
  <c r="G8" i="3" s="1"/>
  <c r="M14" i="2"/>
  <c r="C6" i="4" s="1"/>
  <c r="M26" i="2"/>
  <c r="C9" i="4" s="1"/>
  <c r="Q8" i="2"/>
  <c r="G4" i="4" s="1"/>
  <c r="Q5" i="2"/>
  <c r="G3" i="4" s="1"/>
  <c r="Q17" i="2"/>
  <c r="G7" i="4" s="1"/>
  <c r="Q23" i="2"/>
  <c r="G8" i="4" s="1"/>
  <c r="N2" i="2"/>
  <c r="D2" i="4" s="1"/>
  <c r="R2" i="2"/>
  <c r="H2" i="4" s="1"/>
  <c r="Q2" i="2"/>
  <c r="G2" i="4" s="1"/>
  <c r="R11" i="2"/>
  <c r="H5" i="4" s="1"/>
  <c r="N5" i="2"/>
  <c r="D3" i="4" s="1"/>
  <c r="R5" i="2"/>
  <c r="H3" i="4" s="1"/>
  <c r="M8" i="2"/>
  <c r="C4" i="4" s="1"/>
  <c r="M23" i="2"/>
  <c r="C8" i="4" s="1"/>
  <c r="M17" i="2"/>
  <c r="C7" i="4" s="1"/>
  <c r="M5" i="2"/>
  <c r="C3" i="4" s="1"/>
</calcChain>
</file>

<file path=xl/sharedStrings.xml><?xml version="1.0" encoding="utf-8"?>
<sst xmlns="http://schemas.openxmlformats.org/spreadsheetml/2006/main" count="116" uniqueCount="57">
  <si>
    <t>m_foil</t>
  </si>
  <si>
    <t>m_wet+foil</t>
  </si>
  <si>
    <t>m_dry+foil</t>
  </si>
  <si>
    <t>m_wet</t>
  </si>
  <si>
    <t>m_dry</t>
  </si>
  <si>
    <t>m_water</t>
  </si>
  <si>
    <t>Sample</t>
  </si>
  <si>
    <t>Polymer volume fraction (m_dry/m_wet)</t>
  </si>
  <si>
    <t>Water content (m_water/m_wet)</t>
  </si>
  <si>
    <t>Hydration ratio (m_water/m_dry)</t>
  </si>
  <si>
    <t>∆rapP Parafilm- 1</t>
  </si>
  <si>
    <t>∆rapP Parafilm- 2</t>
  </si>
  <si>
    <t>∆rapP Parafilm- 3</t>
  </si>
  <si>
    <t>∆rapP Parafilm+ 1</t>
  </si>
  <si>
    <t>∆rapP Parafilm+ 2</t>
  </si>
  <si>
    <t>∆rapP Parafilm+ 3</t>
  </si>
  <si>
    <t>Spore- Parafilm- 1</t>
  </si>
  <si>
    <t>Spore- Parafilm- 2</t>
  </si>
  <si>
    <t>Spore- Parafilm- 3</t>
  </si>
  <si>
    <t>Spore- Parafilm+ 1</t>
  </si>
  <si>
    <t>Spore- Parafilm+ 2</t>
  </si>
  <si>
    <t>Spore- Parafilm+ 3</t>
  </si>
  <si>
    <t>PGA- Parafilm- 1</t>
  </si>
  <si>
    <t>PGA- Parafilm- 2</t>
  </si>
  <si>
    <t>PGA- Parafilm- 3</t>
  </si>
  <si>
    <t>PGA- Parafilm+ 1</t>
  </si>
  <si>
    <t>PGA- Parafilm+ 2</t>
  </si>
  <si>
    <t>PGA- Parafilm+ 3</t>
  </si>
  <si>
    <t>EPS- Parafilm- 1</t>
  </si>
  <si>
    <t>EPS- Parafilm- 2</t>
  </si>
  <si>
    <t>EPS- Parafilm- 3</t>
  </si>
  <si>
    <t>Avg polymer volume fraction (m_dry/m_wet)</t>
  </si>
  <si>
    <t>Avg water content (m_water/m_wet)</t>
  </si>
  <si>
    <t>Avg hydration ratio (m_water/m_dry)</t>
  </si>
  <si>
    <t>Spore- Parafilm-</t>
  </si>
  <si>
    <t>Spore- Parafilm+</t>
  </si>
  <si>
    <t>PGA- Parafilm-</t>
  </si>
  <si>
    <t>EPS- Parafilm-</t>
  </si>
  <si>
    <t>EPS- Parafilm+</t>
  </si>
  <si>
    <t>PGA- Parafilm+</t>
  </si>
  <si>
    <t>WT Parafilm-</t>
  </si>
  <si>
    <t>WT Parafilm+</t>
  </si>
  <si>
    <t>SD polymer volume fraction (m_dry/m_wet)</t>
  </si>
  <si>
    <t>SD water content (m_water/m_wet)</t>
  </si>
  <si>
    <t>SD hydration ratio (m_water/m_dry)</t>
  </si>
  <si>
    <t>SD polymer volume fraction</t>
  </si>
  <si>
    <t>SD water content</t>
  </si>
  <si>
    <t>SD hydration ratio</t>
  </si>
  <si>
    <t>Polymer volume fraction</t>
  </si>
  <si>
    <t>Water content</t>
  </si>
  <si>
    <t>Hydration ratio</t>
  </si>
  <si>
    <t>NAD003 Parafilm- 1</t>
  </si>
  <si>
    <t>NAD003 Parafilm- 3</t>
  </si>
  <si>
    <t>NAD003 Parafilm+ 2</t>
  </si>
  <si>
    <t>NAD003 Parafilm+ 3</t>
  </si>
  <si>
    <t>NAD003 Parafilm- 2</t>
  </si>
  <si>
    <t>NAD003 Parafilm+ 1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</si>
</sst>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">
    <xf numFmtId="0" fontId="0" fillId="0" borderId="0" xfId="0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hpi'!$H$1</c:f>
              <c:strCache>
                <c:ptCount val="1"/>
                <c:pt idx="0">
                  <c:v>Polymer volume fraction (m_dry/m_wet)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hpi'!$H$2:$H$28</c:f>
              <c:numCache>
                <c:formatCode>General</c:formatCode>
                <c:ptCount val="27"/>
                <c:pt idx="0">
                  <c:v>0.24121779859484782</c:v>
                </c:pt>
                <c:pt idx="1">
                  <c:v>0.23603941811356169</c:v>
                </c:pt>
                <c:pt idx="2">
                  <c:v>0.24945295404814008</c:v>
                </c:pt>
                <c:pt idx="3">
                  <c:v>0.16952789699570817</c:v>
                </c:pt>
                <c:pt idx="4">
                  <c:v>0.22989161437535649</c:v>
                </c:pt>
                <c:pt idx="5">
                  <c:v>0.2173645320197044</c:v>
                </c:pt>
                <c:pt idx="6">
                  <c:v>0.19185475956820408</c:v>
                </c:pt>
                <c:pt idx="7">
                  <c:v>0.18859915100060642</c:v>
                </c:pt>
                <c:pt idx="8">
                  <c:v>0.21863013698630135</c:v>
                </c:pt>
                <c:pt idx="9">
                  <c:v>0.17925591882750846</c:v>
                </c:pt>
                <c:pt idx="10">
                  <c:v>0.18068331143232591</c:v>
                </c:pt>
                <c:pt idx="11">
                  <c:v>0.21832579185520365</c:v>
                </c:pt>
                <c:pt idx="12">
                  <c:v>0.23847572218807622</c:v>
                </c:pt>
                <c:pt idx="13">
                  <c:v>0.27324343506032645</c:v>
                </c:pt>
                <c:pt idx="14">
                  <c:v>0.27065712426805466</c:v>
                </c:pt>
                <c:pt idx="15">
                  <c:v>0.18473282442748087</c:v>
                </c:pt>
                <c:pt idx="16">
                  <c:v>0.2564956695536309</c:v>
                </c:pt>
                <c:pt idx="17">
                  <c:v>0.24485733244857333</c:v>
                </c:pt>
                <c:pt idx="18">
                  <c:v>0.25392670157068065</c:v>
                </c:pt>
                <c:pt idx="19">
                  <c:v>0.24766355140186916</c:v>
                </c:pt>
                <c:pt idx="20">
                  <c:v>0.24267578125</c:v>
                </c:pt>
                <c:pt idx="21">
                  <c:v>0.23464912280701761</c:v>
                </c:pt>
                <c:pt idx="22">
                  <c:v>0.20475954387704512</c:v>
                </c:pt>
                <c:pt idx="23">
                  <c:v>0.21988595866001426</c:v>
                </c:pt>
                <c:pt idx="24">
                  <c:v>0.2</c:v>
                </c:pt>
                <c:pt idx="25">
                  <c:v>0.2129995608256478</c:v>
                </c:pt>
                <c:pt idx="26">
                  <c:v>0.23141891891891894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2-C04A-AE78-74A07AC9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796015"/>
        <c:axId val="1669662879"/>
      </c:barChart>
      <c:catAx>
        <c:axId val="16697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662879"/>
        <c:crosses val="autoZero"/>
        <c:auto val="1"/>
        <c:lblAlgn val="ctr"/>
        <c:lblOffset val="100"/>
        <c:noMultiLvlLbl val="0"/>
      </c:catAx>
      <c:valAx>
        <c:axId val="16696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9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hpi'!$I$1</c:f>
              <c:strCache>
                <c:ptCount val="1"/>
                <c:pt idx="0">
                  <c:v>Water content (m_water/m_wet)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hpi'!$I$2:$I$28</c:f>
              <c:numCache>
                <c:formatCode>General</c:formatCode>
                <c:ptCount val="27"/>
                <c:pt idx="0">
                  <c:v>0.75878220140515207</c:v>
                </c:pt>
                <c:pt idx="1">
                  <c:v>0.76396058188643834</c:v>
                </c:pt>
                <c:pt idx="2">
                  <c:v>0.75054704595185995</c:v>
                </c:pt>
                <c:pt idx="3">
                  <c:v>0.83047210300429186</c:v>
                </c:pt>
                <c:pt idx="4">
                  <c:v>0.77010838562464345</c:v>
                </c:pt>
                <c:pt idx="5">
                  <c:v>0.7826354679802956</c:v>
                </c:pt>
                <c:pt idx="6">
                  <c:v>0.80814524043179592</c:v>
                </c:pt>
                <c:pt idx="7">
                  <c:v>0.81140084899939358</c:v>
                </c:pt>
                <c:pt idx="8">
                  <c:v>0.7813698630136986</c:v>
                </c:pt>
                <c:pt idx="9">
                  <c:v>0.82074408117249142</c:v>
                </c:pt>
                <c:pt idx="10">
                  <c:v>0.81931668856767415</c:v>
                </c:pt>
                <c:pt idx="11">
                  <c:v>0.78167420814479638</c:v>
                </c:pt>
                <c:pt idx="12">
                  <c:v>0.76152427781192378</c:v>
                </c:pt>
                <c:pt idx="13">
                  <c:v>0.72675656493967355</c:v>
                </c:pt>
                <c:pt idx="14">
                  <c:v>0.72934287573194534</c:v>
                </c:pt>
                <c:pt idx="15">
                  <c:v>0.81526717557251915</c:v>
                </c:pt>
                <c:pt idx="16">
                  <c:v>0.7435043304463691</c:v>
                </c:pt>
                <c:pt idx="17">
                  <c:v>0.75514266755142667</c:v>
                </c:pt>
                <c:pt idx="18">
                  <c:v>0.74607329842931935</c:v>
                </c:pt>
                <c:pt idx="19">
                  <c:v>0.75233644859813087</c:v>
                </c:pt>
                <c:pt idx="20">
                  <c:v>0.75732421875000011</c:v>
                </c:pt>
                <c:pt idx="21">
                  <c:v>0.76535087719298234</c:v>
                </c:pt>
                <c:pt idx="22">
                  <c:v>0.7952404561229548</c:v>
                </c:pt>
                <c:pt idx="23">
                  <c:v>0.78011404133998585</c:v>
                </c:pt>
                <c:pt idx="24">
                  <c:v>0.8</c:v>
                </c:pt>
                <c:pt idx="25">
                  <c:v>0.78700043917435225</c:v>
                </c:pt>
                <c:pt idx="26">
                  <c:v>0.76858108108108114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1-684F-B5E2-1D43410C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6671"/>
        <c:axId val="1642372431"/>
      </c:barChart>
      <c:catAx>
        <c:axId val="164305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72431"/>
        <c:crosses val="autoZero"/>
        <c:auto val="1"/>
        <c:lblAlgn val="ctr"/>
        <c:lblOffset val="100"/>
        <c:noMultiLvlLbl val="0"/>
      </c:catAx>
      <c:valAx>
        <c:axId val="16423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5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hpi'!$J$1</c:f>
              <c:strCache>
                <c:ptCount val="1"/>
                <c:pt idx="0">
                  <c:v>Hydration ratio (m_water/m_dry)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hpi'!$J$2:$J$28</c:f>
              <c:numCache>
                <c:formatCode>General</c:formatCode>
                <c:ptCount val="27"/>
                <c:pt idx="0">
                  <c:v>3.1456310679611641</c:v>
                </c:pt>
                <c:pt idx="1">
                  <c:v>3.2365805168986088</c:v>
                </c:pt>
                <c:pt idx="2">
                  <c:v>3.0087719298245612</c:v>
                </c:pt>
                <c:pt idx="3">
                  <c:v>4.8987341772151902</c:v>
                </c:pt>
                <c:pt idx="4">
                  <c:v>3.3498759305210921</c:v>
                </c:pt>
                <c:pt idx="5">
                  <c:v>3.6005665722379607</c:v>
                </c:pt>
                <c:pt idx="6">
                  <c:v>4.2122762148337607</c:v>
                </c:pt>
                <c:pt idx="7">
                  <c:v>4.302250803858521</c:v>
                </c:pt>
                <c:pt idx="8">
                  <c:v>3.573934837092732</c:v>
                </c:pt>
                <c:pt idx="9">
                  <c:v>4.5786163522012568</c:v>
                </c:pt>
                <c:pt idx="10">
                  <c:v>4.5345454545454542</c:v>
                </c:pt>
                <c:pt idx="11">
                  <c:v>3.5803108808290149</c:v>
                </c:pt>
                <c:pt idx="12">
                  <c:v>3.1932989690721651</c:v>
                </c:pt>
                <c:pt idx="13">
                  <c:v>2.6597402597402597</c:v>
                </c:pt>
                <c:pt idx="14">
                  <c:v>2.6947115384615383</c:v>
                </c:pt>
                <c:pt idx="15">
                  <c:v>4.4132231404958686</c:v>
                </c:pt>
                <c:pt idx="16">
                  <c:v>2.8987012987012988</c:v>
                </c:pt>
                <c:pt idx="17">
                  <c:v>3.0840108401084008</c:v>
                </c:pt>
                <c:pt idx="18">
                  <c:v>2.9381443298969074</c:v>
                </c:pt>
                <c:pt idx="19">
                  <c:v>3.0377358490566038</c:v>
                </c:pt>
                <c:pt idx="20">
                  <c:v>3.1207243460764591</c:v>
                </c:pt>
                <c:pt idx="21">
                  <c:v>3.2616822429906529</c:v>
                </c:pt>
                <c:pt idx="22">
                  <c:v>3.8837772397094428</c:v>
                </c:pt>
                <c:pt idx="23">
                  <c:v>3.5478119935170183</c:v>
                </c:pt>
                <c:pt idx="24">
                  <c:v>4</c:v>
                </c:pt>
                <c:pt idx="25">
                  <c:v>3.694845360824742</c:v>
                </c:pt>
                <c:pt idx="26">
                  <c:v>3.3211678832116789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8-1644-94C3-E3D708991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327599"/>
        <c:axId val="1643152751"/>
      </c:barChart>
      <c:catAx>
        <c:axId val="129632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52751"/>
        <c:crosses val="autoZero"/>
        <c:auto val="1"/>
        <c:lblAlgn val="ctr"/>
        <c:lblOffset val="100"/>
        <c:noMultiLvlLbl val="0"/>
      </c:catAx>
      <c:valAx>
        <c:axId val="16431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2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hpi'!$L$1</c:f>
              <c:strCache>
                <c:ptCount val="1"/>
                <c:pt idx="0">
                  <c:v>Avg polymer volume fraction (m_dry/m_wet)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hpi'!$L$2:$L$28</c:f>
              <c:numCache>
                <c:formatCode>General</c:formatCode>
                <c:ptCount val="27"/>
                <c:pt idx="0">
                  <c:v>0.24223672358551651</c:v>
                </c:pt>
                <c:pt idx="3">
                  <c:v>0.20559468113025636</c:v>
                </c:pt>
                <c:pt idx="6">
                  <c:v>0.19969468251837061</c:v>
                </c:pt>
                <c:pt idx="9">
                  <c:v>0.19275500737167936</c:v>
                </c:pt>
                <c:pt idx="12">
                  <c:v>0.26079209383881913</c:v>
                </c:pt>
                <c:pt idx="15">
                  <c:v>0.22869527547656168</c:v>
                </c:pt>
                <c:pt idx="21">
                  <c:v>0.21976487511469234</c:v>
                </c:pt>
                <c:pt idx="24">
                  <c:v>0.2148061599148556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D-9B4D-941A-D2F86FB7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556175"/>
        <c:axId val="1277613727"/>
      </c:barChart>
      <c:catAx>
        <c:axId val="127755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13727"/>
        <c:crosses val="autoZero"/>
        <c:auto val="1"/>
        <c:lblAlgn val="ctr"/>
        <c:lblOffset val="100"/>
        <c:noMultiLvlLbl val="0"/>
      </c:catAx>
      <c:valAx>
        <c:axId val="12776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5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hpi'!$M$1</c:f>
              <c:strCache>
                <c:ptCount val="1"/>
                <c:pt idx="0">
                  <c:v>Avg water content (m_water/m_wet)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hpi'!$M$2:$M$28</c:f>
              <c:numCache>
                <c:formatCode>General</c:formatCode>
                <c:ptCount val="27"/>
                <c:pt idx="0">
                  <c:v>0.75776327641448338</c:v>
                </c:pt>
                <c:pt idx="3">
                  <c:v>0.79440531886974364</c:v>
                </c:pt>
                <c:pt idx="6">
                  <c:v>0.80030531748162936</c:v>
                </c:pt>
                <c:pt idx="9">
                  <c:v>0.80724499262832061</c:v>
                </c:pt>
                <c:pt idx="12">
                  <c:v>0.73920790616118082</c:v>
                </c:pt>
                <c:pt idx="15">
                  <c:v>0.77130472452343835</c:v>
                </c:pt>
                <c:pt idx="21">
                  <c:v>0.78023512488530766</c:v>
                </c:pt>
                <c:pt idx="24">
                  <c:v>0.78519384008514448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2-794A-8493-C556B5B95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605423"/>
        <c:axId val="1252176207"/>
      </c:barChart>
      <c:catAx>
        <c:axId val="122860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76207"/>
        <c:crosses val="autoZero"/>
        <c:auto val="1"/>
        <c:lblAlgn val="ctr"/>
        <c:lblOffset val="100"/>
        <c:noMultiLvlLbl val="0"/>
      </c:catAx>
      <c:valAx>
        <c:axId val="125217620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0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 hpi'!$N$1</c:f>
              <c:strCache>
                <c:ptCount val="1"/>
                <c:pt idx="0">
                  <c:v>Avg hydration ratio (m_water/m_dry)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'24 hpi'!$N$2:$N$28</c:f>
              <c:numCache>
                <c:formatCode>General</c:formatCode>
                <c:ptCount val="27"/>
                <c:pt idx="0">
                  <c:v>3.1303278382281117</c:v>
                </c:pt>
                <c:pt idx="3">
                  <c:v>3.9497255599914145</c:v>
                </c:pt>
                <c:pt idx="6">
                  <c:v>4.0294872852616708</c:v>
                </c:pt>
                <c:pt idx="9">
                  <c:v>4.2311575625252411</c:v>
                </c:pt>
                <c:pt idx="12">
                  <c:v>2.8492502557579882</c:v>
                </c:pt>
                <c:pt idx="15">
                  <c:v>3.465311759768523</c:v>
                </c:pt>
                <c:pt idx="21">
                  <c:v>3.5644238254057043</c:v>
                </c:pt>
                <c:pt idx="24">
                  <c:v>3.6720044146788067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2D48-850A-13037457B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241151"/>
        <c:axId val="1197669551"/>
      </c:barChart>
      <c:catAx>
        <c:axId val="12282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69551"/>
        <c:crosses val="autoZero"/>
        <c:auto val="1"/>
        <c:lblAlgn val="ctr"/>
        <c:lblOffset val="100"/>
        <c:noMultiLvlLbl val="0"/>
      </c:catAx>
      <c:valAx>
        <c:axId val="11976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24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'72 hpi'!$H$1</c:f>
              <c:strCache>
                <c:ptCount val="1"/>
                <c:pt idx="0">
                  <c:v>Polymer volume fraction (m_dry/m_wet)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'72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'72 hpi'!$H$2:$H$28</c:f>
              <c:numCache>
                <c:formatCode>General</c:formatCode>
                <c:ptCount val="27"/>
                <c:pt idx="0">
                  <c:v>0.18230852211434742</c:v>
                </c:pt>
                <c:pt idx="1">
                  <c:v>0.18097560975609753</c:v>
                </c:pt>
                <c:pt idx="2">
                  <c:v>0.16633035456904008</c:v>
                </c:pt>
                <c:pt idx="3">
                  <c:v>0.16503496503496506</c:v>
                </c:pt>
                <c:pt idx="4">
                  <c:v>0.16612510154346061</c:v>
                </c:pt>
                <c:pt idx="5">
                  <c:v>0.17778772951186739</c:v>
                </c:pt>
                <c:pt idx="6">
                  <c:v>0.10849673202614375</c:v>
                </c:pt>
                <c:pt idx="7">
                  <c:v>0.11688311688311701</c:v>
                </c:pt>
                <c:pt idx="8">
                  <c:v>0.11532846715328465</c:v>
                </c:pt>
                <c:pt idx="9">
                  <c:v>0.11243016759776543</c:v>
                </c:pt>
                <c:pt idx="10">
                  <c:v>0.10677083333333329</c:v>
                </c:pt>
                <c:pt idx="11">
                  <c:v>0.11985018726591749</c:v>
                </c:pt>
                <c:pt idx="12">
                  <c:v>0.17821782178217818</c:v>
                </c:pt>
                <c:pt idx="13">
                  <c:v>0.17901234567901236</c:v>
                </c:pt>
                <c:pt idx="14">
                  <c:v>0.18075117370892019</c:v>
                </c:pt>
                <c:pt idx="15">
                  <c:v>0.16603643863870751</c:v>
                </c:pt>
                <c:pt idx="16">
                  <c:v>0.16661295520464064</c:v>
                </c:pt>
                <c:pt idx="17">
                  <c:v>0.17066290550070523</c:v>
                </c:pt>
                <c:pt idx="18">
                  <c:v>0.15333333333333332</c:v>
                </c:pt>
                <c:pt idx="19">
                  <c:v>0.22676579925650558</c:v>
                </c:pt>
                <c:pt idx="20">
                  <c:v>0.14687500000000001</c:v>
                </c:pt>
                <c:pt idx="21">
                  <c:v>0.17848055252635403</c:v>
                </c:pt>
                <c:pt idx="22">
                  <c:v>0.17469244288224953</c:v>
                </c:pt>
                <c:pt idx="23">
                  <c:v>0.1830238726790451</c:v>
                </c:pt>
                <c:pt idx="24">
                  <c:v>0.16682084489670057</c:v>
                </c:pt>
                <c:pt idx="25">
                  <c:v>0.16672291596355046</c:v>
                </c:pt>
                <c:pt idx="26">
                  <c:v>0.17399920729290524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3-2E41-89A3-6AE76F62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796015"/>
        <c:axId val="1669662879"/>
      </c:barChart>
      <c:catAx>
        <c:axId val="16697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662879"/>
        <c:crosses val="autoZero"/>
        <c:auto val="1"/>
        <c:lblAlgn val="ctr"/>
        <c:lblOffset val="100"/>
        <c:noMultiLvlLbl val="0"/>
      </c:catAx>
      <c:valAx>
        <c:axId val="16696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9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'72 hpi'!$I$1</c:f>
              <c:strCache>
                <c:ptCount val="1"/>
                <c:pt idx="0">
                  <c:v>Water content (m_water/m_wet)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'72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'72 hpi'!$I$2:$I$28</c:f>
              <c:numCache>
                <c:formatCode>General</c:formatCode>
                <c:ptCount val="27"/>
                <c:pt idx="0">
                  <c:v>0.81769147788565255</c:v>
                </c:pt>
                <c:pt idx="1">
                  <c:v>0.8190243902439025</c:v>
                </c:pt>
                <c:pt idx="2">
                  <c:v>0.83366964543096</c:v>
                </c:pt>
                <c:pt idx="3">
                  <c:v>0.83496503496503494</c:v>
                </c:pt>
                <c:pt idx="4">
                  <c:v>0.83387489845653939</c:v>
                </c:pt>
                <c:pt idx="5">
                  <c:v>0.82221227048813261</c:v>
                </c:pt>
                <c:pt idx="6">
                  <c:v>0.89150326797385626</c:v>
                </c:pt>
                <c:pt idx="7">
                  <c:v>0.88311688311688297</c:v>
                </c:pt>
                <c:pt idx="8">
                  <c:v>0.8846715328467154</c:v>
                </c:pt>
                <c:pt idx="9">
                  <c:v>0.88756983240223453</c:v>
                </c:pt>
                <c:pt idx="10">
                  <c:v>0.89322916666666663</c:v>
                </c:pt>
                <c:pt idx="11">
                  <c:v>0.88014981273408255</c:v>
                </c:pt>
                <c:pt idx="12">
                  <c:v>0.82178217821782185</c:v>
                </c:pt>
                <c:pt idx="13">
                  <c:v>0.82098765432098753</c:v>
                </c:pt>
                <c:pt idx="14">
                  <c:v>0.81924882629107976</c:v>
                </c:pt>
                <c:pt idx="15">
                  <c:v>0.83396356136129246</c:v>
                </c:pt>
                <c:pt idx="16">
                  <c:v>0.8333870447953593</c:v>
                </c:pt>
                <c:pt idx="17">
                  <c:v>0.82933709449929482</c:v>
                </c:pt>
                <c:pt idx="18">
                  <c:v>0.84666666666666668</c:v>
                </c:pt>
                <c:pt idx="19">
                  <c:v>0.77323420074349447</c:v>
                </c:pt>
                <c:pt idx="20">
                  <c:v>0.85312500000000002</c:v>
                </c:pt>
                <c:pt idx="21">
                  <c:v>0.82151944747364603</c:v>
                </c:pt>
                <c:pt idx="22">
                  <c:v>0.8253075571177505</c:v>
                </c:pt>
                <c:pt idx="23">
                  <c:v>0.81697612732095493</c:v>
                </c:pt>
                <c:pt idx="24">
                  <c:v>0.83317915510329954</c:v>
                </c:pt>
                <c:pt idx="25">
                  <c:v>0.83327708403644962</c:v>
                </c:pt>
                <c:pt idx="26">
                  <c:v>0.8260007927070947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E-6149-8F12-F74D5CC23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56671"/>
        <c:axId val="1642372431"/>
      </c:barChart>
      <c:catAx>
        <c:axId val="164305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72431"/>
        <c:crosses val="autoZero"/>
        <c:auto val="1"/>
        <c:lblAlgn val="ctr"/>
        <c:lblOffset val="100"/>
        <c:noMultiLvlLbl val="0"/>
      </c:catAx>
      <c:valAx>
        <c:axId val="16423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5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'72 hpi'!$J$1</c:f>
              <c:strCache>
                <c:ptCount val="1"/>
                <c:pt idx="0">
                  <c:v>Hydration ratio (m_water/m_dry)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'72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'72 hpi'!$J$2:$J$28</c:f>
              <c:numCache>
                <c:formatCode>General</c:formatCode>
                <c:ptCount val="27"/>
                <c:pt idx="0">
                  <c:v>4.4852071005917145</c:v>
                </c:pt>
                <c:pt idx="1">
                  <c:v>4.525606469002696</c:v>
                </c:pt>
                <c:pt idx="2">
                  <c:v>5.01213171577123</c:v>
                </c:pt>
                <c:pt idx="3">
                  <c:v>5.0593220338983045</c:v>
                </c:pt>
                <c:pt idx="4">
                  <c:v>5.0195599022004886</c:v>
                </c:pt>
                <c:pt idx="5">
                  <c:v>4.6246851385390446</c:v>
                </c:pt>
                <c:pt idx="6">
                  <c:v>8.2168674698795208</c:v>
                </c:pt>
                <c:pt idx="7">
                  <c:v>7.5555555555555474</c:v>
                </c:pt>
                <c:pt idx="8">
                  <c:v>7.6708860759493689</c:v>
                </c:pt>
                <c:pt idx="9">
                  <c:v>7.8944099378881933</c:v>
                </c:pt>
                <c:pt idx="10">
                  <c:v>8.3658536585365884</c:v>
                </c:pt>
                <c:pt idx="11">
                  <c:v>7.3437500000000071</c:v>
                </c:pt>
                <c:pt idx="12">
                  <c:v>4.6111111111111125</c:v>
                </c:pt>
                <c:pt idx="13">
                  <c:v>4.5862068965517233</c:v>
                </c:pt>
                <c:pt idx="14">
                  <c:v>4.5324675324675328</c:v>
                </c:pt>
                <c:pt idx="15">
                  <c:v>5.0227743271221517</c:v>
                </c:pt>
                <c:pt idx="16">
                  <c:v>5.0019342359767895</c:v>
                </c:pt>
                <c:pt idx="17">
                  <c:v>4.8595041322314048</c:v>
                </c:pt>
                <c:pt idx="18">
                  <c:v>5.5217391304347823</c:v>
                </c:pt>
                <c:pt idx="19">
                  <c:v>3.4098360655737703</c:v>
                </c:pt>
                <c:pt idx="20">
                  <c:v>5.8085106382978724</c:v>
                </c:pt>
                <c:pt idx="21">
                  <c:v>4.6028513238289213</c:v>
                </c:pt>
                <c:pt idx="22">
                  <c:v>4.7243460764587537</c:v>
                </c:pt>
                <c:pt idx="23">
                  <c:v>4.4637681159420293</c:v>
                </c:pt>
                <c:pt idx="24">
                  <c:v>4.994454713493532</c:v>
                </c:pt>
                <c:pt idx="25">
                  <c:v>4.9979757085020244</c:v>
                </c:pt>
                <c:pt idx="26">
                  <c:v>4.7471526195899774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5-7D49-BDDD-B9F25170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327599"/>
        <c:axId val="1643152751"/>
      </c:barChart>
      <c:catAx>
        <c:axId val="129632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52751"/>
        <c:crosses val="autoZero"/>
        <c:auto val="1"/>
        <c:lblAlgn val="ctr"/>
        <c:lblOffset val="100"/>
        <c:noMultiLvlLbl val="0"/>
      </c:catAx>
      <c:valAx>
        <c:axId val="16431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2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'72 hpi'!$M$1</c:f>
              <c:strCache>
                <c:ptCount val="1"/>
                <c:pt idx="0">
                  <c:v>Avg water content (m_water/m_wet)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'72 hpi'!$Q$2:$Q$26</c:f>
                <c:numCache>
                  <c:formatCode>General</c:formatCode>
                  <c:ptCount val="25"/>
                  <c:pt idx="0">
                    <c:v>7.2384927294962187E-3</c:v>
                  </c:pt>
                  <c:pt idx="3">
                    <c:v>5.7719464321449821E-3</c:v>
                  </c:pt>
                  <c:pt idx="6">
                    <c:v>3.6426637322942886E-3</c:v>
                  </c:pt>
                  <c:pt idx="9">
                    <c:v>5.3557264834125607E-3</c:v>
                  </c:pt>
                  <c:pt idx="12">
                    <c:v>1.0579153045789619E-3</c:v>
                  </c:pt>
                  <c:pt idx="15">
                    <c:v>2.0585503091185941E-3</c:v>
                  </c:pt>
                  <c:pt idx="18">
                    <c:v>3.62346932079151E-2</c:v>
                  </c:pt>
                  <c:pt idx="21">
                    <c:v>3.4059466810033492E-3</c:v>
                  </c:pt>
                  <c:pt idx="24">
                    <c:v>3.4072291165964108E-3</c:v>
                  </c:pt>
                </c:numCache>
              </c:numRef>
            </c:plus>
            <c:minus>
              <c:numRef>
                <c:f>'72 hpi'!$Q$2:$Q$26</c:f>
                <c:numCache>
                  <c:formatCode>General</c:formatCode>
                  <c:ptCount val="25"/>
                  <c:pt idx="0">
                    <c:v>7.2384927294962187E-3</c:v>
                  </c:pt>
                  <c:pt idx="3">
                    <c:v>5.7719464321449821E-3</c:v>
                  </c:pt>
                  <c:pt idx="6">
                    <c:v>3.6426637322942886E-3</c:v>
                  </c:pt>
                  <c:pt idx="9">
                    <c:v>5.3557264834125607E-3</c:v>
                  </c:pt>
                  <c:pt idx="12">
                    <c:v>1.0579153045789619E-3</c:v>
                  </c:pt>
                  <c:pt idx="15">
                    <c:v>2.0585503091185941E-3</c:v>
                  </c:pt>
                  <c:pt idx="18">
                    <c:v>3.62346932079151E-2</c:v>
                  </c:pt>
                  <c:pt idx="21">
                    <c:v>3.4059466810033492E-3</c:v>
                  </c:pt>
                  <c:pt idx="24">
                    <c:v>3.4072291165964108E-3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'72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'72 hpi'!$M$2:$M$28</c:f>
              <c:numCache>
                <c:formatCode>General</c:formatCode>
                <c:ptCount val="27"/>
                <c:pt idx="0">
                  <c:v>0.82346183785350513</c:v>
                </c:pt>
                <c:pt idx="3">
                  <c:v>0.83035073463656905</c:v>
                </c:pt>
                <c:pt idx="6">
                  <c:v>0.88643056131248488</c:v>
                </c:pt>
                <c:pt idx="9">
                  <c:v>0.88698293726766131</c:v>
                </c:pt>
                <c:pt idx="12">
                  <c:v>0.8206728862766296</c:v>
                </c:pt>
                <c:pt idx="15">
                  <c:v>0.83222923355198219</c:v>
                </c:pt>
                <c:pt idx="18">
                  <c:v>0.82434195580338709</c:v>
                </c:pt>
                <c:pt idx="21">
                  <c:v>0.82126771063745052</c:v>
                </c:pt>
                <c:pt idx="24">
                  <c:v>0.83081901061561458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B-6640-9F8D-0D1F81DB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078527"/>
        <c:axId val="1766642591"/>
      </c:barChart>
      <c:catAx>
        <c:axId val="17660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642591"/>
        <c:crosses val="autoZero"/>
        <c:auto val="1"/>
        <c:lblAlgn val="ctr"/>
        <c:lblOffset val="100"/>
        <c:noMultiLvlLbl val="0"/>
      </c:catAx>
      <c:valAx>
        <c:axId val="1766642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'72 hpi'!$N$1</c:f>
              <c:strCache>
                <c:ptCount val="1"/>
                <c:pt idx="0">
                  <c:v>Avg hydration ratio (m_water/m_dry)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'72 hpi'!$R$2:$R$26</c:f>
                <c:numCache>
                  <c:formatCode>General</c:formatCode>
                  <c:ptCount val="25"/>
                  <c:pt idx="0">
                    <c:v>0.23944112586355695</c:v>
                  </c:pt>
                  <c:pt idx="3">
                    <c:v>0.19619047912717996</c:v>
                  </c:pt>
                  <c:pt idx="6">
                    <c:v>0.28843066940467488</c:v>
                  </c:pt>
                  <c:pt idx="9">
                    <c:v>0.41768960268597216</c:v>
                  </c:pt>
                  <c:pt idx="12">
                    <c:v>3.2817596257127046E-2</c:v>
                  </c:pt>
                  <c:pt idx="15">
                    <c:v>7.2554807170189584E-2</c:v>
                  </c:pt>
                  <c:pt idx="18">
                    <c:v>1.069579988122263</c:v>
                  </c:pt>
                  <c:pt idx="21">
                    <c:v>0.10646125384891506</c:v>
                  </c:pt>
                  <c:pt idx="24">
                    <c:v>0.11741803050370124</c:v>
                  </c:pt>
                </c:numCache>
              </c:numRef>
            </c:plus>
            <c:minus>
              <c:numRef>
                <c:f>'72 hpi'!$R$2:$R$27</c:f>
                <c:numCache>
                  <c:formatCode>General</c:formatCode>
                  <c:ptCount val="26"/>
                  <c:pt idx="0">
                    <c:v>0.23944112586355695</c:v>
                  </c:pt>
                  <c:pt idx="3">
                    <c:v>0.19619047912717996</c:v>
                  </c:pt>
                  <c:pt idx="6">
                    <c:v>0.28843066940467488</c:v>
                  </c:pt>
                  <c:pt idx="9">
                    <c:v>0.41768960268597216</c:v>
                  </c:pt>
                  <c:pt idx="12">
                    <c:v>3.2817596257127046E-2</c:v>
                  </c:pt>
                  <c:pt idx="15">
                    <c:v>7.2554807170189584E-2</c:v>
                  </c:pt>
                  <c:pt idx="18">
                    <c:v>1.069579988122263</c:v>
                  </c:pt>
                  <c:pt idx="21">
                    <c:v>0.10646125384891506</c:v>
                  </c:pt>
                  <c:pt idx="24">
                    <c:v>0.11741803050370124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'72 hpi'!$A$2:$A$28</c:f>
              <c:strCache>
                <c:ptCount val="27"/>
                <c:pt idx="0">
                  <c:v>∆rapP Parafilm- 1</c:v>
                </c:pt>
                <c:pt idx="1">
                  <c:v>∆rapP Parafilm- 2</c:v>
                </c:pt>
                <c:pt idx="2">
                  <c:v>∆rapP Parafilm- 3</c:v>
                </c:pt>
                <c:pt idx="3">
                  <c:v>∆rapP Parafilm+ 1</c:v>
                </c:pt>
                <c:pt idx="4">
                  <c:v>∆rapP Parafilm+ 2</c:v>
                </c:pt>
                <c:pt idx="5">
                  <c:v>∆rapP Parafilm+ 3</c:v>
                </c:pt>
                <c:pt idx="6">
                  <c:v>Spore- Parafilm- 1</c:v>
                </c:pt>
                <c:pt idx="7">
                  <c:v>Spore- Parafilm- 2</c:v>
                </c:pt>
                <c:pt idx="8">
                  <c:v>Spore- Parafilm- 3</c:v>
                </c:pt>
                <c:pt idx="9">
                  <c:v>Spore- Parafilm+ 1</c:v>
                </c:pt>
                <c:pt idx="10">
                  <c:v>Spore- Parafilm+ 2</c:v>
                </c:pt>
                <c:pt idx="11">
                  <c:v>Spore- Parafilm+ 3</c:v>
                </c:pt>
                <c:pt idx="12">
                  <c:v>PGA- Parafilm- 1</c:v>
                </c:pt>
                <c:pt idx="13">
                  <c:v>PGA- Parafilm- 2</c:v>
                </c:pt>
                <c:pt idx="14">
                  <c:v>PGA- Parafilm- 3</c:v>
                </c:pt>
                <c:pt idx="15">
                  <c:v>PGA- Parafilm+ 1</c:v>
                </c:pt>
                <c:pt idx="16">
                  <c:v>PGA- Parafilm+ 2</c:v>
                </c:pt>
                <c:pt idx="17">
                  <c:v>PGA- Parafilm+ 3</c:v>
                </c:pt>
                <c:pt idx="18">
                  <c:v>EPS- Parafilm- 1</c:v>
                </c:pt>
                <c:pt idx="19">
                  <c:v>EPS- Parafilm- 2</c:v>
                </c:pt>
                <c:pt idx="20">
                  <c:v>EPS- Parafilm- 3</c:v>
                </c:pt>
                <c:pt idx="21">
                  <c:v>NAD003 Parafilm- 1</c:v>
                </c:pt>
                <c:pt idx="22">
                  <c:v>NAD003 Parafilm- 2</c:v>
                </c:pt>
                <c:pt idx="23">
                  <c:v>NAD003 Parafilm- 3</c:v>
                </c:pt>
                <c:pt idx="24">
                  <c:v>NAD003 Parafilm+ 1</c:v>
                </c:pt>
                <c:pt idx="25">
                  <c:v>NAD003 Parafilm+ 2</c:v>
                </c:pt>
                <c:pt idx="26">
                  <c:v>NAD003 Parafilm+ 3</c:v>
                </c:pt>
              </c:strCache>
            </c:strRef>
          </c:cat>
          <c:val>
            <c:numRef>
              <c:f>'72 hpi'!$N$2:$N$28</c:f>
              <c:numCache>
                <c:formatCode>General</c:formatCode>
                <c:ptCount val="27"/>
                <c:pt idx="0">
                  <c:v>4.6743150951218801</c:v>
                </c:pt>
                <c:pt idx="3">
                  <c:v>4.9011890248792787</c:v>
                </c:pt>
                <c:pt idx="6">
                  <c:v>7.8144363671281454</c:v>
                </c:pt>
                <c:pt idx="9">
                  <c:v>7.8680045321415966</c:v>
                </c:pt>
                <c:pt idx="12">
                  <c:v>4.5765951800434559</c:v>
                </c:pt>
                <c:pt idx="15">
                  <c:v>4.9614042317767817</c:v>
                </c:pt>
                <c:pt idx="18">
                  <c:v>4.9133619447688082</c:v>
                </c:pt>
                <c:pt idx="21">
                  <c:v>4.5969885054099011</c:v>
                </c:pt>
                <c:pt idx="24">
                  <c:v>4.9131943471951782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D-4340-BB5E-5020C7CD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79024"/>
        <c:axId val="86522368"/>
      </c:barChart>
      <c:catAx>
        <c:axId val="8687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2368"/>
        <c:crosses val="autoZero"/>
        <c:auto val="1"/>
        <c:lblAlgn val="ctr"/>
        <c:lblOffset val="100"/>
        <c:noMultiLvlLbl val="0"/>
      </c:catAx>
      <c:valAx>
        <c:axId val="865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29</xdr:row>
      <xdr:rowOff>82550</xdr:rowOff>
    </xdr:from>
    <xdr:to>
      <xdr:col>7</xdr:col>
      <xdr:colOff>622300</xdr:colOff>
      <xdr:row>48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64FD1-74E7-0286-0A0F-3BFA01C45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920750</xdr:colOff>
      <xdr:row>29</xdr:row>
      <xdr:rowOff>95250</xdr:rowOff>
    </xdr:from>
    <xdr:to>
      <xdr:col>11</xdr:col>
      <xdr:colOff>647700</xdr:colOff>
      <xdr:row>48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811521-651D-174E-D043-26389513B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222250</xdr:colOff>
      <xdr:row>49</xdr:row>
      <xdr:rowOff>120650</xdr:rowOff>
    </xdr:from>
    <xdr:to>
      <xdr:col>7</xdr:col>
      <xdr:colOff>647700</xdr:colOff>
      <xdr:row>67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B82A31-9D06-E443-5436-27B00C3BA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361950</xdr:colOff>
      <xdr:row>30</xdr:row>
      <xdr:rowOff>6350</xdr:rowOff>
    </xdr:from>
    <xdr:to>
      <xdr:col>19</xdr:col>
      <xdr:colOff>495300</xdr:colOff>
      <xdr:row>47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A41C5-8C8E-A98B-2E14-3A25D39EF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336550</xdr:colOff>
      <xdr:row>47</xdr:row>
      <xdr:rowOff>158750</xdr:rowOff>
    </xdr:from>
    <xdr:to>
      <xdr:col>19</xdr:col>
      <xdr:colOff>508000</xdr:colOff>
      <xdr:row>62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95CDD1-840E-7E40-7C20-E37EDD742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539750</xdr:colOff>
      <xdr:row>63</xdr:row>
      <xdr:rowOff>120650</xdr:rowOff>
    </xdr:from>
    <xdr:to>
      <xdr:col>19</xdr:col>
      <xdr:colOff>647700</xdr:colOff>
      <xdr:row>80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1192B-BD0A-48D2-4408-3F3F2E96A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29</xdr:row>
      <xdr:rowOff>82550</xdr:rowOff>
    </xdr:from>
    <xdr:to>
      <xdr:col>7</xdr:col>
      <xdr:colOff>622300</xdr:colOff>
      <xdr:row>48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EE77E-A935-2A4C-9658-13B57BFD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920750</xdr:colOff>
      <xdr:row>29</xdr:row>
      <xdr:rowOff>95250</xdr:rowOff>
    </xdr:from>
    <xdr:to>
      <xdr:col>11</xdr:col>
      <xdr:colOff>647700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E5A7FB-8124-7244-8F94-1761A1323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222250</xdr:colOff>
      <xdr:row>49</xdr:row>
      <xdr:rowOff>120650</xdr:rowOff>
    </xdr:from>
    <xdr:to>
      <xdr:col>7</xdr:col>
      <xdr:colOff>647700</xdr:colOff>
      <xdr:row>67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CE0823-A42E-1D49-A813-AECF90FE3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1022350</xdr:colOff>
      <xdr:row>49</xdr:row>
      <xdr:rowOff>133350</xdr:rowOff>
    </xdr:from>
    <xdr:to>
      <xdr:col>11</xdr:col>
      <xdr:colOff>469900</xdr:colOff>
      <xdr:row>67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FA8079-99D5-EFB4-BBAB-349F8A50D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768350</xdr:colOff>
      <xdr:row>49</xdr:row>
      <xdr:rowOff>57150</xdr:rowOff>
    </xdr:from>
    <xdr:to>
      <xdr:col>19</xdr:col>
      <xdr:colOff>254000</xdr:colOff>
      <xdr:row>67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A9FFEE-62BC-C95C-DDF0-FBFB894D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A67D-EC07-D241-920B-62922279E420}">
  <dimension ref="A1:R28"/>
  <sheetViews>
    <sheetView workbookViewId="0">
      <selection activeCell="T29" sqref="T29"/>
    </sheetView>
  </sheetViews>
  <sheetFormatPr defaultColWidth="11" defaultRowHeight="15.5"/>
  <cols>
    <col min="1" max="1" width="15.4609375" bestFit="1" customWidth="1"/>
    <col min="8" max="8" width="33.69140625" bestFit="1" customWidth="1"/>
    <col min="9" max="9" width="28" bestFit="1" customWidth="1"/>
  </cols>
  <sheetData>
    <row r="1" spans="1:18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31</v>
      </c>
      <c r="M1" t="s">
        <v>32</v>
      </c>
      <c r="N1" t="s">
        <v>33</v>
      </c>
      <c r="P1" t="s">
        <v>42</v>
      </c>
      <c r="Q1" t="s">
        <v>43</v>
      </c>
      <c r="R1" t="s">
        <v>44</v>
      </c>
    </row>
    <row r="2" spans="1:18" s="1" customFormat="1" ht="14">
      <c r="A2" s="1" t="s">
        <v>10</v>
      </c>
      <c r="B2" s="1">
        <v>-38.1</v>
      </c>
      <c r="C2" s="1">
        <v>132.69999999999999</v>
      </c>
      <c r="D2" s="1">
        <v>3.1</v>
      </c>
      <c r="E2" s="1">
        <f>C2-B2</f>
        <v>170.79999999999998</v>
      </c>
      <c r="F2" s="1">
        <f>D2-B2</f>
        <v>41.2</v>
      </c>
      <c r="G2" s="1">
        <f>E2-F2</f>
        <v>129.59999999999997</v>
      </c>
      <c r="H2" s="1">
        <f>F2/E2</f>
        <v>0.24121779859484782</v>
      </c>
      <c r="I2" s="1">
        <f>G2/E2</f>
        <v>0.75878220140515207</v>
      </c>
      <c r="J2" s="1">
        <f>G2/F2</f>
        <v>3.1456310679611641</v>
      </c>
      <c r="L2" s="1">
        <f>AVERAGE(H2:H4)</f>
        <v>0.24223672358551651</v>
      </c>
      <c r="M2" s="1">
        <f>AVERAGE(I2:I4)</f>
        <v>0.75776327641448338</v>
      </c>
      <c r="N2" s="1">
        <f>AVERAGE(J2:J4)</f>
        <v>3.1303278382281117</v>
      </c>
      <c r="P2" s="1">
        <f>_xlfn.STDEV.P(H2:H4)</f>
        <v>5.5232473943935901E-3</v>
      </c>
      <c r="Q2" s="1">
        <f>_xlfn.STDEV.P(I2:I4)</f>
        <v>5.5232473943935814E-3</v>
      </c>
      <c r="R2" s="1">
        <f>_xlfn.STDEV.P(J2:J4)</f>
        <v>9.36298731401662E-2</v>
      </c>
    </row>
    <row r="3" spans="1:18" s="1" customFormat="1" ht="14">
      <c r="A3" s="1" t="s">
        <v>11</v>
      </c>
      <c r="B3" s="1">
        <v>-22.4</v>
      </c>
      <c r="C3" s="1">
        <v>190.7</v>
      </c>
      <c r="D3" s="1">
        <v>27.9</v>
      </c>
      <c r="E3" s="1">
        <f t="shared" ref="E3:E28" si="0">C3-B3</f>
        <v>213.1</v>
      </c>
      <c r="F3" s="1">
        <f t="shared" ref="F3:F28" si="1">D3-B3</f>
        <v>50.3</v>
      </c>
      <c r="G3" s="1">
        <f t="shared" ref="G3:G28" si="2">E3-F3</f>
        <v>162.80000000000001</v>
      </c>
      <c r="H3" s="1">
        <f t="shared" ref="H3:H28" si="3">F3/E3</f>
        <v>0.23603941811356169</v>
      </c>
      <c r="I3" s="1">
        <f t="shared" ref="I3:I28" si="4">G3/E3</f>
        <v>0.76396058188643834</v>
      </c>
      <c r="J3" s="1">
        <f t="shared" ref="J3:J28" si="5">G3/F3</f>
        <v>3.2365805168986088</v>
      </c>
    </row>
    <row r="4" spans="1:18" s="1" customFormat="1" ht="14">
      <c r="A4" s="1" t="s">
        <v>12</v>
      </c>
      <c r="B4" s="1">
        <v>7.4</v>
      </c>
      <c r="C4" s="1">
        <v>190.2</v>
      </c>
      <c r="D4" s="1">
        <v>53</v>
      </c>
      <c r="E4" s="1">
        <f t="shared" si="0"/>
        <v>182.79999999999998</v>
      </c>
      <c r="F4" s="1">
        <f t="shared" si="1"/>
        <v>45.6</v>
      </c>
      <c r="G4" s="1">
        <f t="shared" si="2"/>
        <v>137.19999999999999</v>
      </c>
      <c r="H4" s="1">
        <f t="shared" si="3"/>
        <v>0.24945295404814008</v>
      </c>
      <c r="I4" s="1">
        <f t="shared" si="4"/>
        <v>0.75054704595185995</v>
      </c>
      <c r="J4" s="1">
        <f t="shared" si="5"/>
        <v>3.0087719298245612</v>
      </c>
    </row>
    <row r="5" spans="1:18">
      <c r="A5" t="s">
        <v>13</v>
      </c>
      <c r="B5">
        <v>53.9</v>
      </c>
      <c r="C5">
        <v>240.3</v>
      </c>
      <c r="D5">
        <v>85.5</v>
      </c>
      <c r="E5">
        <f t="shared" si="0"/>
        <v>186.4</v>
      </c>
      <c r="F5">
        <f t="shared" si="1"/>
        <v>31.6</v>
      </c>
      <c r="G5">
        <f t="shared" si="2"/>
        <v>154.80000000000001</v>
      </c>
      <c r="H5">
        <f t="shared" si="3"/>
        <v>0.16952789699570817</v>
      </c>
      <c r="I5">
        <f t="shared" si="4"/>
        <v>0.83047210300429186</v>
      </c>
      <c r="J5">
        <f t="shared" si="5"/>
        <v>4.8987341772151902</v>
      </c>
      <c r="L5">
        <f>AVERAGE(H5:H7)</f>
        <v>0.20559468113025636</v>
      </c>
      <c r="M5">
        <f>AVERAGE(I5:I7)</f>
        <v>0.79440531886974364</v>
      </c>
      <c r="N5">
        <f>AVERAGE(J5:J7)</f>
        <v>3.9497255599914145</v>
      </c>
      <c r="P5">
        <f>_xlfn.STDEV.P(H5:H7)</f>
        <v>2.60107879727162E-2</v>
      </c>
      <c r="Q5">
        <f>_xlfn.STDEV.P(I5:I7)</f>
        <v>2.601078797271621E-2</v>
      </c>
      <c r="R5">
        <f>_xlfn.STDEV.P(J5:J7)</f>
        <v>0.67880997151133537</v>
      </c>
    </row>
    <row r="6" spans="1:18">
      <c r="A6" t="s">
        <v>14</v>
      </c>
      <c r="B6">
        <v>-72.5</v>
      </c>
      <c r="C6">
        <v>102.8</v>
      </c>
      <c r="D6">
        <v>-32.200000000000003</v>
      </c>
      <c r="E6">
        <f t="shared" si="0"/>
        <v>175.3</v>
      </c>
      <c r="F6">
        <f t="shared" si="1"/>
        <v>40.299999999999997</v>
      </c>
      <c r="G6">
        <f t="shared" si="2"/>
        <v>135</v>
      </c>
      <c r="H6">
        <f t="shared" si="3"/>
        <v>0.22989161437535649</v>
      </c>
      <c r="I6">
        <f t="shared" si="4"/>
        <v>0.77010838562464345</v>
      </c>
      <c r="J6">
        <f t="shared" si="5"/>
        <v>3.3498759305210921</v>
      </c>
    </row>
    <row r="7" spans="1:18">
      <c r="A7" t="s">
        <v>15</v>
      </c>
      <c r="B7">
        <v>40</v>
      </c>
      <c r="C7">
        <v>202.4</v>
      </c>
      <c r="D7">
        <v>75.3</v>
      </c>
      <c r="E7">
        <f t="shared" si="0"/>
        <v>162.4</v>
      </c>
      <c r="F7">
        <f t="shared" si="1"/>
        <v>35.299999999999997</v>
      </c>
      <c r="G7">
        <f t="shared" si="2"/>
        <v>127.10000000000001</v>
      </c>
      <c r="H7">
        <f t="shared" si="3"/>
        <v>0.2173645320197044</v>
      </c>
      <c r="I7">
        <f t="shared" si="4"/>
        <v>0.7826354679802956</v>
      </c>
      <c r="J7">
        <f t="shared" si="5"/>
        <v>3.6005665722379607</v>
      </c>
    </row>
    <row r="8" spans="1:18" s="1" customFormat="1" ht="14">
      <c r="A8" s="1" t="s">
        <v>16</v>
      </c>
      <c r="B8" s="1">
        <v>37.5</v>
      </c>
      <c r="C8" s="1">
        <v>241.3</v>
      </c>
      <c r="D8" s="1">
        <v>76.599999999999994</v>
      </c>
      <c r="E8" s="1">
        <f t="shared" si="0"/>
        <v>203.8</v>
      </c>
      <c r="F8" s="1">
        <f t="shared" si="1"/>
        <v>39.099999999999994</v>
      </c>
      <c r="G8" s="1">
        <f t="shared" si="2"/>
        <v>164.70000000000002</v>
      </c>
      <c r="H8" s="1">
        <f t="shared" si="3"/>
        <v>0.19185475956820408</v>
      </c>
      <c r="I8" s="1">
        <f t="shared" si="4"/>
        <v>0.80814524043179592</v>
      </c>
      <c r="J8" s="1">
        <f t="shared" si="5"/>
        <v>4.2122762148337607</v>
      </c>
      <c r="L8" s="1">
        <f>AVERAGE(H8:H10)</f>
        <v>0.19969468251837061</v>
      </c>
      <c r="M8" s="1">
        <f>AVERAGE(I8:I10)</f>
        <v>0.80030531748162936</v>
      </c>
      <c r="N8" s="1">
        <f>AVERAGE(J8:J10)</f>
        <v>4.0294872852616708</v>
      </c>
      <c r="P8" s="1">
        <f>_xlfn.STDEV.P(H8:H10)</f>
        <v>1.3455192893864737E-2</v>
      </c>
      <c r="Q8" s="1">
        <f>_xlfn.STDEV.P(I8:I10)</f>
        <v>1.3455192893864765E-2</v>
      </c>
      <c r="R8" s="1">
        <f>_xlfn.STDEV.P(J8:J10)</f>
        <v>0.32421174299324734</v>
      </c>
    </row>
    <row r="9" spans="1:18" s="1" customFormat="1" ht="14">
      <c r="A9" s="1" t="s">
        <v>17</v>
      </c>
      <c r="B9" s="1">
        <v>-15.4</v>
      </c>
      <c r="C9" s="1">
        <v>149.5</v>
      </c>
      <c r="D9" s="1">
        <v>15.7</v>
      </c>
      <c r="E9" s="1">
        <f t="shared" si="0"/>
        <v>164.9</v>
      </c>
      <c r="F9" s="1">
        <f t="shared" si="1"/>
        <v>31.1</v>
      </c>
      <c r="G9" s="1">
        <f t="shared" si="2"/>
        <v>133.80000000000001</v>
      </c>
      <c r="H9" s="1">
        <f t="shared" si="3"/>
        <v>0.18859915100060642</v>
      </c>
      <c r="I9" s="1">
        <f t="shared" si="4"/>
        <v>0.81140084899939358</v>
      </c>
      <c r="J9" s="1">
        <f t="shared" si="5"/>
        <v>4.302250803858521</v>
      </c>
    </row>
    <row r="10" spans="1:18" s="1" customFormat="1" ht="14">
      <c r="A10" s="1" t="s">
        <v>18</v>
      </c>
      <c r="B10" s="1">
        <v>-85.5</v>
      </c>
      <c r="C10" s="1">
        <v>97</v>
      </c>
      <c r="D10" s="1">
        <v>-45.6</v>
      </c>
      <c r="E10" s="1">
        <f t="shared" si="0"/>
        <v>182.5</v>
      </c>
      <c r="F10" s="1">
        <f t="shared" si="1"/>
        <v>39.9</v>
      </c>
      <c r="G10" s="1">
        <f t="shared" si="2"/>
        <v>142.6</v>
      </c>
      <c r="H10" s="1">
        <f t="shared" si="3"/>
        <v>0.21863013698630135</v>
      </c>
      <c r="I10" s="1">
        <f t="shared" si="4"/>
        <v>0.7813698630136986</v>
      </c>
      <c r="J10" s="1">
        <f t="shared" si="5"/>
        <v>3.573934837092732</v>
      </c>
    </row>
    <row r="11" spans="1:18">
      <c r="A11" t="s">
        <v>19</v>
      </c>
      <c r="B11">
        <v>67.8</v>
      </c>
      <c r="C11">
        <v>245.2</v>
      </c>
      <c r="D11">
        <v>99.6</v>
      </c>
      <c r="E11">
        <f t="shared" si="0"/>
        <v>177.39999999999998</v>
      </c>
      <c r="F11">
        <f t="shared" si="1"/>
        <v>31.799999999999997</v>
      </c>
      <c r="G11">
        <f t="shared" si="2"/>
        <v>145.59999999999997</v>
      </c>
      <c r="H11">
        <f t="shared" si="3"/>
        <v>0.17925591882750846</v>
      </c>
      <c r="I11">
        <f t="shared" si="4"/>
        <v>0.82074408117249142</v>
      </c>
      <c r="J11">
        <f t="shared" si="5"/>
        <v>4.5786163522012568</v>
      </c>
      <c r="L11">
        <f>AVERAGE(H11:H13)</f>
        <v>0.19275500737167936</v>
      </c>
      <c r="M11">
        <f>AVERAGE(I11:I13)</f>
        <v>0.80724499262832061</v>
      </c>
      <c r="N11">
        <f>AVERAGE(J11:J13)</f>
        <v>4.2311575625252411</v>
      </c>
      <c r="P11">
        <f>_xlfn.STDEV.P(H11:H13)</f>
        <v>1.8090662909158554E-2</v>
      </c>
      <c r="Q11">
        <f>_xlfn.STDEV.P(I11:I13)</f>
        <v>1.8090662909158527E-2</v>
      </c>
      <c r="R11">
        <f>_xlfn.STDEV.P(J11:J13)</f>
        <v>0.46056965691868845</v>
      </c>
    </row>
    <row r="12" spans="1:18">
      <c r="A12" t="s">
        <v>20</v>
      </c>
      <c r="B12">
        <v>-97.8</v>
      </c>
      <c r="C12">
        <v>54.4</v>
      </c>
      <c r="D12">
        <v>-70.3</v>
      </c>
      <c r="E12">
        <f t="shared" si="0"/>
        <v>152.19999999999999</v>
      </c>
      <c r="F12">
        <f t="shared" si="1"/>
        <v>27.5</v>
      </c>
      <c r="G12">
        <f t="shared" si="2"/>
        <v>124.69999999999999</v>
      </c>
      <c r="H12">
        <f t="shared" si="3"/>
        <v>0.18068331143232591</v>
      </c>
      <c r="I12">
        <f t="shared" si="4"/>
        <v>0.81931668856767415</v>
      </c>
      <c r="J12">
        <f t="shared" si="5"/>
        <v>4.5345454545454542</v>
      </c>
    </row>
    <row r="13" spans="1:18">
      <c r="A13" t="s">
        <v>21</v>
      </c>
      <c r="B13">
        <v>-32.6</v>
      </c>
      <c r="C13">
        <v>144.19999999999999</v>
      </c>
      <c r="D13">
        <v>6</v>
      </c>
      <c r="E13">
        <f t="shared" si="0"/>
        <v>176.79999999999998</v>
      </c>
      <c r="F13">
        <f t="shared" si="1"/>
        <v>38.6</v>
      </c>
      <c r="G13">
        <f t="shared" si="2"/>
        <v>138.19999999999999</v>
      </c>
      <c r="H13">
        <f t="shared" si="3"/>
        <v>0.21832579185520365</v>
      </c>
      <c r="I13">
        <f t="shared" si="4"/>
        <v>0.78167420814479638</v>
      </c>
      <c r="J13">
        <f t="shared" si="5"/>
        <v>3.5803108808290149</v>
      </c>
    </row>
    <row r="14" spans="1:18" s="1" customFormat="1" ht="14">
      <c r="A14" s="1" t="s">
        <v>22</v>
      </c>
      <c r="B14" s="1">
        <v>-51.3</v>
      </c>
      <c r="C14" s="1">
        <v>111.4</v>
      </c>
      <c r="D14" s="1">
        <v>-12.5</v>
      </c>
      <c r="E14" s="1">
        <f t="shared" si="0"/>
        <v>162.69999999999999</v>
      </c>
      <c r="F14" s="1">
        <f t="shared" si="1"/>
        <v>38.799999999999997</v>
      </c>
      <c r="G14" s="1">
        <f t="shared" si="2"/>
        <v>123.89999999999999</v>
      </c>
      <c r="H14" s="1">
        <f t="shared" si="3"/>
        <v>0.23847572218807622</v>
      </c>
      <c r="I14" s="1">
        <f t="shared" si="4"/>
        <v>0.76152427781192378</v>
      </c>
      <c r="J14" s="1">
        <f t="shared" si="5"/>
        <v>3.1932989690721651</v>
      </c>
      <c r="L14" s="1">
        <f>AVERAGE(H14:H16)</f>
        <v>0.26079209383881913</v>
      </c>
      <c r="M14" s="1">
        <f>AVERAGE(I14:I16)</f>
        <v>0.73920790616118082</v>
      </c>
      <c r="N14" s="1">
        <f>AVERAGE(J14:J16)</f>
        <v>2.8492502557579882</v>
      </c>
      <c r="P14" s="1">
        <f>_xlfn.STDEV.P(H14:H16)</f>
        <v>1.5815342416339816E-2</v>
      </c>
      <c r="Q14" s="1">
        <f>_xlfn.STDEV.P(I14:I16)</f>
        <v>1.5815342416339816E-2</v>
      </c>
      <c r="R14" s="1">
        <f>_xlfn.STDEV.P(J14:J16)</f>
        <v>0.24369774370957439</v>
      </c>
    </row>
    <row r="15" spans="1:18" s="1" customFormat="1" ht="14">
      <c r="A15" s="1" t="s">
        <v>23</v>
      </c>
      <c r="B15" s="1">
        <v>-82</v>
      </c>
      <c r="C15" s="1">
        <v>58.9</v>
      </c>
      <c r="D15" s="1">
        <v>-43.5</v>
      </c>
      <c r="E15" s="1">
        <f t="shared" si="0"/>
        <v>140.9</v>
      </c>
      <c r="F15" s="1">
        <f t="shared" si="1"/>
        <v>38.5</v>
      </c>
      <c r="G15" s="1">
        <f t="shared" si="2"/>
        <v>102.4</v>
      </c>
      <c r="H15" s="1">
        <f t="shared" si="3"/>
        <v>0.27324343506032645</v>
      </c>
      <c r="I15" s="1">
        <f t="shared" si="4"/>
        <v>0.72675656493967355</v>
      </c>
      <c r="J15" s="1">
        <f t="shared" si="5"/>
        <v>2.6597402597402597</v>
      </c>
    </row>
    <row r="16" spans="1:18" s="1" customFormat="1" ht="14">
      <c r="A16" s="1" t="s">
        <v>24</v>
      </c>
      <c r="B16" s="1">
        <v>-85.7</v>
      </c>
      <c r="C16" s="1">
        <v>68</v>
      </c>
      <c r="D16" s="1">
        <v>-44.1</v>
      </c>
      <c r="E16" s="1">
        <f t="shared" si="0"/>
        <v>153.69999999999999</v>
      </c>
      <c r="F16" s="1">
        <f t="shared" si="1"/>
        <v>41.6</v>
      </c>
      <c r="G16" s="1">
        <f t="shared" si="2"/>
        <v>112.1</v>
      </c>
      <c r="H16" s="1">
        <f t="shared" si="3"/>
        <v>0.27065712426805466</v>
      </c>
      <c r="I16" s="1">
        <f t="shared" si="4"/>
        <v>0.72934287573194534</v>
      </c>
      <c r="J16" s="1">
        <f t="shared" si="5"/>
        <v>2.6947115384615383</v>
      </c>
    </row>
    <row r="17" spans="1:18">
      <c r="A17" t="s">
        <v>25</v>
      </c>
      <c r="B17">
        <v>-42.4</v>
      </c>
      <c r="C17">
        <v>23.1</v>
      </c>
      <c r="D17">
        <v>-30.3</v>
      </c>
      <c r="E17">
        <f t="shared" si="0"/>
        <v>65.5</v>
      </c>
      <c r="F17">
        <f t="shared" si="1"/>
        <v>12.099999999999998</v>
      </c>
      <c r="G17">
        <f t="shared" si="2"/>
        <v>53.400000000000006</v>
      </c>
      <c r="H17">
        <f t="shared" si="3"/>
        <v>0.18473282442748087</v>
      </c>
      <c r="I17">
        <f t="shared" si="4"/>
        <v>0.81526717557251915</v>
      </c>
      <c r="J17">
        <f t="shared" si="5"/>
        <v>4.4132231404958686</v>
      </c>
      <c r="L17">
        <f>AVERAGE(H17:H19)</f>
        <v>0.22869527547656168</v>
      </c>
      <c r="M17">
        <f>AVERAGE(I17:I19)</f>
        <v>0.77130472452343835</v>
      </c>
      <c r="N17">
        <f>AVERAGE(J17:J19)</f>
        <v>3.465311759768523</v>
      </c>
      <c r="P17">
        <f>_xlfn.STDEV.P(H17:H19)</f>
        <v>3.1447157257054437E-2</v>
      </c>
      <c r="Q17">
        <f>_xlfn.STDEV.P(I17:I19)</f>
        <v>3.1447157257054381E-2</v>
      </c>
      <c r="R17">
        <f>_xlfn.STDEV.P(J17:J19)</f>
        <v>0.67453040248676943</v>
      </c>
    </row>
    <row r="18" spans="1:18">
      <c r="A18" t="s">
        <v>26</v>
      </c>
      <c r="B18">
        <v>-71.400000000000006</v>
      </c>
      <c r="C18">
        <v>78.7</v>
      </c>
      <c r="D18">
        <v>-32.9</v>
      </c>
      <c r="E18">
        <f t="shared" si="0"/>
        <v>150.10000000000002</v>
      </c>
      <c r="F18">
        <f t="shared" si="1"/>
        <v>38.500000000000007</v>
      </c>
      <c r="G18">
        <f t="shared" si="2"/>
        <v>111.60000000000002</v>
      </c>
      <c r="H18">
        <f t="shared" si="3"/>
        <v>0.2564956695536309</v>
      </c>
      <c r="I18">
        <f t="shared" si="4"/>
        <v>0.7435043304463691</v>
      </c>
      <c r="J18">
        <f t="shared" si="5"/>
        <v>2.8987012987012988</v>
      </c>
    </row>
    <row r="19" spans="1:18">
      <c r="A19" t="s">
        <v>27</v>
      </c>
      <c r="B19">
        <v>-56.9</v>
      </c>
      <c r="C19">
        <v>93.8</v>
      </c>
      <c r="D19">
        <v>-20</v>
      </c>
      <c r="E19">
        <f t="shared" si="0"/>
        <v>150.69999999999999</v>
      </c>
      <c r="F19">
        <f t="shared" si="1"/>
        <v>36.9</v>
      </c>
      <c r="G19">
        <f t="shared" si="2"/>
        <v>113.79999999999998</v>
      </c>
      <c r="H19">
        <f t="shared" si="3"/>
        <v>0.24485733244857333</v>
      </c>
      <c r="I19">
        <f t="shared" si="4"/>
        <v>0.75514266755142667</v>
      </c>
      <c r="J19">
        <f t="shared" si="5"/>
        <v>3.0840108401084008</v>
      </c>
    </row>
    <row r="20" spans="1:18" s="1" customFormat="1" ht="14">
      <c r="A20" s="1" t="s">
        <v>28</v>
      </c>
      <c r="B20" s="1">
        <v>0</v>
      </c>
      <c r="C20" s="1">
        <v>191</v>
      </c>
      <c r="D20" s="1">
        <v>48.5</v>
      </c>
      <c r="E20" s="1">
        <f t="shared" si="0"/>
        <v>191</v>
      </c>
      <c r="F20" s="1">
        <f t="shared" si="1"/>
        <v>48.5</v>
      </c>
      <c r="G20" s="1">
        <f t="shared" si="2"/>
        <v>142.5</v>
      </c>
      <c r="H20" s="1">
        <f t="shared" si="3"/>
        <v>0.25392670157068065</v>
      </c>
      <c r="I20" s="1">
        <f t="shared" si="4"/>
        <v>0.74607329842931935</v>
      </c>
      <c r="J20" s="1">
        <f t="shared" si="5"/>
        <v>2.9381443298969074</v>
      </c>
    </row>
    <row r="21" spans="1:18" s="1" customFormat="1" ht="14">
      <c r="A21" s="1" t="s">
        <v>29</v>
      </c>
      <c r="B21" s="1">
        <v>3.2</v>
      </c>
      <c r="C21" s="1">
        <v>217.2</v>
      </c>
      <c r="D21" s="1">
        <v>56.2</v>
      </c>
      <c r="E21" s="1">
        <f t="shared" si="0"/>
        <v>214</v>
      </c>
      <c r="F21" s="1">
        <f t="shared" si="1"/>
        <v>53</v>
      </c>
      <c r="G21" s="1">
        <f t="shared" si="2"/>
        <v>161</v>
      </c>
      <c r="H21" s="1">
        <f t="shared" si="3"/>
        <v>0.24766355140186916</v>
      </c>
      <c r="I21" s="1">
        <f t="shared" si="4"/>
        <v>0.75233644859813087</v>
      </c>
      <c r="J21" s="1">
        <f t="shared" si="5"/>
        <v>3.0377358490566038</v>
      </c>
    </row>
    <row r="22" spans="1:18" s="1" customFormat="1" ht="14">
      <c r="A22" s="1" t="s">
        <v>30</v>
      </c>
      <c r="B22" s="1">
        <v>8.6999999999999993</v>
      </c>
      <c r="C22" s="1">
        <v>213.5</v>
      </c>
      <c r="D22" s="1">
        <v>58.4</v>
      </c>
      <c r="E22" s="1">
        <f t="shared" si="0"/>
        <v>204.8</v>
      </c>
      <c r="F22" s="1">
        <f t="shared" si="1"/>
        <v>49.7</v>
      </c>
      <c r="G22" s="1">
        <f t="shared" si="2"/>
        <v>155.10000000000002</v>
      </c>
      <c r="H22" s="1">
        <f t="shared" si="3"/>
        <v>0.24267578125</v>
      </c>
      <c r="I22" s="1">
        <f t="shared" si="4"/>
        <v>0.75732421875000011</v>
      </c>
      <c r="J22" s="1">
        <f t="shared" si="5"/>
        <v>3.1207243460764591</v>
      </c>
    </row>
    <row r="23" spans="1:18">
      <c r="A23" t="s">
        <v>51</v>
      </c>
      <c r="B23">
        <v>-39.200000000000003</v>
      </c>
      <c r="C23">
        <v>143.19999999999999</v>
      </c>
      <c r="D23">
        <v>3.6</v>
      </c>
      <c r="E23">
        <f t="shared" si="0"/>
        <v>182.39999999999998</v>
      </c>
      <c r="F23">
        <f t="shared" si="1"/>
        <v>42.800000000000004</v>
      </c>
      <c r="G23">
        <f t="shared" si="2"/>
        <v>139.59999999999997</v>
      </c>
      <c r="H23">
        <f t="shared" si="3"/>
        <v>0.23464912280701761</v>
      </c>
      <c r="I23">
        <f t="shared" si="4"/>
        <v>0.76535087719298234</v>
      </c>
      <c r="J23">
        <f t="shared" si="5"/>
        <v>3.2616822429906529</v>
      </c>
      <c r="L23">
        <f>AVERAGE(H23:H25)</f>
        <v>0.21976487511469234</v>
      </c>
      <c r="M23">
        <f>AVERAGE(I23:I25)</f>
        <v>0.78023512488530766</v>
      </c>
      <c r="N23">
        <f>AVERAGE(J23:J25)</f>
        <v>3.5644238254057043</v>
      </c>
      <c r="P23">
        <f>_xlfn.STDEV.P(H23:H25)</f>
        <v>1.2202669873746881E-2</v>
      </c>
      <c r="Q23">
        <f>_xlfn.STDEV.P(I23:I25)</f>
        <v>1.2202669873746869E-2</v>
      </c>
      <c r="R23">
        <f>_xlfn.STDEV.P(J23:J25)</f>
        <v>0.25424071396304893</v>
      </c>
    </row>
    <row r="24" spans="1:18">
      <c r="A24" t="s">
        <v>55</v>
      </c>
      <c r="B24">
        <v>-7.5</v>
      </c>
      <c r="C24">
        <v>194.2</v>
      </c>
      <c r="D24">
        <v>33.799999999999997</v>
      </c>
      <c r="E24">
        <f t="shared" si="0"/>
        <v>201.7</v>
      </c>
      <c r="F24">
        <f t="shared" si="1"/>
        <v>41.3</v>
      </c>
      <c r="G24">
        <f t="shared" si="2"/>
        <v>160.39999999999998</v>
      </c>
      <c r="H24">
        <f t="shared" si="3"/>
        <v>0.20475954387704512</v>
      </c>
      <c r="I24">
        <f t="shared" si="4"/>
        <v>0.7952404561229548</v>
      </c>
      <c r="J24">
        <f t="shared" si="5"/>
        <v>3.8837772397094428</v>
      </c>
    </row>
    <row r="25" spans="1:18">
      <c r="A25" t="s">
        <v>52</v>
      </c>
      <c r="B25">
        <v>-1</v>
      </c>
      <c r="C25">
        <v>279.60000000000002</v>
      </c>
      <c r="D25">
        <v>60.7</v>
      </c>
      <c r="E25">
        <f t="shared" si="0"/>
        <v>280.60000000000002</v>
      </c>
      <c r="F25">
        <f t="shared" si="1"/>
        <v>61.7</v>
      </c>
      <c r="G25">
        <f t="shared" si="2"/>
        <v>218.90000000000003</v>
      </c>
      <c r="H25">
        <f t="shared" si="3"/>
        <v>0.21988595866001426</v>
      </c>
      <c r="I25">
        <f t="shared" si="4"/>
        <v>0.78011404133998585</v>
      </c>
      <c r="J25">
        <f t="shared" si="5"/>
        <v>3.5478119935170183</v>
      </c>
    </row>
    <row r="26" spans="1:18">
      <c r="A26" t="s">
        <v>56</v>
      </c>
      <c r="B26">
        <v>-25.9</v>
      </c>
      <c r="C26">
        <v>134.6</v>
      </c>
      <c r="D26">
        <v>6.2</v>
      </c>
      <c r="E26">
        <f t="shared" si="0"/>
        <v>160.5</v>
      </c>
      <c r="F26">
        <f t="shared" si="1"/>
        <v>32.1</v>
      </c>
      <c r="G26">
        <f t="shared" si="2"/>
        <v>128.4</v>
      </c>
      <c r="H26">
        <f t="shared" si="3"/>
        <v>0.2</v>
      </c>
      <c r="I26">
        <f t="shared" si="4"/>
        <v>0.8</v>
      </c>
      <c r="J26">
        <f t="shared" si="5"/>
        <v>4</v>
      </c>
      <c r="L26">
        <f>AVERAGE(H26:H28)</f>
        <v>0.2148061599148556</v>
      </c>
      <c r="M26">
        <f>AVERAGE(I26:I28)</f>
        <v>0.78519384008514448</v>
      </c>
      <c r="N26">
        <f>AVERAGE(J26:J28)</f>
        <v>3.6720044146788067</v>
      </c>
      <c r="P26">
        <f>_xlfn.STDEV.P(H26:H28)</f>
        <v>1.2890176277828664E-2</v>
      </c>
      <c r="Q26">
        <f>_xlfn.STDEV.P(I26:I28)</f>
        <v>1.2890176277828654E-2</v>
      </c>
      <c r="R26">
        <f>_xlfn.STDEV.P(J26:J28)</f>
        <v>0.27760228422626421</v>
      </c>
    </row>
    <row r="27" spans="1:18">
      <c r="A27" t="s">
        <v>53</v>
      </c>
      <c r="B27">
        <v>-23.6</v>
      </c>
      <c r="C27">
        <v>204.1</v>
      </c>
      <c r="D27">
        <v>24.9</v>
      </c>
      <c r="E27">
        <f t="shared" si="0"/>
        <v>227.7</v>
      </c>
      <c r="F27">
        <f t="shared" si="1"/>
        <v>48.5</v>
      </c>
      <c r="G27">
        <f t="shared" si="2"/>
        <v>179.2</v>
      </c>
      <c r="H27">
        <f t="shared" si="3"/>
        <v>0.2129995608256478</v>
      </c>
      <c r="I27">
        <f t="shared" si="4"/>
        <v>0.78700043917435225</v>
      </c>
      <c r="J27">
        <f t="shared" si="5"/>
        <v>3.694845360824742</v>
      </c>
    </row>
    <row r="28" spans="1:18">
      <c r="A28" t="s">
        <v>54</v>
      </c>
      <c r="B28">
        <v>-27.5</v>
      </c>
      <c r="C28">
        <v>150.1</v>
      </c>
      <c r="D28">
        <v>13.6</v>
      </c>
      <c r="E28">
        <f t="shared" si="0"/>
        <v>177.6</v>
      </c>
      <c r="F28">
        <f t="shared" si="1"/>
        <v>41.1</v>
      </c>
      <c r="G28">
        <f t="shared" si="2"/>
        <v>136.5</v>
      </c>
      <c r="H28">
        <f t="shared" si="3"/>
        <v>0.23141891891891894</v>
      </c>
      <c r="I28">
        <f t="shared" si="4"/>
        <v>0.76858108108108114</v>
      </c>
      <c r="J28">
        <f t="shared" si="5"/>
        <v>3.3211678832116789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69A0-5794-49B3-A6D5-723FFCF4FEC1}">
  <dimension ref="A1:H9"/>
  <sheetViews>
    <sheetView workbookViewId="0">
      <selection activeCell="B1" sqref="B1:D1"/>
    </sheetView>
  </sheetViews>
  <sheetFormatPr defaultColWidth="8.84375" defaultRowHeight="15.5"/>
  <sheetData>
    <row r="1" spans="1:8">
      <c r="A1" t="s">
        <v>6</v>
      </c>
      <c r="B1" t="s">
        <v>48</v>
      </c>
      <c r="C1" t="s">
        <v>49</v>
      </c>
      <c r="D1" t="s">
        <v>50</v>
      </c>
      <c r="F1" t="s">
        <v>45</v>
      </c>
      <c r="G1" t="s">
        <v>46</v>
      </c>
      <c r="H1" t="s">
        <v>47</v>
      </c>
    </row>
    <row r="2" spans="1:8">
      <c r="A2" t="s">
        <v>40</v>
      </c>
      <c r="B2">
        <f>'24 hpi'!L2</f>
        <v>0.24223672358551651</v>
      </c>
      <c r="C2">
        <f>'24 hpi'!M2</f>
        <v>0.75776327641448338</v>
      </c>
      <c r="D2">
        <f>'24 hpi'!N2</f>
        <v>3.1303278382281117</v>
      </c>
      <c r="F2">
        <f>'24 hpi'!P2</f>
        <v>5.5232473943935901E-3</v>
      </c>
      <c r="G2">
        <f>'24 hpi'!Q2</f>
        <v>5.5232473943935814E-3</v>
      </c>
      <c r="H2">
        <f>'24 hpi'!R2</f>
        <v>9.36298731401662E-2</v>
      </c>
    </row>
    <row r="3" spans="1:8">
      <c r="A3" t="s">
        <v>41</v>
      </c>
      <c r="B3">
        <f>'24 hpi'!L5</f>
        <v>0.20559468113025636</v>
      </c>
      <c r="C3">
        <f>'24 hpi'!M5</f>
        <v>0.79440531886974364</v>
      </c>
      <c r="D3">
        <f>'24 hpi'!N5</f>
        <v>3.9497255599914145</v>
      </c>
      <c r="F3">
        <f>'24 hpi'!P5</f>
        <v>2.60107879727162E-2</v>
      </c>
      <c r="G3">
        <f>'24 hpi'!Q5</f>
        <v>2.601078797271621E-2</v>
      </c>
      <c r="H3">
        <f>'24 hpi'!R5</f>
        <v>0.67880997151133537</v>
      </c>
    </row>
    <row r="4" spans="1:8">
      <c r="A4" t="s">
        <v>34</v>
      </c>
      <c r="B4">
        <f>'24 hpi'!L8</f>
        <v>0.19969468251837061</v>
      </c>
      <c r="C4">
        <f>'24 hpi'!M8</f>
        <v>0.80030531748162936</v>
      </c>
      <c r="D4">
        <f>'24 hpi'!N8</f>
        <v>4.0294872852616708</v>
      </c>
      <c r="F4">
        <f>'24 hpi'!P8</f>
        <v>1.3455192893864737E-2</v>
      </c>
      <c r="G4">
        <f>'24 hpi'!Q8</f>
        <v>1.3455192893864765E-2</v>
      </c>
      <c r="H4">
        <f>'24 hpi'!R8</f>
        <v>0.32421174299324734</v>
      </c>
    </row>
    <row r="5" spans="1:8">
      <c r="A5" t="s">
        <v>35</v>
      </c>
      <c r="B5">
        <f>'24 hpi'!L11</f>
        <v>0.19275500737167936</v>
      </c>
      <c r="C5">
        <f>'24 hpi'!M11</f>
        <v>0.80724499262832061</v>
      </c>
      <c r="D5">
        <f>'24 hpi'!N11</f>
        <v>4.2311575625252411</v>
      </c>
      <c r="F5">
        <f>'24 hpi'!P11</f>
        <v>1.8090662909158554E-2</v>
      </c>
      <c r="G5">
        <f>'24 hpi'!Q11</f>
        <v>1.8090662909158527E-2</v>
      </c>
      <c r="H5">
        <f>'24 hpi'!R11</f>
        <v>0.46056965691868845</v>
      </c>
    </row>
    <row r="6" spans="1:8">
      <c r="A6" t="s">
        <v>36</v>
      </c>
      <c r="B6">
        <f>'24 hpi'!L14</f>
        <v>0.26079209383881913</v>
      </c>
      <c r="C6">
        <f>'24 hpi'!M14</f>
        <v>0.73920790616118082</v>
      </c>
      <c r="D6">
        <f>'24 hpi'!N14</f>
        <v>2.8492502557579882</v>
      </c>
      <c r="F6">
        <f>'24 hpi'!P14</f>
        <v>1.5815342416339816E-2</v>
      </c>
      <c r="G6">
        <f>'24 hpi'!Q14</f>
        <v>1.5815342416339816E-2</v>
      </c>
      <c r="H6">
        <f>'24 hpi'!R14</f>
        <v>0.24369774370957439</v>
      </c>
    </row>
    <row r="7" spans="1:8">
      <c r="A7" t="s">
        <v>39</v>
      </c>
      <c r="B7">
        <f>'24 hpi'!L17</f>
        <v>0.22869527547656168</v>
      </c>
      <c r="C7">
        <f>'24 hpi'!M17</f>
        <v>0.77130472452343835</v>
      </c>
      <c r="D7">
        <f>'24 hpi'!N17</f>
        <v>3.465311759768523</v>
      </c>
      <c r="F7">
        <f>'24 hpi'!P17</f>
        <v>3.1447157257054437E-2</v>
      </c>
      <c r="G7">
        <f>'24 hpi'!Q17</f>
        <v>3.1447157257054381E-2</v>
      </c>
      <c r="H7">
        <f>'24 hpi'!R17</f>
        <v>0.67453040248676943</v>
      </c>
    </row>
    <row r="8" spans="1:8">
      <c r="A8" t="s">
        <v>37</v>
      </c>
      <c r="B8">
        <f>'24 hpi'!L23</f>
        <v>0.21976487511469234</v>
      </c>
      <c r="C8">
        <f>'24 hpi'!M23</f>
        <v>0.78023512488530766</v>
      </c>
      <c r="D8">
        <f>'24 hpi'!N23</f>
        <v>3.5644238254057043</v>
      </c>
      <c r="F8">
        <f>'24 hpi'!P23</f>
        <v>1.2202669873746881E-2</v>
      </c>
      <c r="G8">
        <f>'24 hpi'!Q23</f>
        <v>1.2202669873746869E-2</v>
      </c>
      <c r="H8">
        <f>'24 hpi'!R23</f>
        <v>0.25424071396304893</v>
      </c>
    </row>
    <row r="9" spans="1:8">
      <c r="A9" t="s">
        <v>38</v>
      </c>
      <c r="B9">
        <f>'24 hpi'!L26</f>
        <v>0.2148061599148556</v>
      </c>
      <c r="C9">
        <f>'24 hpi'!M26</f>
        <v>0.78519384008514448</v>
      </c>
      <c r="D9">
        <f>'24 hpi'!N26</f>
        <v>3.6720044146788067</v>
      </c>
      <c r="F9">
        <f>'24 hpi'!P26</f>
        <v>1.2890176277828664E-2</v>
      </c>
      <c r="G9">
        <f>'24 hpi'!Q26</f>
        <v>1.2890176277828654E-2</v>
      </c>
      <c r="H9">
        <f>'24 hpi'!R26</f>
        <v>0.27760228422626421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BB6-1814-F747-8B2F-5ABFA0E07C58}">
  <dimension ref="A1:R28"/>
  <sheetViews>
    <sheetView tabSelected="1" zoomScaleNormal="100" workbookViewId="0">
      <selection activeCell="I17" sqref="I17"/>
    </sheetView>
  </sheetViews>
  <sheetFormatPr defaultColWidth="11" defaultRowHeight="15.5"/>
  <cols>
    <col min="1" max="1" width="15.4609375" bestFit="1" customWidth="1"/>
    <col min="8" max="8" width="33.69140625" bestFit="1" customWidth="1"/>
    <col min="9" max="9" width="28" bestFit="1" customWidth="1"/>
  </cols>
  <sheetData>
    <row r="1" spans="1:18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31</v>
      </c>
      <c r="M1" t="s">
        <v>32</v>
      </c>
      <c r="N1" t="s">
        <v>33</v>
      </c>
      <c r="P1" t="s">
        <v>42</v>
      </c>
      <c r="Q1" t="s">
        <v>43</v>
      </c>
      <c r="R1" t="s">
        <v>44</v>
      </c>
    </row>
    <row r="2" spans="1:18" s="1" customFormat="1" ht="14">
      <c r="A2" s="1" t="s">
        <v>10</v>
      </c>
      <c r="B2" s="1">
        <v>-133.4</v>
      </c>
      <c r="C2" s="1">
        <v>52</v>
      </c>
      <c r="D2" s="1">
        <v>-99.6</v>
      </c>
      <c r="E2" s="1">
        <f>C2-B2</f>
        <v>185.4</v>
      </c>
      <c r="F2" s="1">
        <f>D2-B2</f>
        <v>33.800000000000011</v>
      </c>
      <c r="G2" s="1">
        <f>E2-F2</f>
        <v>151.6</v>
      </c>
      <c r="H2" s="1">
        <f>F2/E2</f>
        <v>0.18230852211434742</v>
      </c>
      <c r="I2" s="1">
        <f>G2/E2</f>
        <v>0.81769147788565255</v>
      </c>
      <c r="J2" s="1">
        <f>G2/F2</f>
        <v>4.4852071005917145</v>
      </c>
      <c r="L2" s="1">
        <f>AVERAGE(H2:H4)</f>
        <v>0.17653816214649501</v>
      </c>
      <c r="M2" s="1">
        <f>AVERAGE(I2:I4)</f>
        <v>0.82346183785350513</v>
      </c>
      <c r="N2" s="1">
        <f>AVERAGE(J2:J4)</f>
        <v>4.6743150951218801</v>
      </c>
      <c r="P2" s="1">
        <f>_xlfn.STDEV.P(H2:H4)</f>
        <v>7.2384927294961779E-3</v>
      </c>
      <c r="Q2" s="1">
        <f>_xlfn.STDEV.P(I2:I4)</f>
        <v>7.2384927294962187E-3</v>
      </c>
      <c r="R2" s="1">
        <f>_xlfn.STDEV.P(J2:J4)</f>
        <v>0.23944112586355695</v>
      </c>
    </row>
    <row r="3" spans="1:18" s="1" customFormat="1" ht="14">
      <c r="A3" s="1" t="s">
        <v>11</v>
      </c>
      <c r="B3" s="1">
        <v>-131</v>
      </c>
      <c r="C3" s="1">
        <v>74</v>
      </c>
      <c r="D3" s="1">
        <v>-93.9</v>
      </c>
      <c r="E3" s="1">
        <f t="shared" ref="E3:E28" si="0">C3-B3</f>
        <v>205</v>
      </c>
      <c r="F3" s="1">
        <f t="shared" ref="F3:F28" si="1">D3-B3</f>
        <v>37.099999999999994</v>
      </c>
      <c r="G3" s="1">
        <f t="shared" ref="G3:G28" si="2">E3-F3</f>
        <v>167.9</v>
      </c>
      <c r="H3" s="1">
        <f t="shared" ref="H3:H28" si="3">F3/E3</f>
        <v>0.18097560975609753</v>
      </c>
      <c r="I3" s="1">
        <f t="shared" ref="I3:I28" si="4">G3/E3</f>
        <v>0.8190243902439025</v>
      </c>
      <c r="J3" s="1">
        <f t="shared" ref="J3:J28" si="5">G3/F3</f>
        <v>4.525606469002696</v>
      </c>
    </row>
    <row r="4" spans="1:18" s="1" customFormat="1" ht="14">
      <c r="A4" s="1" t="s">
        <v>12</v>
      </c>
      <c r="B4" s="1">
        <v>-117.9</v>
      </c>
      <c r="C4" s="1">
        <v>229</v>
      </c>
      <c r="D4" s="1">
        <v>-60.2</v>
      </c>
      <c r="E4" s="1">
        <f t="shared" si="0"/>
        <v>346.9</v>
      </c>
      <c r="F4" s="1">
        <f t="shared" si="1"/>
        <v>57.7</v>
      </c>
      <c r="G4" s="1">
        <f t="shared" si="2"/>
        <v>289.2</v>
      </c>
      <c r="H4" s="1">
        <f t="shared" si="3"/>
        <v>0.16633035456904008</v>
      </c>
      <c r="I4" s="1">
        <f t="shared" si="4"/>
        <v>0.83366964543096</v>
      </c>
      <c r="J4" s="1">
        <f t="shared" si="5"/>
        <v>5.01213171577123</v>
      </c>
    </row>
    <row r="5" spans="1:18">
      <c r="A5" t="s">
        <v>13</v>
      </c>
      <c r="B5">
        <v>-114.5</v>
      </c>
      <c r="C5">
        <v>100</v>
      </c>
      <c r="D5">
        <v>-79.099999999999994</v>
      </c>
      <c r="E5">
        <f t="shared" si="0"/>
        <v>214.5</v>
      </c>
      <c r="F5">
        <f t="shared" si="1"/>
        <v>35.400000000000006</v>
      </c>
      <c r="G5">
        <f t="shared" si="2"/>
        <v>179.1</v>
      </c>
      <c r="H5">
        <f t="shared" si="3"/>
        <v>0.16503496503496506</v>
      </c>
      <c r="I5">
        <f t="shared" si="4"/>
        <v>0.83496503496503494</v>
      </c>
      <c r="J5">
        <f t="shared" si="5"/>
        <v>5.0593220338983045</v>
      </c>
      <c r="L5">
        <f>AVERAGE(H5:H7)</f>
        <v>0.16964926536343103</v>
      </c>
      <c r="M5">
        <f>AVERAGE(I5:I7)</f>
        <v>0.83035073463656905</v>
      </c>
      <c r="N5">
        <f>AVERAGE(J5:J7)</f>
        <v>4.9011890248792787</v>
      </c>
      <c r="P5">
        <f>_xlfn.STDEV.P(H5:H7)</f>
        <v>5.7719464321449821E-3</v>
      </c>
      <c r="Q5">
        <f>_xlfn.STDEV.P(I5:I7)</f>
        <v>5.7719464321449821E-3</v>
      </c>
      <c r="R5">
        <f>_xlfn.STDEV.P(J5:J7)</f>
        <v>0.19619047912717996</v>
      </c>
    </row>
    <row r="6" spans="1:18">
      <c r="A6" t="s">
        <v>14</v>
      </c>
      <c r="B6">
        <v>-104.5</v>
      </c>
      <c r="C6">
        <v>141.69999999999999</v>
      </c>
      <c r="D6">
        <v>-63.6</v>
      </c>
      <c r="E6">
        <f t="shared" si="0"/>
        <v>246.2</v>
      </c>
      <c r="F6">
        <f t="shared" si="1"/>
        <v>40.9</v>
      </c>
      <c r="G6">
        <f t="shared" si="2"/>
        <v>205.29999999999998</v>
      </c>
      <c r="H6">
        <f t="shared" si="3"/>
        <v>0.16612510154346061</v>
      </c>
      <c r="I6">
        <f t="shared" si="4"/>
        <v>0.83387489845653939</v>
      </c>
      <c r="J6">
        <f t="shared" si="5"/>
        <v>5.0195599022004886</v>
      </c>
    </row>
    <row r="7" spans="1:18">
      <c r="A7" t="s">
        <v>15</v>
      </c>
      <c r="B7">
        <v>-112.6</v>
      </c>
      <c r="C7">
        <v>110.7</v>
      </c>
      <c r="D7">
        <v>-72.900000000000006</v>
      </c>
      <c r="E7">
        <f t="shared" si="0"/>
        <v>223.3</v>
      </c>
      <c r="F7">
        <f t="shared" si="1"/>
        <v>39.699999999999989</v>
      </c>
      <c r="G7">
        <f t="shared" si="2"/>
        <v>183.60000000000002</v>
      </c>
      <c r="H7">
        <f t="shared" si="3"/>
        <v>0.17778772951186739</v>
      </c>
      <c r="I7">
        <f t="shared" si="4"/>
        <v>0.82221227048813261</v>
      </c>
      <c r="J7">
        <f t="shared" si="5"/>
        <v>4.6246851385390446</v>
      </c>
    </row>
    <row r="8" spans="1:18" s="1" customFormat="1" ht="14">
      <c r="A8" s="1" t="s">
        <v>16</v>
      </c>
      <c r="B8" s="1">
        <v>-119.8</v>
      </c>
      <c r="C8" s="1">
        <v>33.200000000000003</v>
      </c>
      <c r="D8" s="1">
        <v>-103.2</v>
      </c>
      <c r="E8" s="1">
        <f t="shared" si="0"/>
        <v>153</v>
      </c>
      <c r="F8" s="1">
        <f t="shared" si="1"/>
        <v>16.599999999999994</v>
      </c>
      <c r="G8" s="1">
        <f t="shared" si="2"/>
        <v>136.4</v>
      </c>
      <c r="H8" s="1">
        <f t="shared" si="3"/>
        <v>0.10849673202614375</v>
      </c>
      <c r="I8" s="1">
        <f t="shared" si="4"/>
        <v>0.89150326797385626</v>
      </c>
      <c r="J8" s="1">
        <f t="shared" si="5"/>
        <v>8.2168674698795208</v>
      </c>
      <c r="L8" s="1">
        <f>AVERAGE(H8:H10)</f>
        <v>0.11356943868751514</v>
      </c>
      <c r="M8" s="1">
        <f>AVERAGE(I8:I10)</f>
        <v>0.88643056131248488</v>
      </c>
      <c r="N8" s="1">
        <f>AVERAGE(J8:J10)</f>
        <v>7.8144363671281454</v>
      </c>
      <c r="P8" s="1">
        <f>_xlfn.STDEV.P(H8:H10)</f>
        <v>3.642663732294282E-3</v>
      </c>
      <c r="Q8" s="1">
        <f>_xlfn.STDEV.P(I8:I10)</f>
        <v>3.6426637322942886E-3</v>
      </c>
      <c r="R8" s="1">
        <f>_xlfn.STDEV.P(J8:J10)</f>
        <v>0.28843066940467488</v>
      </c>
    </row>
    <row r="9" spans="1:18" s="1" customFormat="1" ht="14">
      <c r="A9" s="1" t="s">
        <v>17</v>
      </c>
      <c r="B9" s="1">
        <v>-128.80000000000001</v>
      </c>
      <c r="C9" s="1">
        <v>-36.4</v>
      </c>
      <c r="D9" s="1">
        <v>-118</v>
      </c>
      <c r="E9" s="1">
        <f t="shared" si="0"/>
        <v>92.4</v>
      </c>
      <c r="F9" s="1">
        <f t="shared" si="1"/>
        <v>10.800000000000011</v>
      </c>
      <c r="G9" s="1">
        <f t="shared" si="2"/>
        <v>81.599999999999994</v>
      </c>
      <c r="H9" s="1">
        <f t="shared" si="3"/>
        <v>0.11688311688311701</v>
      </c>
      <c r="I9" s="1">
        <f t="shared" si="4"/>
        <v>0.88311688311688297</v>
      </c>
      <c r="J9" s="1">
        <f t="shared" si="5"/>
        <v>7.5555555555555474</v>
      </c>
    </row>
    <row r="10" spans="1:18" s="1" customFormat="1" ht="14">
      <c r="A10" s="1" t="s">
        <v>18</v>
      </c>
      <c r="B10" s="1">
        <v>-124.3</v>
      </c>
      <c r="C10" s="1">
        <v>12.7</v>
      </c>
      <c r="D10" s="1">
        <v>-108.5</v>
      </c>
      <c r="E10" s="1">
        <f t="shared" si="0"/>
        <v>137</v>
      </c>
      <c r="F10" s="1">
        <f t="shared" si="1"/>
        <v>15.799999999999997</v>
      </c>
      <c r="G10" s="1">
        <f t="shared" si="2"/>
        <v>121.2</v>
      </c>
      <c r="H10" s="1">
        <f t="shared" si="3"/>
        <v>0.11532846715328465</v>
      </c>
      <c r="I10" s="1">
        <f t="shared" si="4"/>
        <v>0.8846715328467154</v>
      </c>
      <c r="J10" s="1">
        <f t="shared" si="5"/>
        <v>7.6708860759493689</v>
      </c>
    </row>
    <row r="11" spans="1:18">
      <c r="A11" t="s">
        <v>19</v>
      </c>
      <c r="B11">
        <v>-101.2</v>
      </c>
      <c r="C11">
        <v>42</v>
      </c>
      <c r="D11">
        <v>-85.1</v>
      </c>
      <c r="E11">
        <f t="shared" si="0"/>
        <v>143.19999999999999</v>
      </c>
      <c r="F11">
        <f t="shared" si="1"/>
        <v>16.100000000000009</v>
      </c>
      <c r="G11">
        <f t="shared" si="2"/>
        <v>127.09999999999998</v>
      </c>
      <c r="H11">
        <f t="shared" si="3"/>
        <v>0.11243016759776543</v>
      </c>
      <c r="I11">
        <f t="shared" si="4"/>
        <v>0.88756983240223453</v>
      </c>
      <c r="J11">
        <f t="shared" si="5"/>
        <v>7.8944099378881933</v>
      </c>
      <c r="L11">
        <f>AVERAGE(H11:H13)</f>
        <v>0.11301706273233875</v>
      </c>
      <c r="M11">
        <f>AVERAGE(I11:I13)</f>
        <v>0.88698293726766131</v>
      </c>
      <c r="N11">
        <f>AVERAGE(J11:J13)</f>
        <v>7.8680045321415966</v>
      </c>
      <c r="P11">
        <f>_xlfn.STDEV.P(H11:H13)</f>
        <v>5.3557264834126128E-3</v>
      </c>
      <c r="Q11">
        <f>_xlfn.STDEV.P(I11:I13)</f>
        <v>5.3557264834125607E-3</v>
      </c>
      <c r="R11">
        <f>_xlfn.STDEV.P(J11:J13)</f>
        <v>0.41768960268597216</v>
      </c>
    </row>
    <row r="12" spans="1:18">
      <c r="A12" t="s">
        <v>20</v>
      </c>
      <c r="B12">
        <v>-129.19999999999999</v>
      </c>
      <c r="C12">
        <v>24.4</v>
      </c>
      <c r="D12">
        <v>-112.8</v>
      </c>
      <c r="E12">
        <f t="shared" si="0"/>
        <v>153.6</v>
      </c>
      <c r="F12">
        <f t="shared" si="1"/>
        <v>16.399999999999991</v>
      </c>
      <c r="G12">
        <f t="shared" si="2"/>
        <v>137.19999999999999</v>
      </c>
      <c r="H12">
        <f t="shared" si="3"/>
        <v>0.10677083333333329</v>
      </c>
      <c r="I12">
        <f t="shared" si="4"/>
        <v>0.89322916666666663</v>
      </c>
      <c r="J12">
        <f t="shared" si="5"/>
        <v>8.3658536585365884</v>
      </c>
    </row>
    <row r="13" spans="1:18">
      <c r="A13" t="s">
        <v>21</v>
      </c>
      <c r="B13">
        <v>-132.69999999999999</v>
      </c>
      <c r="C13">
        <v>0.8</v>
      </c>
      <c r="D13">
        <v>-116.7</v>
      </c>
      <c r="E13">
        <f t="shared" si="0"/>
        <v>133.5</v>
      </c>
      <c r="F13">
        <f t="shared" si="1"/>
        <v>15.999999999999986</v>
      </c>
      <c r="G13">
        <f t="shared" si="2"/>
        <v>117.50000000000001</v>
      </c>
      <c r="H13">
        <f t="shared" si="3"/>
        <v>0.11985018726591749</v>
      </c>
      <c r="I13">
        <f t="shared" si="4"/>
        <v>0.88014981273408255</v>
      </c>
      <c r="J13">
        <f t="shared" si="5"/>
        <v>7.3437500000000071</v>
      </c>
    </row>
    <row r="14" spans="1:18" s="1" customFormat="1" ht="14">
      <c r="A14" s="1" t="s">
        <v>22</v>
      </c>
      <c r="B14" s="1">
        <v>-145.1</v>
      </c>
      <c r="C14" s="1">
        <v>97.3</v>
      </c>
      <c r="D14" s="1">
        <v>-101.9</v>
      </c>
      <c r="E14" s="1">
        <f t="shared" si="0"/>
        <v>242.39999999999998</v>
      </c>
      <c r="F14" s="1">
        <f t="shared" si="1"/>
        <v>43.199999999999989</v>
      </c>
      <c r="G14" s="1">
        <f t="shared" si="2"/>
        <v>199.2</v>
      </c>
      <c r="H14" s="1">
        <f t="shared" si="3"/>
        <v>0.17821782178217818</v>
      </c>
      <c r="I14" s="1">
        <f t="shared" si="4"/>
        <v>0.82178217821782185</v>
      </c>
      <c r="J14" s="1">
        <f t="shared" si="5"/>
        <v>4.6111111111111125</v>
      </c>
      <c r="L14" s="1">
        <f>AVERAGE(H14:H16)</f>
        <v>0.17932711372337021</v>
      </c>
      <c r="M14" s="1">
        <f>AVERAGE(I14:I16)</f>
        <v>0.8206728862766296</v>
      </c>
      <c r="N14" s="1">
        <f>AVERAGE(J14:J16)</f>
        <v>4.5765951800434559</v>
      </c>
      <c r="P14" s="1">
        <f>_xlfn.STDEV.P(H14:H16)</f>
        <v>1.0579153045789384E-3</v>
      </c>
      <c r="Q14" s="1">
        <f>_xlfn.STDEV.P(I14:I16)</f>
        <v>1.0579153045789619E-3</v>
      </c>
      <c r="R14" s="1">
        <f>_xlfn.STDEV.P(J14:J16)</f>
        <v>3.2817596257127046E-2</v>
      </c>
    </row>
    <row r="15" spans="1:18" s="1" customFormat="1" ht="14">
      <c r="A15" s="1" t="s">
        <v>23</v>
      </c>
      <c r="B15" s="1">
        <v>-113.9</v>
      </c>
      <c r="C15" s="1">
        <v>112.9</v>
      </c>
      <c r="D15" s="1">
        <v>-73.3</v>
      </c>
      <c r="E15" s="1">
        <f t="shared" si="0"/>
        <v>226.8</v>
      </c>
      <c r="F15" s="1">
        <f t="shared" si="1"/>
        <v>40.600000000000009</v>
      </c>
      <c r="G15" s="1">
        <f t="shared" si="2"/>
        <v>186.2</v>
      </c>
      <c r="H15" s="1">
        <f t="shared" si="3"/>
        <v>0.17901234567901236</v>
      </c>
      <c r="I15" s="1">
        <f t="shared" si="4"/>
        <v>0.82098765432098753</v>
      </c>
      <c r="J15" s="1">
        <f t="shared" si="5"/>
        <v>4.5862068965517233</v>
      </c>
    </row>
    <row r="16" spans="1:18" s="1" customFormat="1" ht="14">
      <c r="A16" s="1" t="s">
        <v>24</v>
      </c>
      <c r="B16" s="1">
        <v>-119</v>
      </c>
      <c r="C16" s="1">
        <v>94</v>
      </c>
      <c r="D16" s="1">
        <v>-80.5</v>
      </c>
      <c r="E16" s="1">
        <f t="shared" si="0"/>
        <v>213</v>
      </c>
      <c r="F16" s="1">
        <f t="shared" si="1"/>
        <v>38.5</v>
      </c>
      <c r="G16" s="1">
        <f t="shared" si="2"/>
        <v>174.5</v>
      </c>
      <c r="H16" s="1">
        <f t="shared" si="3"/>
        <v>0.18075117370892019</v>
      </c>
      <c r="I16" s="1">
        <f t="shared" si="4"/>
        <v>0.81924882629107976</v>
      </c>
      <c r="J16" s="1">
        <f t="shared" si="5"/>
        <v>4.5324675324675328</v>
      </c>
    </row>
    <row r="17" spans="1:18">
      <c r="A17" t="s">
        <v>25</v>
      </c>
      <c r="B17">
        <v>-135.4</v>
      </c>
      <c r="C17">
        <v>155.5</v>
      </c>
      <c r="D17">
        <v>-87.1</v>
      </c>
      <c r="E17">
        <f t="shared" si="0"/>
        <v>290.89999999999998</v>
      </c>
      <c r="F17">
        <f t="shared" si="1"/>
        <v>48.300000000000011</v>
      </c>
      <c r="G17">
        <f t="shared" si="2"/>
        <v>242.59999999999997</v>
      </c>
      <c r="H17">
        <f t="shared" si="3"/>
        <v>0.16603643863870751</v>
      </c>
      <c r="I17">
        <f t="shared" si="4"/>
        <v>0.83396356136129246</v>
      </c>
      <c r="J17">
        <f t="shared" si="5"/>
        <v>5.0227743271221517</v>
      </c>
      <c r="L17">
        <f>AVERAGE(H17:H19)</f>
        <v>0.16777076644801778</v>
      </c>
      <c r="M17">
        <f>AVERAGE(I17:I19)</f>
        <v>0.83222923355198219</v>
      </c>
      <c r="N17">
        <f>AVERAGE(J17:J19)</f>
        <v>4.9614042317767817</v>
      </c>
      <c r="P17">
        <f>_xlfn.STDEV.P(H17:H19)</f>
        <v>2.0585503091186388E-3</v>
      </c>
      <c r="Q17">
        <f>_xlfn.STDEV.P(I17:I19)</f>
        <v>2.0585503091185941E-3</v>
      </c>
      <c r="R17">
        <f>_xlfn.STDEV.P(J17:J19)</f>
        <v>7.2554807170189584E-2</v>
      </c>
    </row>
    <row r="18" spans="1:18">
      <c r="A18" t="s">
        <v>26</v>
      </c>
      <c r="B18">
        <v>-125.1</v>
      </c>
      <c r="C18">
        <v>185.2</v>
      </c>
      <c r="D18">
        <v>-73.400000000000006</v>
      </c>
      <c r="E18">
        <f t="shared" si="0"/>
        <v>310.29999999999995</v>
      </c>
      <c r="F18">
        <f t="shared" si="1"/>
        <v>51.699999999999989</v>
      </c>
      <c r="G18">
        <f t="shared" si="2"/>
        <v>258.59999999999997</v>
      </c>
      <c r="H18">
        <f t="shared" si="3"/>
        <v>0.16661295520464064</v>
      </c>
      <c r="I18">
        <f t="shared" si="4"/>
        <v>0.8333870447953593</v>
      </c>
      <c r="J18">
        <f t="shared" si="5"/>
        <v>5.0019342359767895</v>
      </c>
    </row>
    <row r="19" spans="1:18">
      <c r="A19" t="s">
        <v>27</v>
      </c>
      <c r="B19">
        <v>-141.30000000000001</v>
      </c>
      <c r="C19">
        <v>142.30000000000001</v>
      </c>
      <c r="D19">
        <v>-92.9</v>
      </c>
      <c r="E19">
        <f t="shared" si="0"/>
        <v>283.60000000000002</v>
      </c>
      <c r="F19">
        <f t="shared" si="1"/>
        <v>48.400000000000006</v>
      </c>
      <c r="G19">
        <f t="shared" si="2"/>
        <v>235.20000000000002</v>
      </c>
      <c r="H19">
        <f t="shared" si="3"/>
        <v>0.17066290550070523</v>
      </c>
      <c r="I19">
        <f t="shared" si="4"/>
        <v>0.82933709449929482</v>
      </c>
      <c r="J19">
        <f t="shared" si="5"/>
        <v>4.8595041322314048</v>
      </c>
    </row>
    <row r="20" spans="1:18" s="1" customFormat="1" ht="14">
      <c r="A20" s="1" t="s">
        <v>28</v>
      </c>
      <c r="B20" s="1">
        <v>-73</v>
      </c>
      <c r="C20" s="1">
        <v>227</v>
      </c>
      <c r="D20" s="1">
        <v>-27</v>
      </c>
      <c r="E20" s="1">
        <f t="shared" si="0"/>
        <v>300</v>
      </c>
      <c r="F20" s="1">
        <f t="shared" si="1"/>
        <v>46</v>
      </c>
      <c r="G20" s="1">
        <f t="shared" si="2"/>
        <v>254</v>
      </c>
      <c r="H20" s="1">
        <f t="shared" si="3"/>
        <v>0.15333333333333332</v>
      </c>
      <c r="I20" s="1">
        <f t="shared" si="4"/>
        <v>0.84666666666666668</v>
      </c>
      <c r="J20" s="1">
        <f t="shared" si="5"/>
        <v>5.5217391304347823</v>
      </c>
      <c r="L20" s="1">
        <f>AVERAGE(H20:H22)</f>
        <v>0.17565804419661299</v>
      </c>
      <c r="M20" s="1">
        <f>AVERAGE(I20:I22)</f>
        <v>0.82434195580338709</v>
      </c>
      <c r="N20" s="1">
        <f>AVERAGE(J20:J22)</f>
        <v>4.9133619447688082</v>
      </c>
      <c r="P20" s="1">
        <f>_xlfn.STDEV.P(H20:H22)</f>
        <v>3.6234693207915114E-2</v>
      </c>
      <c r="Q20" s="1">
        <f>_xlfn.STDEV.P(I20:I22)</f>
        <v>3.62346932079151E-2</v>
      </c>
      <c r="R20" s="1">
        <f>_xlfn.STDEV.P(J20:J22)</f>
        <v>1.069579988122263</v>
      </c>
    </row>
    <row r="21" spans="1:18" s="1" customFormat="1" ht="14">
      <c r="A21" s="1" t="s">
        <v>29</v>
      </c>
      <c r="B21" s="1">
        <v>-81</v>
      </c>
      <c r="C21" s="1">
        <v>188</v>
      </c>
      <c r="D21" s="1">
        <v>-20</v>
      </c>
      <c r="E21" s="1">
        <f t="shared" si="0"/>
        <v>269</v>
      </c>
      <c r="F21" s="1">
        <f t="shared" si="1"/>
        <v>61</v>
      </c>
      <c r="G21" s="1">
        <f t="shared" si="2"/>
        <v>208</v>
      </c>
      <c r="H21" s="1">
        <f t="shared" si="3"/>
        <v>0.22676579925650558</v>
      </c>
      <c r="I21" s="1">
        <f t="shared" si="4"/>
        <v>0.77323420074349447</v>
      </c>
      <c r="J21" s="1">
        <f t="shared" si="5"/>
        <v>3.4098360655737703</v>
      </c>
    </row>
    <row r="22" spans="1:18" s="1" customFormat="1" ht="14">
      <c r="A22" s="1" t="s">
        <v>30</v>
      </c>
      <c r="B22" s="1">
        <v>-78</v>
      </c>
      <c r="C22" s="1">
        <v>242</v>
      </c>
      <c r="D22" s="1">
        <v>-31</v>
      </c>
      <c r="E22" s="1">
        <f t="shared" si="0"/>
        <v>320</v>
      </c>
      <c r="F22" s="1">
        <f t="shared" si="1"/>
        <v>47</v>
      </c>
      <c r="G22" s="1">
        <f t="shared" si="2"/>
        <v>273</v>
      </c>
      <c r="H22" s="1">
        <f t="shared" si="3"/>
        <v>0.14687500000000001</v>
      </c>
      <c r="I22" s="1">
        <f t="shared" si="4"/>
        <v>0.85312500000000002</v>
      </c>
      <c r="J22" s="1">
        <f t="shared" si="5"/>
        <v>5.8085106382978724</v>
      </c>
    </row>
    <row r="23" spans="1:18">
      <c r="A23" t="s">
        <v>51</v>
      </c>
      <c r="B23">
        <v>-137.1</v>
      </c>
      <c r="C23">
        <v>138</v>
      </c>
      <c r="D23">
        <v>-88</v>
      </c>
      <c r="E23">
        <f t="shared" si="0"/>
        <v>275.10000000000002</v>
      </c>
      <c r="F23">
        <f t="shared" si="1"/>
        <v>49.099999999999994</v>
      </c>
      <c r="G23">
        <f t="shared" si="2"/>
        <v>226.00000000000003</v>
      </c>
      <c r="H23">
        <f t="shared" si="3"/>
        <v>0.17848055252635403</v>
      </c>
      <c r="I23">
        <f t="shared" si="4"/>
        <v>0.82151944747364603</v>
      </c>
      <c r="J23">
        <f t="shared" si="5"/>
        <v>4.6028513238289213</v>
      </c>
      <c r="L23">
        <f>AVERAGE(H23:H25)</f>
        <v>0.17873228936254956</v>
      </c>
      <c r="M23">
        <f>AVERAGE(I23:I25)</f>
        <v>0.82126771063745052</v>
      </c>
      <c r="N23">
        <f>AVERAGE(J23:J25)</f>
        <v>4.5969885054099011</v>
      </c>
      <c r="P23">
        <f>_xlfn.STDEV.P(H23:H25)</f>
        <v>3.4059466810033487E-3</v>
      </c>
      <c r="Q23">
        <f>_xlfn.STDEV.P(I23:I25)</f>
        <v>3.4059466810033492E-3</v>
      </c>
      <c r="R23">
        <f>_xlfn.STDEV.P(J23:J25)</f>
        <v>0.10646125384891506</v>
      </c>
    </row>
    <row r="24" spans="1:18">
      <c r="A24" t="s">
        <v>55</v>
      </c>
      <c r="B24">
        <v>-132.69999999999999</v>
      </c>
      <c r="C24">
        <v>151.80000000000001</v>
      </c>
      <c r="D24">
        <v>-83</v>
      </c>
      <c r="E24">
        <f t="shared" si="0"/>
        <v>284.5</v>
      </c>
      <c r="F24">
        <f t="shared" si="1"/>
        <v>49.699999999999989</v>
      </c>
      <c r="G24">
        <f t="shared" si="2"/>
        <v>234.8</v>
      </c>
      <c r="H24">
        <f t="shared" si="3"/>
        <v>0.17469244288224953</v>
      </c>
      <c r="I24">
        <f t="shared" si="4"/>
        <v>0.8253075571177505</v>
      </c>
      <c r="J24">
        <f t="shared" si="5"/>
        <v>4.7243460764587537</v>
      </c>
    </row>
    <row r="25" spans="1:18">
      <c r="A25" t="s">
        <v>52</v>
      </c>
      <c r="B25">
        <v>-128</v>
      </c>
      <c r="C25">
        <v>60.5</v>
      </c>
      <c r="D25">
        <v>-93.5</v>
      </c>
      <c r="E25">
        <f t="shared" si="0"/>
        <v>188.5</v>
      </c>
      <c r="F25">
        <f t="shared" si="1"/>
        <v>34.5</v>
      </c>
      <c r="G25">
        <f t="shared" si="2"/>
        <v>154</v>
      </c>
      <c r="H25">
        <f t="shared" si="3"/>
        <v>0.1830238726790451</v>
      </c>
      <c r="I25">
        <f t="shared" si="4"/>
        <v>0.81697612732095493</v>
      </c>
      <c r="J25">
        <f t="shared" si="5"/>
        <v>4.4637681159420293</v>
      </c>
    </row>
    <row r="26" spans="1:18">
      <c r="A26" t="s">
        <v>56</v>
      </c>
      <c r="B26">
        <v>-140.5</v>
      </c>
      <c r="C26">
        <v>183.8</v>
      </c>
      <c r="D26">
        <v>-86.4</v>
      </c>
      <c r="E26">
        <f t="shared" si="0"/>
        <v>324.3</v>
      </c>
      <c r="F26">
        <f t="shared" si="1"/>
        <v>54.099999999999994</v>
      </c>
      <c r="G26">
        <f t="shared" si="2"/>
        <v>270.20000000000005</v>
      </c>
      <c r="H26">
        <f t="shared" si="3"/>
        <v>0.16682084489670057</v>
      </c>
      <c r="I26">
        <f t="shared" si="4"/>
        <v>0.83317915510329954</v>
      </c>
      <c r="J26">
        <f t="shared" si="5"/>
        <v>4.994454713493532</v>
      </c>
      <c r="L26">
        <f>AVERAGE(H26:H28)</f>
        <v>0.16918098938438542</v>
      </c>
      <c r="M26">
        <f>AVERAGE(I26:I28)</f>
        <v>0.83081901061561458</v>
      </c>
      <c r="N26">
        <f>AVERAGE(J26:J28)</f>
        <v>4.9131943471951782</v>
      </c>
      <c r="P26">
        <f>_xlfn.STDEV.P(H26:H28)</f>
        <v>3.4072291165963393E-3</v>
      </c>
      <c r="Q26">
        <f>_xlfn.STDEV.P(I26:I28)</f>
        <v>3.4072291165964108E-3</v>
      </c>
      <c r="R26">
        <f>_xlfn.STDEV.P(J26:J28)</f>
        <v>0.11741803050370124</v>
      </c>
    </row>
    <row r="27" spans="1:18">
      <c r="A27" t="s">
        <v>53</v>
      </c>
      <c r="B27">
        <v>-136.6</v>
      </c>
      <c r="C27">
        <v>159.69999999999999</v>
      </c>
      <c r="D27">
        <v>-87.2</v>
      </c>
      <c r="E27">
        <f t="shared" si="0"/>
        <v>296.29999999999995</v>
      </c>
      <c r="F27">
        <f t="shared" si="1"/>
        <v>49.399999999999991</v>
      </c>
      <c r="G27">
        <f t="shared" si="2"/>
        <v>246.89999999999998</v>
      </c>
      <c r="H27">
        <f t="shared" si="3"/>
        <v>0.16672291596355046</v>
      </c>
      <c r="I27">
        <f t="shared" si="4"/>
        <v>0.83327708403644962</v>
      </c>
      <c r="J27">
        <f t="shared" si="5"/>
        <v>4.9979757085020244</v>
      </c>
    </row>
    <row r="28" spans="1:18">
      <c r="A28" t="s">
        <v>54</v>
      </c>
      <c r="B28">
        <v>-132.69999999999999</v>
      </c>
      <c r="C28">
        <v>119.6</v>
      </c>
      <c r="D28">
        <v>-88.8</v>
      </c>
      <c r="E28">
        <f t="shared" si="0"/>
        <v>252.29999999999998</v>
      </c>
      <c r="F28">
        <f t="shared" si="1"/>
        <v>43.899999999999991</v>
      </c>
      <c r="G28">
        <f t="shared" si="2"/>
        <v>208.39999999999998</v>
      </c>
      <c r="H28">
        <f t="shared" si="3"/>
        <v>0.17399920729290524</v>
      </c>
      <c r="I28">
        <f t="shared" si="4"/>
        <v>0.8260007927070947</v>
      </c>
      <c r="J28">
        <f t="shared" si="5"/>
        <v>4.7471526195899774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D303-B0D5-4EC7-9E2B-EF4FDEF19A94}">
  <dimension ref="A1:H9"/>
  <sheetViews>
    <sheetView workbookViewId="0">
      <selection activeCell="D8" sqref="D8"/>
    </sheetView>
  </sheetViews>
  <sheetFormatPr defaultColWidth="8.84375" defaultRowHeight="15.5"/>
  <sheetData>
    <row r="1" spans="1:8">
      <c r="A1" t="s">
        <v>6</v>
      </c>
      <c r="B1" t="s">
        <v>48</v>
      </c>
      <c r="C1" t="s">
        <v>49</v>
      </c>
      <c r="D1" t="s">
        <v>50</v>
      </c>
      <c r="F1" t="s">
        <v>45</v>
      </c>
      <c r="G1" t="s">
        <v>46</v>
      </c>
      <c r="H1" t="s">
        <v>47</v>
      </c>
    </row>
    <row r="2" spans="1:8">
      <c r="A2" t="s">
        <v>40</v>
      </c>
      <c r="B2">
        <f>'72 hpi'!L2</f>
        <v>0.17653816214649501</v>
      </c>
      <c r="C2">
        <f>'72 hpi'!M2</f>
        <v>0.82346183785350513</v>
      </c>
      <c r="D2">
        <f>'72 hpi'!N2</f>
        <v>4.6743150951218801</v>
      </c>
      <c r="F2">
        <f>'72 hpi'!P2</f>
        <v>7.2384927294961779E-3</v>
      </c>
      <c r="G2">
        <f>'72 hpi'!Q2</f>
        <v>7.2384927294962187E-3</v>
      </c>
      <c r="H2">
        <f>'72 hpi'!R2</f>
        <v>0.23944112586355695</v>
      </c>
    </row>
    <row r="3" spans="1:8">
      <c r="A3" t="s">
        <v>41</v>
      </c>
      <c r="B3">
        <f>'72 hpi'!L5</f>
        <v>0.16964926536343103</v>
      </c>
      <c r="C3">
        <f>'72 hpi'!M5</f>
        <v>0.83035073463656905</v>
      </c>
      <c r="D3">
        <f>'72 hpi'!N5</f>
        <v>4.9011890248792787</v>
      </c>
      <c r="F3">
        <f>'72 hpi'!P5</f>
        <v>5.7719464321449821E-3</v>
      </c>
      <c r="G3">
        <f>'72 hpi'!Q5</f>
        <v>5.7719464321449821E-3</v>
      </c>
      <c r="H3">
        <f>'72 hpi'!R5</f>
        <v>0.19619047912717996</v>
      </c>
    </row>
    <row r="4" spans="1:8">
      <c r="A4" t="s">
        <v>34</v>
      </c>
      <c r="B4">
        <f>'72 hpi'!L8</f>
        <v>0.11356943868751514</v>
      </c>
      <c r="C4">
        <f>'72 hpi'!M8</f>
        <v>0.88643056131248488</v>
      </c>
      <c r="D4">
        <f>'72 hpi'!N8</f>
        <v>7.8144363671281454</v>
      </c>
      <c r="F4">
        <f>'72 hpi'!P8</f>
        <v>3.642663732294282E-3</v>
      </c>
      <c r="G4">
        <f>'72 hpi'!Q8</f>
        <v>3.6426637322942886E-3</v>
      </c>
      <c r="H4">
        <f>'72 hpi'!R8</f>
        <v>0.28843066940467488</v>
      </c>
    </row>
    <row r="5" spans="1:8">
      <c r="A5" t="s">
        <v>35</v>
      </c>
      <c r="B5">
        <f>'72 hpi'!L11</f>
        <v>0.11301706273233875</v>
      </c>
      <c r="C5">
        <f>'72 hpi'!M11</f>
        <v>0.88698293726766131</v>
      </c>
      <c r="D5">
        <f>'72 hpi'!N11</f>
        <v>7.8680045321415966</v>
      </c>
      <c r="F5">
        <f>'72 hpi'!P11</f>
        <v>5.3557264834126128E-3</v>
      </c>
      <c r="G5">
        <f>'72 hpi'!Q11</f>
        <v>5.3557264834125607E-3</v>
      </c>
      <c r="H5">
        <f>'72 hpi'!R11</f>
        <v>0.41768960268597216</v>
      </c>
    </row>
    <row r="6" spans="1:8">
      <c r="A6" t="s">
        <v>36</v>
      </c>
      <c r="B6">
        <f>'72 hpi'!L14</f>
        <v>0.17932711372337021</v>
      </c>
      <c r="C6">
        <f>'72 hpi'!M14</f>
        <v>0.8206728862766296</v>
      </c>
      <c r="D6">
        <f>'72 hpi'!N14</f>
        <v>4.5765951800434559</v>
      </c>
      <c r="F6">
        <f>'72 hpi'!P14</f>
        <v>1.0579153045789384E-3</v>
      </c>
      <c r="G6">
        <f>'72 hpi'!Q14</f>
        <v>1.0579153045789619E-3</v>
      </c>
      <c r="H6">
        <f>'72 hpi'!R14</f>
        <v>3.2817596257127046E-2</v>
      </c>
    </row>
    <row r="7" spans="1:8">
      <c r="A7" t="s">
        <v>39</v>
      </c>
      <c r="B7">
        <f>'72 hpi'!L17</f>
        <v>0.16777076644801778</v>
      </c>
      <c r="C7">
        <f>'72 hpi'!M17</f>
        <v>0.83222923355198219</v>
      </c>
      <c r="D7">
        <f>'72 hpi'!N17</f>
        <v>4.9614042317767817</v>
      </c>
      <c r="F7">
        <f>'72 hpi'!P17</f>
        <v>2.0585503091186388E-3</v>
      </c>
      <c r="G7">
        <f>'72 hpi'!Q17</f>
        <v>2.0585503091185941E-3</v>
      </c>
      <c r="H7">
        <f>'72 hpi'!R17</f>
        <v>7.2554807170189584E-2</v>
      </c>
    </row>
    <row r="8" spans="1:8">
      <c r="A8" t="s">
        <v>37</v>
      </c>
      <c r="B8">
        <f>'72 hpi'!L23</f>
        <v>0.17873228936254956</v>
      </c>
      <c r="C8">
        <f>'72 hpi'!M23</f>
        <v>0.82126771063745052</v>
      </c>
      <c r="D8">
        <f>'72 hpi'!N23</f>
        <v>4.5969885054099011</v>
      </c>
      <c r="F8">
        <f>'72 hpi'!P23</f>
        <v>3.4059466810033487E-3</v>
      </c>
      <c r="G8">
        <f>'72 hpi'!Q23</f>
        <v>3.4059466810033492E-3</v>
      </c>
      <c r="H8">
        <f>'72 hpi'!R23</f>
        <v>0.10646125384891506</v>
      </c>
    </row>
    <row r="9" spans="1:8">
      <c r="A9" t="s">
        <v>38</v>
      </c>
      <c r="B9">
        <f>'72 hpi'!L26</f>
        <v>0.16918098938438542</v>
      </c>
      <c r="C9">
        <f>'72 hpi'!M26</f>
        <v>0.83081901061561458</v>
      </c>
      <c r="D9">
        <f>'72 hpi'!N26</f>
        <v>4.9131943471951782</v>
      </c>
      <c r="F9">
        <f>'72 hpi'!P26</f>
        <v>3.4072291165963393E-3</v>
      </c>
      <c r="G9">
        <f>'72 hpi'!Q26</f>
        <v>3.4072291165964108E-3</v>
      </c>
      <c r="H9">
        <f>'72 hpi'!R26</f>
        <v>0.11741803050370124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 hpi</vt:lpstr>
      <vt:lpstr>24 hpi plot</vt:lpstr>
      <vt:lpstr>72 hpi</vt:lpstr>
      <vt:lpstr>72 hpi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Ducharme, Nicolas Andrew</dc:creator>
  <cp:lastModifiedBy>LarkinLab</cp:lastModifiedBy>
  <dcterms:created xsi:type="dcterms:W3CDTF">2025-08-01T17:08:40Z</dcterms:created>
  <dcterms:modified xsi:type="dcterms:W3CDTF">2026-08-21T20:46:59Z</dcterms:modified>
</cp:coreProperties>
</file>
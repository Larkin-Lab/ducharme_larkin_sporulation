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Volumes/Nick Lab/Data/"/>
    </mc:Choice>
  </mc:AlternateContent>
  <xr:revisionPtr revIDLastSave="0" documentId="13_ncr:1_{E30A4BDC-57BF-0A44-9491-FB5E3B88D9C2}" xr6:coauthVersionLast="47" xr6:coauthVersionMax="47" xr10:uidLastSave="{00000000-0000-0000-0000-000000000000}"/>
  <bookViews>
    <workbookView xWindow="0" yWindow="500" windowWidth="38400" windowHeight="21100" activeTab="1" xr2:uid="{12E7C934-ABEF-2042-B2F7-0A4EB10C727D}"/>
  </bookViews>
  <sheets>
    <sheet name="24 hpi" sheetId="1" r:id="rId1"/>
    <sheet name="72 hpi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3" i="1" l="1"/>
  <c r="E13" i="1"/>
  <c r="H13" i="1" s="1"/>
  <c r="F12" i="1"/>
  <c r="H12" i="1"/>
  <c r="F11" i="1"/>
  <c r="G11" i="1" s="1"/>
  <c r="E12" i="1"/>
  <c r="G12" i="1" s="1"/>
  <c r="E11" i="1"/>
  <c r="F11" i="2"/>
  <c r="F12" i="2"/>
  <c r="F13" i="2"/>
  <c r="E13" i="2"/>
  <c r="E12" i="2"/>
  <c r="E11" i="2"/>
  <c r="I12" i="1" l="1"/>
  <c r="J12" i="1"/>
  <c r="G13" i="1"/>
  <c r="H11" i="2"/>
  <c r="I11" i="1"/>
  <c r="J11" i="1"/>
  <c r="H11" i="1"/>
  <c r="H13" i="2"/>
  <c r="L11" i="2" s="1"/>
  <c r="H12" i="2"/>
  <c r="G13" i="2"/>
  <c r="G12" i="2"/>
  <c r="G11" i="2"/>
  <c r="F10" i="2"/>
  <c r="E10" i="2"/>
  <c r="F9" i="2"/>
  <c r="E9" i="2"/>
  <c r="F8" i="2"/>
  <c r="E8" i="2"/>
  <c r="F7" i="2"/>
  <c r="E7" i="2"/>
  <c r="F6" i="2"/>
  <c r="E6" i="2"/>
  <c r="F5" i="2"/>
  <c r="E5" i="2"/>
  <c r="F4" i="2"/>
  <c r="E4" i="2"/>
  <c r="F3" i="2"/>
  <c r="E3" i="2"/>
  <c r="F2" i="2"/>
  <c r="E2" i="2"/>
  <c r="F3" i="1"/>
  <c r="F4" i="1"/>
  <c r="F5" i="1"/>
  <c r="F6" i="1"/>
  <c r="F7" i="1"/>
  <c r="F8" i="1"/>
  <c r="F9" i="1"/>
  <c r="F10" i="1"/>
  <c r="E3" i="1"/>
  <c r="G3" i="1" s="1"/>
  <c r="E4" i="1"/>
  <c r="G4" i="1" s="1"/>
  <c r="E5" i="1"/>
  <c r="G5" i="1" s="1"/>
  <c r="E6" i="1"/>
  <c r="G6" i="1" s="1"/>
  <c r="E7" i="1"/>
  <c r="E8" i="1"/>
  <c r="E9" i="1"/>
  <c r="E10" i="1"/>
  <c r="G10" i="1" s="1"/>
  <c r="F2" i="1"/>
  <c r="E2" i="1"/>
  <c r="G2" i="1" s="1"/>
  <c r="H9" i="1" l="1"/>
  <c r="I13" i="1"/>
  <c r="J13" i="1"/>
  <c r="H8" i="1"/>
  <c r="H7" i="1"/>
  <c r="H3" i="1"/>
  <c r="P11" i="2"/>
  <c r="G9" i="1"/>
  <c r="J9" i="1" s="1"/>
  <c r="G8" i="1"/>
  <c r="G7" i="1"/>
  <c r="H6" i="1"/>
  <c r="H10" i="1"/>
  <c r="H5" i="1"/>
  <c r="H4" i="1"/>
  <c r="I9" i="1"/>
  <c r="J3" i="1"/>
  <c r="I3" i="1"/>
  <c r="P8" i="1"/>
  <c r="L8" i="1"/>
  <c r="J8" i="1"/>
  <c r="I8" i="1"/>
  <c r="J7" i="1"/>
  <c r="I7" i="1"/>
  <c r="I6" i="1"/>
  <c r="J6" i="1"/>
  <c r="P5" i="1"/>
  <c r="L5" i="1"/>
  <c r="I10" i="1"/>
  <c r="J10" i="1"/>
  <c r="I5" i="1"/>
  <c r="J5" i="1"/>
  <c r="I4" i="1"/>
  <c r="J4" i="1"/>
  <c r="G2" i="2"/>
  <c r="J2" i="2" s="1"/>
  <c r="G5" i="2"/>
  <c r="J5" i="2" s="1"/>
  <c r="J13" i="2"/>
  <c r="I13" i="2"/>
  <c r="J12" i="2"/>
  <c r="I12" i="2"/>
  <c r="J11" i="2"/>
  <c r="I11" i="2"/>
  <c r="G10" i="2"/>
  <c r="J10" i="2" s="1"/>
  <c r="H8" i="2"/>
  <c r="G7" i="2"/>
  <c r="J7" i="2" s="1"/>
  <c r="G4" i="2"/>
  <c r="J4" i="2" s="1"/>
  <c r="H10" i="2"/>
  <c r="H4" i="2"/>
  <c r="G9" i="2"/>
  <c r="I9" i="2" s="1"/>
  <c r="H6" i="2"/>
  <c r="H3" i="2"/>
  <c r="H5" i="2"/>
  <c r="H9" i="2"/>
  <c r="H2" i="2"/>
  <c r="H7" i="2"/>
  <c r="G8" i="2"/>
  <c r="J8" i="2" s="1"/>
  <c r="G6" i="2"/>
  <c r="J6" i="2" s="1"/>
  <c r="J9" i="2"/>
  <c r="I2" i="2"/>
  <c r="G3" i="2"/>
  <c r="I5" i="2"/>
  <c r="H2" i="1"/>
  <c r="J2" i="1"/>
  <c r="I2" i="1"/>
  <c r="R5" i="2" l="1"/>
  <c r="Q5" i="1"/>
  <c r="M5" i="1"/>
  <c r="R8" i="1"/>
  <c r="N8" i="1"/>
  <c r="Q2" i="1"/>
  <c r="M2" i="1"/>
  <c r="R2" i="1"/>
  <c r="N2" i="1"/>
  <c r="I10" i="2"/>
  <c r="P2" i="1"/>
  <c r="L2" i="1"/>
  <c r="I8" i="2"/>
  <c r="R5" i="1"/>
  <c r="N5" i="1"/>
  <c r="Q8" i="1"/>
  <c r="M8" i="1"/>
  <c r="Q11" i="2"/>
  <c r="M11" i="2"/>
  <c r="N11" i="2"/>
  <c r="R11" i="2"/>
  <c r="N5" i="2"/>
  <c r="L5" i="2"/>
  <c r="P5" i="2"/>
  <c r="I7" i="2"/>
  <c r="P8" i="2"/>
  <c r="N8" i="2"/>
  <c r="R8" i="2"/>
  <c r="I4" i="2"/>
  <c r="P2" i="2"/>
  <c r="L8" i="2"/>
  <c r="L2" i="2"/>
  <c r="I6" i="2"/>
  <c r="J3" i="2"/>
  <c r="I3" i="2"/>
  <c r="M2" i="2" l="1"/>
  <c r="Q8" i="2"/>
  <c r="M8" i="2"/>
  <c r="Q5" i="2"/>
  <c r="N2" i="2"/>
  <c r="R2" i="2"/>
  <c r="Q2" i="2"/>
  <c r="M5" i="2"/>
</calcChain>
</file>

<file path=xl/sharedStrings.xml><?xml version="1.0" encoding="utf-8"?>
<sst xmlns="http://schemas.openxmlformats.org/spreadsheetml/2006/main" count="56" uniqueCount="28">
  <si>
    <t>m_foil</t>
  </si>
  <si>
    <t>m_wet+foil</t>
  </si>
  <si>
    <t>m_dry+foil</t>
  </si>
  <si>
    <t>m_wet</t>
  </si>
  <si>
    <t>m_dry</t>
  </si>
  <si>
    <t>m_water</t>
  </si>
  <si>
    <t>Sample</t>
  </si>
  <si>
    <t>Polymer volume fraction (m_dry/m_wet)</t>
  </si>
  <si>
    <t>Water content (m_water/m_wet)</t>
  </si>
  <si>
    <t>Hydration ratio (m_water/m_dry)</t>
  </si>
  <si>
    <t>Avg polymer volume fraction (m_dry/m_wet)</t>
  </si>
  <si>
    <t>Avg water content (m_water/m_wet)</t>
  </si>
  <si>
    <t>Avg hydration ratio (m_water/m_dry)</t>
  </si>
  <si>
    <t>SD polymer volume fraction (m_dry/m_wet)</t>
  </si>
  <si>
    <t>SD water content (m_water/m_wet)</t>
  </si>
  <si>
    <t>SD hydration ratio (m_water/m_dry)</t>
  </si>
  <si>
    <t>WT 1</t>
  </si>
  <si>
    <t>WT 2</t>
  </si>
  <si>
    <t>WT 3</t>
  </si>
  <si>
    <t>Spore- 1</t>
  </si>
  <si>
    <t>Spore- 2</t>
  </si>
  <si>
    <t>Spore- 3</t>
  </si>
  <si>
    <t>PGA- 1</t>
  </si>
  <si>
    <t>PGA- 2</t>
  </si>
  <si>
    <t>PGA- 3</t>
  </si>
  <si>
    <t>EPS- 1</t>
  </si>
  <si>
    <t>EPS- 2</t>
  </si>
  <si>
    <t>EPS- 3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</si>
</sst>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5A67D-EC07-D241-920B-62922279E420}">
  <dimension ref="A1:R13"/>
  <sheetViews>
    <sheetView workbookViewId="0">
      <selection activeCell="I23" sqref="I23"/>
    </sheetView>
  </sheetViews>
  <sheetFormatPr baseColWidth="10" defaultColWidth="11" defaultRowHeight="16" x14ac:dyDescent="0.2"/>
  <cols>
    <col min="1" max="1" width="15.5" bestFit="1" customWidth="1"/>
    <col min="8" max="8" width="33.6640625" bestFit="1" customWidth="1"/>
    <col min="9" max="10" width="28" bestFit="1" customWidth="1"/>
    <col min="12" max="12" width="36.6640625" bestFit="1" customWidth="1"/>
    <col min="13" max="14" width="30.6640625" bestFit="1" customWidth="1"/>
    <col min="16" max="16" width="36.33203125" bestFit="1" customWidth="1"/>
    <col min="17" max="18" width="30.33203125" bestFit="1" customWidth="1"/>
  </cols>
  <sheetData>
    <row r="1" spans="1:18" x14ac:dyDescent="0.2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7</v>
      </c>
      <c r="I1" t="s">
        <v>8</v>
      </c>
      <c r="J1" t="s">
        <v>9</v>
      </c>
      <c r="L1" t="s">
        <v>10</v>
      </c>
      <c r="M1" t="s">
        <v>11</v>
      </c>
      <c r="N1" t="s">
        <v>12</v>
      </c>
      <c r="P1" t="s">
        <v>13</v>
      </c>
      <c r="Q1" t="s">
        <v>14</v>
      </c>
      <c r="R1" t="s">
        <v>15</v>
      </c>
    </row>
    <row r="2" spans="1:18" x14ac:dyDescent="0.2">
      <c r="A2" t="s">
        <v>16</v>
      </c>
      <c r="B2">
        <v>-38.1</v>
      </c>
      <c r="C2">
        <v>132.69999999999999</v>
      </c>
      <c r="D2">
        <v>3.1</v>
      </c>
      <c r="E2">
        <f>C2-B2</f>
        <v>170.79999999999998</v>
      </c>
      <c r="F2">
        <f>D2-B2</f>
        <v>41.2</v>
      </c>
      <c r="G2">
        <f>E2-F2</f>
        <v>129.59999999999997</v>
      </c>
      <c r="H2">
        <f>F2/E2</f>
        <v>0.24121779859484782</v>
      </c>
      <c r="I2">
        <f>G2/E2</f>
        <v>0.75878220140515207</v>
      </c>
      <c r="J2">
        <f>G2/F2</f>
        <v>3.1456310679611641</v>
      </c>
      <c r="L2">
        <f>AVERAGE(H2:H4)</f>
        <v>0.24223672358551651</v>
      </c>
      <c r="M2">
        <f>AVERAGE(I2:I4)</f>
        <v>0.75776327641448338</v>
      </c>
      <c r="N2">
        <f>AVERAGE(J2:J4)</f>
        <v>3.1303278382281117</v>
      </c>
      <c r="P2">
        <f>_xlfn.STDEV.P(H2:H4)</f>
        <v>5.5232473943935901E-3</v>
      </c>
      <c r="Q2">
        <f>_xlfn.STDEV.P(I2:I4)</f>
        <v>5.5232473943935814E-3</v>
      </c>
      <c r="R2">
        <f>_xlfn.STDEV.P(J2:J4)</f>
        <v>9.36298731401662E-2</v>
      </c>
    </row>
    <row r="3" spans="1:18" x14ac:dyDescent="0.2">
      <c r="A3" t="s">
        <v>17</v>
      </c>
      <c r="B3">
        <v>-22.4</v>
      </c>
      <c r="C3">
        <v>190.7</v>
      </c>
      <c r="D3">
        <v>27.9</v>
      </c>
      <c r="E3">
        <f t="shared" ref="E3:E13" si="0">C3-B3</f>
        <v>213.1</v>
      </c>
      <c r="F3">
        <f t="shared" ref="F3:F13" si="1">D3-B3</f>
        <v>50.3</v>
      </c>
      <c r="G3">
        <f t="shared" ref="G3:G13" si="2">E3-F3</f>
        <v>162.80000000000001</v>
      </c>
      <c r="H3">
        <f t="shared" ref="H3:H13" si="3">F3/E3</f>
        <v>0.23603941811356169</v>
      </c>
      <c r="I3">
        <f t="shared" ref="I3:I13" si="4">G3/E3</f>
        <v>0.76396058188643834</v>
      </c>
      <c r="J3">
        <f t="shared" ref="J3:J13" si="5">G3/F3</f>
        <v>3.2365805168986088</v>
      </c>
    </row>
    <row r="4" spans="1:18" x14ac:dyDescent="0.2">
      <c r="A4" t="s">
        <v>18</v>
      </c>
      <c r="B4">
        <v>7.4</v>
      </c>
      <c r="C4">
        <v>190.2</v>
      </c>
      <c r="D4">
        <v>53</v>
      </c>
      <c r="E4">
        <f t="shared" si="0"/>
        <v>182.79999999999998</v>
      </c>
      <c r="F4">
        <f t="shared" si="1"/>
        <v>45.6</v>
      </c>
      <c r="G4">
        <f t="shared" si="2"/>
        <v>137.19999999999999</v>
      </c>
      <c r="H4">
        <f t="shared" si="3"/>
        <v>0.24945295404814008</v>
      </c>
      <c r="I4">
        <f t="shared" si="4"/>
        <v>0.75054704595185995</v>
      </c>
      <c r="J4">
        <f t="shared" si="5"/>
        <v>3.0087719298245612</v>
      </c>
    </row>
    <row r="5" spans="1:18" x14ac:dyDescent="0.2">
      <c r="A5" t="s">
        <v>19</v>
      </c>
      <c r="B5">
        <v>37.5</v>
      </c>
      <c r="C5">
        <v>241.3</v>
      </c>
      <c r="D5">
        <v>76.599999999999994</v>
      </c>
      <c r="E5">
        <f t="shared" si="0"/>
        <v>203.8</v>
      </c>
      <c r="F5">
        <f t="shared" si="1"/>
        <v>39.099999999999994</v>
      </c>
      <c r="G5">
        <f t="shared" si="2"/>
        <v>164.70000000000002</v>
      </c>
      <c r="H5">
        <f t="shared" si="3"/>
        <v>0.19185475956820408</v>
      </c>
      <c r="I5">
        <f t="shared" si="4"/>
        <v>0.80814524043179592</v>
      </c>
      <c r="J5">
        <f t="shared" si="5"/>
        <v>4.2122762148337607</v>
      </c>
      <c r="L5">
        <f>AVERAGE(H5:H7)</f>
        <v>0.19969468251837061</v>
      </c>
      <c r="M5">
        <f>AVERAGE(I5:I7)</f>
        <v>0.80030531748162936</v>
      </c>
      <c r="N5">
        <f>AVERAGE(J5:J7)</f>
        <v>4.0294872852616708</v>
      </c>
      <c r="P5">
        <f>_xlfn.STDEV.P(H5:H7)</f>
        <v>1.3455192893864737E-2</v>
      </c>
      <c r="Q5">
        <f>_xlfn.STDEV.P(I5:I7)</f>
        <v>1.3455192893864765E-2</v>
      </c>
      <c r="R5">
        <f>_xlfn.STDEV.P(J5:J7)</f>
        <v>0.32421174299324734</v>
      </c>
    </row>
    <row r="6" spans="1:18" x14ac:dyDescent="0.2">
      <c r="A6" t="s">
        <v>20</v>
      </c>
      <c r="B6">
        <v>-15.4</v>
      </c>
      <c r="C6">
        <v>149.5</v>
      </c>
      <c r="D6">
        <v>15.7</v>
      </c>
      <c r="E6">
        <f t="shared" si="0"/>
        <v>164.9</v>
      </c>
      <c r="F6">
        <f t="shared" si="1"/>
        <v>31.1</v>
      </c>
      <c r="G6">
        <f t="shared" si="2"/>
        <v>133.80000000000001</v>
      </c>
      <c r="H6">
        <f t="shared" si="3"/>
        <v>0.18859915100060642</v>
      </c>
      <c r="I6">
        <f t="shared" si="4"/>
        <v>0.81140084899939358</v>
      </c>
      <c r="J6">
        <f t="shared" si="5"/>
        <v>4.302250803858521</v>
      </c>
    </row>
    <row r="7" spans="1:18" x14ac:dyDescent="0.2">
      <c r="A7" t="s">
        <v>21</v>
      </c>
      <c r="B7">
        <v>-85.5</v>
      </c>
      <c r="C7">
        <v>97</v>
      </c>
      <c r="D7">
        <v>-45.6</v>
      </c>
      <c r="E7">
        <f t="shared" si="0"/>
        <v>182.5</v>
      </c>
      <c r="F7">
        <f t="shared" si="1"/>
        <v>39.9</v>
      </c>
      <c r="G7">
        <f t="shared" si="2"/>
        <v>142.6</v>
      </c>
      <c r="H7">
        <f t="shared" si="3"/>
        <v>0.21863013698630135</v>
      </c>
      <c r="I7">
        <f t="shared" si="4"/>
        <v>0.7813698630136986</v>
      </c>
      <c r="J7">
        <f t="shared" si="5"/>
        <v>3.573934837092732</v>
      </c>
    </row>
    <row r="8" spans="1:18" x14ac:dyDescent="0.2">
      <c r="A8" t="s">
        <v>22</v>
      </c>
      <c r="B8">
        <v>-51.3</v>
      </c>
      <c r="C8">
        <v>111.4</v>
      </c>
      <c r="D8">
        <v>-12.5</v>
      </c>
      <c r="E8">
        <f t="shared" si="0"/>
        <v>162.69999999999999</v>
      </c>
      <c r="F8">
        <f t="shared" si="1"/>
        <v>38.799999999999997</v>
      </c>
      <c r="G8">
        <f t="shared" si="2"/>
        <v>123.89999999999999</v>
      </c>
      <c r="H8">
        <f t="shared" si="3"/>
        <v>0.23847572218807622</v>
      </c>
      <c r="I8">
        <f t="shared" si="4"/>
        <v>0.76152427781192378</v>
      </c>
      <c r="J8">
        <f t="shared" si="5"/>
        <v>3.1932989690721651</v>
      </c>
      <c r="L8">
        <f>AVERAGE(H8:H10)</f>
        <v>0.26079209383881913</v>
      </c>
      <c r="M8">
        <f>AVERAGE(I8:I10)</f>
        <v>0.73920790616118082</v>
      </c>
      <c r="N8">
        <f>AVERAGE(J8:J10)</f>
        <v>2.8492502557579882</v>
      </c>
      <c r="P8">
        <f>_xlfn.STDEV.P(H8:H10)</f>
        <v>1.5815342416339816E-2</v>
      </c>
      <c r="Q8">
        <f>_xlfn.STDEV.P(I8:I10)</f>
        <v>1.5815342416339816E-2</v>
      </c>
      <c r="R8">
        <f>_xlfn.STDEV.P(J8:J10)</f>
        <v>0.24369774370957439</v>
      </c>
    </row>
    <row r="9" spans="1:18" x14ac:dyDescent="0.2">
      <c r="A9" t="s">
        <v>23</v>
      </c>
      <c r="B9">
        <v>-82</v>
      </c>
      <c r="C9">
        <v>58.9</v>
      </c>
      <c r="D9">
        <v>-43.5</v>
      </c>
      <c r="E9">
        <f t="shared" si="0"/>
        <v>140.9</v>
      </c>
      <c r="F9">
        <f t="shared" si="1"/>
        <v>38.5</v>
      </c>
      <c r="G9">
        <f t="shared" si="2"/>
        <v>102.4</v>
      </c>
      <c r="H9">
        <f t="shared" si="3"/>
        <v>0.27324343506032645</v>
      </c>
      <c r="I9">
        <f t="shared" si="4"/>
        <v>0.72675656493967355</v>
      </c>
      <c r="J9">
        <f t="shared" si="5"/>
        <v>2.6597402597402597</v>
      </c>
    </row>
    <row r="10" spans="1:18" x14ac:dyDescent="0.2">
      <c r="A10" t="s">
        <v>24</v>
      </c>
      <c r="B10">
        <v>-85.7</v>
      </c>
      <c r="C10">
        <v>68</v>
      </c>
      <c r="D10">
        <v>-44.1</v>
      </c>
      <c r="E10">
        <f t="shared" si="0"/>
        <v>153.69999999999999</v>
      </c>
      <c r="F10">
        <f t="shared" si="1"/>
        <v>41.6</v>
      </c>
      <c r="G10">
        <f t="shared" si="2"/>
        <v>112.1</v>
      </c>
      <c r="H10">
        <f t="shared" si="3"/>
        <v>0.27065712426805466</v>
      </c>
      <c r="I10">
        <f t="shared" si="4"/>
        <v>0.72934287573194534</v>
      </c>
      <c r="J10">
        <f t="shared" si="5"/>
        <v>2.6947115384615383</v>
      </c>
    </row>
    <row r="11" spans="1:18" x14ac:dyDescent="0.2">
      <c r="A11" t="s">
        <v>25</v>
      </c>
      <c r="B11">
        <v>0</v>
      </c>
      <c r="C11">
        <v>191</v>
      </c>
      <c r="D11">
        <v>48.5</v>
      </c>
      <c r="E11">
        <f t="shared" si="0"/>
        <v>191</v>
      </c>
      <c r="F11">
        <f t="shared" si="1"/>
        <v>48.5</v>
      </c>
      <c r="G11">
        <f t="shared" si="2"/>
        <v>142.5</v>
      </c>
      <c r="H11">
        <f t="shared" si="3"/>
        <v>0.25392670157068065</v>
      </c>
      <c r="I11">
        <f t="shared" si="4"/>
        <v>0.74607329842931935</v>
      </c>
      <c r="J11">
        <f t="shared" si="5"/>
        <v>2.9381443298969074</v>
      </c>
    </row>
    <row r="12" spans="1:18" x14ac:dyDescent="0.2">
      <c r="A12" t="s">
        <v>26</v>
      </c>
      <c r="B12">
        <v>3.2</v>
      </c>
      <c r="C12">
        <v>217.2</v>
      </c>
      <c r="D12">
        <v>56.2</v>
      </c>
      <c r="E12">
        <f t="shared" si="0"/>
        <v>214</v>
      </c>
      <c r="F12">
        <f t="shared" si="1"/>
        <v>53</v>
      </c>
      <c r="G12">
        <f t="shared" si="2"/>
        <v>161</v>
      </c>
      <c r="H12">
        <f t="shared" si="3"/>
        <v>0.24766355140186916</v>
      </c>
      <c r="I12">
        <f t="shared" si="4"/>
        <v>0.75233644859813087</v>
      </c>
      <c r="J12">
        <f t="shared" si="5"/>
        <v>3.0377358490566038</v>
      </c>
    </row>
    <row r="13" spans="1:18" x14ac:dyDescent="0.2">
      <c r="A13" t="s">
        <v>27</v>
      </c>
      <c r="B13">
        <v>8.6999999999999993</v>
      </c>
      <c r="C13">
        <v>213.5</v>
      </c>
      <c r="D13">
        <v>58.4</v>
      </c>
      <c r="E13">
        <f t="shared" si="0"/>
        <v>204.8</v>
      </c>
      <c r="F13">
        <f t="shared" si="1"/>
        <v>49.7</v>
      </c>
      <c r="G13">
        <f t="shared" si="2"/>
        <v>155.10000000000002</v>
      </c>
      <c r="H13">
        <f t="shared" si="3"/>
        <v>0.24267578125</v>
      </c>
      <c r="I13">
        <f t="shared" si="4"/>
        <v>0.75732421875000011</v>
      </c>
      <c r="J13">
        <f t="shared" si="5"/>
        <v>3.1207243460764591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36BB6-1814-F747-8B2F-5ABFA0E07C58}">
  <dimension ref="A1:R13"/>
  <sheetViews>
    <sheetView tabSelected="1" zoomScaleNormal="100" workbookViewId="0">
      <selection activeCell="N20" sqref="N20"/>
    </sheetView>
  </sheetViews>
  <sheetFormatPr baseColWidth="10" defaultColWidth="11" defaultRowHeight="16" x14ac:dyDescent="0.2"/>
  <cols>
    <col min="1" max="1" width="15.5" bestFit="1" customWidth="1"/>
    <col min="8" max="8" width="33.6640625" bestFit="1" customWidth="1"/>
    <col min="9" max="10" width="28" bestFit="1" customWidth="1"/>
    <col min="12" max="12" width="36.6640625" bestFit="1" customWidth="1"/>
    <col min="13" max="14" width="30.6640625" bestFit="1" customWidth="1"/>
    <col min="16" max="16" width="36.33203125" bestFit="1" customWidth="1"/>
    <col min="17" max="18" width="30.33203125" bestFit="1" customWidth="1"/>
  </cols>
  <sheetData>
    <row r="1" spans="1:18" x14ac:dyDescent="0.2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7</v>
      </c>
      <c r="I1" t="s">
        <v>8</v>
      </c>
      <c r="J1" t="s">
        <v>9</v>
      </c>
      <c r="L1" t="s">
        <v>10</v>
      </c>
      <c r="M1" t="s">
        <v>11</v>
      </c>
      <c r="N1" t="s">
        <v>12</v>
      </c>
      <c r="P1" t="s">
        <v>13</v>
      </c>
      <c r="Q1" t="s">
        <v>14</v>
      </c>
      <c r="R1" t="s">
        <v>15</v>
      </c>
    </row>
    <row r="2" spans="1:18" x14ac:dyDescent="0.2">
      <c r="A2" t="s">
        <v>16</v>
      </c>
      <c r="B2">
        <v>-133.4</v>
      </c>
      <c r="C2">
        <v>52</v>
      </c>
      <c r="D2">
        <v>-99.6</v>
      </c>
      <c r="E2">
        <f>C2-B2</f>
        <v>185.4</v>
      </c>
      <c r="F2">
        <f>D2-B2</f>
        <v>33.800000000000011</v>
      </c>
      <c r="G2">
        <f>E2-F2</f>
        <v>151.6</v>
      </c>
      <c r="H2">
        <f>F2/E2</f>
        <v>0.18230852211434742</v>
      </c>
      <c r="I2">
        <f>G2/E2</f>
        <v>0.81769147788565255</v>
      </c>
      <c r="J2">
        <f>G2/F2</f>
        <v>4.4852071005917145</v>
      </c>
      <c r="L2">
        <f>AVERAGE(H2:H4)</f>
        <v>0.17653816214649501</v>
      </c>
      <c r="M2">
        <f>AVERAGE(I2:I4)</f>
        <v>0.82346183785350513</v>
      </c>
      <c r="N2">
        <f>AVERAGE(J2:J4)</f>
        <v>4.6743150951218801</v>
      </c>
      <c r="P2">
        <f>_xlfn.STDEV.P(H2:H4)</f>
        <v>7.2384927294961779E-3</v>
      </c>
      <c r="Q2">
        <f>_xlfn.STDEV.P(I2:I4)</f>
        <v>7.2384927294962187E-3</v>
      </c>
      <c r="R2">
        <f>_xlfn.STDEV.P(J2:J4)</f>
        <v>0.23944112586355695</v>
      </c>
    </row>
    <row r="3" spans="1:18" x14ac:dyDescent="0.2">
      <c r="A3" t="s">
        <v>17</v>
      </c>
      <c r="B3">
        <v>-131</v>
      </c>
      <c r="C3">
        <v>74</v>
      </c>
      <c r="D3">
        <v>-93.9</v>
      </c>
      <c r="E3">
        <f t="shared" ref="E3:E13" si="0">C3-B3</f>
        <v>205</v>
      </c>
      <c r="F3">
        <f t="shared" ref="F3:F13" si="1">D3-B3</f>
        <v>37.099999999999994</v>
      </c>
      <c r="G3">
        <f t="shared" ref="G3:G13" si="2">E3-F3</f>
        <v>167.9</v>
      </c>
      <c r="H3">
        <f t="shared" ref="H3:H13" si="3">F3/E3</f>
        <v>0.18097560975609753</v>
      </c>
      <c r="I3">
        <f t="shared" ref="I3:I13" si="4">G3/E3</f>
        <v>0.8190243902439025</v>
      </c>
      <c r="J3">
        <f t="shared" ref="J3:J13" si="5">G3/F3</f>
        <v>4.525606469002696</v>
      </c>
    </row>
    <row r="4" spans="1:18" x14ac:dyDescent="0.2">
      <c r="A4" t="s">
        <v>18</v>
      </c>
      <c r="B4">
        <v>-117.9</v>
      </c>
      <c r="C4">
        <v>229</v>
      </c>
      <c r="D4">
        <v>-60.2</v>
      </c>
      <c r="E4">
        <f t="shared" si="0"/>
        <v>346.9</v>
      </c>
      <c r="F4">
        <f t="shared" si="1"/>
        <v>57.7</v>
      </c>
      <c r="G4">
        <f t="shared" si="2"/>
        <v>289.2</v>
      </c>
      <c r="H4">
        <f t="shared" si="3"/>
        <v>0.16633035456904008</v>
      </c>
      <c r="I4">
        <f t="shared" si="4"/>
        <v>0.83366964543096</v>
      </c>
      <c r="J4">
        <f t="shared" si="5"/>
        <v>5.01213171577123</v>
      </c>
    </row>
    <row r="5" spans="1:18" x14ac:dyDescent="0.2">
      <c r="A5" t="s">
        <v>19</v>
      </c>
      <c r="B5">
        <v>-119.8</v>
      </c>
      <c r="C5">
        <v>33.200000000000003</v>
      </c>
      <c r="D5">
        <v>-103.2</v>
      </c>
      <c r="E5">
        <f t="shared" si="0"/>
        <v>153</v>
      </c>
      <c r="F5">
        <f t="shared" si="1"/>
        <v>16.599999999999994</v>
      </c>
      <c r="G5">
        <f t="shared" si="2"/>
        <v>136.4</v>
      </c>
      <c r="H5">
        <f t="shared" si="3"/>
        <v>0.10849673202614375</v>
      </c>
      <c r="I5">
        <f t="shared" si="4"/>
        <v>0.89150326797385626</v>
      </c>
      <c r="J5">
        <f t="shared" si="5"/>
        <v>8.2168674698795208</v>
      </c>
      <c r="L5">
        <f>AVERAGE(H5:H7)</f>
        <v>0.11356943868751514</v>
      </c>
      <c r="M5">
        <f>AVERAGE(I5:I7)</f>
        <v>0.88643056131248488</v>
      </c>
      <c r="N5">
        <f>AVERAGE(J5:J7)</f>
        <v>7.8144363671281454</v>
      </c>
      <c r="P5">
        <f>_xlfn.STDEV.P(H5:H7)</f>
        <v>3.642663732294282E-3</v>
      </c>
      <c r="Q5">
        <f>_xlfn.STDEV.P(I5:I7)</f>
        <v>3.6426637322942886E-3</v>
      </c>
      <c r="R5">
        <f>_xlfn.STDEV.P(J5:J7)</f>
        <v>0.28843066940467488</v>
      </c>
    </row>
    <row r="6" spans="1:18" x14ac:dyDescent="0.2">
      <c r="A6" t="s">
        <v>20</v>
      </c>
      <c r="B6">
        <v>-128.80000000000001</v>
      </c>
      <c r="C6">
        <v>-36.4</v>
      </c>
      <c r="D6">
        <v>-118</v>
      </c>
      <c r="E6">
        <f t="shared" si="0"/>
        <v>92.4</v>
      </c>
      <c r="F6">
        <f t="shared" si="1"/>
        <v>10.800000000000011</v>
      </c>
      <c r="G6">
        <f t="shared" si="2"/>
        <v>81.599999999999994</v>
      </c>
      <c r="H6">
        <f t="shared" si="3"/>
        <v>0.11688311688311701</v>
      </c>
      <c r="I6">
        <f t="shared" si="4"/>
        <v>0.88311688311688297</v>
      </c>
      <c r="J6">
        <f t="shared" si="5"/>
        <v>7.5555555555555474</v>
      </c>
    </row>
    <row r="7" spans="1:18" x14ac:dyDescent="0.2">
      <c r="A7" t="s">
        <v>21</v>
      </c>
      <c r="B7">
        <v>-124.3</v>
      </c>
      <c r="C7">
        <v>12.7</v>
      </c>
      <c r="D7">
        <v>-108.5</v>
      </c>
      <c r="E7">
        <f t="shared" si="0"/>
        <v>137</v>
      </c>
      <c r="F7">
        <f t="shared" si="1"/>
        <v>15.799999999999997</v>
      </c>
      <c r="G7">
        <f t="shared" si="2"/>
        <v>121.2</v>
      </c>
      <c r="H7">
        <f t="shared" si="3"/>
        <v>0.11532846715328465</v>
      </c>
      <c r="I7">
        <f t="shared" si="4"/>
        <v>0.8846715328467154</v>
      </c>
      <c r="J7">
        <f t="shared" si="5"/>
        <v>7.6708860759493689</v>
      </c>
    </row>
    <row r="8" spans="1:18" x14ac:dyDescent="0.2">
      <c r="A8" t="s">
        <v>22</v>
      </c>
      <c r="B8">
        <v>-145.1</v>
      </c>
      <c r="C8">
        <v>97.3</v>
      </c>
      <c r="D8">
        <v>-101.9</v>
      </c>
      <c r="E8">
        <f t="shared" si="0"/>
        <v>242.39999999999998</v>
      </c>
      <c r="F8">
        <f t="shared" si="1"/>
        <v>43.199999999999989</v>
      </c>
      <c r="G8">
        <f t="shared" si="2"/>
        <v>199.2</v>
      </c>
      <c r="H8">
        <f t="shared" si="3"/>
        <v>0.17821782178217818</v>
      </c>
      <c r="I8">
        <f t="shared" si="4"/>
        <v>0.82178217821782185</v>
      </c>
      <c r="J8">
        <f t="shared" si="5"/>
        <v>4.6111111111111125</v>
      </c>
      <c r="L8">
        <f>AVERAGE(H8:H10)</f>
        <v>0.17932711372337021</v>
      </c>
      <c r="M8">
        <f>AVERAGE(I8:I10)</f>
        <v>0.8206728862766296</v>
      </c>
      <c r="N8">
        <f>AVERAGE(J8:J10)</f>
        <v>4.5765951800434559</v>
      </c>
      <c r="P8">
        <f>_xlfn.STDEV.P(H8:H10)</f>
        <v>1.0579153045789384E-3</v>
      </c>
      <c r="Q8">
        <f>_xlfn.STDEV.P(I8:I10)</f>
        <v>1.0579153045789619E-3</v>
      </c>
      <c r="R8">
        <f>_xlfn.STDEV.P(J8:J10)</f>
        <v>3.2817596257127046E-2</v>
      </c>
    </row>
    <row r="9" spans="1:18" x14ac:dyDescent="0.2">
      <c r="A9" t="s">
        <v>23</v>
      </c>
      <c r="B9">
        <v>-113.9</v>
      </c>
      <c r="C9">
        <v>112.9</v>
      </c>
      <c r="D9">
        <v>-73.3</v>
      </c>
      <c r="E9">
        <f t="shared" si="0"/>
        <v>226.8</v>
      </c>
      <c r="F9">
        <f t="shared" si="1"/>
        <v>40.600000000000009</v>
      </c>
      <c r="G9">
        <f t="shared" si="2"/>
        <v>186.2</v>
      </c>
      <c r="H9">
        <f t="shared" si="3"/>
        <v>0.17901234567901236</v>
      </c>
      <c r="I9">
        <f t="shared" si="4"/>
        <v>0.82098765432098753</v>
      </c>
      <c r="J9">
        <f t="shared" si="5"/>
        <v>4.5862068965517233</v>
      </c>
    </row>
    <row r="10" spans="1:18" x14ac:dyDescent="0.2">
      <c r="A10" t="s">
        <v>24</v>
      </c>
      <c r="B10">
        <v>-119</v>
      </c>
      <c r="C10">
        <v>94</v>
      </c>
      <c r="D10">
        <v>-80.5</v>
      </c>
      <c r="E10">
        <f t="shared" si="0"/>
        <v>213</v>
      </c>
      <c r="F10">
        <f t="shared" si="1"/>
        <v>38.5</v>
      </c>
      <c r="G10">
        <f t="shared" si="2"/>
        <v>174.5</v>
      </c>
      <c r="H10">
        <f t="shared" si="3"/>
        <v>0.18075117370892019</v>
      </c>
      <c r="I10">
        <f t="shared" si="4"/>
        <v>0.81924882629107976</v>
      </c>
      <c r="J10">
        <f t="shared" si="5"/>
        <v>4.5324675324675328</v>
      </c>
    </row>
    <row r="11" spans="1:18" x14ac:dyDescent="0.2">
      <c r="A11" t="s">
        <v>25</v>
      </c>
      <c r="B11">
        <v>-73</v>
      </c>
      <c r="C11">
        <v>227</v>
      </c>
      <c r="D11">
        <v>-27</v>
      </c>
      <c r="E11">
        <f t="shared" si="0"/>
        <v>300</v>
      </c>
      <c r="F11">
        <f t="shared" si="1"/>
        <v>46</v>
      </c>
      <c r="G11">
        <f t="shared" si="2"/>
        <v>254</v>
      </c>
      <c r="H11">
        <f t="shared" si="3"/>
        <v>0.15333333333333332</v>
      </c>
      <c r="I11">
        <f t="shared" si="4"/>
        <v>0.84666666666666668</v>
      </c>
      <c r="J11">
        <f t="shared" si="5"/>
        <v>5.5217391304347823</v>
      </c>
      <c r="L11">
        <f>AVERAGE(H11:H13)</f>
        <v>0.17565804419661299</v>
      </c>
      <c r="M11">
        <f>AVERAGE(I11:I13)</f>
        <v>0.82434195580338709</v>
      </c>
      <c r="N11">
        <f>AVERAGE(J11:J13)</f>
        <v>4.9133619447688082</v>
      </c>
      <c r="P11">
        <f>_xlfn.STDEV.P(H11:H13)</f>
        <v>3.6234693207915114E-2</v>
      </c>
      <c r="Q11">
        <f>_xlfn.STDEV.P(I11:I13)</f>
        <v>3.62346932079151E-2</v>
      </c>
      <c r="R11">
        <f>_xlfn.STDEV.P(J11:J13)</f>
        <v>1.069579988122263</v>
      </c>
    </row>
    <row r="12" spans="1:18" x14ac:dyDescent="0.2">
      <c r="A12" t="s">
        <v>26</v>
      </c>
      <c r="B12">
        <v>-81</v>
      </c>
      <c r="C12">
        <v>188</v>
      </c>
      <c r="D12">
        <v>-20</v>
      </c>
      <c r="E12">
        <f t="shared" si="0"/>
        <v>269</v>
      </c>
      <c r="F12">
        <f t="shared" si="1"/>
        <v>61</v>
      </c>
      <c r="G12">
        <f t="shared" si="2"/>
        <v>208</v>
      </c>
      <c r="H12">
        <f t="shared" si="3"/>
        <v>0.22676579925650558</v>
      </c>
      <c r="I12">
        <f t="shared" si="4"/>
        <v>0.77323420074349447</v>
      </c>
      <c r="J12">
        <f t="shared" si="5"/>
        <v>3.4098360655737703</v>
      </c>
    </row>
    <row r="13" spans="1:18" x14ac:dyDescent="0.2">
      <c r="A13" t="s">
        <v>27</v>
      </c>
      <c r="B13">
        <v>-78</v>
      </c>
      <c r="C13">
        <v>242</v>
      </c>
      <c r="D13">
        <v>-31</v>
      </c>
      <c r="E13">
        <f t="shared" si="0"/>
        <v>320</v>
      </c>
      <c r="F13">
        <f t="shared" si="1"/>
        <v>47</v>
      </c>
      <c r="G13">
        <f t="shared" si="2"/>
        <v>273</v>
      </c>
      <c r="H13">
        <f t="shared" si="3"/>
        <v>0.14687500000000001</v>
      </c>
      <c r="I13">
        <f t="shared" si="4"/>
        <v>0.85312500000000002</v>
      </c>
      <c r="J13">
        <f t="shared" si="5"/>
        <v>5.8085106382978724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24 hpi</vt:lpstr>
      <vt:lpstr>72 hpi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Ducharme, Nicolas Andrew</dc:creator>
  <cp:lastModifiedBy>Ducharme, Nicolas Andrew</cp:lastModifiedBy>
  <dcterms:created xsi:type="dcterms:W3CDTF">2025-08-01T17:08:40Z</dcterms:created>
  <dcterms:modified xsi:type="dcterms:W3CDTF">2026-09-09T20:05:39Z</dcterms:modified>
</cp:coreProperties>
</file>
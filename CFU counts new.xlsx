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1_{45A01EC8-C857-4A79-AE6E-3D57A625F468}" xr6:coauthVersionLast="47" xr6:coauthVersionMax="47" xr10:uidLastSave="{00000000-0000-0000-0000-000000000000}"/>
  <bookViews>
    <workbookView xWindow="2520" yWindow="10" windowWidth="29640" windowHeight="20870" xr2:uid="{8459118A-9BF4-2243-8E22-5F4C5DCAE504}"/>
  </bookViews>
  <sheets>
    <sheet name="Comparison" sheetId="8" r:id="rId1"/>
    <sheet name="JMJ1233 P- 24 hpi" sheetId="14" r:id="rId2"/>
    <sheet name="JMJ1233 Vancomycin 24 hpi" sheetId="21" r:id="rId3"/>
    <sheet name="JMJ1233 P+ 24 hpi" sheetId="1" r:id="rId4"/>
    <sheet name="JMJ1233 P- 72 hpi" sheetId="13" r:id="rId5"/>
    <sheet name="JMJ1233 P+ 72 hpi" sheetId="3" r:id="rId6"/>
    <sheet name="JMJ1234 P- 24 hpi" sheetId="9" r:id="rId7"/>
    <sheet name="JMJ1234 Vancomycin 24 hpi" sheetId="22" r:id="rId8"/>
    <sheet name="JMJ1234 P+ 24 hpi" sheetId="18" r:id="rId9"/>
    <sheet name="JMJ1234 P- 72 hpi" sheetId="15" r:id="rId10"/>
    <sheet name="JMJ1234 P+ 72 hpi" sheetId="10" r:id="rId11"/>
    <sheet name="JMJ1250 P- 24 hpi" sheetId="2" r:id="rId12"/>
    <sheet name="JMJ1250 P+ 24 hpi" sheetId="19" r:id="rId13"/>
    <sheet name="JMJ1250 P- 72 hpi" sheetId="16" r:id="rId14"/>
    <sheet name="JMJ1250 P+ 72 hpi" sheetId="5" r:id="rId15"/>
    <sheet name="JMJ1480 P- 24 hpi" sheetId="11" r:id="rId16"/>
    <sheet name="JMJ1480 P- 72 hpi" sheetId="17" r:id="rId17"/>
    <sheet name="NAD003 P- 24 hpi" sheetId="23" r:id="rId18"/>
    <sheet name="NAD003 P+ 24 hpi" sheetId="20" r:id="rId19"/>
    <sheet name="NAD003 P- 72 hpi" sheetId="25" r:id="rId20"/>
    <sheet name="NAD003 P+ 72 hpi" sheetId="1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5" l="1"/>
  <c r="B6" i="25"/>
  <c r="C5" i="25"/>
  <c r="B5" i="25"/>
  <c r="E4" i="25"/>
  <c r="D4" i="25"/>
  <c r="E3" i="25"/>
  <c r="F5" i="25" s="1"/>
  <c r="D3" i="25"/>
  <c r="E2" i="25"/>
  <c r="D2" i="25"/>
  <c r="D6" i="25" s="1"/>
  <c r="C6" i="23"/>
  <c r="B6" i="23"/>
  <c r="C5" i="23"/>
  <c r="B5" i="23"/>
  <c r="E4" i="23"/>
  <c r="D4" i="23"/>
  <c r="E3" i="23"/>
  <c r="D3" i="23"/>
  <c r="E2" i="23"/>
  <c r="E5" i="23" s="1"/>
  <c r="D2" i="23"/>
  <c r="D3" i="16"/>
  <c r="D9" i="16"/>
  <c r="C13" i="22"/>
  <c r="B13" i="22"/>
  <c r="C12" i="22"/>
  <c r="B12" i="22"/>
  <c r="E11" i="22"/>
  <c r="D11" i="22"/>
  <c r="E10" i="22"/>
  <c r="D10" i="22"/>
  <c r="E9" i="22"/>
  <c r="F12" i="22" s="1"/>
  <c r="D9" i="22"/>
  <c r="D13" i="22" s="1"/>
  <c r="C6" i="22"/>
  <c r="B6" i="22"/>
  <c r="C5" i="22"/>
  <c r="B5" i="22"/>
  <c r="E4" i="22"/>
  <c r="D4" i="22"/>
  <c r="E3" i="22"/>
  <c r="D3" i="22"/>
  <c r="E2" i="22"/>
  <c r="F5" i="22" s="1"/>
  <c r="D2" i="22"/>
  <c r="C13" i="21"/>
  <c r="B13" i="21"/>
  <c r="C12" i="21"/>
  <c r="B12" i="21"/>
  <c r="E11" i="21"/>
  <c r="D11" i="21"/>
  <c r="E10" i="21"/>
  <c r="D10" i="21"/>
  <c r="E9" i="21"/>
  <c r="D9" i="21"/>
  <c r="C6" i="21"/>
  <c r="B6" i="21"/>
  <c r="C5" i="21"/>
  <c r="B5" i="21"/>
  <c r="E4" i="21"/>
  <c r="D4" i="21"/>
  <c r="E3" i="21"/>
  <c r="D3" i="21"/>
  <c r="E2" i="21"/>
  <c r="D2" i="21"/>
  <c r="C6" i="12"/>
  <c r="B6" i="12"/>
  <c r="C5" i="12"/>
  <c r="B5" i="12"/>
  <c r="C6" i="17"/>
  <c r="M5" i="8" s="1"/>
  <c r="B6" i="17"/>
  <c r="L5" i="8" s="1"/>
  <c r="C5" i="17"/>
  <c r="M4" i="8" s="1"/>
  <c r="B5" i="17"/>
  <c r="L4" i="8" s="1"/>
  <c r="C6" i="5"/>
  <c r="B6" i="5"/>
  <c r="J5" i="8" s="1"/>
  <c r="C5" i="5"/>
  <c r="K4" i="8" s="1"/>
  <c r="B5" i="5"/>
  <c r="J4" i="8" s="1"/>
  <c r="C6" i="16"/>
  <c r="I5" i="8" s="1"/>
  <c r="B6" i="16"/>
  <c r="H5" i="8" s="1"/>
  <c r="C5" i="16"/>
  <c r="I4" i="8" s="1"/>
  <c r="B5" i="16"/>
  <c r="H4" i="8" s="1"/>
  <c r="C6" i="10"/>
  <c r="B6" i="10"/>
  <c r="C5" i="10"/>
  <c r="B5" i="10"/>
  <c r="G4" i="8" s="1"/>
  <c r="C6" i="15"/>
  <c r="B6" i="15"/>
  <c r="F5" i="8" s="1"/>
  <c r="C5" i="15"/>
  <c r="B5" i="15"/>
  <c r="F4" i="8" s="1"/>
  <c r="B5" i="3"/>
  <c r="D4" i="8" s="1"/>
  <c r="C5" i="3"/>
  <c r="E4" i="8" s="1"/>
  <c r="B6" i="3"/>
  <c r="C6" i="3"/>
  <c r="C6" i="13"/>
  <c r="C5" i="8" s="1"/>
  <c r="B6" i="13"/>
  <c r="B5" i="8" s="1"/>
  <c r="E3" i="10"/>
  <c r="E4" i="10"/>
  <c r="E4" i="15"/>
  <c r="E3" i="15"/>
  <c r="D14" i="14"/>
  <c r="D15" i="14"/>
  <c r="D13" i="14"/>
  <c r="B16" i="14"/>
  <c r="C16" i="14"/>
  <c r="E3" i="13"/>
  <c r="E4" i="13"/>
  <c r="E3" i="3"/>
  <c r="E4" i="3"/>
  <c r="E3" i="16"/>
  <c r="E4" i="16"/>
  <c r="E3" i="5"/>
  <c r="E4" i="5"/>
  <c r="E3" i="17"/>
  <c r="E4" i="17"/>
  <c r="E3" i="12"/>
  <c r="E4" i="12"/>
  <c r="C6" i="20"/>
  <c r="O3" i="8" s="1"/>
  <c r="B6" i="20"/>
  <c r="N3" i="8" s="1"/>
  <c r="C5" i="20"/>
  <c r="O2" i="8" s="1"/>
  <c r="B5" i="20"/>
  <c r="N2" i="8" s="1"/>
  <c r="E4" i="20"/>
  <c r="D4" i="20"/>
  <c r="E3" i="20"/>
  <c r="D3" i="20"/>
  <c r="E2" i="20"/>
  <c r="D2" i="20"/>
  <c r="C6" i="19"/>
  <c r="K3" i="8" s="1"/>
  <c r="B6" i="19"/>
  <c r="J3" i="8" s="1"/>
  <c r="C5" i="19"/>
  <c r="K2" i="8" s="1"/>
  <c r="B5" i="19"/>
  <c r="J2" i="8" s="1"/>
  <c r="E4" i="19"/>
  <c r="D4" i="19"/>
  <c r="E3" i="19"/>
  <c r="D3" i="19"/>
  <c r="E2" i="19"/>
  <c r="D2" i="19"/>
  <c r="C6" i="18"/>
  <c r="B6" i="18"/>
  <c r="G3" i="8" s="1"/>
  <c r="C5" i="18"/>
  <c r="B5" i="18"/>
  <c r="G2" i="8" s="1"/>
  <c r="E4" i="18"/>
  <c r="D4" i="18"/>
  <c r="E3" i="18"/>
  <c r="D3" i="18"/>
  <c r="E2" i="18"/>
  <c r="D2" i="18"/>
  <c r="D4" i="17"/>
  <c r="D3" i="17"/>
  <c r="E2" i="17"/>
  <c r="D2" i="17"/>
  <c r="D4" i="16"/>
  <c r="E2" i="16"/>
  <c r="D2" i="16"/>
  <c r="D4" i="15"/>
  <c r="D3" i="15"/>
  <c r="E2" i="15"/>
  <c r="D2" i="15"/>
  <c r="C6" i="14"/>
  <c r="C3" i="8" s="1"/>
  <c r="B6" i="14"/>
  <c r="B3" i="8" s="1"/>
  <c r="C5" i="14"/>
  <c r="C2" i="8" s="1"/>
  <c r="B5" i="14"/>
  <c r="B2" i="8" s="1"/>
  <c r="E4" i="14"/>
  <c r="D4" i="14"/>
  <c r="E3" i="14"/>
  <c r="D3" i="14"/>
  <c r="E2" i="14"/>
  <c r="D2" i="14"/>
  <c r="C5" i="13"/>
  <c r="C4" i="8" s="1"/>
  <c r="B5" i="13"/>
  <c r="B4" i="8" s="1"/>
  <c r="D4" i="13"/>
  <c r="D3" i="13"/>
  <c r="E2" i="13"/>
  <c r="D2" i="13"/>
  <c r="O5" i="8"/>
  <c r="N5" i="8"/>
  <c r="C6" i="11"/>
  <c r="M3" i="8" s="1"/>
  <c r="B6" i="11"/>
  <c r="L3" i="8" s="1"/>
  <c r="K5" i="8"/>
  <c r="C6" i="2"/>
  <c r="I3" i="8" s="1"/>
  <c r="B6" i="2"/>
  <c r="H3" i="8" s="1"/>
  <c r="G5" i="8"/>
  <c r="C6" i="9"/>
  <c r="B6" i="9"/>
  <c r="F3" i="8" s="1"/>
  <c r="E5" i="8"/>
  <c r="D5" i="8"/>
  <c r="C6" i="1"/>
  <c r="E3" i="8" s="1"/>
  <c r="B6" i="1"/>
  <c r="D3" i="8" s="1"/>
  <c r="E4" i="11"/>
  <c r="E4" i="2"/>
  <c r="D4" i="12"/>
  <c r="D3" i="12"/>
  <c r="D2" i="12"/>
  <c r="D4" i="11"/>
  <c r="D3" i="11"/>
  <c r="D2" i="11"/>
  <c r="D4" i="5"/>
  <c r="D3" i="5"/>
  <c r="D2" i="5"/>
  <c r="D4" i="2"/>
  <c r="D3" i="2"/>
  <c r="D2" i="2"/>
  <c r="D4" i="10"/>
  <c r="D3" i="10"/>
  <c r="D2" i="10"/>
  <c r="D4" i="9"/>
  <c r="D3" i="9"/>
  <c r="D2" i="9"/>
  <c r="D4" i="3"/>
  <c r="D3" i="3"/>
  <c r="D2" i="3"/>
  <c r="D3" i="1"/>
  <c r="D4" i="1"/>
  <c r="D2" i="1"/>
  <c r="O4" i="8"/>
  <c r="N4" i="8"/>
  <c r="E2" i="12"/>
  <c r="E5" i="12" s="1"/>
  <c r="C5" i="11"/>
  <c r="M2" i="8" s="1"/>
  <c r="B5" i="11"/>
  <c r="L2" i="8" s="1"/>
  <c r="E3" i="11"/>
  <c r="E2" i="11"/>
  <c r="E2" i="10"/>
  <c r="C5" i="9"/>
  <c r="B5" i="9"/>
  <c r="F2" i="8" s="1"/>
  <c r="E4" i="9"/>
  <c r="E3" i="9"/>
  <c r="E2" i="9"/>
  <c r="E3" i="1"/>
  <c r="E4" i="1"/>
  <c r="E2" i="5"/>
  <c r="E3" i="2"/>
  <c r="E2" i="3"/>
  <c r="F5" i="3" s="1"/>
  <c r="C5" i="2"/>
  <c r="I2" i="8" s="1"/>
  <c r="B5" i="2"/>
  <c r="H2" i="8" s="1"/>
  <c r="E2" i="2"/>
  <c r="E2" i="1"/>
  <c r="C5" i="1"/>
  <c r="E2" i="8" s="1"/>
  <c r="B5" i="1"/>
  <c r="D2" i="8" s="1"/>
  <c r="C19" i="14" l="1"/>
  <c r="D6" i="23"/>
  <c r="F5" i="10"/>
  <c r="F5" i="5"/>
  <c r="E5" i="25"/>
  <c r="F5" i="9"/>
  <c r="F5" i="18"/>
  <c r="E5" i="20"/>
  <c r="V2" i="8" s="1"/>
  <c r="D6" i="17"/>
  <c r="D5" i="25"/>
  <c r="F5" i="23"/>
  <c r="D5" i="23"/>
  <c r="E5" i="1"/>
  <c r="R2" i="8" s="1"/>
  <c r="F5" i="11"/>
  <c r="U3" i="8" s="1"/>
  <c r="D5" i="3"/>
  <c r="D6" i="10"/>
  <c r="D6" i="12"/>
  <c r="D6" i="16"/>
  <c r="F5" i="17"/>
  <c r="U5" i="8" s="1"/>
  <c r="E5" i="18"/>
  <c r="F5" i="20"/>
  <c r="D16" i="14"/>
  <c r="E5" i="9"/>
  <c r="D6" i="5"/>
  <c r="E5" i="2"/>
  <c r="E5" i="14"/>
  <c r="F5" i="16"/>
  <c r="S5" i="8" s="1"/>
  <c r="F5" i="14"/>
  <c r="Q3" i="8" s="1"/>
  <c r="F5" i="2"/>
  <c r="S3" i="8" s="1"/>
  <c r="S2" i="8"/>
  <c r="D5" i="9"/>
  <c r="D6" i="18"/>
  <c r="F5" i="15"/>
  <c r="Q2" i="8"/>
  <c r="E5" i="11"/>
  <c r="U2" i="8" s="1"/>
  <c r="E5" i="3"/>
  <c r="R4" i="8" s="1"/>
  <c r="D6" i="21"/>
  <c r="D6" i="22"/>
  <c r="E5" i="19"/>
  <c r="T2" i="8" s="1"/>
  <c r="D5" i="10"/>
  <c r="D5" i="16"/>
  <c r="D5" i="5"/>
  <c r="D5" i="17"/>
  <c r="D5" i="12"/>
  <c r="F5" i="21"/>
  <c r="E12" i="22"/>
  <c r="E5" i="10"/>
  <c r="E5" i="16"/>
  <c r="S4" i="8" s="1"/>
  <c r="E5" i="5"/>
  <c r="T4" i="8" s="1"/>
  <c r="E5" i="17"/>
  <c r="U4" i="8" s="1"/>
  <c r="D13" i="21"/>
  <c r="V4" i="8"/>
  <c r="F5" i="13"/>
  <c r="Q5" i="8" s="1"/>
  <c r="F5" i="12"/>
  <c r="V5" i="8" s="1"/>
  <c r="F12" i="21"/>
  <c r="D5" i="22"/>
  <c r="E5" i="22"/>
  <c r="D12" i="22"/>
  <c r="D12" i="21"/>
  <c r="E12" i="21"/>
  <c r="D5" i="21"/>
  <c r="E5" i="21"/>
  <c r="D6" i="15"/>
  <c r="E5" i="15"/>
  <c r="D5" i="15"/>
  <c r="D6" i="3"/>
  <c r="E5" i="13"/>
  <c r="Q4" i="8" s="1"/>
  <c r="F5" i="19"/>
  <c r="T3" i="8" s="1"/>
  <c r="F5" i="1"/>
  <c r="R3" i="8" s="1"/>
  <c r="D6" i="20"/>
  <c r="D6" i="19"/>
  <c r="D6" i="2"/>
  <c r="D5" i="1"/>
  <c r="D5" i="11"/>
  <c r="R5" i="8"/>
  <c r="D6" i="1"/>
  <c r="D6" i="14"/>
  <c r="V3" i="8"/>
  <c r="D5" i="20"/>
  <c r="D5" i="19"/>
  <c r="D5" i="18"/>
  <c r="D6" i="11"/>
  <c r="D5" i="2"/>
  <c r="D6" i="9"/>
  <c r="D5" i="14"/>
  <c r="D5" i="13"/>
  <c r="D6" i="13"/>
  <c r="T5" i="8"/>
</calcChain>
</file>

<file path=xl/sharedStrings.xml><?xml version="1.0" encoding="utf-8"?>
<sst xmlns="http://schemas.openxmlformats.org/spreadsheetml/2006/main" count="209" uniqueCount="41">
  <si>
    <t>N_CFU all</t>
  </si>
  <si>
    <t>N_CFU spore</t>
  </si>
  <si>
    <t>Average</t>
  </si>
  <si>
    <t>% spores</t>
  </si>
  <si>
    <t>% standard deviation</t>
  </si>
  <si>
    <t>Replicate</t>
  </si>
  <si>
    <t>Time</t>
  </si>
  <si>
    <t>SD 24</t>
  </si>
  <si>
    <t>SD 72</t>
  </si>
  <si>
    <t>N_CFU cells</t>
  </si>
  <si>
    <t>Standard deviation</t>
  </si>
  <si>
    <t>24 hpi</t>
  </si>
  <si>
    <t>72 hpi</t>
  </si>
  <si>
    <t>WT Parafilm- Total CFUs</t>
  </si>
  <si>
    <t>WT Parafilm- Spores</t>
  </si>
  <si>
    <t>WT Parafilm+ Total CFUs</t>
  </si>
  <si>
    <t>WT Parafilm+ Spores</t>
  </si>
  <si>
    <t>Spore- Parafilm- Total CFUs</t>
  </si>
  <si>
    <t>Spore- Parafilm+ Total CFUs</t>
  </si>
  <si>
    <t>PGA- Parafilm- Total CFUs</t>
  </si>
  <si>
    <t>PGA- Parafilm- Spores</t>
  </si>
  <si>
    <t>PGA- Parafilm+ Total CFUs</t>
  </si>
  <si>
    <t>PGA- Parafilm+ Spores</t>
  </si>
  <si>
    <t>EPS- Parafilm- Total CFUs</t>
  </si>
  <si>
    <t>EPS- Parafilm- Spores</t>
  </si>
  <si>
    <t>EPS- Parafilm+ Total CFUs</t>
  </si>
  <si>
    <t>EPS- Parafilm+ Spores</t>
  </si>
  <si>
    <t>PGA- Parafilm- Spore %</t>
  </si>
  <si>
    <t>WT Parafilm- Spore %</t>
  </si>
  <si>
    <t>EPS- Parafilm- Spore %</t>
  </si>
  <si>
    <t>WT Parafilm+ Spore %</t>
  </si>
  <si>
    <t>PGA- Parafilm+ Spore %</t>
  </si>
  <si>
    <t>EPS- Parafilm+ Spore %</t>
  </si>
  <si>
    <t>Swarm-like</t>
  </si>
  <si>
    <t>Remember to fix after adding final replicate</t>
  </si>
  <si>
    <t>Replicate (3 mg/mL)</t>
  </si>
  <si>
    <t>Replicate (1 mg/mL)</t>
  </si>
  <si>
    <t>No antibiotic</t>
  </si>
  <si>
    <t>Average (3 mg/mL)</t>
  </si>
  <si>
    <t>Average (1 mg/mL)</t>
  </si>
  <si>
    <t>Average (0 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</si>
</sst>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9" fontId="0" fillId="0" borderId="0" xfId="1" applyFont="1"/>
    <xf numFmtId="0" fontId="2" fillId="0" borderId="0" xfId="0" applyFont="1"/>
    <xf numFmtId="0" fontId="3" fillId="2" borderId="0" xfId="2"/>
    <xf numFmtId="164" fontId="0" fillId="0" borderId="0" xfId="1" applyNumberFormat="1" applyFont="1"/>
    <xf numFmtId="11" fontId="4" fillId="3" borderId="0" xfId="3" applyNumberFormat="1"/>
    <xf numFmtId="0" fontId="0" fillId="0" borderId="0" xfId="1" applyNumberFormat="1" applyFont="1"/>
    <xf numFmtId="0" fontId="4" fillId="3" borderId="0" xfId="3" applyNumberFormat="1"/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Spore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24 hpi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(Comparison!$Q$3,Comparison!$S$3,Comparison!$U$3)</c:f>
                <c:numCache>
                  <c:formatCode>General</c:formatCode>
                  <c:ptCount val="3"/>
                  <c:pt idx="0">
                    <c:v>6.6353415360768872E-2</c:v>
                  </c:pt>
                  <c:pt idx="1">
                    <c:v>0.13238720567657572</c:v>
                  </c:pt>
                  <c:pt idx="2">
                    <c:v>9.2227117424923705E-2</c:v>
                  </c:pt>
                </c:numCache>
              </c:numRef>
            </c:plus>
            <c:minus>
              <c:numRef>
                <c:f>(Comparison!$Q$3,Comparison!$S$3,Comparison!$U$3)</c:f>
                <c:numCache>
                  <c:formatCode>General</c:formatCode>
                  <c:ptCount val="3"/>
                  <c:pt idx="0">
                    <c:v>6.6353415360768872E-2</c:v>
                  </c:pt>
                  <c:pt idx="1">
                    <c:v>0.13238720567657572</c:v>
                  </c:pt>
                  <c:pt idx="2">
                    <c:v>9.2227117424923705E-2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(Comparison!$Q$1,Comparison!$S$1,Comparison!$U$1)</c:f>
              <c:strCache>
                <c:ptCount val="3"/>
                <c:pt idx="0">
                  <c:v>WT Parafilm- Spore %</c:v>
                </c:pt>
                <c:pt idx="1">
                  <c:v>PGA- Parafilm- Spore %</c:v>
                </c:pt>
                <c:pt idx="2">
                  <c:v>EPS- Parafilm- Spore %</c:v>
                </c:pt>
              </c:strCache>
            </c:strRef>
          </c:cat>
          <c:val>
            <c:numRef>
              <c:f>(Comparison!$Q$2,Comparison!$S$2,Comparison!$U$2)</c:f>
              <c:numCache>
                <c:formatCode>General</c:formatCode>
                <c:ptCount val="3"/>
                <c:pt idx="0">
                  <c:v>0.66744341414726804</c:v>
                </c:pt>
                <c:pt idx="1">
                  <c:v>0.66854841854841851</c:v>
                </c:pt>
                <c:pt idx="2">
                  <c:v>0.33849577414134147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0-5042-A94D-B8D9584EC2EE}"/>
            </c:ext>
          </c:extLst>
        </c:ser>
        <c:ser>
          <c:idx val="2"/>
          <c:order val="1"/>
          <c:tx>
            <c:strRef>
              <c:f>Comparison!$A$4</c:f>
              <c:strCache>
                <c:ptCount val="1"/>
                <c:pt idx="0">
                  <c:v>72 hpi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(Comparison!$Q$5,Comparison!$S$5,Comparison!$U$5)</c:f>
                <c:numCache>
                  <c:formatCode>General</c:formatCode>
                  <c:ptCount val="3"/>
                  <c:pt idx="0">
                    <c:v>0.12823519274465672</c:v>
                  </c:pt>
                  <c:pt idx="1">
                    <c:v>9.0868530325886751E-2</c:v>
                  </c:pt>
                  <c:pt idx="2">
                    <c:v>0.1210146246667559</c:v>
                  </c:pt>
                </c:numCache>
              </c:numRef>
            </c:plus>
            <c:minus>
              <c:numRef>
                <c:f>(Comparison!$Q$5,Comparison!$S$5,Comparison!$U$5)</c:f>
                <c:numCache>
                  <c:formatCode>General</c:formatCode>
                  <c:ptCount val="3"/>
                  <c:pt idx="0">
                    <c:v>0.12823519274465672</c:v>
                  </c:pt>
                  <c:pt idx="1">
                    <c:v>9.0868530325886751E-2</c:v>
                  </c:pt>
                  <c:pt idx="2">
                    <c:v>0.1210146246667559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(Comparison!$Q$1,Comparison!$S$1,Comparison!$U$1)</c:f>
              <c:strCache>
                <c:ptCount val="3"/>
                <c:pt idx="0">
                  <c:v>WT Parafilm- Spore %</c:v>
                </c:pt>
                <c:pt idx="1">
                  <c:v>PGA- Parafilm- Spore %</c:v>
                </c:pt>
                <c:pt idx="2">
                  <c:v>EPS- Parafilm- Spore %</c:v>
                </c:pt>
              </c:strCache>
            </c:strRef>
          </c:cat>
          <c:val>
            <c:numRef>
              <c:f>(Comparison!$Q$4,Comparison!$S$4,Comparison!$U$4)</c:f>
              <c:numCache>
                <c:formatCode>General</c:formatCode>
                <c:ptCount val="3"/>
                <c:pt idx="0">
                  <c:v>0.64986746901640513</c:v>
                </c:pt>
                <c:pt idx="1">
                  <c:v>0.84076825001482547</c:v>
                </c:pt>
                <c:pt idx="2">
                  <c:v>0.6835502484573116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4-E942-B28D-C47963EEC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841007"/>
        <c:axId val="455843039"/>
      </c:barChart>
      <c:catAx>
        <c:axId val="45584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43039"/>
        <c:crosses val="autoZero"/>
        <c:auto val="1"/>
        <c:lblAlgn val="ctr"/>
        <c:lblOffset val="100"/>
        <c:noMultiLvlLbl val="0"/>
      </c:catAx>
      <c:valAx>
        <c:axId val="455843039"/>
        <c:scaling>
          <c:orientation val="minMax"/>
          <c:max val="1.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4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CFUs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24 hpi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(Comparison!$B$3,Comparison!$F$3,Comparison!$H$3,Comparison!$L$3)</c:f>
                <c:numCache>
                  <c:formatCode>General</c:formatCode>
                  <c:ptCount val="4"/>
                  <c:pt idx="0">
                    <c:v>2778488797.8899608</c:v>
                  </c:pt>
                  <c:pt idx="1">
                    <c:v>4406056437.8288813</c:v>
                  </c:pt>
                  <c:pt idx="2">
                    <c:v>1724335620.8503416</c:v>
                  </c:pt>
                  <c:pt idx="3">
                    <c:v>5020292156.1731157</c:v>
                  </c:pt>
                </c:numCache>
              </c:numRef>
            </c:plus>
            <c:minus>
              <c:numRef>
                <c:f>(Comparison!$B$3,Comparison!$F$3,Comparison!$H$3,Comparison!$L$3)</c:f>
                <c:numCache>
                  <c:formatCode>General</c:formatCode>
                  <c:ptCount val="4"/>
                  <c:pt idx="0">
                    <c:v>2778488797.8899608</c:v>
                  </c:pt>
                  <c:pt idx="1">
                    <c:v>4406056437.8288813</c:v>
                  </c:pt>
                  <c:pt idx="2">
                    <c:v>1724335620.8503416</c:v>
                  </c:pt>
                  <c:pt idx="3">
                    <c:v>5020292156.1731157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(Comparison!$B$1,Comparison!$F$1,Comparison!$H$1,Comparison!$L$1)</c:f>
              <c:strCache>
                <c:ptCount val="4"/>
                <c:pt idx="0">
                  <c:v>WT Parafilm- Total CFUs</c:v>
                </c:pt>
                <c:pt idx="1">
                  <c:v>Spore- Parafilm- Total CFUs</c:v>
                </c:pt>
                <c:pt idx="2">
                  <c:v>PGA- Parafilm- Total CFUs</c:v>
                </c:pt>
                <c:pt idx="3">
                  <c:v>EPS- Parafilm- Total CFUs</c:v>
                </c:pt>
              </c:strCache>
            </c:strRef>
          </c:cat>
          <c:val>
            <c:numRef>
              <c:f>(Comparison!$B$2,Comparison!$F$2,Comparison!$H$2,Comparison!$L$2)</c:f>
              <c:numCache>
                <c:formatCode>0.00E+00</c:formatCode>
                <c:ptCount val="4"/>
                <c:pt idx="0">
                  <c:v>32200000000</c:v>
                </c:pt>
                <c:pt idx="1">
                  <c:v>49733333333.333336</c:v>
                </c:pt>
                <c:pt idx="2">
                  <c:v>31133333333.333332</c:v>
                </c:pt>
                <c:pt idx="3">
                  <c:v>32233333333.333332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C-A142-81CB-E863FA78A11E}"/>
            </c:ext>
          </c:extLst>
        </c:ser>
        <c:ser>
          <c:idx val="2"/>
          <c:order val="1"/>
          <c:tx>
            <c:strRef>
              <c:f>Comparison!$A$4</c:f>
              <c:strCache>
                <c:ptCount val="1"/>
                <c:pt idx="0">
                  <c:v>72 hpi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(Comparison!$B$5,Comparison!$F$5,Comparison!$H$5,Comparison!$L$5)</c:f>
                <c:numCache>
                  <c:formatCode>General</c:formatCode>
                  <c:ptCount val="4"/>
                  <c:pt idx="0">
                    <c:v>9844231249.2590561</c:v>
                  </c:pt>
                  <c:pt idx="1">
                    <c:v>909212113.13239038</c:v>
                  </c:pt>
                  <c:pt idx="2">
                    <c:v>11897712198.383152</c:v>
                  </c:pt>
                  <c:pt idx="3">
                    <c:v>5406374837.9934654</c:v>
                  </c:pt>
                </c:numCache>
              </c:numRef>
            </c:plus>
            <c:minus>
              <c:numRef>
                <c:f>(Comparison!$B$5,Comparison!$F$5,Comparison!$H$5,Comparison!$L$5)</c:f>
                <c:numCache>
                  <c:formatCode>General</c:formatCode>
                  <c:ptCount val="4"/>
                  <c:pt idx="0">
                    <c:v>9844231249.2590561</c:v>
                  </c:pt>
                  <c:pt idx="1">
                    <c:v>909212113.13239038</c:v>
                  </c:pt>
                  <c:pt idx="2">
                    <c:v>11897712198.383152</c:v>
                  </c:pt>
                  <c:pt idx="3">
                    <c:v>5406374837.9934654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(Comparison!$B$1,Comparison!$F$1,Comparison!$H$1,Comparison!$L$1)</c:f>
              <c:strCache>
                <c:ptCount val="4"/>
                <c:pt idx="0">
                  <c:v>WT Parafilm- Total CFUs</c:v>
                </c:pt>
                <c:pt idx="1">
                  <c:v>Spore- Parafilm- Total CFUs</c:v>
                </c:pt>
                <c:pt idx="2">
                  <c:v>PGA- Parafilm- Total CFUs</c:v>
                </c:pt>
                <c:pt idx="3">
                  <c:v>EPS- Parafilm- Total CFUs</c:v>
                </c:pt>
              </c:strCache>
            </c:strRef>
          </c:cat>
          <c:val>
            <c:numRef>
              <c:f>(Comparison!$B$4,Comparison!$F$4,Comparison!$H$4,Comparison!$L$4)</c:f>
              <c:numCache>
                <c:formatCode>0.00E+00</c:formatCode>
                <c:ptCount val="4"/>
                <c:pt idx="0">
                  <c:v>55433333333.333336</c:v>
                </c:pt>
                <c:pt idx="1">
                  <c:v>3400000000</c:v>
                </c:pt>
                <c:pt idx="2">
                  <c:v>57666666666.666664</c:v>
                </c:pt>
                <c:pt idx="3">
                  <c:v>32166666666.666668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8-C743-A1C3-8896D2703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17887"/>
        <c:axId val="74173855"/>
      </c:barChart>
      <c:catAx>
        <c:axId val="7421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73855"/>
        <c:crosses val="autoZero"/>
        <c:auto val="1"/>
        <c:lblAlgn val="ctr"/>
        <c:lblOffset val="100"/>
        <c:noMultiLvlLbl val="0"/>
      </c:catAx>
      <c:valAx>
        <c:axId val="741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Spore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24 hpi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Comparison!$Q$3:$V$3</c:f>
                <c:numCache>
                  <c:formatCode>General</c:formatCode>
                  <c:ptCount val="6"/>
                  <c:pt idx="0">
                    <c:v>6.6353415360768872E-2</c:v>
                  </c:pt>
                  <c:pt idx="1">
                    <c:v>0.12630924482280367</c:v>
                  </c:pt>
                  <c:pt idx="2">
                    <c:v>0.13238720567657572</c:v>
                  </c:pt>
                  <c:pt idx="3">
                    <c:v>9.3443354148081539E-2</c:v>
                  </c:pt>
                  <c:pt idx="4">
                    <c:v>9.2227117424923705E-2</c:v>
                  </c:pt>
                  <c:pt idx="5">
                    <c:v>0.2211934156378601</c:v>
                  </c:pt>
                </c:numCache>
              </c:numRef>
            </c:plus>
            <c:minus>
              <c:numRef>
                <c:f>Comparison!$Q$3:$V$3</c:f>
                <c:numCache>
                  <c:formatCode>General</c:formatCode>
                  <c:ptCount val="6"/>
                  <c:pt idx="0">
                    <c:v>6.6353415360768872E-2</c:v>
                  </c:pt>
                  <c:pt idx="1">
                    <c:v>0.12630924482280367</c:v>
                  </c:pt>
                  <c:pt idx="2">
                    <c:v>0.13238720567657572</c:v>
                  </c:pt>
                  <c:pt idx="3">
                    <c:v>9.3443354148081539E-2</c:v>
                  </c:pt>
                  <c:pt idx="4">
                    <c:v>9.2227117424923705E-2</c:v>
                  </c:pt>
                  <c:pt idx="5">
                    <c:v>0.2211934156378601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(Comparison!$Q$1,Comparison!$R$1,Comparison!$S$1,Comparison!$T$1,Comparison!$U$1,Comparison!$V$1)</c:f>
              <c:strCache>
                <c:ptCount val="6"/>
                <c:pt idx="0">
                  <c:v>WT Parafilm- Spore %</c:v>
                </c:pt>
                <c:pt idx="1">
                  <c:v>WT Parafilm+ Spore %</c:v>
                </c:pt>
                <c:pt idx="2">
                  <c:v>PGA- Parafilm- Spore %</c:v>
                </c:pt>
                <c:pt idx="3">
                  <c:v>PGA- Parafilm+ Spore %</c:v>
                </c:pt>
                <c:pt idx="4">
                  <c:v>EPS- Parafilm- Spore %</c:v>
                </c:pt>
                <c:pt idx="5">
                  <c:v>EPS- Parafilm+ Spore %</c:v>
                </c:pt>
              </c:strCache>
            </c:strRef>
          </c:cat>
          <c:val>
            <c:numRef>
              <c:f>(Comparison!$Q$2,Comparison!$R$2,Comparison!$S$2,Comparison!$T$2,Comparison!$U$2,Comparison!$V$2)</c:f>
              <c:numCache>
                <c:formatCode>General</c:formatCode>
                <c:ptCount val="6"/>
                <c:pt idx="0">
                  <c:v>0.66744341414726804</c:v>
                </c:pt>
                <c:pt idx="1">
                  <c:v>0.4465062891577789</c:v>
                </c:pt>
                <c:pt idx="2">
                  <c:v>0.66854841854841851</c:v>
                </c:pt>
                <c:pt idx="3">
                  <c:v>0.66971454058876012</c:v>
                </c:pt>
                <c:pt idx="4">
                  <c:v>0.33849577414134147</c:v>
                </c:pt>
                <c:pt idx="5">
                  <c:v>0.38786008230452673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F-694E-B6DF-B6786F27C11E}"/>
            </c:ext>
          </c:extLst>
        </c:ser>
        <c:ser>
          <c:idx val="1"/>
          <c:order val="1"/>
          <c:tx>
            <c:strRef>
              <c:f>Comparison!$A$4</c:f>
              <c:strCache>
                <c:ptCount val="1"/>
                <c:pt idx="0">
                  <c:v>72 hpi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Comparison!$Q$5:$V$5</c:f>
                <c:numCache>
                  <c:formatCode>General</c:formatCode>
                  <c:ptCount val="6"/>
                  <c:pt idx="0">
                    <c:v>0.12823519274465672</c:v>
                  </c:pt>
                  <c:pt idx="1">
                    <c:v>0.21338408227785785</c:v>
                  </c:pt>
                  <c:pt idx="2">
                    <c:v>9.0868530325886751E-2</c:v>
                  </c:pt>
                  <c:pt idx="3">
                    <c:v>0.14239194266197891</c:v>
                  </c:pt>
                  <c:pt idx="4">
                    <c:v>0.1210146246667559</c:v>
                  </c:pt>
                  <c:pt idx="5">
                    <c:v>3.5681195500227858E-2</c:v>
                  </c:pt>
                </c:numCache>
              </c:numRef>
            </c:plus>
            <c:minus>
              <c:numRef>
                <c:f>Comparison!$Q$5:$V$5</c:f>
                <c:numCache>
                  <c:formatCode>General</c:formatCode>
                  <c:ptCount val="6"/>
                  <c:pt idx="0">
                    <c:v>0.12823519274465672</c:v>
                  </c:pt>
                  <c:pt idx="1">
                    <c:v>0.21338408227785785</c:v>
                  </c:pt>
                  <c:pt idx="2">
                    <c:v>9.0868530325886751E-2</c:v>
                  </c:pt>
                  <c:pt idx="3">
                    <c:v>0.14239194266197891</c:v>
                  </c:pt>
                  <c:pt idx="4">
                    <c:v>0.1210146246667559</c:v>
                  </c:pt>
                  <c:pt idx="5">
                    <c:v>3.5681195500227858E-2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(Comparison!$Q$1,Comparison!$R$1,Comparison!$S$1,Comparison!$T$1,Comparison!$U$1,Comparison!$V$1)</c:f>
              <c:strCache>
                <c:ptCount val="6"/>
                <c:pt idx="0">
                  <c:v>WT Parafilm- Spore %</c:v>
                </c:pt>
                <c:pt idx="1">
                  <c:v>WT Parafilm+ Spore %</c:v>
                </c:pt>
                <c:pt idx="2">
                  <c:v>PGA- Parafilm- Spore %</c:v>
                </c:pt>
                <c:pt idx="3">
                  <c:v>PGA- Parafilm+ Spore %</c:v>
                </c:pt>
                <c:pt idx="4">
                  <c:v>EPS- Parafilm- Spore %</c:v>
                </c:pt>
                <c:pt idx="5">
                  <c:v>EPS- Parafilm+ Spore %</c:v>
                </c:pt>
              </c:strCache>
            </c:strRef>
          </c:cat>
          <c:val>
            <c:numRef>
              <c:f>(Comparison!$Q$4,Comparison!$R$4,Comparison!$S$4,Comparison!$T$4,Comparison!$U$4,Comparison!$V$4)</c:f>
              <c:numCache>
                <c:formatCode>General</c:formatCode>
                <c:ptCount val="6"/>
                <c:pt idx="0">
                  <c:v>0.64986746901640513</c:v>
                </c:pt>
                <c:pt idx="1">
                  <c:v>0.56304347826086953</c:v>
                </c:pt>
                <c:pt idx="2">
                  <c:v>0.84076825001482547</c:v>
                </c:pt>
                <c:pt idx="3">
                  <c:v>0.80425288648972859</c:v>
                </c:pt>
                <c:pt idx="4">
                  <c:v>0.6835502484573116</c:v>
                </c:pt>
                <c:pt idx="5">
                  <c:v>0.87317825316571518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F-694E-B6DF-B6786F27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841007"/>
        <c:axId val="455843039"/>
      </c:barChart>
      <c:catAx>
        <c:axId val="45584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43039"/>
        <c:crosses val="autoZero"/>
        <c:auto val="1"/>
        <c:lblAlgn val="ctr"/>
        <c:lblOffset val="100"/>
        <c:noMultiLvlLbl val="0"/>
      </c:catAx>
      <c:valAx>
        <c:axId val="455843039"/>
        <c:scaling>
          <c:orientation val="minMax"/>
          <c:max val="1.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4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CFUs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</c:f>
              <c:strCache>
                <c:ptCount val="1"/>
                <c:pt idx="0">
                  <c:v>24 hpi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(Comparison!$B$3,Comparison!$D$3,Comparison!$F$3,Comparison!$G$3,Comparison!$H$3,Comparison!$J$3,Comparison!$L$3,Comparison!$N$3)</c:f>
                <c:numCache>
                  <c:formatCode>General</c:formatCode>
                  <c:ptCount val="8"/>
                  <c:pt idx="0">
                    <c:v>2778488797.8899608</c:v>
                  </c:pt>
                  <c:pt idx="1">
                    <c:v>7071067811.8654757</c:v>
                  </c:pt>
                  <c:pt idx="2">
                    <c:v>4406056437.8288813</c:v>
                  </c:pt>
                  <c:pt idx="3">
                    <c:v>13293607486.307093</c:v>
                  </c:pt>
                  <c:pt idx="4">
                    <c:v>1724335620.8503416</c:v>
                  </c:pt>
                  <c:pt idx="5">
                    <c:v>9263098833.5437737</c:v>
                  </c:pt>
                  <c:pt idx="6">
                    <c:v>5020292156.1731157</c:v>
                  </c:pt>
                  <c:pt idx="7">
                    <c:v>4454772721.4752455</c:v>
                  </c:pt>
                </c:numCache>
              </c:numRef>
            </c:plus>
            <c:minus>
              <c:numRef>
                <c:f>(Comparison!$B$3,Comparison!$D$3,Comparison!$F$3,Comparison!$G$3,Comparison!$H$3,Comparison!$J$3,Comparison!$L$3,Comparison!$N$3)</c:f>
                <c:numCache>
                  <c:formatCode>General</c:formatCode>
                  <c:ptCount val="8"/>
                  <c:pt idx="0">
                    <c:v>2778488797.8899608</c:v>
                  </c:pt>
                  <c:pt idx="1">
                    <c:v>7071067811.8654757</c:v>
                  </c:pt>
                  <c:pt idx="2">
                    <c:v>4406056437.8288813</c:v>
                  </c:pt>
                  <c:pt idx="3">
                    <c:v>13293607486.307093</c:v>
                  </c:pt>
                  <c:pt idx="4">
                    <c:v>1724335620.8503416</c:v>
                  </c:pt>
                  <c:pt idx="5">
                    <c:v>9263098833.5437737</c:v>
                  </c:pt>
                  <c:pt idx="6">
                    <c:v>5020292156.1731157</c:v>
                  </c:pt>
                  <c:pt idx="7">
                    <c:v>4454772721.4752455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(Comparison!$B$1,Comparison!$D$1,Comparison!$F$1,Comparison!$G$1,Comparison!$H$1,Comparison!$J$1,Comparison!$L$1,Comparison!$N$1)</c:f>
              <c:strCache>
                <c:ptCount val="8"/>
                <c:pt idx="0">
                  <c:v>WT Parafilm- Total CFUs</c:v>
                </c:pt>
                <c:pt idx="1">
                  <c:v>WT Parafilm+ Total CFUs</c:v>
                </c:pt>
                <c:pt idx="2">
                  <c:v>Spore- Parafilm- Total CFUs</c:v>
                </c:pt>
                <c:pt idx="3">
                  <c:v>Spore- Parafilm+ Total CFUs</c:v>
                </c:pt>
                <c:pt idx="4">
                  <c:v>PGA- Parafilm- Total CFUs</c:v>
                </c:pt>
                <c:pt idx="5">
                  <c:v>PGA- Parafilm+ Total CFUs</c:v>
                </c:pt>
                <c:pt idx="6">
                  <c:v>EPS- Parafilm- Total CFUs</c:v>
                </c:pt>
                <c:pt idx="7">
                  <c:v>EPS- Parafilm+ Total CFUs</c:v>
                </c:pt>
              </c:strCache>
            </c:strRef>
          </c:cat>
          <c:val>
            <c:numRef>
              <c:f>(Comparison!$B$2,Comparison!$D$2,Comparison!$F$2,Comparison!$G$2,Comparison!$H$2,Comparison!$J$2,Comparison!$L$2,Comparison!$N$2)</c:f>
              <c:numCache>
                <c:formatCode>0.00E+00</c:formatCode>
                <c:ptCount val="8"/>
                <c:pt idx="0">
                  <c:v>32200000000</c:v>
                </c:pt>
                <c:pt idx="1">
                  <c:v>15300000000</c:v>
                </c:pt>
                <c:pt idx="2">
                  <c:v>49733333333.333336</c:v>
                </c:pt>
                <c:pt idx="3">
                  <c:v>16600000000</c:v>
                </c:pt>
                <c:pt idx="4">
                  <c:v>31133333333.333332</c:v>
                </c:pt>
                <c:pt idx="5">
                  <c:v>12450000000</c:v>
                </c:pt>
                <c:pt idx="6">
                  <c:v>32233333333.333332</c:v>
                </c:pt>
                <c:pt idx="7">
                  <c:v>21150000000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5-E641-8E18-C2341CDFD876}"/>
            </c:ext>
          </c:extLst>
        </c:ser>
        <c:ser>
          <c:idx val="1"/>
          <c:order val="1"/>
          <c:tx>
            <c:strRef>
              <c:f>Comparison!$A$4</c:f>
              <c:strCache>
                <c:ptCount val="1"/>
                <c:pt idx="0">
                  <c:v>72 hpi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(Comparison!$B$5,Comparison!$D$5,Comparison!$F$5,Comparison!$G$5,Comparison!$H$5,Comparison!$J$5,Comparison!$L$5,Comparison!$N$5)</c:f>
                <c:numCache>
                  <c:formatCode>General</c:formatCode>
                  <c:ptCount val="8"/>
                  <c:pt idx="0">
                    <c:v>9844231249.2590561</c:v>
                  </c:pt>
                  <c:pt idx="1">
                    <c:v>8000833289.935071</c:v>
                  </c:pt>
                  <c:pt idx="2">
                    <c:v>909212113.13239038</c:v>
                  </c:pt>
                  <c:pt idx="3">
                    <c:v>3693537900.4718819</c:v>
                  </c:pt>
                  <c:pt idx="4">
                    <c:v>11897712198.383152</c:v>
                  </c:pt>
                  <c:pt idx="5">
                    <c:v>9077934175.1793251</c:v>
                  </c:pt>
                  <c:pt idx="6">
                    <c:v>5406374837.9934654</c:v>
                  </c:pt>
                  <c:pt idx="7">
                    <c:v>3159113799.786263</c:v>
                  </c:pt>
                </c:numCache>
              </c:numRef>
            </c:plus>
            <c:minus>
              <c:numRef>
                <c:f>(Comparison!$B$5,Comparison!$D$5,Comparison!$F$5,Comparison!$G$5,Comparison!$H$5,Comparison!$J$5,Comparison!$L$5,Comparison!$N$5)</c:f>
                <c:numCache>
                  <c:formatCode>General</c:formatCode>
                  <c:ptCount val="8"/>
                  <c:pt idx="0">
                    <c:v>9844231249.2590561</c:v>
                  </c:pt>
                  <c:pt idx="1">
                    <c:v>8000833289.935071</c:v>
                  </c:pt>
                  <c:pt idx="2">
                    <c:v>909212113.13239038</c:v>
                  </c:pt>
                  <c:pt idx="3">
                    <c:v>3693537900.4718819</c:v>
                  </c:pt>
                  <c:pt idx="4">
                    <c:v>11897712198.383152</c:v>
                  </c:pt>
                  <c:pt idx="5">
                    <c:v>9077934175.1793251</c:v>
                  </c:pt>
                  <c:pt idx="6">
                    <c:v>5406374837.9934654</c:v>
                  </c:pt>
                  <c:pt idx="7">
                    <c:v>3159113799.786263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(Comparison!$B$1,Comparison!$D$1,Comparison!$F$1,Comparison!$G$1,Comparison!$H$1,Comparison!$J$1,Comparison!$L$1,Comparison!$N$1)</c:f>
              <c:strCache>
                <c:ptCount val="8"/>
                <c:pt idx="0">
                  <c:v>WT Parafilm- Total CFUs</c:v>
                </c:pt>
                <c:pt idx="1">
                  <c:v>WT Parafilm+ Total CFUs</c:v>
                </c:pt>
                <c:pt idx="2">
                  <c:v>Spore- Parafilm- Total CFUs</c:v>
                </c:pt>
                <c:pt idx="3">
                  <c:v>Spore- Parafilm+ Total CFUs</c:v>
                </c:pt>
                <c:pt idx="4">
                  <c:v>PGA- Parafilm- Total CFUs</c:v>
                </c:pt>
                <c:pt idx="5">
                  <c:v>PGA- Parafilm+ Total CFUs</c:v>
                </c:pt>
                <c:pt idx="6">
                  <c:v>EPS- Parafilm- Total CFUs</c:v>
                </c:pt>
                <c:pt idx="7">
                  <c:v>EPS- Parafilm+ Total CFUs</c:v>
                </c:pt>
              </c:strCache>
            </c:strRef>
          </c:cat>
          <c:val>
            <c:numRef>
              <c:f>(Comparison!$B$4,Comparison!$D$4,Comparison!$F$4,Comparison!$G$4,Comparison!$H$4,Comparison!$J$4,Comparison!$L$4,Comparison!$N$4)</c:f>
              <c:numCache>
                <c:formatCode>0.00E+00</c:formatCode>
                <c:ptCount val="8"/>
                <c:pt idx="0">
                  <c:v>55433333333.333336</c:v>
                </c:pt>
                <c:pt idx="1">
                  <c:v>37933333333.333336</c:v>
                </c:pt>
                <c:pt idx="2">
                  <c:v>3400000000</c:v>
                </c:pt>
                <c:pt idx="3">
                  <c:v>8233333333.333333</c:v>
                </c:pt>
                <c:pt idx="4">
                  <c:v>57666666666.666664</c:v>
                </c:pt>
                <c:pt idx="5">
                  <c:v>36066666666.666664</c:v>
                </c:pt>
                <c:pt idx="6">
                  <c:v>32166666666.666668</c:v>
                </c:pt>
                <c:pt idx="7">
                  <c:v>47700000000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5-E641-8E18-C2341CDFD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17887"/>
        <c:axId val="74173855"/>
      </c:barChart>
      <c:catAx>
        <c:axId val="7421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73855"/>
        <c:crosses val="autoZero"/>
        <c:auto val="1"/>
        <c:lblAlgn val="ctr"/>
        <c:lblOffset val="100"/>
        <c:noMultiLvlLbl val="0"/>
      </c:catAx>
      <c:valAx>
        <c:axId val="741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 Total CFUs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('JMJ1233 Vancomycin 24 hpi'!$B$6,'JMJ1233 Vancomycin 24 hpi'!$B$13,'JMJ1233 Vancomycin 24 hpi'!$B$19)</c:f>
                <c:numCache>
                  <c:formatCode>General</c:formatCode>
                  <c:ptCount val="3"/>
                  <c:pt idx="0">
                    <c:v>7071067811.8654757</c:v>
                  </c:pt>
                  <c:pt idx="1">
                    <c:v>5656854249.4923801</c:v>
                  </c:pt>
                  <c:pt idx="2">
                    <c:v>282842712.47461903</c:v>
                  </c:pt>
                </c:numCache>
              </c:numRef>
            </c:plus>
            <c:minus>
              <c:numRef>
                <c:f>('JMJ1233 Vancomycin 24 hpi'!$B$6,'JMJ1233 Vancomycin 24 hpi'!$B$13,'JMJ1233 Vancomycin 24 hpi'!$B$19)</c:f>
                <c:numCache>
                  <c:formatCode>General</c:formatCode>
                  <c:ptCount val="3"/>
                  <c:pt idx="0">
                    <c:v>7071067811.8654757</c:v>
                  </c:pt>
                  <c:pt idx="1">
                    <c:v>5656854249.4923801</c:v>
                  </c:pt>
                  <c:pt idx="2">
                    <c:v>282842712.47461903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('JMJ1233 Vancomycin 24 hpi'!$A$5,'JMJ1233 Vancomycin 24 hpi'!$A$12,'JMJ1233 Vancomycin 24 hpi'!$A$18)</c:f>
              <c:strCache>
                <c:ptCount val="3"/>
                <c:pt idx="0">
                  <c:v>Average (3 mg/mL)</c:v>
                </c:pt>
                <c:pt idx="1">
                  <c:v>Average (1 mg/mL)</c:v>
                </c:pt>
                <c:pt idx="2">
                  <c:v>Average (0 mg/mL)</c:v>
                </c:pt>
              </c:strCache>
            </c:strRef>
          </c:cat>
          <c:val>
            <c:numRef>
              <c:f>('JMJ1233 Vancomycin 24 hpi'!$B$5,'JMJ1233 Vancomycin 24 hpi'!$B$12,'JMJ1233 Vancomycin 24 hpi'!$B$18)</c:f>
              <c:numCache>
                <c:formatCode>0.00E+00</c:formatCode>
                <c:ptCount val="3"/>
                <c:pt idx="0">
                  <c:v>21000000000</c:v>
                </c:pt>
                <c:pt idx="1">
                  <c:v>16000000000</c:v>
                </c:pt>
                <c:pt idx="2" formatCode="General">
                  <c:v>33800000000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7-46D9-9B9B-F40F8B57A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561856"/>
        <c:axId val="1632558496"/>
      </c:barChart>
      <c:catAx>
        <c:axId val="16325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58496"/>
        <c:crosses val="autoZero"/>
        <c:auto val="1"/>
        <c:lblAlgn val="ctr"/>
        <c:lblOffset val="100"/>
        <c:noMultiLvlLbl val="0"/>
      </c:catAx>
      <c:valAx>
        <c:axId val="16325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6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 Spore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('JMJ1233 Vancomycin 24 hpi'!$C$6,'JMJ1233 Vancomycin 24 hpi'!$C$13,'JMJ1233 Vancomycin 24 hpi'!$C$19)</c:f>
                <c:numCache>
                  <c:formatCode>General</c:formatCode>
                  <c:ptCount val="3"/>
                  <c:pt idx="0">
                    <c:v>8485281374.2385702</c:v>
                  </c:pt>
                  <c:pt idx="1">
                    <c:v>7071067811.8654757</c:v>
                  </c:pt>
                  <c:pt idx="2">
                    <c:v>3959797974.6446662</c:v>
                  </c:pt>
                </c:numCache>
              </c:numRef>
            </c:plus>
            <c:minus>
              <c:numRef>
                <c:f>('JMJ1233 Vancomycin 24 hpi'!$C$6,'JMJ1233 Vancomycin 24 hpi'!$C$13,'JMJ1233 Vancomycin 24 hpi'!$C$19)</c:f>
                <c:numCache>
                  <c:formatCode>General</c:formatCode>
                  <c:ptCount val="3"/>
                  <c:pt idx="0">
                    <c:v>8485281374.2385702</c:v>
                  </c:pt>
                  <c:pt idx="1">
                    <c:v>7071067811.8654757</c:v>
                  </c:pt>
                  <c:pt idx="2">
                    <c:v>3959797974.6446662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('JMJ1233 Vancomycin 24 hpi'!$A$5,'JMJ1233 Vancomycin 24 hpi'!$A$12,'JMJ1233 Vancomycin 24 hpi'!$A$18)</c:f>
              <c:strCache>
                <c:ptCount val="3"/>
                <c:pt idx="0">
                  <c:v>Average (3 mg/mL)</c:v>
                </c:pt>
                <c:pt idx="1">
                  <c:v>Average (1 mg/mL)</c:v>
                </c:pt>
                <c:pt idx="2">
                  <c:v>Average (0 mg/mL)</c:v>
                </c:pt>
              </c:strCache>
            </c:strRef>
          </c:cat>
          <c:val>
            <c:numRef>
              <c:f>('JMJ1233 Vancomycin 24 hpi'!$C$5,'JMJ1233 Vancomycin 24 hpi'!$C$12,'JMJ1233 Vancomycin 24 hpi'!$C$18)</c:f>
              <c:numCache>
                <c:formatCode>0.00E+00</c:formatCode>
                <c:ptCount val="3"/>
                <c:pt idx="0">
                  <c:v>19000000000</c:v>
                </c:pt>
                <c:pt idx="1">
                  <c:v>15000000000</c:v>
                </c:pt>
                <c:pt idx="2" formatCode="General">
                  <c:v>22200000000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8-498F-B3A6-ED511B49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017456"/>
        <c:axId val="1158019376"/>
      </c:barChart>
      <c:catAx>
        <c:axId val="115801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19376"/>
        <c:crosses val="autoZero"/>
        <c:auto val="1"/>
        <c:lblAlgn val="ctr"/>
        <c:lblOffset val="100"/>
        <c:noMultiLvlLbl val="0"/>
      </c:catAx>
      <c:valAx>
        <c:axId val="11580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1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Spore-</a:t>
            </a:r>
            <a:r>
              <a:rPr lang="en-US" baseline="0"/>
              <a:t> Total CFUs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('JMJ1234 Vancomycin 24 hpi'!$B$6,'JMJ1234 Vancomycin 24 hpi'!$B$13,'JMJ1234 Vancomycin 24 hpi'!$B$18)</c:f>
                <c:numCache>
                  <c:formatCode>General</c:formatCode>
                  <c:ptCount val="3"/>
                  <c:pt idx="0">
                    <c:v>7778174593.0520229</c:v>
                  </c:pt>
                  <c:pt idx="1">
                    <c:v>4242640687.1192851</c:v>
                  </c:pt>
                  <c:pt idx="2">
                    <c:v>6222539674.441618</c:v>
                  </c:pt>
                </c:numCache>
              </c:numRef>
            </c:plus>
            <c:minus>
              <c:numRef>
                <c:f>('JMJ1234 Vancomycin 24 hpi'!$B$6,'JMJ1234 Vancomycin 24 hpi'!$B$13,'JMJ1234 Vancomycin 24 hpi'!$B$18)</c:f>
                <c:numCache>
                  <c:formatCode>General</c:formatCode>
                  <c:ptCount val="3"/>
                  <c:pt idx="0">
                    <c:v>7778174593.0520229</c:v>
                  </c:pt>
                  <c:pt idx="1">
                    <c:v>4242640687.1192851</c:v>
                  </c:pt>
                  <c:pt idx="2">
                    <c:v>6222539674.441618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('JMJ1234 Vancomycin 24 hpi'!$A$5,'JMJ1234 Vancomycin 24 hpi'!$A$12,'JMJ1234 Vancomycin 24 hpi'!$A$17)</c:f>
              <c:strCache>
                <c:ptCount val="3"/>
                <c:pt idx="0">
                  <c:v>Average (3 mg/mL)</c:v>
                </c:pt>
                <c:pt idx="1">
                  <c:v>Average (1 mg/mL)</c:v>
                </c:pt>
                <c:pt idx="2">
                  <c:v>Average (0 mg/mL)</c:v>
                </c:pt>
              </c:strCache>
            </c:strRef>
          </c:cat>
          <c:val>
            <c:numRef>
              <c:f>('JMJ1234 Vancomycin 24 hpi'!$B$5,'JMJ1234 Vancomycin 24 hpi'!$B$12,'JMJ1234 Vancomycin 24 hpi'!$B$17)</c:f>
              <c:numCache>
                <c:formatCode>0.00E+00</c:formatCode>
                <c:ptCount val="3"/>
                <c:pt idx="0">
                  <c:v>17500000000</c:v>
                </c:pt>
                <c:pt idx="1">
                  <c:v>33000000000</c:v>
                </c:pt>
                <c:pt idx="2">
                  <c:v>49600000000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6-4415-9691-5735760F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857824"/>
        <c:axId val="1629858784"/>
      </c:barChart>
      <c:catAx>
        <c:axId val="16298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58784"/>
        <c:crosses val="autoZero"/>
        <c:auto val="1"/>
        <c:lblAlgn val="ctr"/>
        <c:lblOffset val="100"/>
        <c:noMultiLvlLbl val="0"/>
      </c:catAx>
      <c:valAx>
        <c:axId val="16298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5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869950</xdr:colOff>
      <xdr:row>8</xdr:row>
      <xdr:rowOff>146050</xdr:rowOff>
    </xdr:from>
    <xdr:to>
      <xdr:col>9</xdr:col>
      <xdr:colOff>927100</xdr:colOff>
      <xdr:row>32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24BB80-ED62-DE3D-5ACA-98ADC1B0A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8</xdr:row>
      <xdr:rowOff>196850</xdr:rowOff>
    </xdr:from>
    <xdr:to>
      <xdr:col>20</xdr:col>
      <xdr:colOff>38100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51712C-6E54-9AF3-003A-EAD52705B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965200</xdr:colOff>
      <xdr:row>34</xdr:row>
      <xdr:rowOff>25400</xdr:rowOff>
    </xdr:from>
    <xdr:to>
      <xdr:col>9</xdr:col>
      <xdr:colOff>1022350</xdr:colOff>
      <xdr:row>58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CC91E-03F5-534D-9376-73D23A74F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660400</xdr:colOff>
      <xdr:row>34</xdr:row>
      <xdr:rowOff>50800</xdr:rowOff>
    </xdr:from>
    <xdr:to>
      <xdr:col>20</xdr:col>
      <xdr:colOff>222250</xdr:colOff>
      <xdr:row>57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89B4AB-DCE9-CC48-9ACB-6D5566D1E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587374</xdr:colOff>
      <xdr:row>2</xdr:row>
      <xdr:rowOff>76200</xdr:rowOff>
    </xdr:from>
    <xdr:to>
      <xdr:col>18</xdr:col>
      <xdr:colOff>336549</xdr:colOff>
      <xdr:row>22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3FBC3-FDEC-E975-5AB1-3176A235A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555624</xdr:colOff>
      <xdr:row>24</xdr:row>
      <xdr:rowOff>82550</xdr:rowOff>
    </xdr:from>
    <xdr:to>
      <xdr:col>18</xdr:col>
      <xdr:colOff>476249</xdr:colOff>
      <xdr:row>44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2F9A2-8AF9-5512-1592-F0CA962DC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492124</xdr:colOff>
      <xdr:row>1</xdr:row>
      <xdr:rowOff>38100</xdr:rowOff>
    </xdr:from>
    <xdr:to>
      <xdr:col>18</xdr:col>
      <xdr:colOff>101599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7C9135-B507-0D04-178F-BB81BAD7E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82E7-CC93-4B54-8C05-948A3E600985}">
  <dimension ref="A1:V12"/>
  <sheetViews>
    <sheetView tabSelected="1" topLeftCell="F1" zoomScaleNormal="100" workbookViewId="0">
      <selection activeCell="V18" sqref="V18"/>
    </sheetView>
  </sheetViews>
  <sheetFormatPr defaultColWidth="8.84375" defaultRowHeight="15.5"/>
  <cols>
    <col min="2" max="3" width="13.69140625" bestFit="1" customWidth="1"/>
    <col min="4" max="5" width="13.69140625" customWidth="1"/>
    <col min="6" max="6" width="13.69140625" bestFit="1" customWidth="1"/>
    <col min="7" max="7" width="13.69140625" customWidth="1"/>
    <col min="8" max="9" width="13.69140625" bestFit="1" customWidth="1"/>
    <col min="10" max="11" width="13.69140625" customWidth="1"/>
    <col min="12" max="13" width="13.69140625" bestFit="1" customWidth="1"/>
    <col min="14" max="15" width="13.69140625" customWidth="1"/>
    <col min="16" max="16" width="8.84375" style="4"/>
    <col min="17" max="17" width="11.3046875" bestFit="1" customWidth="1"/>
    <col min="18" max="18" width="11.3046875" customWidth="1"/>
    <col min="19" max="19" width="9" bestFit="1" customWidth="1"/>
    <col min="20" max="20" width="9" customWidth="1"/>
    <col min="21" max="21" width="9" bestFit="1" customWidth="1"/>
  </cols>
  <sheetData>
    <row r="1" spans="1:22">
      <c r="A1" t="s">
        <v>6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Q1" t="s">
        <v>28</v>
      </c>
      <c r="R1" t="s">
        <v>30</v>
      </c>
      <c r="S1" t="s">
        <v>27</v>
      </c>
      <c r="T1" t="s">
        <v>31</v>
      </c>
      <c r="U1" t="s">
        <v>29</v>
      </c>
      <c r="V1" t="s">
        <v>32</v>
      </c>
    </row>
    <row r="2" spans="1:22">
      <c r="A2" t="s">
        <v>11</v>
      </c>
      <c r="B2" s="1">
        <f>'JMJ1233 P- 24 hpi'!B5</f>
        <v>32200000000</v>
      </c>
      <c r="C2" s="1">
        <f>'JMJ1233 P- 24 hpi'!C5</f>
        <v>21466666666.666668</v>
      </c>
      <c r="D2" s="1">
        <f>'JMJ1233 P+ 24 hpi'!B5</f>
        <v>15300000000</v>
      </c>
      <c r="E2" s="1">
        <f>'JMJ1233 P+ 24 hpi'!C5</f>
        <v>6200000000</v>
      </c>
      <c r="F2" s="1">
        <f>'JMJ1234 P- 24 hpi'!B5</f>
        <v>49733333333.333336</v>
      </c>
      <c r="G2" s="1">
        <f>'JMJ1234 P+ 24 hpi'!B5</f>
        <v>16600000000</v>
      </c>
      <c r="H2" s="1">
        <f>'JMJ1250 P- 24 hpi'!B5</f>
        <v>31133333333.333332</v>
      </c>
      <c r="I2" s="1">
        <f>'JMJ1250 P- 24 hpi'!C5</f>
        <v>21000000000</v>
      </c>
      <c r="J2" s="1">
        <f>'JMJ1250 P+ 24 hpi'!B5</f>
        <v>12450000000</v>
      </c>
      <c r="K2" s="1">
        <f>'JMJ1250 P+ 24 hpi'!C5</f>
        <v>8950000000</v>
      </c>
      <c r="L2" s="1">
        <f>'JMJ1480 P- 24 hpi'!B5</f>
        <v>32233333333.333332</v>
      </c>
      <c r="M2" s="1">
        <f>'JMJ1480 P- 24 hpi'!C5</f>
        <v>11100000000</v>
      </c>
      <c r="N2" s="1">
        <f>'NAD003 P+ 24 hpi'!B5</f>
        <v>21150000000</v>
      </c>
      <c r="O2" s="1">
        <f>'NAD003 P+ 24 hpi'!C5</f>
        <v>8900000000</v>
      </c>
      <c r="Q2">
        <f>'JMJ1233 P- 24 hpi'!$E$5</f>
        <v>0.66744341414726804</v>
      </c>
      <c r="R2">
        <f>'JMJ1233 P+ 24 hpi'!$E$5</f>
        <v>0.4465062891577789</v>
      </c>
      <c r="S2">
        <f>'JMJ1250 P- 24 hpi'!$E$5</f>
        <v>0.66854841854841851</v>
      </c>
      <c r="T2">
        <f>'JMJ1250 P+ 24 hpi'!$E$5</f>
        <v>0.66971454058876012</v>
      </c>
      <c r="U2">
        <f>'JMJ1480 P- 24 hpi'!$E$5</f>
        <v>0.33849577414134147</v>
      </c>
      <c r="V2">
        <f>'NAD003 P+ 24 hpi'!$E$5</f>
        <v>0.38786008230452673</v>
      </c>
    </row>
    <row r="3" spans="1:22">
      <c r="A3" t="s">
        <v>7</v>
      </c>
      <c r="B3" s="1">
        <f>'JMJ1233 P- 24 hpi'!B6</f>
        <v>2778488797.8899608</v>
      </c>
      <c r="C3" s="1">
        <f>'JMJ1233 P- 24 hpi'!C6</f>
        <v>3074627348.6933951</v>
      </c>
      <c r="D3" s="1">
        <f>'JMJ1233 P+ 24 hpi'!B6</f>
        <v>7071067811.8654757</v>
      </c>
      <c r="E3" s="1">
        <f>'JMJ1233 P+ 24 hpi'!C6</f>
        <v>424264068.71192849</v>
      </c>
      <c r="F3" s="1">
        <f>'JMJ1234 P- 24 hpi'!B6</f>
        <v>4406056437.8288813</v>
      </c>
      <c r="G3" s="1">
        <f>'JMJ1234 P+ 24 hpi'!B6</f>
        <v>13293607486.307093</v>
      </c>
      <c r="H3" s="1">
        <f>'JMJ1250 P- 24 hpi'!B6</f>
        <v>1724335620.8503416</v>
      </c>
      <c r="I3" s="1">
        <f>'JMJ1250 P- 24 hpi'!C6</f>
        <v>6296030495.4788771</v>
      </c>
      <c r="J3" s="1">
        <f>'JMJ1250 P+ 24 hpi'!B6</f>
        <v>9263098833.5437737</v>
      </c>
      <c r="K3" s="1">
        <f>'JMJ1250 P+ 24 hpi'!C6</f>
        <v>7848885271.1706772</v>
      </c>
      <c r="L3" s="1">
        <f>'JMJ1480 P- 24 hpi'!B6</f>
        <v>5020292156.1731157</v>
      </c>
      <c r="M3" s="1">
        <f>'JMJ1480 P- 24 hpi'!C6</f>
        <v>4011234224.0263157</v>
      </c>
      <c r="N3" s="1">
        <f>'NAD003 P+ 24 hpi'!B6</f>
        <v>4454772721.4752455</v>
      </c>
      <c r="O3" s="1">
        <f>'NAD003 P+ 24 hpi'!C6</f>
        <v>8343860018.0012608</v>
      </c>
      <c r="Q3">
        <f>'JMJ1233 P- 24 hpi'!$F$5</f>
        <v>6.6353415360768872E-2</v>
      </c>
      <c r="R3">
        <f>'JMJ1233 P+ 24 hpi'!$F$5</f>
        <v>0.12630924482280367</v>
      </c>
      <c r="S3">
        <f>'JMJ1250 P- 24 hpi'!$F$5</f>
        <v>0.13238720567657572</v>
      </c>
      <c r="T3">
        <f>'JMJ1250 P+ 24 hpi'!$F$5</f>
        <v>9.3443354148081539E-2</v>
      </c>
      <c r="U3">
        <f>'JMJ1480 P- 24 hpi'!$F$5</f>
        <v>9.2227117424923705E-2</v>
      </c>
      <c r="V3">
        <f>'NAD003 P+ 24 hpi'!$F$5</f>
        <v>0.2211934156378601</v>
      </c>
    </row>
    <row r="4" spans="1:22">
      <c r="A4" t="s">
        <v>12</v>
      </c>
      <c r="B4" s="1">
        <f>'JMJ1233 P- 72 hpi'!B5</f>
        <v>55433333333.333336</v>
      </c>
      <c r="C4" s="1">
        <f>'JMJ1233 P- 72 hpi'!C5</f>
        <v>35133333333.333336</v>
      </c>
      <c r="D4" s="1">
        <f>'JMJ1233 P+ 72 hpi'!B5</f>
        <v>37933333333.333336</v>
      </c>
      <c r="E4" s="1">
        <f>'JMJ1233 P+ 72 hpi'!C5</f>
        <v>22500000000</v>
      </c>
      <c r="F4" s="1">
        <f>'JMJ1234 P- 72 hpi'!B5</f>
        <v>3400000000</v>
      </c>
      <c r="G4" s="1">
        <f>'JMJ1234 P+ 72 hpi'!B5</f>
        <v>8233333333.333333</v>
      </c>
      <c r="H4" s="1">
        <f>'JMJ1250 P- 72 hpi'!B5</f>
        <v>57666666666.666664</v>
      </c>
      <c r="I4" s="1">
        <f>'JMJ1250 P- 72 hpi'!C5</f>
        <v>48000000000</v>
      </c>
      <c r="J4" s="1">
        <f>'JMJ1250 P+ 72 hpi'!B5</f>
        <v>36066666666.666664</v>
      </c>
      <c r="K4" s="1">
        <f>'JMJ1250 P+ 72 hpi'!C5</f>
        <v>27866666666.666668</v>
      </c>
      <c r="L4" s="1">
        <f>'JMJ1480 P- 72 hpi'!B5</f>
        <v>32166666666.666668</v>
      </c>
      <c r="M4" s="1">
        <f>'JMJ1480 P- 72 hpi'!C5</f>
        <v>21333333333.333332</v>
      </c>
      <c r="N4" s="1">
        <f>'NAD003 P+ 72 hpi'!B5</f>
        <v>47700000000</v>
      </c>
      <c r="O4" s="1">
        <f>'NAD003 P+ 72 hpi'!C5</f>
        <v>41566666666.666664</v>
      </c>
      <c r="Q4">
        <f>'JMJ1233 P- 72 hpi'!$E$5</f>
        <v>0.64986746901640513</v>
      </c>
      <c r="R4">
        <f>'JMJ1233 P+ 72 hpi'!$E$5</f>
        <v>0.56304347826086953</v>
      </c>
      <c r="S4">
        <f>'JMJ1250 P- 72 hpi'!$E$5</f>
        <v>0.84076825001482547</v>
      </c>
      <c r="T4">
        <f>'JMJ1250 P+ 72 hpi'!$E$5</f>
        <v>0.80425288648972859</v>
      </c>
      <c r="U4">
        <f>'JMJ1480 P- 72 hpi'!$E$5</f>
        <v>0.6835502484573116</v>
      </c>
      <c r="V4">
        <f>'NAD003 P+ 72 hpi'!$E$5</f>
        <v>0.87317825316571518</v>
      </c>
    </row>
    <row r="5" spans="1:22">
      <c r="A5" t="s">
        <v>8</v>
      </c>
      <c r="B5" s="1">
        <f>'JMJ1233 P- 72 hpi'!B6</f>
        <v>9844231249.2590561</v>
      </c>
      <c r="C5" s="1">
        <f>'JMJ1233 P- 72 hpi'!C6</f>
        <v>5332499934.885664</v>
      </c>
      <c r="D5" s="1">
        <f>'JMJ1233 P+ 72 hpi'!B6</f>
        <v>8000833289.935071</v>
      </c>
      <c r="E5" s="1">
        <f>'JMJ1233 P+ 72 hpi'!C6</f>
        <v>6873863542.4337549</v>
      </c>
      <c r="F5" s="1">
        <f>'JMJ1234 P- 72 hpi'!B6</f>
        <v>909212113.13239038</v>
      </c>
      <c r="G5" s="1">
        <f>'JMJ1234 P+ 72 hpi'!B6</f>
        <v>3693537900.4718819</v>
      </c>
      <c r="H5" s="1">
        <f>'JMJ1250 P- 72 hpi'!B6</f>
        <v>11897712198.383152</v>
      </c>
      <c r="I5" s="1">
        <f>'JMJ1250 P- 72 hpi'!C6</f>
        <v>9201449161.228159</v>
      </c>
      <c r="J5" s="1">
        <f>'JMJ1250 P+ 72 hpi'!B6</f>
        <v>9077934175.1793251</v>
      </c>
      <c r="K5" s="1">
        <f>'JMJ1250 P+ 72 hpi'!C6</f>
        <v>3601234356.2851934</v>
      </c>
      <c r="L5" s="1">
        <f>'JMJ1480 P- 72 hpi'!B6</f>
        <v>5406374837.9934654</v>
      </c>
      <c r="M5" s="1">
        <f>'JMJ1480 P- 72 hpi'!C6</f>
        <v>601849002.84225965</v>
      </c>
      <c r="N5" s="1">
        <f>'NAD003 P+ 72 hpi'!B6</f>
        <v>3159113799.786263</v>
      </c>
      <c r="O5" s="1">
        <f>'NAD003 P+ 72 hpi'!C6</f>
        <v>1826350337.5736966</v>
      </c>
      <c r="Q5">
        <f>'JMJ1233 P- 72 hpi'!$F$5</f>
        <v>0.12823519274465672</v>
      </c>
      <c r="R5">
        <f>'JMJ1233 P+ 72 hpi'!$F$5</f>
        <v>0.21338408227785785</v>
      </c>
      <c r="S5">
        <f>'JMJ1250 P- 72 hpi'!$F$5</f>
        <v>9.0868530325886751E-2</v>
      </c>
      <c r="T5">
        <f>'JMJ1250 P+ 72 hpi'!$F$5</f>
        <v>0.14239194266197891</v>
      </c>
      <c r="U5">
        <f>'JMJ1480 P- 72 hpi'!$F$5</f>
        <v>0.1210146246667559</v>
      </c>
      <c r="V5">
        <f>'NAD003 P+ 72 hpi'!$F$5</f>
        <v>3.5681195500227858E-2</v>
      </c>
    </row>
    <row r="12" spans="1:22">
      <c r="B1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3DD8-E58D-1345-AF04-56D812D3B687}">
  <dimension ref="A1:H19"/>
  <sheetViews>
    <sheetView workbookViewId="0">
      <selection activeCell="E5" sqref="E5"/>
    </sheetView>
  </sheetViews>
  <sheetFormatPr defaultColWidth="11" defaultRowHeight="15.5"/>
  <cols>
    <col min="5" max="6" width="11" style="2"/>
  </cols>
  <sheetData>
    <row r="1" spans="1:8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8">
      <c r="A2">
        <v>1</v>
      </c>
      <c r="B2" s="1">
        <v>33600000000</v>
      </c>
      <c r="C2" s="1">
        <v>19400000000</v>
      </c>
      <c r="D2" s="1">
        <f>B2-C2</f>
        <v>14200000000</v>
      </c>
      <c r="E2" s="7">
        <f>C2/B2</f>
        <v>0.57738095238095233</v>
      </c>
      <c r="H2" s="3"/>
    </row>
    <row r="3" spans="1:8">
      <c r="A3">
        <v>2</v>
      </c>
      <c r="B3" s="1">
        <v>34000000000</v>
      </c>
      <c r="C3" s="1">
        <v>25000000000</v>
      </c>
      <c r="D3" s="1">
        <f t="shared" ref="D3:D4" si="0">B3-C3</f>
        <v>9000000000</v>
      </c>
      <c r="E3" s="7">
        <f t="shared" ref="E3:E4" si="1">C3/B3</f>
        <v>0.73529411764705888</v>
      </c>
    </row>
    <row r="4" spans="1:8">
      <c r="A4">
        <v>3</v>
      </c>
      <c r="B4" s="1">
        <v>29000000000</v>
      </c>
      <c r="C4" s="1">
        <v>20000000000</v>
      </c>
      <c r="D4" s="1">
        <f t="shared" si="0"/>
        <v>9000000000</v>
      </c>
      <c r="E4" s="7">
        <f t="shared" si="1"/>
        <v>0.68965517241379315</v>
      </c>
    </row>
    <row r="5" spans="1:8">
      <c r="A5" t="s">
        <v>2</v>
      </c>
      <c r="B5" s="1">
        <f>AVERAGE(B2:B4)</f>
        <v>32200000000</v>
      </c>
      <c r="C5" s="1">
        <f>AVERAGE(C2:C4)</f>
        <v>21466666666.666668</v>
      </c>
      <c r="D5" s="1">
        <f>AVERAGE(D2:D4)</f>
        <v>10733333333.333334</v>
      </c>
      <c r="E5" s="7">
        <f>AVERAGE(E2:E4)</f>
        <v>0.66744341414726804</v>
      </c>
      <c r="F5" s="7">
        <f>_xlfn.STDEV.P(E2:E4)</f>
        <v>6.6353415360768872E-2</v>
      </c>
      <c r="G5" t="s">
        <v>34</v>
      </c>
    </row>
    <row r="6" spans="1:8">
      <c r="A6" t="s">
        <v>10</v>
      </c>
      <c r="B6">
        <f>STDEV(B2:B4)</f>
        <v>2778488797.8899608</v>
      </c>
      <c r="C6">
        <f>STDEV(C2:C4)</f>
        <v>3074627348.6933951</v>
      </c>
      <c r="D6">
        <f>STDEV(D2:D4)</f>
        <v>3002221399.7860556</v>
      </c>
    </row>
    <row r="7" spans="1:8">
      <c r="C7" s="1"/>
      <c r="D7" s="1"/>
    </row>
    <row r="9" spans="1:8">
      <c r="F9" s="5"/>
    </row>
    <row r="13" spans="1:8">
      <c r="B13">
        <v>100</v>
      </c>
      <c r="C13">
        <v>10</v>
      </c>
      <c r="D13">
        <f>C13/B13</f>
        <v>0.1</v>
      </c>
    </row>
    <row r="14" spans="1:8">
      <c r="B14">
        <v>200</v>
      </c>
      <c r="C14">
        <v>24</v>
      </c>
      <c r="D14">
        <f t="shared" ref="D14:D15" si="2">C14/B14</f>
        <v>0.12</v>
      </c>
    </row>
    <row r="15" spans="1:8">
      <c r="B15">
        <v>20</v>
      </c>
      <c r="C15">
        <v>3</v>
      </c>
      <c r="D15">
        <f t="shared" si="2"/>
        <v>0.15</v>
      </c>
    </row>
    <row r="16" spans="1:8">
      <c r="B16">
        <f>AVERAGE(B13:B15)</f>
        <v>106.66666666666667</v>
      </c>
      <c r="C16">
        <f>AVERAGE(C13:C15)</f>
        <v>12.333333333333334</v>
      </c>
      <c r="D16">
        <f>AVERAGE(D13:D15)</f>
        <v>0.12333333333333334</v>
      </c>
    </row>
    <row r="19" spans="3:3">
      <c r="C19">
        <f>C16/B16</f>
        <v>0.11562500000000001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9851-B23D-4676-BA90-B450B91790C1}">
  <dimension ref="A1:F19"/>
  <sheetViews>
    <sheetView topLeftCell="A18" workbookViewId="0">
      <selection activeCell="V35" sqref="V35"/>
    </sheetView>
  </sheetViews>
  <sheetFormatPr defaultColWidth="8.84375" defaultRowHeight="15.5"/>
  <cols>
    <col min="1" max="1" width="17" bestFit="1" customWidth="1"/>
  </cols>
  <sheetData>
    <row r="1" spans="1:6">
      <c r="A1" t="s">
        <v>35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16000000000</v>
      </c>
      <c r="C2" s="1">
        <v>13000000000</v>
      </c>
      <c r="D2" s="1">
        <f>B2-C2</f>
        <v>3000000000</v>
      </c>
      <c r="E2" s="7">
        <f>C2/B2</f>
        <v>0.8125</v>
      </c>
      <c r="F2" s="2"/>
    </row>
    <row r="3" spans="1:6">
      <c r="A3">
        <v>2</v>
      </c>
      <c r="B3" s="1">
        <v>26000000000</v>
      </c>
      <c r="C3" s="1">
        <v>25000000000</v>
      </c>
      <c r="D3" s="1">
        <f t="shared" ref="D3:D4" si="0">B3-C3</f>
        <v>1000000000</v>
      </c>
      <c r="E3" s="7">
        <f t="shared" ref="E3:E4" si="1">C3/B3</f>
        <v>0.96153846153846156</v>
      </c>
      <c r="F3" s="2"/>
    </row>
    <row r="4" spans="1:6">
      <c r="A4">
        <v>3</v>
      </c>
      <c r="B4" s="1"/>
      <c r="C4" s="1"/>
      <c r="D4" s="1">
        <f t="shared" si="0"/>
        <v>0</v>
      </c>
      <c r="E4" s="7" t="e">
        <f t="shared" si="1"/>
        <v>#DIV/0!</v>
      </c>
      <c r="F4" s="2"/>
    </row>
    <row r="5" spans="1:6">
      <c r="A5" t="s">
        <v>38</v>
      </c>
      <c r="B5" s="1">
        <f>AVERAGE(B2:B4)</f>
        <v>21000000000</v>
      </c>
      <c r="C5" s="1">
        <f>AVERAGE(C2:C4)</f>
        <v>19000000000</v>
      </c>
      <c r="D5" s="1">
        <f>AVERAGE(D2:D4)</f>
        <v>1333333333.3333333</v>
      </c>
      <c r="E5" s="7">
        <f>AVERAGE(E2:E3)</f>
        <v>0.88701923076923084</v>
      </c>
      <c r="F5" s="7">
        <f>_xlfn.STDEV.P(E2:E3)</f>
        <v>7.4519230769230782E-2</v>
      </c>
    </row>
    <row r="6" spans="1:6">
      <c r="A6" t="s">
        <v>10</v>
      </c>
      <c r="B6">
        <f>STDEV(B2:B4)</f>
        <v>7071067811.8654757</v>
      </c>
      <c r="C6">
        <f>STDEV(C2:C4)</f>
        <v>8485281374.2385702</v>
      </c>
      <c r="D6">
        <f>STDEV(D2:D4)</f>
        <v>1527525231.6519468</v>
      </c>
      <c r="E6" s="2"/>
      <c r="F6" s="2"/>
    </row>
    <row r="8" spans="1:6">
      <c r="A8" t="s">
        <v>36</v>
      </c>
      <c r="B8" t="s">
        <v>0</v>
      </c>
      <c r="C8" t="s">
        <v>1</v>
      </c>
      <c r="D8" t="s">
        <v>9</v>
      </c>
      <c r="E8" s="2" t="s">
        <v>3</v>
      </c>
      <c r="F8" s="2" t="s">
        <v>4</v>
      </c>
    </row>
    <row r="9" spans="1:6">
      <c r="A9">
        <v>1</v>
      </c>
      <c r="B9" s="1">
        <v>20000000000</v>
      </c>
      <c r="C9" s="1">
        <v>20000000000</v>
      </c>
      <c r="D9" s="1">
        <f>B9-C9</f>
        <v>0</v>
      </c>
      <c r="E9" s="7">
        <f>C9/B9</f>
        <v>1</v>
      </c>
      <c r="F9" s="2"/>
    </row>
    <row r="10" spans="1:6">
      <c r="A10">
        <v>2</v>
      </c>
      <c r="B10" s="1">
        <v>12000000000</v>
      </c>
      <c r="C10" s="1">
        <v>10000000000</v>
      </c>
      <c r="D10" s="1">
        <f t="shared" ref="D10:D11" si="2">B10-C10</f>
        <v>2000000000</v>
      </c>
      <c r="E10" s="7">
        <f t="shared" ref="E10:E11" si="3">C10/B10</f>
        <v>0.83333333333333337</v>
      </c>
      <c r="F10" s="2"/>
    </row>
    <row r="11" spans="1:6">
      <c r="A11">
        <v>3</v>
      </c>
      <c r="B11" s="1"/>
      <c r="C11" s="1"/>
      <c r="D11" s="1">
        <f t="shared" si="2"/>
        <v>0</v>
      </c>
      <c r="E11" s="7" t="e">
        <f t="shared" si="3"/>
        <v>#DIV/0!</v>
      </c>
      <c r="F11" s="2"/>
    </row>
    <row r="12" spans="1:6">
      <c r="A12" t="s">
        <v>39</v>
      </c>
      <c r="B12" s="1">
        <f>AVERAGE(B9:B11)</f>
        <v>16000000000</v>
      </c>
      <c r="C12" s="1">
        <f>AVERAGE(C9:C11)</f>
        <v>15000000000</v>
      </c>
      <c r="D12" s="1">
        <f>AVERAGE(D9:D11)</f>
        <v>666666666.66666663</v>
      </c>
      <c r="E12" s="7">
        <f>AVERAGE(E9:E10)</f>
        <v>0.91666666666666674</v>
      </c>
      <c r="F12" s="7">
        <f>_xlfn.STDEV.P(E9:E10)</f>
        <v>8.3333333333333315E-2</v>
      </c>
    </row>
    <row r="13" spans="1:6">
      <c r="A13" t="s">
        <v>10</v>
      </c>
      <c r="B13">
        <f>STDEV(B9:B11)</f>
        <v>5656854249.4923801</v>
      </c>
      <c r="C13">
        <f>STDEV(C9:C11)</f>
        <v>7071067811.8654757</v>
      </c>
      <c r="D13">
        <f>STDEV(D9:D11)</f>
        <v>1154700538.3792517</v>
      </c>
      <c r="E13" s="2"/>
      <c r="F13" s="2"/>
    </row>
    <row r="17" spans="1:6">
      <c r="A17" t="s">
        <v>37</v>
      </c>
    </row>
    <row r="18" spans="1:6">
      <c r="A18" t="s">
        <v>40</v>
      </c>
      <c r="B18">
        <v>33800000000</v>
      </c>
      <c r="C18">
        <v>22200000000</v>
      </c>
      <c r="D18">
        <v>7733333333.333333</v>
      </c>
      <c r="E18">
        <v>0.6563375350140056</v>
      </c>
      <c r="F18">
        <v>7.8956582633053315E-2</v>
      </c>
    </row>
    <row r="19" spans="1:6">
      <c r="A19" t="s">
        <v>10</v>
      </c>
      <c r="B19">
        <v>282842712.47461903</v>
      </c>
      <c r="C19">
        <v>3959797974.6446662</v>
      </c>
      <c r="D19">
        <v>7184242015.2256374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2AA1-407C-C943-88EE-A9AB3D9C377F}">
  <dimension ref="A1:H7"/>
  <sheetViews>
    <sheetView workbookViewId="0">
      <selection activeCell="F5" sqref="F5"/>
    </sheetView>
  </sheetViews>
  <sheetFormatPr defaultColWidth="11" defaultRowHeight="15.5"/>
  <cols>
    <col min="5" max="6" width="10.84375" style="2"/>
  </cols>
  <sheetData>
    <row r="1" spans="1:8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8">
      <c r="A2">
        <v>1</v>
      </c>
      <c r="B2" s="1">
        <v>10300000000</v>
      </c>
      <c r="C2" s="1">
        <v>5900000000</v>
      </c>
      <c r="D2" s="1">
        <f>B2-C2</f>
        <v>4400000000</v>
      </c>
      <c r="E2" s="7">
        <f>C2/B2</f>
        <v>0.57281553398058249</v>
      </c>
      <c r="F2" s="7"/>
      <c r="H2" s="3"/>
    </row>
    <row r="3" spans="1:8">
      <c r="A3">
        <v>2</v>
      </c>
      <c r="B3" s="1">
        <v>20300000000</v>
      </c>
      <c r="C3" s="1">
        <v>6500000000</v>
      </c>
      <c r="D3" s="1">
        <f t="shared" ref="D3:D4" si="0">B3-C3</f>
        <v>13800000000</v>
      </c>
      <c r="E3" s="7">
        <f t="shared" ref="E3:E4" si="1">C3/B3</f>
        <v>0.32019704433497537</v>
      </c>
      <c r="F3" s="7"/>
    </row>
    <row r="4" spans="1:8">
      <c r="A4">
        <v>3</v>
      </c>
      <c r="B4" s="1"/>
      <c r="C4" s="1"/>
      <c r="D4" s="1">
        <f t="shared" si="0"/>
        <v>0</v>
      </c>
      <c r="E4" s="7" t="e">
        <f t="shared" si="1"/>
        <v>#DIV/0!</v>
      </c>
      <c r="F4" s="7"/>
    </row>
    <row r="5" spans="1:8">
      <c r="A5" t="s">
        <v>2</v>
      </c>
      <c r="B5" s="1">
        <f>AVERAGE(B2:B4)</f>
        <v>15300000000</v>
      </c>
      <c r="C5" s="1">
        <f>AVERAGE(C2:C4)</f>
        <v>6200000000</v>
      </c>
      <c r="D5" s="1">
        <f>AVERAGE(D2:D4)</f>
        <v>6066666666.666667</v>
      </c>
      <c r="E5" s="7">
        <f>AVERAGE(E2:E3)</f>
        <v>0.4465062891577789</v>
      </c>
      <c r="F5" s="7">
        <f>_xlfn.STDEV.P(E2:E3)</f>
        <v>0.12630924482280367</v>
      </c>
    </row>
    <row r="6" spans="1:8">
      <c r="A6" t="s">
        <v>10</v>
      </c>
      <c r="B6">
        <f>STDEV(B2:B4)</f>
        <v>7071067811.8654757</v>
      </c>
      <c r="C6">
        <f>STDEV(C2:C4)</f>
        <v>424264068.71192849</v>
      </c>
      <c r="D6">
        <f>STDEV(D2:D4)</f>
        <v>7049349851.8184881</v>
      </c>
    </row>
    <row r="7" spans="1:8">
      <c r="C7" s="1"/>
      <c r="D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BBC5-4C69-804A-8CE9-662CB734E38E}">
  <dimension ref="A1:H6"/>
  <sheetViews>
    <sheetView workbookViewId="0">
      <selection activeCell="F5" sqref="F5"/>
    </sheetView>
  </sheetViews>
  <sheetFormatPr defaultColWidth="11" defaultRowHeight="15.5"/>
  <sheetData>
    <row r="1" spans="1:8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8">
      <c r="A2">
        <v>1</v>
      </c>
      <c r="B2" s="1">
        <v>58000000000</v>
      </c>
      <c r="C2" s="1">
        <v>29000000000</v>
      </c>
      <c r="D2" s="1">
        <f>B2-C2</f>
        <v>29000000000</v>
      </c>
      <c r="E2" s="7">
        <f>C2/B2</f>
        <v>0.5</v>
      </c>
      <c r="F2" s="7"/>
      <c r="H2" s="3"/>
    </row>
    <row r="3" spans="1:8">
      <c r="A3">
        <v>2</v>
      </c>
      <c r="B3" s="1">
        <v>66000000000</v>
      </c>
      <c r="C3" s="1">
        <v>42000000000</v>
      </c>
      <c r="D3" s="1">
        <f t="shared" ref="D3:D4" si="0">B3-C3</f>
        <v>24000000000</v>
      </c>
      <c r="E3" s="7">
        <f t="shared" ref="E3:E4" si="1">C3/B3</f>
        <v>0.63636363636363635</v>
      </c>
      <c r="F3" s="7"/>
    </row>
    <row r="4" spans="1:8">
      <c r="A4">
        <v>3</v>
      </c>
      <c r="B4" s="1">
        <v>42300000000</v>
      </c>
      <c r="C4" s="1">
        <v>34400000000</v>
      </c>
      <c r="D4" s="1">
        <f t="shared" si="0"/>
        <v>7900000000</v>
      </c>
      <c r="E4" s="7">
        <f t="shared" si="1"/>
        <v>0.81323877068557915</v>
      </c>
      <c r="F4" s="7"/>
    </row>
    <row r="5" spans="1:8">
      <c r="A5" t="s">
        <v>2</v>
      </c>
      <c r="B5" s="1">
        <f>AVERAGE(B2:B4)</f>
        <v>55433333333.333336</v>
      </c>
      <c r="C5" s="1">
        <f>AVERAGE(C2:C4)</f>
        <v>35133333333.333336</v>
      </c>
      <c r="D5" s="1">
        <f>AVERAGE(D2:D4)</f>
        <v>20300000000</v>
      </c>
      <c r="E5" s="7">
        <f>AVERAGE(E2:E4)</f>
        <v>0.64986746901640513</v>
      </c>
      <c r="F5" s="7">
        <f>_xlfn.STDEV.P(E2:E4)</f>
        <v>0.12823519274465672</v>
      </c>
    </row>
    <row r="6" spans="1:8">
      <c r="A6" t="s">
        <v>10</v>
      </c>
      <c r="B6">
        <f>_xlfn.STDEV.P(B2:B4)</f>
        <v>9844231249.2590561</v>
      </c>
      <c r="C6">
        <f>_xlfn.STDEV.P(C2:C4)</f>
        <v>5332499934.885664</v>
      </c>
      <c r="D6">
        <f>STDEV(D2:D4)</f>
        <v>11025878649.79476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6655-F759-C84D-9A62-87632EBF1418}">
  <dimension ref="A1:H6"/>
  <sheetViews>
    <sheetView workbookViewId="0">
      <selection activeCell="E2" sqref="E2:F5"/>
    </sheetView>
  </sheetViews>
  <sheetFormatPr defaultColWidth="11" defaultRowHeight="15.5"/>
  <sheetData>
    <row r="1" spans="1:8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8">
      <c r="A2">
        <v>1</v>
      </c>
      <c r="B2" s="6">
        <v>46000000000</v>
      </c>
      <c r="C2" s="6">
        <v>15000000000</v>
      </c>
      <c r="D2" s="6">
        <f>B2-C2</f>
        <v>31000000000</v>
      </c>
      <c r="E2" s="8">
        <f>C2/B2</f>
        <v>0.32608695652173914</v>
      </c>
      <c r="F2" s="7"/>
      <c r="H2" s="3"/>
    </row>
    <row r="3" spans="1:8">
      <c r="A3">
        <v>2</v>
      </c>
      <c r="B3" s="1">
        <v>30000000000</v>
      </c>
      <c r="C3" s="1">
        <v>24000000000</v>
      </c>
      <c r="D3" s="1">
        <f t="shared" ref="D3:D4" si="0">B3-C3</f>
        <v>6000000000</v>
      </c>
      <c r="E3" s="7">
        <f t="shared" ref="E3:E4" si="1">C3/B3</f>
        <v>0.8</v>
      </c>
      <c r="F3" s="7"/>
      <c r="G3" t="s">
        <v>33</v>
      </c>
    </row>
    <row r="4" spans="1:8">
      <c r="A4">
        <v>3</v>
      </c>
      <c r="B4" s="1">
        <v>37800000000</v>
      </c>
      <c r="C4" s="1">
        <v>28500000000</v>
      </c>
      <c r="D4" s="1">
        <f t="shared" si="0"/>
        <v>9300000000</v>
      </c>
      <c r="E4" s="7">
        <f t="shared" si="1"/>
        <v>0.75396825396825395</v>
      </c>
      <c r="F4" s="7"/>
    </row>
    <row r="5" spans="1:8">
      <c r="A5" t="s">
        <v>2</v>
      </c>
      <c r="B5" s="1">
        <f>AVERAGE(B2:B4)</f>
        <v>37933333333.333336</v>
      </c>
      <c r="C5" s="1">
        <f>AVERAGE(C2:C4)</f>
        <v>22500000000</v>
      </c>
      <c r="D5" s="1">
        <f>AVERAGE(D2:D4)</f>
        <v>15433333333.333334</v>
      </c>
      <c r="E5" s="7">
        <f>AVERAGE(E2:E3)</f>
        <v>0.56304347826086953</v>
      </c>
      <c r="F5" s="7">
        <f>_xlfn.STDEV.P(E2:E4)</f>
        <v>0.21338408227785785</v>
      </c>
    </row>
    <row r="6" spans="1:8">
      <c r="A6" t="s">
        <v>10</v>
      </c>
      <c r="B6">
        <f>STDEV(B2:B4)</f>
        <v>8000833289.935071</v>
      </c>
      <c r="C6">
        <f>STDEV(C2:C4)</f>
        <v>6873863542.4337549</v>
      </c>
      <c r="D6">
        <f>STDEV(D2:D4)</f>
        <v>13581727921.488241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9526-A65B-3E42-825D-2703FDFBE4CC}">
  <dimension ref="A1:F6"/>
  <sheetViews>
    <sheetView workbookViewId="0">
      <selection activeCell="F5" sqref="F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45200000000</v>
      </c>
      <c r="C2" s="1">
        <v>0</v>
      </c>
      <c r="D2" s="1">
        <f>B2-C2</f>
        <v>45200000000</v>
      </c>
      <c r="E2" s="7">
        <f>C2/B2</f>
        <v>0</v>
      </c>
      <c r="F2" s="7"/>
    </row>
    <row r="3" spans="1:6">
      <c r="A3">
        <v>2</v>
      </c>
      <c r="B3" s="1">
        <v>54000000000</v>
      </c>
      <c r="C3" s="1">
        <v>100000000</v>
      </c>
      <c r="D3" s="1">
        <f t="shared" ref="D3:D4" si="0">B3-C3</f>
        <v>53900000000</v>
      </c>
      <c r="E3" s="7">
        <f t="shared" ref="E3:E4" si="1">C3/B3</f>
        <v>1.8518518518518519E-3</v>
      </c>
      <c r="F3" s="7"/>
    </row>
    <row r="4" spans="1:6">
      <c r="A4">
        <v>3</v>
      </c>
      <c r="B4" s="1">
        <v>50000000000</v>
      </c>
      <c r="C4" s="1">
        <v>0</v>
      </c>
      <c r="D4" s="1">
        <f t="shared" si="0"/>
        <v>50000000000</v>
      </c>
      <c r="E4" s="7">
        <f t="shared" si="1"/>
        <v>0</v>
      </c>
      <c r="F4" s="7"/>
    </row>
    <row r="5" spans="1:6">
      <c r="A5" t="s">
        <v>2</v>
      </c>
      <c r="B5" s="1">
        <f>AVERAGE(B2:B4)</f>
        <v>49733333333.333336</v>
      </c>
      <c r="C5" s="1">
        <f>AVERAGE(C2:C4)</f>
        <v>33333333.333333332</v>
      </c>
      <c r="D5" s="1">
        <f>AVERAGE(D2:D4)</f>
        <v>49700000000</v>
      </c>
      <c r="E5" s="7">
        <f>AVERAGE(E2:E4)</f>
        <v>6.1728395061728394E-4</v>
      </c>
      <c r="F5" s="7">
        <f>_xlfn.STDEV.P(E2:E4)</f>
        <v>8.7297133479820679E-4</v>
      </c>
    </row>
    <row r="6" spans="1:6">
      <c r="A6" t="s">
        <v>10</v>
      </c>
      <c r="B6">
        <f>STDEV(B2:B4)</f>
        <v>4406056437.8288813</v>
      </c>
      <c r="C6">
        <f>STDEV(C2:C4)</f>
        <v>57735026.918962575</v>
      </c>
      <c r="D6">
        <f>STDEV(D2:D4)</f>
        <v>4357751713.9001846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3ED2-3C16-4724-9BDB-A708EFEFB923}">
  <dimension ref="A1:F18"/>
  <sheetViews>
    <sheetView workbookViewId="0">
      <selection activeCell="V24" sqref="V24"/>
    </sheetView>
  </sheetViews>
  <sheetFormatPr defaultColWidth="8.84375" defaultRowHeight="15.5"/>
  <cols>
    <col min="1" max="1" width="17" bestFit="1" customWidth="1"/>
  </cols>
  <sheetData>
    <row r="1" spans="1:6">
      <c r="A1" t="s">
        <v>35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12000000000</v>
      </c>
      <c r="C2" s="1">
        <v>0</v>
      </c>
      <c r="D2" s="1">
        <f>B2-C2</f>
        <v>12000000000</v>
      </c>
      <c r="E2" s="7">
        <f>C2/B2</f>
        <v>0</v>
      </c>
      <c r="F2" s="2"/>
    </row>
    <row r="3" spans="1:6">
      <c r="A3">
        <v>2</v>
      </c>
      <c r="B3" s="1">
        <v>23000000000</v>
      </c>
      <c r="C3" s="1">
        <v>0</v>
      </c>
      <c r="D3" s="1">
        <f t="shared" ref="D3:D4" si="0">B3-C3</f>
        <v>23000000000</v>
      </c>
      <c r="E3" s="7">
        <f t="shared" ref="E3:E4" si="1">C3/B3</f>
        <v>0</v>
      </c>
      <c r="F3" s="2"/>
    </row>
    <row r="4" spans="1:6">
      <c r="A4">
        <v>3</v>
      </c>
      <c r="B4" s="1"/>
      <c r="C4" s="1"/>
      <c r="D4" s="1">
        <f t="shared" si="0"/>
        <v>0</v>
      </c>
      <c r="E4" s="7" t="e">
        <f t="shared" si="1"/>
        <v>#DIV/0!</v>
      </c>
      <c r="F4" s="2"/>
    </row>
    <row r="5" spans="1:6">
      <c r="A5" t="s">
        <v>38</v>
      </c>
      <c r="B5" s="1">
        <f>AVERAGE(B2:B4)</f>
        <v>17500000000</v>
      </c>
      <c r="C5" s="1">
        <f>AVERAGE(C2:C4)</f>
        <v>0</v>
      </c>
      <c r="D5" s="1">
        <f>AVERAGE(D2:D4)</f>
        <v>11666666666.666666</v>
      </c>
      <c r="E5" s="7">
        <f>AVERAGE(E2:E3)</f>
        <v>0</v>
      </c>
      <c r="F5" s="7">
        <f>_xlfn.STDEV.P(E2:E3)</f>
        <v>0</v>
      </c>
    </row>
    <row r="6" spans="1:6">
      <c r="A6" t="s">
        <v>10</v>
      </c>
      <c r="B6">
        <f>STDEV(B2:B4)</f>
        <v>7778174593.0520229</v>
      </c>
      <c r="C6">
        <f>STDEV(C2:C4)</f>
        <v>0</v>
      </c>
      <c r="D6">
        <f>STDEV(D2:D4)</f>
        <v>11503622617.824932</v>
      </c>
      <c r="E6" s="2"/>
      <c r="F6" s="2"/>
    </row>
    <row r="8" spans="1:6">
      <c r="A8" t="s">
        <v>36</v>
      </c>
      <c r="B8" t="s">
        <v>0</v>
      </c>
      <c r="C8" t="s">
        <v>1</v>
      </c>
      <c r="D8" t="s">
        <v>9</v>
      </c>
      <c r="E8" s="2" t="s">
        <v>3</v>
      </c>
      <c r="F8" s="2" t="s">
        <v>4</v>
      </c>
    </row>
    <row r="9" spans="1:6">
      <c r="A9">
        <v>1</v>
      </c>
      <c r="B9" s="1">
        <v>30000000000</v>
      </c>
      <c r="C9" s="1">
        <v>0</v>
      </c>
      <c r="D9" s="1">
        <f>B9-C9</f>
        <v>30000000000</v>
      </c>
      <c r="E9" s="7">
        <f>C9/B9</f>
        <v>0</v>
      </c>
      <c r="F9" s="2"/>
    </row>
    <row r="10" spans="1:6">
      <c r="A10">
        <v>2</v>
      </c>
      <c r="B10" s="1">
        <v>36000000000</v>
      </c>
      <c r="C10" s="1">
        <v>0</v>
      </c>
      <c r="D10" s="1">
        <f t="shared" ref="D10:D11" si="2">B10-C10</f>
        <v>36000000000</v>
      </c>
      <c r="E10" s="7">
        <f t="shared" ref="E10:E11" si="3">C10/B10</f>
        <v>0</v>
      </c>
      <c r="F10" s="2"/>
    </row>
    <row r="11" spans="1:6">
      <c r="A11">
        <v>3</v>
      </c>
      <c r="B11" s="1"/>
      <c r="C11" s="1"/>
      <c r="D11" s="1">
        <f t="shared" si="2"/>
        <v>0</v>
      </c>
      <c r="E11" s="7" t="e">
        <f t="shared" si="3"/>
        <v>#DIV/0!</v>
      </c>
      <c r="F11" s="2"/>
    </row>
    <row r="12" spans="1:6">
      <c r="A12" t="s">
        <v>39</v>
      </c>
      <c r="B12" s="1">
        <f>AVERAGE(B9:B11)</f>
        <v>33000000000</v>
      </c>
      <c r="C12" s="1">
        <f>AVERAGE(C9:C11)</f>
        <v>0</v>
      </c>
      <c r="D12" s="1">
        <f>AVERAGE(D9:D11)</f>
        <v>22000000000</v>
      </c>
      <c r="E12" s="7">
        <f>AVERAGE(E9:E10)</f>
        <v>0</v>
      </c>
      <c r="F12" s="7">
        <f>_xlfn.STDEV.P(E9:E10)</f>
        <v>0</v>
      </c>
    </row>
    <row r="13" spans="1:6">
      <c r="A13" t="s">
        <v>10</v>
      </c>
      <c r="B13">
        <f>STDEV(B9:B11)</f>
        <v>4242640687.1192851</v>
      </c>
      <c r="C13">
        <f>STDEV(C9:C11)</f>
        <v>0</v>
      </c>
      <c r="D13">
        <f>STDEV(D9:D11)</f>
        <v>19287301521.985909</v>
      </c>
      <c r="E13" s="2"/>
      <c r="F13" s="2"/>
    </row>
    <row r="17" spans="1:6">
      <c r="A17" t="s">
        <v>40</v>
      </c>
      <c r="B17" s="1">
        <v>49600000000</v>
      </c>
      <c r="C17" s="1">
        <v>0</v>
      </c>
      <c r="D17" s="1">
        <v>49600000000</v>
      </c>
      <c r="E17" s="7">
        <v>0</v>
      </c>
      <c r="F17" s="7">
        <v>0</v>
      </c>
    </row>
    <row r="18" spans="1:6">
      <c r="A18" t="s">
        <v>10</v>
      </c>
      <c r="B18">
        <v>6222539674.441618</v>
      </c>
      <c r="C18">
        <v>0</v>
      </c>
      <c r="D18">
        <v>6222539674.441618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2DEE-69A9-7A4D-B238-7F51762805D0}">
  <dimension ref="A1:F6"/>
  <sheetViews>
    <sheetView workbookViewId="0">
      <selection activeCell="E2" sqref="E2:F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7200000000</v>
      </c>
      <c r="C2" s="1">
        <v>0</v>
      </c>
      <c r="D2" s="1">
        <f>B2-C2</f>
        <v>7200000000</v>
      </c>
      <c r="E2" s="7">
        <f>C2/B2</f>
        <v>0</v>
      </c>
      <c r="F2" s="7"/>
    </row>
    <row r="3" spans="1:6">
      <c r="A3">
        <v>2</v>
      </c>
      <c r="B3" s="1">
        <v>26000000000</v>
      </c>
      <c r="C3" s="1">
        <v>800000000</v>
      </c>
      <c r="D3" s="1">
        <f t="shared" ref="D3:D4" si="0">B3-C3</f>
        <v>25200000000</v>
      </c>
      <c r="E3" s="7">
        <f t="shared" ref="E3:E4" si="1">C3/B3</f>
        <v>3.0769230769230771E-2</v>
      </c>
      <c r="F3" s="7"/>
    </row>
    <row r="4" spans="1:6">
      <c r="A4">
        <v>3</v>
      </c>
      <c r="B4" s="1"/>
      <c r="C4" s="1"/>
      <c r="D4" s="1">
        <f t="shared" si="0"/>
        <v>0</v>
      </c>
      <c r="E4" s="7" t="e">
        <f t="shared" si="1"/>
        <v>#DIV/0!</v>
      </c>
      <c r="F4" s="7"/>
    </row>
    <row r="5" spans="1:6">
      <c r="A5" t="s">
        <v>2</v>
      </c>
      <c r="B5" s="1">
        <f>AVERAGE(B2:B4)</f>
        <v>16600000000</v>
      </c>
      <c r="C5" s="1">
        <f>AVERAGE(C2:C4)</f>
        <v>400000000</v>
      </c>
      <c r="D5" s="1">
        <f>AVERAGE(D2:D4)</f>
        <v>10800000000</v>
      </c>
      <c r="E5" s="7">
        <f>AVERAGE(E2:E3)</f>
        <v>1.5384615384615385E-2</v>
      </c>
      <c r="F5" s="7">
        <f>_xlfn.STDEV.P(E2:E3)</f>
        <v>1.5384615384615385E-2</v>
      </c>
    </row>
    <row r="6" spans="1:6">
      <c r="A6" t="s">
        <v>10</v>
      </c>
      <c r="B6">
        <f>STDEV(B2:B4)</f>
        <v>13293607486.307093</v>
      </c>
      <c r="C6">
        <f>STDEV(C2:C4)</f>
        <v>565685424.94923806</v>
      </c>
      <c r="D6">
        <f>STDEV(D2:D4)</f>
        <v>12979984591.670361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4384-C9F4-F645-B00E-52295B40F7C9}">
  <dimension ref="A1:F9"/>
  <sheetViews>
    <sheetView workbookViewId="0">
      <selection activeCell="F5" sqref="F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4600000000</v>
      </c>
      <c r="C2" s="1">
        <v>0</v>
      </c>
      <c r="D2" s="1">
        <f>B2-C2</f>
        <v>4600000000</v>
      </c>
      <c r="E2" s="7">
        <f>C2/B2</f>
        <v>0</v>
      </c>
      <c r="F2" s="7"/>
    </row>
    <row r="3" spans="1:6">
      <c r="A3">
        <v>2</v>
      </c>
      <c r="B3" s="1">
        <v>2400000000</v>
      </c>
      <c r="C3" s="1">
        <v>0</v>
      </c>
      <c r="D3" s="1">
        <f t="shared" ref="D3:D4" si="0">B3-C3</f>
        <v>2400000000</v>
      </c>
      <c r="E3" s="7">
        <f>C3/B3</f>
        <v>0</v>
      </c>
      <c r="F3" s="7"/>
    </row>
    <row r="4" spans="1:6">
      <c r="A4">
        <v>3</v>
      </c>
      <c r="B4" s="1">
        <v>3200000000</v>
      </c>
      <c r="C4" s="1">
        <v>0</v>
      </c>
      <c r="D4" s="1">
        <f t="shared" si="0"/>
        <v>3200000000</v>
      </c>
      <c r="E4" s="7">
        <f>C4/B4</f>
        <v>0</v>
      </c>
      <c r="F4" s="7"/>
    </row>
    <row r="5" spans="1:6">
      <c r="A5" t="s">
        <v>2</v>
      </c>
      <c r="B5" s="1">
        <f>AVERAGE(B2:B4)</f>
        <v>3400000000</v>
      </c>
      <c r="C5" s="1">
        <f>AVERAGE(C2:C4)</f>
        <v>0</v>
      </c>
      <c r="D5" s="1">
        <f>AVERAGE(D2:D4)</f>
        <v>3400000000</v>
      </c>
      <c r="E5" s="7">
        <f>AVERAGE(E2:E4)</f>
        <v>0</v>
      </c>
      <c r="F5" s="7">
        <f>_xlfn.STDEV.P(E2:E4)</f>
        <v>0</v>
      </c>
    </row>
    <row r="6" spans="1:6">
      <c r="A6" t="s">
        <v>10</v>
      </c>
      <c r="B6">
        <f>_xlfn.STDEV.P(B2:B4)</f>
        <v>909212113.13239038</v>
      </c>
      <c r="C6">
        <f>_xlfn.STDEV.P(C2:C4)</f>
        <v>0</v>
      </c>
      <c r="D6">
        <f>STDEV(D2:D4)</f>
        <v>1113552872.5660043</v>
      </c>
    </row>
    <row r="9" spans="1:6">
      <c r="B9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B6FA-4164-584F-BFB3-B32377350A86}">
  <dimension ref="A1:F6"/>
  <sheetViews>
    <sheetView workbookViewId="0">
      <selection activeCell="F5" sqref="F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13000000000</v>
      </c>
      <c r="C2" s="1">
        <v>0</v>
      </c>
      <c r="D2" s="1">
        <f>B2-C2</f>
        <v>13000000000</v>
      </c>
      <c r="E2" s="7">
        <f>C2/B2</f>
        <v>0</v>
      </c>
      <c r="F2" s="7"/>
    </row>
    <row r="3" spans="1:6">
      <c r="A3">
        <v>2</v>
      </c>
      <c r="B3" s="1">
        <v>7700000000</v>
      </c>
      <c r="C3" s="1">
        <v>0</v>
      </c>
      <c r="D3" s="1">
        <f t="shared" ref="D3:D4" si="0">B3-C3</f>
        <v>7700000000</v>
      </c>
      <c r="E3" s="7">
        <f t="shared" ref="E3:E4" si="1">C3/B3</f>
        <v>0</v>
      </c>
      <c r="F3" s="7"/>
    </row>
    <row r="4" spans="1:6">
      <c r="A4">
        <v>3</v>
      </c>
      <c r="B4" s="1">
        <v>4000000000</v>
      </c>
      <c r="C4" s="1">
        <v>0</v>
      </c>
      <c r="D4" s="1">
        <f t="shared" si="0"/>
        <v>4000000000</v>
      </c>
      <c r="E4" s="7">
        <f t="shared" si="1"/>
        <v>0</v>
      </c>
      <c r="F4" s="7"/>
    </row>
    <row r="5" spans="1:6">
      <c r="A5" t="s">
        <v>2</v>
      </c>
      <c r="B5" s="1">
        <f>AVERAGE(B2:B4)</f>
        <v>8233333333.333333</v>
      </c>
      <c r="C5" s="1">
        <f>AVERAGE(C2:C4)</f>
        <v>0</v>
      </c>
      <c r="D5" s="1">
        <f>AVERAGE(D2:D4)</f>
        <v>8233333333.333333</v>
      </c>
      <c r="E5" s="7">
        <f>AVERAGE(E2:E4)</f>
        <v>0</v>
      </c>
      <c r="F5" s="7">
        <f>_xlfn.STDEV.P(E2:E4)</f>
        <v>0</v>
      </c>
    </row>
    <row r="6" spans="1:6">
      <c r="A6" t="s">
        <v>10</v>
      </c>
      <c r="B6">
        <f>_xlfn.STDEV.P(B2:B4)</f>
        <v>3693537900.4718819</v>
      </c>
      <c r="C6">
        <f>_xlfn.STDEV.P(C2:C4)</f>
        <v>0</v>
      </c>
      <c r="D6">
        <f>STDEV(D2:D4)</f>
        <v>4523641600.8933935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755D-9AD8-E247-99A0-B364B26E765E}">
  <dimension ref="A1:F6"/>
  <sheetViews>
    <sheetView workbookViewId="0">
      <selection activeCell="F5" sqref="F5"/>
    </sheetView>
  </sheetViews>
  <sheetFormatPr defaultColWidth="11" defaultRowHeight="15.5"/>
  <cols>
    <col min="2" max="2" width="12.15234375" bestFit="1" customWidth="1"/>
  </cols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30800000000</v>
      </c>
      <c r="C2" s="1">
        <v>19200000000</v>
      </c>
      <c r="D2" s="1">
        <f>B2-C2</f>
        <v>11600000000</v>
      </c>
      <c r="E2" s="7">
        <f>C2/B2</f>
        <v>0.62337662337662336</v>
      </c>
      <c r="F2" s="7"/>
    </row>
    <row r="3" spans="1:6">
      <c r="A3">
        <v>2</v>
      </c>
      <c r="B3" s="1">
        <v>33000000000</v>
      </c>
      <c r="C3" s="1">
        <v>28000000000</v>
      </c>
      <c r="D3" s="1">
        <f t="shared" ref="D3:D4" si="0">B3-C3</f>
        <v>5000000000</v>
      </c>
      <c r="E3" s="7">
        <f>C3/B3</f>
        <v>0.84848484848484851</v>
      </c>
      <c r="F3" s="7"/>
    </row>
    <row r="4" spans="1:6">
      <c r="A4">
        <v>3</v>
      </c>
      <c r="B4" s="1">
        <v>29600000000</v>
      </c>
      <c r="C4" s="1">
        <v>15800000000</v>
      </c>
      <c r="D4" s="1">
        <f t="shared" si="0"/>
        <v>13800000000</v>
      </c>
      <c r="E4" s="7">
        <f>C4/B4</f>
        <v>0.53378378378378377</v>
      </c>
      <c r="F4" s="7"/>
    </row>
    <row r="5" spans="1:6">
      <c r="A5" t="s">
        <v>2</v>
      </c>
      <c r="B5" s="1">
        <f>AVERAGE(B2:B4)</f>
        <v>31133333333.333332</v>
      </c>
      <c r="C5" s="1">
        <f>AVERAGE(C2:C4)</f>
        <v>21000000000</v>
      </c>
      <c r="D5" s="1">
        <f>AVERAGE(D2:D4)</f>
        <v>10133333333.333334</v>
      </c>
      <c r="E5" s="7">
        <f>AVERAGE(E2:E4)</f>
        <v>0.66854841854841851</v>
      </c>
      <c r="F5" s="7">
        <f>_xlfn.STDEV.P(E2:E4)</f>
        <v>0.13238720567657572</v>
      </c>
    </row>
    <row r="6" spans="1:6">
      <c r="A6" t="s">
        <v>10</v>
      </c>
      <c r="B6">
        <f>STDEV(B2:B4)</f>
        <v>1724335620.8503416</v>
      </c>
      <c r="C6">
        <f>STDEV(C2:C4)</f>
        <v>6296030495.4788771</v>
      </c>
      <c r="D6">
        <f>STDEV(D2:D4)</f>
        <v>4579665198.8254929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0A7F-C0F7-644B-B7DF-734B017E43B9}">
  <dimension ref="A1:F6"/>
  <sheetViews>
    <sheetView workbookViewId="0">
      <selection activeCell="E2" sqref="E2:F5"/>
    </sheetView>
  </sheetViews>
  <sheetFormatPr defaultColWidth="11" defaultRowHeight="15.5"/>
  <cols>
    <col min="2" max="2" width="12.15234375" bestFit="1" customWidth="1"/>
  </cols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5900000000</v>
      </c>
      <c r="C2" s="1">
        <v>3400000000</v>
      </c>
      <c r="D2" s="1">
        <f>B2-C2</f>
        <v>2500000000</v>
      </c>
      <c r="E2" s="7">
        <f>C2/B2</f>
        <v>0.57627118644067798</v>
      </c>
      <c r="F2" s="7"/>
    </row>
    <row r="3" spans="1:6">
      <c r="A3">
        <v>2</v>
      </c>
      <c r="B3" s="1">
        <v>19000000000</v>
      </c>
      <c r="C3" s="1">
        <v>14500000000</v>
      </c>
      <c r="D3" s="1">
        <f t="shared" ref="D3:D4" si="0">B3-C3</f>
        <v>4500000000</v>
      </c>
      <c r="E3" s="7">
        <f>C3/B3</f>
        <v>0.76315789473684215</v>
      </c>
      <c r="F3" s="7"/>
    </row>
    <row r="4" spans="1:6">
      <c r="A4">
        <v>3</v>
      </c>
      <c r="B4" s="1"/>
      <c r="C4" s="1"/>
      <c r="D4" s="1">
        <f t="shared" si="0"/>
        <v>0</v>
      </c>
      <c r="E4" s="7" t="e">
        <f>C4/B4</f>
        <v>#DIV/0!</v>
      </c>
      <c r="F4" s="7"/>
    </row>
    <row r="5" spans="1:6">
      <c r="A5" t="s">
        <v>2</v>
      </c>
      <c r="B5" s="1">
        <f>AVERAGE(B2:B4)</f>
        <v>12450000000</v>
      </c>
      <c r="C5" s="1">
        <f>AVERAGE(C2:C4)</f>
        <v>8950000000</v>
      </c>
      <c r="D5" s="1">
        <f>AVERAGE(D2:D4)</f>
        <v>2333333333.3333335</v>
      </c>
      <c r="E5" s="7">
        <f>AVERAGE(E2:E3)</f>
        <v>0.66971454058876012</v>
      </c>
      <c r="F5" s="7">
        <f>_xlfn.STDEV.P(E2:E3)</f>
        <v>9.3443354148081539E-2</v>
      </c>
    </row>
    <row r="6" spans="1:6">
      <c r="A6" t="s">
        <v>10</v>
      </c>
      <c r="B6">
        <f>STDEV(B2:B4)</f>
        <v>9263098833.5437737</v>
      </c>
      <c r="C6">
        <f>STDEV(C2:C4)</f>
        <v>7848885271.1706772</v>
      </c>
      <c r="D6">
        <f>STDEV(D2:D4)</f>
        <v>2254624876.411447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6618-D71A-FD48-B848-62E79A5DB4A6}">
  <dimension ref="A1:F12"/>
  <sheetViews>
    <sheetView workbookViewId="0">
      <selection activeCell="G19" sqref="G19"/>
    </sheetView>
  </sheetViews>
  <sheetFormatPr defaultColWidth="11" defaultRowHeight="15.5"/>
  <cols>
    <col min="2" max="3" width="11.69140625" bestFit="1" customWidth="1"/>
    <col min="4" max="4" width="11" bestFit="1" customWidth="1"/>
  </cols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56000000000</v>
      </c>
      <c r="C2" s="1">
        <v>41000000000</v>
      </c>
      <c r="D2" s="1">
        <f>B2-C2</f>
        <v>15000000000</v>
      </c>
      <c r="E2" s="7">
        <f>C2/B2</f>
        <v>0.7321428571428571</v>
      </c>
      <c r="F2" s="7"/>
    </row>
    <row r="3" spans="1:6">
      <c r="A3">
        <v>2</v>
      </c>
      <c r="B3">
        <v>44000000000</v>
      </c>
      <c r="C3">
        <v>42000000000</v>
      </c>
      <c r="D3">
        <f t="shared" ref="D3" si="0">B3-C3</f>
        <v>2000000000</v>
      </c>
      <c r="E3" s="7">
        <f t="shared" ref="E3:E4" si="1">C3/B3</f>
        <v>0.95454545454545459</v>
      </c>
      <c r="F3" s="7"/>
    </row>
    <row r="4" spans="1:6">
      <c r="A4">
        <v>3</v>
      </c>
      <c r="B4" s="1">
        <v>73000000000</v>
      </c>
      <c r="C4" s="1">
        <v>61000000000</v>
      </c>
      <c r="D4" s="1">
        <f t="shared" ref="D4" si="2">B4-C4</f>
        <v>12000000000</v>
      </c>
      <c r="E4" s="7">
        <f t="shared" si="1"/>
        <v>0.83561643835616439</v>
      </c>
      <c r="F4" s="7"/>
    </row>
    <row r="5" spans="1:6">
      <c r="A5" t="s">
        <v>2</v>
      </c>
      <c r="B5" s="1">
        <f>AVERAGE(B2:B4)</f>
        <v>57666666666.666664</v>
      </c>
      <c r="C5" s="1">
        <f>AVERAGE(C2:C4)</f>
        <v>48000000000</v>
      </c>
      <c r="D5" s="1">
        <f>AVERAGE(D2:D4)</f>
        <v>9666666666.666666</v>
      </c>
      <c r="E5" s="7">
        <f>AVERAGE(E2:E4)</f>
        <v>0.84076825001482547</v>
      </c>
      <c r="F5" s="7">
        <f>_xlfn.STDEV.P(E2:E4)</f>
        <v>9.0868530325886751E-2</v>
      </c>
    </row>
    <row r="6" spans="1:6">
      <c r="A6" t="s">
        <v>10</v>
      </c>
      <c r="B6">
        <f>_xlfn.STDEV.P(B2:B4)</f>
        <v>11897712198.383152</v>
      </c>
      <c r="C6">
        <f>_xlfn.STDEV.P(C2:C4)</f>
        <v>9201449161.228159</v>
      </c>
      <c r="D6">
        <f>STDEV(D2:D4)</f>
        <v>6806859285.5540457</v>
      </c>
    </row>
    <row r="8" spans="1:6">
      <c r="B8" s="1"/>
    </row>
    <row r="9" spans="1:6">
      <c r="B9" s="6">
        <v>123000000000</v>
      </c>
      <c r="C9" s="6">
        <v>33000000000</v>
      </c>
      <c r="D9" s="6">
        <f t="shared" ref="D9" si="3">B9-C9</f>
        <v>90000000000</v>
      </c>
    </row>
    <row r="10" spans="1:6">
      <c r="B10" s="1"/>
    </row>
    <row r="11" spans="1:6">
      <c r="B11" s="6"/>
      <c r="C11" s="6"/>
      <c r="D11" s="6"/>
    </row>
    <row r="12" spans="1:6">
      <c r="C1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1B57-1B74-4D4A-A2D9-1EAB74475EC8}">
  <dimension ref="A1:G6"/>
  <sheetViews>
    <sheetView workbookViewId="0">
      <selection activeCell="E2" sqref="E2:F5"/>
    </sheetView>
  </sheetViews>
  <sheetFormatPr defaultColWidth="11" defaultRowHeight="15.5"/>
  <sheetData>
    <row r="1" spans="1:7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7">
      <c r="A2">
        <v>1</v>
      </c>
      <c r="B2" s="1">
        <v>48000000000</v>
      </c>
      <c r="C2" s="1">
        <v>29000000000</v>
      </c>
      <c r="D2" s="1">
        <f>B2-C2</f>
        <v>19000000000</v>
      </c>
      <c r="E2" s="7">
        <f>C2/B2</f>
        <v>0.60416666666666663</v>
      </c>
      <c r="F2" s="7"/>
    </row>
    <row r="3" spans="1:7">
      <c r="A3">
        <v>2</v>
      </c>
      <c r="B3" s="1">
        <v>26000000000</v>
      </c>
      <c r="C3" s="1">
        <v>23000000000</v>
      </c>
      <c r="D3" s="1">
        <f t="shared" ref="D3:D4" si="0">B3-C3</f>
        <v>3000000000</v>
      </c>
      <c r="E3" s="7">
        <f t="shared" ref="E3:E4" si="1">C3/B3</f>
        <v>0.88461538461538458</v>
      </c>
      <c r="F3" s="7"/>
      <c r="G3" t="s">
        <v>33</v>
      </c>
    </row>
    <row r="4" spans="1:7">
      <c r="A4">
        <v>3</v>
      </c>
      <c r="B4" s="1">
        <v>34200000000</v>
      </c>
      <c r="C4" s="1">
        <v>31600000000</v>
      </c>
      <c r="D4" s="1">
        <f t="shared" si="0"/>
        <v>2600000000</v>
      </c>
      <c r="E4" s="7">
        <f t="shared" si="1"/>
        <v>0.92397660818713445</v>
      </c>
      <c r="F4" s="7"/>
    </row>
    <row r="5" spans="1:7">
      <c r="A5" t="s">
        <v>2</v>
      </c>
      <c r="B5" s="1">
        <f>AVERAGE(B2:B4)</f>
        <v>36066666666.666664</v>
      </c>
      <c r="C5" s="1">
        <f>AVERAGE(C2:C4)</f>
        <v>27866666666.666668</v>
      </c>
      <c r="D5" s="1">
        <f>AVERAGE(D2:D4)</f>
        <v>8200000000</v>
      </c>
      <c r="E5" s="7">
        <f>AVERAGE(E2:E4)</f>
        <v>0.80425288648972859</v>
      </c>
      <c r="F5" s="7">
        <f>_xlfn.STDEV.P(E2:E4)</f>
        <v>0.14239194266197891</v>
      </c>
    </row>
    <row r="6" spans="1:7">
      <c r="A6" t="s">
        <v>10</v>
      </c>
      <c r="B6">
        <f>_xlfn.STDEV.P(B2:B4)</f>
        <v>9077934175.1793251</v>
      </c>
      <c r="C6">
        <f>_xlfn.STDEV.P(C2:C4)</f>
        <v>3601234356.2851934</v>
      </c>
      <c r="D6">
        <f>STDEV(D2:D4)</f>
        <v>9355212450.8211994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4D4F-8510-CB45-B917-9C54AEA6AFE8}">
  <dimension ref="A1:F7"/>
  <sheetViews>
    <sheetView workbookViewId="0">
      <selection activeCell="C5" sqref="C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26800000000</v>
      </c>
      <c r="C2" s="1">
        <v>6600000000</v>
      </c>
      <c r="D2" s="1">
        <f>B2-C2</f>
        <v>20200000000</v>
      </c>
      <c r="E2" s="7">
        <f>C2/B2</f>
        <v>0.2462686567164179</v>
      </c>
      <c r="F2" s="7"/>
    </row>
    <row r="3" spans="1:6">
      <c r="A3">
        <v>2</v>
      </c>
      <c r="B3" s="1">
        <v>33200000000</v>
      </c>
      <c r="C3" s="1">
        <v>14300000000</v>
      </c>
      <c r="D3" s="1">
        <f t="shared" ref="D3:D4" si="0">B3-C3</f>
        <v>18900000000</v>
      </c>
      <c r="E3" s="7">
        <f>C3/B3</f>
        <v>0.43072289156626509</v>
      </c>
      <c r="F3" s="7"/>
    </row>
    <row r="4" spans="1:6">
      <c r="A4">
        <v>3</v>
      </c>
      <c r="B4" s="1">
        <v>36700000000</v>
      </c>
      <c r="C4" s="1">
        <v>12400000000</v>
      </c>
      <c r="D4" s="1">
        <f t="shared" si="0"/>
        <v>24300000000</v>
      </c>
      <c r="E4" s="7">
        <f>C4/B4</f>
        <v>0.33787465940054495</v>
      </c>
      <c r="F4" s="7"/>
    </row>
    <row r="5" spans="1:6">
      <c r="A5" t="s">
        <v>2</v>
      </c>
      <c r="B5" s="1">
        <f>AVERAGE(B2:B4)</f>
        <v>32233333333.333332</v>
      </c>
      <c r="C5" s="1">
        <f>AVERAGE(C2:C4)</f>
        <v>11100000000</v>
      </c>
      <c r="D5" s="1">
        <f>AVERAGE(D2:D4)</f>
        <v>21133333333.333332</v>
      </c>
      <c r="E5" s="7">
        <f>AVERAGE(E2:E3)</f>
        <v>0.33849577414134147</v>
      </c>
      <c r="F5" s="7">
        <f>_xlfn.STDEV.P(E2:E3)</f>
        <v>9.2227117424923705E-2</v>
      </c>
    </row>
    <row r="6" spans="1:6">
      <c r="A6" t="s">
        <v>10</v>
      </c>
      <c r="B6">
        <f>STDEV(B2:B4)</f>
        <v>5020292156.1731157</v>
      </c>
      <c r="C6">
        <f>STDEV(C2:C4)</f>
        <v>4011234224.0263157</v>
      </c>
      <c r="D6">
        <f>STDEV(D2:D4)</f>
        <v>2818391976.5237255</v>
      </c>
    </row>
    <row r="7" spans="1:6">
      <c r="B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1A89-787C-6845-AE7E-D5CB9A156CF5}">
  <dimension ref="A1:F6"/>
  <sheetViews>
    <sheetView workbookViewId="0">
      <selection activeCell="C5" sqref="C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39600000000</v>
      </c>
      <c r="C2" s="1">
        <v>20500000000</v>
      </c>
      <c r="D2" s="1">
        <f>B2-C2</f>
        <v>19100000000</v>
      </c>
      <c r="E2" s="7">
        <f>C2/B2</f>
        <v>0.51767676767676762</v>
      </c>
      <c r="F2" s="7"/>
    </row>
    <row r="3" spans="1:6">
      <c r="A3">
        <v>2</v>
      </c>
      <c r="B3" s="1">
        <v>30000000000</v>
      </c>
      <c r="C3" s="1">
        <v>21900000000</v>
      </c>
      <c r="D3" s="1">
        <f t="shared" ref="D3:D4" si="0">B3-C3</f>
        <v>8100000000</v>
      </c>
      <c r="E3" s="7">
        <f t="shared" ref="E3:E4" si="1">C3/B3</f>
        <v>0.73</v>
      </c>
      <c r="F3" s="7"/>
    </row>
    <row r="4" spans="1:6">
      <c r="A4">
        <v>3</v>
      </c>
      <c r="B4" s="1">
        <v>26900000000</v>
      </c>
      <c r="C4" s="1">
        <v>21600000000</v>
      </c>
      <c r="D4" s="1">
        <f t="shared" si="0"/>
        <v>5300000000</v>
      </c>
      <c r="E4" s="7">
        <f t="shared" si="1"/>
        <v>0.80297397769516732</v>
      </c>
      <c r="F4" s="7"/>
    </row>
    <row r="5" spans="1:6">
      <c r="A5" t="s">
        <v>2</v>
      </c>
      <c r="B5" s="1">
        <f>AVERAGE(B2:B4)</f>
        <v>32166666666.666668</v>
      </c>
      <c r="C5" s="1">
        <f>AVERAGE(C2:C4)</f>
        <v>21333333333.333332</v>
      </c>
      <c r="D5" s="1">
        <f>AVERAGE(D2:D4)</f>
        <v>10833333333.333334</v>
      </c>
      <c r="E5" s="7">
        <f>AVERAGE(E2:E4)</f>
        <v>0.6835502484573116</v>
      </c>
      <c r="F5" s="7">
        <f>_xlfn.STDEV.P(E2:E4)</f>
        <v>0.1210146246667559</v>
      </c>
    </row>
    <row r="6" spans="1:6">
      <c r="A6" t="s">
        <v>10</v>
      </c>
      <c r="B6">
        <f>_xlfn.STDEV.P(B2:B4)</f>
        <v>5406374837.9934654</v>
      </c>
      <c r="C6">
        <f>_xlfn.STDEV.P(C2:C4)</f>
        <v>601849002.84225965</v>
      </c>
      <c r="D6">
        <f>STDEV(D2:D4)</f>
        <v>7294746968.4241514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CD2F-F77F-E940-BC0C-F551CFBA73C7}">
  <dimension ref="A1:F7"/>
  <sheetViews>
    <sheetView workbookViewId="0">
      <selection activeCell="E2" sqref="E2:F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24100000000</v>
      </c>
      <c r="C2" s="1">
        <v>13500000000</v>
      </c>
      <c r="D2" s="1">
        <f>B2-C2</f>
        <v>10600000000</v>
      </c>
      <c r="E2" s="7">
        <f>C2/B2</f>
        <v>0.56016597510373445</v>
      </c>
      <c r="F2" s="7"/>
    </row>
    <row r="3" spans="1:6">
      <c r="A3">
        <v>2</v>
      </c>
      <c r="B3" s="1">
        <v>41000000000</v>
      </c>
      <c r="C3" s="1">
        <v>26000000000</v>
      </c>
      <c r="D3" s="1">
        <f t="shared" ref="D3:D4" si="0">B3-C3</f>
        <v>15000000000</v>
      </c>
      <c r="E3" s="7">
        <f>C3/B3</f>
        <v>0.63414634146341464</v>
      </c>
      <c r="F3" s="7"/>
    </row>
    <row r="4" spans="1:6">
      <c r="A4">
        <v>3</v>
      </c>
      <c r="B4" s="1"/>
      <c r="C4" s="1"/>
      <c r="D4" s="1">
        <f t="shared" si="0"/>
        <v>0</v>
      </c>
      <c r="E4" s="7" t="e">
        <f>C4/B4</f>
        <v>#DIV/0!</v>
      </c>
      <c r="F4" s="7"/>
    </row>
    <row r="5" spans="1:6">
      <c r="A5" t="s">
        <v>2</v>
      </c>
      <c r="B5" s="1">
        <f>AVERAGE(B2:B4)</f>
        <v>32550000000</v>
      </c>
      <c r="C5" s="1">
        <f>AVERAGE(C2:C4)</f>
        <v>19750000000</v>
      </c>
      <c r="D5" s="1">
        <f>AVERAGE(D2:D4)</f>
        <v>8533333333.333333</v>
      </c>
      <c r="E5" s="7">
        <f>AVERAGE(E2:E3)</f>
        <v>0.59715615828357449</v>
      </c>
      <c r="F5" s="7">
        <f>_xlfn.STDEV.P(E2:E3)</f>
        <v>3.6990183179840097E-2</v>
      </c>
    </row>
    <row r="6" spans="1:6">
      <c r="A6" t="s">
        <v>10</v>
      </c>
      <c r="B6">
        <f>STDEV(B2:B4)</f>
        <v>11950104602.052652</v>
      </c>
      <c r="C6">
        <f>STDEV(C2:C4)</f>
        <v>8838834764.8318424</v>
      </c>
      <c r="D6">
        <f>STDEV(D2:D4)</f>
        <v>7710598766.2005424</v>
      </c>
    </row>
    <row r="7" spans="1:6">
      <c r="B7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6CA6-23A8-0D46-9665-FFCBAE14FFED}">
  <dimension ref="A1:F7"/>
  <sheetViews>
    <sheetView workbookViewId="0">
      <selection activeCell="E2" sqref="E2:F5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18000000000</v>
      </c>
      <c r="C2" s="1">
        <v>3000000000</v>
      </c>
      <c r="D2" s="1">
        <f>B2-C2</f>
        <v>15000000000</v>
      </c>
      <c r="E2" s="7">
        <f>C2/B2</f>
        <v>0.16666666666666666</v>
      </c>
      <c r="F2" s="7"/>
    </row>
    <row r="3" spans="1:6">
      <c r="A3">
        <v>2</v>
      </c>
      <c r="B3" s="6">
        <v>24300000000</v>
      </c>
      <c r="C3" s="6">
        <v>14800000000</v>
      </c>
      <c r="D3" s="6">
        <f t="shared" ref="D3:D4" si="0">B3-C3</f>
        <v>9500000000</v>
      </c>
      <c r="E3" s="7">
        <f>C3/B3</f>
        <v>0.60905349794238683</v>
      </c>
      <c r="F3" s="7"/>
    </row>
    <row r="4" spans="1:6">
      <c r="A4">
        <v>3</v>
      </c>
      <c r="B4" s="1"/>
      <c r="C4" s="1"/>
      <c r="D4" s="1">
        <f t="shared" si="0"/>
        <v>0</v>
      </c>
      <c r="E4" s="7" t="e">
        <f>C4/B4</f>
        <v>#DIV/0!</v>
      </c>
      <c r="F4" s="7"/>
    </row>
    <row r="5" spans="1:6">
      <c r="A5" t="s">
        <v>2</v>
      </c>
      <c r="B5" s="1">
        <f>AVERAGE(B2:B4)</f>
        <v>21150000000</v>
      </c>
      <c r="C5" s="1">
        <f>AVERAGE(C2:C4)</f>
        <v>8900000000</v>
      </c>
      <c r="D5" s="1">
        <f>AVERAGE(D2:D4)</f>
        <v>8166666666.666667</v>
      </c>
      <c r="E5" s="7">
        <f>AVERAGE(E2:E3)</f>
        <v>0.38786008230452673</v>
      </c>
      <c r="F5" s="7">
        <f>_xlfn.STDEV.P(E2:E3)</f>
        <v>0.2211934156378601</v>
      </c>
    </row>
    <row r="6" spans="1:6">
      <c r="A6" t="s">
        <v>10</v>
      </c>
      <c r="B6">
        <f>STDEV(B2:B4)</f>
        <v>4454772721.4752455</v>
      </c>
      <c r="C6">
        <f>STDEV(C2:C4)</f>
        <v>8343860018.0012608</v>
      </c>
      <c r="D6">
        <f>STDEV(D2:D4)</f>
        <v>7588368291.8881407</v>
      </c>
    </row>
    <row r="7" spans="1:6">
      <c r="B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4411-7116-9242-B057-0B29D4F33E16}">
  <dimension ref="A1:F6"/>
  <sheetViews>
    <sheetView workbookViewId="0">
      <selection activeCell="E2" sqref="E2:F6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42000000000</v>
      </c>
      <c r="C2" s="1">
        <v>40000000000</v>
      </c>
      <c r="D2" s="1">
        <f>B2-C2</f>
        <v>2000000000</v>
      </c>
      <c r="E2" s="7">
        <f>C2/B2</f>
        <v>0.95238095238095233</v>
      </c>
      <c r="F2" s="7"/>
    </row>
    <row r="3" spans="1:6">
      <c r="A3">
        <v>2</v>
      </c>
      <c r="B3" s="1">
        <v>45000000000</v>
      </c>
      <c r="C3" s="1">
        <v>36000000000</v>
      </c>
      <c r="D3" s="1">
        <f t="shared" ref="D3:D4" si="0">B3-C3</f>
        <v>9000000000</v>
      </c>
      <c r="E3" s="7">
        <f t="shared" ref="E3:E4" si="1">C3/B3</f>
        <v>0.8</v>
      </c>
      <c r="F3" s="7"/>
    </row>
    <row r="4" spans="1:6">
      <c r="A4">
        <v>3</v>
      </c>
      <c r="B4" s="1">
        <v>60000000000</v>
      </c>
      <c r="C4" s="1">
        <v>47000000000</v>
      </c>
      <c r="D4" s="1">
        <f t="shared" si="0"/>
        <v>13000000000</v>
      </c>
      <c r="E4" s="7">
        <f t="shared" si="1"/>
        <v>0.78333333333333333</v>
      </c>
      <c r="F4" s="7"/>
    </row>
    <row r="5" spans="1:6">
      <c r="A5" t="s">
        <v>2</v>
      </c>
      <c r="B5" s="1">
        <f>AVERAGE(B2:B4)</f>
        <v>49000000000</v>
      </c>
      <c r="C5" s="1">
        <f>AVERAGE(C2:C4)</f>
        <v>41000000000</v>
      </c>
      <c r="D5" s="1">
        <f>AVERAGE(D2:D4)</f>
        <v>8000000000</v>
      </c>
      <c r="E5" s="7">
        <f>AVERAGE(E2:E4)</f>
        <v>0.84523809523809523</v>
      </c>
      <c r="F5" s="7">
        <f>_xlfn.STDEV.P(E2:E4)</f>
        <v>7.6066367171461771E-2</v>
      </c>
    </row>
    <row r="6" spans="1:6">
      <c r="A6" t="s">
        <v>10</v>
      </c>
      <c r="B6">
        <f>_xlfn.STDEV.P(B2:B4)</f>
        <v>7874007874.0118151</v>
      </c>
      <c r="C6">
        <f>_xlfn.STDEV.P(C2:C4)</f>
        <v>4546060565.6619453</v>
      </c>
      <c r="D6">
        <f>STDEV(D2:D4)</f>
        <v>5567764362.8300219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01C0-71BC-6141-88E2-A647B6AF3446}">
  <dimension ref="A1:F6"/>
  <sheetViews>
    <sheetView workbookViewId="0">
      <selection activeCell="N14" sqref="N14"/>
    </sheetView>
  </sheetViews>
  <sheetFormatPr defaultColWidth="11" defaultRowHeight="15.5"/>
  <sheetData>
    <row r="1" spans="1:6">
      <c r="A1" t="s">
        <v>5</v>
      </c>
      <c r="B1" t="s">
        <v>0</v>
      </c>
      <c r="C1" t="s">
        <v>1</v>
      </c>
      <c r="D1" t="s">
        <v>9</v>
      </c>
      <c r="E1" s="2" t="s">
        <v>3</v>
      </c>
      <c r="F1" s="2" t="s">
        <v>4</v>
      </c>
    </row>
    <row r="2" spans="1:6">
      <c r="A2">
        <v>1</v>
      </c>
      <c r="B2" s="1">
        <v>46600000000</v>
      </c>
      <c r="C2" s="1">
        <v>39600000000</v>
      </c>
      <c r="D2" s="1">
        <f>B2-C2</f>
        <v>7000000000</v>
      </c>
      <c r="E2" s="7">
        <f>C2/B2</f>
        <v>0.84978540772532185</v>
      </c>
      <c r="F2" s="7"/>
    </row>
    <row r="3" spans="1:6">
      <c r="A3">
        <v>2</v>
      </c>
      <c r="B3" s="1">
        <v>52000000000</v>
      </c>
      <c r="C3" s="1">
        <v>44000000000</v>
      </c>
      <c r="D3" s="1">
        <f t="shared" ref="D3:D4" si="0">B3-C3</f>
        <v>8000000000</v>
      </c>
      <c r="E3" s="7">
        <f t="shared" ref="E3:E4" si="1">C3/B3</f>
        <v>0.84615384615384615</v>
      </c>
      <c r="F3" s="7"/>
    </row>
    <row r="4" spans="1:6">
      <c r="A4">
        <v>3</v>
      </c>
      <c r="B4" s="1">
        <v>44500000000</v>
      </c>
      <c r="C4" s="1">
        <v>41100000000</v>
      </c>
      <c r="D4" s="1">
        <f t="shared" si="0"/>
        <v>3400000000</v>
      </c>
      <c r="E4" s="7">
        <f t="shared" si="1"/>
        <v>0.92359550561797754</v>
      </c>
      <c r="F4" s="7"/>
    </row>
    <row r="5" spans="1:6">
      <c r="A5" t="s">
        <v>2</v>
      </c>
      <c r="B5" s="1">
        <f>AVERAGE(B2:B4)</f>
        <v>47700000000</v>
      </c>
      <c r="C5" s="1">
        <f>AVERAGE(C2:C4)</f>
        <v>41566666666.666664</v>
      </c>
      <c r="D5" s="1">
        <f>AVERAGE(D2:D4)</f>
        <v>6133333333.333333</v>
      </c>
      <c r="E5" s="7">
        <f>AVERAGE(E2:E4)</f>
        <v>0.87317825316571518</v>
      </c>
      <c r="F5" s="7">
        <f>_xlfn.STDEV.P(E2:E4)</f>
        <v>3.5681195500227858E-2</v>
      </c>
    </row>
    <row r="6" spans="1:6">
      <c r="A6" t="s">
        <v>10</v>
      </c>
      <c r="B6">
        <f>_xlfn.STDEV.P(B2:B4)</f>
        <v>3159113799.786263</v>
      </c>
      <c r="C6">
        <f>_xlfn.STDEV.P(C2:C4)</f>
        <v>1826350337.5736966</v>
      </c>
      <c r="D6">
        <f>STDEV(D2:D4)</f>
        <v>2419366308.2165413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Comparison</vt:lpstr>
      <vt:lpstr>JMJ1233 P- 24 hpi</vt:lpstr>
      <vt:lpstr>JMJ1233 Vancomycin 24 hpi</vt:lpstr>
      <vt:lpstr>JMJ1233 P+ 24 hpi</vt:lpstr>
      <vt:lpstr>JMJ1233 P- 72 hpi</vt:lpstr>
      <vt:lpstr>JMJ1233 P+ 72 hpi</vt:lpstr>
      <vt:lpstr>JMJ1234 P- 24 hpi</vt:lpstr>
      <vt:lpstr>JMJ1234 Vancomycin 24 hpi</vt:lpstr>
      <vt:lpstr>JMJ1234 P+ 24 hpi</vt:lpstr>
      <vt:lpstr>JMJ1234 P- 72 hpi</vt:lpstr>
      <vt:lpstr>JMJ1234 P+ 72 hpi</vt:lpstr>
      <vt:lpstr>JMJ1250 P- 24 hpi</vt:lpstr>
      <vt:lpstr>JMJ1250 P+ 24 hpi</vt:lpstr>
      <vt:lpstr>JMJ1250 P- 72 hpi</vt:lpstr>
      <vt:lpstr>JMJ1250 P+ 72 hpi</vt:lpstr>
      <vt:lpstr>JMJ1480 P- 24 hpi</vt:lpstr>
      <vt:lpstr>JMJ1480 P- 72 hpi</vt:lpstr>
      <vt:lpstr>NAD003 P- 24 hpi</vt:lpstr>
      <vt:lpstr>NAD003 P+ 24 hpi</vt:lpstr>
      <vt:lpstr>NAD003 P- 72 hpi</vt:lpstr>
      <vt:lpstr>NAD003 P+ 72 hpi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Ducharme, Nicolas Andrew</dc:creator>
  <cp:lastModifiedBy>LarkinLab</cp:lastModifiedBy>
  <dcterms:created xsi:type="dcterms:W3CDTF">2025-05-01T15:28:27Z</dcterms:created>
  <dcterms:modified xsi:type="dcterms:W3CDTF">2026-03-06T20:50:55Z</dcterms:modified>
</cp:coreProperties>
</file>
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ick Lab/Analysis/Rheometry/Strain/"/>
    </mc:Choice>
  </mc:AlternateContent>
  <xr:revisionPtr revIDLastSave="0" documentId="13_ncr:1_{3A16122B-CB22-4445-8E15-FF0FF2D86875}" xr6:coauthVersionLast="47" xr6:coauthVersionMax="47" xr10:uidLastSave="{00000000-0000-0000-0000-000000000000}"/>
  <bookViews>
    <workbookView xWindow="8000" yWindow="720" windowWidth="29640" windowHeight="20880" activeTab="7" xr2:uid="{A451BA55-0F1F-49CA-8518-6E6330615CF0}"/>
  </bookViews>
  <sheets>
    <sheet name="WT_24" sheetId="1" r:id="rId1"/>
    <sheet name="WT_72" sheetId="21" r:id="rId2"/>
    <sheet name="Spore-_24" sheetId="3" r:id="rId3"/>
    <sheet name="Spore-_72" sheetId="22" r:id="rId4"/>
    <sheet name="PGA-_24" sheetId="5" r:id="rId5"/>
    <sheet name="PGA-_72" sheetId="23" r:id="rId6"/>
    <sheet name="EPS-_24" sheetId="7" r:id="rId7"/>
    <sheet name="EPS-_72" sheetId="2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24" l="1"/>
  <c r="P3" i="24"/>
  <c r="Q3" i="24"/>
  <c r="S3" i="24"/>
  <c r="T3" i="24"/>
  <c r="U3" i="24"/>
  <c r="O4" i="24"/>
  <c r="P4" i="24"/>
  <c r="Q4" i="24"/>
  <c r="S4" i="24"/>
  <c r="T4" i="24"/>
  <c r="U4" i="24"/>
  <c r="O5" i="24"/>
  <c r="P5" i="24"/>
  <c r="Q5" i="24"/>
  <c r="S5" i="24"/>
  <c r="T5" i="24"/>
  <c r="U5" i="24"/>
  <c r="O6" i="24"/>
  <c r="P6" i="24"/>
  <c r="Q6" i="24"/>
  <c r="S6" i="24"/>
  <c r="T6" i="24"/>
  <c r="U6" i="24"/>
  <c r="O7" i="24"/>
  <c r="P7" i="24"/>
  <c r="Q7" i="24"/>
  <c r="S7" i="24"/>
  <c r="T7" i="24"/>
  <c r="U7" i="24"/>
  <c r="O8" i="24"/>
  <c r="P8" i="24"/>
  <c r="Q8" i="24"/>
  <c r="S8" i="24"/>
  <c r="T8" i="24"/>
  <c r="U8" i="24"/>
  <c r="O9" i="24"/>
  <c r="P9" i="24"/>
  <c r="Q9" i="24"/>
  <c r="S9" i="24"/>
  <c r="T9" i="24"/>
  <c r="U9" i="24"/>
  <c r="O10" i="24"/>
  <c r="P10" i="24"/>
  <c r="Q10" i="24"/>
  <c r="S10" i="24"/>
  <c r="T10" i="24"/>
  <c r="U10" i="24"/>
  <c r="O11" i="24"/>
  <c r="P11" i="24"/>
  <c r="Q11" i="24"/>
  <c r="S11" i="24"/>
  <c r="T11" i="24"/>
  <c r="U11" i="24"/>
  <c r="O12" i="24"/>
  <c r="P12" i="24"/>
  <c r="Q12" i="24"/>
  <c r="S12" i="24"/>
  <c r="T12" i="24"/>
  <c r="U12" i="24"/>
  <c r="O13" i="24"/>
  <c r="P13" i="24"/>
  <c r="Q13" i="24"/>
  <c r="S13" i="24"/>
  <c r="T13" i="24"/>
  <c r="U13" i="24"/>
  <c r="O14" i="24"/>
  <c r="P14" i="24"/>
  <c r="Q14" i="24"/>
  <c r="S14" i="24"/>
  <c r="T14" i="24"/>
  <c r="U14" i="24"/>
  <c r="O15" i="24"/>
  <c r="P15" i="24"/>
  <c r="Q15" i="24"/>
  <c r="S15" i="24"/>
  <c r="T15" i="24"/>
  <c r="U15" i="24"/>
  <c r="O16" i="24"/>
  <c r="P16" i="24"/>
  <c r="Q16" i="24"/>
  <c r="S16" i="24"/>
  <c r="T16" i="24"/>
  <c r="U16" i="24"/>
  <c r="O17" i="24"/>
  <c r="P17" i="24"/>
  <c r="Q17" i="24"/>
  <c r="S17" i="24"/>
  <c r="T17" i="24"/>
  <c r="U17" i="24"/>
  <c r="O18" i="24"/>
  <c r="P18" i="24"/>
  <c r="Q18" i="24"/>
  <c r="S18" i="24"/>
  <c r="T18" i="24"/>
  <c r="U18" i="24"/>
  <c r="O19" i="24"/>
  <c r="P19" i="24"/>
  <c r="Q19" i="24"/>
  <c r="S19" i="24"/>
  <c r="T19" i="24"/>
  <c r="U19" i="24"/>
  <c r="O20" i="24"/>
  <c r="P20" i="24"/>
  <c r="Q20" i="24"/>
  <c r="S20" i="24"/>
  <c r="T20" i="24"/>
  <c r="U20" i="24"/>
  <c r="O21" i="24"/>
  <c r="P21" i="24"/>
  <c r="Q21" i="24"/>
  <c r="S21" i="24"/>
  <c r="T21" i="24"/>
  <c r="U21" i="24"/>
  <c r="O22" i="24"/>
  <c r="P22" i="24"/>
  <c r="Q22" i="24"/>
  <c r="S22" i="24"/>
  <c r="T22" i="24"/>
  <c r="U22" i="24"/>
  <c r="O23" i="24"/>
  <c r="P23" i="24"/>
  <c r="Q23" i="24"/>
  <c r="S23" i="24"/>
  <c r="T23" i="24"/>
  <c r="U23" i="24"/>
  <c r="O24" i="24"/>
  <c r="P24" i="24"/>
  <c r="Q24" i="24"/>
  <c r="S24" i="24"/>
  <c r="T24" i="24"/>
  <c r="U24" i="24"/>
  <c r="O25" i="24"/>
  <c r="P25" i="24"/>
  <c r="Q25" i="24"/>
  <c r="S25" i="24"/>
  <c r="T25" i="24"/>
  <c r="U25" i="24"/>
  <c r="O3" i="23"/>
  <c r="P3" i="23"/>
  <c r="Q3" i="23"/>
  <c r="S3" i="23"/>
  <c r="T3" i="23"/>
  <c r="U3" i="23"/>
  <c r="O4" i="23"/>
  <c r="P4" i="23"/>
  <c r="Q4" i="23"/>
  <c r="S4" i="23"/>
  <c r="T4" i="23"/>
  <c r="U4" i="23"/>
  <c r="O5" i="23"/>
  <c r="P5" i="23"/>
  <c r="Q5" i="23"/>
  <c r="S5" i="23"/>
  <c r="T5" i="23"/>
  <c r="U5" i="23"/>
  <c r="O6" i="23"/>
  <c r="P6" i="23"/>
  <c r="Q6" i="23"/>
  <c r="S6" i="23"/>
  <c r="T6" i="23"/>
  <c r="U6" i="23"/>
  <c r="O7" i="23"/>
  <c r="P7" i="23"/>
  <c r="Q7" i="23"/>
  <c r="S7" i="23"/>
  <c r="T7" i="23"/>
  <c r="U7" i="23"/>
  <c r="O8" i="23"/>
  <c r="P8" i="23"/>
  <c r="Q8" i="23"/>
  <c r="S8" i="23"/>
  <c r="T8" i="23"/>
  <c r="U8" i="23"/>
  <c r="O9" i="23"/>
  <c r="P9" i="23"/>
  <c r="Q9" i="23"/>
  <c r="S9" i="23"/>
  <c r="T9" i="23"/>
  <c r="U9" i="23"/>
  <c r="O10" i="23"/>
  <c r="P10" i="23"/>
  <c r="Q10" i="23"/>
  <c r="S10" i="23"/>
  <c r="T10" i="23"/>
  <c r="U10" i="23"/>
  <c r="O11" i="23"/>
  <c r="P11" i="23"/>
  <c r="Q11" i="23"/>
  <c r="S11" i="23"/>
  <c r="T11" i="23"/>
  <c r="U11" i="23"/>
  <c r="O12" i="23"/>
  <c r="P12" i="23"/>
  <c r="Q12" i="23"/>
  <c r="S12" i="23"/>
  <c r="T12" i="23"/>
  <c r="U12" i="23"/>
  <c r="O13" i="23"/>
  <c r="P13" i="23"/>
  <c r="Q13" i="23"/>
  <c r="S13" i="23"/>
  <c r="T13" i="23"/>
  <c r="U13" i="23"/>
  <c r="O14" i="23"/>
  <c r="P14" i="23"/>
  <c r="Q14" i="23"/>
  <c r="S14" i="23"/>
  <c r="T14" i="23"/>
  <c r="U14" i="23"/>
  <c r="O15" i="23"/>
  <c r="P15" i="23"/>
  <c r="Q15" i="23"/>
  <c r="S15" i="23"/>
  <c r="T15" i="23"/>
  <c r="U15" i="23"/>
  <c r="O16" i="23"/>
  <c r="P16" i="23"/>
  <c r="Q16" i="23"/>
  <c r="S16" i="23"/>
  <c r="T16" i="23"/>
  <c r="U16" i="23"/>
  <c r="O17" i="23"/>
  <c r="P17" i="23"/>
  <c r="Q17" i="23"/>
  <c r="S17" i="23"/>
  <c r="T17" i="23"/>
  <c r="U17" i="23"/>
  <c r="O18" i="23"/>
  <c r="P18" i="23"/>
  <c r="Q18" i="23"/>
  <c r="S18" i="23"/>
  <c r="T18" i="23"/>
  <c r="U18" i="23"/>
  <c r="O19" i="23"/>
  <c r="P19" i="23"/>
  <c r="Q19" i="23"/>
  <c r="S19" i="23"/>
  <c r="T19" i="23"/>
  <c r="U19" i="23"/>
  <c r="O20" i="23"/>
  <c r="P20" i="23"/>
  <c r="Q20" i="23"/>
  <c r="S20" i="23"/>
  <c r="T20" i="23"/>
  <c r="U20" i="23"/>
  <c r="O21" i="23"/>
  <c r="P21" i="23"/>
  <c r="Q21" i="23"/>
  <c r="S21" i="23"/>
  <c r="T21" i="23"/>
  <c r="U21" i="23"/>
  <c r="O22" i="23"/>
  <c r="P22" i="23"/>
  <c r="Q22" i="23"/>
  <c r="S22" i="23"/>
  <c r="T22" i="23"/>
  <c r="U22" i="23"/>
  <c r="O23" i="23"/>
  <c r="P23" i="23"/>
  <c r="Q23" i="23"/>
  <c r="S23" i="23"/>
  <c r="T23" i="23"/>
  <c r="U23" i="23"/>
  <c r="O24" i="23"/>
  <c r="P24" i="23"/>
  <c r="Q24" i="23"/>
  <c r="S24" i="23"/>
  <c r="T24" i="23"/>
  <c r="U24" i="23"/>
  <c r="O25" i="23"/>
  <c r="P25" i="23"/>
  <c r="Q25" i="23"/>
  <c r="S25" i="23"/>
  <c r="T25" i="23"/>
  <c r="U25" i="23"/>
  <c r="O3" i="22"/>
  <c r="P3" i="22"/>
  <c r="Q3" i="22"/>
  <c r="S3" i="22"/>
  <c r="T3" i="22"/>
  <c r="U3" i="22"/>
  <c r="O4" i="22"/>
  <c r="P4" i="22"/>
  <c r="Q4" i="22"/>
  <c r="S4" i="22"/>
  <c r="T4" i="22"/>
  <c r="U4" i="22"/>
  <c r="O5" i="22"/>
  <c r="P5" i="22"/>
  <c r="Q5" i="22"/>
  <c r="S5" i="22"/>
  <c r="T5" i="22"/>
  <c r="U5" i="22"/>
  <c r="O6" i="22"/>
  <c r="P6" i="22"/>
  <c r="Q6" i="22"/>
  <c r="S6" i="22"/>
  <c r="T6" i="22"/>
  <c r="U6" i="22"/>
  <c r="O7" i="22"/>
  <c r="P7" i="22"/>
  <c r="Q7" i="22"/>
  <c r="S7" i="22"/>
  <c r="T7" i="22"/>
  <c r="U7" i="22"/>
  <c r="O8" i="22"/>
  <c r="P8" i="22"/>
  <c r="Q8" i="22"/>
  <c r="S8" i="22"/>
  <c r="T8" i="22"/>
  <c r="U8" i="22"/>
  <c r="O9" i="22"/>
  <c r="P9" i="22"/>
  <c r="Q9" i="22"/>
  <c r="S9" i="22"/>
  <c r="T9" i="22"/>
  <c r="U9" i="22"/>
  <c r="O10" i="22"/>
  <c r="P10" i="22"/>
  <c r="Q10" i="22"/>
  <c r="S10" i="22"/>
  <c r="T10" i="22"/>
  <c r="U10" i="22"/>
  <c r="O11" i="22"/>
  <c r="P11" i="22"/>
  <c r="Q11" i="22"/>
  <c r="S11" i="22"/>
  <c r="T11" i="22"/>
  <c r="U11" i="22"/>
  <c r="O12" i="22"/>
  <c r="P12" i="22"/>
  <c r="Q12" i="22"/>
  <c r="S12" i="22"/>
  <c r="T12" i="22"/>
  <c r="U12" i="22"/>
  <c r="O13" i="22"/>
  <c r="P13" i="22"/>
  <c r="Q13" i="22"/>
  <c r="S13" i="22"/>
  <c r="T13" i="22"/>
  <c r="U13" i="22"/>
  <c r="O14" i="22"/>
  <c r="P14" i="22"/>
  <c r="Q14" i="22"/>
  <c r="S14" i="22"/>
  <c r="T14" i="22"/>
  <c r="U14" i="22"/>
  <c r="O15" i="22"/>
  <c r="P15" i="22"/>
  <c r="Q15" i="22"/>
  <c r="S15" i="22"/>
  <c r="T15" i="22"/>
  <c r="U15" i="22"/>
  <c r="O16" i="22"/>
  <c r="P16" i="22"/>
  <c r="Q16" i="22"/>
  <c r="S16" i="22"/>
  <c r="T16" i="22"/>
  <c r="U16" i="22"/>
  <c r="O17" i="22"/>
  <c r="P17" i="22"/>
  <c r="Q17" i="22"/>
  <c r="S17" i="22"/>
  <c r="T17" i="22"/>
  <c r="U17" i="22"/>
  <c r="O18" i="22"/>
  <c r="P18" i="22"/>
  <c r="Q18" i="22"/>
  <c r="S18" i="22"/>
  <c r="T18" i="22"/>
  <c r="U18" i="22"/>
  <c r="O19" i="22"/>
  <c r="P19" i="22"/>
  <c r="Q19" i="22"/>
  <c r="S19" i="22"/>
  <c r="T19" i="22"/>
  <c r="U19" i="22"/>
  <c r="O20" i="22"/>
  <c r="P20" i="22"/>
  <c r="Q20" i="22"/>
  <c r="S20" i="22"/>
  <c r="T20" i="22"/>
  <c r="U20" i="22"/>
  <c r="O21" i="22"/>
  <c r="P21" i="22"/>
  <c r="Q21" i="22"/>
  <c r="S21" i="22"/>
  <c r="T21" i="22"/>
  <c r="U21" i="22"/>
  <c r="O22" i="22"/>
  <c r="P22" i="22"/>
  <c r="Q22" i="22"/>
  <c r="S22" i="22"/>
  <c r="T22" i="22"/>
  <c r="U22" i="22"/>
  <c r="O23" i="22"/>
  <c r="P23" i="22"/>
  <c r="Q23" i="22"/>
  <c r="S23" i="22"/>
  <c r="T23" i="22"/>
  <c r="U23" i="22"/>
  <c r="O24" i="22"/>
  <c r="P24" i="22"/>
  <c r="Q24" i="22"/>
  <c r="S24" i="22"/>
  <c r="T24" i="22"/>
  <c r="U24" i="22"/>
  <c r="O25" i="22"/>
  <c r="P25" i="22"/>
  <c r="Q25" i="22"/>
  <c r="S25" i="22"/>
  <c r="T25" i="22"/>
  <c r="U25" i="22"/>
  <c r="O3" i="21"/>
  <c r="P3" i="21"/>
  <c r="Q3" i="21"/>
  <c r="S3" i="21"/>
  <c r="T3" i="21"/>
  <c r="U3" i="21"/>
  <c r="O4" i="21"/>
  <c r="P4" i="21"/>
  <c r="Q4" i="21"/>
  <c r="S4" i="21"/>
  <c r="T4" i="21"/>
  <c r="U4" i="21"/>
  <c r="O5" i="21"/>
  <c r="P5" i="21"/>
  <c r="Q5" i="21"/>
  <c r="S5" i="21"/>
  <c r="T5" i="21"/>
  <c r="U5" i="21"/>
  <c r="O6" i="21"/>
  <c r="P6" i="21"/>
  <c r="Q6" i="21"/>
  <c r="S6" i="21"/>
  <c r="T6" i="21"/>
  <c r="U6" i="21"/>
  <c r="O7" i="21"/>
  <c r="P7" i="21"/>
  <c r="Q7" i="21"/>
  <c r="S7" i="21"/>
  <c r="T7" i="21"/>
  <c r="U7" i="21"/>
  <c r="O8" i="21"/>
  <c r="P8" i="21"/>
  <c r="Q8" i="21"/>
  <c r="S8" i="21"/>
  <c r="T8" i="21"/>
  <c r="U8" i="21"/>
  <c r="O9" i="21"/>
  <c r="P9" i="21"/>
  <c r="Q9" i="21"/>
  <c r="S9" i="21"/>
  <c r="T9" i="21"/>
  <c r="U9" i="21"/>
  <c r="O10" i="21"/>
  <c r="P10" i="21"/>
  <c r="Q10" i="21"/>
  <c r="S10" i="21"/>
  <c r="T10" i="21"/>
  <c r="U10" i="21"/>
  <c r="O11" i="21"/>
  <c r="P11" i="21"/>
  <c r="Q11" i="21"/>
  <c r="S11" i="21"/>
  <c r="T11" i="21"/>
  <c r="U11" i="21"/>
  <c r="O12" i="21"/>
  <c r="P12" i="21"/>
  <c r="Q12" i="21"/>
  <c r="S12" i="21"/>
  <c r="T12" i="21"/>
  <c r="U12" i="21"/>
  <c r="O13" i="21"/>
  <c r="P13" i="21"/>
  <c r="Q13" i="21"/>
  <c r="S13" i="21"/>
  <c r="T13" i="21"/>
  <c r="U13" i="21"/>
  <c r="O14" i="21"/>
  <c r="P14" i="21"/>
  <c r="Q14" i="21"/>
  <c r="S14" i="21"/>
  <c r="T14" i="21"/>
  <c r="U14" i="21"/>
  <c r="O15" i="21"/>
  <c r="P15" i="21"/>
  <c r="Q15" i="21"/>
  <c r="S15" i="21"/>
  <c r="T15" i="21"/>
  <c r="U15" i="21"/>
  <c r="O16" i="21"/>
  <c r="P16" i="21"/>
  <c r="Q16" i="21"/>
  <c r="S16" i="21"/>
  <c r="T16" i="21"/>
  <c r="U16" i="21"/>
  <c r="O17" i="21"/>
  <c r="P17" i="21"/>
  <c r="Q17" i="21"/>
  <c r="S17" i="21"/>
  <c r="T17" i="21"/>
  <c r="U17" i="21"/>
  <c r="O18" i="21"/>
  <c r="P18" i="21"/>
  <c r="Q18" i="21"/>
  <c r="S18" i="21"/>
  <c r="T18" i="21"/>
  <c r="U18" i="21"/>
  <c r="O19" i="21"/>
  <c r="P19" i="21"/>
  <c r="Q19" i="21"/>
  <c r="S19" i="21"/>
  <c r="T19" i="21"/>
  <c r="U19" i="21"/>
  <c r="O20" i="21"/>
  <c r="P20" i="21"/>
  <c r="Q20" i="21"/>
  <c r="S20" i="21"/>
  <c r="T20" i="21"/>
  <c r="U20" i="21"/>
  <c r="O21" i="21"/>
  <c r="P21" i="21"/>
  <c r="Q21" i="21"/>
  <c r="S21" i="21"/>
  <c r="T21" i="21"/>
  <c r="U21" i="21"/>
  <c r="O22" i="21"/>
  <c r="P22" i="21"/>
  <c r="Q22" i="21"/>
  <c r="S22" i="21"/>
  <c r="T22" i="21"/>
  <c r="U22" i="21"/>
  <c r="O23" i="21"/>
  <c r="P23" i="21"/>
  <c r="Q23" i="21"/>
  <c r="S23" i="21"/>
  <c r="T23" i="21"/>
  <c r="U23" i="21"/>
  <c r="O24" i="21"/>
  <c r="P24" i="21"/>
  <c r="Q24" i="21"/>
  <c r="S24" i="21"/>
  <c r="T24" i="21"/>
  <c r="U24" i="21"/>
  <c r="O25" i="21"/>
  <c r="P25" i="21"/>
  <c r="Q25" i="21"/>
  <c r="S25" i="21"/>
  <c r="T25" i="21"/>
  <c r="U25" i="21"/>
  <c r="U25" i="7"/>
  <c r="T25" i="7"/>
  <c r="S25" i="7"/>
  <c r="Q25" i="7"/>
  <c r="P25" i="7"/>
  <c r="O25" i="7"/>
  <c r="U24" i="7"/>
  <c r="T24" i="7"/>
  <c r="S24" i="7"/>
  <c r="Q24" i="7"/>
  <c r="P24" i="7"/>
  <c r="O24" i="7"/>
  <c r="U23" i="7"/>
  <c r="T23" i="7"/>
  <c r="S23" i="7"/>
  <c r="Q23" i="7"/>
  <c r="P23" i="7"/>
  <c r="O23" i="7"/>
  <c r="U22" i="7"/>
  <c r="T22" i="7"/>
  <c r="S22" i="7"/>
  <c r="Q22" i="7"/>
  <c r="P22" i="7"/>
  <c r="O22" i="7"/>
  <c r="U21" i="7"/>
  <c r="T21" i="7"/>
  <c r="S21" i="7"/>
  <c r="Q21" i="7"/>
  <c r="P21" i="7"/>
  <c r="O21" i="7"/>
  <c r="U20" i="7"/>
  <c r="T20" i="7"/>
  <c r="S20" i="7"/>
  <c r="Q20" i="7"/>
  <c r="P20" i="7"/>
  <c r="O20" i="7"/>
  <c r="U19" i="7"/>
  <c r="T19" i="7"/>
  <c r="S19" i="7"/>
  <c r="Q19" i="7"/>
  <c r="P19" i="7"/>
  <c r="O19" i="7"/>
  <c r="U18" i="7"/>
  <c r="T18" i="7"/>
  <c r="S18" i="7"/>
  <c r="Q18" i="7"/>
  <c r="P18" i="7"/>
  <c r="O18" i="7"/>
  <c r="U17" i="7"/>
  <c r="T17" i="7"/>
  <c r="S17" i="7"/>
  <c r="Q17" i="7"/>
  <c r="P17" i="7"/>
  <c r="O17" i="7"/>
  <c r="U16" i="7"/>
  <c r="T16" i="7"/>
  <c r="S16" i="7"/>
  <c r="Q16" i="7"/>
  <c r="P16" i="7"/>
  <c r="O16" i="7"/>
  <c r="U15" i="7"/>
  <c r="T15" i="7"/>
  <c r="S15" i="7"/>
  <c r="Q15" i="7"/>
  <c r="P15" i="7"/>
  <c r="O15" i="7"/>
  <c r="U14" i="7"/>
  <c r="T14" i="7"/>
  <c r="S14" i="7"/>
  <c r="Q14" i="7"/>
  <c r="P14" i="7"/>
  <c r="O14" i="7"/>
  <c r="U13" i="7"/>
  <c r="T13" i="7"/>
  <c r="S13" i="7"/>
  <c r="Q13" i="7"/>
  <c r="P13" i="7"/>
  <c r="O13" i="7"/>
  <c r="U12" i="7"/>
  <c r="T12" i="7"/>
  <c r="S12" i="7"/>
  <c r="Q12" i="7"/>
  <c r="P12" i="7"/>
  <c r="O12" i="7"/>
  <c r="U11" i="7"/>
  <c r="T11" i="7"/>
  <c r="S11" i="7"/>
  <c r="Q11" i="7"/>
  <c r="P11" i="7"/>
  <c r="O11" i="7"/>
  <c r="U10" i="7"/>
  <c r="T10" i="7"/>
  <c r="S10" i="7"/>
  <c r="Q10" i="7"/>
  <c r="P10" i="7"/>
  <c r="O10" i="7"/>
  <c r="U9" i="7"/>
  <c r="T9" i="7"/>
  <c r="S9" i="7"/>
  <c r="Q9" i="7"/>
  <c r="P9" i="7"/>
  <c r="O9" i="7"/>
  <c r="U8" i="7"/>
  <c r="T8" i="7"/>
  <c r="S8" i="7"/>
  <c r="Q8" i="7"/>
  <c r="P8" i="7"/>
  <c r="O8" i="7"/>
  <c r="U7" i="7"/>
  <c r="T7" i="7"/>
  <c r="S7" i="7"/>
  <c r="Q7" i="7"/>
  <c r="P7" i="7"/>
  <c r="O7" i="7"/>
  <c r="U6" i="7"/>
  <c r="T6" i="7"/>
  <c r="S6" i="7"/>
  <c r="Q6" i="7"/>
  <c r="P6" i="7"/>
  <c r="O6" i="7"/>
  <c r="U5" i="7"/>
  <c r="T5" i="7"/>
  <c r="S5" i="7"/>
  <c r="Q5" i="7"/>
  <c r="P5" i="7"/>
  <c r="O5" i="7"/>
  <c r="U4" i="7"/>
  <c r="T4" i="7"/>
  <c r="S4" i="7"/>
  <c r="Q4" i="7"/>
  <c r="P4" i="7"/>
  <c r="O4" i="7"/>
  <c r="U3" i="7"/>
  <c r="T3" i="7"/>
  <c r="S3" i="7"/>
  <c r="Q3" i="7"/>
  <c r="P3" i="7"/>
  <c r="O3" i="7"/>
  <c r="U25" i="5"/>
  <c r="T25" i="5"/>
  <c r="S25" i="5"/>
  <c r="Q25" i="5"/>
  <c r="P25" i="5"/>
  <c r="O25" i="5"/>
  <c r="U24" i="5"/>
  <c r="T24" i="5"/>
  <c r="S24" i="5"/>
  <c r="Q24" i="5"/>
  <c r="P24" i="5"/>
  <c r="O24" i="5"/>
  <c r="U23" i="5"/>
  <c r="T23" i="5"/>
  <c r="S23" i="5"/>
  <c r="Q23" i="5"/>
  <c r="P23" i="5"/>
  <c r="O23" i="5"/>
  <c r="U22" i="5"/>
  <c r="T22" i="5"/>
  <c r="S22" i="5"/>
  <c r="Q22" i="5"/>
  <c r="P22" i="5"/>
  <c r="O22" i="5"/>
  <c r="U21" i="5"/>
  <c r="T21" i="5"/>
  <c r="S21" i="5"/>
  <c r="Q21" i="5"/>
  <c r="P21" i="5"/>
  <c r="O21" i="5"/>
  <c r="U20" i="5"/>
  <c r="T20" i="5"/>
  <c r="S20" i="5"/>
  <c r="Q20" i="5"/>
  <c r="P20" i="5"/>
  <c r="O20" i="5"/>
  <c r="U19" i="5"/>
  <c r="T19" i="5"/>
  <c r="S19" i="5"/>
  <c r="Q19" i="5"/>
  <c r="P19" i="5"/>
  <c r="O19" i="5"/>
  <c r="U18" i="5"/>
  <c r="T18" i="5"/>
  <c r="S18" i="5"/>
  <c r="Q18" i="5"/>
  <c r="P18" i="5"/>
  <c r="O18" i="5"/>
  <c r="U17" i="5"/>
  <c r="T17" i="5"/>
  <c r="S17" i="5"/>
  <c r="Q17" i="5"/>
  <c r="P17" i="5"/>
  <c r="O17" i="5"/>
  <c r="U16" i="5"/>
  <c r="T16" i="5"/>
  <c r="S16" i="5"/>
  <c r="Q16" i="5"/>
  <c r="P16" i="5"/>
  <c r="O16" i="5"/>
  <c r="U15" i="5"/>
  <c r="T15" i="5"/>
  <c r="S15" i="5"/>
  <c r="Q15" i="5"/>
  <c r="P15" i="5"/>
  <c r="O15" i="5"/>
  <c r="U14" i="5"/>
  <c r="T14" i="5"/>
  <c r="S14" i="5"/>
  <c r="Q14" i="5"/>
  <c r="P14" i="5"/>
  <c r="O14" i="5"/>
  <c r="U13" i="5"/>
  <c r="T13" i="5"/>
  <c r="S13" i="5"/>
  <c r="Q13" i="5"/>
  <c r="P13" i="5"/>
  <c r="O13" i="5"/>
  <c r="U12" i="5"/>
  <c r="T12" i="5"/>
  <c r="S12" i="5"/>
  <c r="Q12" i="5"/>
  <c r="P12" i="5"/>
  <c r="O12" i="5"/>
  <c r="U11" i="5"/>
  <c r="T11" i="5"/>
  <c r="S11" i="5"/>
  <c r="Q11" i="5"/>
  <c r="P11" i="5"/>
  <c r="O11" i="5"/>
  <c r="U10" i="5"/>
  <c r="T10" i="5"/>
  <c r="S10" i="5"/>
  <c r="Q10" i="5"/>
  <c r="P10" i="5"/>
  <c r="O10" i="5"/>
  <c r="U9" i="5"/>
  <c r="T9" i="5"/>
  <c r="S9" i="5"/>
  <c r="Q9" i="5"/>
  <c r="P9" i="5"/>
  <c r="O9" i="5"/>
  <c r="U8" i="5"/>
  <c r="T8" i="5"/>
  <c r="S8" i="5"/>
  <c r="Q8" i="5"/>
  <c r="P8" i="5"/>
  <c r="O8" i="5"/>
  <c r="U7" i="5"/>
  <c r="T7" i="5"/>
  <c r="S7" i="5"/>
  <c r="Q7" i="5"/>
  <c r="P7" i="5"/>
  <c r="O7" i="5"/>
  <c r="U6" i="5"/>
  <c r="T6" i="5"/>
  <c r="S6" i="5"/>
  <c r="Q6" i="5"/>
  <c r="P6" i="5"/>
  <c r="O6" i="5"/>
  <c r="U5" i="5"/>
  <c r="T5" i="5"/>
  <c r="S5" i="5"/>
  <c r="Q5" i="5"/>
  <c r="P5" i="5"/>
  <c r="O5" i="5"/>
  <c r="U4" i="5"/>
  <c r="T4" i="5"/>
  <c r="S4" i="5"/>
  <c r="Q4" i="5"/>
  <c r="P4" i="5"/>
  <c r="O4" i="5"/>
  <c r="U3" i="5"/>
  <c r="T3" i="5"/>
  <c r="S3" i="5"/>
  <c r="Q3" i="5"/>
  <c r="P3" i="5"/>
  <c r="O3" i="5"/>
  <c r="U25" i="3"/>
  <c r="T25" i="3"/>
  <c r="S25" i="3"/>
  <c r="Q25" i="3"/>
  <c r="P25" i="3"/>
  <c r="O25" i="3"/>
  <c r="U24" i="3"/>
  <c r="T24" i="3"/>
  <c r="S24" i="3"/>
  <c r="Q24" i="3"/>
  <c r="P24" i="3"/>
  <c r="O24" i="3"/>
  <c r="U23" i="3"/>
  <c r="T23" i="3"/>
  <c r="S23" i="3"/>
  <c r="Q23" i="3"/>
  <c r="P23" i="3"/>
  <c r="O23" i="3"/>
  <c r="U22" i="3"/>
  <c r="T22" i="3"/>
  <c r="S22" i="3"/>
  <c r="Q22" i="3"/>
  <c r="P22" i="3"/>
  <c r="O22" i="3"/>
  <c r="U21" i="3"/>
  <c r="T21" i="3"/>
  <c r="S21" i="3"/>
  <c r="Q21" i="3"/>
  <c r="P21" i="3"/>
  <c r="O21" i="3"/>
  <c r="U20" i="3"/>
  <c r="T20" i="3"/>
  <c r="S20" i="3"/>
  <c r="Q20" i="3"/>
  <c r="P20" i="3"/>
  <c r="O20" i="3"/>
  <c r="U19" i="3"/>
  <c r="T19" i="3"/>
  <c r="S19" i="3"/>
  <c r="Q19" i="3"/>
  <c r="P19" i="3"/>
  <c r="O19" i="3"/>
  <c r="U18" i="3"/>
  <c r="T18" i="3"/>
  <c r="S18" i="3"/>
  <c r="Q18" i="3"/>
  <c r="P18" i="3"/>
  <c r="O18" i="3"/>
  <c r="U17" i="3"/>
  <c r="T17" i="3"/>
  <c r="S17" i="3"/>
  <c r="Q17" i="3"/>
  <c r="P17" i="3"/>
  <c r="O17" i="3"/>
  <c r="U16" i="3"/>
  <c r="T16" i="3"/>
  <c r="S16" i="3"/>
  <c r="Q16" i="3"/>
  <c r="P16" i="3"/>
  <c r="O16" i="3"/>
  <c r="U15" i="3"/>
  <c r="T15" i="3"/>
  <c r="S15" i="3"/>
  <c r="Q15" i="3"/>
  <c r="P15" i="3"/>
  <c r="O15" i="3"/>
  <c r="U14" i="3"/>
  <c r="T14" i="3"/>
  <c r="S14" i="3"/>
  <c r="Q14" i="3"/>
  <c r="P14" i="3"/>
  <c r="O14" i="3"/>
  <c r="U13" i="3"/>
  <c r="T13" i="3"/>
  <c r="S13" i="3"/>
  <c r="Q13" i="3"/>
  <c r="P13" i="3"/>
  <c r="O13" i="3"/>
  <c r="U12" i="3"/>
  <c r="T12" i="3"/>
  <c r="S12" i="3"/>
  <c r="Q12" i="3"/>
  <c r="P12" i="3"/>
  <c r="O12" i="3"/>
  <c r="U11" i="3"/>
  <c r="T11" i="3"/>
  <c r="S11" i="3"/>
  <c r="Q11" i="3"/>
  <c r="P11" i="3"/>
  <c r="O11" i="3"/>
  <c r="U10" i="3"/>
  <c r="T10" i="3"/>
  <c r="S10" i="3"/>
  <c r="Q10" i="3"/>
  <c r="P10" i="3"/>
  <c r="O10" i="3"/>
  <c r="U9" i="3"/>
  <c r="T9" i="3"/>
  <c r="S9" i="3"/>
  <c r="Q9" i="3"/>
  <c r="P9" i="3"/>
  <c r="O9" i="3"/>
  <c r="U8" i="3"/>
  <c r="T8" i="3"/>
  <c r="S8" i="3"/>
  <c r="Q8" i="3"/>
  <c r="P8" i="3"/>
  <c r="O8" i="3"/>
  <c r="U7" i="3"/>
  <c r="T7" i="3"/>
  <c r="S7" i="3"/>
  <c r="Q7" i="3"/>
  <c r="P7" i="3"/>
  <c r="O7" i="3"/>
  <c r="U6" i="3"/>
  <c r="T6" i="3"/>
  <c r="S6" i="3"/>
  <c r="Q6" i="3"/>
  <c r="P6" i="3"/>
  <c r="O6" i="3"/>
  <c r="U5" i="3"/>
  <c r="T5" i="3"/>
  <c r="S5" i="3"/>
  <c r="Q5" i="3"/>
  <c r="P5" i="3"/>
  <c r="O5" i="3"/>
  <c r="U4" i="3"/>
  <c r="T4" i="3"/>
  <c r="S4" i="3"/>
  <c r="Q4" i="3"/>
  <c r="P4" i="3"/>
  <c r="O4" i="3"/>
  <c r="U3" i="3"/>
  <c r="T3" i="3"/>
  <c r="S3" i="3"/>
  <c r="Q3" i="3"/>
  <c r="P3" i="3"/>
  <c r="O3" i="3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3" i="1"/>
</calcChain>
</file>

<file path=xl/sharedStrings.xml><?xml version="1.0" encoding="utf-8"?>
<sst xmlns="http://schemas.openxmlformats.org/spreadsheetml/2006/main" count="220" uniqueCount="31">
  <si>
    <t>Oscillation strain</t>
  </si>
  <si>
    <t>%</t>
  </si>
  <si>
    <t>Storage modulus</t>
  </si>
  <si>
    <t>Loss modulus</t>
  </si>
  <si>
    <t>Tan(delta)</t>
  </si>
  <si>
    <t>MPa</t>
  </si>
  <si>
    <t>tan=1</t>
  </si>
  <si>
    <t>WT average G'</t>
  </si>
  <si>
    <t>WT average G''</t>
  </si>
  <si>
    <t>WT average tan(delta)</t>
  </si>
  <si>
    <t>WT SD G'</t>
  </si>
  <si>
    <t>WT SD G''</t>
  </si>
  <si>
    <t>WT SD tan(delta)</t>
  </si>
  <si>
    <t>Spore- average G'</t>
  </si>
  <si>
    <t>Spore- average G''</t>
  </si>
  <si>
    <t>Spore- average tan(delta)</t>
  </si>
  <si>
    <t>Spore- SD G'</t>
  </si>
  <si>
    <t>Spore- SD G''</t>
  </si>
  <si>
    <t>Spore- SD tan(delta)</t>
  </si>
  <si>
    <t>PGA- average G'</t>
  </si>
  <si>
    <t>PGA- average G''</t>
  </si>
  <si>
    <t>PGA- average tan(delta)</t>
  </si>
  <si>
    <t>PGA- SD G'</t>
  </si>
  <si>
    <t>PGA- SD G''</t>
  </si>
  <si>
    <t>PGA- SD tan(delta)</t>
  </si>
  <si>
    <t>EPS- average G'</t>
  </si>
  <si>
    <t>EPS- average G''</t>
  </si>
  <si>
    <t>EPS- average tan(delta)</t>
  </si>
  <si>
    <t>EPS- SD G'</t>
  </si>
  <si>
    <t>EPS- SD G''</t>
  </si>
  <si>
    <t>EPS- SD tan(delta)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</si>
</sst>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/>
    <xf numFmtId="11" fontId="0" fillId="0" borderId="0" xfId="0" applyNumberFormat="1" applyAlignment="1">
      <alignment vertical="center" wrapText="1"/>
    </xf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03981-4796-4D0B-81A3-85CB89349936}">
  <dimension ref="A1:W25"/>
  <sheetViews>
    <sheetView workbookViewId="0">
      <selection activeCell="G33" sqref="G33"/>
    </sheetView>
  </sheetViews>
  <sheetFormatPr baseColWidth="10" defaultColWidth="8.83203125" defaultRowHeight="15" x14ac:dyDescent="0.2"/>
  <cols>
    <col min="14" max="14" width="8.6640625" style="5"/>
    <col min="20" max="20" width="11.83203125" bestFit="1" customWidth="1"/>
  </cols>
  <sheetData>
    <row r="1" spans="1:23" ht="64" x14ac:dyDescent="0.2">
      <c r="A1" s="1" t="s">
        <v>0</v>
      </c>
      <c r="B1" s="1"/>
      <c r="C1" s="1" t="s">
        <v>2</v>
      </c>
      <c r="D1" s="1" t="s">
        <v>3</v>
      </c>
      <c r="E1" s="1" t="s">
        <v>4</v>
      </c>
      <c r="G1" s="1" t="s">
        <v>2</v>
      </c>
      <c r="H1" s="1" t="s">
        <v>3</v>
      </c>
      <c r="I1" s="1" t="s">
        <v>4</v>
      </c>
      <c r="K1" s="1" t="s">
        <v>2</v>
      </c>
      <c r="L1" s="1" t="s">
        <v>3</v>
      </c>
      <c r="M1" s="1" t="s">
        <v>4</v>
      </c>
      <c r="O1" s="1" t="s">
        <v>7</v>
      </c>
      <c r="P1" s="1" t="s">
        <v>8</v>
      </c>
      <c r="Q1" s="1" t="s">
        <v>9</v>
      </c>
      <c r="S1" s="1" t="s">
        <v>10</v>
      </c>
      <c r="T1" s="1" t="s">
        <v>11</v>
      </c>
      <c r="U1" s="1" t="s">
        <v>12</v>
      </c>
      <c r="W1" s="1" t="s">
        <v>6</v>
      </c>
    </row>
    <row r="2" spans="1:23" ht="16" x14ac:dyDescent="0.2">
      <c r="A2" s="1" t="s">
        <v>1</v>
      </c>
      <c r="B2" s="1"/>
      <c r="C2" s="1" t="s">
        <v>5</v>
      </c>
      <c r="D2" s="1" t="s">
        <v>5</v>
      </c>
      <c r="E2" s="1"/>
      <c r="G2" s="1" t="s">
        <v>5</v>
      </c>
      <c r="H2" s="1" t="s">
        <v>5</v>
      </c>
      <c r="I2" s="1"/>
      <c r="K2" s="1" t="s">
        <v>5</v>
      </c>
      <c r="L2" s="1" t="s">
        <v>5</v>
      </c>
      <c r="M2" s="1"/>
      <c r="O2" s="1" t="s">
        <v>5</v>
      </c>
      <c r="P2" s="1" t="s">
        <v>5</v>
      </c>
      <c r="S2" s="1" t="s">
        <v>5</v>
      </c>
      <c r="T2" s="1" t="s">
        <v>5</v>
      </c>
    </row>
    <row r="3" spans="1:23" x14ac:dyDescent="0.2">
      <c r="A3" s="2">
        <v>1.0046100000000001E-2</v>
      </c>
      <c r="B3" s="4"/>
      <c r="C3" s="4">
        <v>1.64788E-3</v>
      </c>
      <c r="D3" s="4">
        <v>2.0577799999999999E-4</v>
      </c>
      <c r="E3" s="2">
        <v>0.124874</v>
      </c>
      <c r="G3" s="4">
        <v>1.04784E-3</v>
      </c>
      <c r="H3" s="4">
        <v>1.5409500000000001E-4</v>
      </c>
      <c r="I3" s="2">
        <v>0.147059</v>
      </c>
      <c r="K3" s="4">
        <v>1.50964E-3</v>
      </c>
      <c r="L3" s="4">
        <v>1.8220199999999999E-4</v>
      </c>
      <c r="M3" s="2">
        <v>0.12069299999999999</v>
      </c>
      <c r="O3" s="3">
        <f>AVERAGE(C3,G3,K3)</f>
        <v>1.4017866666666667E-3</v>
      </c>
      <c r="P3" s="3">
        <f>AVERAGE(D3,H3,L3)</f>
        <v>1.8069166666666669E-4</v>
      </c>
      <c r="Q3">
        <f>AVERAGE(E3,I3,M3)</f>
        <v>0.13087533333333332</v>
      </c>
      <c r="S3">
        <f>_xlfn.STDEV.P(C3,G3,K3)</f>
        <v>2.5656221666921697E-4</v>
      </c>
      <c r="T3">
        <f>_xlfn.STDEV.P(D3,H3,L3)</f>
        <v>2.1126507083650983E-5</v>
      </c>
      <c r="U3">
        <f>_xlfn.STDEV.P(E3,I3,M3)</f>
        <v>1.1570176902517763E-2</v>
      </c>
      <c r="W3">
        <v>1</v>
      </c>
    </row>
    <row r="4" spans="1:23" x14ac:dyDescent="0.2">
      <c r="A4" s="2">
        <v>1.58902E-2</v>
      </c>
      <c r="B4" s="2"/>
      <c r="C4" s="4">
        <v>1.64595E-3</v>
      </c>
      <c r="D4" s="4">
        <v>2.17672E-4</v>
      </c>
      <c r="E4" s="2">
        <v>0.132247</v>
      </c>
      <c r="G4" s="4">
        <v>1.0471300000000001E-3</v>
      </c>
      <c r="H4" s="4">
        <v>1.6089699999999999E-4</v>
      </c>
      <c r="I4" s="2">
        <v>0.15365500000000001</v>
      </c>
      <c r="K4" s="4">
        <v>1.49902E-3</v>
      </c>
      <c r="L4" s="4">
        <v>1.8788600000000001E-4</v>
      </c>
      <c r="M4" s="2">
        <v>0.12533900000000001</v>
      </c>
      <c r="O4" s="3">
        <f t="shared" ref="O4:O25" si="0">AVERAGE(C4,G4,K4)</f>
        <v>1.3973666666666667E-3</v>
      </c>
      <c r="P4" s="3">
        <f t="shared" ref="P4:P25" si="1">AVERAGE(D4,H4,L4)</f>
        <v>1.8881833333333334E-4</v>
      </c>
      <c r="Q4">
        <f t="shared" ref="Q4:Q25" si="2">AVERAGE(E4,I4,M4)</f>
        <v>0.13708033333333333</v>
      </c>
      <c r="S4">
        <f t="shared" ref="S4:S25" si="3">_xlfn.STDEV.P(C4,G4,K4)</f>
        <v>2.5481548649082444E-4</v>
      </c>
      <c r="T4">
        <f t="shared" ref="T4:T25" si="4">_xlfn.STDEV.P(D4,H4,L4)</f>
        <v>2.3187670435432329E-5</v>
      </c>
      <c r="U4">
        <f t="shared" ref="U4:U25" si="5">_xlfn.STDEV.P(E4,I4,M4)</f>
        <v>1.2054592412115072E-2</v>
      </c>
      <c r="W4">
        <v>1</v>
      </c>
    </row>
    <row r="5" spans="1:23" x14ac:dyDescent="0.2">
      <c r="A5" s="2">
        <v>2.5196300000000001E-2</v>
      </c>
      <c r="B5" s="2"/>
      <c r="C5" s="4">
        <v>1.6369100000000001E-3</v>
      </c>
      <c r="D5" s="4">
        <v>2.1937500000000001E-4</v>
      </c>
      <c r="E5" s="2">
        <v>0.134018</v>
      </c>
      <c r="G5" s="4">
        <v>1.0427100000000001E-3</v>
      </c>
      <c r="H5" s="4">
        <v>1.5826499999999999E-4</v>
      </c>
      <c r="I5" s="2">
        <v>0.151782</v>
      </c>
      <c r="K5" s="4">
        <v>1.49843E-3</v>
      </c>
      <c r="L5" s="4">
        <v>1.9408399999999999E-4</v>
      </c>
      <c r="M5" s="2">
        <v>0.129525</v>
      </c>
      <c r="O5" s="3">
        <f t="shared" si="0"/>
        <v>1.3926833333333334E-3</v>
      </c>
      <c r="P5" s="3">
        <f t="shared" si="1"/>
        <v>1.9057466666666666E-4</v>
      </c>
      <c r="Q5">
        <f t="shared" si="2"/>
        <v>0.13844166666666666</v>
      </c>
      <c r="S5">
        <f t="shared" si="3"/>
        <v>2.5384401789725559E-4</v>
      </c>
      <c r="T5">
        <f t="shared" si="4"/>
        <v>2.5071159929732459E-5</v>
      </c>
      <c r="U5">
        <f t="shared" si="5"/>
        <v>9.6097218944613001E-3</v>
      </c>
      <c r="W5">
        <v>1</v>
      </c>
    </row>
    <row r="6" spans="1:23" x14ac:dyDescent="0.2">
      <c r="A6" s="2">
        <v>3.9854199999999999E-2</v>
      </c>
      <c r="B6" s="2"/>
      <c r="C6" s="4">
        <v>1.6335E-3</v>
      </c>
      <c r="D6" s="4">
        <v>2.1208899999999999E-4</v>
      </c>
      <c r="E6" s="2">
        <v>0.12983700000000001</v>
      </c>
      <c r="G6" s="4">
        <v>1.03484E-3</v>
      </c>
      <c r="H6" s="4">
        <v>1.5697700000000001E-4</v>
      </c>
      <c r="I6" s="2">
        <v>0.15169199999999999</v>
      </c>
      <c r="K6" s="4">
        <v>1.4857200000000001E-3</v>
      </c>
      <c r="L6" s="4">
        <v>2.07056E-4</v>
      </c>
      <c r="M6" s="2">
        <v>0.13936499999999999</v>
      </c>
      <c r="O6" s="3">
        <f t="shared" si="0"/>
        <v>1.3846866666666667E-3</v>
      </c>
      <c r="P6" s="3">
        <f t="shared" si="1"/>
        <v>1.9204066666666671E-4</v>
      </c>
      <c r="Q6">
        <f t="shared" si="2"/>
        <v>0.14029800000000001</v>
      </c>
      <c r="S6">
        <f t="shared" si="3"/>
        <v>2.5462946901112776E-4</v>
      </c>
      <c r="T6">
        <f t="shared" si="4"/>
        <v>2.4878750133843579E-5</v>
      </c>
      <c r="U6">
        <f t="shared" si="5"/>
        <v>8.9466240560336432E-3</v>
      </c>
      <c r="W6">
        <v>1</v>
      </c>
    </row>
    <row r="7" spans="1:23" x14ac:dyDescent="0.2">
      <c r="A7" s="2">
        <v>6.3129099999999994E-2</v>
      </c>
      <c r="B7" s="2"/>
      <c r="C7" s="4">
        <v>1.6227500000000001E-3</v>
      </c>
      <c r="D7" s="4">
        <v>2.1017E-4</v>
      </c>
      <c r="E7" s="2">
        <v>0.12951499999999999</v>
      </c>
      <c r="G7" s="4">
        <v>1.02348E-3</v>
      </c>
      <c r="H7" s="4">
        <v>1.5638199999999999E-4</v>
      </c>
      <c r="I7" s="2">
        <v>0.15279400000000001</v>
      </c>
      <c r="K7" s="4">
        <v>1.4905000000000001E-3</v>
      </c>
      <c r="L7" s="4">
        <v>1.9264099999999999E-4</v>
      </c>
      <c r="M7" s="2">
        <v>0.129246</v>
      </c>
      <c r="O7" s="3">
        <f t="shared" si="0"/>
        <v>1.3789099999999999E-3</v>
      </c>
      <c r="P7" s="3">
        <f t="shared" si="1"/>
        <v>1.8639766666666668E-4</v>
      </c>
      <c r="Q7">
        <f t="shared" si="2"/>
        <v>0.137185</v>
      </c>
      <c r="S7">
        <f t="shared" si="3"/>
        <v>2.5706079605156964E-4</v>
      </c>
      <c r="T7">
        <f t="shared" si="4"/>
        <v>2.2398238685714159E-5</v>
      </c>
      <c r="U7">
        <f t="shared" si="5"/>
        <v>1.1037776074312564E-2</v>
      </c>
      <c r="W7">
        <v>1</v>
      </c>
    </row>
    <row r="8" spans="1:23" x14ac:dyDescent="0.2">
      <c r="A8" s="2">
        <v>9.9993700000000005E-2</v>
      </c>
      <c r="B8" s="2"/>
      <c r="C8" s="4">
        <v>1.61702E-3</v>
      </c>
      <c r="D8" s="4">
        <v>2.07977E-4</v>
      </c>
      <c r="E8" s="2">
        <v>0.12861800000000001</v>
      </c>
      <c r="G8" s="4">
        <v>1.01033E-3</v>
      </c>
      <c r="H8" s="4">
        <v>1.54332E-4</v>
      </c>
      <c r="I8" s="2">
        <v>0.152754</v>
      </c>
      <c r="K8" s="4">
        <v>1.48672E-3</v>
      </c>
      <c r="L8" s="4">
        <v>1.9327999999999999E-4</v>
      </c>
      <c r="M8" s="2">
        <v>0.13000400000000001</v>
      </c>
      <c r="O8" s="3">
        <f t="shared" si="0"/>
        <v>1.3713566666666668E-3</v>
      </c>
      <c r="P8" s="3">
        <f t="shared" si="1"/>
        <v>1.8519633333333334E-4</v>
      </c>
      <c r="Q8">
        <f t="shared" si="2"/>
        <v>0.13712533333333335</v>
      </c>
      <c r="S8">
        <f t="shared" si="3"/>
        <v>2.6076772938553745E-4</v>
      </c>
      <c r="T8">
        <f t="shared" si="4"/>
        <v>2.263412992707154E-5</v>
      </c>
      <c r="U8">
        <f t="shared" si="5"/>
        <v>1.1065612359417295E-2</v>
      </c>
      <c r="W8">
        <v>1</v>
      </c>
    </row>
    <row r="9" spans="1:23" x14ac:dyDescent="0.2">
      <c r="A9" s="2">
        <v>0.15851399999999999</v>
      </c>
      <c r="B9" s="2"/>
      <c r="C9" s="4">
        <v>1.6117E-3</v>
      </c>
      <c r="D9" s="4">
        <v>2.0587599999999999E-4</v>
      </c>
      <c r="E9" s="2">
        <v>0.12773799999999999</v>
      </c>
      <c r="G9" s="4">
        <v>1.00205E-3</v>
      </c>
      <c r="H9" s="4">
        <v>1.5278700000000001E-4</v>
      </c>
      <c r="I9" s="2">
        <v>0.152474</v>
      </c>
      <c r="K9" s="4">
        <v>1.4809199999999999E-3</v>
      </c>
      <c r="L9" s="4">
        <v>1.93854E-4</v>
      </c>
      <c r="M9" s="2">
        <v>0.13090099999999999</v>
      </c>
      <c r="O9" s="3">
        <f t="shared" si="0"/>
        <v>1.3648899999999999E-3</v>
      </c>
      <c r="P9" s="3">
        <f t="shared" si="1"/>
        <v>1.8417233333333332E-4</v>
      </c>
      <c r="Q9">
        <f t="shared" si="2"/>
        <v>0.13703766666666667</v>
      </c>
      <c r="S9">
        <f t="shared" si="3"/>
        <v>2.6206297118568019E-4</v>
      </c>
      <c r="T9">
        <f t="shared" si="4"/>
        <v>2.2729004705197466E-5</v>
      </c>
      <c r="U9">
        <f t="shared" si="5"/>
        <v>1.0991252046766813E-2</v>
      </c>
      <c r="W9">
        <v>1</v>
      </c>
    </row>
    <row r="10" spans="1:23" x14ac:dyDescent="0.2">
      <c r="A10" s="2">
        <v>0.25116100000000002</v>
      </c>
      <c r="B10" s="2"/>
      <c r="C10" s="4">
        <v>1.60322E-3</v>
      </c>
      <c r="D10" s="4">
        <v>2.0536099999999999E-4</v>
      </c>
      <c r="E10" s="2">
        <v>0.12809300000000001</v>
      </c>
      <c r="G10" s="4">
        <v>9.9226700000000002E-4</v>
      </c>
      <c r="H10" s="4">
        <v>1.51803E-4</v>
      </c>
      <c r="I10" s="2">
        <v>0.15298600000000001</v>
      </c>
      <c r="K10" s="4">
        <v>1.4714299999999999E-3</v>
      </c>
      <c r="L10" s="4">
        <v>1.9384400000000001E-4</v>
      </c>
      <c r="M10" s="2">
        <v>0.13173899999999999</v>
      </c>
      <c r="O10" s="3">
        <f t="shared" si="0"/>
        <v>1.3556389999999998E-3</v>
      </c>
      <c r="P10" s="3">
        <f t="shared" si="1"/>
        <v>1.8366933333333331E-4</v>
      </c>
      <c r="Q10">
        <f t="shared" si="2"/>
        <v>0.13760600000000001</v>
      </c>
      <c r="S10">
        <f t="shared" si="3"/>
        <v>2.6251547105266004E-4</v>
      </c>
      <c r="T10">
        <f t="shared" si="4"/>
        <v>2.3018220642689902E-5</v>
      </c>
      <c r="U10">
        <f t="shared" si="5"/>
        <v>1.0976691335127664E-2</v>
      </c>
      <c r="W10">
        <v>1</v>
      </c>
    </row>
    <row r="11" spans="1:23" x14ac:dyDescent="0.2">
      <c r="A11" s="2">
        <v>0.398922</v>
      </c>
      <c r="B11" s="2"/>
      <c r="C11" s="4">
        <v>1.58844E-3</v>
      </c>
      <c r="D11" s="4">
        <v>2.05119E-4</v>
      </c>
      <c r="E11" s="2">
        <v>0.129132</v>
      </c>
      <c r="G11" s="4">
        <v>9.7963999999999994E-4</v>
      </c>
      <c r="H11" s="4">
        <v>1.5183500000000001E-4</v>
      </c>
      <c r="I11" s="2">
        <v>0.15499099999999999</v>
      </c>
      <c r="K11" s="4">
        <v>1.45801E-3</v>
      </c>
      <c r="L11" s="4">
        <v>1.95074E-4</v>
      </c>
      <c r="M11" s="2">
        <v>0.133795</v>
      </c>
      <c r="O11" s="3">
        <f t="shared" si="0"/>
        <v>1.3420299999999999E-3</v>
      </c>
      <c r="P11" s="3">
        <f t="shared" si="1"/>
        <v>1.8400933333333333E-4</v>
      </c>
      <c r="Q11">
        <f t="shared" si="2"/>
        <v>0.13930600000000001</v>
      </c>
      <c r="S11">
        <f t="shared" si="3"/>
        <v>2.6172234689966138E-4</v>
      </c>
      <c r="T11">
        <f t="shared" si="4"/>
        <v>2.3117328281808186E-5</v>
      </c>
      <c r="U11">
        <f t="shared" si="5"/>
        <v>1.1253156920023225E-2</v>
      </c>
      <c r="W11">
        <v>1</v>
      </c>
    </row>
    <row r="12" spans="1:23" x14ac:dyDescent="0.2">
      <c r="A12" s="2">
        <v>0.63299000000000005</v>
      </c>
      <c r="B12" s="2"/>
      <c r="C12" s="4">
        <v>1.56733E-3</v>
      </c>
      <c r="D12" s="4">
        <v>2.0500600000000001E-4</v>
      </c>
      <c r="E12" s="2">
        <v>0.1308</v>
      </c>
      <c r="G12" s="4">
        <v>9.6164799999999995E-4</v>
      </c>
      <c r="H12" s="4">
        <v>1.5179200000000001E-4</v>
      </c>
      <c r="I12" s="2">
        <v>0.15784599999999999</v>
      </c>
      <c r="K12" s="4">
        <v>1.4359399999999999E-3</v>
      </c>
      <c r="L12" s="4">
        <v>1.9640599999999999E-4</v>
      </c>
      <c r="M12" s="2">
        <v>0.13677900000000001</v>
      </c>
      <c r="O12" s="3">
        <f t="shared" si="0"/>
        <v>1.3216393333333333E-3</v>
      </c>
      <c r="P12" s="3">
        <f t="shared" si="1"/>
        <v>1.8440133333333335E-4</v>
      </c>
      <c r="Q12">
        <f t="shared" si="2"/>
        <v>0.14180833333333331</v>
      </c>
      <c r="S12">
        <f t="shared" si="3"/>
        <v>2.6014246491917124E-4</v>
      </c>
      <c r="T12">
        <f t="shared" si="4"/>
        <v>2.332404289330837E-5</v>
      </c>
      <c r="U12">
        <f t="shared" si="5"/>
        <v>1.1600062480674635E-2</v>
      </c>
      <c r="W12">
        <v>1</v>
      </c>
    </row>
    <row r="13" spans="1:23" x14ac:dyDescent="0.2">
      <c r="A13" s="2">
        <v>1.0050600000000001</v>
      </c>
      <c r="B13" s="2"/>
      <c r="C13" s="4">
        <v>1.53517E-3</v>
      </c>
      <c r="D13" s="4">
        <v>2.0688600000000001E-4</v>
      </c>
      <c r="E13" s="2">
        <v>0.134765</v>
      </c>
      <c r="G13" s="4">
        <v>9.3733300000000005E-4</v>
      </c>
      <c r="H13" s="4">
        <v>1.52194E-4</v>
      </c>
      <c r="I13" s="2">
        <v>0.16236900000000001</v>
      </c>
      <c r="K13" s="4">
        <v>1.40259E-3</v>
      </c>
      <c r="L13" s="4">
        <v>1.98326E-4</v>
      </c>
      <c r="M13" s="2">
        <v>0.1414</v>
      </c>
      <c r="O13" s="3">
        <f t="shared" si="0"/>
        <v>1.2916976666666666E-3</v>
      </c>
      <c r="P13" s="3">
        <f t="shared" si="1"/>
        <v>1.8580199999999999E-4</v>
      </c>
      <c r="Q13">
        <f t="shared" si="2"/>
        <v>0.146178</v>
      </c>
      <c r="S13">
        <f t="shared" si="3"/>
        <v>2.5635275414466593E-4</v>
      </c>
      <c r="T13">
        <f t="shared" si="4"/>
        <v>2.4020014543431625E-5</v>
      </c>
      <c r="U13">
        <f t="shared" si="5"/>
        <v>1.1764839338752862E-2</v>
      </c>
      <c r="W13">
        <v>1</v>
      </c>
    </row>
    <row r="14" spans="1:23" x14ac:dyDescent="0.2">
      <c r="A14" s="2">
        <v>1.59718</v>
      </c>
      <c r="B14" s="2"/>
      <c r="C14" s="4">
        <v>1.4893199999999999E-3</v>
      </c>
      <c r="D14" s="4">
        <v>2.07214E-4</v>
      </c>
      <c r="E14" s="2">
        <v>0.13913300000000001</v>
      </c>
      <c r="G14" s="4">
        <v>9.0449499999999995E-4</v>
      </c>
      <c r="H14" s="4">
        <v>1.52196E-4</v>
      </c>
      <c r="I14" s="2">
        <v>0.168267</v>
      </c>
      <c r="K14" s="4">
        <v>1.3513900000000001E-3</v>
      </c>
      <c r="L14" s="4">
        <v>2.02451E-4</v>
      </c>
      <c r="M14" s="2">
        <v>0.149809</v>
      </c>
      <c r="O14" s="3">
        <f t="shared" si="0"/>
        <v>1.2484016666666666E-3</v>
      </c>
      <c r="P14" s="3">
        <f t="shared" si="1"/>
        <v>1.8728699999999998E-4</v>
      </c>
      <c r="Q14">
        <f t="shared" si="2"/>
        <v>0.15240299999999998</v>
      </c>
      <c r="S14">
        <f t="shared" si="3"/>
        <v>2.4961305756221079E-4</v>
      </c>
      <c r="T14">
        <f t="shared" si="4"/>
        <v>2.4889157652814741E-5</v>
      </c>
      <c r="U14">
        <f t="shared" si="5"/>
        <v>1.2034509157695905E-2</v>
      </c>
      <c r="W14">
        <v>1</v>
      </c>
    </row>
    <row r="15" spans="1:23" x14ac:dyDescent="0.2">
      <c r="A15" s="2">
        <v>2.54189</v>
      </c>
      <c r="B15" s="2"/>
      <c r="C15" s="4">
        <v>1.4220999999999999E-3</v>
      </c>
      <c r="D15" s="4">
        <v>2.08025E-4</v>
      </c>
      <c r="E15" s="2">
        <v>0.14627999999999999</v>
      </c>
      <c r="G15" s="4">
        <v>8.6122200000000003E-4</v>
      </c>
      <c r="H15" s="4">
        <v>1.51822E-4</v>
      </c>
      <c r="I15" s="2">
        <v>0.176287</v>
      </c>
      <c r="K15" s="4">
        <v>1.2707300000000001E-3</v>
      </c>
      <c r="L15" s="4">
        <v>2.1116E-4</v>
      </c>
      <c r="M15" s="2">
        <v>0.16617199999999999</v>
      </c>
      <c r="O15" s="3">
        <f t="shared" si="0"/>
        <v>1.1846840000000001E-3</v>
      </c>
      <c r="P15" s="3">
        <f t="shared" si="1"/>
        <v>1.9033566666666667E-4</v>
      </c>
      <c r="Q15">
        <f t="shared" si="2"/>
        <v>0.162913</v>
      </c>
      <c r="S15">
        <f t="shared" si="3"/>
        <v>2.3692329040992711E-4</v>
      </c>
      <c r="T15">
        <f t="shared" si="4"/>
        <v>2.7263332473407495E-5</v>
      </c>
      <c r="U15">
        <f t="shared" si="5"/>
        <v>1.2465173431070531E-2</v>
      </c>
      <c r="W15">
        <v>1</v>
      </c>
    </row>
    <row r="16" spans="1:23" x14ac:dyDescent="0.2">
      <c r="A16" s="2">
        <v>4.0522400000000003</v>
      </c>
      <c r="B16" s="2"/>
      <c r="C16" s="4">
        <v>1.3263400000000001E-3</v>
      </c>
      <c r="D16" s="4">
        <v>2.09848E-4</v>
      </c>
      <c r="E16" s="2">
        <v>0.158216</v>
      </c>
      <c r="G16" s="4">
        <v>8.0176900000000003E-4</v>
      </c>
      <c r="H16" s="4">
        <v>1.5170900000000001E-4</v>
      </c>
      <c r="I16" s="2">
        <v>0.189217</v>
      </c>
      <c r="K16" s="4">
        <v>1.13762E-3</v>
      </c>
      <c r="L16" s="4">
        <v>2.34133E-4</v>
      </c>
      <c r="M16" s="2">
        <v>0.20580899999999999</v>
      </c>
      <c r="O16" s="3">
        <f t="shared" si="0"/>
        <v>1.0885763333333333E-3</v>
      </c>
      <c r="P16" s="3">
        <f t="shared" si="1"/>
        <v>1.9856333333333331E-4</v>
      </c>
      <c r="Q16">
        <f t="shared" si="2"/>
        <v>0.18441399999999999</v>
      </c>
      <c r="S16">
        <f t="shared" si="3"/>
        <v>2.1694491534386226E-4</v>
      </c>
      <c r="T16">
        <f t="shared" si="4"/>
        <v>3.4582622999933877E-5</v>
      </c>
      <c r="U16">
        <f t="shared" si="5"/>
        <v>1.9724350753996082E-2</v>
      </c>
      <c r="W16">
        <v>1</v>
      </c>
    </row>
    <row r="17" spans="1:23" x14ac:dyDescent="0.2">
      <c r="A17" s="2">
        <v>6.4939400000000003</v>
      </c>
      <c r="B17" s="2"/>
      <c r="C17" s="4">
        <v>1.1819199999999999E-3</v>
      </c>
      <c r="D17" s="4">
        <v>2.17314E-4</v>
      </c>
      <c r="E17" s="2">
        <v>0.183865</v>
      </c>
      <c r="G17" s="4">
        <v>7.1800399999999995E-4</v>
      </c>
      <c r="H17" s="4">
        <v>1.5324499999999999E-4</v>
      </c>
      <c r="I17" s="2">
        <v>0.21343100000000001</v>
      </c>
      <c r="K17" s="4">
        <v>8.88853E-4</v>
      </c>
      <c r="L17" s="4">
        <v>3.1630699999999999E-4</v>
      </c>
      <c r="M17" s="2">
        <v>0.35586000000000001</v>
      </c>
      <c r="O17" s="3">
        <f t="shared" si="0"/>
        <v>9.295923333333334E-4</v>
      </c>
      <c r="P17" s="3">
        <f t="shared" si="1"/>
        <v>2.2895533333333333E-4</v>
      </c>
      <c r="Q17">
        <f t="shared" si="2"/>
        <v>0.251052</v>
      </c>
      <c r="S17">
        <f t="shared" si="3"/>
        <v>1.91571194293111E-4</v>
      </c>
      <c r="T17">
        <f t="shared" si="4"/>
        <v>6.707679401170638E-5</v>
      </c>
      <c r="U17">
        <f t="shared" si="5"/>
        <v>7.5086948430913639E-2</v>
      </c>
      <c r="W17">
        <v>1</v>
      </c>
    </row>
    <row r="18" spans="1:23" x14ac:dyDescent="0.2">
      <c r="A18" s="2">
        <v>10.464</v>
      </c>
      <c r="B18" s="2"/>
      <c r="C18" s="4">
        <v>9.7792699999999996E-4</v>
      </c>
      <c r="D18" s="4">
        <v>2.3226599999999999E-4</v>
      </c>
      <c r="E18" s="2">
        <v>0.237509</v>
      </c>
      <c r="G18" s="4">
        <v>5.9574499999999996E-4</v>
      </c>
      <c r="H18" s="4">
        <v>1.6555199999999999E-4</v>
      </c>
      <c r="I18" s="2">
        <v>0.27789000000000003</v>
      </c>
      <c r="K18" s="4">
        <v>5.4511700000000002E-4</v>
      </c>
      <c r="L18" s="4">
        <v>4.2232000000000001E-4</v>
      </c>
      <c r="M18" s="2">
        <v>0.77473199999999998</v>
      </c>
      <c r="O18" s="3">
        <f t="shared" si="0"/>
        <v>7.0626299999999994E-4</v>
      </c>
      <c r="P18" s="3">
        <f t="shared" si="1"/>
        <v>2.7337933333333335E-4</v>
      </c>
      <c r="Q18">
        <f t="shared" si="2"/>
        <v>0.43004366666666671</v>
      </c>
      <c r="S18">
        <f t="shared" si="3"/>
        <v>1.9320420158992402E-4</v>
      </c>
      <c r="T18">
        <f t="shared" si="4"/>
        <v>1.0878168071672527E-4</v>
      </c>
      <c r="U18">
        <f t="shared" si="5"/>
        <v>0.24428834280051553</v>
      </c>
      <c r="W18">
        <v>1</v>
      </c>
    </row>
    <row r="19" spans="1:23" x14ac:dyDescent="0.2">
      <c r="A19" s="2">
        <v>16.927199999999999</v>
      </c>
      <c r="B19" s="2"/>
      <c r="C19" s="4">
        <v>7.247E-4</v>
      </c>
      <c r="D19" s="4">
        <v>2.5097200000000002E-4</v>
      </c>
      <c r="E19" s="2">
        <v>0.34631200000000001</v>
      </c>
      <c r="G19" s="4">
        <v>4.3173400000000002E-4</v>
      </c>
      <c r="H19" s="4">
        <v>1.9934799999999999E-4</v>
      </c>
      <c r="I19" s="2">
        <v>0.46173799999999998</v>
      </c>
      <c r="K19" s="4">
        <v>3.6062099999999999E-4</v>
      </c>
      <c r="L19" s="4">
        <v>3.9353400000000002E-4</v>
      </c>
      <c r="M19" s="2">
        <v>1.09127</v>
      </c>
      <c r="O19" s="3">
        <f t="shared" si="0"/>
        <v>5.0568499999999997E-4</v>
      </c>
      <c r="P19" s="3">
        <f t="shared" si="1"/>
        <v>2.8128466666666667E-4</v>
      </c>
      <c r="Q19">
        <f t="shared" si="2"/>
        <v>0.6331066666666666</v>
      </c>
      <c r="S19">
        <f t="shared" si="3"/>
        <v>1.5756467954673937E-4</v>
      </c>
      <c r="T19">
        <f t="shared" si="4"/>
        <v>8.2122647989996592E-5</v>
      </c>
      <c r="U19">
        <f t="shared" si="5"/>
        <v>0.32737951511696978</v>
      </c>
      <c r="W19">
        <v>1</v>
      </c>
    </row>
    <row r="20" spans="1:23" x14ac:dyDescent="0.2">
      <c r="A20" s="2">
        <v>27.279900000000001</v>
      </c>
      <c r="B20" s="2"/>
      <c r="C20" s="4">
        <v>4.78856E-4</v>
      </c>
      <c r="D20" s="4">
        <v>2.5842500000000001E-4</v>
      </c>
      <c r="E20" s="2">
        <v>0.53967200000000004</v>
      </c>
      <c r="G20" s="4">
        <v>2.8978800000000002E-4</v>
      </c>
      <c r="H20" s="4">
        <v>1.9323499999999999E-4</v>
      </c>
      <c r="I20" s="2">
        <v>0.66681500000000005</v>
      </c>
      <c r="K20" s="4">
        <v>2.3947399999999999E-4</v>
      </c>
      <c r="L20" s="4">
        <v>3.1755299999999999E-4</v>
      </c>
      <c r="M20" s="2">
        <v>1.3260400000000001</v>
      </c>
      <c r="O20" s="3">
        <f t="shared" si="0"/>
        <v>3.3603933333333332E-4</v>
      </c>
      <c r="P20" s="3">
        <f t="shared" si="1"/>
        <v>2.5640433333333333E-4</v>
      </c>
      <c r="Q20">
        <f t="shared" si="2"/>
        <v>0.84417566666666666</v>
      </c>
      <c r="S20">
        <f t="shared" si="3"/>
        <v>1.0305443499217079E-4</v>
      </c>
      <c r="T20">
        <f t="shared" si="4"/>
        <v>5.0772719717930768E-5</v>
      </c>
      <c r="U20">
        <f t="shared" si="5"/>
        <v>0.3446604729453161</v>
      </c>
      <c r="W20">
        <v>1</v>
      </c>
    </row>
    <row r="21" spans="1:23" x14ac:dyDescent="0.2">
      <c r="A21" s="2">
        <v>43.319600000000001</v>
      </c>
      <c r="B21" s="2"/>
      <c r="C21" s="4">
        <v>2.9076599999999997E-4</v>
      </c>
      <c r="D21" s="4">
        <v>2.4315200000000001E-4</v>
      </c>
      <c r="E21" s="2">
        <v>0.83624600000000004</v>
      </c>
      <c r="G21" s="4">
        <v>1.8304700000000001E-4</v>
      </c>
      <c r="H21" s="4">
        <v>1.6233799999999999E-4</v>
      </c>
      <c r="I21" s="2">
        <v>0.88686500000000001</v>
      </c>
      <c r="K21" s="4">
        <v>1.5648100000000001E-4</v>
      </c>
      <c r="L21" s="4">
        <v>2.4848600000000002E-4</v>
      </c>
      <c r="M21" s="2">
        <v>1.58796</v>
      </c>
      <c r="O21" s="3">
        <f t="shared" si="0"/>
        <v>2.1009800000000001E-4</v>
      </c>
      <c r="P21" s="3">
        <f t="shared" si="1"/>
        <v>2.17992E-4</v>
      </c>
      <c r="Q21">
        <f t="shared" si="2"/>
        <v>1.1036903333333334</v>
      </c>
      <c r="S21">
        <f t="shared" si="3"/>
        <v>5.8062797940390927E-5</v>
      </c>
      <c r="T21">
        <f t="shared" si="4"/>
        <v>3.9413522857009381E-5</v>
      </c>
      <c r="U21">
        <f t="shared" si="5"/>
        <v>0.34305335185685382</v>
      </c>
      <c r="W21">
        <v>1</v>
      </c>
    </row>
    <row r="22" spans="1:23" x14ac:dyDescent="0.2">
      <c r="A22" s="2">
        <v>68.464299999999994</v>
      </c>
      <c r="B22" s="2"/>
      <c r="C22" s="4">
        <v>1.7222799999999999E-4</v>
      </c>
      <c r="D22" s="4">
        <v>2.05088E-4</v>
      </c>
      <c r="E22" s="2">
        <v>1.1908000000000001</v>
      </c>
      <c r="G22" s="4">
        <v>1.10827E-4</v>
      </c>
      <c r="H22" s="4">
        <v>1.3122000000000001E-4</v>
      </c>
      <c r="I22" s="2">
        <v>1.18401</v>
      </c>
      <c r="K22" s="4">
        <v>1.07173E-4</v>
      </c>
      <c r="L22" s="4">
        <v>1.91783E-4</v>
      </c>
      <c r="M22" s="2">
        <v>1.7894699999999999</v>
      </c>
      <c r="O22" s="3">
        <f t="shared" si="0"/>
        <v>1.3007599999999999E-4</v>
      </c>
      <c r="P22" s="3">
        <f t="shared" si="1"/>
        <v>1.7603033333333335E-4</v>
      </c>
      <c r="Q22">
        <f t="shared" si="2"/>
        <v>1.3880933333333332</v>
      </c>
      <c r="S22">
        <f t="shared" si="3"/>
        <v>2.9843271234903185E-5</v>
      </c>
      <c r="T22">
        <f t="shared" si="4"/>
        <v>3.2147889887552836E-5</v>
      </c>
      <c r="U22">
        <f t="shared" si="5"/>
        <v>0.28382969944825936</v>
      </c>
      <c r="W22">
        <v>1</v>
      </c>
    </row>
    <row r="23" spans="1:23" x14ac:dyDescent="0.2">
      <c r="A23" s="2">
        <v>107.672</v>
      </c>
      <c r="B23" s="2"/>
      <c r="C23" s="4">
        <v>1.0375200000000001E-4</v>
      </c>
      <c r="D23" s="4">
        <v>1.63394E-4</v>
      </c>
      <c r="E23" s="2">
        <v>1.5748500000000001</v>
      </c>
      <c r="G23" s="4">
        <v>6.8431999999999998E-5</v>
      </c>
      <c r="H23" s="4">
        <v>1.0481599999999999E-4</v>
      </c>
      <c r="I23" s="2">
        <v>1.5316799999999999</v>
      </c>
      <c r="K23" s="4">
        <v>7.41872E-5</v>
      </c>
      <c r="L23" s="4">
        <v>1.4649300000000001E-4</v>
      </c>
      <c r="M23" s="2">
        <v>1.97464</v>
      </c>
      <c r="O23" s="3">
        <f t="shared" si="0"/>
        <v>8.2123733333333335E-5</v>
      </c>
      <c r="P23" s="3">
        <f t="shared" si="1"/>
        <v>1.3823433333333334E-4</v>
      </c>
      <c r="Q23">
        <f t="shared" si="2"/>
        <v>1.6937233333333335</v>
      </c>
      <c r="S23">
        <f t="shared" si="3"/>
        <v>1.5472923038075976E-5</v>
      </c>
      <c r="T23">
        <f t="shared" si="4"/>
        <v>2.4617063219554759E-5</v>
      </c>
      <c r="U23">
        <f t="shared" si="5"/>
        <v>0.19941839171840461</v>
      </c>
      <c r="W23">
        <v>1</v>
      </c>
    </row>
    <row r="24" spans="1:23" x14ac:dyDescent="0.2">
      <c r="A24" s="2">
        <v>168.90600000000001</v>
      </c>
      <c r="B24" s="2"/>
      <c r="C24" s="4">
        <v>6.7253600000000003E-5</v>
      </c>
      <c r="D24" s="4">
        <v>1.2803000000000001E-4</v>
      </c>
      <c r="E24" s="2">
        <v>1.9036900000000001</v>
      </c>
      <c r="G24" s="4">
        <v>4.2080999999999999E-5</v>
      </c>
      <c r="H24" s="4">
        <v>8.3355099999999998E-5</v>
      </c>
      <c r="I24" s="2">
        <v>1.9808300000000001</v>
      </c>
      <c r="K24" s="4">
        <v>5.0263000000000003E-5</v>
      </c>
      <c r="L24" s="4">
        <v>1.13176E-4</v>
      </c>
      <c r="M24" s="2">
        <v>2.2516699999999998</v>
      </c>
      <c r="O24" s="3">
        <f t="shared" si="0"/>
        <v>5.3199200000000011E-5</v>
      </c>
      <c r="P24" s="3">
        <f t="shared" si="1"/>
        <v>1.0818703333333333E-4</v>
      </c>
      <c r="Q24">
        <f t="shared" si="2"/>
        <v>2.0453966666666665</v>
      </c>
      <c r="S24">
        <f t="shared" si="3"/>
        <v>1.0484302568443295E-5</v>
      </c>
      <c r="T24">
        <f t="shared" si="4"/>
        <v>1.8576490766617421E-5</v>
      </c>
      <c r="U24">
        <f t="shared" si="5"/>
        <v>0.14921832088885351</v>
      </c>
      <c r="W24">
        <v>1</v>
      </c>
    </row>
    <row r="25" spans="1:23" x14ac:dyDescent="0.2">
      <c r="A25" s="2">
        <v>212.54300000000001</v>
      </c>
      <c r="B25" s="2"/>
      <c r="C25" s="4">
        <v>5.45602E-5</v>
      </c>
      <c r="D25" s="4">
        <v>1.1290699999999999E-4</v>
      </c>
      <c r="E25" s="2">
        <v>2.0693999999999999</v>
      </c>
      <c r="G25" s="4">
        <v>3.2866800000000002E-5</v>
      </c>
      <c r="H25" s="4">
        <v>7.3898899999999998E-5</v>
      </c>
      <c r="I25" s="2">
        <v>2.2484299999999999</v>
      </c>
      <c r="K25" s="4">
        <v>4.2536100000000001E-5</v>
      </c>
      <c r="L25" s="4">
        <v>1.01191E-4</v>
      </c>
      <c r="M25" s="2">
        <v>2.3789500000000001</v>
      </c>
      <c r="O25" s="3">
        <f t="shared" si="0"/>
        <v>4.3321033333333334E-5</v>
      </c>
      <c r="P25" s="3">
        <f t="shared" si="1"/>
        <v>9.599896666666666E-5</v>
      </c>
      <c r="Q25">
        <f t="shared" si="2"/>
        <v>2.2322600000000001</v>
      </c>
      <c r="S25">
        <f t="shared" si="3"/>
        <v>8.873668581570733E-6</v>
      </c>
      <c r="T25">
        <f t="shared" si="4"/>
        <v>1.6342702224608456E-5</v>
      </c>
      <c r="U25">
        <f t="shared" si="5"/>
        <v>0.12688945924176165</v>
      </c>
      <c r="W2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8A69-D4A5-564B-98D5-E7FF08E63020}">
  <dimension ref="A1:U25"/>
  <sheetViews>
    <sheetView topLeftCell="E1" workbookViewId="0">
      <selection activeCell="M1" sqref="M1"/>
    </sheetView>
  </sheetViews>
  <sheetFormatPr baseColWidth="10" defaultColWidth="8.83203125" defaultRowHeight="15" x14ac:dyDescent="0.2"/>
  <cols>
    <col min="14" max="14" width="8.83203125" style="5"/>
    <col min="20" max="20" width="11.83203125" bestFit="1" customWidth="1"/>
  </cols>
  <sheetData>
    <row r="1" spans="1:21" ht="64" x14ac:dyDescent="0.2">
      <c r="A1" s="1" t="s">
        <v>0</v>
      </c>
      <c r="B1" s="1"/>
      <c r="C1" s="1" t="s">
        <v>2</v>
      </c>
      <c r="D1" s="1" t="s">
        <v>3</v>
      </c>
      <c r="E1" s="1" t="s">
        <v>4</v>
      </c>
      <c r="G1" s="1" t="s">
        <v>2</v>
      </c>
      <c r="H1" s="1" t="s">
        <v>3</v>
      </c>
      <c r="I1" s="1" t="s">
        <v>4</v>
      </c>
      <c r="K1" s="1" t="s">
        <v>2</v>
      </c>
      <c r="L1" s="1" t="s">
        <v>3</v>
      </c>
      <c r="M1" s="1" t="s">
        <v>4</v>
      </c>
      <c r="O1" s="1" t="s">
        <v>7</v>
      </c>
      <c r="P1" s="1" t="s">
        <v>8</v>
      </c>
      <c r="Q1" s="1" t="s">
        <v>9</v>
      </c>
      <c r="S1" s="1" t="s">
        <v>10</v>
      </c>
      <c r="T1" s="1" t="s">
        <v>11</v>
      </c>
      <c r="U1" s="1" t="s">
        <v>12</v>
      </c>
    </row>
    <row r="2" spans="1:21" ht="16" x14ac:dyDescent="0.2">
      <c r="A2" s="1" t="s">
        <v>1</v>
      </c>
      <c r="B2" s="1"/>
      <c r="C2" s="1" t="s">
        <v>5</v>
      </c>
      <c r="D2" s="1" t="s">
        <v>5</v>
      </c>
      <c r="E2" s="1"/>
      <c r="G2" s="1" t="s">
        <v>5</v>
      </c>
      <c r="H2" s="1" t="s">
        <v>5</v>
      </c>
      <c r="I2" s="1"/>
      <c r="K2" s="1" t="s">
        <v>5</v>
      </c>
      <c r="L2" s="1" t="s">
        <v>5</v>
      </c>
      <c r="M2" s="1"/>
      <c r="O2" s="1" t="s">
        <v>5</v>
      </c>
      <c r="P2" s="1" t="s">
        <v>5</v>
      </c>
      <c r="S2" s="1" t="s">
        <v>5</v>
      </c>
      <c r="T2" s="1" t="s">
        <v>5</v>
      </c>
    </row>
    <row r="3" spans="1:21" x14ac:dyDescent="0.2">
      <c r="A3" s="2">
        <v>1.0063000000000001E-2</v>
      </c>
      <c r="B3" s="4"/>
      <c r="C3" s="4">
        <v>1.4782300000000001E-3</v>
      </c>
      <c r="D3" s="4">
        <v>2.3634099999999999E-4</v>
      </c>
      <c r="E3" s="2">
        <v>0.159882</v>
      </c>
      <c r="G3" s="4">
        <v>1.2605100000000001E-3</v>
      </c>
      <c r="H3" s="4">
        <v>3.58718E-4</v>
      </c>
      <c r="I3" s="2">
        <v>0.28458299999999997</v>
      </c>
      <c r="K3" s="4">
        <v>1.51475E-3</v>
      </c>
      <c r="L3" s="4">
        <v>3.2459200000000001E-4</v>
      </c>
      <c r="M3" s="2">
        <v>0.21428700000000001</v>
      </c>
      <c r="O3" s="3">
        <f>AVERAGE(C3,G3,K3)</f>
        <v>1.4178300000000001E-3</v>
      </c>
      <c r="P3" s="3">
        <f>AVERAGE(D3,H3,L3)</f>
        <v>3.0655033333333337E-4</v>
      </c>
      <c r="Q3">
        <f>AVERAGE(E3,I3,M3)</f>
        <v>0.219584</v>
      </c>
      <c r="S3">
        <f>_xlfn.STDEV.P(C3,G3,K3)</f>
        <v>1.1223669750427739E-4</v>
      </c>
      <c r="T3">
        <f>_xlfn.STDEV.P(D3,H3,L3)</f>
        <v>5.1563286902817036E-5</v>
      </c>
      <c r="U3">
        <f>_xlfn.STDEV.P(E3,I3,M3)</f>
        <v>5.1046570286357049E-2</v>
      </c>
    </row>
    <row r="4" spans="1:21" x14ac:dyDescent="0.2">
      <c r="A4" s="2">
        <v>1.6459600000000001E-2</v>
      </c>
      <c r="B4" s="2"/>
      <c r="C4" s="4">
        <v>1.3630000000000001E-3</v>
      </c>
      <c r="D4" s="4">
        <v>2.8392100000000002E-4</v>
      </c>
      <c r="E4" s="2">
        <v>0.20830599999999999</v>
      </c>
      <c r="G4" s="4">
        <v>1.05481E-3</v>
      </c>
      <c r="H4" s="4">
        <v>3.8664100000000001E-4</v>
      </c>
      <c r="I4" s="2">
        <v>0.36655100000000002</v>
      </c>
      <c r="K4" s="4">
        <v>1.3201300000000001E-3</v>
      </c>
      <c r="L4" s="4">
        <v>5.22296E-4</v>
      </c>
      <c r="M4" s="2">
        <v>0.39563999999999999</v>
      </c>
      <c r="O4" s="3">
        <f>AVERAGE(C4,G4,K4)</f>
        <v>1.24598E-3</v>
      </c>
      <c r="P4" s="3">
        <f>AVERAGE(D4,H4,L4)</f>
        <v>3.9761933333333331E-4</v>
      </c>
      <c r="Q4">
        <f>AVERAGE(E4,I4,M4)</f>
        <v>0.32349899999999998</v>
      </c>
      <c r="S4">
        <f>_xlfn.STDEV.P(C4,G4,K4)</f>
        <v>1.3630587148028513E-4</v>
      </c>
      <c r="T4">
        <f>_xlfn.STDEV.P(D4,H4,L4)</f>
        <v>9.7625314368536372E-5</v>
      </c>
      <c r="U4">
        <f>_xlfn.STDEV.P(E4,I4,M4)</f>
        <v>8.2314895035265054E-2</v>
      </c>
    </row>
    <row r="5" spans="1:21" x14ac:dyDescent="0.2">
      <c r="A5" s="2">
        <v>2.4709200000000001E-2</v>
      </c>
      <c r="B5" s="2"/>
      <c r="C5" s="4">
        <v>1.4216000000000001E-3</v>
      </c>
      <c r="D5" s="4">
        <v>2.7233800000000001E-4</v>
      </c>
      <c r="E5" s="2">
        <v>0.19157099999999999</v>
      </c>
      <c r="G5" s="4">
        <v>9.2563499999999996E-4</v>
      </c>
      <c r="H5" s="4">
        <v>3.2495700000000001E-4</v>
      </c>
      <c r="I5" s="2">
        <v>0.35106399999999999</v>
      </c>
      <c r="K5" s="4">
        <v>1.24423E-3</v>
      </c>
      <c r="L5" s="4">
        <v>3.8349E-4</v>
      </c>
      <c r="M5" s="2">
        <v>0.30821399999999999</v>
      </c>
      <c r="O5" s="3">
        <f>AVERAGE(C5,G5,K5)</f>
        <v>1.1971550000000001E-3</v>
      </c>
      <c r="P5" s="3">
        <f>AVERAGE(D5,H5,L5)</f>
        <v>3.2692833333333336E-4</v>
      </c>
      <c r="Q5">
        <f>AVERAGE(E5,I5,M5)</f>
        <v>0.2836163333333333</v>
      </c>
      <c r="S5">
        <f>_xlfn.STDEV.P(C5,G5,K5)</f>
        <v>2.0519480504307776E-4</v>
      </c>
      <c r="T5">
        <f>_xlfn.STDEV.P(D5,H5,L5)</f>
        <v>4.5399019022686181E-5</v>
      </c>
      <c r="U5">
        <f>_xlfn.STDEV.P(E5,I5,M5)</f>
        <v>6.7395787041096999E-2</v>
      </c>
    </row>
    <row r="6" spans="1:21" x14ac:dyDescent="0.2">
      <c r="A6" s="2">
        <v>4.2340599999999999E-2</v>
      </c>
      <c r="B6" s="2"/>
      <c r="C6" s="4">
        <v>1.2022700000000001E-3</v>
      </c>
      <c r="D6" s="4">
        <v>4.2105700000000002E-4</v>
      </c>
      <c r="E6" s="2">
        <v>0.350219</v>
      </c>
      <c r="G6" s="4">
        <v>9.5575599999999999E-4</v>
      </c>
      <c r="H6" s="4">
        <v>3.7660299999999999E-4</v>
      </c>
      <c r="I6" s="2">
        <v>0.39403700000000003</v>
      </c>
      <c r="K6" s="4">
        <v>8.4249399999999995E-4</v>
      </c>
      <c r="L6" s="4">
        <v>2.8722699999999998E-4</v>
      </c>
      <c r="M6" s="2">
        <v>0.34092499999999998</v>
      </c>
      <c r="O6" s="3">
        <f>AVERAGE(C6,G6,K6)</f>
        <v>1.0001733333333334E-3</v>
      </c>
      <c r="P6" s="3">
        <f>AVERAGE(D6,H6,L6)</f>
        <v>3.6162899999999998E-4</v>
      </c>
      <c r="Q6">
        <f>AVERAGE(E6,I6,M6)</f>
        <v>0.36172699999999997</v>
      </c>
      <c r="S6">
        <f>_xlfn.STDEV.P(C6,G6,K6)</f>
        <v>1.5019846241852447E-4</v>
      </c>
      <c r="T6">
        <f>_xlfn.STDEV.P(D6,H6,L6)</f>
        <v>5.5652389777978104E-5</v>
      </c>
      <c r="U6">
        <f>_xlfn.STDEV.P(E6,I6,M6)</f>
        <v>2.3159543518817483E-2</v>
      </c>
    </row>
    <row r="7" spans="1:21" x14ac:dyDescent="0.2">
      <c r="A7" s="2">
        <v>7.0416000000000006E-2</v>
      </c>
      <c r="B7" s="2"/>
      <c r="C7" s="4">
        <v>9.2854899999999998E-4</v>
      </c>
      <c r="D7" s="4">
        <v>3.5738600000000001E-4</v>
      </c>
      <c r="E7" s="2">
        <v>0.38488600000000001</v>
      </c>
      <c r="G7" s="4">
        <v>9.43238E-4</v>
      </c>
      <c r="H7" s="4">
        <v>3.47642E-4</v>
      </c>
      <c r="I7" s="2">
        <v>0.36856299999999997</v>
      </c>
      <c r="K7" s="4">
        <v>8.8213199999999999E-4</v>
      </c>
      <c r="L7" s="4">
        <v>3.5527699999999998E-4</v>
      </c>
      <c r="M7" s="2">
        <v>0.40274799999999999</v>
      </c>
      <c r="O7" s="3">
        <f>AVERAGE(C7,G7,K7)</f>
        <v>9.1797299999999999E-4</v>
      </c>
      <c r="P7" s="3">
        <f>AVERAGE(D7,H7,L7)</f>
        <v>3.5343500000000003E-4</v>
      </c>
      <c r="Q7">
        <f>AVERAGE(E7,I7,M7)</f>
        <v>0.38539900000000005</v>
      </c>
      <c r="S7">
        <f>_xlfn.STDEV.P(C7,G7,K7)</f>
        <v>2.6043228691286853E-5</v>
      </c>
      <c r="T7">
        <f>_xlfn.STDEV.P(D7,H7,L7)</f>
        <v>4.1857780638729508E-6</v>
      </c>
      <c r="U7">
        <f>_xlfn.STDEV.P(E7,I7,M7)</f>
        <v>1.3960681287100577E-2</v>
      </c>
    </row>
    <row r="8" spans="1:21" x14ac:dyDescent="0.2">
      <c r="A8" s="2">
        <v>0.104252</v>
      </c>
      <c r="B8" s="2"/>
      <c r="C8" s="4">
        <v>8.5008700000000002E-4</v>
      </c>
      <c r="D8" s="4">
        <v>3.15299E-4</v>
      </c>
      <c r="E8" s="2">
        <v>0.37090200000000001</v>
      </c>
      <c r="G8" s="4">
        <v>8.5749399999999999E-4</v>
      </c>
      <c r="H8" s="4">
        <v>2.5214699999999998E-4</v>
      </c>
      <c r="I8" s="2">
        <v>0.29405100000000001</v>
      </c>
      <c r="K8" s="4">
        <v>8.4479499999999996E-4</v>
      </c>
      <c r="L8" s="4">
        <v>2.9731899999999999E-4</v>
      </c>
      <c r="M8" s="2">
        <v>0.35194199999999998</v>
      </c>
      <c r="O8" s="3">
        <f>AVERAGE(C8,G8,K8)</f>
        <v>8.5079200000000006E-4</v>
      </c>
      <c r="P8" s="3">
        <f>AVERAGE(D8,H8,L8)</f>
        <v>2.8825500000000001E-4</v>
      </c>
      <c r="Q8">
        <f>AVERAGE(E8,I8,M8)</f>
        <v>0.33896499999999996</v>
      </c>
      <c r="S8">
        <f>_xlfn.STDEV.P(C8,G8,K8)</f>
        <v>5.2082574821143464E-6</v>
      </c>
      <c r="T8">
        <f>_xlfn.STDEV.P(D8,H8,L8)</f>
        <v>2.6566405452500851E-5</v>
      </c>
      <c r="U8">
        <f>_xlfn.STDEV.P(E8,I8,M8)</f>
        <v>3.2688641727670477E-2</v>
      </c>
    </row>
    <row r="9" spans="1:21" x14ac:dyDescent="0.2">
      <c r="A9" s="2">
        <v>0.16531999999999999</v>
      </c>
      <c r="B9" s="2"/>
      <c r="C9" s="4">
        <v>7.9053499999999998E-4</v>
      </c>
      <c r="D9" s="4">
        <v>2.3208199999999999E-4</v>
      </c>
      <c r="E9" s="2">
        <v>0.293576</v>
      </c>
      <c r="G9" s="4">
        <v>8.32623E-4</v>
      </c>
      <c r="H9" s="4">
        <v>1.94122E-4</v>
      </c>
      <c r="I9" s="2">
        <v>0.23314499999999999</v>
      </c>
      <c r="K9" s="4">
        <v>8.19533E-4</v>
      </c>
      <c r="L9" s="4">
        <v>2.3770799999999999E-4</v>
      </c>
      <c r="M9" s="2">
        <v>0.29005300000000001</v>
      </c>
      <c r="O9" s="3">
        <f>AVERAGE(C9,G9,K9)</f>
        <v>8.1423033333333325E-4</v>
      </c>
      <c r="P9" s="3">
        <f>AVERAGE(D9,H9,L9)</f>
        <v>2.2130399999999999E-4</v>
      </c>
      <c r="Q9">
        <f>AVERAGE(E9,I9,M9)</f>
        <v>0.272258</v>
      </c>
      <c r="S9">
        <f>_xlfn.STDEV.P(C9,G9,K9)</f>
        <v>1.7586711675454168E-5</v>
      </c>
      <c r="T9">
        <f>_xlfn.STDEV.P(D9,H9,L9)</f>
        <v>1.9357320957887398E-5</v>
      </c>
      <c r="U9">
        <f>_xlfn.STDEV.P(E9,I9,M9)</f>
        <v>2.7694439381700242E-2</v>
      </c>
    </row>
    <row r="10" spans="1:21" x14ac:dyDescent="0.2">
      <c r="A10" s="2">
        <v>0.25311800000000001</v>
      </c>
      <c r="B10" s="2"/>
      <c r="C10" s="4">
        <v>7.8153800000000002E-4</v>
      </c>
      <c r="D10" s="4">
        <v>2.1152200000000001E-4</v>
      </c>
      <c r="E10" s="2">
        <v>0.27064899999999997</v>
      </c>
      <c r="G10" s="4">
        <v>8.3024100000000001E-4</v>
      </c>
      <c r="H10" s="4">
        <v>1.8589299999999999E-4</v>
      </c>
      <c r="I10" s="2">
        <v>0.22390199999999999</v>
      </c>
      <c r="K10" s="4">
        <v>8.0660200000000001E-4</v>
      </c>
      <c r="L10" s="4">
        <v>1.90965E-4</v>
      </c>
      <c r="M10" s="2">
        <v>0.23675199999999999</v>
      </c>
      <c r="O10" s="3">
        <f>AVERAGE(C10,G10,K10)</f>
        <v>8.0612699999999991E-4</v>
      </c>
      <c r="P10" s="3">
        <f>AVERAGE(D10,H10,L10)</f>
        <v>1.9612666666666667E-4</v>
      </c>
      <c r="Q10">
        <f>AVERAGE(E10,I10,M10)</f>
        <v>0.24376766666666663</v>
      </c>
      <c r="S10">
        <f>_xlfn.STDEV.P(C10,G10,K10)</f>
        <v>1.9885753208432071E-5</v>
      </c>
      <c r="T10">
        <f>_xlfn.STDEV.P(D10,H10,L10)</f>
        <v>1.1081320990247015E-5</v>
      </c>
      <c r="U10">
        <f>_xlfn.STDEV.P(E10,I10,M10)</f>
        <v>1.9718606886784756E-2</v>
      </c>
    </row>
    <row r="11" spans="1:21" x14ac:dyDescent="0.2">
      <c r="A11" s="2">
        <v>0.400893</v>
      </c>
      <c r="B11" s="2"/>
      <c r="C11" s="4">
        <v>7.7525100000000002E-4</v>
      </c>
      <c r="D11" s="4">
        <v>1.8857800000000001E-4</v>
      </c>
      <c r="E11" s="2">
        <v>0.24324699999999999</v>
      </c>
      <c r="G11" s="4">
        <v>8.2753999999999998E-4</v>
      </c>
      <c r="H11" s="4">
        <v>1.6814999999999999E-4</v>
      </c>
      <c r="I11" s="2">
        <v>0.20319300000000001</v>
      </c>
      <c r="K11" s="4">
        <v>8.0608299999999997E-4</v>
      </c>
      <c r="L11" s="4">
        <v>1.8117799999999999E-4</v>
      </c>
      <c r="M11" s="2">
        <v>0.22476399999999999</v>
      </c>
      <c r="O11" s="3">
        <f>AVERAGE(C11,G11,K11)</f>
        <v>8.0295799999999999E-4</v>
      </c>
      <c r="P11" s="3">
        <f>AVERAGE(D11,H11,L11)</f>
        <v>1.79302E-4</v>
      </c>
      <c r="Q11">
        <f>AVERAGE(E11,I11,M11)</f>
        <v>0.22373466666666667</v>
      </c>
      <c r="S11">
        <f>_xlfn.STDEV.P(C11,G11,K11)</f>
        <v>2.1460958335234378E-5</v>
      </c>
      <c r="T11">
        <f>_xlfn.STDEV.P(D11,H11,L11)</f>
        <v>8.4445378006535529E-6</v>
      </c>
      <c r="U11">
        <f>_xlfn.STDEV.P(E11,I11,M11)</f>
        <v>1.6368167772301882E-2</v>
      </c>
    </row>
    <row r="12" spans="1:21" x14ac:dyDescent="0.2">
      <c r="A12" s="2">
        <v>0.63417999999999997</v>
      </c>
      <c r="B12" s="2"/>
      <c r="C12" s="4">
        <v>7.7119500000000002E-4</v>
      </c>
      <c r="D12" s="4">
        <v>1.68219E-4</v>
      </c>
      <c r="E12" s="2">
        <v>0.21812799999999999</v>
      </c>
      <c r="G12" s="4">
        <v>8.3164800000000004E-4</v>
      </c>
      <c r="H12" s="4">
        <v>1.6618700000000001E-4</v>
      </c>
      <c r="I12" s="2">
        <v>0.19982800000000001</v>
      </c>
      <c r="K12" s="4">
        <v>8.04122E-4</v>
      </c>
      <c r="L12" s="4">
        <v>1.7015800000000001E-4</v>
      </c>
      <c r="M12" s="2">
        <v>0.21160699999999999</v>
      </c>
      <c r="O12" s="3">
        <f>AVERAGE(C12,G12,K12)</f>
        <v>8.0232166666666669E-4</v>
      </c>
      <c r="P12" s="3">
        <f>AVERAGE(D12,H12,L12)</f>
        <v>1.68188E-4</v>
      </c>
      <c r="Q12">
        <f>AVERAGE(E12,I12,M12)</f>
        <v>0.20985433333333334</v>
      </c>
      <c r="S12">
        <f>_xlfn.STDEV.P(C12,G12,K12)</f>
        <v>2.4712644568227741E-5</v>
      </c>
      <c r="T12">
        <f>_xlfn.STDEV.P(D12,H12,L12)</f>
        <v>1.6213021515641855E-6</v>
      </c>
      <c r="U12">
        <f>_xlfn.STDEV.P(E12,I12,M12)</f>
        <v>7.5730390347747518E-3</v>
      </c>
    </row>
    <row r="13" spans="1:21" x14ac:dyDescent="0.2">
      <c r="A13" s="2">
        <v>1.00248</v>
      </c>
      <c r="B13" s="2"/>
      <c r="C13" s="4">
        <v>7.6999399999999997E-4</v>
      </c>
      <c r="D13" s="4">
        <v>1.5433499999999999E-4</v>
      </c>
      <c r="E13" s="2">
        <v>0.200436</v>
      </c>
      <c r="G13" s="4">
        <v>8.3171600000000003E-4</v>
      </c>
      <c r="H13" s="4">
        <v>1.5787900000000001E-4</v>
      </c>
      <c r="I13" s="2">
        <v>0.18982399999999999</v>
      </c>
      <c r="K13" s="4">
        <v>8.0523599999999997E-4</v>
      </c>
      <c r="L13" s="4">
        <v>1.61325E-4</v>
      </c>
      <c r="M13" s="2">
        <v>0.20034399999999999</v>
      </c>
      <c r="O13" s="3">
        <f>AVERAGE(C13,G13,K13)</f>
        <v>8.0231533333333333E-4</v>
      </c>
      <c r="P13" s="3">
        <f>AVERAGE(D13,H13,L13)</f>
        <v>1.5784633333333335E-4</v>
      </c>
      <c r="Q13">
        <f>AVERAGE(E13,I13,M13)</f>
        <v>0.19686800000000002</v>
      </c>
      <c r="S13">
        <f>_xlfn.STDEV.P(C13,G13,K13)</f>
        <v>2.5282392309449079E-5</v>
      </c>
      <c r="T13">
        <f>_xlfn.STDEV.P(D13,H13,L13)</f>
        <v>2.8537490351387918E-6</v>
      </c>
      <c r="U13">
        <f>_xlfn.STDEV.P(E13,I13,M13)</f>
        <v>4.9810017734052952E-3</v>
      </c>
    </row>
    <row r="14" spans="1:21" x14ac:dyDescent="0.2">
      <c r="A14" s="2">
        <v>1.5872299999999999</v>
      </c>
      <c r="B14" s="2"/>
      <c r="C14" s="4">
        <v>7.6860700000000004E-4</v>
      </c>
      <c r="D14" s="4">
        <v>1.4856900000000001E-4</v>
      </c>
      <c r="E14" s="2">
        <v>0.193297</v>
      </c>
      <c r="G14" s="4">
        <v>8.3188399999999997E-4</v>
      </c>
      <c r="H14" s="4">
        <v>1.5331500000000001E-4</v>
      </c>
      <c r="I14" s="2">
        <v>0.18429899999999999</v>
      </c>
      <c r="K14" s="4">
        <v>8.0438700000000005E-4</v>
      </c>
      <c r="L14" s="4">
        <v>1.5265E-4</v>
      </c>
      <c r="M14" s="2">
        <v>0.189772</v>
      </c>
      <c r="O14" s="3">
        <f>AVERAGE(C14,G14,K14)</f>
        <v>8.0162600000000005E-4</v>
      </c>
      <c r="P14" s="3">
        <f>AVERAGE(D14,H14,L14)</f>
        <v>1.5151133333333333E-4</v>
      </c>
      <c r="Q14">
        <f>AVERAGE(E14,I14,M14)</f>
        <v>0.18912266666666666</v>
      </c>
      <c r="S14">
        <f>_xlfn.STDEV.P(C14,G14,K14)</f>
        <v>2.5906395902685217E-5</v>
      </c>
      <c r="T14">
        <f>_xlfn.STDEV.P(D14,H14,L14)</f>
        <v>2.0981818054899057E-6</v>
      </c>
      <c r="U14">
        <f>_xlfn.STDEV.P(E14,I14,M14)</f>
        <v>3.7020018308417373E-3</v>
      </c>
    </row>
    <row r="15" spans="1:21" x14ac:dyDescent="0.2">
      <c r="A15" s="2">
        <v>2.5164499999999999</v>
      </c>
      <c r="B15" s="2"/>
      <c r="C15" s="4">
        <v>7.6606600000000003E-4</v>
      </c>
      <c r="D15" s="4">
        <v>1.4527100000000001E-4</v>
      </c>
      <c r="E15" s="2">
        <v>0.189632</v>
      </c>
      <c r="G15" s="4">
        <v>8.3069999999999997E-4</v>
      </c>
      <c r="H15" s="4">
        <v>1.51213E-4</v>
      </c>
      <c r="I15" s="2">
        <v>0.182031</v>
      </c>
      <c r="K15" s="4">
        <v>8.0298399999999997E-4</v>
      </c>
      <c r="L15" s="4">
        <v>1.482E-4</v>
      </c>
      <c r="M15" s="2">
        <v>0.184562</v>
      </c>
      <c r="O15" s="3">
        <f>AVERAGE(C15,G15,K15)</f>
        <v>7.9991666666666666E-4</v>
      </c>
      <c r="P15" s="3">
        <f>AVERAGE(D15,H15,L15)</f>
        <v>1.48228E-4</v>
      </c>
      <c r="Q15">
        <f>AVERAGE(E15,I15,M15)</f>
        <v>0.18540833333333331</v>
      </c>
      <c r="S15">
        <f>_xlfn.STDEV.P(C15,G15,K15)</f>
        <v>2.647571074693849E-5</v>
      </c>
      <c r="T15">
        <f>_xlfn.STDEV.P(D15,H15,L15)</f>
        <v>2.4258921383001864E-6</v>
      </c>
      <c r="U15">
        <f>_xlfn.STDEV.P(E15,I15,M15)</f>
        <v>3.1602753396218833E-3</v>
      </c>
    </row>
    <row r="16" spans="1:21" x14ac:dyDescent="0.2">
      <c r="A16" s="2">
        <v>3.9995400000000001</v>
      </c>
      <c r="B16" s="2"/>
      <c r="C16" s="4">
        <v>7.5788600000000004E-4</v>
      </c>
      <c r="D16" s="4">
        <v>1.4561399999999999E-4</v>
      </c>
      <c r="E16" s="2">
        <v>0.192132</v>
      </c>
      <c r="G16" s="4">
        <v>8.2519600000000005E-4</v>
      </c>
      <c r="H16" s="4">
        <v>1.5135300000000001E-4</v>
      </c>
      <c r="I16" s="2">
        <v>0.18341399999999999</v>
      </c>
      <c r="K16" s="4">
        <v>7.9737099999999995E-4</v>
      </c>
      <c r="L16" s="4">
        <v>1.48393E-4</v>
      </c>
      <c r="M16" s="2">
        <v>0.18610299999999999</v>
      </c>
      <c r="O16" s="3">
        <f>AVERAGE(C16,G16,K16)</f>
        <v>7.9348433333333327E-4</v>
      </c>
      <c r="P16" s="3">
        <f>AVERAGE(D16,H16,L16)</f>
        <v>1.4845333333333334E-4</v>
      </c>
      <c r="Q16">
        <f>AVERAGE(E16,I16,M16)</f>
        <v>0.18721633333333332</v>
      </c>
      <c r="S16">
        <f>_xlfn.STDEV.P(C16,G16,K16)</f>
        <v>2.7616283340731341E-5</v>
      </c>
      <c r="T16">
        <f>_xlfn.STDEV.P(D16,H16,L16)</f>
        <v>2.3433253200432063E-6</v>
      </c>
      <c r="U16">
        <f>_xlfn.STDEV.P(E16,I16,M16)</f>
        <v>3.6451350531297973E-3</v>
      </c>
    </row>
    <row r="17" spans="1:21" x14ac:dyDescent="0.2">
      <c r="A17" s="2">
        <v>6.3947099999999999</v>
      </c>
      <c r="B17" s="2"/>
      <c r="C17" s="4">
        <v>7.3136200000000005E-4</v>
      </c>
      <c r="D17" s="4">
        <v>1.6015499999999999E-4</v>
      </c>
      <c r="E17" s="2">
        <v>0.21898300000000001</v>
      </c>
      <c r="G17" s="4">
        <v>8.0458899999999998E-4</v>
      </c>
      <c r="H17" s="4">
        <v>1.6252899999999999E-4</v>
      </c>
      <c r="I17" s="2">
        <v>0.20200299999999999</v>
      </c>
      <c r="K17" s="4">
        <v>7.7720600000000001E-4</v>
      </c>
      <c r="L17" s="4">
        <v>1.5754399999999999E-4</v>
      </c>
      <c r="M17" s="2">
        <v>0.202706</v>
      </c>
      <c r="O17" s="3">
        <f>AVERAGE(C17,G17,K17)</f>
        <v>7.7105233333333342E-4</v>
      </c>
      <c r="P17" s="3">
        <f>AVERAGE(D17,H17,L17)</f>
        <v>1.6007599999999999E-4</v>
      </c>
      <c r="Q17">
        <f>AVERAGE(E17,I17,M17)</f>
        <v>0.2078973333333333</v>
      </c>
      <c r="S17">
        <f>_xlfn.STDEV.P(C17,G17,K17)</f>
        <v>3.0209811787269057E-5</v>
      </c>
      <c r="T17">
        <f>_xlfn.STDEV.P(D17,H17,L17)</f>
        <v>2.0358842468732487E-6</v>
      </c>
      <c r="U17">
        <f>_xlfn.STDEV.P(E17,I17,M17)</f>
        <v>7.8440022239217293E-3</v>
      </c>
    </row>
    <row r="18" spans="1:21" x14ac:dyDescent="0.2">
      <c r="A18" s="2">
        <v>10.443099999999999</v>
      </c>
      <c r="B18" s="2"/>
      <c r="C18" s="4">
        <v>6.2913200000000002E-4</v>
      </c>
      <c r="D18" s="4">
        <v>2.6054300000000002E-4</v>
      </c>
      <c r="E18" s="2">
        <v>0.41413</v>
      </c>
      <c r="G18" s="4">
        <v>6.8051799999999996E-4</v>
      </c>
      <c r="H18" s="4">
        <v>2.9494500000000002E-4</v>
      </c>
      <c r="I18" s="2">
        <v>0.43341299999999999</v>
      </c>
      <c r="K18" s="4">
        <v>6.7389499999999998E-4</v>
      </c>
      <c r="L18" s="4">
        <v>2.5396400000000002E-4</v>
      </c>
      <c r="M18" s="2">
        <v>0.376859</v>
      </c>
      <c r="O18" s="3">
        <f>AVERAGE(C18,G18,K18)</f>
        <v>6.6118166666666658E-4</v>
      </c>
      <c r="P18" s="3">
        <f>AVERAGE(D18,H18,L18)</f>
        <v>2.6981733333333332E-4</v>
      </c>
      <c r="Q18">
        <f>AVERAGE(E18,I18,M18)</f>
        <v>0.408134</v>
      </c>
      <c r="S18">
        <f>_xlfn.STDEV.P(C18,G18,K18)</f>
        <v>2.2823261267594688E-5</v>
      </c>
      <c r="T18">
        <f>_xlfn.STDEV.P(D18,H18,L18)</f>
        <v>1.796979937438244E-5</v>
      </c>
      <c r="U18">
        <f>_xlfn.STDEV.P(E18,I18,M18)</f>
        <v>2.3474138124043375E-2</v>
      </c>
    </row>
    <row r="19" spans="1:21" x14ac:dyDescent="0.2">
      <c r="A19" s="2">
        <v>17.546099999999999</v>
      </c>
      <c r="B19" s="2"/>
      <c r="C19" s="4">
        <v>4.3631399999999998E-4</v>
      </c>
      <c r="D19" s="4">
        <v>3.52813E-4</v>
      </c>
      <c r="E19" s="2">
        <v>0.80862199999999995</v>
      </c>
      <c r="G19" s="4">
        <v>4.2876399999999999E-4</v>
      </c>
      <c r="H19" s="4">
        <v>3.91808E-4</v>
      </c>
      <c r="I19" s="2">
        <v>0.91380700000000004</v>
      </c>
      <c r="K19" s="4">
        <v>4.4863200000000002E-4</v>
      </c>
      <c r="L19" s="4">
        <v>3.6071200000000001E-4</v>
      </c>
      <c r="M19" s="2">
        <v>0.80402600000000002</v>
      </c>
      <c r="O19" s="3">
        <f>AVERAGE(C19,G19,K19)</f>
        <v>4.3790333333333333E-4</v>
      </c>
      <c r="P19" s="3">
        <f>AVERAGE(D19,H19,L19)</f>
        <v>3.6844433333333332E-4</v>
      </c>
      <c r="Q19">
        <f>AVERAGE(E19,I19,M19)</f>
        <v>0.84215166666666663</v>
      </c>
      <c r="S19">
        <f>_xlfn.STDEV.P(C19,G19,K19)</f>
        <v>8.1885628097297476E-6</v>
      </c>
      <c r="T19">
        <f>_xlfn.STDEV.P(D19,H19,L19)</f>
        <v>1.6832394171821059E-5</v>
      </c>
      <c r="U19">
        <f>_xlfn.STDEV.P(E19,I19,M19)</f>
        <v>5.0702701442384292E-2</v>
      </c>
    </row>
    <row r="20" spans="1:21" x14ac:dyDescent="0.2">
      <c r="A20" s="2">
        <v>27.911200000000001</v>
      </c>
      <c r="B20" s="2"/>
      <c r="C20" s="4">
        <v>3.0557300000000001E-4</v>
      </c>
      <c r="D20" s="4">
        <v>3.4071200000000001E-4</v>
      </c>
      <c r="E20" s="2">
        <v>1.115</v>
      </c>
      <c r="G20" s="4">
        <v>2.8061399999999999E-4</v>
      </c>
      <c r="H20" s="4">
        <v>3.6550299999999999E-4</v>
      </c>
      <c r="I20" s="2">
        <v>1.3025100000000001</v>
      </c>
      <c r="K20" s="4">
        <v>2.9283500000000002E-4</v>
      </c>
      <c r="L20" s="4">
        <v>3.4997400000000002E-4</v>
      </c>
      <c r="M20" s="2">
        <v>1.19512</v>
      </c>
      <c r="O20" s="3">
        <f>AVERAGE(C20,G20,K20)</f>
        <v>2.9300733333333329E-4</v>
      </c>
      <c r="P20" s="3">
        <f>AVERAGE(D20,H20,L20)</f>
        <v>3.5206300000000006E-4</v>
      </c>
      <c r="Q20">
        <f>AVERAGE(E20,I20,M20)</f>
        <v>1.20421</v>
      </c>
      <c r="S20">
        <f>_xlfn.STDEV.P(C20,G20,K20)</f>
        <v>1.0190197719159117E-5</v>
      </c>
      <c r="T20">
        <f>_xlfn.STDEV.P(D20,H20,L20)</f>
        <v>1.022811031748614E-5</v>
      </c>
      <c r="U20">
        <f>_xlfn.STDEV.P(E20,I20,M20)</f>
        <v>7.6820010847868742E-2</v>
      </c>
    </row>
    <row r="21" spans="1:21" x14ac:dyDescent="0.2">
      <c r="A21" s="2">
        <v>44.9146</v>
      </c>
      <c r="B21" s="2"/>
      <c r="C21" s="4">
        <v>2.04718E-4</v>
      </c>
      <c r="D21" s="4">
        <v>2.9308399999999999E-4</v>
      </c>
      <c r="E21" s="2">
        <v>1.4316500000000001</v>
      </c>
      <c r="G21" s="4">
        <v>1.8313800000000001E-4</v>
      </c>
      <c r="H21" s="4">
        <v>3.1131600000000001E-4</v>
      </c>
      <c r="I21" s="2">
        <v>1.6999</v>
      </c>
      <c r="K21" s="4">
        <v>1.8299700000000001E-4</v>
      </c>
      <c r="L21" s="4">
        <v>3.0020099999999999E-4</v>
      </c>
      <c r="M21" s="2">
        <v>1.6404700000000001</v>
      </c>
      <c r="O21" s="3">
        <f>AVERAGE(C21,G21,K21)</f>
        <v>1.9028433333333336E-4</v>
      </c>
      <c r="P21" s="3">
        <f>AVERAGE(D21,H21,L21)</f>
        <v>3.0153366666666663E-4</v>
      </c>
      <c r="Q21">
        <f>AVERAGE(E21,I21,M21)</f>
        <v>1.5906733333333332</v>
      </c>
      <c r="S21">
        <f>_xlfn.STDEV.P(C21,G21,K21)</f>
        <v>1.0206305904793475E-5</v>
      </c>
      <c r="T21">
        <f>_xlfn.STDEV.P(D21,H21,L21)</f>
        <v>7.502597609420956E-6</v>
      </c>
      <c r="U21">
        <f>_xlfn.STDEV.P(E21,I21,M21)</f>
        <v>0.11503418805825602</v>
      </c>
    </row>
    <row r="22" spans="1:21" x14ac:dyDescent="0.2">
      <c r="A22" s="2">
        <v>76.440700000000007</v>
      </c>
      <c r="B22" s="2"/>
      <c r="C22" s="4">
        <v>1.00049E-4</v>
      </c>
      <c r="D22" s="4">
        <v>2.11738E-4</v>
      </c>
      <c r="E22" s="2">
        <v>2.1163400000000001</v>
      </c>
      <c r="G22" s="4">
        <v>9.2148699999999994E-5</v>
      </c>
      <c r="H22" s="4">
        <v>2.2848200000000001E-4</v>
      </c>
      <c r="I22" s="2">
        <v>2.4794900000000002</v>
      </c>
      <c r="K22" s="4">
        <v>9.2392799999999994E-5</v>
      </c>
      <c r="L22" s="4">
        <v>2.2134800000000001E-4</v>
      </c>
      <c r="M22" s="2">
        <v>2.3957299999999999</v>
      </c>
      <c r="O22" s="3">
        <f>AVERAGE(C22,G22,K22)</f>
        <v>9.4863499999999997E-5</v>
      </c>
      <c r="P22" s="3">
        <f>AVERAGE(D22,H22,L22)</f>
        <v>2.2052266666666666E-4</v>
      </c>
      <c r="Q22">
        <f>AVERAGE(E22,I22,M22)</f>
        <v>2.3305199999999999</v>
      </c>
      <c r="S22">
        <f>_xlfn.STDEV.P(C22,G22,K22)</f>
        <v>3.6680561509697067E-6</v>
      </c>
      <c r="T22">
        <f>_xlfn.STDEV.P(D22,H22,L22)</f>
        <v>6.8605765225833831E-6</v>
      </c>
      <c r="U22">
        <f>_xlfn.STDEV.P(E22,I22,M22)</f>
        <v>0.15526050946715331</v>
      </c>
    </row>
    <row r="23" spans="1:21" x14ac:dyDescent="0.2">
      <c r="A23" s="2">
        <v>120.111</v>
      </c>
      <c r="B23" s="2"/>
      <c r="C23" s="4">
        <v>4.7009999999999999E-5</v>
      </c>
      <c r="D23" s="4">
        <v>1.46293E-4</v>
      </c>
      <c r="E23" s="2">
        <v>3.1119599999999998</v>
      </c>
      <c r="G23" s="4">
        <v>4.2037399999999998E-5</v>
      </c>
      <c r="H23" s="4">
        <v>1.54136E-4</v>
      </c>
      <c r="I23" s="2">
        <v>3.6666400000000001</v>
      </c>
      <c r="K23" s="4">
        <v>4.2583500000000003E-5</v>
      </c>
      <c r="L23" s="4">
        <v>1.4991099999999999E-4</v>
      </c>
      <c r="M23" s="2">
        <v>3.5203899999999999</v>
      </c>
      <c r="O23" s="3">
        <f>AVERAGE(C23,G23,K23)</f>
        <v>4.3876966666666674E-5</v>
      </c>
      <c r="P23" s="3">
        <f>AVERAGE(D23,H23,L23)</f>
        <v>1.5011333333333335E-4</v>
      </c>
      <c r="Q23">
        <f>AVERAGE(E23,I23,M23)</f>
        <v>3.4329966666666665</v>
      </c>
      <c r="S23">
        <f>_xlfn.STDEV.P(C23,G23,K23)</f>
        <v>2.226578796170383E-6</v>
      </c>
      <c r="T23">
        <f>_xlfn.STDEV.P(D23,H23,L23)</f>
        <v>3.2050862009555306E-6</v>
      </c>
      <c r="U23">
        <f>_xlfn.STDEV.P(E23,I23,M23)</f>
        <v>0.23472774531832039</v>
      </c>
    </row>
    <row r="24" spans="1:21" x14ac:dyDescent="0.2">
      <c r="A24" s="2">
        <v>186.964</v>
      </c>
      <c r="B24" s="2"/>
      <c r="C24" s="4">
        <v>2.22011E-5</v>
      </c>
      <c r="D24" s="4">
        <v>1.01282E-4</v>
      </c>
      <c r="E24" s="2">
        <v>4.5620399999999997</v>
      </c>
      <c r="G24" s="4">
        <v>1.8940499999999999E-5</v>
      </c>
      <c r="H24" s="4">
        <v>1.05796E-4</v>
      </c>
      <c r="I24" s="2">
        <v>5.58568</v>
      </c>
      <c r="K24" s="4">
        <v>1.9552199999999999E-5</v>
      </c>
      <c r="L24" s="4">
        <v>1.03323E-4</v>
      </c>
      <c r="M24" s="2">
        <v>5.2844699999999998</v>
      </c>
      <c r="O24" s="3">
        <f>AVERAGE(C24,G24,K24)</f>
        <v>2.0231266666666667E-5</v>
      </c>
      <c r="P24" s="3">
        <f>AVERAGE(D24,H24,L24)</f>
        <v>1.0346699999999999E-4</v>
      </c>
      <c r="Q24">
        <f>AVERAGE(E24,I24,M24)</f>
        <v>5.1440633333333325</v>
      </c>
      <c r="S24">
        <f>_xlfn.STDEV.P(C24,G24,K24)</f>
        <v>1.4150916915718064E-6</v>
      </c>
      <c r="T24">
        <f>_xlfn.STDEV.P(D24,H24,L24)</f>
        <v>1.8456436998149653E-6</v>
      </c>
      <c r="U24">
        <f>_xlfn.STDEV.P(E24,I24,M24)</f>
        <v>0.42953093519429891</v>
      </c>
    </row>
    <row r="25" spans="1:21" x14ac:dyDescent="0.2">
      <c r="A25" s="2">
        <v>213.55500000000001</v>
      </c>
      <c r="B25" s="2"/>
      <c r="C25" s="4">
        <v>1.43979E-5</v>
      </c>
      <c r="D25" s="4">
        <v>8.899E-5</v>
      </c>
      <c r="E25" s="2">
        <v>6.1807800000000004</v>
      </c>
      <c r="G25" s="4">
        <v>1.13176E-5</v>
      </c>
      <c r="H25" s="4">
        <v>9.2270799999999998E-5</v>
      </c>
      <c r="I25" s="2">
        <v>8.1528299999999998</v>
      </c>
      <c r="K25" s="4">
        <v>1.1833E-5</v>
      </c>
      <c r="L25" s="4">
        <v>8.9913499999999999E-5</v>
      </c>
      <c r="M25" s="2">
        <v>7.5985100000000001</v>
      </c>
      <c r="O25" s="3">
        <f>AVERAGE(C25,G25,K25)</f>
        <v>1.2516166666666667E-5</v>
      </c>
      <c r="P25" s="3">
        <f>AVERAGE(D25,H25,L25)</f>
        <v>9.0391433333333337E-5</v>
      </c>
      <c r="Q25">
        <f>AVERAGE(E25,I25,M25)</f>
        <v>7.3107066666666674</v>
      </c>
      <c r="S25">
        <f>_xlfn.STDEV.P(C25,G25,K25)</f>
        <v>1.3471202726144718E-6</v>
      </c>
      <c r="T25">
        <f>_xlfn.STDEV.P(D25,H25,L25)</f>
        <v>1.3813585977419304E-6</v>
      </c>
      <c r="U25">
        <f>_xlfn.STDEV.P(E25,I25,M25)</f>
        <v>0.83040888307441307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345F-2D5D-49FD-9B2B-FC59722F11F7}">
  <dimension ref="A1:W25"/>
  <sheetViews>
    <sheetView workbookViewId="0">
      <selection activeCell="O1" sqref="O1"/>
    </sheetView>
  </sheetViews>
  <sheetFormatPr baseColWidth="10" defaultColWidth="8.83203125" defaultRowHeight="15" x14ac:dyDescent="0.2"/>
  <cols>
    <col min="14" max="14" width="8.6640625" style="5"/>
  </cols>
  <sheetData>
    <row r="1" spans="1:23" ht="64" x14ac:dyDescent="0.2">
      <c r="A1" s="1" t="s">
        <v>0</v>
      </c>
      <c r="C1" s="1" t="s">
        <v>2</v>
      </c>
      <c r="D1" s="1" t="s">
        <v>3</v>
      </c>
      <c r="E1" s="1" t="s">
        <v>4</v>
      </c>
      <c r="G1" s="1" t="s">
        <v>2</v>
      </c>
      <c r="H1" s="1" t="s">
        <v>3</v>
      </c>
      <c r="I1" s="1" t="s">
        <v>4</v>
      </c>
      <c r="K1" s="1" t="s">
        <v>2</v>
      </c>
      <c r="L1" s="1" t="s">
        <v>3</v>
      </c>
      <c r="M1" s="1" t="s">
        <v>4</v>
      </c>
      <c r="O1" s="1" t="s">
        <v>13</v>
      </c>
      <c r="P1" s="1" t="s">
        <v>14</v>
      </c>
      <c r="Q1" s="1" t="s">
        <v>15</v>
      </c>
      <c r="S1" s="1" t="s">
        <v>16</v>
      </c>
      <c r="T1" s="1" t="s">
        <v>17</v>
      </c>
      <c r="U1" s="1" t="s">
        <v>18</v>
      </c>
      <c r="W1" s="1" t="s">
        <v>6</v>
      </c>
    </row>
    <row r="2" spans="1:23" ht="16" x14ac:dyDescent="0.2">
      <c r="A2" s="1" t="s">
        <v>1</v>
      </c>
      <c r="C2" s="1" t="s">
        <v>5</v>
      </c>
      <c r="D2" s="1" t="s">
        <v>5</v>
      </c>
      <c r="E2" s="1"/>
      <c r="G2" s="1" t="s">
        <v>5</v>
      </c>
      <c r="H2" s="1" t="s">
        <v>5</v>
      </c>
      <c r="I2" s="1"/>
      <c r="K2" s="1" t="s">
        <v>5</v>
      </c>
      <c r="L2" s="1" t="s">
        <v>5</v>
      </c>
      <c r="M2" s="1"/>
      <c r="O2" s="1" t="s">
        <v>5</v>
      </c>
      <c r="P2" s="1" t="s">
        <v>5</v>
      </c>
      <c r="S2" s="1" t="s">
        <v>5</v>
      </c>
      <c r="T2" s="1" t="s">
        <v>5</v>
      </c>
    </row>
    <row r="3" spans="1:23" x14ac:dyDescent="0.2">
      <c r="A3" s="4">
        <v>9.9245600000000007E-3</v>
      </c>
      <c r="C3" s="4">
        <v>7.4623600000000003E-3</v>
      </c>
      <c r="D3" s="4">
        <v>5.2411799999999996E-4</v>
      </c>
      <c r="E3" s="2">
        <v>7.0234900000000003E-2</v>
      </c>
      <c r="G3" s="4">
        <v>8.3548000000000008E-3</v>
      </c>
      <c r="H3" s="4">
        <v>5.0841299999999999E-4</v>
      </c>
      <c r="I3" s="2">
        <v>6.0852799999999999E-2</v>
      </c>
      <c r="K3" s="4">
        <v>7.0832500000000001E-3</v>
      </c>
      <c r="L3" s="4">
        <v>4.9104400000000005E-4</v>
      </c>
      <c r="M3" s="2">
        <v>6.9324700000000003E-2</v>
      </c>
      <c r="O3" s="3">
        <f>AVERAGE(C3,G3,K3)</f>
        <v>7.6334699999999998E-3</v>
      </c>
      <c r="P3" s="3">
        <f>AVERAGE(D3,H3,L3)</f>
        <v>5.078583333333334E-4</v>
      </c>
      <c r="Q3">
        <f>AVERAGE(E3,I3,M3)</f>
        <v>6.6804133333333335E-2</v>
      </c>
      <c r="S3">
        <f>_xlfn.STDEV.P(C3,G3,K3)</f>
        <v>5.3302209128703129E-4</v>
      </c>
      <c r="T3">
        <f>_xlfn.STDEV.P(D3,H3,L3)</f>
        <v>1.3508099060275697E-5</v>
      </c>
      <c r="U3">
        <f>_xlfn.STDEV.P(E3,I3,M3)</f>
        <v>4.2246019412747323E-3</v>
      </c>
      <c r="W3">
        <v>1</v>
      </c>
    </row>
    <row r="4" spans="1:23" x14ac:dyDescent="0.2">
      <c r="A4" s="2">
        <v>1.58885E-2</v>
      </c>
      <c r="C4" s="4">
        <v>7.4620299999999997E-3</v>
      </c>
      <c r="D4" s="4">
        <v>4.8990600000000002E-4</v>
      </c>
      <c r="E4" s="2">
        <v>6.5653199999999995E-2</v>
      </c>
      <c r="G4" s="4">
        <v>8.2981900000000004E-3</v>
      </c>
      <c r="H4" s="4">
        <v>6.0752699999999996E-4</v>
      </c>
      <c r="I4" s="2">
        <v>7.3211999999999999E-2</v>
      </c>
      <c r="K4" s="4">
        <v>7.0723000000000001E-3</v>
      </c>
      <c r="L4" s="4">
        <v>5.3140999999999996E-4</v>
      </c>
      <c r="M4" s="2">
        <v>7.5139600000000001E-2</v>
      </c>
      <c r="O4" s="3">
        <f t="shared" ref="O4:Q25" si="0">AVERAGE(C4,G4,K4)</f>
        <v>7.6108399999999998E-3</v>
      </c>
      <c r="P4" s="3">
        <f t="shared" si="0"/>
        <v>5.4294766666666665E-4</v>
      </c>
      <c r="Q4">
        <f t="shared" si="0"/>
        <v>7.1334933333333336E-2</v>
      </c>
      <c r="S4">
        <f t="shared" ref="S4:U25" si="1">_xlfn.STDEV.P(C4,G4,K4)</f>
        <v>5.1140974120562096E-4</v>
      </c>
      <c r="T4">
        <f t="shared" si="1"/>
        <v>4.870669512044061E-5</v>
      </c>
      <c r="U4">
        <f t="shared" si="1"/>
        <v>4.0939370369147401E-3</v>
      </c>
      <c r="W4">
        <v>1</v>
      </c>
    </row>
    <row r="5" spans="1:23" x14ac:dyDescent="0.2">
      <c r="A5" s="2">
        <v>2.50592E-2</v>
      </c>
      <c r="C5" s="4">
        <v>7.5195699999999997E-3</v>
      </c>
      <c r="D5" s="4">
        <v>5.3200199999999995E-4</v>
      </c>
      <c r="E5" s="2">
        <v>7.0748900000000003E-2</v>
      </c>
      <c r="G5" s="4">
        <v>8.3183800000000002E-3</v>
      </c>
      <c r="H5" s="4">
        <v>5.7062200000000001E-4</v>
      </c>
      <c r="I5" s="2">
        <v>6.85978E-2</v>
      </c>
      <c r="K5" s="4">
        <v>7.1338299999999999E-3</v>
      </c>
      <c r="L5" s="4">
        <v>5.1486399999999997E-4</v>
      </c>
      <c r="M5" s="2">
        <v>7.2172299999999995E-2</v>
      </c>
      <c r="O5" s="3">
        <f t="shared" si="0"/>
        <v>7.6572599999999999E-3</v>
      </c>
      <c r="P5" s="3">
        <f t="shared" si="0"/>
        <v>5.3916266666666657E-4</v>
      </c>
      <c r="Q5">
        <f t="shared" si="0"/>
        <v>7.0506333333333324E-2</v>
      </c>
      <c r="S5">
        <f t="shared" si="1"/>
        <v>4.9329408247008211E-4</v>
      </c>
      <c r="T5">
        <f t="shared" si="1"/>
        <v>2.3319448268678153E-5</v>
      </c>
      <c r="U5">
        <f t="shared" si="1"/>
        <v>1.469328985928231E-3</v>
      </c>
      <c r="W5">
        <v>1</v>
      </c>
    </row>
    <row r="6" spans="1:23" x14ac:dyDescent="0.2">
      <c r="A6" s="2">
        <v>3.9752099999999999E-2</v>
      </c>
      <c r="C6" s="4">
        <v>7.5457800000000002E-3</v>
      </c>
      <c r="D6" s="4">
        <v>5.3585999999999998E-4</v>
      </c>
      <c r="E6" s="2">
        <v>7.1014499999999994E-2</v>
      </c>
      <c r="G6" s="4">
        <v>8.3440400000000005E-3</v>
      </c>
      <c r="H6" s="4">
        <v>5.6677500000000005E-4</v>
      </c>
      <c r="I6" s="2">
        <v>6.7925799999999995E-2</v>
      </c>
      <c r="K6" s="4">
        <v>7.1628400000000002E-3</v>
      </c>
      <c r="L6" s="4">
        <v>5.20857E-4</v>
      </c>
      <c r="M6" s="2">
        <v>7.2716500000000003E-2</v>
      </c>
      <c r="O6" s="3">
        <f t="shared" si="0"/>
        <v>7.6842199999999994E-3</v>
      </c>
      <c r="P6" s="3">
        <f t="shared" si="0"/>
        <v>5.4116400000000001E-4</v>
      </c>
      <c r="Q6">
        <f t="shared" si="0"/>
        <v>7.0552266666666655E-2</v>
      </c>
      <c r="S6">
        <f t="shared" si="1"/>
        <v>4.9205865856284529E-4</v>
      </c>
      <c r="T6">
        <f t="shared" si="1"/>
        <v>1.9117443919101758E-5</v>
      </c>
      <c r="U6">
        <f t="shared" si="1"/>
        <v>1.9829181128383075E-3</v>
      </c>
      <c r="W6">
        <v>1</v>
      </c>
    </row>
    <row r="7" spans="1:23" x14ac:dyDescent="0.2">
      <c r="A7" s="2">
        <v>6.2979499999999994E-2</v>
      </c>
      <c r="C7" s="4">
        <v>7.5531699999999997E-3</v>
      </c>
      <c r="D7" s="4">
        <v>5.13296E-4</v>
      </c>
      <c r="E7" s="2">
        <v>6.7957699999999996E-2</v>
      </c>
      <c r="G7" s="4">
        <v>8.3413399999999992E-3</v>
      </c>
      <c r="H7" s="4">
        <v>5.7569800000000003E-4</v>
      </c>
      <c r="I7" s="2">
        <v>6.9017499999999996E-2</v>
      </c>
      <c r="K7" s="4">
        <v>7.1553800000000002E-3</v>
      </c>
      <c r="L7" s="4">
        <v>4.9443100000000004E-4</v>
      </c>
      <c r="M7" s="2">
        <v>6.90992E-2</v>
      </c>
      <c r="O7" s="3">
        <f t="shared" si="0"/>
        <v>7.6832966666666664E-3</v>
      </c>
      <c r="P7" s="3">
        <f t="shared" si="0"/>
        <v>5.2780833333333332E-4</v>
      </c>
      <c r="Q7">
        <f t="shared" si="0"/>
        <v>6.8691466666666659E-2</v>
      </c>
      <c r="S7">
        <f t="shared" si="1"/>
        <v>4.928319473095149E-4</v>
      </c>
      <c r="T7">
        <f t="shared" si="1"/>
        <v>3.4727867640972274E-5</v>
      </c>
      <c r="U7">
        <f t="shared" si="1"/>
        <v>5.199223424918601E-4</v>
      </c>
      <c r="W7">
        <v>1</v>
      </c>
    </row>
    <row r="8" spans="1:23" x14ac:dyDescent="0.2">
      <c r="A8" s="2">
        <v>9.9895200000000003E-2</v>
      </c>
      <c r="C8" s="4">
        <v>7.55501E-3</v>
      </c>
      <c r="D8" s="4">
        <v>5.1088399999999997E-4</v>
      </c>
      <c r="E8" s="2">
        <v>6.7621899999999999E-2</v>
      </c>
      <c r="G8" s="4">
        <v>8.3392899999999992E-3</v>
      </c>
      <c r="H8" s="4">
        <v>5.6621999999999998E-4</v>
      </c>
      <c r="I8" s="2">
        <v>6.7897899999999997E-2</v>
      </c>
      <c r="K8" s="4">
        <v>7.1481100000000001E-3</v>
      </c>
      <c r="L8" s="4">
        <v>4.9870399999999999E-4</v>
      </c>
      <c r="M8" s="2">
        <v>6.9767200000000001E-2</v>
      </c>
      <c r="O8" s="3">
        <f t="shared" si="0"/>
        <v>7.6808033333333331E-3</v>
      </c>
      <c r="P8" s="3">
        <f t="shared" si="0"/>
        <v>5.2526933333333335E-4</v>
      </c>
      <c r="Q8">
        <f t="shared" si="0"/>
        <v>6.8429000000000004E-2</v>
      </c>
      <c r="S8">
        <f t="shared" si="1"/>
        <v>4.9436519573646683E-4</v>
      </c>
      <c r="T8">
        <f t="shared" si="1"/>
        <v>2.9380332711224057E-5</v>
      </c>
      <c r="U8">
        <f t="shared" si="1"/>
        <v>9.5293526537745625E-4</v>
      </c>
      <c r="W8">
        <v>1</v>
      </c>
    </row>
    <row r="9" spans="1:23" x14ac:dyDescent="0.2">
      <c r="A9" s="2">
        <v>0.15844900000000001</v>
      </c>
      <c r="C9" s="4">
        <v>7.54567E-3</v>
      </c>
      <c r="D9" s="4">
        <v>5.1406800000000001E-4</v>
      </c>
      <c r="E9" s="2">
        <v>6.8127499999999994E-2</v>
      </c>
      <c r="G9" s="4">
        <v>8.3261600000000009E-3</v>
      </c>
      <c r="H9" s="4">
        <v>5.6469799999999998E-4</v>
      </c>
      <c r="I9" s="2">
        <v>6.7822099999999996E-2</v>
      </c>
      <c r="K9" s="4">
        <v>7.1392499999999998E-3</v>
      </c>
      <c r="L9" s="4">
        <v>5.0233199999999997E-4</v>
      </c>
      <c r="M9" s="2">
        <v>7.0361999999999994E-2</v>
      </c>
      <c r="O9" s="3">
        <f t="shared" si="0"/>
        <v>7.6703600000000002E-3</v>
      </c>
      <c r="P9" s="3">
        <f t="shared" si="0"/>
        <v>5.2703266666666662E-4</v>
      </c>
      <c r="Q9">
        <f t="shared" si="0"/>
        <v>6.8770533333333328E-2</v>
      </c>
      <c r="S9">
        <f t="shared" si="1"/>
        <v>4.9251025985929179E-4</v>
      </c>
      <c r="T9">
        <f t="shared" si="1"/>
        <v>2.7060936487038939E-5</v>
      </c>
      <c r="U9">
        <f t="shared" si="1"/>
        <v>1.132222564496731E-3</v>
      </c>
      <c r="W9">
        <v>1</v>
      </c>
    </row>
    <row r="10" spans="1:23" x14ac:dyDescent="0.2">
      <c r="A10" s="2">
        <v>0.25192599999999998</v>
      </c>
      <c r="C10" s="4">
        <v>7.4931599999999996E-3</v>
      </c>
      <c r="D10" s="4">
        <v>5.2139799999999996E-4</v>
      </c>
      <c r="E10" s="2">
        <v>6.9583300000000001E-2</v>
      </c>
      <c r="G10" s="4">
        <v>8.2792200000000003E-3</v>
      </c>
      <c r="H10" s="4">
        <v>5.7083899999999996E-4</v>
      </c>
      <c r="I10" s="2">
        <v>6.8948400000000007E-2</v>
      </c>
      <c r="K10" s="4">
        <v>7.0883400000000003E-3</v>
      </c>
      <c r="L10" s="4">
        <v>5.1367700000000004E-4</v>
      </c>
      <c r="M10" s="2">
        <v>7.2467799999999999E-2</v>
      </c>
      <c r="O10" s="3">
        <f t="shared" si="0"/>
        <v>7.6202400000000003E-3</v>
      </c>
      <c r="P10" s="3">
        <f t="shared" si="0"/>
        <v>5.3530466666666665E-4</v>
      </c>
      <c r="Q10">
        <f t="shared" si="0"/>
        <v>7.0333166666666669E-2</v>
      </c>
      <c r="S10">
        <f t="shared" si="1"/>
        <v>4.9440926933058205E-4</v>
      </c>
      <c r="T10">
        <f t="shared" si="1"/>
        <v>2.5323508107860722E-5</v>
      </c>
      <c r="U10">
        <f t="shared" si="1"/>
        <v>1.5315066880544621E-3</v>
      </c>
      <c r="W10">
        <v>1</v>
      </c>
    </row>
    <row r="11" spans="1:23" x14ac:dyDescent="0.2">
      <c r="A11" s="2">
        <v>0.40086300000000002</v>
      </c>
      <c r="C11" s="4">
        <v>7.3863399999999999E-3</v>
      </c>
      <c r="D11" s="4">
        <v>5.3860400000000004E-4</v>
      </c>
      <c r="E11" s="2">
        <v>7.2918899999999995E-2</v>
      </c>
      <c r="G11" s="4">
        <v>8.1572999999999993E-3</v>
      </c>
      <c r="H11" s="4">
        <v>6.02069E-4</v>
      </c>
      <c r="I11" s="2">
        <v>7.3807300000000006E-2</v>
      </c>
      <c r="K11" s="4">
        <v>6.9817899999999999E-3</v>
      </c>
      <c r="L11" s="4">
        <v>5.3643600000000005E-4</v>
      </c>
      <c r="M11" s="2">
        <v>7.6833499999999999E-2</v>
      </c>
      <c r="O11" s="3">
        <f t="shared" si="0"/>
        <v>7.5084766666666664E-3</v>
      </c>
      <c r="P11" s="3">
        <f t="shared" si="0"/>
        <v>5.5903633333333333E-4</v>
      </c>
      <c r="Q11">
        <f t="shared" si="0"/>
        <v>7.45199E-2</v>
      </c>
      <c r="S11">
        <f t="shared" si="1"/>
        <v>4.8760910849664061E-4</v>
      </c>
      <c r="T11">
        <f t="shared" si="1"/>
        <v>3.0441559928638471E-5</v>
      </c>
      <c r="U11">
        <f t="shared" si="1"/>
        <v>1.6756834148092137E-3</v>
      </c>
      <c r="W11">
        <v>1</v>
      </c>
    </row>
    <row r="12" spans="1:23" x14ac:dyDescent="0.2">
      <c r="A12" s="2">
        <v>0.63980499999999996</v>
      </c>
      <c r="C12" s="4">
        <v>7.1781800000000002E-3</v>
      </c>
      <c r="D12" s="4">
        <v>5.8413300000000003E-4</v>
      </c>
      <c r="E12" s="2">
        <v>8.1376199999999996E-2</v>
      </c>
      <c r="G12" s="4">
        <v>7.9096199999999992E-3</v>
      </c>
      <c r="H12" s="4">
        <v>6.6233000000000004E-4</v>
      </c>
      <c r="I12" s="2">
        <v>8.3737300000000001E-2</v>
      </c>
      <c r="K12" s="4">
        <v>6.7583699999999997E-3</v>
      </c>
      <c r="L12" s="4">
        <v>5.93551E-4</v>
      </c>
      <c r="M12" s="2">
        <v>8.7824600000000003E-2</v>
      </c>
      <c r="O12" s="3">
        <f t="shared" si="0"/>
        <v>7.2820566666666657E-3</v>
      </c>
      <c r="P12" s="3">
        <f t="shared" si="0"/>
        <v>6.1333800000000006E-4</v>
      </c>
      <c r="Q12">
        <f t="shared" si="0"/>
        <v>8.4312700000000004E-2</v>
      </c>
      <c r="S12">
        <f t="shared" si="1"/>
        <v>4.7570082477213412E-4</v>
      </c>
      <c r="T12">
        <f t="shared" si="1"/>
        <v>3.4855288733084212E-5</v>
      </c>
      <c r="U12">
        <f t="shared" si="1"/>
        <v>2.6638042358001239E-3</v>
      </c>
      <c r="W12">
        <v>1</v>
      </c>
    </row>
    <row r="13" spans="1:23" x14ac:dyDescent="0.2">
      <c r="A13" s="2">
        <v>1.02929</v>
      </c>
      <c r="C13" s="4">
        <v>6.7633600000000004E-3</v>
      </c>
      <c r="D13" s="4">
        <v>7.0668599999999999E-4</v>
      </c>
      <c r="E13" s="2">
        <v>0.104487</v>
      </c>
      <c r="G13" s="4">
        <v>7.4121400000000002E-3</v>
      </c>
      <c r="H13" s="4">
        <v>8.1023300000000005E-4</v>
      </c>
      <c r="I13" s="2">
        <v>0.10931200000000001</v>
      </c>
      <c r="K13" s="4">
        <v>6.3066199999999998E-3</v>
      </c>
      <c r="L13" s="4">
        <v>7.4638600000000003E-4</v>
      </c>
      <c r="M13" s="2">
        <v>0.11835</v>
      </c>
      <c r="O13" s="3">
        <f t="shared" si="0"/>
        <v>6.8273733333333335E-3</v>
      </c>
      <c r="P13" s="3">
        <f t="shared" si="0"/>
        <v>7.5443500000000002E-4</v>
      </c>
      <c r="Q13">
        <f t="shared" si="0"/>
        <v>0.11071633333333335</v>
      </c>
      <c r="S13">
        <f t="shared" si="1"/>
        <v>4.5359078307312308E-4</v>
      </c>
      <c r="T13">
        <f t="shared" si="1"/>
        <v>4.2654308910902177E-5</v>
      </c>
      <c r="U13">
        <f t="shared" si="1"/>
        <v>5.7460018757006636E-3</v>
      </c>
      <c r="W13">
        <v>1</v>
      </c>
    </row>
    <row r="14" spans="1:23" x14ac:dyDescent="0.2">
      <c r="A14" s="2">
        <v>1.69113</v>
      </c>
      <c r="C14" s="4">
        <v>5.8751899999999998E-3</v>
      </c>
      <c r="D14" s="4">
        <v>1.0920400000000001E-3</v>
      </c>
      <c r="E14" s="2">
        <v>0.18587300000000001</v>
      </c>
      <c r="G14" s="4">
        <v>6.3108599999999997E-3</v>
      </c>
      <c r="H14" s="4">
        <v>1.27969E-3</v>
      </c>
      <c r="I14" s="2">
        <v>0.20277500000000001</v>
      </c>
      <c r="K14" s="4">
        <v>5.2522999999999997E-3</v>
      </c>
      <c r="L14" s="4">
        <v>1.2598399999999999E-3</v>
      </c>
      <c r="M14" s="2">
        <v>0.23986499999999999</v>
      </c>
      <c r="O14" s="3">
        <f t="shared" si="0"/>
        <v>5.8127833333333325E-3</v>
      </c>
      <c r="P14" s="3">
        <f t="shared" si="0"/>
        <v>1.2105233333333332E-3</v>
      </c>
      <c r="Q14">
        <f t="shared" si="0"/>
        <v>0.20950433333333332</v>
      </c>
      <c r="S14">
        <f t="shared" si="1"/>
        <v>4.3440247270116789E-4</v>
      </c>
      <c r="T14">
        <f t="shared" si="1"/>
        <v>8.4171376105868364E-5</v>
      </c>
      <c r="U14">
        <f t="shared" si="1"/>
        <v>2.2549899649936898E-2</v>
      </c>
      <c r="W14">
        <v>1</v>
      </c>
    </row>
    <row r="15" spans="1:23" x14ac:dyDescent="0.2">
      <c r="A15" s="2">
        <v>2.9647000000000001</v>
      </c>
      <c r="C15" s="4">
        <v>3.8542300000000002E-3</v>
      </c>
      <c r="D15" s="4">
        <v>1.97986E-3</v>
      </c>
      <c r="E15" s="2">
        <v>0.51368400000000003</v>
      </c>
      <c r="G15" s="4">
        <v>3.4231299999999999E-3</v>
      </c>
      <c r="H15" s="4">
        <v>2.4515499999999998E-3</v>
      </c>
      <c r="I15" s="2">
        <v>0.71617200000000003</v>
      </c>
      <c r="K15" s="4">
        <v>2.8936500000000002E-3</v>
      </c>
      <c r="L15" s="4">
        <v>2.1534700000000002E-3</v>
      </c>
      <c r="M15" s="2">
        <v>0.74420699999999995</v>
      </c>
      <c r="O15" s="3">
        <f t="shared" si="0"/>
        <v>3.3903366666666671E-3</v>
      </c>
      <c r="P15" s="3">
        <f t="shared" si="0"/>
        <v>2.1949600000000001E-3</v>
      </c>
      <c r="Q15">
        <f t="shared" si="0"/>
        <v>0.65802100000000008</v>
      </c>
      <c r="S15">
        <f t="shared" si="1"/>
        <v>3.9284011686972883E-4</v>
      </c>
      <c r="T15">
        <f t="shared" si="1"/>
        <v>1.9478865316029055E-4</v>
      </c>
      <c r="U15">
        <f t="shared" si="1"/>
        <v>0.1027014037002415</v>
      </c>
      <c r="W15">
        <v>1</v>
      </c>
    </row>
    <row r="16" spans="1:23" x14ac:dyDescent="0.2">
      <c r="A16" s="2">
        <v>5.1020399999999997</v>
      </c>
      <c r="C16" s="4">
        <v>1.82209E-3</v>
      </c>
      <c r="D16" s="4">
        <v>2.0927599999999999E-3</v>
      </c>
      <c r="E16" s="2">
        <v>1.14855</v>
      </c>
      <c r="G16" s="4">
        <v>1.6087E-3</v>
      </c>
      <c r="H16" s="4">
        <v>2.20251E-3</v>
      </c>
      <c r="I16" s="2">
        <v>1.3691199999999999</v>
      </c>
      <c r="K16" s="4">
        <v>1.4032599999999999E-3</v>
      </c>
      <c r="L16" s="4">
        <v>1.91383E-3</v>
      </c>
      <c r="M16" s="2">
        <v>1.3638399999999999</v>
      </c>
      <c r="O16" s="3">
        <f t="shared" si="0"/>
        <v>1.6113499999999999E-3</v>
      </c>
      <c r="P16" s="3">
        <f t="shared" si="0"/>
        <v>2.0697000000000003E-3</v>
      </c>
      <c r="Q16">
        <f t="shared" si="0"/>
        <v>1.2938366666666665</v>
      </c>
      <c r="S16">
        <f t="shared" si="1"/>
        <v>1.7099689880228824E-4</v>
      </c>
      <c r="T16">
        <f t="shared" si="1"/>
        <v>1.189757910949394E-4</v>
      </c>
      <c r="U16">
        <f t="shared" si="1"/>
        <v>0.10275579864686737</v>
      </c>
      <c r="W16">
        <v>1</v>
      </c>
    </row>
    <row r="17" spans="1:23" x14ac:dyDescent="0.2">
      <c r="A17" s="2">
        <v>7.5972200000000001</v>
      </c>
      <c r="C17" s="4">
        <v>1.01089E-3</v>
      </c>
      <c r="D17" s="4">
        <v>1.70056E-3</v>
      </c>
      <c r="E17" s="2">
        <v>1.68224</v>
      </c>
      <c r="G17" s="4">
        <v>8.8032900000000001E-4</v>
      </c>
      <c r="H17" s="4">
        <v>1.7222699999999999E-3</v>
      </c>
      <c r="I17" s="2">
        <v>1.9563900000000001</v>
      </c>
      <c r="K17" s="4">
        <v>7.6219999999999999E-4</v>
      </c>
      <c r="L17" s="4">
        <v>1.4922799999999999E-3</v>
      </c>
      <c r="M17" s="2">
        <v>1.9578599999999999</v>
      </c>
      <c r="O17" s="3">
        <f t="shared" si="0"/>
        <v>8.8447299999999988E-4</v>
      </c>
      <c r="P17" s="3">
        <f t="shared" si="0"/>
        <v>1.6383700000000001E-3</v>
      </c>
      <c r="Q17">
        <f t="shared" si="0"/>
        <v>1.8654966666666668</v>
      </c>
      <c r="S17">
        <f t="shared" si="1"/>
        <v>1.0156954457250787E-4</v>
      </c>
      <c r="T17">
        <f t="shared" si="1"/>
        <v>1.0368075070458679E-4</v>
      </c>
      <c r="U17">
        <f t="shared" si="1"/>
        <v>0.12958342135045245</v>
      </c>
      <c r="W17">
        <v>1</v>
      </c>
    </row>
    <row r="18" spans="1:23" x14ac:dyDescent="0.2">
      <c r="A18" s="2">
        <v>11.948399999999999</v>
      </c>
      <c r="C18" s="4">
        <v>5.5581499999999998E-4</v>
      </c>
      <c r="D18" s="4">
        <v>1.2842400000000001E-3</v>
      </c>
      <c r="E18" s="2">
        <v>2.31054</v>
      </c>
      <c r="G18" s="4">
        <v>4.8233800000000002E-4</v>
      </c>
      <c r="H18" s="4">
        <v>1.28166E-3</v>
      </c>
      <c r="I18" s="2">
        <v>2.6571899999999999</v>
      </c>
      <c r="K18" s="4">
        <v>4.27036E-4</v>
      </c>
      <c r="L18" s="4">
        <v>1.1172199999999999E-3</v>
      </c>
      <c r="M18" s="2">
        <v>2.6162100000000001</v>
      </c>
      <c r="O18" s="3">
        <f t="shared" si="0"/>
        <v>4.8839633333333337E-4</v>
      </c>
      <c r="P18" s="3">
        <f t="shared" si="0"/>
        <v>1.2277066666666668E-3</v>
      </c>
      <c r="Q18">
        <f t="shared" si="0"/>
        <v>2.5279799999999999</v>
      </c>
      <c r="S18">
        <f t="shared" si="1"/>
        <v>5.274805059483767E-5</v>
      </c>
      <c r="T18">
        <f t="shared" si="1"/>
        <v>7.8132970988920958E-5</v>
      </c>
      <c r="U18">
        <f t="shared" si="1"/>
        <v>0.15466082309363285</v>
      </c>
      <c r="W18">
        <v>1</v>
      </c>
    </row>
    <row r="19" spans="1:23" x14ac:dyDescent="0.2">
      <c r="A19" s="2">
        <v>18.483000000000001</v>
      </c>
      <c r="C19" s="4">
        <v>3.2242700000000002E-4</v>
      </c>
      <c r="D19" s="4">
        <v>9.7185200000000005E-4</v>
      </c>
      <c r="E19" s="2">
        <v>3.0141800000000001</v>
      </c>
      <c r="G19" s="4">
        <v>2.7546E-4</v>
      </c>
      <c r="H19" s="4">
        <v>9.5382300000000002E-4</v>
      </c>
      <c r="I19" s="2">
        <v>3.46265</v>
      </c>
      <c r="K19" s="4">
        <v>2.4788700000000002E-4</v>
      </c>
      <c r="L19" s="4">
        <v>8.3715700000000005E-4</v>
      </c>
      <c r="M19" s="2">
        <v>3.37717</v>
      </c>
      <c r="O19" s="3">
        <f t="shared" si="0"/>
        <v>2.8192466666666672E-4</v>
      </c>
      <c r="P19" s="3">
        <f t="shared" si="0"/>
        <v>9.2094399999999993E-4</v>
      </c>
      <c r="Q19">
        <f t="shared" si="0"/>
        <v>3.2846666666666664</v>
      </c>
      <c r="S19">
        <f t="shared" si="1"/>
        <v>3.0772247630327921E-5</v>
      </c>
      <c r="T19">
        <f t="shared" si="1"/>
        <v>5.970179917445257E-5</v>
      </c>
      <c r="U19">
        <f t="shared" si="1"/>
        <v>0.19442048114560584</v>
      </c>
      <c r="W19">
        <v>1</v>
      </c>
    </row>
    <row r="20" spans="1:23" x14ac:dyDescent="0.2">
      <c r="A20" s="2">
        <v>29.046500000000002</v>
      </c>
      <c r="C20" s="4">
        <v>1.8968199999999999E-4</v>
      </c>
      <c r="D20" s="4">
        <v>7.2699099999999997E-4</v>
      </c>
      <c r="E20" s="2">
        <v>3.8326799999999999</v>
      </c>
      <c r="G20" s="4">
        <v>1.5924E-4</v>
      </c>
      <c r="H20" s="4">
        <v>7.1241100000000003E-4</v>
      </c>
      <c r="I20" s="2">
        <v>4.4738199999999999</v>
      </c>
      <c r="K20" s="4">
        <v>1.45E-4</v>
      </c>
      <c r="L20" s="4">
        <v>6.2669799999999997E-4</v>
      </c>
      <c r="M20" s="2">
        <v>4.3220400000000003</v>
      </c>
      <c r="O20" s="3">
        <f t="shared" si="0"/>
        <v>1.6464066666666664E-4</v>
      </c>
      <c r="P20" s="3">
        <f t="shared" si="0"/>
        <v>6.8869999999999999E-4</v>
      </c>
      <c r="Q20">
        <f t="shared" si="0"/>
        <v>4.2095133333333337</v>
      </c>
      <c r="S20">
        <f t="shared" si="1"/>
        <v>1.863680375553228E-5</v>
      </c>
      <c r="T20">
        <f t="shared" si="1"/>
        <v>4.424424710626231E-5</v>
      </c>
      <c r="U20">
        <f t="shared" si="1"/>
        <v>0.27357121307298077</v>
      </c>
      <c r="W20">
        <v>1</v>
      </c>
    </row>
    <row r="21" spans="1:23" x14ac:dyDescent="0.2">
      <c r="A21" s="2">
        <v>45.625900000000001</v>
      </c>
      <c r="C21" s="4">
        <v>1.1093E-4</v>
      </c>
      <c r="D21" s="4">
        <v>5.4666999999999997E-4</v>
      </c>
      <c r="E21" s="2">
        <v>4.9280499999999998</v>
      </c>
      <c r="G21" s="4">
        <v>9.1503700000000003E-5</v>
      </c>
      <c r="H21" s="4">
        <v>5.3744000000000003E-4</v>
      </c>
      <c r="I21" s="2">
        <v>5.8734200000000003</v>
      </c>
      <c r="K21" s="4">
        <v>8.6666899999999995E-5</v>
      </c>
      <c r="L21" s="4">
        <v>4.77372E-4</v>
      </c>
      <c r="M21" s="2">
        <v>5.5081199999999999</v>
      </c>
      <c r="O21" s="3">
        <f t="shared" si="0"/>
        <v>9.636686666666666E-5</v>
      </c>
      <c r="P21" s="3">
        <f t="shared" si="0"/>
        <v>5.2049400000000003E-4</v>
      </c>
      <c r="Q21">
        <f t="shared" si="0"/>
        <v>5.4365300000000003</v>
      </c>
      <c r="S21">
        <f t="shared" si="1"/>
        <v>1.0485300756243898E-5</v>
      </c>
      <c r="T21">
        <f t="shared" si="1"/>
        <v>3.0723806057626818E-5</v>
      </c>
      <c r="U21">
        <f t="shared" si="1"/>
        <v>0.38925138004465287</v>
      </c>
      <c r="W21">
        <v>1</v>
      </c>
    </row>
    <row r="22" spans="1:23" x14ac:dyDescent="0.2">
      <c r="A22" s="2">
        <v>71.611599999999996</v>
      </c>
      <c r="C22" s="4">
        <v>6.4620800000000003E-5</v>
      </c>
      <c r="D22" s="4">
        <v>4.1445000000000002E-4</v>
      </c>
      <c r="E22" s="2">
        <v>6.4135799999999996</v>
      </c>
      <c r="G22" s="4">
        <v>5.23971E-5</v>
      </c>
      <c r="H22" s="4">
        <v>4.11016E-4</v>
      </c>
      <c r="I22" s="2">
        <v>7.8442600000000002</v>
      </c>
      <c r="K22" s="4">
        <v>5.2017900000000002E-5</v>
      </c>
      <c r="L22" s="4">
        <v>3.6673100000000002E-4</v>
      </c>
      <c r="M22" s="2">
        <v>7.05009</v>
      </c>
      <c r="O22" s="3">
        <f t="shared" si="0"/>
        <v>5.6345266666666664E-5</v>
      </c>
      <c r="P22" s="3">
        <f t="shared" si="0"/>
        <v>3.9739899999999994E-4</v>
      </c>
      <c r="Q22">
        <f t="shared" si="0"/>
        <v>7.102643333333333</v>
      </c>
      <c r="S22">
        <f t="shared" si="1"/>
        <v>5.8537331178962677E-6</v>
      </c>
      <c r="T22">
        <f t="shared" si="1"/>
        <v>2.1730819235976041E-5</v>
      </c>
      <c r="U22">
        <f t="shared" si="1"/>
        <v>0.58525362321722474</v>
      </c>
      <c r="W22">
        <v>1</v>
      </c>
    </row>
    <row r="23" spans="1:23" x14ac:dyDescent="0.2">
      <c r="A23" s="2">
        <v>112.458</v>
      </c>
      <c r="C23" s="4">
        <v>3.84009E-5</v>
      </c>
      <c r="D23" s="4">
        <v>3.17588E-4</v>
      </c>
      <c r="E23" s="2">
        <v>8.2703199999999999</v>
      </c>
      <c r="G23" s="4">
        <v>3.0041099999999999E-5</v>
      </c>
      <c r="H23" s="4">
        <v>3.1792499999999999E-4</v>
      </c>
      <c r="I23" s="2">
        <v>10.583</v>
      </c>
      <c r="K23" s="4">
        <v>3.24147E-5</v>
      </c>
      <c r="L23" s="4">
        <v>2.8554299999999997E-4</v>
      </c>
      <c r="M23" s="2">
        <v>8.8090799999999998</v>
      </c>
      <c r="O23" s="3">
        <f t="shared" si="0"/>
        <v>3.3618899999999998E-5</v>
      </c>
      <c r="P23" s="3">
        <f t="shared" si="0"/>
        <v>3.0701866666666663E-4</v>
      </c>
      <c r="Q23">
        <f t="shared" si="0"/>
        <v>9.2207999999999988</v>
      </c>
      <c r="S23">
        <f t="shared" si="1"/>
        <v>3.5174931641724627E-6</v>
      </c>
      <c r="T23">
        <f t="shared" si="1"/>
        <v>1.5186212745630684E-5</v>
      </c>
      <c r="U23">
        <f t="shared" si="1"/>
        <v>0.98801390489540908</v>
      </c>
      <c r="W23">
        <v>1</v>
      </c>
    </row>
    <row r="24" spans="1:23" x14ac:dyDescent="0.2">
      <c r="A24" s="2">
        <v>176.61099999999999</v>
      </c>
      <c r="C24" s="4">
        <v>2.41203E-5</v>
      </c>
      <c r="D24" s="4">
        <v>2.45978E-4</v>
      </c>
      <c r="E24" s="2">
        <v>10.197900000000001</v>
      </c>
      <c r="G24" s="4">
        <v>1.7432299999999999E-5</v>
      </c>
      <c r="H24" s="4">
        <v>2.4841799999999998E-4</v>
      </c>
      <c r="I24" s="2">
        <v>14.250400000000001</v>
      </c>
      <c r="K24" s="4">
        <v>2.0699999999999998E-5</v>
      </c>
      <c r="L24" s="4">
        <v>2.2427600000000001E-4</v>
      </c>
      <c r="M24" s="2">
        <v>10.8346</v>
      </c>
      <c r="O24" s="3">
        <f t="shared" si="0"/>
        <v>2.0750866666666668E-5</v>
      </c>
      <c r="P24" s="3">
        <f t="shared" si="0"/>
        <v>2.3955733333333334E-4</v>
      </c>
      <c r="Q24">
        <f t="shared" si="0"/>
        <v>11.760966666666668</v>
      </c>
      <c r="S24">
        <f t="shared" si="1"/>
        <v>2.7306014677274964E-6</v>
      </c>
      <c r="T24">
        <f t="shared" si="1"/>
        <v>1.0851352030456328E-5</v>
      </c>
      <c r="U24">
        <f t="shared" si="1"/>
        <v>1.7793829386116404</v>
      </c>
      <c r="W24">
        <v>1</v>
      </c>
    </row>
    <row r="25" spans="1:23" x14ac:dyDescent="0.2">
      <c r="A25" s="2">
        <v>210.011</v>
      </c>
      <c r="C25" s="4">
        <v>1.9579799999999998E-5</v>
      </c>
      <c r="D25" s="4">
        <v>2.2001400000000001E-4</v>
      </c>
      <c r="E25" s="2">
        <v>11.236800000000001</v>
      </c>
      <c r="G25" s="4">
        <v>1.3671E-5</v>
      </c>
      <c r="H25" s="4">
        <v>2.23134E-4</v>
      </c>
      <c r="I25" s="2">
        <v>16.3217</v>
      </c>
      <c r="K25" s="4">
        <v>1.7007499999999999E-5</v>
      </c>
      <c r="L25" s="4">
        <v>2.02124E-4</v>
      </c>
      <c r="M25" s="2">
        <v>11.884399999999999</v>
      </c>
      <c r="O25" s="3">
        <f t="shared" si="0"/>
        <v>1.6752766666666667E-5</v>
      </c>
      <c r="P25" s="3">
        <f t="shared" si="0"/>
        <v>2.1509066666666667E-4</v>
      </c>
      <c r="Q25">
        <f t="shared" si="0"/>
        <v>13.147633333333333</v>
      </c>
      <c r="S25">
        <f t="shared" si="1"/>
        <v>2.4189730828505621E-6</v>
      </c>
      <c r="T25">
        <f t="shared" si="1"/>
        <v>9.2568689210889347E-6</v>
      </c>
      <c r="U25">
        <f t="shared" si="1"/>
        <v>2.2599219519463243</v>
      </c>
      <c r="W2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4237-13A9-CE42-9E13-A1F8151C9D05}">
  <dimension ref="A1:U25"/>
  <sheetViews>
    <sheetView workbookViewId="0">
      <selection activeCell="O2" sqref="O2"/>
    </sheetView>
  </sheetViews>
  <sheetFormatPr baseColWidth="10" defaultColWidth="8.83203125" defaultRowHeight="15" x14ac:dyDescent="0.2"/>
  <cols>
    <col min="14" max="14" width="8.83203125" style="5"/>
  </cols>
  <sheetData>
    <row r="1" spans="1:21" ht="64" x14ac:dyDescent="0.2">
      <c r="A1" s="1" t="s">
        <v>0</v>
      </c>
      <c r="C1" s="1" t="s">
        <v>2</v>
      </c>
      <c r="D1" s="1" t="s">
        <v>3</v>
      </c>
      <c r="E1" s="1" t="s">
        <v>4</v>
      </c>
      <c r="G1" s="1" t="s">
        <v>2</v>
      </c>
      <c r="H1" s="1" t="s">
        <v>3</v>
      </c>
      <c r="I1" s="1" t="s">
        <v>4</v>
      </c>
      <c r="K1" s="1" t="s">
        <v>2</v>
      </c>
      <c r="L1" s="1" t="s">
        <v>3</v>
      </c>
      <c r="M1" s="1" t="s">
        <v>4</v>
      </c>
      <c r="O1" s="1" t="s">
        <v>13</v>
      </c>
      <c r="P1" s="1" t="s">
        <v>14</v>
      </c>
      <c r="Q1" s="1" t="s">
        <v>15</v>
      </c>
      <c r="S1" s="1" t="s">
        <v>16</v>
      </c>
      <c r="T1" s="1" t="s">
        <v>17</v>
      </c>
      <c r="U1" s="1" t="s">
        <v>18</v>
      </c>
    </row>
    <row r="2" spans="1:21" ht="16" x14ac:dyDescent="0.2">
      <c r="A2" s="1" t="s">
        <v>1</v>
      </c>
      <c r="C2" s="1" t="s">
        <v>5</v>
      </c>
      <c r="D2" s="1" t="s">
        <v>5</v>
      </c>
      <c r="E2" s="1"/>
      <c r="G2" s="1" t="s">
        <v>5</v>
      </c>
      <c r="H2" s="1" t="s">
        <v>5</v>
      </c>
      <c r="I2" s="1"/>
      <c r="K2" s="1" t="s">
        <v>5</v>
      </c>
      <c r="L2" s="1" t="s">
        <v>5</v>
      </c>
      <c r="M2" s="1"/>
      <c r="O2" s="1" t="s">
        <v>5</v>
      </c>
      <c r="P2" s="1" t="s">
        <v>5</v>
      </c>
      <c r="S2" s="1" t="s">
        <v>5</v>
      </c>
      <c r="T2" s="1" t="s">
        <v>5</v>
      </c>
    </row>
    <row r="3" spans="1:21" x14ac:dyDescent="0.2">
      <c r="A3" s="2">
        <v>1.00833E-2</v>
      </c>
      <c r="C3" s="4">
        <v>1.6606800000000001E-3</v>
      </c>
      <c r="D3" s="4">
        <v>2.1058399999999999E-4</v>
      </c>
      <c r="E3" s="2">
        <v>0.126806</v>
      </c>
      <c r="G3" s="4">
        <v>8.9698800000000004E-4</v>
      </c>
      <c r="H3" s="4">
        <v>1.1042100000000001E-4</v>
      </c>
      <c r="I3" s="2">
        <v>0.123102</v>
      </c>
      <c r="K3" s="4">
        <v>1.1619099999999999E-3</v>
      </c>
      <c r="L3" s="4">
        <v>1.99478E-4</v>
      </c>
      <c r="M3" s="2">
        <v>0.171681</v>
      </c>
      <c r="O3" s="3">
        <f>AVERAGE(C3,G3,K3)</f>
        <v>1.2398593333333332E-3</v>
      </c>
      <c r="P3" s="3">
        <f>AVERAGE(D3,H3,L3)</f>
        <v>1.7349433333333332E-4</v>
      </c>
      <c r="Q3">
        <f>AVERAGE(E3,I3,M3)</f>
        <v>0.14052966666666666</v>
      </c>
      <c r="S3">
        <f>_xlfn.STDEV.P(C3,G3,K3)</f>
        <v>3.1661063536709498E-4</v>
      </c>
      <c r="T3">
        <f>_xlfn.STDEV.P(D3,H3,L3)</f>
        <v>4.4829453430628494E-5</v>
      </c>
      <c r="U3">
        <f>_xlfn.STDEV.P(E3,I3,M3)</f>
        <v>2.2079161824872174E-2</v>
      </c>
    </row>
    <row r="4" spans="1:21" x14ac:dyDescent="0.2">
      <c r="A4" s="2">
        <v>1.58535E-2</v>
      </c>
      <c r="C4" s="4">
        <v>1.6744100000000001E-3</v>
      </c>
      <c r="D4" s="4">
        <v>1.7373900000000001E-4</v>
      </c>
      <c r="E4" s="2">
        <v>0.10376100000000001</v>
      </c>
      <c r="G4" s="4">
        <v>9.0811199999999998E-4</v>
      </c>
      <c r="H4" s="4">
        <v>1.2501600000000001E-4</v>
      </c>
      <c r="I4" s="2">
        <v>0.13766600000000001</v>
      </c>
      <c r="K4" s="4">
        <v>1.1401600000000001E-3</v>
      </c>
      <c r="L4" s="4">
        <v>1.4426400000000001E-4</v>
      </c>
      <c r="M4" s="2">
        <v>0.12653</v>
      </c>
      <c r="O4" s="3">
        <f>AVERAGE(C4,G4,K4)</f>
        <v>1.2408940000000002E-3</v>
      </c>
      <c r="P4" s="3">
        <f>AVERAGE(D4,H4,L4)</f>
        <v>1.4767300000000002E-4</v>
      </c>
      <c r="Q4">
        <f>AVERAGE(E4,I4,M4)</f>
        <v>0.12265233333333332</v>
      </c>
      <c r="S4">
        <f>_xlfn.STDEV.P(C4,G4,K4)</f>
        <v>3.2084644330063357E-4</v>
      </c>
      <c r="T4">
        <f>_xlfn.STDEV.P(D4,H4,L4)</f>
        <v>2.0036610541705899E-5</v>
      </c>
      <c r="U4">
        <f>_xlfn.STDEV.P(E4,I4,M4)</f>
        <v>1.411062201164634E-2</v>
      </c>
    </row>
    <row r="5" spans="1:21" x14ac:dyDescent="0.2">
      <c r="A5" s="2">
        <v>2.5118499999999998E-2</v>
      </c>
      <c r="C5" s="4">
        <v>1.6800599999999999E-3</v>
      </c>
      <c r="D5" s="4">
        <v>1.8820800000000001E-4</v>
      </c>
      <c r="E5" s="2">
        <v>0.112024</v>
      </c>
      <c r="G5" s="4">
        <v>9.1676500000000005E-4</v>
      </c>
      <c r="H5" s="4">
        <v>1.39665E-4</v>
      </c>
      <c r="I5" s="2">
        <v>0.15234600000000001</v>
      </c>
      <c r="K5" s="4">
        <v>1.0836800000000001E-3</v>
      </c>
      <c r="L5" s="4">
        <v>1.79063E-4</v>
      </c>
      <c r="M5" s="2">
        <v>0.16523599999999999</v>
      </c>
      <c r="O5" s="3">
        <f>AVERAGE(C5,G5,K5)</f>
        <v>1.2268350000000001E-3</v>
      </c>
      <c r="P5" s="3">
        <f>AVERAGE(D5,H5,L5)</f>
        <v>1.6897866666666669E-4</v>
      </c>
      <c r="Q5">
        <f>AVERAGE(E5,I5,M5)</f>
        <v>0.143202</v>
      </c>
      <c r="S5">
        <f>_xlfn.STDEV.P(C5,G5,K5)</f>
        <v>3.2764292532674443E-4</v>
      </c>
      <c r="T5">
        <f>_xlfn.STDEV.P(D5,H5,L5)</f>
        <v>2.1061434682587251E-5</v>
      </c>
      <c r="U5">
        <f>_xlfn.STDEV.P(E5,I5,M5)</f>
        <v>2.2665521363221881E-2</v>
      </c>
    </row>
    <row r="6" spans="1:21" x14ac:dyDescent="0.2">
      <c r="A6" s="2">
        <v>4.0759999999999998E-2</v>
      </c>
      <c r="C6" s="4">
        <v>1.58449E-3</v>
      </c>
      <c r="D6" s="4">
        <v>2.7082199999999999E-4</v>
      </c>
      <c r="E6" s="2">
        <v>0.17092099999999999</v>
      </c>
      <c r="G6" s="4">
        <v>8.9683799999999995E-4</v>
      </c>
      <c r="H6" s="4">
        <v>1.15696E-4</v>
      </c>
      <c r="I6" s="2">
        <v>0.12900400000000001</v>
      </c>
      <c r="K6" s="4">
        <v>1.0868500000000001E-3</v>
      </c>
      <c r="L6" s="4">
        <v>2.32971E-4</v>
      </c>
      <c r="M6" s="2">
        <v>0.21435299999999999</v>
      </c>
      <c r="O6" s="3">
        <f>AVERAGE(C6,G6,K6)</f>
        <v>1.1893926666666666E-3</v>
      </c>
      <c r="P6" s="3">
        <f>AVERAGE(D6,H6,L6)</f>
        <v>2.0649633333333332E-4</v>
      </c>
      <c r="Q6">
        <f>AVERAGE(E6,I6,M6)</f>
        <v>0.171426</v>
      </c>
      <c r="S6">
        <f>_xlfn.STDEV.P(C6,G6,K6)</f>
        <v>2.8994547434685412E-4</v>
      </c>
      <c r="T6">
        <f>_xlfn.STDEV.P(D6,H6,L6)</f>
        <v>6.6038877187776457E-5</v>
      </c>
      <c r="U6">
        <f>_xlfn.STDEV.P(E6,I6,M6)</f>
        <v>3.4845413079294382E-2</v>
      </c>
    </row>
    <row r="7" spans="1:21" x14ac:dyDescent="0.2">
      <c r="A7" s="2">
        <v>6.7151799999999998E-2</v>
      </c>
      <c r="C7" s="4">
        <v>1.3442700000000001E-3</v>
      </c>
      <c r="D7" s="4">
        <v>4.1789799999999999E-4</v>
      </c>
      <c r="E7" s="2">
        <v>0.31087399999999998</v>
      </c>
      <c r="G7" s="4">
        <v>8.9460500000000003E-4</v>
      </c>
      <c r="H7" s="4">
        <v>1.17166E-4</v>
      </c>
      <c r="I7" s="2">
        <v>0.13097</v>
      </c>
      <c r="K7" s="4">
        <v>1.0577200000000001E-3</v>
      </c>
      <c r="L7" s="4">
        <v>1.97901E-4</v>
      </c>
      <c r="M7" s="2">
        <v>0.18710099999999999</v>
      </c>
      <c r="O7" s="3">
        <f>AVERAGE(C7,G7,K7)</f>
        <v>1.0988650000000001E-3</v>
      </c>
      <c r="P7" s="3">
        <f>AVERAGE(D7,H7,L7)</f>
        <v>2.4432166666666668E-4</v>
      </c>
      <c r="Q7">
        <f>AVERAGE(E7,I7,M7)</f>
        <v>0.20964833333333333</v>
      </c>
      <c r="S7">
        <f>_xlfn.STDEV.P(C7,G7,K7)</f>
        <v>1.85866145967109E-4</v>
      </c>
      <c r="T7">
        <f>_xlfn.STDEV.P(D7,H7,L7)</f>
        <v>1.2708551629075947E-4</v>
      </c>
      <c r="U7">
        <f>_xlfn.STDEV.P(E7,I7,M7)</f>
        <v>7.5156055352993509E-2</v>
      </c>
    </row>
    <row r="8" spans="1:21" x14ac:dyDescent="0.2">
      <c r="A8" s="2">
        <v>0.10997700000000001</v>
      </c>
      <c r="C8" s="4">
        <v>1.0818399999999999E-3</v>
      </c>
      <c r="D8" s="4">
        <v>3.52717E-4</v>
      </c>
      <c r="E8" s="2">
        <v>0.32603399999999999</v>
      </c>
      <c r="G8" s="4">
        <v>8.8603E-4</v>
      </c>
      <c r="H8" s="4">
        <v>1.12756E-4</v>
      </c>
      <c r="I8" s="2">
        <v>0.12726000000000001</v>
      </c>
      <c r="K8" s="4">
        <v>1.0386600000000001E-3</v>
      </c>
      <c r="L8" s="4">
        <v>1.6520700000000001E-4</v>
      </c>
      <c r="M8" s="2">
        <v>0.159058</v>
      </c>
      <c r="O8" s="3">
        <f>AVERAGE(C8,G8,K8)</f>
        <v>1.0021766666666668E-3</v>
      </c>
      <c r="P8" s="3">
        <f>AVERAGE(D8,H8,L8)</f>
        <v>2.1022666666666666E-4</v>
      </c>
      <c r="Q8">
        <f>AVERAGE(E8,I8,M8)</f>
        <v>0.20411733333333335</v>
      </c>
      <c r="S8">
        <f>_xlfn.STDEV.P(C8,G8,K8)</f>
        <v>8.3998667582025092E-5</v>
      </c>
      <c r="T8">
        <f>_xlfn.STDEV.P(D8,H8,L8)</f>
        <v>1.0300614276289006E-4</v>
      </c>
      <c r="U8">
        <f>_xlfn.STDEV.P(E8,I8,M8)</f>
        <v>8.7180018388517314E-2</v>
      </c>
    </row>
    <row r="9" spans="1:21" x14ac:dyDescent="0.2">
      <c r="A9" s="2">
        <v>0.16697699999999999</v>
      </c>
      <c r="C9" s="4">
        <v>9.76628E-4</v>
      </c>
      <c r="D9" s="4">
        <v>2.6955700000000002E-4</v>
      </c>
      <c r="E9" s="2">
        <v>0.276007</v>
      </c>
      <c r="G9" s="4">
        <v>8.8356600000000002E-4</v>
      </c>
      <c r="H9" s="4">
        <v>1.0856E-4</v>
      </c>
      <c r="I9" s="2">
        <v>0.122866</v>
      </c>
      <c r="K9" s="4">
        <v>1.0255500000000001E-3</v>
      </c>
      <c r="L9" s="4">
        <v>1.5267300000000001E-4</v>
      </c>
      <c r="M9" s="2">
        <v>0.14887</v>
      </c>
      <c r="O9" s="3">
        <f>AVERAGE(C9,G9,K9)</f>
        <v>9.6191466666666666E-4</v>
      </c>
      <c r="P9" s="3">
        <f>AVERAGE(D9,H9,L9)</f>
        <v>1.7693000000000003E-4</v>
      </c>
      <c r="Q9">
        <f>AVERAGE(E9,I9,M9)</f>
        <v>0.18258100000000002</v>
      </c>
      <c r="S9">
        <f>_xlfn.STDEV.P(C9,G9,K9)</f>
        <v>5.8891004957369262E-5</v>
      </c>
      <c r="T9">
        <f>_xlfn.STDEV.P(D9,H9,L9)</f>
        <v>6.7927952218999413E-5</v>
      </c>
      <c r="U9">
        <f>_xlfn.STDEV.P(E9,I9,M9)</f>
        <v>6.6909715841572556E-2</v>
      </c>
    </row>
    <row r="10" spans="1:21" x14ac:dyDescent="0.2">
      <c r="A10" s="2">
        <v>0.25684800000000002</v>
      </c>
      <c r="C10" s="4">
        <v>9.4003000000000001E-4</v>
      </c>
      <c r="D10" s="4">
        <v>2.1381899999999999E-4</v>
      </c>
      <c r="E10" s="2">
        <v>0.22746</v>
      </c>
      <c r="G10" s="4">
        <v>8.8268500000000002E-4</v>
      </c>
      <c r="H10" s="4">
        <v>1.0531600000000001E-4</v>
      </c>
      <c r="I10" s="2">
        <v>0.119313</v>
      </c>
      <c r="K10" s="4">
        <v>1.0197400000000001E-3</v>
      </c>
      <c r="L10" s="4">
        <v>1.46742E-4</v>
      </c>
      <c r="M10" s="2">
        <v>0.143902</v>
      </c>
      <c r="O10" s="3">
        <f>AVERAGE(C10,G10,K10)</f>
        <v>9.4748499999999997E-4</v>
      </c>
      <c r="P10" s="3">
        <f>AVERAGE(D10,H10,L10)</f>
        <v>1.5529233333333334E-4</v>
      </c>
      <c r="Q10">
        <f>AVERAGE(E10,I10,M10)</f>
        <v>0.16355833333333333</v>
      </c>
      <c r="S10">
        <f>_xlfn.STDEV.P(C10,G10,K10)</f>
        <v>5.6200243326875404E-5</v>
      </c>
      <c r="T10">
        <f>_xlfn.STDEV.P(D10,H10,L10)</f>
        <v>4.4706870481193625E-5</v>
      </c>
      <c r="U10">
        <f>_xlfn.STDEV.P(E10,I10,M10)</f>
        <v>4.6286945476619629E-2</v>
      </c>
    </row>
    <row r="11" spans="1:21" x14ac:dyDescent="0.2">
      <c r="A11" s="2">
        <v>0.40282299999999999</v>
      </c>
      <c r="C11" s="4">
        <v>9.2245999999999995E-4</v>
      </c>
      <c r="D11" s="4">
        <v>1.80268E-4</v>
      </c>
      <c r="E11" s="2">
        <v>0.19542100000000001</v>
      </c>
      <c r="G11" s="4">
        <v>8.8241000000000003E-4</v>
      </c>
      <c r="H11" s="4">
        <v>1.04405E-4</v>
      </c>
      <c r="I11" s="2">
        <v>0.11831800000000001</v>
      </c>
      <c r="K11" s="4">
        <v>1.01184E-3</v>
      </c>
      <c r="L11" s="4">
        <v>1.3986099999999999E-4</v>
      </c>
      <c r="M11" s="2">
        <v>0.13822400000000001</v>
      </c>
      <c r="O11" s="3">
        <f>AVERAGE(C11,G11,K11)</f>
        <v>9.3890333333333331E-4</v>
      </c>
      <c r="P11" s="3">
        <f>AVERAGE(D11,H11,L11)</f>
        <v>1.4151133333333333E-4</v>
      </c>
      <c r="Q11">
        <f>AVERAGE(E11,I11,M11)</f>
        <v>0.15065433333333333</v>
      </c>
      <c r="S11">
        <f>_xlfn.STDEV.P(C11,G11,K11)</f>
        <v>5.4103719116362236E-5</v>
      </c>
      <c r="T11">
        <f>_xlfn.STDEV.P(D11,H11,L11)</f>
        <v>3.0992917388045647E-5</v>
      </c>
      <c r="U11">
        <f>_xlfn.STDEV.P(E11,I11,M11)</f>
        <v>3.2681320274568049E-2</v>
      </c>
    </row>
    <row r="12" spans="1:21" x14ac:dyDescent="0.2">
      <c r="A12" s="2">
        <v>0.63939000000000001</v>
      </c>
      <c r="C12" s="4">
        <v>9.0406899999999997E-4</v>
      </c>
      <c r="D12" s="4">
        <v>1.36303E-4</v>
      </c>
      <c r="E12" s="2">
        <v>0.15076600000000001</v>
      </c>
      <c r="G12" s="4">
        <v>8.7882100000000001E-4</v>
      </c>
      <c r="H12" s="4">
        <v>1.03609E-4</v>
      </c>
      <c r="I12" s="2">
        <v>0.117896</v>
      </c>
      <c r="K12" s="4">
        <v>1.0063699999999999E-3</v>
      </c>
      <c r="L12" s="4">
        <v>1.3202299999999999E-4</v>
      </c>
      <c r="M12" s="2">
        <v>0.131188</v>
      </c>
      <c r="O12" s="3">
        <f>AVERAGE(C12,G12,K12)</f>
        <v>9.2975333333333333E-4</v>
      </c>
      <c r="P12" s="3">
        <f>AVERAGE(D12,H12,L12)</f>
        <v>1.2397833333333333E-4</v>
      </c>
      <c r="Q12">
        <f>AVERAGE(E12,I12,M12)</f>
        <v>0.13328333333333334</v>
      </c>
      <c r="S12">
        <f>_xlfn.STDEV.P(C12,G12,K12)</f>
        <v>5.5147986269269629E-5</v>
      </c>
      <c r="T12">
        <f>_xlfn.STDEV.P(D12,H12,L12)</f>
        <v>1.4508891649222859E-5</v>
      </c>
      <c r="U12">
        <f>_xlfn.STDEV.P(E12,I12,M12)</f>
        <v>1.3500667670732229E-2</v>
      </c>
    </row>
    <row r="13" spans="1:21" x14ac:dyDescent="0.2">
      <c r="A13" s="2">
        <v>1.0043800000000001</v>
      </c>
      <c r="C13" s="4">
        <v>8.9594200000000005E-4</v>
      </c>
      <c r="D13" s="4">
        <v>1.3129E-4</v>
      </c>
      <c r="E13" s="2">
        <v>0.146539</v>
      </c>
      <c r="G13" s="4">
        <v>8.7297399999999999E-4</v>
      </c>
      <c r="H13" s="4">
        <v>1.0396E-4</v>
      </c>
      <c r="I13" s="2">
        <v>0.119088</v>
      </c>
      <c r="K13" s="4">
        <v>9.9622899999999995E-4</v>
      </c>
      <c r="L13" s="4">
        <v>1.2692000000000001E-4</v>
      </c>
      <c r="M13" s="2">
        <v>0.12740099999999999</v>
      </c>
      <c r="O13" s="3">
        <f>AVERAGE(C13,G13,K13)</f>
        <v>9.2171500000000003E-4</v>
      </c>
      <c r="P13" s="3">
        <f>AVERAGE(D13,H13,L13)</f>
        <v>1.2072333333333332E-4</v>
      </c>
      <c r="Q13">
        <f>AVERAGE(E13,I13,M13)</f>
        <v>0.13100933333333334</v>
      </c>
      <c r="S13">
        <f>_xlfn.STDEV.P(C13,G13,K13)</f>
        <v>5.3517189780480789E-5</v>
      </c>
      <c r="T13">
        <f>_xlfn.STDEV.P(D13,H13,L13)</f>
        <v>1.1986971631270716E-5</v>
      </c>
      <c r="U13">
        <f>_xlfn.STDEV.P(E13,I13,M13)</f>
        <v>1.1493604086138035E-2</v>
      </c>
    </row>
    <row r="14" spans="1:21" x14ac:dyDescent="0.2">
      <c r="A14" s="2">
        <v>1.59829</v>
      </c>
      <c r="C14" s="4">
        <v>8.8099000000000001E-4</v>
      </c>
      <c r="D14" s="4">
        <v>1.2276299999999999E-4</v>
      </c>
      <c r="E14" s="2">
        <v>0.139346</v>
      </c>
      <c r="G14" s="4">
        <v>8.61048E-4</v>
      </c>
      <c r="H14" s="4">
        <v>1.0526099999999999E-4</v>
      </c>
      <c r="I14" s="2">
        <v>0.122248</v>
      </c>
      <c r="K14" s="4">
        <v>9.7987399999999994E-4</v>
      </c>
      <c r="L14" s="4">
        <v>1.2306599999999999E-4</v>
      </c>
      <c r="M14" s="2">
        <v>0.12559400000000001</v>
      </c>
      <c r="O14" s="3">
        <f>AVERAGE(C14,G14,K14)</f>
        <v>9.0730399999999994E-4</v>
      </c>
      <c r="P14" s="3">
        <f>AVERAGE(D14,H14,L14)</f>
        <v>1.1703E-4</v>
      </c>
      <c r="Q14">
        <f>AVERAGE(E14,I14,M14)</f>
        <v>0.12906266666666666</v>
      </c>
      <c r="S14">
        <f>_xlfn.STDEV.P(C14,G14,K14)</f>
        <v>5.1956549256726657E-5</v>
      </c>
      <c r="T14">
        <f>_xlfn.STDEV.P(D14,H14,L14)</f>
        <v>8.3228590039721313E-6</v>
      </c>
      <c r="U14">
        <f>_xlfn.STDEV.P(E14,I14,M14)</f>
        <v>7.398609659178464E-3</v>
      </c>
    </row>
    <row r="15" spans="1:21" x14ac:dyDescent="0.2">
      <c r="A15" s="2">
        <v>2.5461399999999998</v>
      </c>
      <c r="C15" s="4">
        <v>8.5527900000000002E-4</v>
      </c>
      <c r="D15" s="4">
        <v>1.1961299999999999E-4</v>
      </c>
      <c r="E15" s="2">
        <v>0.139852</v>
      </c>
      <c r="G15" s="4">
        <v>8.3916500000000001E-4</v>
      </c>
      <c r="H15" s="4">
        <v>1.08214E-4</v>
      </c>
      <c r="I15" s="2">
        <v>0.12895499999999999</v>
      </c>
      <c r="K15" s="4">
        <v>9.5239299999999995E-4</v>
      </c>
      <c r="L15" s="4">
        <v>1.23824E-4</v>
      </c>
      <c r="M15" s="2">
        <v>0.13001399999999999</v>
      </c>
      <c r="O15" s="3">
        <f>AVERAGE(C15,G15,K15)</f>
        <v>8.8227900000000003E-4</v>
      </c>
      <c r="P15" s="3">
        <f>AVERAGE(D15,H15,L15)</f>
        <v>1.1721700000000001E-4</v>
      </c>
      <c r="Q15">
        <f>AVERAGE(E15,I15,M15)</f>
        <v>0.13294033333333333</v>
      </c>
      <c r="S15">
        <f>_xlfn.STDEV.P(C15,G15,K15)</f>
        <v>5.001263171106539E-5</v>
      </c>
      <c r="T15">
        <f>_xlfn.STDEV.P(D15,H15,L15)</f>
        <v>6.5941204619468868E-6</v>
      </c>
      <c r="U15">
        <f>_xlfn.STDEV.P(E15,I15,M15)</f>
        <v>4.9063715264496257E-3</v>
      </c>
    </row>
    <row r="16" spans="1:21" x14ac:dyDescent="0.2">
      <c r="A16" s="2">
        <v>4.0720599999999996</v>
      </c>
      <c r="C16" s="4">
        <v>8.1164400000000004E-4</v>
      </c>
      <c r="D16" s="4">
        <v>1.2384900000000001E-4</v>
      </c>
      <c r="E16" s="2">
        <v>0.152591</v>
      </c>
      <c r="G16" s="4">
        <v>8.0219899999999997E-4</v>
      </c>
      <c r="H16" s="4">
        <v>1.1291299999999999E-4</v>
      </c>
      <c r="I16" s="2">
        <v>0.14075399999999999</v>
      </c>
      <c r="K16" s="4">
        <v>9.1069299999999996E-4</v>
      </c>
      <c r="L16" s="4">
        <v>1.2662799999999999E-4</v>
      </c>
      <c r="M16" s="2">
        <v>0.139046</v>
      </c>
      <c r="O16" s="3">
        <f>AVERAGE(C16,G16,K16)</f>
        <v>8.4151199999999999E-4</v>
      </c>
      <c r="P16" s="3">
        <f>AVERAGE(D16,H16,L16)</f>
        <v>1.2113E-4</v>
      </c>
      <c r="Q16">
        <f>AVERAGE(E16,I16,M16)</f>
        <v>0.14413033333333333</v>
      </c>
      <c r="S16">
        <f>_xlfn.STDEV.P(C16,G16,K16)</f>
        <v>4.9070086454648368E-5</v>
      </c>
      <c r="T16">
        <f>_xlfn.STDEV.P(D16,H16,L16)</f>
        <v>5.9200240427439734E-6</v>
      </c>
      <c r="U16">
        <f>_xlfn.STDEV.P(E16,I16,M16)</f>
        <v>6.0230931330080666E-3</v>
      </c>
    </row>
    <row r="17" spans="1:21" x14ac:dyDescent="0.2">
      <c r="A17" s="2">
        <v>6.5562399999999998</v>
      </c>
      <c r="C17" s="4">
        <v>7.3866100000000005E-4</v>
      </c>
      <c r="D17" s="4">
        <v>1.4380600000000001E-4</v>
      </c>
      <c r="E17" s="2">
        <v>0.194685</v>
      </c>
      <c r="G17" s="4">
        <v>7.4414499999999998E-4</v>
      </c>
      <c r="H17" s="4">
        <v>1.23378E-4</v>
      </c>
      <c r="I17" s="2">
        <v>0.165798</v>
      </c>
      <c r="K17" s="4">
        <v>8.4262200000000001E-4</v>
      </c>
      <c r="L17" s="4">
        <v>1.38849E-4</v>
      </c>
      <c r="M17" s="2">
        <v>0.16478200000000001</v>
      </c>
      <c r="O17" s="3">
        <f>AVERAGE(C17,G17,K17)</f>
        <v>7.7514266666666668E-4</v>
      </c>
      <c r="P17" s="3">
        <f>AVERAGE(D17,H17,L17)</f>
        <v>1.3534433333333332E-4</v>
      </c>
      <c r="Q17">
        <f>AVERAGE(E17,I17,M17)</f>
        <v>0.17508833333333332</v>
      </c>
      <c r="S17">
        <f>_xlfn.STDEV.P(C17,G17,K17)</f>
        <v>4.7767589321165827E-5</v>
      </c>
      <c r="T17">
        <f>_xlfn.STDEV.P(D17,H17,L17)</f>
        <v>8.7001077515677338E-6</v>
      </c>
      <c r="U17">
        <f>_xlfn.STDEV.P(E17,I17,M17)</f>
        <v>1.3863142316548898E-2</v>
      </c>
    </row>
    <row r="18" spans="1:21" x14ac:dyDescent="0.2">
      <c r="A18" s="2">
        <v>10.674300000000001</v>
      </c>
      <c r="C18" s="4">
        <v>6.1905700000000001E-4</v>
      </c>
      <c r="D18" s="4">
        <v>1.93788E-4</v>
      </c>
      <c r="E18" s="2">
        <v>0.31303700000000001</v>
      </c>
      <c r="G18" s="4">
        <v>6.5390100000000003E-4</v>
      </c>
      <c r="H18" s="4">
        <v>1.4805800000000001E-4</v>
      </c>
      <c r="I18" s="2">
        <v>0.22642200000000001</v>
      </c>
      <c r="K18" s="4">
        <v>7.3650099999999997E-4</v>
      </c>
      <c r="L18" s="4">
        <v>1.6143099999999999E-4</v>
      </c>
      <c r="M18" s="2">
        <v>0.21918599999999999</v>
      </c>
      <c r="O18" s="3">
        <f>AVERAGE(C18,G18,K18)</f>
        <v>6.6981966666666663E-4</v>
      </c>
      <c r="P18" s="3">
        <f>AVERAGE(D18,H18,L18)</f>
        <v>1.6775899999999999E-4</v>
      </c>
      <c r="Q18">
        <f>AVERAGE(E18,I18,M18)</f>
        <v>0.25288166666666667</v>
      </c>
      <c r="S18">
        <f>_xlfn.STDEV.P(C18,G18,K18)</f>
        <v>4.924988152495619E-5</v>
      </c>
      <c r="T18">
        <f>_xlfn.STDEV.P(D18,H18,L18)</f>
        <v>1.9197932406034421E-5</v>
      </c>
      <c r="U18">
        <f>_xlfn.STDEV.P(E18,I18,M18)</f>
        <v>4.2638699326107768E-2</v>
      </c>
    </row>
    <row r="19" spans="1:21" x14ac:dyDescent="0.2">
      <c r="A19" s="2">
        <v>17.554300000000001</v>
      </c>
      <c r="C19" s="4">
        <v>4.5316900000000001E-4</v>
      </c>
      <c r="D19" s="4">
        <v>2.5235900000000001E-4</v>
      </c>
      <c r="E19" s="2">
        <v>0.55687500000000001</v>
      </c>
      <c r="G19" s="4">
        <v>5.0827700000000001E-4</v>
      </c>
      <c r="H19" s="4">
        <v>2.0336E-4</v>
      </c>
      <c r="I19" s="2">
        <v>0.40009699999999998</v>
      </c>
      <c r="K19" s="4">
        <v>5.8378599999999998E-4</v>
      </c>
      <c r="L19" s="4">
        <v>2.08292E-4</v>
      </c>
      <c r="M19" s="2">
        <v>0.356796</v>
      </c>
      <c r="O19" s="3">
        <f>AVERAGE(C19,G19,K19)</f>
        <v>5.1507733333333334E-4</v>
      </c>
      <c r="P19" s="3">
        <f>AVERAGE(D19,H19,L19)</f>
        <v>2.2133700000000003E-4</v>
      </c>
      <c r="Q19">
        <f>AVERAGE(E19,I19,M19)</f>
        <v>0.43792266666666668</v>
      </c>
      <c r="S19">
        <f>_xlfn.STDEV.P(C19,G19,K19)</f>
        <v>5.3540536495465009E-5</v>
      </c>
      <c r="T19">
        <f>_xlfn.STDEV.P(D19,H19,L19)</f>
        <v>2.202808085149499E-5</v>
      </c>
      <c r="U19">
        <f>_xlfn.STDEV.P(E19,I19,M19)</f>
        <v>8.5949548590372751E-2</v>
      </c>
    </row>
    <row r="20" spans="1:21" x14ac:dyDescent="0.2">
      <c r="A20" s="2">
        <v>28.6022</v>
      </c>
      <c r="C20" s="4">
        <v>2.9538600000000002E-4</v>
      </c>
      <c r="D20" s="4">
        <v>2.6229399999999999E-4</v>
      </c>
      <c r="E20" s="2">
        <v>0.88797000000000004</v>
      </c>
      <c r="G20" s="4">
        <v>3.4291900000000001E-4</v>
      </c>
      <c r="H20" s="4">
        <v>2.3622199999999999E-4</v>
      </c>
      <c r="I20" s="2">
        <v>0.688855</v>
      </c>
      <c r="K20" s="4">
        <v>3.9533999999999999E-4</v>
      </c>
      <c r="L20" s="4">
        <v>2.5123000000000002E-4</v>
      </c>
      <c r="M20" s="2">
        <v>0.63547900000000002</v>
      </c>
      <c r="O20" s="3">
        <f>AVERAGE(C20,G20,K20)</f>
        <v>3.445483333333334E-4</v>
      </c>
      <c r="P20" s="3">
        <f>AVERAGE(D20,H20,L20)</f>
        <v>2.4991533333333329E-4</v>
      </c>
      <c r="Q20">
        <f>AVERAGE(E20,I20,M20)</f>
        <v>0.73743466666666668</v>
      </c>
      <c r="S20">
        <f>_xlfn.STDEV.P(C20,G20,K20)</f>
        <v>4.0822310683688089E-5</v>
      </c>
      <c r="T20">
        <f>_xlfn.STDEV.P(D20,H20,L20)</f>
        <v>1.0684367313457963E-5</v>
      </c>
      <c r="U20">
        <f>_xlfn.STDEV.P(E20,I20,M20)</f>
        <v>0.10865208781652061</v>
      </c>
    </row>
    <row r="21" spans="1:21" x14ac:dyDescent="0.2">
      <c r="A21" s="2">
        <v>45.1021</v>
      </c>
      <c r="C21" s="4">
        <v>1.96677E-4</v>
      </c>
      <c r="D21" s="4">
        <v>2.3090200000000001E-4</v>
      </c>
      <c r="E21" s="2">
        <v>1.17401</v>
      </c>
      <c r="G21" s="4">
        <v>2.23468E-4</v>
      </c>
      <c r="H21" s="4">
        <v>2.2072300000000001E-4</v>
      </c>
      <c r="I21" s="2">
        <v>0.98771699999999996</v>
      </c>
      <c r="K21" s="4">
        <v>2.4656500000000002E-4</v>
      </c>
      <c r="L21" s="4">
        <v>2.4191600000000001E-4</v>
      </c>
      <c r="M21" s="2">
        <v>0.98114400000000002</v>
      </c>
      <c r="O21" s="3">
        <f>AVERAGE(C21,G21,K21)</f>
        <v>2.2223666666666667E-4</v>
      </c>
      <c r="P21" s="3">
        <f>AVERAGE(D21,H21,L21)</f>
        <v>2.3118033333333334E-4</v>
      </c>
      <c r="Q21">
        <f>AVERAGE(E21,I21,M21)</f>
        <v>1.0476236666666667</v>
      </c>
      <c r="S21">
        <f>_xlfn.STDEV.P(C21,G21,K21)</f>
        <v>2.0385293266361311E-5</v>
      </c>
      <c r="T21">
        <f>_xlfn.STDEV.P(D21,H21,L21)</f>
        <v>8.6542442124595085E-6</v>
      </c>
      <c r="U21">
        <f>_xlfn.STDEV.P(E21,I21,M21)</f>
        <v>8.9408910899430052E-2</v>
      </c>
    </row>
    <row r="22" spans="1:21" x14ac:dyDescent="0.2">
      <c r="A22" s="2">
        <v>70.928200000000004</v>
      </c>
      <c r="C22" s="4">
        <v>1.36775E-4</v>
      </c>
      <c r="D22" s="4">
        <v>1.9023400000000001E-4</v>
      </c>
      <c r="E22" s="2">
        <v>1.3908499999999999</v>
      </c>
      <c r="G22" s="4">
        <v>1.4978600000000001E-4</v>
      </c>
      <c r="H22" s="4">
        <v>1.85658E-4</v>
      </c>
      <c r="I22" s="2">
        <v>1.23949</v>
      </c>
      <c r="K22" s="4">
        <v>1.63389E-4</v>
      </c>
      <c r="L22" s="4">
        <v>2.0185600000000001E-4</v>
      </c>
      <c r="M22" s="2">
        <v>1.23543</v>
      </c>
      <c r="O22" s="3">
        <f>AVERAGE(C22,G22,K22)</f>
        <v>1.4998333333333334E-4</v>
      </c>
      <c r="P22" s="3">
        <f>AVERAGE(D22,H22,L22)</f>
        <v>1.9258266666666668E-4</v>
      </c>
      <c r="Q22">
        <f>AVERAGE(E22,I22,M22)</f>
        <v>1.2885899999999999</v>
      </c>
      <c r="S22">
        <f>_xlfn.STDEV.P(C22,G22,K22)</f>
        <v>1.0866015962112741E-5</v>
      </c>
      <c r="T22">
        <f>_xlfn.STDEV.P(D22,H22,L22)</f>
        <v>6.8181609120218245E-6</v>
      </c>
      <c r="U22">
        <f>_xlfn.STDEV.P(E22,I22,M22)</f>
        <v>7.2327733731029215E-2</v>
      </c>
    </row>
    <row r="23" spans="1:21" x14ac:dyDescent="0.2">
      <c r="A23" s="2">
        <v>112.554</v>
      </c>
      <c r="C23" s="4">
        <v>9.6084999999999999E-5</v>
      </c>
      <c r="D23" s="4">
        <v>1.4998100000000001E-4</v>
      </c>
      <c r="E23" s="2">
        <v>1.5609200000000001</v>
      </c>
      <c r="G23" s="4">
        <v>1.0309100000000001E-4</v>
      </c>
      <c r="H23" s="4">
        <v>1.4817300000000001E-4</v>
      </c>
      <c r="I23" s="2">
        <v>1.4373</v>
      </c>
      <c r="K23" s="4">
        <v>1.11221E-4</v>
      </c>
      <c r="L23" s="4">
        <v>1.6004699999999999E-4</v>
      </c>
      <c r="M23" s="2">
        <v>1.4390000000000001</v>
      </c>
      <c r="O23" s="3">
        <f>AVERAGE(C23,G23,K23)</f>
        <v>1.0346566666666667E-4</v>
      </c>
      <c r="P23" s="3">
        <f>AVERAGE(D23,H23,L23)</f>
        <v>1.5273366666666667E-4</v>
      </c>
      <c r="Q23">
        <f>AVERAGE(E23,I23,M23)</f>
        <v>1.4790733333333332</v>
      </c>
      <c r="S23">
        <f>_xlfn.STDEV.P(C23,G23,K23)</f>
        <v>6.1849228145727262E-6</v>
      </c>
      <c r="T23">
        <f>_xlfn.STDEV.P(D23,H23,L23)</f>
        <v>5.2237183010657093E-6</v>
      </c>
      <c r="U23">
        <f>_xlfn.STDEV.P(E23,I23,M23)</f>
        <v>5.7878494182976907E-2</v>
      </c>
    </row>
    <row r="24" spans="1:21" x14ac:dyDescent="0.2">
      <c r="A24" s="2">
        <v>179.47800000000001</v>
      </c>
      <c r="C24" s="4">
        <v>6.5915700000000003E-5</v>
      </c>
      <c r="D24" s="4">
        <v>1.14597E-4</v>
      </c>
      <c r="E24" s="2">
        <v>1.7385299999999999</v>
      </c>
      <c r="G24" s="4">
        <v>7.0972199999999998E-5</v>
      </c>
      <c r="H24" s="4">
        <v>1.15111E-4</v>
      </c>
      <c r="I24" s="2">
        <v>1.62192</v>
      </c>
      <c r="K24" s="4">
        <v>7.6390099999999999E-5</v>
      </c>
      <c r="L24" s="4">
        <v>1.2421399999999999E-4</v>
      </c>
      <c r="M24" s="2">
        <v>1.6260399999999999</v>
      </c>
      <c r="O24" s="3">
        <f>AVERAGE(C24,G24,K24)</f>
        <v>7.1092666666666671E-5</v>
      </c>
      <c r="P24" s="3">
        <f>AVERAGE(D24,H24,L24)</f>
        <v>1.1797400000000001E-4</v>
      </c>
      <c r="Q24">
        <f>AVERAGE(E24,I24,M24)</f>
        <v>1.6621633333333332</v>
      </c>
      <c r="S24">
        <f>_xlfn.STDEV.P(C24,G24,K24)</f>
        <v>4.2770042477832011E-6</v>
      </c>
      <c r="T24">
        <f>_xlfn.STDEV.P(D24,H24,L24)</f>
        <v>4.4173332075661449E-6</v>
      </c>
      <c r="U24">
        <f>_xlfn.STDEV.P(E24,I24,M24)</f>
        <v>5.4025576864625439E-2</v>
      </c>
    </row>
    <row r="25" spans="1:21" x14ac:dyDescent="0.2">
      <c r="A25" s="2">
        <v>211.05199999999999</v>
      </c>
      <c r="C25" s="4">
        <v>5.6710599999999999E-5</v>
      </c>
      <c r="D25" s="4">
        <v>1.01833E-4</v>
      </c>
      <c r="E25" s="2">
        <v>1.7956700000000001</v>
      </c>
      <c r="G25" s="4">
        <v>6.1269699999999994E-5</v>
      </c>
      <c r="H25" s="4">
        <v>1.02829E-4</v>
      </c>
      <c r="I25" s="2">
        <v>1.6782999999999999</v>
      </c>
      <c r="K25" s="4">
        <v>6.5684499999999998E-5</v>
      </c>
      <c r="L25" s="4">
        <v>1.10568E-4</v>
      </c>
      <c r="M25" s="2">
        <v>1.6833199999999999</v>
      </c>
      <c r="O25" s="3">
        <f>AVERAGE(C25,G25,K25)</f>
        <v>6.1221600000000004E-5</v>
      </c>
      <c r="P25" s="3">
        <f>AVERAGE(D25,H25,L25)</f>
        <v>1.0507666666666666E-4</v>
      </c>
      <c r="Q25">
        <f>AVERAGE(E25,I25,M25)</f>
        <v>1.7190966666666665</v>
      </c>
      <c r="S25">
        <f>_xlfn.STDEV.P(C25,G25,K25)</f>
        <v>3.6637372094624905E-6</v>
      </c>
      <c r="T25">
        <f>_xlfn.STDEV.P(D25,H25,L25)</f>
        <v>3.9041909390921056E-6</v>
      </c>
      <c r="U25">
        <f>_xlfn.STDEV.P(E25,I25,M25)</f>
        <v>5.4184294362440169E-2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13002-330C-4D87-9453-44AAAF535E74}">
  <dimension ref="A1:W25"/>
  <sheetViews>
    <sheetView workbookViewId="0">
      <selection activeCell="O1" sqref="O1"/>
    </sheetView>
  </sheetViews>
  <sheetFormatPr baseColWidth="10" defaultColWidth="8.83203125" defaultRowHeight="15" x14ac:dyDescent="0.2"/>
  <cols>
    <col min="14" max="14" width="8.6640625" style="5"/>
  </cols>
  <sheetData>
    <row r="1" spans="1:23" ht="64" x14ac:dyDescent="0.2">
      <c r="A1" s="1" t="s">
        <v>0</v>
      </c>
      <c r="C1" s="1" t="s">
        <v>2</v>
      </c>
      <c r="D1" s="1" t="s">
        <v>3</v>
      </c>
      <c r="E1" s="1" t="s">
        <v>4</v>
      </c>
      <c r="G1" s="1" t="s">
        <v>2</v>
      </c>
      <c r="H1" s="1" t="s">
        <v>3</v>
      </c>
      <c r="I1" s="1" t="s">
        <v>4</v>
      </c>
      <c r="K1" s="1" t="s">
        <v>2</v>
      </c>
      <c r="L1" s="1" t="s">
        <v>3</v>
      </c>
      <c r="M1" s="1" t="s">
        <v>4</v>
      </c>
      <c r="O1" s="1" t="s">
        <v>19</v>
      </c>
      <c r="P1" s="1" t="s">
        <v>20</v>
      </c>
      <c r="Q1" s="1" t="s">
        <v>21</v>
      </c>
      <c r="S1" s="1" t="s">
        <v>22</v>
      </c>
      <c r="T1" s="1" t="s">
        <v>23</v>
      </c>
      <c r="U1" s="1" t="s">
        <v>24</v>
      </c>
      <c r="W1" s="1" t="s">
        <v>6</v>
      </c>
    </row>
    <row r="2" spans="1:23" ht="16" x14ac:dyDescent="0.2">
      <c r="A2" s="1" t="s">
        <v>1</v>
      </c>
      <c r="C2" s="1" t="s">
        <v>5</v>
      </c>
      <c r="D2" s="1" t="s">
        <v>5</v>
      </c>
      <c r="E2" s="1"/>
      <c r="G2" s="1" t="s">
        <v>5</v>
      </c>
      <c r="H2" s="1" t="s">
        <v>5</v>
      </c>
      <c r="I2" s="1"/>
      <c r="K2" s="1" t="s">
        <v>5</v>
      </c>
      <c r="L2" s="1" t="s">
        <v>5</v>
      </c>
      <c r="M2" s="1"/>
      <c r="O2" s="1" t="s">
        <v>5</v>
      </c>
      <c r="P2" s="1" t="s">
        <v>5</v>
      </c>
      <c r="S2" s="1" t="s">
        <v>5</v>
      </c>
      <c r="T2" s="1" t="s">
        <v>5</v>
      </c>
    </row>
    <row r="3" spans="1:23" x14ac:dyDescent="0.2">
      <c r="A3" s="2">
        <v>1.01362E-2</v>
      </c>
      <c r="C3" s="4">
        <v>2.6173300000000002E-3</v>
      </c>
      <c r="D3" s="4">
        <v>3.3484200000000002E-4</v>
      </c>
      <c r="E3" s="2">
        <v>0.12793299999999999</v>
      </c>
      <c r="G3" s="4">
        <v>1.8164800000000001E-3</v>
      </c>
      <c r="H3" s="4">
        <v>2.38519E-4</v>
      </c>
      <c r="I3" s="2">
        <v>0.13130800000000001</v>
      </c>
      <c r="K3" s="4">
        <v>2.5606800000000001E-3</v>
      </c>
      <c r="L3" s="4">
        <v>2.9762899999999999E-4</v>
      </c>
      <c r="M3" s="2">
        <v>0.11623</v>
      </c>
      <c r="O3" s="3">
        <f>AVERAGE(C3,G3,K3)</f>
        <v>2.3314966666666665E-3</v>
      </c>
      <c r="P3" s="3">
        <f>AVERAGE(D3,H3,L3)</f>
        <v>2.9032999999999999E-4</v>
      </c>
      <c r="Q3">
        <f>AVERAGE(E3,I3,M3)</f>
        <v>0.12515699999999999</v>
      </c>
      <c r="S3">
        <f>_xlfn.STDEV.P(C3,G3,K3)</f>
        <v>3.6490540402806985E-4</v>
      </c>
      <c r="T3">
        <f>_xlfn.STDEV.P(D3,H3,L3)</f>
        <v>3.9660951686345943E-5</v>
      </c>
      <c r="U3">
        <f>_xlfn.STDEV.P(E3,I3,M3)</f>
        <v>6.4609675745974779E-3</v>
      </c>
      <c r="W3">
        <v>1</v>
      </c>
    </row>
    <row r="4" spans="1:23" x14ac:dyDescent="0.2">
      <c r="A4" s="2">
        <v>1.5931299999999999E-2</v>
      </c>
      <c r="C4" s="4">
        <v>2.6124199999999998E-3</v>
      </c>
      <c r="D4" s="4">
        <v>2.89394E-4</v>
      </c>
      <c r="E4" s="2">
        <v>0.110776</v>
      </c>
      <c r="G4" s="4">
        <v>1.7854500000000001E-3</v>
      </c>
      <c r="H4" s="4">
        <v>2.2042000000000001E-4</v>
      </c>
      <c r="I4" s="2">
        <v>0.12345299999999999</v>
      </c>
      <c r="K4" s="4">
        <v>2.5396699999999999E-3</v>
      </c>
      <c r="L4" s="4">
        <v>2.8952699999999998E-4</v>
      </c>
      <c r="M4" s="2">
        <v>0.11400200000000001</v>
      </c>
      <c r="O4" s="3">
        <f t="shared" ref="O4:Q25" si="0">AVERAGE(C4,G4,K4)</f>
        <v>2.3125133333333331E-3</v>
      </c>
      <c r="P4" s="3">
        <f t="shared" si="0"/>
        <v>2.6644700000000001E-4</v>
      </c>
      <c r="Q4">
        <f t="shared" si="0"/>
        <v>0.116077</v>
      </c>
      <c r="S4">
        <f t="shared" ref="S4:U25" si="1">_xlfn.STDEV.P(C4,G4,K4)</f>
        <v>3.7387159884407129E-4</v>
      </c>
      <c r="T4">
        <f t="shared" si="1"/>
        <v>3.2546049109940618E-5</v>
      </c>
      <c r="U4">
        <f t="shared" si="1"/>
        <v>5.3793308753660642E-3</v>
      </c>
      <c r="W4">
        <v>1</v>
      </c>
    </row>
    <row r="5" spans="1:23" x14ac:dyDescent="0.2">
      <c r="A5" s="2">
        <v>2.5220300000000001E-2</v>
      </c>
      <c r="C5" s="4">
        <v>2.6051999999999998E-3</v>
      </c>
      <c r="D5" s="4">
        <v>2.7013200000000002E-4</v>
      </c>
      <c r="E5" s="2">
        <v>0.103689</v>
      </c>
      <c r="G5" s="4">
        <v>1.82146E-3</v>
      </c>
      <c r="H5" s="4">
        <v>2.1850600000000001E-4</v>
      </c>
      <c r="I5" s="2">
        <v>0.119962</v>
      </c>
      <c r="K5" s="4">
        <v>2.5573499999999999E-3</v>
      </c>
      <c r="L5" s="4">
        <v>2.7682599999999998E-4</v>
      </c>
      <c r="M5" s="2">
        <v>0.108247</v>
      </c>
      <c r="O5" s="3">
        <f t="shared" si="0"/>
        <v>2.3280033333333331E-3</v>
      </c>
      <c r="P5" s="3">
        <f t="shared" si="0"/>
        <v>2.5515466666666664E-4</v>
      </c>
      <c r="Q5">
        <f t="shared" si="0"/>
        <v>0.11063266666666666</v>
      </c>
      <c r="S5">
        <f t="shared" si="1"/>
        <v>3.5871252838759644E-4</v>
      </c>
      <c r="T5">
        <f t="shared" si="1"/>
        <v>2.6058216686659288E-5</v>
      </c>
      <c r="U5">
        <f t="shared" si="1"/>
        <v>6.8542534888118107E-3</v>
      </c>
      <c r="W5">
        <v>1</v>
      </c>
    </row>
    <row r="6" spans="1:23" x14ac:dyDescent="0.2">
      <c r="A6" s="2">
        <v>3.9828099999999998E-2</v>
      </c>
      <c r="C6" s="4">
        <v>2.6040400000000002E-3</v>
      </c>
      <c r="D6" s="4">
        <v>2.7671100000000001E-4</v>
      </c>
      <c r="E6" s="2">
        <v>0.106262</v>
      </c>
      <c r="G6" s="4">
        <v>1.8274000000000001E-3</v>
      </c>
      <c r="H6" s="4">
        <v>2.23024E-4</v>
      </c>
      <c r="I6" s="2">
        <v>0.122045</v>
      </c>
      <c r="K6" s="4">
        <v>2.5552999999999999E-3</v>
      </c>
      <c r="L6" s="4">
        <v>2.7378100000000001E-4</v>
      </c>
      <c r="M6" s="2">
        <v>0.107143</v>
      </c>
      <c r="O6" s="3">
        <f t="shared" si="0"/>
        <v>2.3289133333333333E-3</v>
      </c>
      <c r="P6" s="3">
        <f t="shared" si="0"/>
        <v>2.5783866666666673E-4</v>
      </c>
      <c r="Q6">
        <f t="shared" si="0"/>
        <v>0.11181666666666666</v>
      </c>
      <c r="S6">
        <f t="shared" si="1"/>
        <v>3.5518128191421098E-4</v>
      </c>
      <c r="T6">
        <f t="shared" si="1"/>
        <v>2.464673049761819E-5</v>
      </c>
      <c r="U6">
        <f t="shared" si="1"/>
        <v>7.2414612859253462E-3</v>
      </c>
      <c r="W6">
        <v>1</v>
      </c>
    </row>
    <row r="7" spans="1:23" x14ac:dyDescent="0.2">
      <c r="A7" s="2">
        <v>6.3070299999999996E-2</v>
      </c>
      <c r="C7" s="4">
        <v>2.5994600000000001E-3</v>
      </c>
      <c r="D7" s="4">
        <v>2.8014499999999998E-4</v>
      </c>
      <c r="E7" s="2">
        <v>0.10777</v>
      </c>
      <c r="G7" s="4">
        <v>1.83224E-3</v>
      </c>
      <c r="H7" s="4">
        <v>2.2327999999999999E-4</v>
      </c>
      <c r="I7" s="2">
        <v>0.121862</v>
      </c>
      <c r="K7" s="4">
        <v>2.5630000000000002E-3</v>
      </c>
      <c r="L7" s="4">
        <v>2.7862699999999999E-4</v>
      </c>
      <c r="M7" s="2">
        <v>0.108712</v>
      </c>
      <c r="O7" s="3">
        <f t="shared" si="0"/>
        <v>2.3315666666666669E-3</v>
      </c>
      <c r="P7" s="3">
        <f t="shared" si="0"/>
        <v>2.6068399999999996E-4</v>
      </c>
      <c r="Q7">
        <f t="shared" si="0"/>
        <v>0.11278133333333333</v>
      </c>
      <c r="S7">
        <f t="shared" si="1"/>
        <v>3.5339088172855982E-4</v>
      </c>
      <c r="T7">
        <f t="shared" si="1"/>
        <v>2.6455881425497806E-5</v>
      </c>
      <c r="U7">
        <f t="shared" si="1"/>
        <v>6.4325070972021106E-3</v>
      </c>
      <c r="W7">
        <v>1</v>
      </c>
    </row>
    <row r="8" spans="1:23" x14ac:dyDescent="0.2">
      <c r="A8" s="2">
        <v>0.100039</v>
      </c>
      <c r="C8" s="4">
        <v>2.5948500000000001E-3</v>
      </c>
      <c r="D8" s="4">
        <v>2.73491E-4</v>
      </c>
      <c r="E8" s="2">
        <v>0.105397</v>
      </c>
      <c r="G8" s="4">
        <v>1.8354999999999999E-3</v>
      </c>
      <c r="H8" s="4">
        <v>2.2428300000000001E-4</v>
      </c>
      <c r="I8" s="2">
        <v>0.122192</v>
      </c>
      <c r="K8" s="4">
        <v>2.56383E-3</v>
      </c>
      <c r="L8" s="4">
        <v>2.7853200000000001E-4</v>
      </c>
      <c r="M8" s="2">
        <v>0.108639</v>
      </c>
      <c r="O8" s="3">
        <f t="shared" si="0"/>
        <v>2.3313933333333329E-3</v>
      </c>
      <c r="P8" s="3">
        <f t="shared" si="0"/>
        <v>2.5876866666666668E-4</v>
      </c>
      <c r="Q8">
        <f t="shared" si="0"/>
        <v>0.112076</v>
      </c>
      <c r="S8">
        <f t="shared" si="1"/>
        <v>3.5087814469160413E-4</v>
      </c>
      <c r="T8">
        <f t="shared" si="1"/>
        <v>2.4471736409353727E-5</v>
      </c>
      <c r="U8">
        <f t="shared" si="1"/>
        <v>7.2745095138206138E-3</v>
      </c>
      <c r="W8">
        <v>1</v>
      </c>
    </row>
    <row r="9" spans="1:23" x14ac:dyDescent="0.2">
      <c r="A9" s="2">
        <v>0.15865599999999999</v>
      </c>
      <c r="C9" s="4">
        <v>2.5854599999999999E-3</v>
      </c>
      <c r="D9" s="4">
        <v>2.76283E-4</v>
      </c>
      <c r="E9" s="2">
        <v>0.10686</v>
      </c>
      <c r="G9" s="4">
        <v>1.83902E-3</v>
      </c>
      <c r="H9" s="4">
        <v>2.2682799999999999E-4</v>
      </c>
      <c r="I9" s="2">
        <v>0.12334199999999999</v>
      </c>
      <c r="K9" s="4">
        <v>2.5642400000000002E-3</v>
      </c>
      <c r="L9" s="4">
        <v>2.7931599999999999E-4</v>
      </c>
      <c r="M9" s="2">
        <v>0.108928</v>
      </c>
      <c r="O9" s="3">
        <f t="shared" si="0"/>
        <v>2.3295733333333333E-3</v>
      </c>
      <c r="P9" s="3">
        <f t="shared" si="0"/>
        <v>2.6080900000000003E-4</v>
      </c>
      <c r="Q9">
        <f t="shared" si="0"/>
        <v>0.11304333333333333</v>
      </c>
      <c r="S9">
        <f t="shared" si="1"/>
        <v>3.4698174950404656E-4</v>
      </c>
      <c r="T9">
        <f t="shared" si="1"/>
        <v>2.4060078179424106E-5</v>
      </c>
      <c r="U9">
        <f t="shared" si="1"/>
        <v>7.3310325481627889E-3</v>
      </c>
      <c r="W9">
        <v>1</v>
      </c>
    </row>
    <row r="10" spans="1:23" x14ac:dyDescent="0.2">
      <c r="A10" s="2">
        <v>0.251861</v>
      </c>
      <c r="C10" s="4">
        <v>2.56923E-3</v>
      </c>
      <c r="D10" s="4">
        <v>2.7824000000000002E-4</v>
      </c>
      <c r="E10" s="2">
        <v>0.108297</v>
      </c>
      <c r="G10" s="4">
        <v>1.8383799999999999E-3</v>
      </c>
      <c r="H10" s="4">
        <v>2.2873199999999999E-4</v>
      </c>
      <c r="I10" s="2">
        <v>0.124421</v>
      </c>
      <c r="K10" s="4">
        <v>2.5597900000000002E-3</v>
      </c>
      <c r="L10" s="4">
        <v>2.8313699999999998E-4</v>
      </c>
      <c r="M10" s="2">
        <v>0.110609</v>
      </c>
      <c r="O10" s="3">
        <f t="shared" si="0"/>
        <v>2.3224666666666668E-3</v>
      </c>
      <c r="P10" s="3">
        <f t="shared" si="0"/>
        <v>2.6336966666666665E-4</v>
      </c>
      <c r="Q10">
        <f t="shared" si="0"/>
        <v>0.11444233333333333</v>
      </c>
      <c r="S10">
        <f t="shared" si="1"/>
        <v>3.4232265874301824E-4</v>
      </c>
      <c r="T10">
        <f t="shared" si="1"/>
        <v>2.4573985110726801E-5</v>
      </c>
      <c r="U10">
        <f t="shared" si="1"/>
        <v>7.1188331128696153E-3</v>
      </c>
      <c r="W10">
        <v>1</v>
      </c>
    </row>
    <row r="11" spans="1:23" x14ac:dyDescent="0.2">
      <c r="A11" s="2">
        <v>0.40082299999999998</v>
      </c>
      <c r="C11" s="4">
        <v>2.5313900000000001E-3</v>
      </c>
      <c r="D11" s="4">
        <v>2.8430000000000003E-4</v>
      </c>
      <c r="E11" s="2">
        <v>0.11230900000000001</v>
      </c>
      <c r="G11" s="4">
        <v>1.8289000000000001E-3</v>
      </c>
      <c r="H11" s="4">
        <v>2.29943E-4</v>
      </c>
      <c r="I11" s="2">
        <v>0.12572800000000001</v>
      </c>
      <c r="K11" s="4">
        <v>2.5469999999999998E-3</v>
      </c>
      <c r="L11" s="4">
        <v>2.8578700000000002E-4</v>
      </c>
      <c r="M11" s="2">
        <v>0.112205</v>
      </c>
      <c r="O11" s="3">
        <f t="shared" si="0"/>
        <v>2.3024299999999998E-3</v>
      </c>
      <c r="P11" s="3">
        <f t="shared" si="0"/>
        <v>2.6667666666666667E-4</v>
      </c>
      <c r="Q11">
        <f t="shared" si="0"/>
        <v>0.11674733333333333</v>
      </c>
      <c r="S11">
        <f t="shared" si="1"/>
        <v>3.3489691319369704E-4</v>
      </c>
      <c r="T11">
        <f t="shared" si="1"/>
        <v>2.5981717833037058E-5</v>
      </c>
      <c r="U11">
        <f t="shared" si="1"/>
        <v>6.3504322337582329E-3</v>
      </c>
      <c r="W11">
        <v>1</v>
      </c>
    </row>
    <row r="12" spans="1:23" x14ac:dyDescent="0.2">
      <c r="A12" s="2">
        <v>0.636293</v>
      </c>
      <c r="C12" s="4">
        <v>2.4851700000000001E-3</v>
      </c>
      <c r="D12" s="4">
        <v>2.9231500000000002E-4</v>
      </c>
      <c r="E12" s="2">
        <v>0.11762400000000001</v>
      </c>
      <c r="G12" s="4">
        <v>1.80679E-3</v>
      </c>
      <c r="H12" s="4">
        <v>2.3553699999999999E-4</v>
      </c>
      <c r="I12" s="2">
        <v>0.13036200000000001</v>
      </c>
      <c r="K12" s="4">
        <v>2.50856E-3</v>
      </c>
      <c r="L12" s="4">
        <v>2.9237300000000001E-4</v>
      </c>
      <c r="M12" s="2">
        <v>0.11655</v>
      </c>
      <c r="O12" s="3">
        <f t="shared" si="0"/>
        <v>2.26684E-3</v>
      </c>
      <c r="P12" s="3">
        <f t="shared" si="0"/>
        <v>2.7340833333333332E-4</v>
      </c>
      <c r="Q12">
        <f t="shared" si="0"/>
        <v>0.12151200000000001</v>
      </c>
      <c r="S12">
        <f t="shared" si="1"/>
        <v>3.2544459323618618E-4</v>
      </c>
      <c r="T12">
        <f t="shared" si="1"/>
        <v>2.6779087080946013E-5</v>
      </c>
      <c r="U12">
        <f t="shared" si="1"/>
        <v>6.2732364852602206E-3</v>
      </c>
      <c r="W12">
        <v>1</v>
      </c>
    </row>
    <row r="13" spans="1:23" x14ac:dyDescent="0.2">
      <c r="A13" s="2">
        <v>1.01769</v>
      </c>
      <c r="C13" s="4">
        <v>2.3912500000000001E-3</v>
      </c>
      <c r="D13" s="4">
        <v>3.0937199999999998E-4</v>
      </c>
      <c r="E13" s="2">
        <v>0.12937699999999999</v>
      </c>
      <c r="G13" s="4">
        <v>1.7603199999999999E-3</v>
      </c>
      <c r="H13" s="4">
        <v>2.4350399999999999E-4</v>
      </c>
      <c r="I13" s="2">
        <v>0.13832900000000001</v>
      </c>
      <c r="K13" s="4">
        <v>2.4360100000000002E-3</v>
      </c>
      <c r="L13" s="4">
        <v>3.0819400000000002E-4</v>
      </c>
      <c r="M13" s="2">
        <v>0.12651599999999999</v>
      </c>
      <c r="O13" s="3">
        <f t="shared" si="0"/>
        <v>2.1958600000000004E-3</v>
      </c>
      <c r="P13" s="3">
        <f t="shared" si="0"/>
        <v>2.8702333333333334E-4</v>
      </c>
      <c r="Q13">
        <f t="shared" si="0"/>
        <v>0.13140733333333332</v>
      </c>
      <c r="S13">
        <f t="shared" si="1"/>
        <v>3.0851491925026908E-4</v>
      </c>
      <c r="T13">
        <f t="shared" si="1"/>
        <v>3.0776573356297415E-5</v>
      </c>
      <c r="U13">
        <f t="shared" si="1"/>
        <v>5.03179440049859E-3</v>
      </c>
      <c r="W13">
        <v>1</v>
      </c>
    </row>
    <row r="14" spans="1:23" x14ac:dyDescent="0.2">
      <c r="A14" s="2">
        <v>1.6405400000000001</v>
      </c>
      <c r="C14" s="4">
        <v>2.21193E-3</v>
      </c>
      <c r="D14" s="4">
        <v>3.6165600000000002E-4</v>
      </c>
      <c r="E14" s="2">
        <v>0.16350200000000001</v>
      </c>
      <c r="G14" s="4">
        <v>1.67096E-3</v>
      </c>
      <c r="H14" s="4">
        <v>2.65744E-4</v>
      </c>
      <c r="I14" s="2">
        <v>0.15903700000000001</v>
      </c>
      <c r="K14" s="4">
        <v>2.2889400000000002E-3</v>
      </c>
      <c r="L14" s="4">
        <v>3.5314299999999999E-4</v>
      </c>
      <c r="M14" s="2">
        <v>0.154283</v>
      </c>
      <c r="O14" s="3">
        <f t="shared" si="0"/>
        <v>2.0572766666666666E-3</v>
      </c>
      <c r="P14" s="3">
        <f t="shared" si="0"/>
        <v>3.2684766666666665E-4</v>
      </c>
      <c r="Q14">
        <f t="shared" si="0"/>
        <v>0.15894066666666667</v>
      </c>
      <c r="S14">
        <f t="shared" si="1"/>
        <v>2.7497037444463402E-4</v>
      </c>
      <c r="T14">
        <f t="shared" si="1"/>
        <v>4.3346367416684677E-5</v>
      </c>
      <c r="U14">
        <f t="shared" si="1"/>
        <v>3.7642573710568159E-3</v>
      </c>
      <c r="W14">
        <v>1</v>
      </c>
    </row>
    <row r="15" spans="1:23" x14ac:dyDescent="0.2">
      <c r="A15" s="2">
        <v>2.7377799999999999</v>
      </c>
      <c r="C15" s="4">
        <v>1.78535E-3</v>
      </c>
      <c r="D15" s="4">
        <v>5.4961300000000001E-4</v>
      </c>
      <c r="E15" s="2">
        <v>0.30784600000000001</v>
      </c>
      <c r="G15" s="4">
        <v>1.48387E-3</v>
      </c>
      <c r="H15" s="4">
        <v>3.4039600000000003E-4</v>
      </c>
      <c r="I15" s="2">
        <v>0.22939799999999999</v>
      </c>
      <c r="K15" s="4">
        <v>1.8867000000000001E-3</v>
      </c>
      <c r="L15" s="4">
        <v>5.6911199999999998E-4</v>
      </c>
      <c r="M15" s="2">
        <v>0.30164400000000002</v>
      </c>
      <c r="O15" s="3">
        <f t="shared" si="0"/>
        <v>1.7186399999999998E-3</v>
      </c>
      <c r="P15" s="3">
        <f t="shared" si="0"/>
        <v>4.863736666666666E-4</v>
      </c>
      <c r="Q15">
        <f t="shared" si="0"/>
        <v>0.27962933333333334</v>
      </c>
      <c r="S15">
        <f t="shared" si="1"/>
        <v>1.7108608028319159E-4</v>
      </c>
      <c r="T15">
        <f t="shared" si="1"/>
        <v>1.0352829604938393E-4</v>
      </c>
      <c r="U15">
        <f t="shared" si="1"/>
        <v>3.5609046952830584E-2</v>
      </c>
      <c r="W15">
        <v>1</v>
      </c>
    </row>
    <row r="16" spans="1:23" x14ac:dyDescent="0.2">
      <c r="A16" s="2">
        <v>4.7499399999999996</v>
      </c>
      <c r="C16" s="4">
        <v>1.05638E-3</v>
      </c>
      <c r="D16" s="4">
        <v>7.7937899999999997E-4</v>
      </c>
      <c r="E16" s="2">
        <v>0.73778100000000002</v>
      </c>
      <c r="G16" s="4">
        <v>1.06123E-3</v>
      </c>
      <c r="H16" s="4">
        <v>5.2058499999999995E-4</v>
      </c>
      <c r="I16" s="2">
        <v>0.49054900000000001</v>
      </c>
      <c r="K16" s="4">
        <v>1.1416200000000001E-3</v>
      </c>
      <c r="L16" s="4">
        <v>8.2897099999999996E-4</v>
      </c>
      <c r="M16" s="2">
        <v>0.72613300000000003</v>
      </c>
      <c r="O16" s="3">
        <f t="shared" si="0"/>
        <v>1.0864100000000001E-3</v>
      </c>
      <c r="P16" s="3">
        <f t="shared" si="0"/>
        <v>7.0964499999999996E-4</v>
      </c>
      <c r="Q16">
        <f t="shared" si="0"/>
        <v>0.65148766666666669</v>
      </c>
      <c r="S16">
        <f t="shared" si="1"/>
        <v>3.9089544211549331E-5</v>
      </c>
      <c r="T16">
        <f t="shared" si="1"/>
        <v>1.3520997082562612E-4</v>
      </c>
      <c r="U16">
        <f t="shared" si="1"/>
        <v>0.11390013110128062</v>
      </c>
      <c r="W16">
        <v>1</v>
      </c>
    </row>
    <row r="17" spans="1:23" x14ac:dyDescent="0.2">
      <c r="A17" s="2">
        <v>7.3171799999999996</v>
      </c>
      <c r="C17" s="4">
        <v>6.58306E-4</v>
      </c>
      <c r="D17" s="4">
        <v>7.4607000000000004E-4</v>
      </c>
      <c r="E17" s="2">
        <v>1.1333200000000001</v>
      </c>
      <c r="G17" s="4">
        <v>6.2075900000000002E-4</v>
      </c>
      <c r="H17" s="4">
        <v>5.9114900000000001E-4</v>
      </c>
      <c r="I17" s="2">
        <v>0.95230000000000004</v>
      </c>
      <c r="K17" s="4">
        <v>6.9217499999999995E-4</v>
      </c>
      <c r="L17" s="4">
        <v>7.7383699999999998E-4</v>
      </c>
      <c r="M17" s="2">
        <v>1.11798</v>
      </c>
      <c r="O17" s="3">
        <f t="shared" si="0"/>
        <v>6.5707999999999999E-4</v>
      </c>
      <c r="P17" s="3">
        <f t="shared" si="0"/>
        <v>7.0368533333333338E-4</v>
      </c>
      <c r="Q17">
        <f t="shared" si="0"/>
        <v>1.0678666666666665</v>
      </c>
      <c r="S17">
        <f t="shared" si="1"/>
        <v>2.9168345525015042E-5</v>
      </c>
      <c r="T17">
        <f t="shared" si="1"/>
        <v>8.0378568090145911E-5</v>
      </c>
      <c r="U17">
        <f t="shared" si="1"/>
        <v>8.1957589574662884E-2</v>
      </c>
      <c r="W17">
        <v>1</v>
      </c>
    </row>
    <row r="18" spans="1:23" x14ac:dyDescent="0.2">
      <c r="A18" s="2">
        <v>11.4674</v>
      </c>
      <c r="C18" s="4">
        <v>4.2390700000000001E-4</v>
      </c>
      <c r="D18" s="4">
        <v>6.3204199999999998E-4</v>
      </c>
      <c r="E18" s="2">
        <v>1.49099</v>
      </c>
      <c r="G18" s="4">
        <v>4.05559E-4</v>
      </c>
      <c r="H18" s="4">
        <v>5.2483200000000003E-4</v>
      </c>
      <c r="I18" s="2">
        <v>1.2941</v>
      </c>
      <c r="K18" s="4">
        <v>4.2676299999999998E-4</v>
      </c>
      <c r="L18" s="4">
        <v>6.4168799999999996E-4</v>
      </c>
      <c r="M18" s="2">
        <v>1.5036099999999999</v>
      </c>
      <c r="O18" s="3">
        <f t="shared" si="0"/>
        <v>4.1874300000000001E-4</v>
      </c>
      <c r="P18" s="3">
        <f t="shared" si="0"/>
        <v>5.9952066666666673E-4</v>
      </c>
      <c r="Q18">
        <f t="shared" si="0"/>
        <v>1.4295666666666669</v>
      </c>
      <c r="S18">
        <f t="shared" si="1"/>
        <v>9.3951255446641022E-6</v>
      </c>
      <c r="T18">
        <f t="shared" si="1"/>
        <v>5.2959475232378256E-5</v>
      </c>
      <c r="U18">
        <f t="shared" si="1"/>
        <v>9.5927852866388857E-2</v>
      </c>
      <c r="W18">
        <v>1</v>
      </c>
    </row>
    <row r="19" spans="1:23" x14ac:dyDescent="0.2">
      <c r="A19" s="2">
        <v>18.133900000000001</v>
      </c>
      <c r="C19" s="4">
        <v>2.74534E-4</v>
      </c>
      <c r="D19" s="4">
        <v>5.0810899999999997E-4</v>
      </c>
      <c r="E19" s="2">
        <v>1.8508</v>
      </c>
      <c r="G19" s="4">
        <v>2.6400000000000002E-4</v>
      </c>
      <c r="H19" s="4">
        <v>4.3423499999999999E-4</v>
      </c>
      <c r="I19" s="2">
        <v>1.64483</v>
      </c>
      <c r="K19" s="4">
        <v>2.6019999999999998E-4</v>
      </c>
      <c r="L19" s="4">
        <v>5.1196100000000001E-4</v>
      </c>
      <c r="M19" s="2">
        <v>1.96757</v>
      </c>
      <c r="O19" s="3">
        <f t="shared" si="0"/>
        <v>2.6624466666666665E-4</v>
      </c>
      <c r="P19" s="3">
        <f t="shared" si="0"/>
        <v>4.8476833333333332E-4</v>
      </c>
      <c r="Q19">
        <f t="shared" si="0"/>
        <v>1.8210666666666668</v>
      </c>
      <c r="S19">
        <f t="shared" si="1"/>
        <v>6.0632656400839189E-6</v>
      </c>
      <c r="T19">
        <f t="shared" si="1"/>
        <v>3.5767050100461023E-5</v>
      </c>
      <c r="U19">
        <f t="shared" si="1"/>
        <v>0.13342496076655058</v>
      </c>
      <c r="W19">
        <v>1</v>
      </c>
    </row>
    <row r="20" spans="1:23" x14ac:dyDescent="0.2">
      <c r="A20" s="2">
        <v>28.7959</v>
      </c>
      <c r="C20" s="4">
        <v>1.70953E-4</v>
      </c>
      <c r="D20" s="4">
        <v>3.9804199999999998E-4</v>
      </c>
      <c r="E20" s="2">
        <v>2.3283700000000001</v>
      </c>
      <c r="G20" s="4">
        <v>1.6960200000000001E-4</v>
      </c>
      <c r="H20" s="4">
        <v>3.4707299999999999E-4</v>
      </c>
      <c r="I20" s="2">
        <v>2.0464000000000002</v>
      </c>
      <c r="K20" s="4">
        <v>1.6428800000000001E-4</v>
      </c>
      <c r="L20" s="4">
        <v>4.1411600000000002E-4</v>
      </c>
      <c r="M20" s="2">
        <v>2.52067</v>
      </c>
      <c r="O20" s="3">
        <f t="shared" si="0"/>
        <v>1.6828100000000002E-4</v>
      </c>
      <c r="P20" s="3">
        <f t="shared" si="0"/>
        <v>3.8641033333333333E-4</v>
      </c>
      <c r="Q20">
        <f t="shared" si="0"/>
        <v>2.2984800000000001</v>
      </c>
      <c r="S20">
        <f t="shared" si="1"/>
        <v>2.8768428296774658E-6</v>
      </c>
      <c r="T20">
        <f t="shared" si="1"/>
        <v>2.8579278207975956E-5</v>
      </c>
      <c r="U20">
        <f t="shared" si="1"/>
        <v>0.19477006494838975</v>
      </c>
      <c r="W20">
        <v>1</v>
      </c>
    </row>
    <row r="21" spans="1:23" x14ac:dyDescent="0.2">
      <c r="A21" s="2">
        <v>44.774700000000003</v>
      </c>
      <c r="C21" s="4">
        <v>1.11847E-4</v>
      </c>
      <c r="D21" s="4">
        <v>3.1808699999999999E-4</v>
      </c>
      <c r="E21" s="2">
        <v>2.8439399999999999</v>
      </c>
      <c r="G21" s="4">
        <v>1.1281399999999999E-4</v>
      </c>
      <c r="H21" s="4">
        <v>2.7580299999999997E-4</v>
      </c>
      <c r="I21" s="2">
        <v>2.44475</v>
      </c>
      <c r="K21" s="4">
        <v>1.0712700000000001E-4</v>
      </c>
      <c r="L21" s="4">
        <v>3.3437499999999998E-4</v>
      </c>
      <c r="M21" s="2">
        <v>3.1212900000000001</v>
      </c>
      <c r="O21" s="3">
        <f t="shared" si="0"/>
        <v>1.1059600000000001E-4</v>
      </c>
      <c r="P21" s="3">
        <f t="shared" si="0"/>
        <v>3.0942166666666663E-4</v>
      </c>
      <c r="Q21">
        <f t="shared" si="0"/>
        <v>2.803326666666667</v>
      </c>
      <c r="S21">
        <f t="shared" si="1"/>
        <v>2.4845177935902661E-6</v>
      </c>
      <c r="T21">
        <f t="shared" si="1"/>
        <v>2.4684486320134133E-5</v>
      </c>
      <c r="U21">
        <f t="shared" si="1"/>
        <v>0.27768528352955418</v>
      </c>
      <c r="W21">
        <v>1</v>
      </c>
    </row>
    <row r="22" spans="1:23" x14ac:dyDescent="0.2">
      <c r="A22" s="2">
        <v>70.049599999999998</v>
      </c>
      <c r="C22" s="4">
        <v>7.9416499999999994E-5</v>
      </c>
      <c r="D22" s="4">
        <v>2.5356000000000001E-4</v>
      </c>
      <c r="E22" s="2">
        <v>3.19279</v>
      </c>
      <c r="G22" s="4">
        <v>8.05871E-5</v>
      </c>
      <c r="H22" s="4">
        <v>2.1348299999999999E-4</v>
      </c>
      <c r="I22" s="2">
        <v>2.6490999999999998</v>
      </c>
      <c r="K22" s="4">
        <v>7.5377199999999994E-5</v>
      </c>
      <c r="L22" s="4">
        <v>2.67194E-4</v>
      </c>
      <c r="M22" s="2">
        <v>3.5447600000000001</v>
      </c>
      <c r="O22" s="3">
        <f t="shared" si="0"/>
        <v>7.8460266666666658E-5</v>
      </c>
      <c r="P22" s="3">
        <f t="shared" si="0"/>
        <v>2.4474566666666668E-4</v>
      </c>
      <c r="Q22">
        <f t="shared" si="0"/>
        <v>3.128883333333333</v>
      </c>
      <c r="S22">
        <f t="shared" si="1"/>
        <v>2.2318230430649211E-6</v>
      </c>
      <c r="T22">
        <f t="shared" si="1"/>
        <v>2.2796011849054266E-5</v>
      </c>
      <c r="U22">
        <f t="shared" si="1"/>
        <v>0.36843340007237652</v>
      </c>
      <c r="W22">
        <v>1</v>
      </c>
    </row>
    <row r="23" spans="1:23" x14ac:dyDescent="0.2">
      <c r="A23" s="2">
        <v>111.235</v>
      </c>
      <c r="C23" s="4">
        <v>5.9104600000000003E-5</v>
      </c>
      <c r="D23" s="4">
        <v>1.96484E-4</v>
      </c>
      <c r="E23" s="2">
        <v>3.3243499999999999</v>
      </c>
      <c r="G23" s="4">
        <v>5.7004199999999999E-5</v>
      </c>
      <c r="H23" s="4">
        <v>1.5970000000000001E-4</v>
      </c>
      <c r="I23" s="2">
        <v>2.8015500000000002</v>
      </c>
      <c r="K23" s="4">
        <v>5.7826099999999998E-5</v>
      </c>
      <c r="L23" s="4">
        <v>2.0636999999999999E-4</v>
      </c>
      <c r="M23" s="2">
        <v>3.5688</v>
      </c>
      <c r="O23" s="3">
        <f t="shared" si="0"/>
        <v>5.79783E-5</v>
      </c>
      <c r="P23" s="3">
        <f t="shared" si="0"/>
        <v>1.8751800000000002E-4</v>
      </c>
      <c r="Q23">
        <f t="shared" si="0"/>
        <v>3.2315666666666663</v>
      </c>
      <c r="S23">
        <f t="shared" si="1"/>
        <v>8.6421203802462152E-7</v>
      </c>
      <c r="T23">
        <f t="shared" si="1"/>
        <v>2.0080074568254631E-5</v>
      </c>
      <c r="U23">
        <f t="shared" si="1"/>
        <v>0.32002572900037607</v>
      </c>
      <c r="W23">
        <v>1</v>
      </c>
    </row>
    <row r="24" spans="1:23" x14ac:dyDescent="0.2">
      <c r="A24" s="2">
        <v>176.75299999999999</v>
      </c>
      <c r="C24" s="4">
        <v>4.2766699999999998E-5</v>
      </c>
      <c r="D24" s="4">
        <v>1.5105899999999999E-4</v>
      </c>
      <c r="E24" s="2">
        <v>3.5321699999999998</v>
      </c>
      <c r="G24" s="4">
        <v>3.80608E-5</v>
      </c>
      <c r="H24" s="4">
        <v>1.21267E-4</v>
      </c>
      <c r="I24" s="2">
        <v>3.18615</v>
      </c>
      <c r="K24" s="4">
        <v>4.2408399999999999E-5</v>
      </c>
      <c r="L24" s="4">
        <v>1.5720600000000001E-4</v>
      </c>
      <c r="M24" s="2">
        <v>3.7069700000000001</v>
      </c>
      <c r="O24" s="3">
        <f t="shared" si="0"/>
        <v>4.1078633333333337E-5</v>
      </c>
      <c r="P24" s="3">
        <f t="shared" si="0"/>
        <v>1.4317733333333332E-4</v>
      </c>
      <c r="Q24">
        <f t="shared" si="0"/>
        <v>3.4750966666666669</v>
      </c>
      <c r="S24">
        <f t="shared" si="1"/>
        <v>2.1389379363496158E-6</v>
      </c>
      <c r="T24">
        <f t="shared" si="1"/>
        <v>1.5694870336797592E-5</v>
      </c>
      <c r="U24">
        <f t="shared" si="1"/>
        <v>0.21641994999434677</v>
      </c>
      <c r="W24">
        <v>1</v>
      </c>
    </row>
    <row r="25" spans="1:23" x14ac:dyDescent="0.2">
      <c r="A25" s="2">
        <v>210.47399999999999</v>
      </c>
      <c r="C25" s="4">
        <v>3.7122400000000002E-5</v>
      </c>
      <c r="D25" s="4">
        <v>1.3414500000000001E-4</v>
      </c>
      <c r="E25" s="2">
        <v>3.6135799999999998</v>
      </c>
      <c r="G25" s="4">
        <v>3.1764200000000003E-5</v>
      </c>
      <c r="H25" s="4">
        <v>1.0721999999999999E-4</v>
      </c>
      <c r="I25" s="2">
        <v>3.3755099999999998</v>
      </c>
      <c r="K25" s="4">
        <v>3.6692800000000002E-5</v>
      </c>
      <c r="L25" s="4">
        <v>1.3899299999999999E-4</v>
      </c>
      <c r="M25" s="2">
        <v>3.7880099999999999</v>
      </c>
      <c r="O25" s="3">
        <f t="shared" si="0"/>
        <v>3.519313333333334E-5</v>
      </c>
      <c r="P25" s="3">
        <f t="shared" si="0"/>
        <v>1.2678600000000002E-4</v>
      </c>
      <c r="Q25">
        <f t="shared" si="0"/>
        <v>3.5923666666666665</v>
      </c>
      <c r="S25">
        <f t="shared" si="1"/>
        <v>2.430956861448228E-6</v>
      </c>
      <c r="T25">
        <f t="shared" si="1"/>
        <v>1.3976099670508939E-5</v>
      </c>
      <c r="U25">
        <f t="shared" si="1"/>
        <v>0.16906915080982565</v>
      </c>
      <c r="W2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AC19-6592-1D47-97C1-FB4F46BACAF8}">
  <dimension ref="A1:U25"/>
  <sheetViews>
    <sheetView workbookViewId="0">
      <selection activeCell="O1" sqref="O1"/>
    </sheetView>
  </sheetViews>
  <sheetFormatPr baseColWidth="10" defaultColWidth="8.83203125" defaultRowHeight="15" x14ac:dyDescent="0.2"/>
  <cols>
    <col min="14" max="14" width="8.83203125" style="5"/>
  </cols>
  <sheetData>
    <row r="1" spans="1:21" ht="64" x14ac:dyDescent="0.2">
      <c r="A1" s="1" t="s">
        <v>0</v>
      </c>
      <c r="C1" s="1" t="s">
        <v>2</v>
      </c>
      <c r="D1" s="1" t="s">
        <v>3</v>
      </c>
      <c r="E1" s="1" t="s">
        <v>4</v>
      </c>
      <c r="G1" s="1" t="s">
        <v>2</v>
      </c>
      <c r="H1" s="1" t="s">
        <v>3</v>
      </c>
      <c r="I1" s="1" t="s">
        <v>4</v>
      </c>
      <c r="K1" s="1" t="s">
        <v>2</v>
      </c>
      <c r="L1" s="1" t="s">
        <v>3</v>
      </c>
      <c r="M1" s="1" t="s">
        <v>4</v>
      </c>
      <c r="O1" s="1" t="s">
        <v>19</v>
      </c>
      <c r="P1" s="1" t="s">
        <v>20</v>
      </c>
      <c r="Q1" s="1" t="s">
        <v>21</v>
      </c>
      <c r="S1" s="1" t="s">
        <v>22</v>
      </c>
      <c r="T1" s="1" t="s">
        <v>23</v>
      </c>
      <c r="U1" s="1" t="s">
        <v>24</v>
      </c>
    </row>
    <row r="2" spans="1:21" ht="16" x14ac:dyDescent="0.2">
      <c r="A2" s="1" t="s">
        <v>1</v>
      </c>
      <c r="C2" s="1" t="s">
        <v>5</v>
      </c>
      <c r="D2" s="1" t="s">
        <v>5</v>
      </c>
      <c r="E2" s="1"/>
      <c r="G2" s="1" t="s">
        <v>5</v>
      </c>
      <c r="H2" s="1" t="s">
        <v>5</v>
      </c>
      <c r="I2" s="1"/>
      <c r="K2" s="1" t="s">
        <v>5</v>
      </c>
      <c r="L2" s="1" t="s">
        <v>5</v>
      </c>
      <c r="M2" s="1"/>
      <c r="O2" s="1" t="s">
        <v>5</v>
      </c>
      <c r="P2" s="1" t="s">
        <v>5</v>
      </c>
      <c r="S2" s="1" t="s">
        <v>5</v>
      </c>
      <c r="T2" s="1" t="s">
        <v>5</v>
      </c>
    </row>
    <row r="3" spans="1:21" x14ac:dyDescent="0.2">
      <c r="A3" s="2">
        <v>1.02495E-2</v>
      </c>
      <c r="C3" s="4">
        <v>1.1072600000000001E-3</v>
      </c>
      <c r="D3" s="4">
        <v>3.2669300000000002E-4</v>
      </c>
      <c r="E3" s="2">
        <v>0.295047</v>
      </c>
      <c r="G3" s="4">
        <v>1.4039199999999999E-3</v>
      </c>
      <c r="H3" s="4">
        <v>2.13573E-4</v>
      </c>
      <c r="I3" s="2">
        <v>0.15212600000000001</v>
      </c>
      <c r="K3" s="4">
        <v>1.2852300000000001E-3</v>
      </c>
      <c r="L3" s="4">
        <v>4.12972E-4</v>
      </c>
      <c r="M3" s="2">
        <v>0.32132100000000002</v>
      </c>
      <c r="O3" s="3">
        <f>AVERAGE(C3,G3,K3)</f>
        <v>1.2654700000000001E-3</v>
      </c>
      <c r="P3" s="3">
        <f>AVERAGE(D3,H3,L3)</f>
        <v>3.1774599999999999E-4</v>
      </c>
      <c r="Q3">
        <f>AVERAGE(E3,I3,M3)</f>
        <v>0.25616466666666665</v>
      </c>
      <c r="S3">
        <f>_xlfn.STDEV.P(C3,G3,K3)</f>
        <v>1.2191426523039315E-4</v>
      </c>
      <c r="T3">
        <f>_xlfn.STDEV.P(D3,H3,L3)</f>
        <v>8.1649767940066223E-5</v>
      </c>
      <c r="U3">
        <f>_xlfn.STDEV.P(E3,I3,M3)</f>
        <v>7.4344306620540118E-2</v>
      </c>
    </row>
    <row r="4" spans="1:21" x14ac:dyDescent="0.2">
      <c r="A4" s="2">
        <v>1.4626699999999999E-2</v>
      </c>
      <c r="C4" s="4">
        <v>1.2959600000000001E-3</v>
      </c>
      <c r="D4" s="4">
        <v>4.39765E-4</v>
      </c>
      <c r="E4" s="2">
        <v>0.339335</v>
      </c>
      <c r="G4" s="4">
        <v>1.4115600000000001E-3</v>
      </c>
      <c r="H4" s="4">
        <v>2.0825600000000001E-4</v>
      </c>
      <c r="I4" s="2">
        <v>0.147536</v>
      </c>
      <c r="K4" s="4">
        <v>1.3954099999999999E-3</v>
      </c>
      <c r="L4" s="4">
        <v>3.2945099999999997E-4</v>
      </c>
      <c r="M4" s="2">
        <v>0.236097</v>
      </c>
      <c r="O4" s="3">
        <f>AVERAGE(C4,G4,K4)</f>
        <v>1.3676433333333334E-3</v>
      </c>
      <c r="P4" s="3">
        <f>AVERAGE(D4,H4,L4)</f>
        <v>3.25824E-4</v>
      </c>
      <c r="Q4">
        <f>AVERAGE(E4,I4,M4)</f>
        <v>0.24098933333333336</v>
      </c>
      <c r="S4">
        <f>_xlfn.STDEV.P(C4,G4,K4)</f>
        <v>5.1114778250086858E-5</v>
      </c>
      <c r="T4">
        <f>_xlfn.STDEV.P(D4,H4,L4)</f>
        <v>9.4547944158858709E-5</v>
      </c>
      <c r="U4">
        <f>_xlfn.STDEV.P(E4,I4,M4)</f>
        <v>7.8377995612430779E-2</v>
      </c>
    </row>
    <row r="5" spans="1:21" x14ac:dyDescent="0.2">
      <c r="A5" s="2">
        <v>2.9357100000000001E-2</v>
      </c>
      <c r="C5" s="4">
        <v>8.9295599999999998E-4</v>
      </c>
      <c r="D5" s="4">
        <v>3.6286199999999998E-4</v>
      </c>
      <c r="E5" s="2">
        <v>0.40636</v>
      </c>
      <c r="G5" s="4">
        <v>1.30393E-3</v>
      </c>
      <c r="H5" s="4">
        <v>3.2652799999999997E-4</v>
      </c>
      <c r="I5" s="2">
        <v>0.25041799999999997</v>
      </c>
      <c r="K5" s="4">
        <v>1.16837E-3</v>
      </c>
      <c r="L5" s="4">
        <v>4.3107900000000001E-4</v>
      </c>
      <c r="M5" s="2">
        <v>0.36895899999999998</v>
      </c>
      <c r="O5" s="3">
        <f>AVERAGE(C5,G5,K5)</f>
        <v>1.1217519999999999E-3</v>
      </c>
      <c r="P5" s="3">
        <f>AVERAGE(D5,H5,L5)</f>
        <v>3.7348966666666666E-4</v>
      </c>
      <c r="Q5">
        <f>AVERAGE(E5,I5,M5)</f>
        <v>0.34191233333333332</v>
      </c>
      <c r="S5">
        <f>_xlfn.STDEV.P(C5,G5,K5)</f>
        <v>1.7098700849674711E-4</v>
      </c>
      <c r="T5">
        <f>_xlfn.STDEV.P(D5,H5,L5)</f>
        <v>4.333926913961006E-5</v>
      </c>
      <c r="U5">
        <f>_xlfn.STDEV.P(E5,I5,M5)</f>
        <v>6.6473646278473131E-2</v>
      </c>
    </row>
    <row r="6" spans="1:21" x14ac:dyDescent="0.2">
      <c r="A6" s="2">
        <v>4.0677600000000001E-2</v>
      </c>
      <c r="C6" s="4">
        <v>8.6607100000000005E-4</v>
      </c>
      <c r="D6" s="4">
        <v>3.0531999999999998E-4</v>
      </c>
      <c r="E6" s="2">
        <v>0.35253499999999999</v>
      </c>
      <c r="G6" s="4">
        <v>1.3277E-3</v>
      </c>
      <c r="H6" s="4">
        <v>3.4047400000000001E-4</v>
      </c>
      <c r="I6" s="2">
        <v>0.25643899999999997</v>
      </c>
      <c r="K6" s="4">
        <v>9.0980399999999995E-4</v>
      </c>
      <c r="L6" s="4">
        <v>3.9802099999999998E-4</v>
      </c>
      <c r="M6" s="2">
        <v>0.43747999999999998</v>
      </c>
      <c r="O6" s="3">
        <f>AVERAGE(C6,G6,K6)</f>
        <v>1.0345249999999999E-3</v>
      </c>
      <c r="P6" s="3">
        <f>AVERAGE(D6,H6,L6)</f>
        <v>3.4793833333333332E-4</v>
      </c>
      <c r="Q6">
        <f>AVERAGE(E6,I6,M6)</f>
        <v>0.34881799999999991</v>
      </c>
      <c r="S6">
        <f>_xlfn.STDEV.P(C6,G6,K6)</f>
        <v>2.0807343141464907E-4</v>
      </c>
      <c r="T6">
        <f>_xlfn.STDEV.P(D6,H6,L6)</f>
        <v>3.8211307701022509E-5</v>
      </c>
      <c r="U6">
        <f>_xlfn.STDEV.P(E6,I6,M6)</f>
        <v>7.3956397005262769E-2</v>
      </c>
    </row>
    <row r="7" spans="1:21" x14ac:dyDescent="0.2">
      <c r="A7" s="2">
        <v>6.4856300000000006E-2</v>
      </c>
      <c r="C7" s="4">
        <v>8.1546899999999998E-4</v>
      </c>
      <c r="D7" s="4">
        <v>2.82191E-4</v>
      </c>
      <c r="E7" s="2">
        <v>0.34604800000000002</v>
      </c>
      <c r="G7" s="4">
        <v>1.07069E-3</v>
      </c>
      <c r="H7" s="4">
        <v>3.7718300000000001E-4</v>
      </c>
      <c r="I7" s="2">
        <v>0.35227999999999998</v>
      </c>
      <c r="K7" s="4">
        <v>8.0863099999999998E-4</v>
      </c>
      <c r="L7" s="4">
        <v>2.8153599999999998E-4</v>
      </c>
      <c r="M7" s="2">
        <v>0.34816399999999997</v>
      </c>
      <c r="O7" s="3">
        <f>AVERAGE(C7,G7,K7)</f>
        <v>8.9826333333333332E-4</v>
      </c>
      <c r="P7" s="3">
        <f>AVERAGE(D7,H7,L7)</f>
        <v>3.1363666666666664E-4</v>
      </c>
      <c r="Q7">
        <f>AVERAGE(E7,I7,M7)</f>
        <v>0.34883066666666668</v>
      </c>
      <c r="S7">
        <f>_xlfn.STDEV.P(C7,G7,K7)</f>
        <v>1.2195601965280581E-4</v>
      </c>
      <c r="T7">
        <f>_xlfn.STDEV.P(D7,H7,L7)</f>
        <v>4.4934838869436521E-5</v>
      </c>
      <c r="U7">
        <f>_xlfn.STDEV.P(E7,I7,M7)</f>
        <v>2.5875070799688295E-3</v>
      </c>
    </row>
    <row r="8" spans="1:21" x14ac:dyDescent="0.2">
      <c r="A8" s="2">
        <v>0.101114</v>
      </c>
      <c r="C8" s="4">
        <v>8.0330600000000005E-4</v>
      </c>
      <c r="D8" s="4">
        <v>2.4785299999999997E-4</v>
      </c>
      <c r="E8" s="2">
        <v>0.30854199999999998</v>
      </c>
      <c r="G8" s="4">
        <v>9.2586800000000005E-4</v>
      </c>
      <c r="H8" s="4">
        <v>3.45094E-4</v>
      </c>
      <c r="I8" s="2">
        <v>0.37272499999999997</v>
      </c>
      <c r="K8" s="4">
        <v>7.7736299999999999E-4</v>
      </c>
      <c r="L8" s="4">
        <v>2.1117900000000001E-4</v>
      </c>
      <c r="M8" s="2">
        <v>0.27166099999999999</v>
      </c>
      <c r="O8" s="3">
        <f>AVERAGE(C8,G8,K8)</f>
        <v>8.3551233333333333E-4</v>
      </c>
      <c r="P8" s="3">
        <f>AVERAGE(D8,H8,L8)</f>
        <v>2.6804199999999997E-4</v>
      </c>
      <c r="Q8">
        <f>AVERAGE(E8,I8,M8)</f>
        <v>0.31764266666666668</v>
      </c>
      <c r="S8">
        <f>_xlfn.STDEV.P(C8,G8,K8)</f>
        <v>6.4763002227780924E-5</v>
      </c>
      <c r="T8">
        <f>_xlfn.STDEV.P(D8,H8,L8)</f>
        <v>5.6503708415171005E-5</v>
      </c>
      <c r="U8">
        <f>_xlfn.STDEV.P(E8,I8,M8)</f>
        <v>4.1758030160543823E-2</v>
      </c>
    </row>
    <row r="9" spans="1:21" x14ac:dyDescent="0.2">
      <c r="A9" s="2">
        <v>0.160664</v>
      </c>
      <c r="C9" s="4">
        <v>7.8455799999999998E-4</v>
      </c>
      <c r="D9" s="4">
        <v>2.21702E-4</v>
      </c>
      <c r="E9" s="2">
        <v>0.282582</v>
      </c>
      <c r="G9" s="4">
        <v>8.2661300000000002E-4</v>
      </c>
      <c r="H9" s="4">
        <v>2.7456099999999999E-4</v>
      </c>
      <c r="I9" s="2">
        <v>0.33215099999999997</v>
      </c>
      <c r="K9" s="4">
        <v>7.6927199999999999E-4</v>
      </c>
      <c r="L9" s="4">
        <v>2.0054900000000001E-4</v>
      </c>
      <c r="M9" s="2">
        <v>0.26069999999999999</v>
      </c>
      <c r="O9" s="3">
        <f>AVERAGE(C9,G9,K9)</f>
        <v>7.9348099999999996E-4</v>
      </c>
      <c r="P9" s="3">
        <f>AVERAGE(D9,H9,L9)</f>
        <v>2.3227066666666667E-4</v>
      </c>
      <c r="Q9">
        <f>AVERAGE(E9,I9,M9)</f>
        <v>0.29181099999999999</v>
      </c>
      <c r="S9">
        <f>_xlfn.STDEV.P(C9,G9,K9)</f>
        <v>2.4244759117522027E-5</v>
      </c>
      <c r="T9">
        <f>_xlfn.STDEV.P(D9,H9,L9)</f>
        <v>3.1125729681763631E-5</v>
      </c>
      <c r="U9">
        <f>_xlfn.STDEV.P(E9,I9,M9)</f>
        <v>2.9890825582442427E-2</v>
      </c>
    </row>
    <row r="10" spans="1:21" x14ac:dyDescent="0.2">
      <c r="A10" s="2">
        <v>0.25382700000000002</v>
      </c>
      <c r="C10" s="4">
        <v>7.7017800000000005E-4</v>
      </c>
      <c r="D10" s="4">
        <v>2.03301E-4</v>
      </c>
      <c r="E10" s="2">
        <v>0.26396599999999998</v>
      </c>
      <c r="G10" s="4">
        <v>7.9264099999999996E-4</v>
      </c>
      <c r="H10" s="4">
        <v>2.32962E-4</v>
      </c>
      <c r="I10" s="2">
        <v>0.293906</v>
      </c>
      <c r="K10" s="4">
        <v>7.62173E-4</v>
      </c>
      <c r="L10" s="4">
        <v>1.67761E-4</v>
      </c>
      <c r="M10" s="2">
        <v>0.220109</v>
      </c>
      <c r="O10" s="3">
        <f>AVERAGE(C10,G10,K10)</f>
        <v>7.7499733333333341E-4</v>
      </c>
      <c r="P10" s="3">
        <f>AVERAGE(D10,H10,L10)</f>
        <v>2.0134133333333333E-4</v>
      </c>
      <c r="Q10">
        <f>AVERAGE(E10,I10,M10)</f>
        <v>0.25932699999999997</v>
      </c>
      <c r="S10">
        <f>_xlfn.STDEV.P(C10,G10,K10)</f>
        <v>1.2896879114300806E-5</v>
      </c>
      <c r="T10">
        <f>_xlfn.STDEV.P(D10,H10,L10)</f>
        <v>2.6654240692409321E-5</v>
      </c>
      <c r="U10">
        <f>_xlfn.STDEV.P(E10,I10,M10)</f>
        <v>3.0305550019757325E-2</v>
      </c>
    </row>
    <row r="11" spans="1:21" x14ac:dyDescent="0.2">
      <c r="A11" s="2">
        <v>0.40094299999999999</v>
      </c>
      <c r="C11" s="4">
        <v>7.6471799999999995E-4</v>
      </c>
      <c r="D11" s="4">
        <v>1.78228E-4</v>
      </c>
      <c r="E11" s="2">
        <v>0.23306399999999999</v>
      </c>
      <c r="G11" s="4">
        <v>7.7314300000000001E-4</v>
      </c>
      <c r="H11" s="4">
        <v>1.9880399999999999E-4</v>
      </c>
      <c r="I11" s="2">
        <v>0.25713799999999998</v>
      </c>
      <c r="K11" s="4">
        <v>7.6294299999999998E-4</v>
      </c>
      <c r="L11" s="4">
        <v>1.60822E-4</v>
      </c>
      <c r="M11" s="2">
        <v>0.21079200000000001</v>
      </c>
      <c r="O11" s="3">
        <f>AVERAGE(C11,G11,K11)</f>
        <v>7.6693466666666668E-4</v>
      </c>
      <c r="P11" s="3">
        <f>AVERAGE(D11,H11,L11)</f>
        <v>1.7928466666666668E-4</v>
      </c>
      <c r="Q11">
        <f>AVERAGE(E11,I11,M11)</f>
        <v>0.23366466666666666</v>
      </c>
      <c r="S11">
        <f>_xlfn.STDEV.P(C11,G11,K11)</f>
        <v>4.4493601287775884E-6</v>
      </c>
      <c r="T11">
        <f>_xlfn.STDEV.P(D11,H11,L11)</f>
        <v>1.5524077843430468E-5</v>
      </c>
      <c r="U11">
        <f>_xlfn.STDEV.P(E11,I11,M11)</f>
        <v>1.8925441946989995E-2</v>
      </c>
    </row>
    <row r="12" spans="1:21" x14ac:dyDescent="0.2">
      <c r="A12" s="2">
        <v>0.63458300000000001</v>
      </c>
      <c r="C12" s="4">
        <v>7.5991800000000005E-4</v>
      </c>
      <c r="D12" s="4">
        <v>1.59257E-4</v>
      </c>
      <c r="E12" s="2">
        <v>0.20957200000000001</v>
      </c>
      <c r="G12" s="4">
        <v>7.6714100000000005E-4</v>
      </c>
      <c r="H12" s="4">
        <v>1.79073E-4</v>
      </c>
      <c r="I12" s="2">
        <v>0.233429</v>
      </c>
      <c r="K12" s="4">
        <v>7.6477999999999995E-4</v>
      </c>
      <c r="L12" s="4">
        <v>1.5630900000000001E-4</v>
      </c>
      <c r="M12" s="2">
        <v>0.20438400000000001</v>
      </c>
      <c r="O12" s="3">
        <f>AVERAGE(C12,G12,K12)</f>
        <v>7.6394633333333331E-4</v>
      </c>
      <c r="P12" s="3">
        <f>AVERAGE(D12,H12,L12)</f>
        <v>1.6487966666666666E-4</v>
      </c>
      <c r="Q12">
        <f>AVERAGE(E12,I12,M12)</f>
        <v>0.21579499999999999</v>
      </c>
      <c r="S12">
        <f>_xlfn.STDEV.P(C12,G12,K12)</f>
        <v>3.0071229143854689E-6</v>
      </c>
      <c r="T12">
        <f>_xlfn.STDEV.P(D12,H12,L12)</f>
        <v>1.0108105966115618E-5</v>
      </c>
      <c r="U12">
        <f>_xlfn.STDEV.P(E12,I12,M12)</f>
        <v>1.2647721876554155E-2</v>
      </c>
    </row>
    <row r="13" spans="1:21" x14ac:dyDescent="0.2">
      <c r="A13" s="2">
        <v>1.0012799999999999</v>
      </c>
      <c r="C13" s="4">
        <v>7.5967299999999999E-4</v>
      </c>
      <c r="D13" s="4">
        <v>1.5021300000000001E-4</v>
      </c>
      <c r="E13" s="2">
        <v>0.19773399999999999</v>
      </c>
      <c r="G13" s="4">
        <v>7.6262300000000003E-4</v>
      </c>
      <c r="H13" s="4">
        <v>1.5918599999999999E-4</v>
      </c>
      <c r="I13" s="2">
        <v>0.208735</v>
      </c>
      <c r="K13" s="4">
        <v>7.64418E-4</v>
      </c>
      <c r="L13" s="4">
        <v>1.4886500000000001E-4</v>
      </c>
      <c r="M13" s="2">
        <v>0.194742</v>
      </c>
      <c r="O13" s="3">
        <f>AVERAGE(C13,G13,K13)</f>
        <v>7.6223800000000004E-4</v>
      </c>
      <c r="P13" s="3">
        <f>AVERAGE(D13,H13,L13)</f>
        <v>1.5275466666666668E-4</v>
      </c>
      <c r="Q13">
        <f>AVERAGE(E13,I13,M13)</f>
        <v>0.20040366666666665</v>
      </c>
      <c r="S13">
        <f>_xlfn.STDEV.P(C13,G13,K13)</f>
        <v>1.9561739868086101E-6</v>
      </c>
      <c r="T13">
        <f>_xlfn.STDEV.P(D13,H13,L13)</f>
        <v>4.580815963219743E-6</v>
      </c>
      <c r="U13">
        <f>_xlfn.STDEV.P(E13,I13,M13)</f>
        <v>6.0164414916312661E-3</v>
      </c>
    </row>
    <row r="14" spans="1:21" x14ac:dyDescent="0.2">
      <c r="A14" s="2">
        <v>1.5854900000000001</v>
      </c>
      <c r="C14" s="4">
        <v>7.5972400000000003E-4</v>
      </c>
      <c r="D14" s="4">
        <v>1.4616499999999999E-4</v>
      </c>
      <c r="E14" s="2">
        <v>0.19239200000000001</v>
      </c>
      <c r="G14" s="4">
        <v>7.6151099999999998E-4</v>
      </c>
      <c r="H14" s="4">
        <v>1.4986700000000001E-4</v>
      </c>
      <c r="I14" s="2">
        <v>0.196802</v>
      </c>
      <c r="K14" s="4">
        <v>7.6415999999999995E-4</v>
      </c>
      <c r="L14" s="4">
        <v>1.44556E-4</v>
      </c>
      <c r="M14" s="2">
        <v>0.18917</v>
      </c>
      <c r="O14" s="3">
        <f>AVERAGE(C14,G14,K14)</f>
        <v>7.6179833333333332E-4</v>
      </c>
      <c r="P14" s="3">
        <f>AVERAGE(D14,H14,L14)</f>
        <v>1.4686266666666666E-4</v>
      </c>
      <c r="Q14">
        <f>AVERAGE(E14,I14,M14)</f>
        <v>0.19278800000000004</v>
      </c>
      <c r="S14">
        <f>_xlfn.STDEV.P(C14,G14,K14)</f>
        <v>1.822350923639233E-6</v>
      </c>
      <c r="T14">
        <f>_xlfn.STDEV.P(D14,H14,L14)</f>
        <v>2.2236208209934463E-6</v>
      </c>
      <c r="U14">
        <f>_xlfn.STDEV.P(E14,I14,M14)</f>
        <v>3.1283081689628981E-3</v>
      </c>
    </row>
    <row r="15" spans="1:21" x14ac:dyDescent="0.2">
      <c r="A15" s="2">
        <v>2.5152299999999999</v>
      </c>
      <c r="C15" s="4">
        <v>7.5803299999999997E-4</v>
      </c>
      <c r="D15" s="4">
        <v>1.4281499999999999E-4</v>
      </c>
      <c r="E15" s="2">
        <v>0.18840199999999999</v>
      </c>
      <c r="G15" s="4">
        <v>7.5912600000000005E-4</v>
      </c>
      <c r="H15" s="4">
        <v>1.4405599999999999E-4</v>
      </c>
      <c r="I15" s="2">
        <v>0.18976499999999999</v>
      </c>
      <c r="K15" s="4">
        <v>7.6278999999999995E-4</v>
      </c>
      <c r="L15" s="4">
        <v>1.40901E-4</v>
      </c>
      <c r="M15" s="2">
        <v>0.18471799999999999</v>
      </c>
      <c r="O15" s="3">
        <f>AVERAGE(C15,G15,K15)</f>
        <v>7.5998299999999999E-4</v>
      </c>
      <c r="P15" s="3">
        <f>AVERAGE(D15,H15,L15)</f>
        <v>1.4259066666666667E-4</v>
      </c>
      <c r="Q15">
        <f>AVERAGE(E15,I15,M15)</f>
        <v>0.18762833333333331</v>
      </c>
      <c r="S15">
        <f>_xlfn.STDEV.P(C15,G15,K15)</f>
        <v>2.0343875409239474E-6</v>
      </c>
      <c r="T15">
        <f>_xlfn.STDEV.P(D15,H15,L15)</f>
        <v>1.2977545564893544E-6</v>
      </c>
      <c r="U15">
        <f>_xlfn.STDEV.P(E15,I15,M15)</f>
        <v>2.1318180556093927E-3</v>
      </c>
    </row>
    <row r="16" spans="1:21" x14ac:dyDescent="0.2">
      <c r="A16" s="2">
        <v>3.9927299999999999</v>
      </c>
      <c r="C16" s="4">
        <v>7.5314800000000003E-4</v>
      </c>
      <c r="D16" s="4">
        <v>1.41662E-4</v>
      </c>
      <c r="E16" s="2">
        <v>0.18809300000000001</v>
      </c>
      <c r="G16" s="4">
        <v>7.5482000000000001E-4</v>
      </c>
      <c r="H16" s="4">
        <v>1.4028900000000001E-4</v>
      </c>
      <c r="I16" s="2">
        <v>0.185858</v>
      </c>
      <c r="K16" s="4">
        <v>7.5906300000000003E-4</v>
      </c>
      <c r="L16" s="4">
        <v>1.38901E-4</v>
      </c>
      <c r="M16" s="2">
        <v>0.18299000000000001</v>
      </c>
      <c r="O16" s="3">
        <f>AVERAGE(C16,G16,K16)</f>
        <v>7.5567700000000006E-4</v>
      </c>
      <c r="P16" s="3">
        <f>AVERAGE(D16,H16,L16)</f>
        <v>1.4028399999999999E-4</v>
      </c>
      <c r="Q16">
        <f>AVERAGE(E16,I16,M16)</f>
        <v>0.18564700000000001</v>
      </c>
      <c r="S16">
        <f>_xlfn.STDEV.P(C16,G16,K16)</f>
        <v>2.4896643682767121E-6</v>
      </c>
      <c r="T16">
        <f>_xlfn.STDEV.P(D16,H16,L16)</f>
        <v>1.1271790747998578E-6</v>
      </c>
      <c r="U16">
        <f>_xlfn.STDEV.P(E16,I16,M16)</f>
        <v>2.0886268216222807E-3</v>
      </c>
    </row>
    <row r="17" spans="1:21" x14ac:dyDescent="0.2">
      <c r="A17" s="2">
        <v>6.35344</v>
      </c>
      <c r="C17" s="4">
        <v>7.3999000000000005E-4</v>
      </c>
      <c r="D17" s="4">
        <v>1.47083E-4</v>
      </c>
      <c r="E17" s="2">
        <v>0.198764</v>
      </c>
      <c r="G17" s="4">
        <v>7.4529000000000001E-4</v>
      </c>
      <c r="H17" s="4">
        <v>1.40295E-4</v>
      </c>
      <c r="I17" s="2">
        <v>0.18824199999999999</v>
      </c>
      <c r="K17" s="4">
        <v>7.4785900000000002E-4</v>
      </c>
      <c r="L17" s="4">
        <v>1.3951100000000001E-4</v>
      </c>
      <c r="M17" s="2">
        <v>0.18654699999999999</v>
      </c>
      <c r="O17" s="3">
        <f>AVERAGE(C17,G17,K17)</f>
        <v>7.4437966666666673E-4</v>
      </c>
      <c r="P17" s="3">
        <f>AVERAGE(D17,H17,L17)</f>
        <v>1.4229633333333336E-4</v>
      </c>
      <c r="Q17">
        <f>AVERAGE(E17,I17,M17)</f>
        <v>0.19118433333333332</v>
      </c>
      <c r="S17">
        <f>_xlfn.STDEV.P(C17,G17,K17)</f>
        <v>3.2763618372958763E-6</v>
      </c>
      <c r="T17">
        <f>_xlfn.STDEV.P(D17,H17,L17)</f>
        <v>3.3997840454292882E-6</v>
      </c>
      <c r="U17">
        <f>_xlfn.STDEV.P(E17,I17,M17)</f>
        <v>5.4041198070443365E-3</v>
      </c>
    </row>
    <row r="18" spans="1:21" x14ac:dyDescent="0.2">
      <c r="A18" s="2">
        <v>10.2135</v>
      </c>
      <c r="C18" s="4">
        <v>6.9202100000000002E-4</v>
      </c>
      <c r="D18" s="4">
        <v>1.9372399999999999E-4</v>
      </c>
      <c r="E18" s="2">
        <v>0.27994000000000002</v>
      </c>
      <c r="G18" s="4">
        <v>7.1635100000000005E-4</v>
      </c>
      <c r="H18" s="4">
        <v>1.6073699999999999E-4</v>
      </c>
      <c r="I18" s="2">
        <v>0.224383</v>
      </c>
      <c r="K18" s="4">
        <v>7.0758400000000003E-4</v>
      </c>
      <c r="L18" s="4">
        <v>1.73396E-4</v>
      </c>
      <c r="M18" s="2">
        <v>0.24505299999999999</v>
      </c>
      <c r="O18" s="3">
        <f>AVERAGE(C18,G18,K18)</f>
        <v>7.0531866666666678E-4</v>
      </c>
      <c r="P18" s="3">
        <f>AVERAGE(D18,H18,L18)</f>
        <v>1.7595233333333332E-4</v>
      </c>
      <c r="Q18">
        <f>AVERAGE(E18,I18,M18)</f>
        <v>0.24979200000000001</v>
      </c>
      <c r="S18">
        <f>_xlfn.STDEV.P(C18,G18,K18)</f>
        <v>1.0061014737865948E-5</v>
      </c>
      <c r="T18">
        <f>_xlfn.STDEV.P(D18,H18,L18)</f>
        <v>1.3587657937342336E-5</v>
      </c>
      <c r="U18">
        <f>_xlfn.STDEV.P(E18,I18,M18)</f>
        <v>2.2927256748246191E-2</v>
      </c>
    </row>
    <row r="19" spans="1:21" x14ac:dyDescent="0.2">
      <c r="A19" s="2">
        <v>17.038499999999999</v>
      </c>
      <c r="C19" s="4">
        <v>5.3714099999999999E-4</v>
      </c>
      <c r="D19" s="4">
        <v>3.0974600000000001E-4</v>
      </c>
      <c r="E19" s="2">
        <v>0.57665699999999998</v>
      </c>
      <c r="G19" s="4">
        <v>5.99583E-4</v>
      </c>
      <c r="H19" s="4">
        <v>2.7898300000000001E-4</v>
      </c>
      <c r="I19" s="2">
        <v>0.46529399999999999</v>
      </c>
      <c r="K19" s="4">
        <v>5.3490899999999997E-4</v>
      </c>
      <c r="L19" s="4">
        <v>3.19155E-4</v>
      </c>
      <c r="M19" s="2">
        <v>0.59665400000000002</v>
      </c>
      <c r="O19" s="3">
        <f>AVERAGE(C19,G19,K19)</f>
        <v>5.5721100000000006E-4</v>
      </c>
      <c r="P19" s="3">
        <f>AVERAGE(D19,H19,L19)</f>
        <v>3.0262800000000004E-4</v>
      </c>
      <c r="Q19">
        <f>AVERAGE(E19,I19,M19)</f>
        <v>0.5462016666666667</v>
      </c>
      <c r="S19">
        <f>_xlfn.STDEV.P(C19,G19,K19)</f>
        <v>2.9975381498823336E-5</v>
      </c>
      <c r="T19">
        <f>_xlfn.STDEV.P(D19,H19,L19)</f>
        <v>1.7155112726725718E-5</v>
      </c>
      <c r="U19">
        <f>_xlfn.STDEV.P(E19,I19,M19)</f>
        <v>5.7789894712560998E-2</v>
      </c>
    </row>
    <row r="20" spans="1:21" x14ac:dyDescent="0.2">
      <c r="A20" s="2">
        <v>28.092300000000002</v>
      </c>
      <c r="C20" s="4">
        <v>3.6801800000000001E-4</v>
      </c>
      <c r="D20" s="4">
        <v>3.35815E-4</v>
      </c>
      <c r="E20" s="2">
        <v>0.91249499999999995</v>
      </c>
      <c r="G20" s="4">
        <v>4.2275199999999998E-4</v>
      </c>
      <c r="H20" s="4">
        <v>3.2338899999999999E-4</v>
      </c>
      <c r="I20" s="2">
        <v>0.76496200000000003</v>
      </c>
      <c r="K20" s="4">
        <v>3.5471599999999998E-4</v>
      </c>
      <c r="L20" s="4">
        <v>3.4047800000000002E-4</v>
      </c>
      <c r="M20" s="2">
        <v>0.95986099999999996</v>
      </c>
      <c r="O20" s="3">
        <f>AVERAGE(C20,G20,K20)</f>
        <v>3.8182866666666666E-4</v>
      </c>
      <c r="P20" s="3">
        <f>AVERAGE(D20,H20,L20)</f>
        <v>3.3322733333333333E-4</v>
      </c>
      <c r="Q20">
        <f>AVERAGE(E20,I20,M20)</f>
        <v>0.87910600000000005</v>
      </c>
      <c r="S20">
        <f>_xlfn.STDEV.P(C20,G20,K20)</f>
        <v>2.94423188549332E-5</v>
      </c>
      <c r="T20">
        <f>_xlfn.STDEV.P(D20,H20,L20)</f>
        <v>7.2125120142399548E-6</v>
      </c>
      <c r="U20">
        <f>_xlfn.STDEV.P(E20,I20,M20)</f>
        <v>8.2996080393393637E-2</v>
      </c>
    </row>
    <row r="21" spans="1:21" x14ac:dyDescent="0.2">
      <c r="A21" s="2">
        <v>46.365000000000002</v>
      </c>
      <c r="C21" s="4">
        <v>2.1652299999999999E-4</v>
      </c>
      <c r="D21" s="4">
        <v>2.9440299999999999E-4</v>
      </c>
      <c r="E21" s="2">
        <v>1.35968</v>
      </c>
      <c r="G21" s="4">
        <v>2.2875700000000001E-4</v>
      </c>
      <c r="H21" s="4">
        <v>2.8896400000000001E-4</v>
      </c>
      <c r="I21" s="2">
        <v>1.26319</v>
      </c>
      <c r="K21" s="4">
        <v>2.12506E-4</v>
      </c>
      <c r="L21" s="4">
        <v>2.9461199999999998E-4</v>
      </c>
      <c r="M21" s="2">
        <v>1.3863700000000001</v>
      </c>
      <c r="O21" s="3">
        <f>AVERAGE(C21,G21,K21)</f>
        <v>2.1926200000000002E-4</v>
      </c>
      <c r="P21" s="3">
        <f>AVERAGE(D21,H21,L21)</f>
        <v>2.9265966666666666E-4</v>
      </c>
      <c r="Q21">
        <f>AVERAGE(E21,I21,M21)</f>
        <v>1.3364133333333335</v>
      </c>
      <c r="S21">
        <f>_xlfn.STDEV.P(C21,G21,K21)</f>
        <v>6.9113597793777203E-6</v>
      </c>
      <c r="T21">
        <f>_xlfn.STDEV.P(D21,H21,L21)</f>
        <v>2.6146235335554847E-6</v>
      </c>
      <c r="U21">
        <f>_xlfn.STDEV.P(E21,I21,M21)</f>
        <v>5.2910814479545584E-2</v>
      </c>
    </row>
    <row r="22" spans="1:21" x14ac:dyDescent="0.2">
      <c r="A22" s="2">
        <v>77.274699999999996</v>
      </c>
      <c r="C22" s="4">
        <v>9.9312299999999994E-5</v>
      </c>
      <c r="D22" s="4">
        <v>2.12776E-4</v>
      </c>
      <c r="E22" s="2">
        <v>2.1425000000000001</v>
      </c>
      <c r="G22" s="4">
        <v>1.06153E-4</v>
      </c>
      <c r="H22" s="4">
        <v>2.1283599999999999E-4</v>
      </c>
      <c r="I22" s="2">
        <v>2.0049800000000002</v>
      </c>
      <c r="K22" s="4">
        <v>9.7103199999999996E-5</v>
      </c>
      <c r="L22" s="4">
        <v>2.1169E-4</v>
      </c>
      <c r="M22" s="2">
        <v>2.18005</v>
      </c>
      <c r="O22" s="3">
        <f>AVERAGE(C22,G22,K22)</f>
        <v>1.0085616666666666E-4</v>
      </c>
      <c r="P22" s="3">
        <f>AVERAGE(D22,H22,L22)</f>
        <v>2.1243399999999998E-4</v>
      </c>
      <c r="Q22">
        <f>AVERAGE(E22,I22,M22)</f>
        <v>2.1091766666666665</v>
      </c>
      <c r="S22">
        <f>_xlfn.STDEV.P(C22,G22,K22)</f>
        <v>3.852476538828268E-6</v>
      </c>
      <c r="T22">
        <f>_xlfn.STDEV.P(D22,H22,L22)</f>
        <v>5.2665738388443481E-7</v>
      </c>
      <c r="U22">
        <f>_xlfn.STDEV.P(E22,I22,M22)</f>
        <v>7.5256050181290265E-2</v>
      </c>
    </row>
    <row r="23" spans="1:21" x14ac:dyDescent="0.2">
      <c r="A23" s="2">
        <v>119.386</v>
      </c>
      <c r="C23" s="4">
        <v>4.7796700000000003E-5</v>
      </c>
      <c r="D23" s="4">
        <v>1.49662E-4</v>
      </c>
      <c r="E23" s="2">
        <v>3.1312199999999999</v>
      </c>
      <c r="G23" s="4">
        <v>5.0036600000000001E-5</v>
      </c>
      <c r="H23" s="4">
        <v>1.50245E-4</v>
      </c>
      <c r="I23" s="2">
        <v>3.00271</v>
      </c>
      <c r="K23" s="4">
        <v>4.6067299999999999E-5</v>
      </c>
      <c r="L23" s="4">
        <v>1.4806300000000001E-4</v>
      </c>
      <c r="M23" s="2">
        <v>3.2140499999999999</v>
      </c>
      <c r="O23" s="3">
        <f>AVERAGE(C23,G23,K23)</f>
        <v>4.796686666666667E-5</v>
      </c>
      <c r="P23" s="3">
        <f>AVERAGE(D23,H23,L23)</f>
        <v>1.4932333333333333E-4</v>
      </c>
      <c r="Q23">
        <f>AVERAGE(E23,I23,M23)</f>
        <v>3.1159933333333334</v>
      </c>
      <c r="S23">
        <f>_xlfn.STDEV.P(C23,G23,K23)</f>
        <v>1.6249211556940925E-6</v>
      </c>
      <c r="T23">
        <f>_xlfn.STDEV.P(D23,H23,L23)</f>
        <v>9.2242518516257637E-7</v>
      </c>
      <c r="U23">
        <f>_xlfn.STDEV.P(E23,I23,M23)</f>
        <v>8.6948403985096498E-2</v>
      </c>
    </row>
    <row r="24" spans="1:21" x14ac:dyDescent="0.2">
      <c r="A24" s="2">
        <v>188.04300000000001</v>
      </c>
      <c r="C24" s="4">
        <v>2.1976699999999999E-5</v>
      </c>
      <c r="D24" s="4">
        <v>1.0206E-4</v>
      </c>
      <c r="E24" s="2">
        <v>4.6440200000000003</v>
      </c>
      <c r="G24" s="4">
        <v>2.3264700000000001E-5</v>
      </c>
      <c r="H24" s="4">
        <v>1.03236E-4</v>
      </c>
      <c r="I24" s="2">
        <v>4.43743</v>
      </c>
      <c r="K24" s="4">
        <v>2.0742099999999999E-5</v>
      </c>
      <c r="L24" s="4">
        <v>1.00509E-4</v>
      </c>
      <c r="M24" s="2">
        <v>4.8456700000000001</v>
      </c>
      <c r="O24" s="3">
        <f>AVERAGE(C24,G24,K24)</f>
        <v>2.1994499999999998E-5</v>
      </c>
      <c r="P24" s="3">
        <f>AVERAGE(D24,H24,L24)</f>
        <v>1.0193499999999999E-4</v>
      </c>
      <c r="Q24">
        <f>AVERAGE(E24,I24,M24)</f>
        <v>4.6423733333333335</v>
      </c>
      <c r="S24">
        <f>_xlfn.STDEV.P(C24,G24,K24)</f>
        <v>1.0299240489796655E-6</v>
      </c>
      <c r="T24">
        <f>_xlfn.STDEV.P(D24,H24,L24)</f>
        <v>1.11679631088216E-6</v>
      </c>
      <c r="U24">
        <f>_xlfn.STDEV.P(E24,I24,M24)</f>
        <v>0.1666673493986017</v>
      </c>
    </row>
    <row r="25" spans="1:21" x14ac:dyDescent="0.2">
      <c r="A25" s="2">
        <v>214.79900000000001</v>
      </c>
      <c r="C25" s="4">
        <v>1.31472E-5</v>
      </c>
      <c r="D25" s="4">
        <v>8.8793800000000004E-5</v>
      </c>
      <c r="E25" s="2">
        <v>6.7538299999999998</v>
      </c>
      <c r="G25" s="4">
        <v>1.4438E-5</v>
      </c>
      <c r="H25" s="4">
        <v>9.0033300000000004E-5</v>
      </c>
      <c r="I25" s="2">
        <v>6.2358700000000002</v>
      </c>
      <c r="K25" s="4">
        <v>1.23473E-5</v>
      </c>
      <c r="L25" s="4">
        <v>8.8007E-5</v>
      </c>
      <c r="M25" s="2">
        <v>7.1276099999999998</v>
      </c>
      <c r="O25" s="3">
        <f>AVERAGE(C25,G25,K25)</f>
        <v>1.3310833333333335E-5</v>
      </c>
      <c r="P25" s="3">
        <f>AVERAGE(D25,H25,L25)</f>
        <v>8.8944700000000002E-5</v>
      </c>
      <c r="Q25">
        <f>AVERAGE(E25,I25,M25)</f>
        <v>6.7057700000000002</v>
      </c>
      <c r="S25">
        <f>_xlfn.STDEV.P(C25,G25,K25)</f>
        <v>8.6133172987466858E-7</v>
      </c>
      <c r="T25">
        <f>_xlfn.STDEV.P(D25,H25,L25)</f>
        <v>8.340867380954271E-7</v>
      </c>
      <c r="U25">
        <f>_xlfn.STDEV.P(E25,I25,M25)</f>
        <v>0.3656340425434515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BEDE-0649-42E3-8794-7E9D1BE3D314}">
  <dimension ref="A1:W25"/>
  <sheetViews>
    <sheetView workbookViewId="0">
      <selection activeCell="O1" sqref="O1"/>
    </sheetView>
  </sheetViews>
  <sheetFormatPr baseColWidth="10" defaultColWidth="8.83203125" defaultRowHeight="15" x14ac:dyDescent="0.2"/>
  <cols>
    <col min="14" max="14" width="8.6640625" style="5"/>
  </cols>
  <sheetData>
    <row r="1" spans="1:23" ht="64" x14ac:dyDescent="0.2">
      <c r="A1" s="1" t="s">
        <v>0</v>
      </c>
      <c r="C1" s="1" t="s">
        <v>2</v>
      </c>
      <c r="D1" s="1" t="s">
        <v>3</v>
      </c>
      <c r="E1" s="1" t="s">
        <v>4</v>
      </c>
      <c r="G1" s="1" t="s">
        <v>2</v>
      </c>
      <c r="H1" s="1" t="s">
        <v>3</v>
      </c>
      <c r="I1" s="1" t="s">
        <v>4</v>
      </c>
      <c r="K1" s="1" t="s">
        <v>2</v>
      </c>
      <c r="L1" s="1" t="s">
        <v>3</v>
      </c>
      <c r="M1" s="1" t="s">
        <v>4</v>
      </c>
      <c r="O1" s="1" t="s">
        <v>25</v>
      </c>
      <c r="P1" s="1" t="s">
        <v>26</v>
      </c>
      <c r="Q1" s="1" t="s">
        <v>27</v>
      </c>
      <c r="S1" s="1" t="s">
        <v>28</v>
      </c>
      <c r="T1" s="1" t="s">
        <v>29</v>
      </c>
      <c r="U1" s="1" t="s">
        <v>30</v>
      </c>
      <c r="W1" s="1" t="s">
        <v>6</v>
      </c>
    </row>
    <row r="2" spans="1:23" ht="16" x14ac:dyDescent="0.2">
      <c r="A2" s="1" t="s">
        <v>1</v>
      </c>
      <c r="C2" s="1" t="s">
        <v>5</v>
      </c>
      <c r="D2" s="1" t="s">
        <v>5</v>
      </c>
      <c r="E2" s="1"/>
      <c r="G2" s="1" t="s">
        <v>5</v>
      </c>
      <c r="H2" s="1" t="s">
        <v>5</v>
      </c>
      <c r="I2" s="1"/>
      <c r="K2" s="1" t="s">
        <v>5</v>
      </c>
      <c r="L2" s="1" t="s">
        <v>5</v>
      </c>
      <c r="M2" s="1"/>
      <c r="O2" s="1" t="s">
        <v>5</v>
      </c>
      <c r="P2" s="1" t="s">
        <v>5</v>
      </c>
      <c r="S2" s="1" t="s">
        <v>5</v>
      </c>
      <c r="T2" s="1" t="s">
        <v>5</v>
      </c>
    </row>
    <row r="3" spans="1:23" x14ac:dyDescent="0.2">
      <c r="A3" s="2">
        <v>1.0101300000000001E-2</v>
      </c>
      <c r="C3" s="4">
        <v>1.14178E-3</v>
      </c>
      <c r="D3" s="4">
        <v>2.16095E-4</v>
      </c>
      <c r="E3" s="2">
        <v>0.18926200000000001</v>
      </c>
      <c r="G3" s="4">
        <v>1.3399600000000001E-3</v>
      </c>
      <c r="H3" s="4">
        <v>2.6230099999999999E-4</v>
      </c>
      <c r="I3" s="2">
        <v>0.19575400000000001</v>
      </c>
      <c r="K3" s="4">
        <v>1.01483E-3</v>
      </c>
      <c r="L3" s="4">
        <v>1.82017E-4</v>
      </c>
      <c r="M3" s="2">
        <v>0.17935699999999999</v>
      </c>
      <c r="O3" s="3">
        <f>AVERAGE(C3,G3,K3)</f>
        <v>1.1655233333333333E-3</v>
      </c>
      <c r="P3" s="3">
        <f>AVERAGE(D3,H3,L3)</f>
        <v>2.2013766666666666E-4</v>
      </c>
      <c r="Q3">
        <f>AVERAGE(E3,I3,M3)</f>
        <v>0.18812433333333334</v>
      </c>
      <c r="S3">
        <f>_xlfn.STDEV.P(C3,G3,K3)</f>
        <v>1.3379135157234778E-4</v>
      </c>
      <c r="T3">
        <f>_xlfn.STDEV.P(D3,H3,L3)</f>
        <v>3.2900228259930895E-5</v>
      </c>
      <c r="U3">
        <f>_xlfn.STDEV.P(E3,I3,M3)</f>
        <v>6.7422111275818875E-3</v>
      </c>
      <c r="W3">
        <v>1</v>
      </c>
    </row>
    <row r="4" spans="1:23" x14ac:dyDescent="0.2">
      <c r="A4" s="2">
        <v>1.5839200000000001E-2</v>
      </c>
      <c r="C4" s="4">
        <v>1.15291E-3</v>
      </c>
      <c r="D4" s="4">
        <v>2.1122799999999999E-4</v>
      </c>
      <c r="E4" s="2">
        <v>0.18321299999999999</v>
      </c>
      <c r="G4" s="4">
        <v>1.15956E-3</v>
      </c>
      <c r="H4" s="4">
        <v>3.7405000000000001E-4</v>
      </c>
      <c r="I4" s="2">
        <v>0.322579</v>
      </c>
      <c r="K4" s="4">
        <v>1.02038E-3</v>
      </c>
      <c r="L4" s="4">
        <v>1.83062E-4</v>
      </c>
      <c r="M4" s="2">
        <v>0.17940600000000001</v>
      </c>
      <c r="O4" s="3">
        <f t="shared" ref="O4:Q25" si="0">AVERAGE(C4,G4,K4)</f>
        <v>1.1109500000000001E-3</v>
      </c>
      <c r="P4" s="3">
        <f t="shared" si="0"/>
        <v>2.5611333333333335E-4</v>
      </c>
      <c r="Q4">
        <f t="shared" si="0"/>
        <v>0.22839933333333332</v>
      </c>
      <c r="S4">
        <f t="shared" ref="S4:U25" si="1">_xlfn.STDEV.P(C4,G4,K4)</f>
        <v>6.4100178366886541E-5</v>
      </c>
      <c r="T4">
        <f t="shared" si="1"/>
        <v>8.4182832364377539E-5</v>
      </c>
      <c r="U4">
        <f t="shared" si="1"/>
        <v>6.6613214516507355E-2</v>
      </c>
      <c r="W4">
        <v>1</v>
      </c>
    </row>
    <row r="5" spans="1:23" x14ac:dyDescent="0.2">
      <c r="A5" s="2">
        <v>2.5219800000000001E-2</v>
      </c>
      <c r="C5" s="4">
        <v>1.1475599999999999E-3</v>
      </c>
      <c r="D5" s="4">
        <v>2.1878199999999999E-4</v>
      </c>
      <c r="E5" s="2">
        <v>0.19064900000000001</v>
      </c>
      <c r="G5" s="4">
        <v>9.8441999999999996E-4</v>
      </c>
      <c r="H5" s="4">
        <v>3.4962900000000001E-4</v>
      </c>
      <c r="I5" s="2">
        <v>0.35516199999999998</v>
      </c>
      <c r="K5" s="4">
        <v>7.8068199999999999E-4</v>
      </c>
      <c r="L5" s="4">
        <v>3.6287400000000001E-4</v>
      </c>
      <c r="M5" s="2">
        <v>0.46481600000000001</v>
      </c>
      <c r="O5" s="3">
        <f t="shared" si="0"/>
        <v>9.708873333333333E-4</v>
      </c>
      <c r="P5" s="3">
        <f t="shared" si="0"/>
        <v>3.1042833333333334E-4</v>
      </c>
      <c r="Q5">
        <f t="shared" si="0"/>
        <v>0.33687566666666663</v>
      </c>
      <c r="S5">
        <f t="shared" si="1"/>
        <v>1.5008268059380541E-4</v>
      </c>
      <c r="T5">
        <f t="shared" si="1"/>
        <v>6.5028943895947014E-5</v>
      </c>
      <c r="U5">
        <f t="shared" si="1"/>
        <v>0.11267261856764005</v>
      </c>
      <c r="W5">
        <v>1</v>
      </c>
    </row>
    <row r="6" spans="1:23" x14ac:dyDescent="0.2">
      <c r="A6" s="2">
        <v>4.2223200000000002E-2</v>
      </c>
      <c r="C6" s="4">
        <v>9.6919400000000005E-4</v>
      </c>
      <c r="D6" s="4">
        <v>3.5139500000000001E-4</v>
      </c>
      <c r="E6" s="2">
        <v>0.362564</v>
      </c>
      <c r="G6" s="4">
        <v>9.6569899999999998E-4</v>
      </c>
      <c r="H6" s="4">
        <v>3.5003699999999998E-4</v>
      </c>
      <c r="I6" s="2">
        <v>0.36247000000000001</v>
      </c>
      <c r="K6" s="4">
        <v>5.4544900000000004E-4</v>
      </c>
      <c r="L6" s="4">
        <v>2.8984900000000001E-4</v>
      </c>
      <c r="M6" s="2">
        <v>0.53139700000000001</v>
      </c>
      <c r="O6" s="3">
        <f t="shared" si="0"/>
        <v>8.2678066666666669E-4</v>
      </c>
      <c r="P6" s="3">
        <f t="shared" si="0"/>
        <v>3.3042700000000005E-4</v>
      </c>
      <c r="Q6">
        <f t="shared" si="0"/>
        <v>0.41881033333333334</v>
      </c>
      <c r="S6">
        <f t="shared" si="1"/>
        <v>1.98936646126907E-4</v>
      </c>
      <c r="T6">
        <f t="shared" si="1"/>
        <v>2.8698334492905093E-5</v>
      </c>
      <c r="U6">
        <f t="shared" si="1"/>
        <v>7.9610804720353132E-2</v>
      </c>
      <c r="W6">
        <v>1</v>
      </c>
    </row>
    <row r="7" spans="1:23" x14ac:dyDescent="0.2">
      <c r="A7" s="2">
        <v>6.9189500000000001E-2</v>
      </c>
      <c r="C7" s="4">
        <v>7.7411500000000002E-4</v>
      </c>
      <c r="D7" s="4">
        <v>3.2401499999999998E-4</v>
      </c>
      <c r="E7" s="2">
        <v>0.41856100000000002</v>
      </c>
      <c r="G7" s="4">
        <v>9.1335400000000001E-4</v>
      </c>
      <c r="H7" s="4">
        <v>2.8371000000000001E-4</v>
      </c>
      <c r="I7" s="2">
        <v>0.31062400000000001</v>
      </c>
      <c r="K7" s="4">
        <v>5.1974699999999998E-4</v>
      </c>
      <c r="L7" s="4">
        <v>2.3273200000000001E-4</v>
      </c>
      <c r="M7" s="2">
        <v>0.44777899999999998</v>
      </c>
      <c r="O7" s="3">
        <f t="shared" si="0"/>
        <v>7.3573866666666674E-4</v>
      </c>
      <c r="P7" s="3">
        <f t="shared" si="0"/>
        <v>2.801523333333333E-4</v>
      </c>
      <c r="Q7">
        <f t="shared" si="0"/>
        <v>0.3923213333333333</v>
      </c>
      <c r="S7">
        <f t="shared" si="1"/>
        <v>1.6296456635791175E-4</v>
      </c>
      <c r="T7">
        <f t="shared" si="1"/>
        <v>3.7350941677850931E-5</v>
      </c>
      <c r="U7">
        <f t="shared" si="1"/>
        <v>5.8987363541317686E-2</v>
      </c>
      <c r="W7">
        <v>1</v>
      </c>
    </row>
    <row r="8" spans="1:23" x14ac:dyDescent="0.2">
      <c r="A8" s="2">
        <v>0.105046</v>
      </c>
      <c r="C8" s="4">
        <v>7.0797399999999999E-4</v>
      </c>
      <c r="D8" s="4">
        <v>2.4638999999999998E-4</v>
      </c>
      <c r="E8" s="2">
        <v>0.348022</v>
      </c>
      <c r="G8" s="4">
        <v>8.8872400000000002E-4</v>
      </c>
      <c r="H8" s="4">
        <v>2.26469E-4</v>
      </c>
      <c r="I8" s="2">
        <v>0.25482500000000002</v>
      </c>
      <c r="K8" s="4">
        <v>4.96894E-4</v>
      </c>
      <c r="L8" s="4">
        <v>1.91819E-4</v>
      </c>
      <c r="M8" s="2">
        <v>0.38603599999999999</v>
      </c>
      <c r="O8" s="3">
        <f t="shared" si="0"/>
        <v>6.9786399999999997E-4</v>
      </c>
      <c r="P8" s="3">
        <f t="shared" si="0"/>
        <v>2.2155933333333332E-4</v>
      </c>
      <c r="Q8">
        <f t="shared" si="0"/>
        <v>0.32962766666666665</v>
      </c>
      <c r="S8">
        <f t="shared" si="1"/>
        <v>1.6012359039192195E-4</v>
      </c>
      <c r="T8">
        <f t="shared" si="1"/>
        <v>2.2547389062939312E-5</v>
      </c>
      <c r="U8">
        <f t="shared" si="1"/>
        <v>5.5123166662383351E-2</v>
      </c>
      <c r="W8">
        <v>1</v>
      </c>
    </row>
    <row r="9" spans="1:23" x14ac:dyDescent="0.2">
      <c r="A9" s="2">
        <v>0.16025</v>
      </c>
      <c r="C9" s="4">
        <v>6.9658100000000004E-4</v>
      </c>
      <c r="D9" s="4">
        <v>2.2165800000000001E-4</v>
      </c>
      <c r="E9" s="2">
        <v>0.31820900000000002</v>
      </c>
      <c r="G9" s="4">
        <v>8.9716199999999996E-4</v>
      </c>
      <c r="H9" s="4">
        <v>2.2233800000000001E-4</v>
      </c>
      <c r="I9" s="2">
        <v>0.24782299999999999</v>
      </c>
      <c r="K9" s="4">
        <v>4.9560800000000003E-4</v>
      </c>
      <c r="L9" s="4">
        <v>1.6535899999999999E-4</v>
      </c>
      <c r="M9" s="2">
        <v>0.33364899999999997</v>
      </c>
      <c r="O9" s="3">
        <f t="shared" si="0"/>
        <v>6.964503333333332E-4</v>
      </c>
      <c r="P9" s="3">
        <f t="shared" si="0"/>
        <v>2.0311833333333334E-4</v>
      </c>
      <c r="Q9">
        <f t="shared" si="0"/>
        <v>0.29989366666666667</v>
      </c>
      <c r="S9">
        <f t="shared" si="1"/>
        <v>1.63933760066545E-4</v>
      </c>
      <c r="T9">
        <f t="shared" si="1"/>
        <v>2.6701323816536814E-5</v>
      </c>
      <c r="U9">
        <f t="shared" si="1"/>
        <v>3.7355179429661829E-2</v>
      </c>
      <c r="W9">
        <v>1</v>
      </c>
    </row>
    <row r="10" spans="1:23" x14ac:dyDescent="0.2">
      <c r="A10" s="2">
        <v>0.25519399999999998</v>
      </c>
      <c r="C10" s="4">
        <v>6.8171400000000004E-4</v>
      </c>
      <c r="D10" s="4">
        <v>1.8659199999999999E-4</v>
      </c>
      <c r="E10" s="2">
        <v>0.27371000000000001</v>
      </c>
      <c r="G10" s="4">
        <v>8.9399399999999995E-4</v>
      </c>
      <c r="H10" s="4">
        <v>1.97362E-4</v>
      </c>
      <c r="I10" s="2">
        <v>0.22076499999999999</v>
      </c>
      <c r="K10" s="4">
        <v>4.883E-4</v>
      </c>
      <c r="L10" s="4">
        <v>1.4781000000000001E-4</v>
      </c>
      <c r="M10" s="2">
        <v>0.30270399999999997</v>
      </c>
      <c r="O10" s="3">
        <f t="shared" si="0"/>
        <v>6.880026666666667E-4</v>
      </c>
      <c r="P10" s="3">
        <f t="shared" si="0"/>
        <v>1.7725466666666668E-4</v>
      </c>
      <c r="Q10">
        <f t="shared" si="0"/>
        <v>0.26572633333333334</v>
      </c>
      <c r="S10">
        <f t="shared" si="1"/>
        <v>1.6568356568135803E-4</v>
      </c>
      <c r="T10">
        <f t="shared" si="1"/>
        <v>2.1279716810981188E-5</v>
      </c>
      <c r="U10">
        <f t="shared" si="1"/>
        <v>3.3924466395541433E-2</v>
      </c>
      <c r="W10">
        <v>1</v>
      </c>
    </row>
    <row r="11" spans="1:23" x14ac:dyDescent="0.2">
      <c r="A11" s="2">
        <v>0.39691199999999999</v>
      </c>
      <c r="C11" s="4">
        <v>6.9043999999999996E-4</v>
      </c>
      <c r="D11" s="4">
        <v>1.7187300000000001E-4</v>
      </c>
      <c r="E11" s="2">
        <v>0.24893299999999999</v>
      </c>
      <c r="G11" s="4">
        <v>8.9798099999999995E-4</v>
      </c>
      <c r="H11" s="4">
        <v>1.94988E-4</v>
      </c>
      <c r="I11" s="2">
        <v>0.21714</v>
      </c>
      <c r="K11" s="4">
        <v>4.83707E-4</v>
      </c>
      <c r="L11" s="4">
        <v>1.3891199999999999E-4</v>
      </c>
      <c r="M11" s="2">
        <v>0.28718300000000002</v>
      </c>
      <c r="O11" s="3">
        <f t="shared" si="0"/>
        <v>6.9070933333333334E-4</v>
      </c>
      <c r="P11" s="3">
        <f t="shared" si="0"/>
        <v>1.6859099999999997E-4</v>
      </c>
      <c r="Q11">
        <f t="shared" si="0"/>
        <v>0.25108533333333333</v>
      </c>
      <c r="S11">
        <f t="shared" si="1"/>
        <v>1.6912675951158315E-4</v>
      </c>
      <c r="T11">
        <f t="shared" si="1"/>
        <v>2.3010259842079146E-5</v>
      </c>
      <c r="U11">
        <f t="shared" si="1"/>
        <v>2.863540775954794E-2</v>
      </c>
      <c r="W11">
        <v>1</v>
      </c>
    </row>
    <row r="12" spans="1:23" x14ac:dyDescent="0.2">
      <c r="A12" s="2">
        <v>0.63321099999999997</v>
      </c>
      <c r="C12" s="4">
        <v>6.8747100000000005E-4</v>
      </c>
      <c r="D12" s="4">
        <v>1.6180200000000001E-4</v>
      </c>
      <c r="E12" s="2">
        <v>0.23535800000000001</v>
      </c>
      <c r="G12" s="4">
        <v>8.9307899999999996E-4</v>
      </c>
      <c r="H12" s="4">
        <v>1.86269E-4</v>
      </c>
      <c r="I12" s="2">
        <v>0.20857000000000001</v>
      </c>
      <c r="K12" s="4">
        <v>4.7670900000000002E-4</v>
      </c>
      <c r="L12" s="4">
        <v>1.35702E-4</v>
      </c>
      <c r="M12" s="2">
        <v>0.28466399999999997</v>
      </c>
      <c r="O12" s="3">
        <f t="shared" si="0"/>
        <v>6.8575299999999999E-4</v>
      </c>
      <c r="P12" s="3">
        <f t="shared" si="0"/>
        <v>1.6125766666666669E-4</v>
      </c>
      <c r="Q12">
        <f t="shared" si="0"/>
        <v>0.24286399999999997</v>
      </c>
      <c r="S12">
        <f t="shared" si="1"/>
        <v>1.6998668157241025E-4</v>
      </c>
      <c r="T12">
        <f t="shared" si="1"/>
        <v>2.0647479205839043E-5</v>
      </c>
      <c r="U12">
        <f t="shared" si="1"/>
        <v>3.1515384983634202E-2</v>
      </c>
      <c r="W12">
        <v>1</v>
      </c>
    </row>
    <row r="13" spans="1:23" x14ac:dyDescent="0.2">
      <c r="A13" s="2">
        <v>1.0061100000000001</v>
      </c>
      <c r="C13" s="4">
        <v>6.7992200000000001E-4</v>
      </c>
      <c r="D13" s="4">
        <v>1.5481199999999999E-4</v>
      </c>
      <c r="E13" s="2">
        <v>0.227691</v>
      </c>
      <c r="G13" s="4">
        <v>8.7911499999999997E-4</v>
      </c>
      <c r="H13" s="4">
        <v>1.8275E-4</v>
      </c>
      <c r="I13" s="2">
        <v>0.20787900000000001</v>
      </c>
      <c r="K13" s="4">
        <v>4.63652E-4</v>
      </c>
      <c r="L13" s="4">
        <v>1.3208600000000001E-4</v>
      </c>
      <c r="M13" s="2">
        <v>0.28488200000000002</v>
      </c>
      <c r="O13" s="3">
        <f t="shared" si="0"/>
        <v>6.7422966666666679E-4</v>
      </c>
      <c r="P13" s="3">
        <f t="shared" si="0"/>
        <v>1.5654933333333334E-4</v>
      </c>
      <c r="Q13">
        <f t="shared" si="0"/>
        <v>0.24015066666666671</v>
      </c>
      <c r="S13">
        <f t="shared" si="1"/>
        <v>1.6965981273582602E-4</v>
      </c>
      <c r="T13">
        <f t="shared" si="1"/>
        <v>2.0719941591509264E-5</v>
      </c>
      <c r="U13">
        <f t="shared" si="1"/>
        <v>3.2647592788578969E-2</v>
      </c>
      <c r="W13">
        <v>1</v>
      </c>
    </row>
    <row r="14" spans="1:23" x14ac:dyDescent="0.2">
      <c r="A14" s="2">
        <v>1.5981099999999999</v>
      </c>
      <c r="C14" s="4">
        <v>6.6816900000000003E-4</v>
      </c>
      <c r="D14" s="4">
        <v>1.5082E-4</v>
      </c>
      <c r="E14" s="2">
        <v>0.22572200000000001</v>
      </c>
      <c r="G14" s="4">
        <v>8.4614200000000003E-4</v>
      </c>
      <c r="H14" s="4">
        <v>1.8469600000000001E-4</v>
      </c>
      <c r="I14" s="2">
        <v>0.21828</v>
      </c>
      <c r="K14" s="4">
        <v>4.44182E-4</v>
      </c>
      <c r="L14" s="4">
        <v>1.2923599999999999E-4</v>
      </c>
      <c r="M14" s="2">
        <v>0.29095300000000002</v>
      </c>
      <c r="O14" s="3">
        <f t="shared" si="0"/>
        <v>6.5283099999999998E-4</v>
      </c>
      <c r="P14" s="3">
        <f t="shared" si="0"/>
        <v>1.5491733333333334E-4</v>
      </c>
      <c r="Q14">
        <f t="shared" si="0"/>
        <v>0.24498500000000001</v>
      </c>
      <c r="S14">
        <f t="shared" si="1"/>
        <v>1.6445749416997291E-4</v>
      </c>
      <c r="T14">
        <f t="shared" si="1"/>
        <v>2.2826067048199286E-5</v>
      </c>
      <c r="U14">
        <f t="shared" si="1"/>
        <v>3.2645965641510261E-2</v>
      </c>
      <c r="W14">
        <v>1</v>
      </c>
    </row>
    <row r="15" spans="1:23" x14ac:dyDescent="0.2">
      <c r="A15" s="2">
        <v>2.5626600000000002</v>
      </c>
      <c r="C15" s="4">
        <v>6.3774100000000005E-4</v>
      </c>
      <c r="D15" s="4">
        <v>1.5058899999999999E-4</v>
      </c>
      <c r="E15" s="2">
        <v>0.236128</v>
      </c>
      <c r="G15" s="4">
        <v>7.9331099999999999E-4</v>
      </c>
      <c r="H15" s="4">
        <v>1.8947199999999999E-4</v>
      </c>
      <c r="I15" s="2">
        <v>0.23883699999999999</v>
      </c>
      <c r="K15" s="4">
        <v>4.1868299999999999E-4</v>
      </c>
      <c r="L15" s="4">
        <v>1.24664E-4</v>
      </c>
      <c r="M15" s="2">
        <v>0.29775099999999999</v>
      </c>
      <c r="O15" s="3">
        <f t="shared" si="0"/>
        <v>6.1657833333333327E-4</v>
      </c>
      <c r="P15" s="3">
        <f t="shared" si="0"/>
        <v>1.5490833333333334E-4</v>
      </c>
      <c r="Q15">
        <f t="shared" si="0"/>
        <v>0.25757199999999997</v>
      </c>
      <c r="S15">
        <f t="shared" si="1"/>
        <v>1.5367157282406601E-4</v>
      </c>
      <c r="T15">
        <f t="shared" si="1"/>
        <v>2.6633458860780523E-5</v>
      </c>
      <c r="U15">
        <f t="shared" si="1"/>
        <v>2.8432360682855817E-2</v>
      </c>
      <c r="W15">
        <v>1</v>
      </c>
    </row>
    <row r="16" spans="1:23" x14ac:dyDescent="0.2">
      <c r="A16" s="2">
        <v>4.1283000000000003</v>
      </c>
      <c r="C16" s="4">
        <v>5.8404500000000005E-4</v>
      </c>
      <c r="D16" s="4">
        <v>1.54167E-4</v>
      </c>
      <c r="E16" s="2">
        <v>0.26396500000000001</v>
      </c>
      <c r="G16" s="4">
        <v>7.1056799999999996E-4</v>
      </c>
      <c r="H16" s="4">
        <v>2.0142900000000001E-4</v>
      </c>
      <c r="I16" s="2">
        <v>0.28347600000000001</v>
      </c>
      <c r="K16" s="4">
        <v>3.8693499999999998E-4</v>
      </c>
      <c r="L16" s="4">
        <v>1.19821E-4</v>
      </c>
      <c r="M16" s="2">
        <v>0.309668</v>
      </c>
      <c r="O16" s="3">
        <f t="shared" si="0"/>
        <v>5.6051599999999994E-4</v>
      </c>
      <c r="P16" s="3">
        <f t="shared" si="0"/>
        <v>1.5847233333333334E-4</v>
      </c>
      <c r="Q16">
        <f t="shared" si="0"/>
        <v>0.28570300000000004</v>
      </c>
      <c r="S16">
        <f t="shared" si="1"/>
        <v>1.3316603684373378E-4</v>
      </c>
      <c r="T16">
        <f t="shared" si="1"/>
        <v>3.3455127532595396E-5</v>
      </c>
      <c r="U16">
        <f t="shared" si="1"/>
        <v>1.8724506206217205E-2</v>
      </c>
      <c r="W16">
        <v>1</v>
      </c>
    </row>
    <row r="17" spans="1:23" x14ac:dyDescent="0.2">
      <c r="A17" s="2">
        <v>6.6882099999999998</v>
      </c>
      <c r="C17" s="4">
        <v>5.0374899999999995E-4</v>
      </c>
      <c r="D17" s="4">
        <v>1.62526E-4</v>
      </c>
      <c r="E17" s="2">
        <v>0.322633</v>
      </c>
      <c r="G17" s="4">
        <v>5.8975399999999995E-4</v>
      </c>
      <c r="H17" s="4">
        <v>2.2153099999999999E-4</v>
      </c>
      <c r="I17" s="2">
        <v>0.37563299999999999</v>
      </c>
      <c r="K17" s="4">
        <v>3.4623500000000002E-4</v>
      </c>
      <c r="L17" s="4">
        <v>1.15405E-4</v>
      </c>
      <c r="M17" s="2">
        <v>0.33331300000000003</v>
      </c>
      <c r="O17" s="3">
        <f t="shared" si="0"/>
        <v>4.7991266666666668E-4</v>
      </c>
      <c r="P17" s="3">
        <f t="shared" si="0"/>
        <v>1.6648733333333334E-4</v>
      </c>
      <c r="Q17">
        <f t="shared" si="0"/>
        <v>0.34385966666666667</v>
      </c>
      <c r="S17">
        <f t="shared" si="1"/>
        <v>1.0083486146610646E-4</v>
      </c>
      <c r="T17">
        <f t="shared" si="1"/>
        <v>4.3416211183791191E-5</v>
      </c>
      <c r="U17">
        <f t="shared" si="1"/>
        <v>2.2886300608782436E-2</v>
      </c>
      <c r="W17">
        <v>1</v>
      </c>
    </row>
    <row r="18" spans="1:23" x14ac:dyDescent="0.2">
      <c r="A18" s="2">
        <v>10.8592</v>
      </c>
      <c r="C18" s="4">
        <v>4.037E-4</v>
      </c>
      <c r="D18" s="4">
        <v>1.7140600000000001E-4</v>
      </c>
      <c r="E18" s="2">
        <v>0.42458800000000002</v>
      </c>
      <c r="G18" s="4">
        <v>4.4739600000000002E-4</v>
      </c>
      <c r="H18" s="4">
        <v>2.3195099999999999E-4</v>
      </c>
      <c r="I18" s="2">
        <v>0.51844699999999999</v>
      </c>
      <c r="K18" s="4">
        <v>2.9280000000000002E-4</v>
      </c>
      <c r="L18" s="4">
        <v>1.11092E-4</v>
      </c>
      <c r="M18" s="2">
        <v>0.37941200000000003</v>
      </c>
      <c r="O18" s="3">
        <f t="shared" si="0"/>
        <v>3.8129866666666666E-4</v>
      </c>
      <c r="P18" s="3">
        <f t="shared" si="0"/>
        <v>1.7148300000000002E-4</v>
      </c>
      <c r="Q18">
        <f t="shared" si="0"/>
        <v>0.44081566666666672</v>
      </c>
      <c r="S18">
        <f t="shared" si="1"/>
        <v>6.5070964366263669E-5</v>
      </c>
      <c r="T18">
        <f t="shared" si="1"/>
        <v>4.9340510178418973E-5</v>
      </c>
      <c r="U18">
        <f t="shared" si="1"/>
        <v>5.7909041782973597E-2</v>
      </c>
      <c r="W18">
        <v>1</v>
      </c>
    </row>
    <row r="19" spans="1:23" x14ac:dyDescent="0.2">
      <c r="A19" s="2">
        <v>17.7136</v>
      </c>
      <c r="C19" s="4">
        <v>2.9534500000000003E-4</v>
      </c>
      <c r="D19" s="4">
        <v>1.67861E-4</v>
      </c>
      <c r="E19" s="2">
        <v>0.56835500000000005</v>
      </c>
      <c r="G19" s="4">
        <v>3.1732800000000002E-4</v>
      </c>
      <c r="H19" s="4">
        <v>2.1966999999999999E-4</v>
      </c>
      <c r="I19" s="2">
        <v>0.69224699999999995</v>
      </c>
      <c r="K19" s="4">
        <v>2.2882299999999999E-4</v>
      </c>
      <c r="L19" s="4">
        <v>1.05096E-4</v>
      </c>
      <c r="M19" s="2">
        <v>0.45928799999999997</v>
      </c>
      <c r="O19" s="3">
        <f t="shared" si="0"/>
        <v>2.8049866666666665E-4</v>
      </c>
      <c r="P19" s="3">
        <f t="shared" si="0"/>
        <v>1.6420900000000001E-4</v>
      </c>
      <c r="Q19">
        <f t="shared" si="0"/>
        <v>0.57329666666666668</v>
      </c>
      <c r="S19">
        <f t="shared" si="1"/>
        <v>3.7626178531560848E-5</v>
      </c>
      <c r="T19">
        <f t="shared" si="1"/>
        <v>4.6845869238030651E-5</v>
      </c>
      <c r="U19">
        <f t="shared" si="1"/>
        <v>9.5169284163653778E-2</v>
      </c>
      <c r="W19">
        <v>1</v>
      </c>
    </row>
    <row r="20" spans="1:23" x14ac:dyDescent="0.2">
      <c r="A20" s="2">
        <v>28.420999999999999</v>
      </c>
      <c r="C20" s="4">
        <v>2.05625E-4</v>
      </c>
      <c r="D20" s="4">
        <v>1.5091200000000001E-4</v>
      </c>
      <c r="E20" s="2">
        <v>0.73392100000000005</v>
      </c>
      <c r="G20" s="4">
        <v>2.0970900000000001E-4</v>
      </c>
      <c r="H20" s="4">
        <v>1.8942199999999999E-4</v>
      </c>
      <c r="I20" s="2">
        <v>0.90325900000000003</v>
      </c>
      <c r="K20" s="4">
        <v>1.6550899999999999E-4</v>
      </c>
      <c r="L20" s="4">
        <v>9.6642600000000002E-5</v>
      </c>
      <c r="M20" s="2">
        <v>0.58391300000000002</v>
      </c>
      <c r="O20" s="3">
        <f t="shared" si="0"/>
        <v>1.9361433333333331E-4</v>
      </c>
      <c r="P20" s="3">
        <f t="shared" si="0"/>
        <v>1.4565886666666666E-4</v>
      </c>
      <c r="Q20">
        <f t="shared" si="0"/>
        <v>0.7403643333333334</v>
      </c>
      <c r="S20">
        <f t="shared" si="1"/>
        <v>1.9943287681712757E-5</v>
      </c>
      <c r="T20">
        <f t="shared" si="1"/>
        <v>3.8058733762903296E-5</v>
      </c>
      <c r="U20">
        <f t="shared" si="1"/>
        <v>0.13045204569070129</v>
      </c>
      <c r="W20">
        <v>1</v>
      </c>
    </row>
    <row r="21" spans="1:23" x14ac:dyDescent="0.2">
      <c r="A21" s="2">
        <v>45.201999999999998</v>
      </c>
      <c r="C21" s="4">
        <v>1.4027700000000001E-4</v>
      </c>
      <c r="D21" s="4">
        <v>1.27813E-4</v>
      </c>
      <c r="E21" s="2">
        <v>0.91114700000000004</v>
      </c>
      <c r="G21" s="4">
        <v>1.34874E-4</v>
      </c>
      <c r="H21" s="4">
        <v>1.5464600000000001E-4</v>
      </c>
      <c r="I21" s="2">
        <v>1.1466000000000001</v>
      </c>
      <c r="K21" s="4">
        <v>1.13461E-4</v>
      </c>
      <c r="L21" s="4">
        <v>8.5397900000000004E-5</v>
      </c>
      <c r="M21" s="2">
        <v>0.75266</v>
      </c>
      <c r="O21" s="3">
        <f t="shared" si="0"/>
        <v>1.2953733333333334E-4</v>
      </c>
      <c r="P21" s="3">
        <f t="shared" si="0"/>
        <v>1.2261896666666667E-4</v>
      </c>
      <c r="Q21">
        <f t="shared" si="0"/>
        <v>0.9368023333333334</v>
      </c>
      <c r="S21">
        <f t="shared" si="1"/>
        <v>1.1579708468792393E-5</v>
      </c>
      <c r="T21">
        <f t="shared" si="1"/>
        <v>2.8507990986193486E-5</v>
      </c>
      <c r="U21">
        <f t="shared" si="1"/>
        <v>0.16184525118423781</v>
      </c>
      <c r="W21">
        <v>1</v>
      </c>
    </row>
    <row r="22" spans="1:23" x14ac:dyDescent="0.2">
      <c r="A22" s="2">
        <v>71.696200000000005</v>
      </c>
      <c r="C22" s="4">
        <v>9.4386699999999995E-5</v>
      </c>
      <c r="D22" s="4">
        <v>1.03937E-4</v>
      </c>
      <c r="E22" s="2">
        <v>1.10118</v>
      </c>
      <c r="G22" s="4">
        <v>8.5346099999999999E-5</v>
      </c>
      <c r="H22" s="4">
        <v>1.22934E-4</v>
      </c>
      <c r="I22" s="2">
        <v>1.44041</v>
      </c>
      <c r="K22" s="4">
        <v>7.5044900000000004E-5</v>
      </c>
      <c r="L22" s="4">
        <v>7.1996599999999994E-5</v>
      </c>
      <c r="M22" s="2">
        <v>0.95938100000000004</v>
      </c>
      <c r="O22" s="3">
        <f t="shared" si="0"/>
        <v>8.4925899999999999E-5</v>
      </c>
      <c r="P22" s="3">
        <f t="shared" si="0"/>
        <v>9.9622533333333337E-5</v>
      </c>
      <c r="Q22">
        <f t="shared" si="0"/>
        <v>1.1669903333333334</v>
      </c>
      <c r="S22">
        <f t="shared" si="1"/>
        <v>7.9018450520537686E-6</v>
      </c>
      <c r="T22">
        <f t="shared" si="1"/>
        <v>2.1017701216725763E-5</v>
      </c>
      <c r="U22">
        <f t="shared" si="1"/>
        <v>0.2018175325887766</v>
      </c>
      <c r="W22">
        <v>1</v>
      </c>
    </row>
    <row r="23" spans="1:23" x14ac:dyDescent="0.2">
      <c r="A23" s="2">
        <v>113.277</v>
      </c>
      <c r="C23" s="4">
        <v>6.3476699999999995E-5</v>
      </c>
      <c r="D23" s="4">
        <v>8.2277500000000006E-5</v>
      </c>
      <c r="E23" s="2">
        <v>1.2961800000000001</v>
      </c>
      <c r="G23" s="4">
        <v>5.3151600000000001E-5</v>
      </c>
      <c r="H23" s="4">
        <v>9.7906799999999996E-5</v>
      </c>
      <c r="I23" s="2">
        <v>1.8420300000000001</v>
      </c>
      <c r="K23" s="4">
        <v>4.9578199999999999E-5</v>
      </c>
      <c r="L23" s="4">
        <v>5.91464E-5</v>
      </c>
      <c r="M23" s="2">
        <v>1.19299</v>
      </c>
      <c r="O23" s="3">
        <f t="shared" si="0"/>
        <v>5.5402166666666663E-5</v>
      </c>
      <c r="P23" s="3">
        <f t="shared" si="0"/>
        <v>7.9776899999999998E-5</v>
      </c>
      <c r="Q23">
        <f t="shared" si="0"/>
        <v>1.4437333333333333</v>
      </c>
      <c r="S23">
        <f t="shared" si="1"/>
        <v>5.8929824539211212E-6</v>
      </c>
      <c r="T23">
        <f t="shared" si="1"/>
        <v>1.592235121477562E-5</v>
      </c>
      <c r="U23">
        <f t="shared" si="1"/>
        <v>0.28477151078637691</v>
      </c>
      <c r="W23">
        <v>1</v>
      </c>
    </row>
    <row r="24" spans="1:23" x14ac:dyDescent="0.2">
      <c r="A24" s="2">
        <v>179.65799999999999</v>
      </c>
      <c r="C24" s="4">
        <v>4.2759100000000002E-5</v>
      </c>
      <c r="D24" s="4">
        <v>6.27621E-5</v>
      </c>
      <c r="E24" s="2">
        <v>1.4678100000000001</v>
      </c>
      <c r="G24" s="4">
        <v>3.1047499999999997E-5</v>
      </c>
      <c r="H24" s="4">
        <v>7.3038299999999995E-5</v>
      </c>
      <c r="I24" s="2">
        <v>2.3524699999999998</v>
      </c>
      <c r="K24" s="4">
        <v>3.3583500000000001E-5</v>
      </c>
      <c r="L24" s="4">
        <v>4.7709500000000001E-5</v>
      </c>
      <c r="M24" s="2">
        <v>1.4206300000000001</v>
      </c>
      <c r="O24" s="3">
        <f t="shared" si="0"/>
        <v>3.5796700000000002E-5</v>
      </c>
      <c r="P24" s="3">
        <f t="shared" si="0"/>
        <v>6.1169966666666672E-5</v>
      </c>
      <c r="Q24">
        <f t="shared" si="0"/>
        <v>1.7469699999999999</v>
      </c>
      <c r="S24">
        <f t="shared" si="1"/>
        <v>5.0308438205401177E-6</v>
      </c>
      <c r="T24">
        <f t="shared" si="1"/>
        <v>1.0401544557527127E-5</v>
      </c>
      <c r="U24">
        <f t="shared" si="1"/>
        <v>0.42858618394281828</v>
      </c>
      <c r="W24">
        <v>1</v>
      </c>
    </row>
    <row r="25" spans="1:23" x14ac:dyDescent="0.2">
      <c r="A25" s="2">
        <v>210.05199999999999</v>
      </c>
      <c r="C25" s="4">
        <v>3.6706699999999999E-5</v>
      </c>
      <c r="D25" s="4">
        <v>5.52616E-5</v>
      </c>
      <c r="E25" s="2">
        <v>1.50549</v>
      </c>
      <c r="G25" s="4">
        <v>2.4553200000000001E-5</v>
      </c>
      <c r="H25" s="4">
        <v>6.1724599999999995E-5</v>
      </c>
      <c r="I25" s="2">
        <v>2.5139100000000001</v>
      </c>
      <c r="K25" s="4">
        <v>2.83725E-5</v>
      </c>
      <c r="L25" s="4">
        <v>4.2616E-5</v>
      </c>
      <c r="M25" s="2">
        <v>1.5020199999999999</v>
      </c>
      <c r="O25" s="3">
        <f t="shared" si="0"/>
        <v>2.9877466666666666E-5</v>
      </c>
      <c r="P25" s="3">
        <f t="shared" si="0"/>
        <v>5.3200733333333334E-5</v>
      </c>
      <c r="Q25">
        <f t="shared" si="0"/>
        <v>1.8404733333333334</v>
      </c>
      <c r="S25">
        <f t="shared" si="1"/>
        <v>5.0744841487145807E-6</v>
      </c>
      <c r="T25">
        <f t="shared" si="1"/>
        <v>7.9359950879241049E-6</v>
      </c>
      <c r="U25">
        <f t="shared" si="1"/>
        <v>0.4761937408473802</v>
      </c>
      <c r="W2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F343-FC88-3042-AFFA-87C712B526A1}">
  <dimension ref="A1:U25"/>
  <sheetViews>
    <sheetView tabSelected="1" workbookViewId="0">
      <selection activeCell="H35" sqref="H35"/>
    </sheetView>
  </sheetViews>
  <sheetFormatPr baseColWidth="10" defaultColWidth="8.83203125" defaultRowHeight="15" x14ac:dyDescent="0.2"/>
  <cols>
    <col min="14" max="14" width="8.83203125" style="5"/>
  </cols>
  <sheetData>
    <row r="1" spans="1:21" ht="64" x14ac:dyDescent="0.2">
      <c r="A1" s="1" t="s">
        <v>0</v>
      </c>
      <c r="C1" s="1" t="s">
        <v>2</v>
      </c>
      <c r="D1" s="1" t="s">
        <v>3</v>
      </c>
      <c r="E1" s="1" t="s">
        <v>4</v>
      </c>
      <c r="G1" s="1" t="s">
        <v>2</v>
      </c>
      <c r="H1" s="1" t="s">
        <v>3</v>
      </c>
      <c r="I1" s="1" t="s">
        <v>4</v>
      </c>
      <c r="K1" s="1" t="s">
        <v>2</v>
      </c>
      <c r="L1" s="1" t="s">
        <v>3</v>
      </c>
      <c r="M1" s="1" t="s">
        <v>4</v>
      </c>
      <c r="O1" s="1" t="s">
        <v>25</v>
      </c>
      <c r="P1" s="1" t="s">
        <v>26</v>
      </c>
      <c r="Q1" s="1" t="s">
        <v>27</v>
      </c>
      <c r="S1" s="1" t="s">
        <v>28</v>
      </c>
      <c r="T1" s="1" t="s">
        <v>29</v>
      </c>
      <c r="U1" s="1" t="s">
        <v>30</v>
      </c>
    </row>
    <row r="2" spans="1:21" ht="16" x14ac:dyDescent="0.2">
      <c r="A2" s="1" t="s">
        <v>1</v>
      </c>
      <c r="C2" s="1" t="s">
        <v>5</v>
      </c>
      <c r="D2" s="1" t="s">
        <v>5</v>
      </c>
      <c r="E2" s="1"/>
      <c r="G2" s="1" t="s">
        <v>5</v>
      </c>
      <c r="H2" s="1" t="s">
        <v>5</v>
      </c>
      <c r="I2" s="1"/>
      <c r="K2" s="1" t="s">
        <v>5</v>
      </c>
      <c r="L2" s="1" t="s">
        <v>5</v>
      </c>
      <c r="M2" s="1"/>
      <c r="O2" s="1" t="s">
        <v>5</v>
      </c>
      <c r="P2" s="1" t="s">
        <v>5</v>
      </c>
      <c r="S2" s="1" t="s">
        <v>5</v>
      </c>
      <c r="T2" s="1" t="s">
        <v>5</v>
      </c>
    </row>
    <row r="3" spans="1:21" x14ac:dyDescent="0.2">
      <c r="A3" s="2">
        <v>1.0292000000000001E-2</v>
      </c>
      <c r="C3" s="4">
        <v>1.20291E-3</v>
      </c>
      <c r="D3" s="4">
        <v>2.7412500000000001E-4</v>
      </c>
      <c r="E3" s="2">
        <v>0.227884</v>
      </c>
      <c r="G3" s="4">
        <v>1.2465600000000001E-3</v>
      </c>
      <c r="H3" s="4">
        <v>2.3388099999999999E-4</v>
      </c>
      <c r="I3" s="2">
        <v>0.18762100000000001</v>
      </c>
      <c r="K3" s="4">
        <v>1.16266E-3</v>
      </c>
      <c r="L3" s="4">
        <v>4.0430000000000002E-4</v>
      </c>
      <c r="M3" s="2">
        <v>0.34773700000000002</v>
      </c>
      <c r="O3" s="3">
        <f>AVERAGE(C3,G3,K3)</f>
        <v>1.2040433333333333E-3</v>
      </c>
      <c r="P3" s="3">
        <f>AVERAGE(D3,H3,L3)</f>
        <v>3.04102E-4</v>
      </c>
      <c r="Q3">
        <f>AVERAGE(E3,I3,M3)</f>
        <v>0.25441399999999997</v>
      </c>
      <c r="S3">
        <f>_xlfn.STDEV.P(C3,G3,K3)</f>
        <v>3.4261405238093925E-5</v>
      </c>
      <c r="T3">
        <f>_xlfn.STDEV.P(D3,H3,L3)</f>
        <v>7.2730664266639744E-5</v>
      </c>
      <c r="U3">
        <f>_xlfn.STDEV.P(E3,I3,M3)</f>
        <v>6.8005705834143171E-2</v>
      </c>
    </row>
    <row r="4" spans="1:21" x14ac:dyDescent="0.2">
      <c r="A4" s="2">
        <v>1.6196200000000001E-2</v>
      </c>
      <c r="C4" s="4">
        <v>1.1619200000000001E-3</v>
      </c>
      <c r="D4" s="4">
        <v>2.4621400000000002E-4</v>
      </c>
      <c r="E4" s="2">
        <v>0.21190300000000001</v>
      </c>
      <c r="G4" s="4">
        <v>1.1747999999999999E-3</v>
      </c>
      <c r="H4" s="4">
        <v>2.75171E-4</v>
      </c>
      <c r="I4" s="2">
        <v>0.23422699999999999</v>
      </c>
      <c r="K4" s="4">
        <v>1.1104800000000001E-3</v>
      </c>
      <c r="L4" s="4">
        <v>3.0007999999999999E-4</v>
      </c>
      <c r="M4" s="2">
        <v>0.27022400000000002</v>
      </c>
      <c r="O4" s="3">
        <f>AVERAGE(C4,G4,K4)</f>
        <v>1.1490666666666668E-3</v>
      </c>
      <c r="P4" s="3">
        <f>AVERAGE(D4,H4,L4)</f>
        <v>2.7382166666666669E-4</v>
      </c>
      <c r="Q4">
        <f>AVERAGE(E4,I4,M4)</f>
        <v>0.23878466666666667</v>
      </c>
      <c r="S4">
        <f>_xlfn.STDEV.P(C4,G4,K4)</f>
        <v>2.7786948175157467E-5</v>
      </c>
      <c r="T4">
        <f>_xlfn.STDEV.P(D4,H4,L4)</f>
        <v>2.201139120748364E-5</v>
      </c>
      <c r="U4">
        <f>_xlfn.STDEV.P(E4,I4,M4)</f>
        <v>2.4026568687369611E-2</v>
      </c>
    </row>
    <row r="5" spans="1:21" x14ac:dyDescent="0.2">
      <c r="A5" s="2">
        <v>2.5888499999999998E-2</v>
      </c>
      <c r="C5" s="4">
        <v>1.0725800000000001E-3</v>
      </c>
      <c r="D5" s="4">
        <v>3.1472599999999998E-4</v>
      </c>
      <c r="E5" s="2">
        <v>0.293429</v>
      </c>
      <c r="G5" s="4">
        <v>1.0693300000000001E-3</v>
      </c>
      <c r="H5" s="4">
        <v>3.3796400000000001E-4</v>
      </c>
      <c r="I5" s="2">
        <v>0.31605299999999997</v>
      </c>
      <c r="K5" s="4">
        <v>9.7386700000000001E-4</v>
      </c>
      <c r="L5" s="4">
        <v>3.8040900000000001E-4</v>
      </c>
      <c r="M5" s="2">
        <v>0.39061699999999999</v>
      </c>
      <c r="O5" s="3">
        <f>AVERAGE(C5,G5,K5)</f>
        <v>1.0385923333333334E-3</v>
      </c>
      <c r="P5" s="3">
        <f>AVERAGE(D5,H5,L5)</f>
        <v>3.4436633333333335E-4</v>
      </c>
      <c r="Q5">
        <f>AVERAGE(E5,I5,M5)</f>
        <v>0.33336633333333338</v>
      </c>
      <c r="S5">
        <f>_xlfn.STDEV.P(C5,G5,K5)</f>
        <v>4.5786950152005372E-5</v>
      </c>
      <c r="T5">
        <f>_xlfn.STDEV.P(D5,H5,L5)</f>
        <v>2.7194442156849306E-5</v>
      </c>
      <c r="U5">
        <f>_xlfn.STDEV.P(E5,I5,M5)</f>
        <v>4.1522608053390891E-2</v>
      </c>
    </row>
    <row r="6" spans="1:21" x14ac:dyDescent="0.2">
      <c r="A6" s="2">
        <v>4.2930700000000002E-2</v>
      </c>
      <c r="C6" s="4">
        <v>8.9124099999999997E-4</v>
      </c>
      <c r="D6" s="4">
        <v>3.27153E-4</v>
      </c>
      <c r="E6" s="2">
        <v>0.36707600000000001</v>
      </c>
      <c r="G6" s="4">
        <v>7.8575100000000001E-4</v>
      </c>
      <c r="H6" s="4">
        <v>2.9130099999999999E-4</v>
      </c>
      <c r="I6" s="2">
        <v>0.37072899999999998</v>
      </c>
      <c r="K6" s="4">
        <v>8.8631099999999998E-4</v>
      </c>
      <c r="L6" s="4">
        <v>3.5433900000000001E-4</v>
      </c>
      <c r="M6" s="2">
        <v>0.39979100000000001</v>
      </c>
      <c r="O6" s="3">
        <f>AVERAGE(C6,G6,K6)</f>
        <v>8.5443433333333332E-4</v>
      </c>
      <c r="P6" s="3">
        <f>AVERAGE(D6,H6,L6)</f>
        <v>3.2426433333333332E-4</v>
      </c>
      <c r="Q6">
        <f>AVERAGE(E6,I6,M6)</f>
        <v>0.37919866666666668</v>
      </c>
      <c r="S6">
        <f>_xlfn.STDEV.P(C6,G6,K6)</f>
        <v>4.860813672170076E-5</v>
      </c>
      <c r="T6">
        <f>_xlfn.STDEV.P(D6,H6,L6)</f>
        <v>2.5816088747566362E-5</v>
      </c>
      <c r="U6">
        <f>_xlfn.STDEV.P(E6,I6,M6)</f>
        <v>1.4637150140045104E-2</v>
      </c>
    </row>
    <row r="7" spans="1:21" x14ac:dyDescent="0.2">
      <c r="A7" s="2">
        <v>6.6235000000000002E-2</v>
      </c>
      <c r="C7" s="4">
        <v>8.0459100000000001E-4</v>
      </c>
      <c r="D7" s="4">
        <v>2.75767E-4</v>
      </c>
      <c r="E7" s="2">
        <v>0.34274199999999999</v>
      </c>
      <c r="G7" s="4">
        <v>7.4737600000000001E-4</v>
      </c>
      <c r="H7" s="4">
        <v>2.5709399999999997E-4</v>
      </c>
      <c r="I7" s="2">
        <v>0.34399600000000002</v>
      </c>
      <c r="K7" s="4">
        <v>7.8233899999999995E-4</v>
      </c>
      <c r="L7" s="4">
        <v>2.4478199999999997E-4</v>
      </c>
      <c r="M7" s="2">
        <v>0.31288500000000002</v>
      </c>
      <c r="O7" s="3">
        <f>AVERAGE(C7,G7,K7)</f>
        <v>7.7810200000000003E-4</v>
      </c>
      <c r="P7" s="3">
        <f>AVERAGE(D7,H7,L7)</f>
        <v>2.5921433333333334E-4</v>
      </c>
      <c r="Q7">
        <f>AVERAGE(E7,I7,M7)</f>
        <v>0.33320766666666674</v>
      </c>
      <c r="S7">
        <f>_xlfn.STDEV.P(C7,G7,K7)</f>
        <v>2.3549284249561949E-5</v>
      </c>
      <c r="T7">
        <f>_xlfn.STDEV.P(D7,H7,L7)</f>
        <v>1.2738116457659241E-5</v>
      </c>
      <c r="U7">
        <f>_xlfn.STDEV.P(E7,I7,M7)</f>
        <v>1.4379411539497088E-2</v>
      </c>
    </row>
    <row r="8" spans="1:21" x14ac:dyDescent="0.2">
      <c r="A8" s="2">
        <v>0.102601</v>
      </c>
      <c r="C8" s="4">
        <v>7.6712899999999997E-4</v>
      </c>
      <c r="D8" s="4">
        <v>2.3621100000000001E-4</v>
      </c>
      <c r="E8" s="2">
        <v>0.30791600000000002</v>
      </c>
      <c r="G8" s="4">
        <v>7.2728599999999995E-4</v>
      </c>
      <c r="H8" s="4">
        <v>1.9805699999999999E-4</v>
      </c>
      <c r="I8" s="2">
        <v>0.27232400000000001</v>
      </c>
      <c r="K8" s="4">
        <v>7.5928699999999998E-4</v>
      </c>
      <c r="L8" s="4">
        <v>2.4365300000000001E-4</v>
      </c>
      <c r="M8" s="2">
        <v>0.32089699999999999</v>
      </c>
      <c r="O8" s="3">
        <f>AVERAGE(C8,G8,K8)</f>
        <v>7.5123399999999993E-4</v>
      </c>
      <c r="P8" s="3">
        <f>AVERAGE(D8,H8,L8)</f>
        <v>2.2597366666666669E-4</v>
      </c>
      <c r="Q8">
        <f>AVERAGE(E8,I8,M8)</f>
        <v>0.30037900000000001</v>
      </c>
      <c r="S8">
        <f>_xlfn.STDEV.P(C8,G8,K8)</f>
        <v>1.7233770510251098E-5</v>
      </c>
      <c r="T8">
        <f>_xlfn.STDEV.P(D8,H8,L8)</f>
        <v>1.9972498580687293E-5</v>
      </c>
      <c r="U8">
        <f>_xlfn.STDEV.P(E8,I8,M8)</f>
        <v>2.0533531259868572E-2</v>
      </c>
    </row>
    <row r="9" spans="1:21" x14ac:dyDescent="0.2">
      <c r="A9" s="2">
        <v>0.16039700000000001</v>
      </c>
      <c r="C9" s="4">
        <v>7.5488699999999998E-4</v>
      </c>
      <c r="D9" s="4">
        <v>2.0074099999999999E-4</v>
      </c>
      <c r="E9" s="2">
        <v>0.26592199999999999</v>
      </c>
      <c r="G9" s="4">
        <v>7.2410300000000003E-4</v>
      </c>
      <c r="H9" s="4">
        <v>1.6860700000000001E-4</v>
      </c>
      <c r="I9" s="2">
        <v>0.23285</v>
      </c>
      <c r="K9" s="4">
        <v>7.4399600000000002E-4</v>
      </c>
      <c r="L9" s="4">
        <v>2.1442299999999999E-4</v>
      </c>
      <c r="M9" s="2">
        <v>0.28820400000000002</v>
      </c>
      <c r="O9" s="3">
        <f>AVERAGE(C9,G9,K9)</f>
        <v>7.409953333333332E-4</v>
      </c>
      <c r="P9" s="3">
        <f>AVERAGE(D9,H9,L9)</f>
        <v>1.9459033333333337E-4</v>
      </c>
      <c r="Q9">
        <f>AVERAGE(E9,I9,M9)</f>
        <v>0.26232533333333335</v>
      </c>
      <c r="S9">
        <f>_xlfn.STDEV.P(C9,G9,K9)</f>
        <v>1.2745369468512416E-5</v>
      </c>
      <c r="T9">
        <f>_xlfn.STDEV.P(D9,H9,L9)</f>
        <v>1.9203289463584669E-5</v>
      </c>
      <c r="U9">
        <f>_xlfn.STDEV.P(E9,I9,M9)</f>
        <v>2.2740834598189718E-2</v>
      </c>
    </row>
    <row r="10" spans="1:21" x14ac:dyDescent="0.2">
      <c r="A10" s="2">
        <v>0.25280999999999998</v>
      </c>
      <c r="C10" s="4">
        <v>7.5038100000000005E-4</v>
      </c>
      <c r="D10" s="4">
        <v>1.7500600000000001E-4</v>
      </c>
      <c r="E10" s="2">
        <v>0.23322300000000001</v>
      </c>
      <c r="G10" s="4">
        <v>7.2458099999999997E-4</v>
      </c>
      <c r="H10" s="4">
        <v>1.5700600000000001E-4</v>
      </c>
      <c r="I10" s="2">
        <v>0.21668499999999999</v>
      </c>
      <c r="K10" s="4">
        <v>7.41419E-4</v>
      </c>
      <c r="L10" s="4">
        <v>1.8445399999999999E-4</v>
      </c>
      <c r="M10" s="2">
        <v>0.24878500000000001</v>
      </c>
      <c r="O10" s="3">
        <f>AVERAGE(C10,G10,K10)</f>
        <v>7.387936666666666E-4</v>
      </c>
      <c r="P10" s="3">
        <f>AVERAGE(D10,H10,L10)</f>
        <v>1.7215533333333336E-4</v>
      </c>
      <c r="Q10">
        <f>AVERAGE(E10,I10,M10)</f>
        <v>0.23289766666666667</v>
      </c>
      <c r="S10">
        <f>_xlfn.STDEV.P(C10,G10,K10)</f>
        <v>1.0695147851037696E-5</v>
      </c>
      <c r="T10">
        <f>_xlfn.STDEV.P(D10,H10,L10)</f>
        <v>1.1385455673309205E-5</v>
      </c>
      <c r="U10">
        <f>_xlfn.STDEV.P(E10,I10,M10)</f>
        <v>1.3106789114382251E-2</v>
      </c>
    </row>
    <row r="11" spans="1:21" x14ac:dyDescent="0.2">
      <c r="A11" s="2">
        <v>0.39827899999999999</v>
      </c>
      <c r="C11" s="4">
        <v>7.52299E-4</v>
      </c>
      <c r="D11" s="4">
        <v>1.62311E-4</v>
      </c>
      <c r="E11" s="2">
        <v>0.215753</v>
      </c>
      <c r="G11" s="4">
        <v>7.2448599999999999E-4</v>
      </c>
      <c r="H11" s="4">
        <v>1.50624E-4</v>
      </c>
      <c r="I11" s="2">
        <v>0.20790500000000001</v>
      </c>
      <c r="K11" s="4">
        <v>7.3685099999999996E-4</v>
      </c>
      <c r="L11" s="4">
        <v>1.7095399999999999E-4</v>
      </c>
      <c r="M11" s="2">
        <v>0.23200599999999999</v>
      </c>
      <c r="O11" s="3">
        <f>AVERAGE(C11,G11,K11)</f>
        <v>7.3787866666666661E-4</v>
      </c>
      <c r="P11" s="3">
        <f>AVERAGE(D11,H11,L11)</f>
        <v>1.612963333333333E-4</v>
      </c>
      <c r="Q11">
        <f>AVERAGE(E11,I11,M11)</f>
        <v>0.21855466666666667</v>
      </c>
      <c r="S11">
        <f>_xlfn.STDEV.P(C11,G11,K11)</f>
        <v>1.1377838585992027E-5</v>
      </c>
      <c r="T11">
        <f>_xlfn.STDEV.P(D11,H11,L11)</f>
        <v>8.3306416853018485E-6</v>
      </c>
      <c r="U11">
        <f>_xlfn.STDEV.P(E11,I11,M11)</f>
        <v>1.0036651245421557E-2</v>
      </c>
    </row>
    <row r="12" spans="1:21" x14ac:dyDescent="0.2">
      <c r="A12" s="2">
        <v>0.63104000000000005</v>
      </c>
      <c r="C12" s="4">
        <v>7.5425000000000004E-4</v>
      </c>
      <c r="D12" s="4">
        <v>1.5519500000000001E-4</v>
      </c>
      <c r="E12" s="2">
        <v>0.205761</v>
      </c>
      <c r="G12" s="4">
        <v>7.2596300000000004E-4</v>
      </c>
      <c r="H12" s="4">
        <v>1.4713199999999999E-4</v>
      </c>
      <c r="I12" s="2">
        <v>0.20267199999999999</v>
      </c>
      <c r="K12" s="4">
        <v>7.3896599999999997E-4</v>
      </c>
      <c r="L12" s="4">
        <v>1.5879800000000001E-4</v>
      </c>
      <c r="M12" s="2">
        <v>0.214892</v>
      </c>
      <c r="O12" s="3">
        <f>AVERAGE(C12,G12,K12)</f>
        <v>7.3972633333333328E-4</v>
      </c>
      <c r="P12" s="3">
        <f>AVERAGE(D12,H12,L12)</f>
        <v>1.5370833333333336E-4</v>
      </c>
      <c r="Q12">
        <f>AVERAGE(E12,I12,M12)</f>
        <v>0.20777500000000002</v>
      </c>
      <c r="S12">
        <f>_xlfn.STDEV.P(C12,G12,K12)</f>
        <v>1.1560627789566141E-5</v>
      </c>
      <c r="T12">
        <f>_xlfn.STDEV.P(D12,H12,L12)</f>
        <v>4.8772616861878186E-6</v>
      </c>
      <c r="U12">
        <f>_xlfn.STDEV.P(E12,I12,M12)</f>
        <v>5.1880790921753203E-3</v>
      </c>
    </row>
    <row r="13" spans="1:21" x14ac:dyDescent="0.2">
      <c r="A13" s="2">
        <v>0.99933000000000005</v>
      </c>
      <c r="C13" s="4">
        <v>7.5607500000000004E-4</v>
      </c>
      <c r="D13" s="4">
        <v>1.50894E-4</v>
      </c>
      <c r="E13" s="2">
        <v>0.199575</v>
      </c>
      <c r="G13" s="4">
        <v>7.2823699999999996E-4</v>
      </c>
      <c r="H13" s="4">
        <v>1.43487E-4</v>
      </c>
      <c r="I13" s="2">
        <v>0.19703399999999999</v>
      </c>
      <c r="K13" s="4">
        <v>7.4105299999999998E-4</v>
      </c>
      <c r="L13" s="4">
        <v>1.5239799999999999E-4</v>
      </c>
      <c r="M13" s="2">
        <v>0.20565</v>
      </c>
      <c r="O13" s="3">
        <f>AVERAGE(C13,G13,K13)</f>
        <v>7.4178833333333333E-4</v>
      </c>
      <c r="P13" s="3">
        <f>AVERAGE(D13,H13,L13)</f>
        <v>1.4892633333333334E-4</v>
      </c>
      <c r="Q13">
        <f>AVERAGE(E13,I13,M13)</f>
        <v>0.20075299999999999</v>
      </c>
      <c r="S13">
        <f>_xlfn.STDEV.P(C13,G13,K13)</f>
        <v>1.1376704189800444E-5</v>
      </c>
      <c r="T13">
        <f>_xlfn.STDEV.P(D13,H13,L13)</f>
        <v>3.8948910411232524E-6</v>
      </c>
      <c r="U13">
        <f>_xlfn.STDEV.P(E13,I13,M13)</f>
        <v>3.614750060515945E-3</v>
      </c>
    </row>
    <row r="14" spans="1:21" x14ac:dyDescent="0.2">
      <c r="A14" s="2">
        <v>1.5835699999999999</v>
      </c>
      <c r="C14" s="4">
        <v>7.5824200000000001E-4</v>
      </c>
      <c r="D14" s="4">
        <v>1.46682E-4</v>
      </c>
      <c r="E14" s="2">
        <v>0.19345100000000001</v>
      </c>
      <c r="G14" s="4">
        <v>7.3043200000000004E-4</v>
      </c>
      <c r="H14" s="4">
        <v>1.41917E-4</v>
      </c>
      <c r="I14" s="2">
        <v>0.19429199999999999</v>
      </c>
      <c r="K14" s="4">
        <v>7.4300699999999996E-4</v>
      </c>
      <c r="L14" s="4">
        <v>1.4678299999999999E-4</v>
      </c>
      <c r="M14" s="2">
        <v>0.19755300000000001</v>
      </c>
      <c r="O14" s="3">
        <f>AVERAGE(C14,G14,K14)</f>
        <v>7.4389366666666667E-4</v>
      </c>
      <c r="P14" s="3">
        <f>AVERAGE(D14,H14,L14)</f>
        <v>1.4512733333333334E-4</v>
      </c>
      <c r="Q14">
        <f>AVERAGE(E14,I14,M14)</f>
        <v>0.19509866666666667</v>
      </c>
      <c r="S14">
        <f>_xlfn.STDEV.P(C14,G14,K14)</f>
        <v>1.137068330791464E-5</v>
      </c>
      <c r="T14">
        <f>_xlfn.STDEV.P(D14,H14,L14)</f>
        <v>2.2704229170403941E-6</v>
      </c>
      <c r="U14">
        <f>_xlfn.STDEV.P(E14,I14,M14)</f>
        <v>1.769111704280491E-3</v>
      </c>
    </row>
    <row r="15" spans="1:21" x14ac:dyDescent="0.2">
      <c r="A15" s="2">
        <v>2.5109400000000002</v>
      </c>
      <c r="C15" s="4">
        <v>7.5914699999999995E-4</v>
      </c>
      <c r="D15" s="4">
        <v>1.4449499999999999E-4</v>
      </c>
      <c r="E15" s="2">
        <v>0.19033900000000001</v>
      </c>
      <c r="G15" s="4">
        <v>7.3068000000000004E-4</v>
      </c>
      <c r="H15" s="4">
        <v>1.4014499999999999E-4</v>
      </c>
      <c r="I15" s="2">
        <v>0.191801</v>
      </c>
      <c r="K15" s="4">
        <v>7.4254400000000004E-4</v>
      </c>
      <c r="L15" s="4">
        <v>1.4329499999999999E-4</v>
      </c>
      <c r="M15" s="2">
        <v>0.19297900000000001</v>
      </c>
      <c r="O15" s="3">
        <f>AVERAGE(C15,G15,K15)</f>
        <v>7.441236666666666E-4</v>
      </c>
      <c r="P15" s="3">
        <f>AVERAGE(D15,H15,L15)</f>
        <v>1.4264499999999997E-4</v>
      </c>
      <c r="Q15">
        <f>AVERAGE(E15,I15,M15)</f>
        <v>0.19170633333333334</v>
      </c>
      <c r="S15">
        <f>_xlfn.STDEV.P(C15,G15,K15)</f>
        <v>1.1675159737189377E-5</v>
      </c>
      <c r="T15">
        <f>_xlfn.STDEV.P(D15,H15,L15)</f>
        <v>1.8343936327844126E-6</v>
      </c>
      <c r="U15">
        <f>_xlfn.STDEV.P(E15,I15,M15)</f>
        <v>1.0798522532684234E-3</v>
      </c>
    </row>
    <row r="16" spans="1:21" x14ac:dyDescent="0.2">
      <c r="A16" s="2">
        <v>3.98428</v>
      </c>
      <c r="C16" s="4">
        <v>7.5781299999999998E-4</v>
      </c>
      <c r="D16" s="4">
        <v>1.4369E-4</v>
      </c>
      <c r="E16" s="2">
        <v>0.189612</v>
      </c>
      <c r="G16" s="4">
        <v>7.2682599999999997E-4</v>
      </c>
      <c r="H16" s="4">
        <v>1.4120499999999999E-4</v>
      </c>
      <c r="I16" s="2">
        <v>0.194276</v>
      </c>
      <c r="K16" s="4">
        <v>7.38699E-4</v>
      </c>
      <c r="L16" s="4">
        <v>1.42943E-4</v>
      </c>
      <c r="M16" s="2">
        <v>0.19350600000000001</v>
      </c>
      <c r="O16" s="3">
        <f>AVERAGE(C16,G16,K16)</f>
        <v>7.4111266666666668E-4</v>
      </c>
      <c r="P16" s="3">
        <f>AVERAGE(D16,H16,L16)</f>
        <v>1.4261266666666664E-4</v>
      </c>
      <c r="Q16">
        <f>AVERAGE(E16,I16,M16)</f>
        <v>0.19246466666666665</v>
      </c>
      <c r="S16">
        <f>_xlfn.STDEV.P(C16,G16,K16)</f>
        <v>1.2765001170735903E-5</v>
      </c>
      <c r="T16">
        <f>_xlfn.STDEV.P(D16,H16,L16)</f>
        <v>1.0410399714815161E-6</v>
      </c>
      <c r="U16">
        <f>_xlfn.STDEV.P(E16,I16,M16)</f>
        <v>2.0414872574234279E-3</v>
      </c>
    </row>
    <row r="17" spans="1:21" x14ac:dyDescent="0.2">
      <c r="A17" s="2">
        <v>6.3402599999999998</v>
      </c>
      <c r="C17" s="4">
        <v>7.4803399999999996E-4</v>
      </c>
      <c r="D17" s="4">
        <v>1.49266E-4</v>
      </c>
      <c r="E17" s="2">
        <v>0.199545</v>
      </c>
      <c r="G17" s="4">
        <v>7.0831300000000002E-4</v>
      </c>
      <c r="H17" s="4">
        <v>1.5711300000000001E-4</v>
      </c>
      <c r="I17" s="2">
        <v>0.22181300000000001</v>
      </c>
      <c r="K17" s="4">
        <v>7.1880700000000002E-4</v>
      </c>
      <c r="L17" s="4">
        <v>1.58756E-4</v>
      </c>
      <c r="M17" s="2">
        <v>0.220861</v>
      </c>
      <c r="O17" s="3">
        <f>AVERAGE(C17,G17,K17)</f>
        <v>7.2505133333333326E-4</v>
      </c>
      <c r="P17" s="3">
        <f>AVERAGE(D17,H17,L17)</f>
        <v>1.55045E-4</v>
      </c>
      <c r="Q17">
        <f>AVERAGE(E17,I17,M17)</f>
        <v>0.21407299999999999</v>
      </c>
      <c r="S17">
        <f>_xlfn.STDEV.P(C17,G17,K17)</f>
        <v>1.680641215594675E-5</v>
      </c>
      <c r="T17">
        <f>_xlfn.STDEV.P(D17,H17,L17)</f>
        <v>4.1410540526134956E-6</v>
      </c>
      <c r="U17">
        <f>_xlfn.STDEV.P(E17,I17,M17)</f>
        <v>1.028019662587573E-2</v>
      </c>
    </row>
    <row r="18" spans="1:21" x14ac:dyDescent="0.2">
      <c r="A18" s="2">
        <v>10.2438</v>
      </c>
      <c r="C18" s="4">
        <v>6.8886499999999999E-4</v>
      </c>
      <c r="D18" s="4">
        <v>2.1531799999999999E-4</v>
      </c>
      <c r="E18" s="2">
        <v>0.31256899999999999</v>
      </c>
      <c r="G18" s="4">
        <v>6.1027599999999998E-4</v>
      </c>
      <c r="H18" s="4">
        <v>2.6482600000000002E-4</v>
      </c>
      <c r="I18" s="2">
        <v>0.43394500000000003</v>
      </c>
      <c r="K18" s="4">
        <v>6.1334900000000001E-4</v>
      </c>
      <c r="L18" s="4">
        <v>2.7080799999999999E-4</v>
      </c>
      <c r="M18" s="2">
        <v>0.44152400000000003</v>
      </c>
      <c r="O18" s="3">
        <f>AVERAGE(C18,G18,K18)</f>
        <v>6.3749666666666662E-4</v>
      </c>
      <c r="P18" s="3">
        <f>AVERAGE(D18,H18,L18)</f>
        <v>2.5031733333333333E-4</v>
      </c>
      <c r="Q18">
        <f>AVERAGE(E18,I18,M18)</f>
        <v>0.39601266666666673</v>
      </c>
      <c r="S18">
        <f>_xlfn.STDEV.P(C18,G18,K18)</f>
        <v>3.6344555615509848E-5</v>
      </c>
      <c r="T18">
        <f>_xlfn.STDEV.P(D18,H18,L18)</f>
        <v>2.4868468406576414E-5</v>
      </c>
      <c r="U18">
        <f>_xlfn.STDEV.P(E18,I18,M18)</f>
        <v>5.9084653621355225E-2</v>
      </c>
    </row>
    <row r="19" spans="1:21" x14ac:dyDescent="0.2">
      <c r="A19" s="2">
        <v>17.5869</v>
      </c>
      <c r="C19" s="4">
        <v>4.6635399999999999E-4</v>
      </c>
      <c r="D19" s="4">
        <v>3.6539500000000002E-4</v>
      </c>
      <c r="E19" s="2">
        <v>0.78351499999999996</v>
      </c>
      <c r="G19" s="4">
        <v>4.0438200000000001E-4</v>
      </c>
      <c r="H19" s="4">
        <v>3.5902699999999999E-4</v>
      </c>
      <c r="I19" s="2">
        <v>0.88784099999999999</v>
      </c>
      <c r="K19" s="4">
        <v>3.9683699999999998E-4</v>
      </c>
      <c r="L19" s="4">
        <v>3.6606200000000001E-4</v>
      </c>
      <c r="M19" s="2">
        <v>0.92244899999999996</v>
      </c>
      <c r="O19" s="3">
        <f>AVERAGE(C19,G19,K19)</f>
        <v>4.2252433333333329E-4</v>
      </c>
      <c r="P19" s="3">
        <f>AVERAGE(D19,H19,L19)</f>
        <v>3.6349466666666671E-4</v>
      </c>
      <c r="Q19">
        <f>AVERAGE(E19,I19,M19)</f>
        <v>0.8646016666666666</v>
      </c>
      <c r="S19">
        <f>_xlfn.STDEV.P(C19,G19,K19)</f>
        <v>3.1144946260277212E-5</v>
      </c>
      <c r="T19">
        <f>_xlfn.STDEV.P(D19,H19,L19)</f>
        <v>3.1708312614973629E-6</v>
      </c>
      <c r="U19">
        <f>_xlfn.STDEV.P(E19,I19,M19)</f>
        <v>5.9052033830813616E-2</v>
      </c>
    </row>
    <row r="20" spans="1:21" x14ac:dyDescent="0.2">
      <c r="A20" s="2">
        <v>28.501000000000001</v>
      </c>
      <c r="C20" s="4">
        <v>2.98039E-4</v>
      </c>
      <c r="D20" s="4">
        <v>3.5959000000000002E-4</v>
      </c>
      <c r="E20" s="2">
        <v>1.20652</v>
      </c>
      <c r="G20" s="4">
        <v>2.6486599999999999E-4</v>
      </c>
      <c r="H20" s="4">
        <v>3.43514E-4</v>
      </c>
      <c r="I20" s="2">
        <v>1.2969299999999999</v>
      </c>
      <c r="K20" s="4">
        <v>2.5954100000000001E-4</v>
      </c>
      <c r="L20" s="4">
        <v>3.4631000000000001E-4</v>
      </c>
      <c r="M20" s="2">
        <v>1.33432</v>
      </c>
      <c r="O20" s="3">
        <f>AVERAGE(C20,G20,K20)</f>
        <v>2.7414866666666669E-4</v>
      </c>
      <c r="P20" s="3">
        <f>AVERAGE(D20,H20,L20)</f>
        <v>3.498046666666667E-4</v>
      </c>
      <c r="Q20">
        <f>AVERAGE(E20,I20,M20)</f>
        <v>1.2792566666666667</v>
      </c>
      <c r="S20">
        <f>_xlfn.STDEV.P(C20,G20,K20)</f>
        <v>1.7032320772252052E-5</v>
      </c>
      <c r="T20">
        <f>_xlfn.STDEV.P(D20,H20,L20)</f>
        <v>7.0127961771480504E-6</v>
      </c>
      <c r="U20">
        <f>_xlfn.STDEV.P(E20,I20,M20)</f>
        <v>5.3649914776778079E-2</v>
      </c>
    </row>
    <row r="21" spans="1:21" x14ac:dyDescent="0.2">
      <c r="A21" s="2">
        <v>44.992199999999997</v>
      </c>
      <c r="C21" s="4">
        <v>1.94162E-4</v>
      </c>
      <c r="D21" s="4">
        <v>3.0974699999999997E-4</v>
      </c>
      <c r="E21" s="2">
        <v>1.5952999999999999</v>
      </c>
      <c r="G21" s="4">
        <v>1.7571000000000001E-4</v>
      </c>
      <c r="H21" s="4">
        <v>2.9566199999999998E-4</v>
      </c>
      <c r="I21" s="2">
        <v>1.6826700000000001</v>
      </c>
      <c r="K21" s="4">
        <v>1.7450300000000001E-4</v>
      </c>
      <c r="L21" s="4">
        <v>2.9741000000000001E-4</v>
      </c>
      <c r="M21" s="2">
        <v>1.7043299999999999</v>
      </c>
      <c r="O21" s="3">
        <f>AVERAGE(C21,G21,K21)</f>
        <v>1.8145833333333336E-4</v>
      </c>
      <c r="P21" s="3">
        <f>AVERAGE(D21,H21,L21)</f>
        <v>3.0093966666666665E-4</v>
      </c>
      <c r="Q21">
        <f>AVERAGE(E21,I21,M21)</f>
        <v>1.6607666666666665</v>
      </c>
      <c r="S21">
        <f>_xlfn.STDEV.P(C21,G21,K21)</f>
        <v>8.9963537922624795E-6</v>
      </c>
      <c r="T21">
        <f>_xlfn.STDEV.P(D21,H21,L21)</f>
        <v>6.2684775575006075E-6</v>
      </c>
      <c r="U21">
        <f>_xlfn.STDEV.P(E21,I21,M21)</f>
        <v>4.7128917049113525E-2</v>
      </c>
    </row>
    <row r="22" spans="1:21" x14ac:dyDescent="0.2">
      <c r="A22" s="2">
        <v>75.537199999999999</v>
      </c>
      <c r="C22" s="4">
        <v>9.7888199999999996E-5</v>
      </c>
      <c r="D22" s="4">
        <v>2.27264E-4</v>
      </c>
      <c r="E22" s="2">
        <v>2.3216700000000001</v>
      </c>
      <c r="G22" s="4">
        <v>9.5305900000000005E-5</v>
      </c>
      <c r="H22" s="4">
        <v>2.22208E-4</v>
      </c>
      <c r="I22" s="2">
        <v>2.3315199999999998</v>
      </c>
      <c r="K22" s="4">
        <v>9.4285700000000004E-5</v>
      </c>
      <c r="L22" s="4">
        <v>2.23437E-4</v>
      </c>
      <c r="M22" s="2">
        <v>2.36978</v>
      </c>
      <c r="O22" s="3">
        <f>AVERAGE(C22,G22,K22)</f>
        <v>9.5826600000000002E-5</v>
      </c>
      <c r="P22" s="3">
        <f>AVERAGE(D22,H22,L22)</f>
        <v>2.24303E-4</v>
      </c>
      <c r="Q22">
        <f>AVERAGE(E22,I22,M22)</f>
        <v>2.3409900000000001</v>
      </c>
      <c r="S22">
        <f>_xlfn.STDEV.P(C22,G22,K22)</f>
        <v>1.5161020040441389E-6</v>
      </c>
      <c r="T22">
        <f>_xlfn.STDEV.P(D22,H22,L22)</f>
        <v>2.1530212880198533E-6</v>
      </c>
      <c r="U22">
        <f>_xlfn.STDEV.P(E22,I22,M22)</f>
        <v>2.0750963029861198E-2</v>
      </c>
    </row>
    <row r="23" spans="1:21" x14ac:dyDescent="0.2">
      <c r="A23" s="2">
        <v>121.295</v>
      </c>
      <c r="C23" s="4">
        <v>4.2753799999999997E-5</v>
      </c>
      <c r="D23" s="4">
        <v>1.5296099999999999E-4</v>
      </c>
      <c r="E23" s="2">
        <v>3.5777299999999999</v>
      </c>
      <c r="G23" s="4">
        <v>4.1548300000000003E-5</v>
      </c>
      <c r="H23" s="4">
        <v>1.4805299999999999E-4</v>
      </c>
      <c r="I23" s="2">
        <v>3.5634000000000001</v>
      </c>
      <c r="K23" s="4">
        <v>4.0635500000000001E-5</v>
      </c>
      <c r="L23" s="4">
        <v>1.4897700000000001E-4</v>
      </c>
      <c r="M23" s="2">
        <v>3.6661800000000002</v>
      </c>
      <c r="O23" s="3">
        <f>AVERAGE(C23,G23,K23)</f>
        <v>4.1645866666666667E-5</v>
      </c>
      <c r="P23" s="3">
        <f>AVERAGE(D23,H23,L23)</f>
        <v>1.4999699999999999E-4</v>
      </c>
      <c r="Q23">
        <f>AVERAGE(E23,I23,M23)</f>
        <v>3.6024366666666672</v>
      </c>
      <c r="S23">
        <f>_xlfn.STDEV.P(C23,G23,K23)</f>
        <v>8.6753987932671975E-7</v>
      </c>
      <c r="T23">
        <f>_xlfn.STDEV.P(D23,H23,L23)</f>
        <v>2.1295407955707231E-6</v>
      </c>
      <c r="U23">
        <f>_xlfn.STDEV.P(E23,I23,M23)</f>
        <v>4.5451414597225653E-2</v>
      </c>
    </row>
    <row r="24" spans="1:21" x14ac:dyDescent="0.2">
      <c r="A24" s="2">
        <v>188.28299999999999</v>
      </c>
      <c r="C24" s="4">
        <v>1.79687E-5</v>
      </c>
      <c r="D24" s="4">
        <v>1.03968E-4</v>
      </c>
      <c r="E24" s="2">
        <v>5.7860699999999996</v>
      </c>
      <c r="G24" s="4">
        <v>1.7561400000000001E-5</v>
      </c>
      <c r="H24" s="4">
        <v>1.0037E-4</v>
      </c>
      <c r="I24" s="2">
        <v>5.7153499999999999</v>
      </c>
      <c r="K24" s="4">
        <v>1.72336E-5</v>
      </c>
      <c r="L24" s="4">
        <v>1.01117E-4</v>
      </c>
      <c r="M24" s="2">
        <v>5.8674200000000001</v>
      </c>
      <c r="O24" s="3">
        <f>AVERAGE(C24,G24,K24)</f>
        <v>1.7587900000000001E-5</v>
      </c>
      <c r="P24" s="3">
        <f>AVERAGE(D24,H24,L24)</f>
        <v>1.0181833333333333E-4</v>
      </c>
      <c r="Q24">
        <f>AVERAGE(E24,I24,M24)</f>
        <v>5.7896133333333326</v>
      </c>
      <c r="S24">
        <f>_xlfn.STDEV.P(C24,G24,K24)</f>
        <v>3.0068775609702904E-7</v>
      </c>
      <c r="T24">
        <f>_xlfn.STDEV.P(D24,H24,L24)</f>
        <v>1.5503337991829025E-6</v>
      </c>
      <c r="U24">
        <f>_xlfn.STDEV.P(E24,I24,M24)</f>
        <v>6.2132855684859392E-2</v>
      </c>
    </row>
    <row r="25" spans="1:21" x14ac:dyDescent="0.2">
      <c r="A25" s="2">
        <v>215.33199999999999</v>
      </c>
      <c r="C25" s="4">
        <v>9.37477E-6</v>
      </c>
      <c r="D25" s="4">
        <v>8.9817500000000005E-5</v>
      </c>
      <c r="E25" s="2">
        <v>9.5807699999999993</v>
      </c>
      <c r="G25" s="4">
        <v>9.7686800000000005E-6</v>
      </c>
      <c r="H25" s="4">
        <v>8.7046000000000007E-5</v>
      </c>
      <c r="I25" s="2">
        <v>8.9107199999999995</v>
      </c>
      <c r="K25" s="4">
        <v>9.5687200000000001E-6</v>
      </c>
      <c r="L25" s="4">
        <v>8.8026699999999995E-5</v>
      </c>
      <c r="M25" s="2">
        <v>9.1994299999999996</v>
      </c>
      <c r="O25" s="3">
        <f>AVERAGE(C25,G25,K25)</f>
        <v>9.5707233333333341E-6</v>
      </c>
      <c r="P25" s="3">
        <f>AVERAGE(D25,H25,L25)</f>
        <v>8.8296733333333331E-5</v>
      </c>
      <c r="Q25">
        <f>AVERAGE(E25,I25,M25)</f>
        <v>9.2303066666666655</v>
      </c>
      <c r="S25">
        <f>_xlfn.STDEV.P(C25,G25,K25)</f>
        <v>1.6081932312035437E-7</v>
      </c>
      <c r="T25">
        <f>_xlfn.STDEV.P(D25,H25,L25)</f>
        <v>1.1474585143795933E-6</v>
      </c>
      <c r="U25">
        <f>_xlfn.STDEV.P(E25,I25,M25)</f>
        <v>0.27441668685089504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WT_24</vt:lpstr>
      <vt:lpstr>WT_72</vt:lpstr>
      <vt:lpstr>Spore-_24</vt:lpstr>
      <vt:lpstr>Spore-_72</vt:lpstr>
      <vt:lpstr>PGA-_24</vt:lpstr>
      <vt:lpstr>PGA-_72</vt:lpstr>
      <vt:lpstr>EPS-_24</vt:lpstr>
      <vt:lpstr>EPS-_72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LarkinLab</dc:creator>
  <cp:lastModifiedBy>Ducharme, Nicolas Andrew</cp:lastModifiedBy>
  <dcterms:created xsi:type="dcterms:W3CDTF">2025-07-18T14:05:27Z</dcterms:created>
  <dcterms:modified xsi:type="dcterms:W3CDTF">2026-09-09T20:42:21Z</dcterms:modified>
</cp:coreProperties>
</file>